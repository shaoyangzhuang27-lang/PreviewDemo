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AAF485B9-0F92-4472-B7A4-503FD257075D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challenge_copy" sheetId="1" r:id="rId1"/>
    <sheet name="Sheet2" sheetId="2" r:id="rId2"/>
    <sheet name="Sheet3" sheetId="3" r:id="rId3"/>
  </sheets>
  <externalReferences>
    <externalReference r:id="rId4"/>
  </externalReferences>
  <definedNames>
    <definedName name="_xlnm._FilterDatabase" localSheetId="0" hidden="1">challenge_copy!$A$3:$IA$1002</definedName>
    <definedName name="_xlnm._FilterDatabase" localSheetId="1" hidden="1">Sheet2!$A$17:$AJ$817</definedName>
  </definedNames>
  <calcPr calcId="191029"/>
</workbook>
</file>

<file path=xl/calcChain.xml><?xml version="1.0" encoding="utf-8"?>
<calcChain xmlns="http://schemas.openxmlformats.org/spreadsheetml/2006/main">
  <c r="O29" i="1" l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5" i="1"/>
  <c r="O6" i="1"/>
  <c r="O7" i="1"/>
  <c r="O8" i="1"/>
  <c r="O9" i="1"/>
  <c r="O10" i="1"/>
  <c r="O11" i="1"/>
  <c r="O12" i="1"/>
  <c r="O13" i="1"/>
  <c r="O4" i="1"/>
  <c r="F67" i="3" l="1"/>
  <c r="F66" i="3"/>
  <c r="F65" i="3"/>
  <c r="F64" i="3"/>
  <c r="F63" i="3"/>
  <c r="F61" i="3"/>
  <c r="K817" i="2"/>
  <c r="F817" i="2"/>
  <c r="K816" i="2"/>
  <c r="F816" i="2"/>
  <c r="K815" i="2"/>
  <c r="F815" i="2"/>
  <c r="K814" i="2"/>
  <c r="F814" i="2"/>
  <c r="K813" i="2"/>
  <c r="F813" i="2"/>
  <c r="K812" i="2"/>
  <c r="F812" i="2"/>
  <c r="K811" i="2"/>
  <c r="F811" i="2"/>
  <c r="K810" i="2"/>
  <c r="F810" i="2"/>
  <c r="K809" i="2"/>
  <c r="F809" i="2"/>
  <c r="K808" i="2"/>
  <c r="F808" i="2"/>
  <c r="K807" i="2"/>
  <c r="F807" i="2"/>
  <c r="K806" i="2"/>
  <c r="F806" i="2"/>
  <c r="K805" i="2"/>
  <c r="F805" i="2"/>
  <c r="K804" i="2"/>
  <c r="F804" i="2"/>
  <c r="K803" i="2"/>
  <c r="F803" i="2"/>
  <c r="K802" i="2"/>
  <c r="F802" i="2"/>
  <c r="K801" i="2"/>
  <c r="F801" i="2"/>
  <c r="K800" i="2"/>
  <c r="F800" i="2"/>
  <c r="K799" i="2"/>
  <c r="F799" i="2"/>
  <c r="K798" i="2"/>
  <c r="F798" i="2"/>
  <c r="K797" i="2"/>
  <c r="F797" i="2"/>
  <c r="K796" i="2"/>
  <c r="F796" i="2"/>
  <c r="K795" i="2"/>
  <c r="F795" i="2"/>
  <c r="K794" i="2"/>
  <c r="F794" i="2"/>
  <c r="K793" i="2"/>
  <c r="F793" i="2"/>
  <c r="K792" i="2"/>
  <c r="F792" i="2"/>
  <c r="K791" i="2"/>
  <c r="F791" i="2"/>
  <c r="K790" i="2"/>
  <c r="F790" i="2"/>
  <c r="K789" i="2"/>
  <c r="F789" i="2"/>
  <c r="K788" i="2"/>
  <c r="F788" i="2"/>
  <c r="K787" i="2"/>
  <c r="F787" i="2"/>
  <c r="K786" i="2"/>
  <c r="F786" i="2"/>
  <c r="K785" i="2"/>
  <c r="F785" i="2"/>
  <c r="K784" i="2"/>
  <c r="F784" i="2"/>
  <c r="K783" i="2"/>
  <c r="F783" i="2"/>
  <c r="K782" i="2"/>
  <c r="F782" i="2"/>
  <c r="K781" i="2"/>
  <c r="F781" i="2"/>
  <c r="K780" i="2"/>
  <c r="F780" i="2"/>
  <c r="K779" i="2"/>
  <c r="F779" i="2"/>
  <c r="K778" i="2"/>
  <c r="F778" i="2"/>
  <c r="K777" i="2"/>
  <c r="F777" i="2"/>
  <c r="K776" i="2"/>
  <c r="F776" i="2"/>
  <c r="K775" i="2"/>
  <c r="F775" i="2"/>
  <c r="K774" i="2"/>
  <c r="F774" i="2"/>
  <c r="K773" i="2"/>
  <c r="F773" i="2"/>
  <c r="K772" i="2"/>
  <c r="F772" i="2"/>
  <c r="K771" i="2"/>
  <c r="F771" i="2"/>
  <c r="K770" i="2"/>
  <c r="F770" i="2"/>
  <c r="K769" i="2"/>
  <c r="F769" i="2"/>
  <c r="K768" i="2"/>
  <c r="F768" i="2"/>
  <c r="K767" i="2"/>
  <c r="F767" i="2"/>
  <c r="K766" i="2"/>
  <c r="F766" i="2"/>
  <c r="K765" i="2"/>
  <c r="F765" i="2"/>
  <c r="K764" i="2"/>
  <c r="F764" i="2"/>
  <c r="K763" i="2"/>
  <c r="F763" i="2"/>
  <c r="K762" i="2"/>
  <c r="F762" i="2"/>
  <c r="K761" i="2"/>
  <c r="F761" i="2"/>
  <c r="K760" i="2"/>
  <c r="F760" i="2"/>
  <c r="K759" i="2"/>
  <c r="F759" i="2"/>
  <c r="K758" i="2"/>
  <c r="F758" i="2"/>
  <c r="K757" i="2"/>
  <c r="F757" i="2"/>
  <c r="K756" i="2"/>
  <c r="F756" i="2"/>
  <c r="K755" i="2"/>
  <c r="F755" i="2"/>
  <c r="K754" i="2"/>
  <c r="F754" i="2"/>
  <c r="K753" i="2"/>
  <c r="F753" i="2"/>
  <c r="K752" i="2"/>
  <c r="F752" i="2"/>
  <c r="K751" i="2"/>
  <c r="F751" i="2"/>
  <c r="K750" i="2"/>
  <c r="F750" i="2"/>
  <c r="K749" i="2"/>
  <c r="F749" i="2"/>
  <c r="K748" i="2"/>
  <c r="F748" i="2"/>
  <c r="K747" i="2"/>
  <c r="F747" i="2"/>
  <c r="K746" i="2"/>
  <c r="F746" i="2"/>
  <c r="K745" i="2"/>
  <c r="F745" i="2"/>
  <c r="K744" i="2"/>
  <c r="F744" i="2"/>
  <c r="K743" i="2"/>
  <c r="F743" i="2"/>
  <c r="K742" i="2"/>
  <c r="F742" i="2"/>
  <c r="K741" i="2"/>
  <c r="F741" i="2"/>
  <c r="K740" i="2"/>
  <c r="F740" i="2"/>
  <c r="K739" i="2"/>
  <c r="F739" i="2"/>
  <c r="K738" i="2"/>
  <c r="F738" i="2"/>
  <c r="K737" i="2"/>
  <c r="F737" i="2"/>
  <c r="K736" i="2"/>
  <c r="F736" i="2"/>
  <c r="K735" i="2"/>
  <c r="F735" i="2"/>
  <c r="K734" i="2"/>
  <c r="F734" i="2"/>
  <c r="K733" i="2"/>
  <c r="F733" i="2"/>
  <c r="K732" i="2"/>
  <c r="F732" i="2"/>
  <c r="K731" i="2"/>
  <c r="F731" i="2"/>
  <c r="K730" i="2"/>
  <c r="F730" i="2"/>
  <c r="K729" i="2"/>
  <c r="F729" i="2"/>
  <c r="K728" i="2"/>
  <c r="F728" i="2"/>
  <c r="K727" i="2"/>
  <c r="F727" i="2"/>
  <c r="K726" i="2"/>
  <c r="F726" i="2"/>
  <c r="K725" i="2"/>
  <c r="F725" i="2"/>
  <c r="K724" i="2"/>
  <c r="F724" i="2"/>
  <c r="K723" i="2"/>
  <c r="F723" i="2"/>
  <c r="K722" i="2"/>
  <c r="F722" i="2"/>
  <c r="K721" i="2"/>
  <c r="F721" i="2"/>
  <c r="K720" i="2"/>
  <c r="F720" i="2"/>
  <c r="K719" i="2"/>
  <c r="F719" i="2"/>
  <c r="K718" i="2"/>
  <c r="F718" i="2"/>
  <c r="K717" i="2"/>
  <c r="F717" i="2"/>
  <c r="K716" i="2"/>
  <c r="F716" i="2"/>
  <c r="K715" i="2"/>
  <c r="F715" i="2"/>
  <c r="K714" i="2"/>
  <c r="F714" i="2"/>
  <c r="K713" i="2"/>
  <c r="F713" i="2"/>
  <c r="K712" i="2"/>
  <c r="F712" i="2"/>
  <c r="K711" i="2"/>
  <c r="F711" i="2"/>
  <c r="K710" i="2"/>
  <c r="F710" i="2"/>
  <c r="K709" i="2"/>
  <c r="F709" i="2"/>
  <c r="K708" i="2"/>
  <c r="F708" i="2"/>
  <c r="K707" i="2"/>
  <c r="F707" i="2"/>
  <c r="K706" i="2"/>
  <c r="F706" i="2"/>
  <c r="K705" i="2"/>
  <c r="F705" i="2"/>
  <c r="K704" i="2"/>
  <c r="F704" i="2"/>
  <c r="K703" i="2"/>
  <c r="F703" i="2"/>
  <c r="K702" i="2"/>
  <c r="F702" i="2"/>
  <c r="K701" i="2"/>
  <c r="F701" i="2"/>
  <c r="K700" i="2"/>
  <c r="F700" i="2"/>
  <c r="K699" i="2"/>
  <c r="F699" i="2"/>
  <c r="K698" i="2"/>
  <c r="F698" i="2"/>
  <c r="K697" i="2"/>
  <c r="F697" i="2"/>
  <c r="K696" i="2"/>
  <c r="F696" i="2"/>
  <c r="K695" i="2"/>
  <c r="F695" i="2"/>
  <c r="K694" i="2"/>
  <c r="F694" i="2"/>
  <c r="K693" i="2"/>
  <c r="F693" i="2"/>
  <c r="K692" i="2"/>
  <c r="F692" i="2"/>
  <c r="K691" i="2"/>
  <c r="F691" i="2"/>
  <c r="K690" i="2"/>
  <c r="F690" i="2"/>
  <c r="K689" i="2"/>
  <c r="F689" i="2"/>
  <c r="K688" i="2"/>
  <c r="F688" i="2"/>
  <c r="K687" i="2"/>
  <c r="F687" i="2"/>
  <c r="K686" i="2"/>
  <c r="F686" i="2"/>
  <c r="K685" i="2"/>
  <c r="F685" i="2"/>
  <c r="K684" i="2"/>
  <c r="F684" i="2"/>
  <c r="K683" i="2"/>
  <c r="F683" i="2"/>
  <c r="K682" i="2"/>
  <c r="F682" i="2"/>
  <c r="K681" i="2"/>
  <c r="F681" i="2"/>
  <c r="K680" i="2"/>
  <c r="F680" i="2"/>
  <c r="K679" i="2"/>
  <c r="F679" i="2"/>
  <c r="K678" i="2"/>
  <c r="F678" i="2"/>
  <c r="K677" i="2"/>
  <c r="F677" i="2"/>
  <c r="K676" i="2"/>
  <c r="F676" i="2"/>
  <c r="K675" i="2"/>
  <c r="F675" i="2"/>
  <c r="K674" i="2"/>
  <c r="F674" i="2"/>
  <c r="K673" i="2"/>
  <c r="F673" i="2"/>
  <c r="K672" i="2"/>
  <c r="F672" i="2"/>
  <c r="K671" i="2"/>
  <c r="F671" i="2"/>
  <c r="K670" i="2"/>
  <c r="F670" i="2"/>
  <c r="K669" i="2"/>
  <c r="F669" i="2"/>
  <c r="K668" i="2"/>
  <c r="F668" i="2"/>
  <c r="K667" i="2"/>
  <c r="F667" i="2"/>
  <c r="K666" i="2"/>
  <c r="F666" i="2"/>
  <c r="K665" i="2"/>
  <c r="F665" i="2"/>
  <c r="K664" i="2"/>
  <c r="F664" i="2"/>
  <c r="K663" i="2"/>
  <c r="F663" i="2"/>
  <c r="K662" i="2"/>
  <c r="F662" i="2"/>
  <c r="K661" i="2"/>
  <c r="F661" i="2"/>
  <c r="K660" i="2"/>
  <c r="F660" i="2"/>
  <c r="K659" i="2"/>
  <c r="F659" i="2"/>
  <c r="K658" i="2"/>
  <c r="F658" i="2"/>
  <c r="K657" i="2"/>
  <c r="F657" i="2"/>
  <c r="K656" i="2"/>
  <c r="F656" i="2"/>
  <c r="K655" i="2"/>
  <c r="F655" i="2"/>
  <c r="K654" i="2"/>
  <c r="F654" i="2"/>
  <c r="K653" i="2"/>
  <c r="F653" i="2"/>
  <c r="K652" i="2"/>
  <c r="F652" i="2"/>
  <c r="K651" i="2"/>
  <c r="F651" i="2"/>
  <c r="K650" i="2"/>
  <c r="F650" i="2"/>
  <c r="K649" i="2"/>
  <c r="F649" i="2"/>
  <c r="K648" i="2"/>
  <c r="F648" i="2"/>
  <c r="K647" i="2"/>
  <c r="F647" i="2"/>
  <c r="K646" i="2"/>
  <c r="F646" i="2"/>
  <c r="K645" i="2"/>
  <c r="F645" i="2"/>
  <c r="K644" i="2"/>
  <c r="F644" i="2"/>
  <c r="K643" i="2"/>
  <c r="F643" i="2"/>
  <c r="K642" i="2"/>
  <c r="F642" i="2"/>
  <c r="K641" i="2"/>
  <c r="F641" i="2"/>
  <c r="K640" i="2"/>
  <c r="F640" i="2"/>
  <c r="K639" i="2"/>
  <c r="F639" i="2"/>
  <c r="K638" i="2"/>
  <c r="F638" i="2"/>
  <c r="K637" i="2"/>
  <c r="F637" i="2"/>
  <c r="K636" i="2"/>
  <c r="F636" i="2"/>
  <c r="K635" i="2"/>
  <c r="F635" i="2"/>
  <c r="K634" i="2"/>
  <c r="F634" i="2"/>
  <c r="K633" i="2"/>
  <c r="F633" i="2"/>
  <c r="K632" i="2"/>
  <c r="F632" i="2"/>
  <c r="K631" i="2"/>
  <c r="F631" i="2"/>
  <c r="K630" i="2"/>
  <c r="F630" i="2"/>
  <c r="K629" i="2"/>
  <c r="F629" i="2"/>
  <c r="K628" i="2"/>
  <c r="F628" i="2"/>
  <c r="K627" i="2"/>
  <c r="F627" i="2"/>
  <c r="K626" i="2"/>
  <c r="F626" i="2"/>
  <c r="K625" i="2"/>
  <c r="F625" i="2"/>
  <c r="K624" i="2"/>
  <c r="F624" i="2"/>
  <c r="K623" i="2"/>
  <c r="F623" i="2"/>
  <c r="K622" i="2"/>
  <c r="F622" i="2"/>
  <c r="K621" i="2"/>
  <c r="F621" i="2"/>
  <c r="K620" i="2"/>
  <c r="F620" i="2"/>
  <c r="K619" i="2"/>
  <c r="F619" i="2"/>
  <c r="K618" i="2"/>
  <c r="F618" i="2"/>
  <c r="K617" i="2"/>
  <c r="F617" i="2"/>
  <c r="K616" i="2"/>
  <c r="F616" i="2"/>
  <c r="K615" i="2"/>
  <c r="F615" i="2"/>
  <c r="K614" i="2"/>
  <c r="F614" i="2"/>
  <c r="K613" i="2"/>
  <c r="F613" i="2"/>
  <c r="K612" i="2"/>
  <c r="F612" i="2"/>
  <c r="K611" i="2"/>
  <c r="F611" i="2"/>
  <c r="K610" i="2"/>
  <c r="F610" i="2"/>
  <c r="K609" i="2"/>
  <c r="F609" i="2"/>
  <c r="K608" i="2"/>
  <c r="F608" i="2"/>
  <c r="K607" i="2"/>
  <c r="F607" i="2"/>
  <c r="K606" i="2"/>
  <c r="F606" i="2"/>
  <c r="K605" i="2"/>
  <c r="F605" i="2"/>
  <c r="K604" i="2"/>
  <c r="F604" i="2"/>
  <c r="K603" i="2"/>
  <c r="F603" i="2"/>
  <c r="K602" i="2"/>
  <c r="F602" i="2"/>
  <c r="K601" i="2"/>
  <c r="F601" i="2"/>
  <c r="K600" i="2"/>
  <c r="F600" i="2"/>
  <c r="K599" i="2"/>
  <c r="F599" i="2"/>
  <c r="K598" i="2"/>
  <c r="F598" i="2"/>
  <c r="K597" i="2"/>
  <c r="F597" i="2"/>
  <c r="K596" i="2"/>
  <c r="F596" i="2"/>
  <c r="K595" i="2"/>
  <c r="F595" i="2"/>
  <c r="K594" i="2"/>
  <c r="F594" i="2"/>
  <c r="K593" i="2"/>
  <c r="F593" i="2"/>
  <c r="K592" i="2"/>
  <c r="F592" i="2"/>
  <c r="K591" i="2"/>
  <c r="F591" i="2"/>
  <c r="K590" i="2"/>
  <c r="F590" i="2"/>
  <c r="K589" i="2"/>
  <c r="F589" i="2"/>
  <c r="K588" i="2"/>
  <c r="F588" i="2"/>
  <c r="K587" i="2"/>
  <c r="F587" i="2"/>
  <c r="K586" i="2"/>
  <c r="F586" i="2"/>
  <c r="K585" i="2"/>
  <c r="F585" i="2"/>
  <c r="K584" i="2"/>
  <c r="F584" i="2"/>
  <c r="K583" i="2"/>
  <c r="F583" i="2"/>
  <c r="K582" i="2"/>
  <c r="F582" i="2"/>
  <c r="K581" i="2"/>
  <c r="F581" i="2"/>
  <c r="K580" i="2"/>
  <c r="F580" i="2"/>
  <c r="K579" i="2"/>
  <c r="F579" i="2"/>
  <c r="K578" i="2"/>
  <c r="F578" i="2"/>
  <c r="K577" i="2"/>
  <c r="F577" i="2"/>
  <c r="K576" i="2"/>
  <c r="F576" i="2"/>
  <c r="K575" i="2"/>
  <c r="F575" i="2"/>
  <c r="K574" i="2"/>
  <c r="F574" i="2"/>
  <c r="K573" i="2"/>
  <c r="F573" i="2"/>
  <c r="K572" i="2"/>
  <c r="F572" i="2"/>
  <c r="K571" i="2"/>
  <c r="F571" i="2"/>
  <c r="K570" i="2"/>
  <c r="F570" i="2"/>
  <c r="K569" i="2"/>
  <c r="F569" i="2"/>
  <c r="K568" i="2"/>
  <c r="F568" i="2"/>
  <c r="K567" i="2"/>
  <c r="F567" i="2"/>
  <c r="K566" i="2"/>
  <c r="F566" i="2"/>
  <c r="K565" i="2"/>
  <c r="F565" i="2"/>
  <c r="K564" i="2"/>
  <c r="F564" i="2"/>
  <c r="K563" i="2"/>
  <c r="F563" i="2"/>
  <c r="K562" i="2"/>
  <c r="F562" i="2"/>
  <c r="K561" i="2"/>
  <c r="F561" i="2"/>
  <c r="K560" i="2"/>
  <c r="F560" i="2"/>
  <c r="K559" i="2"/>
  <c r="F559" i="2"/>
  <c r="K558" i="2"/>
  <c r="F558" i="2"/>
  <c r="K557" i="2"/>
  <c r="F557" i="2"/>
  <c r="K556" i="2"/>
  <c r="F556" i="2"/>
  <c r="K555" i="2"/>
  <c r="F555" i="2"/>
  <c r="K554" i="2"/>
  <c r="F554" i="2"/>
  <c r="K553" i="2"/>
  <c r="F553" i="2"/>
  <c r="K552" i="2"/>
  <c r="F552" i="2"/>
  <c r="K551" i="2"/>
  <c r="F551" i="2"/>
  <c r="K550" i="2"/>
  <c r="F550" i="2"/>
  <c r="K549" i="2"/>
  <c r="F549" i="2"/>
  <c r="K548" i="2"/>
  <c r="F548" i="2"/>
  <c r="K547" i="2"/>
  <c r="F547" i="2"/>
  <c r="K546" i="2"/>
  <c r="F546" i="2"/>
  <c r="K545" i="2"/>
  <c r="F545" i="2"/>
  <c r="K544" i="2"/>
  <c r="F544" i="2"/>
  <c r="K543" i="2"/>
  <c r="F543" i="2"/>
  <c r="K542" i="2"/>
  <c r="F542" i="2"/>
  <c r="K541" i="2"/>
  <c r="F541" i="2"/>
  <c r="K540" i="2"/>
  <c r="F540" i="2"/>
  <c r="K539" i="2"/>
  <c r="F539" i="2"/>
  <c r="K538" i="2"/>
  <c r="F538" i="2"/>
  <c r="K537" i="2"/>
  <c r="F537" i="2"/>
  <c r="K536" i="2"/>
  <c r="F536" i="2"/>
  <c r="K535" i="2"/>
  <c r="F535" i="2"/>
  <c r="K534" i="2"/>
  <c r="F534" i="2"/>
  <c r="K533" i="2"/>
  <c r="F533" i="2"/>
  <c r="K532" i="2"/>
  <c r="F532" i="2"/>
  <c r="K531" i="2"/>
  <c r="F531" i="2"/>
  <c r="K530" i="2"/>
  <c r="F530" i="2"/>
  <c r="K529" i="2"/>
  <c r="F529" i="2"/>
  <c r="K528" i="2"/>
  <c r="F528" i="2"/>
  <c r="K527" i="2"/>
  <c r="F527" i="2"/>
  <c r="K526" i="2"/>
  <c r="F526" i="2"/>
  <c r="K525" i="2"/>
  <c r="F525" i="2"/>
  <c r="K524" i="2"/>
  <c r="F524" i="2"/>
  <c r="K523" i="2"/>
  <c r="F523" i="2"/>
  <c r="K522" i="2"/>
  <c r="F522" i="2"/>
  <c r="K521" i="2"/>
  <c r="F521" i="2"/>
  <c r="K520" i="2"/>
  <c r="F520" i="2"/>
  <c r="K519" i="2"/>
  <c r="F519" i="2"/>
  <c r="K518" i="2"/>
  <c r="F518" i="2"/>
  <c r="K517" i="2"/>
  <c r="F517" i="2"/>
  <c r="K516" i="2"/>
  <c r="F516" i="2"/>
  <c r="K515" i="2"/>
  <c r="F515" i="2"/>
  <c r="K514" i="2"/>
  <c r="F514" i="2"/>
  <c r="K513" i="2"/>
  <c r="F513" i="2"/>
  <c r="K512" i="2"/>
  <c r="F512" i="2"/>
  <c r="K511" i="2"/>
  <c r="F511" i="2"/>
  <c r="K510" i="2"/>
  <c r="F510" i="2"/>
  <c r="K509" i="2"/>
  <c r="F509" i="2"/>
  <c r="K508" i="2"/>
  <c r="F508" i="2"/>
  <c r="K507" i="2"/>
  <c r="F507" i="2"/>
  <c r="K506" i="2"/>
  <c r="F506" i="2"/>
  <c r="K505" i="2"/>
  <c r="F505" i="2"/>
  <c r="K504" i="2"/>
  <c r="F504" i="2"/>
  <c r="K503" i="2"/>
  <c r="F503" i="2"/>
  <c r="K502" i="2"/>
  <c r="F502" i="2"/>
  <c r="K501" i="2"/>
  <c r="F501" i="2"/>
  <c r="K500" i="2"/>
  <c r="F500" i="2"/>
  <c r="K499" i="2"/>
  <c r="F499" i="2"/>
  <c r="K498" i="2"/>
  <c r="F498" i="2"/>
  <c r="K497" i="2"/>
  <c r="F497" i="2"/>
  <c r="K496" i="2"/>
  <c r="F496" i="2"/>
  <c r="K495" i="2"/>
  <c r="F495" i="2"/>
  <c r="K494" i="2"/>
  <c r="F494" i="2"/>
  <c r="K493" i="2"/>
  <c r="F493" i="2"/>
  <c r="K492" i="2"/>
  <c r="F492" i="2"/>
  <c r="K491" i="2"/>
  <c r="F491" i="2"/>
  <c r="K490" i="2"/>
  <c r="F490" i="2"/>
  <c r="K489" i="2"/>
  <c r="F489" i="2"/>
  <c r="K488" i="2"/>
  <c r="F488" i="2"/>
  <c r="K487" i="2"/>
  <c r="F487" i="2"/>
  <c r="K486" i="2"/>
  <c r="F486" i="2"/>
  <c r="K485" i="2"/>
  <c r="F485" i="2"/>
  <c r="K484" i="2"/>
  <c r="F484" i="2"/>
  <c r="K483" i="2"/>
  <c r="F483" i="2"/>
  <c r="K482" i="2"/>
  <c r="F482" i="2"/>
  <c r="K481" i="2"/>
  <c r="F481" i="2"/>
  <c r="K480" i="2"/>
  <c r="F480" i="2"/>
  <c r="K479" i="2"/>
  <c r="F479" i="2"/>
  <c r="K478" i="2"/>
  <c r="F478" i="2"/>
  <c r="K477" i="2"/>
  <c r="F477" i="2"/>
  <c r="K476" i="2"/>
  <c r="F476" i="2"/>
  <c r="K475" i="2"/>
  <c r="F475" i="2"/>
  <c r="K474" i="2"/>
  <c r="F474" i="2"/>
  <c r="K473" i="2"/>
  <c r="F473" i="2"/>
  <c r="K472" i="2"/>
  <c r="F472" i="2"/>
  <c r="K471" i="2"/>
  <c r="F471" i="2"/>
  <c r="K470" i="2"/>
  <c r="F470" i="2"/>
  <c r="K469" i="2"/>
  <c r="F469" i="2"/>
  <c r="K468" i="2"/>
  <c r="F468" i="2"/>
  <c r="K467" i="2"/>
  <c r="F467" i="2"/>
  <c r="K466" i="2"/>
  <c r="F466" i="2"/>
  <c r="K465" i="2"/>
  <c r="F465" i="2"/>
  <c r="K464" i="2"/>
  <c r="F464" i="2"/>
  <c r="K463" i="2"/>
  <c r="F463" i="2"/>
  <c r="K462" i="2"/>
  <c r="F462" i="2"/>
  <c r="K461" i="2"/>
  <c r="F461" i="2"/>
  <c r="K460" i="2"/>
  <c r="F460" i="2"/>
  <c r="K459" i="2"/>
  <c r="F459" i="2"/>
  <c r="K458" i="2"/>
  <c r="F458" i="2"/>
  <c r="K457" i="2"/>
  <c r="F457" i="2"/>
  <c r="K456" i="2"/>
  <c r="F456" i="2"/>
  <c r="K455" i="2"/>
  <c r="F455" i="2"/>
  <c r="K454" i="2"/>
  <c r="F454" i="2"/>
  <c r="K453" i="2"/>
  <c r="F453" i="2"/>
  <c r="K452" i="2"/>
  <c r="F452" i="2"/>
  <c r="K451" i="2"/>
  <c r="F451" i="2"/>
  <c r="K450" i="2"/>
  <c r="F450" i="2"/>
  <c r="K449" i="2"/>
  <c r="F449" i="2"/>
  <c r="K448" i="2"/>
  <c r="F448" i="2"/>
  <c r="K447" i="2"/>
  <c r="F447" i="2"/>
  <c r="K446" i="2"/>
  <c r="F446" i="2"/>
  <c r="K445" i="2"/>
  <c r="F445" i="2"/>
  <c r="K444" i="2"/>
  <c r="F444" i="2"/>
  <c r="K443" i="2"/>
  <c r="F443" i="2"/>
  <c r="K442" i="2"/>
  <c r="F442" i="2"/>
  <c r="K441" i="2"/>
  <c r="F441" i="2"/>
  <c r="K440" i="2"/>
  <c r="F440" i="2"/>
  <c r="K439" i="2"/>
  <c r="F439" i="2"/>
  <c r="K438" i="2"/>
  <c r="F438" i="2"/>
  <c r="K437" i="2"/>
  <c r="F437" i="2"/>
  <c r="K436" i="2"/>
  <c r="F436" i="2"/>
  <c r="K435" i="2"/>
  <c r="F435" i="2"/>
  <c r="K434" i="2"/>
  <c r="F434" i="2"/>
  <c r="K433" i="2"/>
  <c r="F433" i="2"/>
  <c r="K432" i="2"/>
  <c r="F432" i="2"/>
  <c r="K431" i="2"/>
  <c r="F431" i="2"/>
  <c r="K430" i="2"/>
  <c r="F430" i="2"/>
  <c r="K429" i="2"/>
  <c r="F429" i="2"/>
  <c r="K428" i="2"/>
  <c r="F428" i="2"/>
  <c r="K427" i="2"/>
  <c r="F427" i="2"/>
  <c r="K426" i="2"/>
  <c r="F426" i="2"/>
  <c r="K425" i="2"/>
  <c r="F425" i="2"/>
  <c r="K424" i="2"/>
  <c r="F424" i="2"/>
  <c r="K423" i="2"/>
  <c r="F423" i="2"/>
  <c r="K422" i="2"/>
  <c r="F422" i="2"/>
  <c r="K421" i="2"/>
  <c r="F421" i="2"/>
  <c r="K420" i="2"/>
  <c r="F420" i="2"/>
  <c r="K419" i="2"/>
  <c r="F419" i="2"/>
  <c r="K418" i="2"/>
  <c r="F418" i="2"/>
  <c r="K417" i="2"/>
  <c r="F417" i="2"/>
  <c r="K416" i="2"/>
  <c r="F416" i="2"/>
  <c r="K415" i="2"/>
  <c r="F415" i="2"/>
  <c r="K414" i="2"/>
  <c r="F414" i="2"/>
  <c r="K413" i="2"/>
  <c r="F413" i="2"/>
  <c r="K412" i="2"/>
  <c r="F412" i="2"/>
  <c r="K411" i="2"/>
  <c r="F411" i="2"/>
  <c r="K410" i="2"/>
  <c r="F410" i="2"/>
  <c r="K409" i="2"/>
  <c r="F409" i="2"/>
  <c r="K408" i="2"/>
  <c r="F408" i="2"/>
  <c r="K407" i="2"/>
  <c r="F407" i="2"/>
  <c r="K406" i="2"/>
  <c r="F406" i="2"/>
  <c r="K405" i="2"/>
  <c r="F405" i="2"/>
  <c r="K404" i="2"/>
  <c r="F404" i="2"/>
  <c r="K403" i="2"/>
  <c r="F403" i="2"/>
  <c r="K402" i="2"/>
  <c r="F402" i="2"/>
  <c r="K401" i="2"/>
  <c r="F401" i="2"/>
  <c r="K400" i="2"/>
  <c r="F400" i="2"/>
  <c r="K399" i="2"/>
  <c r="F399" i="2"/>
  <c r="K398" i="2"/>
  <c r="F398" i="2"/>
  <c r="K397" i="2"/>
  <c r="F397" i="2"/>
  <c r="K396" i="2"/>
  <c r="F396" i="2"/>
  <c r="K395" i="2"/>
  <c r="F395" i="2"/>
  <c r="K394" i="2"/>
  <c r="F394" i="2"/>
  <c r="K393" i="2"/>
  <c r="F393" i="2"/>
  <c r="K392" i="2"/>
  <c r="F392" i="2"/>
  <c r="K391" i="2"/>
  <c r="F391" i="2"/>
  <c r="K390" i="2"/>
  <c r="F390" i="2"/>
  <c r="K389" i="2"/>
  <c r="F389" i="2"/>
  <c r="K388" i="2"/>
  <c r="F388" i="2"/>
  <c r="K387" i="2"/>
  <c r="F387" i="2"/>
  <c r="K386" i="2"/>
  <c r="F386" i="2"/>
  <c r="K385" i="2"/>
  <c r="F385" i="2"/>
  <c r="K384" i="2"/>
  <c r="F384" i="2"/>
  <c r="K383" i="2"/>
  <c r="F383" i="2"/>
  <c r="K382" i="2"/>
  <c r="F382" i="2"/>
  <c r="K381" i="2"/>
  <c r="F381" i="2"/>
  <c r="K380" i="2"/>
  <c r="F380" i="2"/>
  <c r="K379" i="2"/>
  <c r="F379" i="2"/>
  <c r="K378" i="2"/>
  <c r="F378" i="2"/>
  <c r="K377" i="2"/>
  <c r="F377" i="2"/>
  <c r="K376" i="2"/>
  <c r="F376" i="2"/>
  <c r="K375" i="2"/>
  <c r="F375" i="2"/>
  <c r="K374" i="2"/>
  <c r="F374" i="2"/>
  <c r="K373" i="2"/>
  <c r="F373" i="2"/>
  <c r="K372" i="2"/>
  <c r="F372" i="2"/>
  <c r="K371" i="2"/>
  <c r="F371" i="2"/>
  <c r="K370" i="2"/>
  <c r="F370" i="2"/>
  <c r="K369" i="2"/>
  <c r="F369" i="2"/>
  <c r="K368" i="2"/>
  <c r="F368" i="2"/>
  <c r="K367" i="2"/>
  <c r="F367" i="2"/>
  <c r="K366" i="2"/>
  <c r="F366" i="2"/>
  <c r="K365" i="2"/>
  <c r="F365" i="2"/>
  <c r="K364" i="2"/>
  <c r="F364" i="2"/>
  <c r="K363" i="2"/>
  <c r="F363" i="2"/>
  <c r="K362" i="2"/>
  <c r="F362" i="2"/>
  <c r="K361" i="2"/>
  <c r="F361" i="2"/>
  <c r="K360" i="2"/>
  <c r="F360" i="2"/>
  <c r="K359" i="2"/>
  <c r="F359" i="2"/>
  <c r="K358" i="2"/>
  <c r="F358" i="2"/>
  <c r="K357" i="2"/>
  <c r="F357" i="2"/>
  <c r="K356" i="2"/>
  <c r="F356" i="2"/>
  <c r="K355" i="2"/>
  <c r="F355" i="2"/>
  <c r="K354" i="2"/>
  <c r="F354" i="2"/>
  <c r="K353" i="2"/>
  <c r="F353" i="2"/>
  <c r="K352" i="2"/>
  <c r="F352" i="2"/>
  <c r="K351" i="2"/>
  <c r="F351" i="2"/>
  <c r="K350" i="2"/>
  <c r="F350" i="2"/>
  <c r="K349" i="2"/>
  <c r="F349" i="2"/>
  <c r="K348" i="2"/>
  <c r="F348" i="2"/>
  <c r="K347" i="2"/>
  <c r="F347" i="2"/>
  <c r="K346" i="2"/>
  <c r="F346" i="2"/>
  <c r="K345" i="2"/>
  <c r="F345" i="2"/>
  <c r="K344" i="2"/>
  <c r="F344" i="2"/>
  <c r="K343" i="2"/>
  <c r="F343" i="2"/>
  <c r="K342" i="2"/>
  <c r="F342" i="2"/>
  <c r="K341" i="2"/>
  <c r="F341" i="2"/>
  <c r="K340" i="2"/>
  <c r="F340" i="2"/>
  <c r="K339" i="2"/>
  <c r="F339" i="2"/>
  <c r="K338" i="2"/>
  <c r="F338" i="2"/>
  <c r="K337" i="2"/>
  <c r="F337" i="2"/>
  <c r="K336" i="2"/>
  <c r="F336" i="2"/>
  <c r="K335" i="2"/>
  <c r="F335" i="2"/>
  <c r="K334" i="2"/>
  <c r="F334" i="2"/>
  <c r="K333" i="2"/>
  <c r="F333" i="2"/>
  <c r="K332" i="2"/>
  <c r="F332" i="2"/>
  <c r="K331" i="2"/>
  <c r="F331" i="2"/>
  <c r="K330" i="2"/>
  <c r="F330" i="2"/>
  <c r="K329" i="2"/>
  <c r="F329" i="2"/>
  <c r="K328" i="2"/>
  <c r="F328" i="2"/>
  <c r="K327" i="2"/>
  <c r="F327" i="2"/>
  <c r="K326" i="2"/>
  <c r="F326" i="2"/>
  <c r="K325" i="2"/>
  <c r="F325" i="2"/>
  <c r="K324" i="2"/>
  <c r="F324" i="2"/>
  <c r="K323" i="2"/>
  <c r="F323" i="2"/>
  <c r="K322" i="2"/>
  <c r="F322" i="2"/>
  <c r="K321" i="2"/>
  <c r="F321" i="2"/>
  <c r="K320" i="2"/>
  <c r="F320" i="2"/>
  <c r="K319" i="2"/>
  <c r="F319" i="2"/>
  <c r="K318" i="2"/>
  <c r="F318" i="2"/>
  <c r="K317" i="2"/>
  <c r="F317" i="2"/>
  <c r="K316" i="2"/>
  <c r="F316" i="2"/>
  <c r="K315" i="2"/>
  <c r="F315" i="2"/>
  <c r="K314" i="2"/>
  <c r="F314" i="2"/>
  <c r="K313" i="2"/>
  <c r="F313" i="2"/>
  <c r="K312" i="2"/>
  <c r="F312" i="2"/>
  <c r="K311" i="2"/>
  <c r="F311" i="2"/>
  <c r="K310" i="2"/>
  <c r="F310" i="2"/>
  <c r="K309" i="2"/>
  <c r="F309" i="2"/>
  <c r="K308" i="2"/>
  <c r="F308" i="2"/>
  <c r="K307" i="2"/>
  <c r="F307" i="2"/>
  <c r="K306" i="2"/>
  <c r="F306" i="2"/>
  <c r="K305" i="2"/>
  <c r="F305" i="2"/>
  <c r="K304" i="2"/>
  <c r="F304" i="2"/>
  <c r="K303" i="2"/>
  <c r="F303" i="2"/>
  <c r="K302" i="2"/>
  <c r="F302" i="2"/>
  <c r="K301" i="2"/>
  <c r="F301" i="2"/>
  <c r="K300" i="2"/>
  <c r="F300" i="2"/>
  <c r="K299" i="2"/>
  <c r="F299" i="2"/>
  <c r="K298" i="2"/>
  <c r="F298" i="2"/>
  <c r="K297" i="2"/>
  <c r="F297" i="2"/>
  <c r="K296" i="2"/>
  <c r="F296" i="2"/>
  <c r="K295" i="2"/>
  <c r="F295" i="2"/>
  <c r="K294" i="2"/>
  <c r="F294" i="2"/>
  <c r="K293" i="2"/>
  <c r="F293" i="2"/>
  <c r="K292" i="2"/>
  <c r="F292" i="2"/>
  <c r="K291" i="2"/>
  <c r="F291" i="2"/>
  <c r="K290" i="2"/>
  <c r="F290" i="2"/>
  <c r="K289" i="2"/>
  <c r="F289" i="2"/>
  <c r="K288" i="2"/>
  <c r="F288" i="2"/>
  <c r="K287" i="2"/>
  <c r="F287" i="2"/>
  <c r="K286" i="2"/>
  <c r="F286" i="2"/>
  <c r="K285" i="2"/>
  <c r="F285" i="2"/>
  <c r="K284" i="2"/>
  <c r="F284" i="2"/>
  <c r="K283" i="2"/>
  <c r="F283" i="2"/>
  <c r="K282" i="2"/>
  <c r="F282" i="2"/>
  <c r="K281" i="2"/>
  <c r="F281" i="2"/>
  <c r="K280" i="2"/>
  <c r="F280" i="2"/>
  <c r="K279" i="2"/>
  <c r="F279" i="2"/>
  <c r="K278" i="2"/>
  <c r="F278" i="2"/>
  <c r="K277" i="2"/>
  <c r="F277" i="2"/>
  <c r="K276" i="2"/>
  <c r="F276" i="2"/>
  <c r="K275" i="2"/>
  <c r="F275" i="2"/>
  <c r="K274" i="2"/>
  <c r="F274" i="2"/>
  <c r="K273" i="2"/>
  <c r="F273" i="2"/>
  <c r="K272" i="2"/>
  <c r="F272" i="2"/>
  <c r="K271" i="2"/>
  <c r="F271" i="2"/>
  <c r="K270" i="2"/>
  <c r="F270" i="2"/>
  <c r="K269" i="2"/>
  <c r="F269" i="2"/>
  <c r="K268" i="2"/>
  <c r="F268" i="2"/>
  <c r="K267" i="2"/>
  <c r="F267" i="2"/>
  <c r="K266" i="2"/>
  <c r="F266" i="2"/>
  <c r="K265" i="2"/>
  <c r="F265" i="2"/>
  <c r="K264" i="2"/>
  <c r="F264" i="2"/>
  <c r="K263" i="2"/>
  <c r="F263" i="2"/>
  <c r="K262" i="2"/>
  <c r="F262" i="2"/>
  <c r="K261" i="2"/>
  <c r="F261" i="2"/>
  <c r="K260" i="2"/>
  <c r="F260" i="2"/>
  <c r="K259" i="2"/>
  <c r="F259" i="2"/>
  <c r="K258" i="2"/>
  <c r="F258" i="2"/>
  <c r="K257" i="2"/>
  <c r="F257" i="2"/>
  <c r="K256" i="2"/>
  <c r="F256" i="2"/>
  <c r="K255" i="2"/>
  <c r="F255" i="2"/>
  <c r="K254" i="2"/>
  <c r="F254" i="2"/>
  <c r="K253" i="2"/>
  <c r="F253" i="2"/>
  <c r="K252" i="2"/>
  <c r="F252" i="2"/>
  <c r="K251" i="2"/>
  <c r="F251" i="2"/>
  <c r="K250" i="2"/>
  <c r="F250" i="2"/>
  <c r="K249" i="2"/>
  <c r="F249" i="2"/>
  <c r="K248" i="2"/>
  <c r="F248" i="2"/>
  <c r="K247" i="2"/>
  <c r="F247" i="2"/>
  <c r="K246" i="2"/>
  <c r="F246" i="2"/>
  <c r="K245" i="2"/>
  <c r="F245" i="2"/>
  <c r="K244" i="2"/>
  <c r="F244" i="2"/>
  <c r="K243" i="2"/>
  <c r="F243" i="2"/>
  <c r="K242" i="2"/>
  <c r="F242" i="2"/>
  <c r="K241" i="2"/>
  <c r="F241" i="2"/>
  <c r="K240" i="2"/>
  <c r="F240" i="2"/>
  <c r="K239" i="2"/>
  <c r="F239" i="2"/>
  <c r="K238" i="2"/>
  <c r="F238" i="2"/>
  <c r="K237" i="2"/>
  <c r="F237" i="2"/>
  <c r="K236" i="2"/>
  <c r="F236" i="2"/>
  <c r="K235" i="2"/>
  <c r="F235" i="2"/>
  <c r="K234" i="2"/>
  <c r="F234" i="2"/>
  <c r="K233" i="2"/>
  <c r="F233" i="2"/>
  <c r="K232" i="2"/>
  <c r="F232" i="2"/>
  <c r="K231" i="2"/>
  <c r="F231" i="2"/>
  <c r="K230" i="2"/>
  <c r="F230" i="2"/>
  <c r="K229" i="2"/>
  <c r="F229" i="2"/>
  <c r="K228" i="2"/>
  <c r="F228" i="2"/>
  <c r="K227" i="2"/>
  <c r="F227" i="2"/>
  <c r="K226" i="2"/>
  <c r="F226" i="2"/>
  <c r="K225" i="2"/>
  <c r="F225" i="2"/>
  <c r="K224" i="2"/>
  <c r="F224" i="2"/>
  <c r="K223" i="2"/>
  <c r="F223" i="2"/>
  <c r="K222" i="2"/>
  <c r="F222" i="2"/>
  <c r="K221" i="2"/>
  <c r="F221" i="2"/>
  <c r="K220" i="2"/>
  <c r="F220" i="2"/>
  <c r="K219" i="2"/>
  <c r="F219" i="2"/>
  <c r="K218" i="2"/>
  <c r="F218" i="2"/>
  <c r="K217" i="2"/>
  <c r="F217" i="2"/>
  <c r="K216" i="2"/>
  <c r="F216" i="2"/>
  <c r="K215" i="2"/>
  <c r="F215" i="2"/>
  <c r="K214" i="2"/>
  <c r="F214" i="2"/>
  <c r="K213" i="2"/>
  <c r="F213" i="2"/>
  <c r="K212" i="2"/>
  <c r="F212" i="2"/>
  <c r="K211" i="2"/>
  <c r="F211" i="2"/>
  <c r="K210" i="2"/>
  <c r="F210" i="2"/>
  <c r="K209" i="2"/>
  <c r="F209" i="2"/>
  <c r="K208" i="2"/>
  <c r="F208" i="2"/>
  <c r="K207" i="2"/>
  <c r="F207" i="2"/>
  <c r="K206" i="2"/>
  <c r="F206" i="2"/>
  <c r="K205" i="2"/>
  <c r="F205" i="2"/>
  <c r="K204" i="2"/>
  <c r="F204" i="2"/>
  <c r="K203" i="2"/>
  <c r="F203" i="2"/>
  <c r="K202" i="2"/>
  <c r="F202" i="2"/>
  <c r="K201" i="2"/>
  <c r="F201" i="2"/>
  <c r="K200" i="2"/>
  <c r="F200" i="2"/>
  <c r="K199" i="2"/>
  <c r="F199" i="2"/>
  <c r="K198" i="2"/>
  <c r="F198" i="2"/>
  <c r="K197" i="2"/>
  <c r="F197" i="2"/>
  <c r="K196" i="2"/>
  <c r="F196" i="2"/>
  <c r="K195" i="2"/>
  <c r="F195" i="2"/>
  <c r="K194" i="2"/>
  <c r="F194" i="2"/>
  <c r="K193" i="2"/>
  <c r="F193" i="2"/>
  <c r="K192" i="2"/>
  <c r="F192" i="2"/>
  <c r="K191" i="2"/>
  <c r="F191" i="2"/>
  <c r="K190" i="2"/>
  <c r="F190" i="2"/>
  <c r="K189" i="2"/>
  <c r="F189" i="2"/>
  <c r="K188" i="2"/>
  <c r="F188" i="2"/>
  <c r="K187" i="2"/>
  <c r="F187" i="2"/>
  <c r="K186" i="2"/>
  <c r="F186" i="2"/>
  <c r="K185" i="2"/>
  <c r="F185" i="2"/>
  <c r="K184" i="2"/>
  <c r="F184" i="2"/>
  <c r="K183" i="2"/>
  <c r="F183" i="2"/>
  <c r="K182" i="2"/>
  <c r="F182" i="2"/>
  <c r="K181" i="2"/>
  <c r="F181" i="2"/>
  <c r="K180" i="2"/>
  <c r="F180" i="2"/>
  <c r="K179" i="2"/>
  <c r="F179" i="2"/>
  <c r="K178" i="2"/>
  <c r="F178" i="2"/>
  <c r="K177" i="2"/>
  <c r="F177" i="2"/>
  <c r="K176" i="2"/>
  <c r="F176" i="2"/>
  <c r="K175" i="2"/>
  <c r="F175" i="2"/>
  <c r="K174" i="2"/>
  <c r="F174" i="2"/>
  <c r="K173" i="2"/>
  <c r="F173" i="2"/>
  <c r="K172" i="2"/>
  <c r="F172" i="2"/>
  <c r="K171" i="2"/>
  <c r="F171" i="2"/>
  <c r="K170" i="2"/>
  <c r="F170" i="2"/>
  <c r="K169" i="2"/>
  <c r="F169" i="2"/>
  <c r="K168" i="2"/>
  <c r="F168" i="2"/>
  <c r="K167" i="2"/>
  <c r="F167" i="2"/>
  <c r="K166" i="2"/>
  <c r="F166" i="2"/>
  <c r="K165" i="2"/>
  <c r="F165" i="2"/>
  <c r="K164" i="2"/>
  <c r="F164" i="2"/>
  <c r="K163" i="2"/>
  <c r="F163" i="2"/>
  <c r="K162" i="2"/>
  <c r="F162" i="2"/>
  <c r="K161" i="2"/>
  <c r="F161" i="2"/>
  <c r="K160" i="2"/>
  <c r="F160" i="2"/>
  <c r="K159" i="2"/>
  <c r="F159" i="2"/>
  <c r="K158" i="2"/>
  <c r="F158" i="2"/>
  <c r="K157" i="2"/>
  <c r="F157" i="2"/>
  <c r="K156" i="2"/>
  <c r="F156" i="2"/>
  <c r="K155" i="2"/>
  <c r="F155" i="2"/>
  <c r="K154" i="2"/>
  <c r="F154" i="2"/>
  <c r="K153" i="2"/>
  <c r="F153" i="2"/>
  <c r="K152" i="2"/>
  <c r="F152" i="2"/>
  <c r="K151" i="2"/>
  <c r="F151" i="2"/>
  <c r="K150" i="2"/>
  <c r="F150" i="2"/>
  <c r="K149" i="2"/>
  <c r="F149" i="2"/>
  <c r="K148" i="2"/>
  <c r="F148" i="2"/>
  <c r="K147" i="2"/>
  <c r="F147" i="2"/>
  <c r="K146" i="2"/>
  <c r="F146" i="2"/>
  <c r="K145" i="2"/>
  <c r="F145" i="2"/>
  <c r="K144" i="2"/>
  <c r="F144" i="2"/>
  <c r="K143" i="2"/>
  <c r="F143" i="2"/>
  <c r="K142" i="2"/>
  <c r="F142" i="2"/>
  <c r="K141" i="2"/>
  <c r="F141" i="2"/>
  <c r="K140" i="2"/>
  <c r="F140" i="2"/>
  <c r="K139" i="2"/>
  <c r="F139" i="2"/>
  <c r="K138" i="2"/>
  <c r="F138" i="2"/>
  <c r="K137" i="2"/>
  <c r="F137" i="2"/>
  <c r="K136" i="2"/>
  <c r="F136" i="2"/>
  <c r="K135" i="2"/>
  <c r="F135" i="2"/>
  <c r="K134" i="2"/>
  <c r="F134" i="2"/>
  <c r="K133" i="2"/>
  <c r="F133" i="2"/>
  <c r="K132" i="2"/>
  <c r="F132" i="2"/>
  <c r="K131" i="2"/>
  <c r="F131" i="2"/>
  <c r="K130" i="2"/>
  <c r="F130" i="2"/>
  <c r="K129" i="2"/>
  <c r="F129" i="2"/>
  <c r="K128" i="2"/>
  <c r="F128" i="2"/>
  <c r="K127" i="2"/>
  <c r="F127" i="2"/>
  <c r="K126" i="2"/>
  <c r="F126" i="2"/>
  <c r="K125" i="2"/>
  <c r="F125" i="2"/>
  <c r="K124" i="2"/>
  <c r="F124" i="2"/>
  <c r="K123" i="2"/>
  <c r="F123" i="2"/>
  <c r="K122" i="2"/>
  <c r="F122" i="2"/>
  <c r="K121" i="2"/>
  <c r="F121" i="2"/>
  <c r="K120" i="2"/>
  <c r="F120" i="2"/>
  <c r="K119" i="2"/>
  <c r="F119" i="2"/>
  <c r="K118" i="2"/>
  <c r="F118" i="2"/>
  <c r="K117" i="2"/>
  <c r="F117" i="2"/>
  <c r="K116" i="2"/>
  <c r="F116" i="2"/>
  <c r="K115" i="2"/>
  <c r="F115" i="2"/>
  <c r="K114" i="2"/>
  <c r="F114" i="2"/>
  <c r="K113" i="2"/>
  <c r="F113" i="2"/>
  <c r="K112" i="2"/>
  <c r="F112" i="2"/>
  <c r="K111" i="2"/>
  <c r="F111" i="2"/>
  <c r="K110" i="2"/>
  <c r="F110" i="2"/>
  <c r="K109" i="2"/>
  <c r="F109" i="2"/>
  <c r="K108" i="2"/>
  <c r="F108" i="2"/>
  <c r="K107" i="2"/>
  <c r="F107" i="2"/>
  <c r="K106" i="2"/>
  <c r="F106" i="2"/>
  <c r="K105" i="2"/>
  <c r="F105" i="2"/>
  <c r="K104" i="2"/>
  <c r="F104" i="2"/>
  <c r="K103" i="2"/>
  <c r="F103" i="2"/>
  <c r="K102" i="2"/>
  <c r="F102" i="2"/>
  <c r="K101" i="2"/>
  <c r="F101" i="2"/>
  <c r="K100" i="2"/>
  <c r="F100" i="2"/>
  <c r="K99" i="2"/>
  <c r="F99" i="2"/>
  <c r="K98" i="2"/>
  <c r="F98" i="2"/>
  <c r="K97" i="2"/>
  <c r="F97" i="2"/>
  <c r="K96" i="2"/>
  <c r="F96" i="2"/>
  <c r="K95" i="2"/>
  <c r="F95" i="2"/>
  <c r="K94" i="2"/>
  <c r="F94" i="2"/>
  <c r="K93" i="2"/>
  <c r="F93" i="2"/>
  <c r="K92" i="2"/>
  <c r="F92" i="2"/>
  <c r="K91" i="2"/>
  <c r="F91" i="2"/>
  <c r="K90" i="2"/>
  <c r="F90" i="2"/>
  <c r="K89" i="2"/>
  <c r="F89" i="2"/>
  <c r="K88" i="2"/>
  <c r="F88" i="2"/>
  <c r="K87" i="2"/>
  <c r="F87" i="2"/>
  <c r="K86" i="2"/>
  <c r="F86" i="2"/>
  <c r="K85" i="2"/>
  <c r="F85" i="2"/>
  <c r="K84" i="2"/>
  <c r="F84" i="2"/>
  <c r="K83" i="2"/>
  <c r="F83" i="2"/>
  <c r="K82" i="2"/>
  <c r="F82" i="2"/>
  <c r="K81" i="2"/>
  <c r="F81" i="2"/>
  <c r="K80" i="2"/>
  <c r="F80" i="2"/>
  <c r="K79" i="2"/>
  <c r="F79" i="2"/>
  <c r="K78" i="2"/>
  <c r="F78" i="2"/>
  <c r="K77" i="2"/>
  <c r="F77" i="2"/>
  <c r="K76" i="2"/>
  <c r="F76" i="2"/>
  <c r="K75" i="2"/>
  <c r="F75" i="2"/>
  <c r="K74" i="2"/>
  <c r="F74" i="2"/>
  <c r="K73" i="2"/>
  <c r="F73" i="2"/>
  <c r="K72" i="2"/>
  <c r="F72" i="2"/>
  <c r="K71" i="2"/>
  <c r="F71" i="2"/>
  <c r="K70" i="2"/>
  <c r="F70" i="2"/>
  <c r="K69" i="2"/>
  <c r="F69" i="2"/>
  <c r="K68" i="2"/>
  <c r="F68" i="2"/>
  <c r="K67" i="2"/>
  <c r="F67" i="2"/>
  <c r="K66" i="2"/>
  <c r="F66" i="2"/>
  <c r="K65" i="2"/>
  <c r="F65" i="2"/>
  <c r="K64" i="2"/>
  <c r="F64" i="2"/>
  <c r="K63" i="2"/>
  <c r="F63" i="2"/>
  <c r="K62" i="2"/>
  <c r="F62" i="2"/>
  <c r="K61" i="2"/>
  <c r="F61" i="2"/>
  <c r="K60" i="2"/>
  <c r="F60" i="2"/>
  <c r="K59" i="2"/>
  <c r="F59" i="2"/>
  <c r="K58" i="2"/>
  <c r="F58" i="2"/>
  <c r="K57" i="2"/>
  <c r="F57" i="2"/>
  <c r="K56" i="2"/>
  <c r="F56" i="2"/>
  <c r="K55" i="2"/>
  <c r="F55" i="2"/>
  <c r="K54" i="2"/>
  <c r="F54" i="2"/>
  <c r="K53" i="2"/>
  <c r="F53" i="2"/>
  <c r="K52" i="2"/>
  <c r="F52" i="2"/>
  <c r="K51" i="2"/>
  <c r="F51" i="2"/>
  <c r="K50" i="2"/>
  <c r="F50" i="2"/>
  <c r="K49" i="2"/>
  <c r="F49" i="2"/>
  <c r="K48" i="2"/>
  <c r="F48" i="2"/>
  <c r="K47" i="2"/>
  <c r="F47" i="2"/>
  <c r="K46" i="2"/>
  <c r="F46" i="2"/>
  <c r="K45" i="2"/>
  <c r="F45" i="2"/>
  <c r="K44" i="2"/>
  <c r="F44" i="2"/>
  <c r="K43" i="2"/>
  <c r="F43" i="2"/>
  <c r="K42" i="2"/>
  <c r="F42" i="2"/>
  <c r="K41" i="2"/>
  <c r="F41" i="2"/>
  <c r="K40" i="2"/>
  <c r="F40" i="2"/>
  <c r="K39" i="2"/>
  <c r="F39" i="2"/>
  <c r="K38" i="2"/>
  <c r="F38" i="2"/>
  <c r="K37" i="2"/>
  <c r="F37" i="2"/>
  <c r="K36" i="2"/>
  <c r="F36" i="2"/>
  <c r="K35" i="2"/>
  <c r="F35" i="2"/>
  <c r="K34" i="2"/>
  <c r="F34" i="2"/>
  <c r="K33" i="2"/>
  <c r="F33" i="2"/>
  <c r="K32" i="2"/>
  <c r="F32" i="2"/>
  <c r="K31" i="2"/>
  <c r="F31" i="2"/>
  <c r="K30" i="2"/>
  <c r="F30" i="2"/>
  <c r="K29" i="2"/>
  <c r="F29" i="2"/>
  <c r="K28" i="2"/>
  <c r="F28" i="2"/>
  <c r="K27" i="2"/>
  <c r="F27" i="2"/>
  <c r="K26" i="2"/>
  <c r="F26" i="2"/>
  <c r="K25" i="2"/>
  <c r="F25" i="2"/>
  <c r="K24" i="2"/>
  <c r="F24" i="2"/>
  <c r="K23" i="2"/>
  <c r="F23" i="2"/>
  <c r="K22" i="2"/>
  <c r="F22" i="2"/>
  <c r="K21" i="2"/>
  <c r="F21" i="2"/>
  <c r="K20" i="2"/>
  <c r="F20" i="2"/>
  <c r="K19" i="2"/>
  <c r="F19" i="2"/>
  <c r="K18" i="2"/>
  <c r="F18" i="2"/>
  <c r="R3" i="2"/>
  <c r="S3" i="2" s="1"/>
  <c r="N3" i="2"/>
  <c r="O3" i="2" s="1"/>
  <c r="EA1002" i="1"/>
  <c r="DZ1002" i="1"/>
  <c r="DY1002" i="1"/>
  <c r="DX1002" i="1"/>
  <c r="DW1002" i="1"/>
  <c r="DV1002" i="1"/>
  <c r="DC1002" i="1"/>
  <c r="DB1002" i="1"/>
  <c r="DA1002" i="1"/>
  <c r="CU1002" i="1" s="1"/>
  <c r="CZ1002" i="1"/>
  <c r="CT1002" i="1" s="1"/>
  <c r="CY1002" i="1"/>
  <c r="CX1002" i="1"/>
  <c r="CW1002" i="1"/>
  <c r="CV1002" i="1"/>
  <c r="CS1002" i="1"/>
  <c r="CR1002" i="1"/>
  <c r="AH1002" i="1"/>
  <c r="AG1002" i="1"/>
  <c r="AF1002" i="1"/>
  <c r="AE1002" i="1"/>
  <c r="AD1002" i="1"/>
  <c r="AC1002" i="1"/>
  <c r="EA1001" i="1"/>
  <c r="DZ1001" i="1"/>
  <c r="DY1001" i="1"/>
  <c r="DX1001" i="1"/>
  <c r="DW1001" i="1"/>
  <c r="DV1001" i="1"/>
  <c r="DC1001" i="1"/>
  <c r="DB1001" i="1"/>
  <c r="DA1001" i="1"/>
  <c r="CU1001" i="1" s="1"/>
  <c r="CZ1001" i="1"/>
  <c r="CT1001" i="1" s="1"/>
  <c r="CY1001" i="1"/>
  <c r="CX1001" i="1"/>
  <c r="CW1001" i="1"/>
  <c r="CV1001" i="1"/>
  <c r="CS1001" i="1"/>
  <c r="CR1001" i="1"/>
  <c r="AH1001" i="1"/>
  <c r="AG1001" i="1"/>
  <c r="AF1001" i="1"/>
  <c r="AE1001" i="1"/>
  <c r="AD1001" i="1"/>
  <c r="AC1001" i="1"/>
  <c r="EA1000" i="1"/>
  <c r="DZ1000" i="1"/>
  <c r="DY1000" i="1"/>
  <c r="DX1000" i="1"/>
  <c r="DW1000" i="1"/>
  <c r="DV1000" i="1"/>
  <c r="DC1000" i="1"/>
  <c r="DB1000" i="1"/>
  <c r="DA1000" i="1"/>
  <c r="CU1000" i="1" s="1"/>
  <c r="CZ1000" i="1"/>
  <c r="CT1000" i="1" s="1"/>
  <c r="CY1000" i="1"/>
  <c r="CX1000" i="1"/>
  <c r="CW1000" i="1"/>
  <c r="CV1000" i="1"/>
  <c r="CS1000" i="1"/>
  <c r="CR1000" i="1"/>
  <c r="AH1000" i="1"/>
  <c r="AG1000" i="1"/>
  <c r="AF1000" i="1"/>
  <c r="AE1000" i="1"/>
  <c r="AD1000" i="1"/>
  <c r="AC1000" i="1"/>
  <c r="EA999" i="1"/>
  <c r="DZ999" i="1"/>
  <c r="DY999" i="1"/>
  <c r="DX999" i="1"/>
  <c r="DW999" i="1"/>
  <c r="DV999" i="1"/>
  <c r="DC999" i="1"/>
  <c r="DB999" i="1"/>
  <c r="DA999" i="1"/>
  <c r="CU999" i="1" s="1"/>
  <c r="CZ999" i="1"/>
  <c r="CT999" i="1" s="1"/>
  <c r="CY999" i="1"/>
  <c r="CX999" i="1"/>
  <c r="CW999" i="1"/>
  <c r="CV999" i="1"/>
  <c r="CS999" i="1"/>
  <c r="CR999" i="1"/>
  <c r="AH999" i="1"/>
  <c r="AG999" i="1"/>
  <c r="AF999" i="1"/>
  <c r="AE999" i="1"/>
  <c r="AD999" i="1"/>
  <c r="AC999" i="1"/>
  <c r="EA998" i="1"/>
  <c r="DZ998" i="1"/>
  <c r="DY998" i="1"/>
  <c r="DX998" i="1"/>
  <c r="DW998" i="1"/>
  <c r="DV998" i="1"/>
  <c r="DC998" i="1"/>
  <c r="DB998" i="1"/>
  <c r="DA998" i="1"/>
  <c r="CU998" i="1" s="1"/>
  <c r="CZ998" i="1"/>
  <c r="CT998" i="1" s="1"/>
  <c r="CY998" i="1"/>
  <c r="CX998" i="1"/>
  <c r="CW998" i="1"/>
  <c r="CV998" i="1"/>
  <c r="CS998" i="1"/>
  <c r="CR998" i="1"/>
  <c r="AH998" i="1"/>
  <c r="AG998" i="1"/>
  <c r="AF998" i="1"/>
  <c r="AE998" i="1"/>
  <c r="AD998" i="1"/>
  <c r="AC998" i="1"/>
  <c r="EA997" i="1"/>
  <c r="DZ997" i="1"/>
  <c r="DY997" i="1"/>
  <c r="DX997" i="1"/>
  <c r="DW997" i="1"/>
  <c r="DV997" i="1"/>
  <c r="DC997" i="1"/>
  <c r="DB997" i="1"/>
  <c r="DA997" i="1"/>
  <c r="CU997" i="1" s="1"/>
  <c r="CZ997" i="1"/>
  <c r="CT997" i="1" s="1"/>
  <c r="CY997" i="1"/>
  <c r="CX997" i="1"/>
  <c r="CW997" i="1"/>
  <c r="CV997" i="1"/>
  <c r="CS997" i="1"/>
  <c r="CR997" i="1"/>
  <c r="AH997" i="1"/>
  <c r="AG997" i="1"/>
  <c r="AF997" i="1"/>
  <c r="AE997" i="1"/>
  <c r="AD997" i="1"/>
  <c r="AC997" i="1"/>
  <c r="EA996" i="1"/>
  <c r="DZ996" i="1"/>
  <c r="DY996" i="1"/>
  <c r="DX996" i="1"/>
  <c r="DW996" i="1"/>
  <c r="DV996" i="1"/>
  <c r="DC996" i="1"/>
  <c r="DB996" i="1"/>
  <c r="DA996" i="1"/>
  <c r="CU996" i="1" s="1"/>
  <c r="CZ996" i="1"/>
  <c r="CT996" i="1" s="1"/>
  <c r="CY996" i="1"/>
  <c r="CX996" i="1"/>
  <c r="CW996" i="1"/>
  <c r="CV996" i="1"/>
  <c r="CS996" i="1"/>
  <c r="CR996" i="1"/>
  <c r="AH996" i="1"/>
  <c r="AG996" i="1"/>
  <c r="AF996" i="1"/>
  <c r="AE996" i="1"/>
  <c r="AD996" i="1"/>
  <c r="AC996" i="1"/>
  <c r="EA995" i="1"/>
  <c r="DZ995" i="1"/>
  <c r="DY995" i="1"/>
  <c r="DX995" i="1"/>
  <c r="DW995" i="1"/>
  <c r="DV995" i="1"/>
  <c r="DC995" i="1"/>
  <c r="DB995" i="1"/>
  <c r="DA995" i="1"/>
  <c r="CU995" i="1" s="1"/>
  <c r="CZ995" i="1"/>
  <c r="CT995" i="1" s="1"/>
  <c r="CY995" i="1"/>
  <c r="CX995" i="1"/>
  <c r="CW995" i="1"/>
  <c r="CV995" i="1"/>
  <c r="CS995" i="1"/>
  <c r="CR995" i="1"/>
  <c r="AH995" i="1"/>
  <c r="AG995" i="1"/>
  <c r="AF995" i="1"/>
  <c r="AE995" i="1"/>
  <c r="AD995" i="1"/>
  <c r="AC995" i="1"/>
  <c r="EA994" i="1"/>
  <c r="DZ994" i="1"/>
  <c r="DY994" i="1"/>
  <c r="DX994" i="1"/>
  <c r="DW994" i="1"/>
  <c r="DV994" i="1"/>
  <c r="DC994" i="1"/>
  <c r="DB994" i="1"/>
  <c r="DA994" i="1"/>
  <c r="CU994" i="1" s="1"/>
  <c r="CZ994" i="1"/>
  <c r="CT994" i="1" s="1"/>
  <c r="CY994" i="1"/>
  <c r="CX994" i="1"/>
  <c r="CW994" i="1"/>
  <c r="CV994" i="1"/>
  <c r="CS994" i="1"/>
  <c r="CR994" i="1"/>
  <c r="AH994" i="1"/>
  <c r="AG994" i="1"/>
  <c r="AF994" i="1"/>
  <c r="AE994" i="1"/>
  <c r="AD994" i="1"/>
  <c r="AC994" i="1"/>
  <c r="EA993" i="1"/>
  <c r="DZ993" i="1"/>
  <c r="DY993" i="1"/>
  <c r="DX993" i="1"/>
  <c r="DW993" i="1"/>
  <c r="DV993" i="1"/>
  <c r="DC993" i="1"/>
  <c r="DB993" i="1"/>
  <c r="DA993" i="1"/>
  <c r="CU993" i="1" s="1"/>
  <c r="CZ993" i="1"/>
  <c r="CT993" i="1" s="1"/>
  <c r="CY993" i="1"/>
  <c r="CX993" i="1"/>
  <c r="CW993" i="1"/>
  <c r="CV993" i="1"/>
  <c r="CS993" i="1"/>
  <c r="CR993" i="1"/>
  <c r="AH993" i="1"/>
  <c r="AG993" i="1"/>
  <c r="AF993" i="1"/>
  <c r="AE993" i="1"/>
  <c r="AD993" i="1"/>
  <c r="AC993" i="1"/>
  <c r="EA992" i="1"/>
  <c r="DZ992" i="1"/>
  <c r="DY992" i="1"/>
  <c r="DX992" i="1"/>
  <c r="DW992" i="1"/>
  <c r="DV992" i="1"/>
  <c r="DC992" i="1"/>
  <c r="DB992" i="1"/>
  <c r="DA992" i="1"/>
  <c r="CU992" i="1" s="1"/>
  <c r="CZ992" i="1"/>
  <c r="CT992" i="1" s="1"/>
  <c r="CY992" i="1"/>
  <c r="CX992" i="1"/>
  <c r="CW992" i="1"/>
  <c r="CV992" i="1"/>
  <c r="CS992" i="1"/>
  <c r="CR992" i="1"/>
  <c r="AH992" i="1"/>
  <c r="AG992" i="1"/>
  <c r="AF992" i="1"/>
  <c r="AE992" i="1"/>
  <c r="AD992" i="1"/>
  <c r="AC992" i="1"/>
  <c r="EA991" i="1"/>
  <c r="DZ991" i="1"/>
  <c r="DY991" i="1"/>
  <c r="DX991" i="1"/>
  <c r="DW991" i="1"/>
  <c r="DV991" i="1"/>
  <c r="DC991" i="1"/>
  <c r="DB991" i="1"/>
  <c r="DA991" i="1"/>
  <c r="CU991" i="1" s="1"/>
  <c r="CZ991" i="1"/>
  <c r="CT991" i="1" s="1"/>
  <c r="CY991" i="1"/>
  <c r="CX991" i="1"/>
  <c r="CW991" i="1"/>
  <c r="CV991" i="1"/>
  <c r="CS991" i="1"/>
  <c r="CR991" i="1"/>
  <c r="AH991" i="1"/>
  <c r="AG991" i="1"/>
  <c r="AF991" i="1"/>
  <c r="AE991" i="1"/>
  <c r="AD991" i="1"/>
  <c r="AC991" i="1"/>
  <c r="EA990" i="1"/>
  <c r="DZ990" i="1"/>
  <c r="DY990" i="1"/>
  <c r="DX990" i="1"/>
  <c r="DW990" i="1"/>
  <c r="DV990" i="1"/>
  <c r="DC990" i="1"/>
  <c r="DB990" i="1"/>
  <c r="DA990" i="1"/>
  <c r="CU990" i="1" s="1"/>
  <c r="CZ990" i="1"/>
  <c r="CT990" i="1" s="1"/>
  <c r="CY990" i="1"/>
  <c r="CX990" i="1"/>
  <c r="CW990" i="1"/>
  <c r="CV990" i="1"/>
  <c r="CS990" i="1"/>
  <c r="CR990" i="1"/>
  <c r="AH990" i="1"/>
  <c r="AG990" i="1"/>
  <c r="AF990" i="1"/>
  <c r="AE990" i="1"/>
  <c r="AD990" i="1"/>
  <c r="AC990" i="1"/>
  <c r="EA989" i="1"/>
  <c r="DZ989" i="1"/>
  <c r="DY989" i="1"/>
  <c r="DX989" i="1"/>
  <c r="DW989" i="1"/>
  <c r="DV989" i="1"/>
  <c r="DC989" i="1"/>
  <c r="DB989" i="1"/>
  <c r="DA989" i="1"/>
  <c r="CU989" i="1" s="1"/>
  <c r="CZ989" i="1"/>
  <c r="CT989" i="1" s="1"/>
  <c r="CY989" i="1"/>
  <c r="CX989" i="1"/>
  <c r="CW989" i="1"/>
  <c r="CV989" i="1"/>
  <c r="CS989" i="1"/>
  <c r="CR989" i="1"/>
  <c r="AH989" i="1"/>
  <c r="AG989" i="1"/>
  <c r="AF989" i="1"/>
  <c r="AE989" i="1"/>
  <c r="AD989" i="1"/>
  <c r="AC989" i="1"/>
  <c r="EA988" i="1"/>
  <c r="DZ988" i="1"/>
  <c r="DY988" i="1"/>
  <c r="DX988" i="1"/>
  <c r="DW988" i="1"/>
  <c r="DV988" i="1"/>
  <c r="DC988" i="1"/>
  <c r="DB988" i="1"/>
  <c r="DA988" i="1"/>
  <c r="CU988" i="1" s="1"/>
  <c r="CZ988" i="1"/>
  <c r="CT988" i="1" s="1"/>
  <c r="CY988" i="1"/>
  <c r="CX988" i="1"/>
  <c r="CW988" i="1"/>
  <c r="CV988" i="1"/>
  <c r="CS988" i="1"/>
  <c r="CR988" i="1"/>
  <c r="AH988" i="1"/>
  <c r="AG988" i="1"/>
  <c r="AF988" i="1"/>
  <c r="AE988" i="1"/>
  <c r="AD988" i="1"/>
  <c r="AC988" i="1"/>
  <c r="EA987" i="1"/>
  <c r="DZ987" i="1"/>
  <c r="DY987" i="1"/>
  <c r="DX987" i="1"/>
  <c r="DW987" i="1"/>
  <c r="DV987" i="1"/>
  <c r="DC987" i="1"/>
  <c r="DB987" i="1"/>
  <c r="DA987" i="1"/>
  <c r="CU987" i="1" s="1"/>
  <c r="CZ987" i="1"/>
  <c r="CT987" i="1" s="1"/>
  <c r="CY987" i="1"/>
  <c r="CX987" i="1"/>
  <c r="CW987" i="1"/>
  <c r="CV987" i="1"/>
  <c r="CS987" i="1"/>
  <c r="CR987" i="1"/>
  <c r="AH987" i="1"/>
  <c r="AG987" i="1"/>
  <c r="AF987" i="1"/>
  <c r="AE987" i="1"/>
  <c r="AD987" i="1"/>
  <c r="AC987" i="1"/>
  <c r="EA986" i="1"/>
  <c r="DZ986" i="1"/>
  <c r="DY986" i="1"/>
  <c r="DX986" i="1"/>
  <c r="DW986" i="1"/>
  <c r="DV986" i="1"/>
  <c r="DC986" i="1"/>
  <c r="DB986" i="1"/>
  <c r="DA986" i="1"/>
  <c r="CU986" i="1" s="1"/>
  <c r="CZ986" i="1"/>
  <c r="CT986" i="1" s="1"/>
  <c r="CY986" i="1"/>
  <c r="CX986" i="1"/>
  <c r="CW986" i="1"/>
  <c r="CV986" i="1"/>
  <c r="CS986" i="1"/>
  <c r="CR986" i="1"/>
  <c r="AH986" i="1"/>
  <c r="AG986" i="1"/>
  <c r="AF986" i="1"/>
  <c r="AE986" i="1"/>
  <c r="AD986" i="1"/>
  <c r="AC986" i="1"/>
  <c r="EA985" i="1"/>
  <c r="DZ985" i="1"/>
  <c r="DY985" i="1"/>
  <c r="DX985" i="1"/>
  <c r="DW985" i="1"/>
  <c r="DV985" i="1"/>
  <c r="DC985" i="1"/>
  <c r="DB985" i="1"/>
  <c r="DA985" i="1"/>
  <c r="CU985" i="1" s="1"/>
  <c r="CZ985" i="1"/>
  <c r="CT985" i="1" s="1"/>
  <c r="CY985" i="1"/>
  <c r="CX985" i="1"/>
  <c r="CW985" i="1"/>
  <c r="CV985" i="1"/>
  <c r="CS985" i="1"/>
  <c r="CR985" i="1"/>
  <c r="AH985" i="1"/>
  <c r="AG985" i="1"/>
  <c r="AF985" i="1"/>
  <c r="AE985" i="1"/>
  <c r="AD985" i="1"/>
  <c r="AC985" i="1"/>
  <c r="EA984" i="1"/>
  <c r="DZ984" i="1"/>
  <c r="DY984" i="1"/>
  <c r="DX984" i="1"/>
  <c r="DW984" i="1"/>
  <c r="DV984" i="1"/>
  <c r="DC984" i="1"/>
  <c r="DB984" i="1"/>
  <c r="DA984" i="1"/>
  <c r="CU984" i="1" s="1"/>
  <c r="CZ984" i="1"/>
  <c r="CT984" i="1" s="1"/>
  <c r="CY984" i="1"/>
  <c r="CX984" i="1"/>
  <c r="CW984" i="1"/>
  <c r="CV984" i="1"/>
  <c r="CS984" i="1"/>
  <c r="CR984" i="1"/>
  <c r="AH984" i="1"/>
  <c r="AG984" i="1"/>
  <c r="AF984" i="1"/>
  <c r="AE984" i="1"/>
  <c r="AD984" i="1"/>
  <c r="AC984" i="1"/>
  <c r="EA983" i="1"/>
  <c r="DZ983" i="1"/>
  <c r="DY983" i="1"/>
  <c r="DX983" i="1"/>
  <c r="DW983" i="1"/>
  <c r="DV983" i="1"/>
  <c r="DC983" i="1"/>
  <c r="DB983" i="1"/>
  <c r="DA983" i="1"/>
  <c r="CU983" i="1" s="1"/>
  <c r="CZ983" i="1"/>
  <c r="CT983" i="1" s="1"/>
  <c r="CY983" i="1"/>
  <c r="CX983" i="1"/>
  <c r="CW983" i="1"/>
  <c r="CV983" i="1"/>
  <c r="CS983" i="1"/>
  <c r="CR983" i="1"/>
  <c r="CA983" i="1"/>
  <c r="BZ983" i="1"/>
  <c r="BY983" i="1"/>
  <c r="BX983" i="1"/>
  <c r="BW983" i="1"/>
  <c r="BV983" i="1"/>
  <c r="BU983" i="1"/>
  <c r="BT983" i="1"/>
  <c r="BS983" i="1"/>
  <c r="AH983" i="1"/>
  <c r="AG983" i="1"/>
  <c r="AF983" i="1"/>
  <c r="AE983" i="1"/>
  <c r="AD983" i="1"/>
  <c r="AC983" i="1"/>
  <c r="EA982" i="1"/>
  <c r="DZ982" i="1"/>
  <c r="DY982" i="1"/>
  <c r="DX982" i="1"/>
  <c r="DW982" i="1"/>
  <c r="DV982" i="1"/>
  <c r="DC982" i="1"/>
  <c r="CW982" i="1" s="1"/>
  <c r="DB982" i="1"/>
  <c r="DA982" i="1"/>
  <c r="CZ982" i="1"/>
  <c r="CT982" i="1" s="1"/>
  <c r="CY982" i="1"/>
  <c r="CS982" i="1" s="1"/>
  <c r="CX982" i="1"/>
  <c r="CV982" i="1"/>
  <c r="CU982" i="1"/>
  <c r="CR982" i="1"/>
  <c r="BZ982" i="1"/>
  <c r="CA982" i="1" s="1"/>
  <c r="BY982" i="1"/>
  <c r="BX982" i="1"/>
  <c r="BW982" i="1"/>
  <c r="BV982" i="1"/>
  <c r="BU982" i="1"/>
  <c r="BT982" i="1"/>
  <c r="BS982" i="1"/>
  <c r="AH982" i="1"/>
  <c r="AG982" i="1"/>
  <c r="AF982" i="1"/>
  <c r="AE982" i="1"/>
  <c r="AD982" i="1"/>
  <c r="AC982" i="1"/>
  <c r="EA981" i="1"/>
  <c r="DZ981" i="1"/>
  <c r="DY981" i="1"/>
  <c r="DX981" i="1"/>
  <c r="DW981" i="1"/>
  <c r="DV981" i="1"/>
  <c r="DC981" i="1"/>
  <c r="CW981" i="1" s="1"/>
  <c r="DB981" i="1"/>
  <c r="CV981" i="1" s="1"/>
  <c r="DA981" i="1"/>
  <c r="CZ981" i="1"/>
  <c r="CY981" i="1"/>
  <c r="CS981" i="1" s="1"/>
  <c r="CX981" i="1"/>
  <c r="CR981" i="1" s="1"/>
  <c r="CU981" i="1"/>
  <c r="CT981" i="1"/>
  <c r="CC981" i="1"/>
  <c r="CB981" i="1"/>
  <c r="BZ981" i="1"/>
  <c r="CA981" i="1" s="1"/>
  <c r="BY981" i="1"/>
  <c r="BX981" i="1"/>
  <c r="BW981" i="1"/>
  <c r="BV981" i="1"/>
  <c r="BU981" i="1"/>
  <c r="BT981" i="1"/>
  <c r="BS981" i="1"/>
  <c r="AH981" i="1"/>
  <c r="AG981" i="1"/>
  <c r="AF981" i="1"/>
  <c r="AE981" i="1"/>
  <c r="AD981" i="1"/>
  <c r="AC981" i="1"/>
  <c r="EA980" i="1"/>
  <c r="DZ980" i="1"/>
  <c r="DY980" i="1"/>
  <c r="DX980" i="1"/>
  <c r="DW980" i="1"/>
  <c r="DV980" i="1"/>
  <c r="DC980" i="1"/>
  <c r="DB980" i="1"/>
  <c r="CV980" i="1" s="1"/>
  <c r="DA980" i="1"/>
  <c r="CU980" i="1" s="1"/>
  <c r="CZ980" i="1"/>
  <c r="CY980" i="1"/>
  <c r="CX980" i="1"/>
  <c r="CR980" i="1" s="1"/>
  <c r="CW980" i="1"/>
  <c r="CT980" i="1"/>
  <c r="CS980" i="1"/>
  <c r="CA980" i="1"/>
  <c r="CB980" i="1" s="1"/>
  <c r="BZ980" i="1"/>
  <c r="BY980" i="1"/>
  <c r="BX980" i="1"/>
  <c r="BW980" i="1"/>
  <c r="BV980" i="1"/>
  <c r="BU980" i="1"/>
  <c r="BT980" i="1"/>
  <c r="BS980" i="1"/>
  <c r="AH980" i="1"/>
  <c r="AG980" i="1"/>
  <c r="AF980" i="1"/>
  <c r="AE980" i="1"/>
  <c r="AD980" i="1"/>
  <c r="AC980" i="1"/>
  <c r="EA979" i="1"/>
  <c r="DZ979" i="1"/>
  <c r="DY979" i="1"/>
  <c r="DX979" i="1"/>
  <c r="DW979" i="1"/>
  <c r="DV979" i="1"/>
  <c r="DC979" i="1"/>
  <c r="DB979" i="1"/>
  <c r="DA979" i="1"/>
  <c r="CU979" i="1" s="1"/>
  <c r="CZ979" i="1"/>
  <c r="CT979" i="1" s="1"/>
  <c r="CY979" i="1"/>
  <c r="CX979" i="1"/>
  <c r="CW979" i="1"/>
  <c r="CV979" i="1"/>
  <c r="CS979" i="1"/>
  <c r="CR979" i="1"/>
  <c r="BZ979" i="1"/>
  <c r="CA979" i="1" s="1"/>
  <c r="CB979" i="1" s="1"/>
  <c r="BY979" i="1"/>
  <c r="BX979" i="1"/>
  <c r="BW979" i="1"/>
  <c r="BV979" i="1"/>
  <c r="BU979" i="1"/>
  <c r="CC979" i="1" s="1"/>
  <c r="BT979" i="1"/>
  <c r="BS979" i="1"/>
  <c r="AH979" i="1"/>
  <c r="AG979" i="1"/>
  <c r="AF979" i="1"/>
  <c r="AE979" i="1"/>
  <c r="AD979" i="1"/>
  <c r="AC979" i="1"/>
  <c r="EA978" i="1"/>
  <c r="DZ978" i="1"/>
  <c r="DY978" i="1"/>
  <c r="DX978" i="1"/>
  <c r="DW978" i="1"/>
  <c r="DV978" i="1"/>
  <c r="DC978" i="1"/>
  <c r="CW978" i="1" s="1"/>
  <c r="DB978" i="1"/>
  <c r="DA978" i="1"/>
  <c r="CZ978" i="1"/>
  <c r="CT978" i="1" s="1"/>
  <c r="CY978" i="1"/>
  <c r="CS978" i="1" s="1"/>
  <c r="CX978" i="1"/>
  <c r="CV978" i="1"/>
  <c r="CU978" i="1"/>
  <c r="CR978" i="1"/>
  <c r="CC978" i="1"/>
  <c r="BZ978" i="1"/>
  <c r="CA978" i="1" s="1"/>
  <c r="BY978" i="1"/>
  <c r="BX978" i="1"/>
  <c r="BW978" i="1"/>
  <c r="BV978" i="1"/>
  <c r="BU978" i="1"/>
  <c r="CB978" i="1" s="1"/>
  <c r="BT978" i="1"/>
  <c r="BS978" i="1"/>
  <c r="AH978" i="1"/>
  <c r="AG978" i="1"/>
  <c r="AF978" i="1"/>
  <c r="AE978" i="1"/>
  <c r="AD978" i="1"/>
  <c r="AC978" i="1"/>
  <c r="EA977" i="1"/>
  <c r="DZ977" i="1"/>
  <c r="DY977" i="1"/>
  <c r="DX977" i="1"/>
  <c r="DW977" i="1"/>
  <c r="DV977" i="1"/>
  <c r="DC977" i="1"/>
  <c r="CW977" i="1" s="1"/>
  <c r="DB977" i="1"/>
  <c r="CV977" i="1" s="1"/>
  <c r="DA977" i="1"/>
  <c r="CZ977" i="1"/>
  <c r="CY977" i="1"/>
  <c r="CS977" i="1" s="1"/>
  <c r="CX977" i="1"/>
  <c r="CR977" i="1" s="1"/>
  <c r="CU977" i="1"/>
  <c r="CT977" i="1"/>
  <c r="BZ977" i="1"/>
  <c r="CA977" i="1" s="1"/>
  <c r="BY977" i="1"/>
  <c r="BX977" i="1"/>
  <c r="BW977" i="1"/>
  <c r="BV977" i="1"/>
  <c r="BU977" i="1"/>
  <c r="BT977" i="1"/>
  <c r="BS977" i="1"/>
  <c r="AH977" i="1"/>
  <c r="AG977" i="1"/>
  <c r="AF977" i="1"/>
  <c r="AE977" i="1"/>
  <c r="AD977" i="1"/>
  <c r="AC977" i="1"/>
  <c r="EA976" i="1"/>
  <c r="DZ976" i="1"/>
  <c r="DY976" i="1"/>
  <c r="DX976" i="1"/>
  <c r="DW976" i="1"/>
  <c r="DV976" i="1"/>
  <c r="DC976" i="1"/>
  <c r="DB976" i="1"/>
  <c r="CV976" i="1" s="1"/>
  <c r="DA976" i="1"/>
  <c r="CU976" i="1" s="1"/>
  <c r="CZ976" i="1"/>
  <c r="CY976" i="1"/>
  <c r="CX976" i="1"/>
  <c r="CR976" i="1" s="1"/>
  <c r="CW976" i="1"/>
  <c r="CT976" i="1"/>
  <c r="CS976" i="1"/>
  <c r="CB976" i="1"/>
  <c r="CA976" i="1"/>
  <c r="BZ976" i="1"/>
  <c r="BY976" i="1"/>
  <c r="BX976" i="1"/>
  <c r="BW976" i="1"/>
  <c r="BV976" i="1"/>
  <c r="BU976" i="1"/>
  <c r="CC976" i="1" s="1"/>
  <c r="BT976" i="1"/>
  <c r="BS976" i="1"/>
  <c r="AH976" i="1"/>
  <c r="AG976" i="1"/>
  <c r="AF976" i="1"/>
  <c r="AE976" i="1"/>
  <c r="AD976" i="1"/>
  <c r="AC976" i="1"/>
  <c r="EA975" i="1"/>
  <c r="DZ975" i="1"/>
  <c r="DY975" i="1"/>
  <c r="DX975" i="1"/>
  <c r="DW975" i="1"/>
  <c r="DV975" i="1"/>
  <c r="DC975" i="1"/>
  <c r="DB975" i="1"/>
  <c r="DA975" i="1"/>
  <c r="CU975" i="1" s="1"/>
  <c r="CZ975" i="1"/>
  <c r="CT975" i="1" s="1"/>
  <c r="CY975" i="1"/>
  <c r="CX975" i="1"/>
  <c r="CW975" i="1"/>
  <c r="CV975" i="1"/>
  <c r="CS975" i="1"/>
  <c r="CR975" i="1"/>
  <c r="CA975" i="1"/>
  <c r="BZ975" i="1"/>
  <c r="BY975" i="1"/>
  <c r="BX975" i="1"/>
  <c r="BW975" i="1"/>
  <c r="BV975" i="1"/>
  <c r="BU975" i="1"/>
  <c r="BT975" i="1"/>
  <c r="BS975" i="1"/>
  <c r="AH975" i="1"/>
  <c r="AG975" i="1"/>
  <c r="AF975" i="1"/>
  <c r="AE975" i="1"/>
  <c r="AD975" i="1"/>
  <c r="AC975" i="1"/>
  <c r="EA974" i="1"/>
  <c r="DZ974" i="1"/>
  <c r="DY974" i="1"/>
  <c r="DX974" i="1"/>
  <c r="DW974" i="1"/>
  <c r="DV974" i="1"/>
  <c r="DC974" i="1"/>
  <c r="CW974" i="1" s="1"/>
  <c r="DB974" i="1"/>
  <c r="DA974" i="1"/>
  <c r="CZ974" i="1"/>
  <c r="CT974" i="1" s="1"/>
  <c r="CY974" i="1"/>
  <c r="CS974" i="1" s="1"/>
  <c r="CX974" i="1"/>
  <c r="CV974" i="1"/>
  <c r="CU974" i="1"/>
  <c r="CR974" i="1"/>
  <c r="BZ974" i="1"/>
  <c r="CA974" i="1" s="1"/>
  <c r="BY974" i="1"/>
  <c r="BX974" i="1"/>
  <c r="BW974" i="1"/>
  <c r="BV974" i="1"/>
  <c r="BU974" i="1"/>
  <c r="BT974" i="1"/>
  <c r="BS974" i="1"/>
  <c r="AH974" i="1"/>
  <c r="AG974" i="1"/>
  <c r="AF974" i="1"/>
  <c r="AE974" i="1"/>
  <c r="AD974" i="1"/>
  <c r="AC974" i="1"/>
  <c r="EA973" i="1"/>
  <c r="DZ973" i="1"/>
  <c r="DY973" i="1"/>
  <c r="DX973" i="1"/>
  <c r="DW973" i="1"/>
  <c r="DV973" i="1"/>
  <c r="DC973" i="1"/>
  <c r="CW973" i="1" s="1"/>
  <c r="DB973" i="1"/>
  <c r="CV973" i="1" s="1"/>
  <c r="DA973" i="1"/>
  <c r="CZ973" i="1"/>
  <c r="CY973" i="1"/>
  <c r="CS973" i="1" s="1"/>
  <c r="CX973" i="1"/>
  <c r="CR973" i="1" s="1"/>
  <c r="CU973" i="1"/>
  <c r="CT973" i="1"/>
  <c r="CC973" i="1"/>
  <c r="CB973" i="1"/>
  <c r="BZ973" i="1"/>
  <c r="CA973" i="1" s="1"/>
  <c r="BY973" i="1"/>
  <c r="BX973" i="1"/>
  <c r="BW973" i="1"/>
  <c r="BV973" i="1"/>
  <c r="BU973" i="1"/>
  <c r="BT973" i="1"/>
  <c r="BS973" i="1"/>
  <c r="AH973" i="1"/>
  <c r="AG973" i="1"/>
  <c r="AF973" i="1"/>
  <c r="AE973" i="1"/>
  <c r="AD973" i="1"/>
  <c r="AC973" i="1"/>
  <c r="EA972" i="1"/>
  <c r="DZ972" i="1"/>
  <c r="DY972" i="1"/>
  <c r="DX972" i="1"/>
  <c r="DW972" i="1"/>
  <c r="DV972" i="1"/>
  <c r="DC972" i="1"/>
  <c r="DB972" i="1"/>
  <c r="CV972" i="1" s="1"/>
  <c r="DA972" i="1"/>
  <c r="CU972" i="1" s="1"/>
  <c r="CZ972" i="1"/>
  <c r="CY972" i="1"/>
  <c r="CX972" i="1"/>
  <c r="CR972" i="1" s="1"/>
  <c r="CW972" i="1"/>
  <c r="CT972" i="1"/>
  <c r="CS972" i="1"/>
  <c r="CA972" i="1"/>
  <c r="CB972" i="1" s="1"/>
  <c r="BZ972" i="1"/>
  <c r="BY972" i="1"/>
  <c r="BX972" i="1"/>
  <c r="BW972" i="1"/>
  <c r="BV972" i="1"/>
  <c r="BU972" i="1"/>
  <c r="BT972" i="1"/>
  <c r="BS972" i="1"/>
  <c r="AH972" i="1"/>
  <c r="AG972" i="1"/>
  <c r="AF972" i="1"/>
  <c r="AE972" i="1"/>
  <c r="AD972" i="1"/>
  <c r="AC972" i="1"/>
  <c r="EA971" i="1"/>
  <c r="DZ971" i="1"/>
  <c r="DY971" i="1"/>
  <c r="DX971" i="1"/>
  <c r="DW971" i="1"/>
  <c r="DV971" i="1"/>
  <c r="DC971" i="1"/>
  <c r="DB971" i="1"/>
  <c r="DA971" i="1"/>
  <c r="CU971" i="1" s="1"/>
  <c r="CZ971" i="1"/>
  <c r="CT971" i="1" s="1"/>
  <c r="CY971" i="1"/>
  <c r="CX971" i="1"/>
  <c r="CW971" i="1"/>
  <c r="CV971" i="1"/>
  <c r="CS971" i="1"/>
  <c r="CR971" i="1"/>
  <c r="BZ971" i="1"/>
  <c r="CA971" i="1" s="1"/>
  <c r="CB971" i="1" s="1"/>
  <c r="BY971" i="1"/>
  <c r="BX971" i="1"/>
  <c r="BW971" i="1"/>
  <c r="BV971" i="1"/>
  <c r="BU971" i="1"/>
  <c r="CC971" i="1" s="1"/>
  <c r="BT971" i="1"/>
  <c r="BS971" i="1"/>
  <c r="AH971" i="1"/>
  <c r="AG971" i="1"/>
  <c r="AF971" i="1"/>
  <c r="AE971" i="1"/>
  <c r="AD971" i="1"/>
  <c r="AC971" i="1"/>
  <c r="EA970" i="1"/>
  <c r="DZ970" i="1"/>
  <c r="DY970" i="1"/>
  <c r="DX970" i="1"/>
  <c r="DW970" i="1"/>
  <c r="DV970" i="1"/>
  <c r="DC970" i="1"/>
  <c r="CW970" i="1" s="1"/>
  <c r="DB970" i="1"/>
  <c r="DA970" i="1"/>
  <c r="CZ970" i="1"/>
  <c r="CT970" i="1" s="1"/>
  <c r="CY970" i="1"/>
  <c r="CS970" i="1" s="1"/>
  <c r="CX970" i="1"/>
  <c r="CV970" i="1"/>
  <c r="CU970" i="1"/>
  <c r="CR970" i="1"/>
  <c r="CC970" i="1"/>
  <c r="BZ970" i="1"/>
  <c r="CA970" i="1" s="1"/>
  <c r="BY970" i="1"/>
  <c r="BX970" i="1"/>
  <c r="BW970" i="1"/>
  <c r="BV970" i="1"/>
  <c r="BU970" i="1"/>
  <c r="CB970" i="1" s="1"/>
  <c r="BT970" i="1"/>
  <c r="BS970" i="1"/>
  <c r="AH970" i="1"/>
  <c r="AG970" i="1"/>
  <c r="AF970" i="1"/>
  <c r="AE970" i="1"/>
  <c r="AD970" i="1"/>
  <c r="AC970" i="1"/>
  <c r="EA969" i="1"/>
  <c r="DZ969" i="1"/>
  <c r="DY969" i="1"/>
  <c r="DX969" i="1"/>
  <c r="DW969" i="1"/>
  <c r="DV969" i="1"/>
  <c r="DC969" i="1"/>
  <c r="CW969" i="1" s="1"/>
  <c r="DB969" i="1"/>
  <c r="CV969" i="1" s="1"/>
  <c r="DA969" i="1"/>
  <c r="CZ969" i="1"/>
  <c r="CY969" i="1"/>
  <c r="CS969" i="1" s="1"/>
  <c r="CX969" i="1"/>
  <c r="CR969" i="1" s="1"/>
  <c r="CU969" i="1"/>
  <c r="CT969" i="1"/>
  <c r="BZ969" i="1"/>
  <c r="CA969" i="1" s="1"/>
  <c r="BY969" i="1"/>
  <c r="BX969" i="1"/>
  <c r="BW969" i="1"/>
  <c r="BV969" i="1"/>
  <c r="BU969" i="1"/>
  <c r="BT969" i="1"/>
  <c r="BS969" i="1"/>
  <c r="AH969" i="1"/>
  <c r="AG969" i="1"/>
  <c r="AF969" i="1"/>
  <c r="AE969" i="1"/>
  <c r="AD969" i="1"/>
  <c r="AC969" i="1"/>
  <c r="EA968" i="1"/>
  <c r="DZ968" i="1"/>
  <c r="DY968" i="1"/>
  <c r="DX968" i="1"/>
  <c r="DW968" i="1"/>
  <c r="DV968" i="1"/>
  <c r="DC968" i="1"/>
  <c r="DB968" i="1"/>
  <c r="CV968" i="1" s="1"/>
  <c r="DA968" i="1"/>
  <c r="CU968" i="1" s="1"/>
  <c r="CZ968" i="1"/>
  <c r="CY968" i="1"/>
  <c r="CX968" i="1"/>
  <c r="CR968" i="1" s="1"/>
  <c r="CW968" i="1"/>
  <c r="CT968" i="1"/>
  <c r="CS968" i="1"/>
  <c r="CB968" i="1"/>
  <c r="CA968" i="1"/>
  <c r="BZ968" i="1"/>
  <c r="BY968" i="1"/>
  <c r="BX968" i="1"/>
  <c r="BW968" i="1"/>
  <c r="BV968" i="1"/>
  <c r="BU968" i="1"/>
  <c r="CC968" i="1" s="1"/>
  <c r="BT968" i="1"/>
  <c r="BS968" i="1"/>
  <c r="AH968" i="1"/>
  <c r="AG968" i="1"/>
  <c r="AF968" i="1"/>
  <c r="AE968" i="1"/>
  <c r="AD968" i="1"/>
  <c r="AC968" i="1"/>
  <c r="EA967" i="1"/>
  <c r="DZ967" i="1"/>
  <c r="DY967" i="1"/>
  <c r="DX967" i="1"/>
  <c r="DW967" i="1"/>
  <c r="DV967" i="1"/>
  <c r="DC967" i="1"/>
  <c r="DB967" i="1"/>
  <c r="DA967" i="1"/>
  <c r="CU967" i="1" s="1"/>
  <c r="CZ967" i="1"/>
  <c r="CT967" i="1" s="1"/>
  <c r="CY967" i="1"/>
  <c r="CX967" i="1"/>
  <c r="CW967" i="1"/>
  <c r="CV967" i="1"/>
  <c r="CS967" i="1"/>
  <c r="CR967" i="1"/>
  <c r="CA967" i="1"/>
  <c r="BZ967" i="1"/>
  <c r="BY967" i="1"/>
  <c r="BX967" i="1"/>
  <c r="BW967" i="1"/>
  <c r="BV967" i="1"/>
  <c r="BU967" i="1"/>
  <c r="BT967" i="1"/>
  <c r="BS967" i="1"/>
  <c r="AH967" i="1"/>
  <c r="AG967" i="1"/>
  <c r="AF967" i="1"/>
  <c r="AE967" i="1"/>
  <c r="AD967" i="1"/>
  <c r="AC967" i="1"/>
  <c r="EA966" i="1"/>
  <c r="DZ966" i="1"/>
  <c r="DY966" i="1"/>
  <c r="DX966" i="1"/>
  <c r="DW966" i="1"/>
  <c r="DV966" i="1"/>
  <c r="DC966" i="1"/>
  <c r="CW966" i="1" s="1"/>
  <c r="DB966" i="1"/>
  <c r="DA966" i="1"/>
  <c r="CZ966" i="1"/>
  <c r="CT966" i="1" s="1"/>
  <c r="CY966" i="1"/>
  <c r="CS966" i="1" s="1"/>
  <c r="CX966" i="1"/>
  <c r="CV966" i="1"/>
  <c r="CU966" i="1"/>
  <c r="CR966" i="1"/>
  <c r="BZ966" i="1"/>
  <c r="CA966" i="1" s="1"/>
  <c r="BY966" i="1"/>
  <c r="BX966" i="1"/>
  <c r="BW966" i="1"/>
  <c r="BV966" i="1"/>
  <c r="BU966" i="1"/>
  <c r="BT966" i="1"/>
  <c r="BS966" i="1"/>
  <c r="AH966" i="1"/>
  <c r="AG966" i="1"/>
  <c r="AF966" i="1"/>
  <c r="AE966" i="1"/>
  <c r="AD966" i="1"/>
  <c r="AC966" i="1"/>
  <c r="EA965" i="1"/>
  <c r="DZ965" i="1"/>
  <c r="DY965" i="1"/>
  <c r="DX965" i="1"/>
  <c r="DW965" i="1"/>
  <c r="DV965" i="1"/>
  <c r="DC965" i="1"/>
  <c r="CW965" i="1" s="1"/>
  <c r="DB965" i="1"/>
  <c r="CV965" i="1" s="1"/>
  <c r="DA965" i="1"/>
  <c r="CZ965" i="1"/>
  <c r="CY965" i="1"/>
  <c r="CS965" i="1" s="1"/>
  <c r="CX965" i="1"/>
  <c r="CR965" i="1" s="1"/>
  <c r="CU965" i="1"/>
  <c r="CT965" i="1"/>
  <c r="CC965" i="1"/>
  <c r="CB965" i="1"/>
  <c r="BZ965" i="1"/>
  <c r="CA965" i="1" s="1"/>
  <c r="BY965" i="1"/>
  <c r="BX965" i="1"/>
  <c r="BW965" i="1"/>
  <c r="BV965" i="1"/>
  <c r="BU965" i="1"/>
  <c r="BT965" i="1"/>
  <c r="BS965" i="1"/>
  <c r="AH965" i="1"/>
  <c r="AG965" i="1"/>
  <c r="AF965" i="1"/>
  <c r="AE965" i="1"/>
  <c r="AD965" i="1"/>
  <c r="AC965" i="1"/>
  <c r="EA964" i="1"/>
  <c r="DZ964" i="1"/>
  <c r="DY964" i="1"/>
  <c r="DX964" i="1"/>
  <c r="DW964" i="1"/>
  <c r="DV964" i="1"/>
  <c r="DC964" i="1"/>
  <c r="DB964" i="1"/>
  <c r="CV964" i="1" s="1"/>
  <c r="DA964" i="1"/>
  <c r="CU964" i="1" s="1"/>
  <c r="CZ964" i="1"/>
  <c r="CY964" i="1"/>
  <c r="CX964" i="1"/>
  <c r="CR964" i="1" s="1"/>
  <c r="CW964" i="1"/>
  <c r="CT964" i="1"/>
  <c r="CS964" i="1"/>
  <c r="CA964" i="1"/>
  <c r="CB964" i="1" s="1"/>
  <c r="BZ964" i="1"/>
  <c r="BY964" i="1"/>
  <c r="BX964" i="1"/>
  <c r="BW964" i="1"/>
  <c r="BV964" i="1"/>
  <c r="BU964" i="1"/>
  <c r="BT964" i="1"/>
  <c r="BS964" i="1"/>
  <c r="AH964" i="1"/>
  <c r="AG964" i="1"/>
  <c r="AF964" i="1"/>
  <c r="AE964" i="1"/>
  <c r="AD964" i="1"/>
  <c r="AC964" i="1"/>
  <c r="EA963" i="1"/>
  <c r="DZ963" i="1"/>
  <c r="DY963" i="1"/>
  <c r="DX963" i="1"/>
  <c r="DW963" i="1"/>
  <c r="DV963" i="1"/>
  <c r="DC963" i="1"/>
  <c r="DB963" i="1"/>
  <c r="DA963" i="1"/>
  <c r="CU963" i="1" s="1"/>
  <c r="CZ963" i="1"/>
  <c r="CT963" i="1" s="1"/>
  <c r="CY963" i="1"/>
  <c r="CX963" i="1"/>
  <c r="CW963" i="1"/>
  <c r="CV963" i="1"/>
  <c r="CS963" i="1"/>
  <c r="CR963" i="1"/>
  <c r="BZ963" i="1"/>
  <c r="CA963" i="1" s="1"/>
  <c r="CB963" i="1" s="1"/>
  <c r="BY963" i="1"/>
  <c r="BX963" i="1"/>
  <c r="BW963" i="1"/>
  <c r="BV963" i="1"/>
  <c r="BU963" i="1"/>
  <c r="CC963" i="1" s="1"/>
  <c r="BT963" i="1"/>
  <c r="BS963" i="1"/>
  <c r="AH963" i="1"/>
  <c r="AG963" i="1"/>
  <c r="AF963" i="1"/>
  <c r="AE963" i="1"/>
  <c r="AD963" i="1"/>
  <c r="AC963" i="1"/>
  <c r="EA962" i="1"/>
  <c r="DZ962" i="1"/>
  <c r="DY962" i="1"/>
  <c r="DX962" i="1"/>
  <c r="DW962" i="1"/>
  <c r="DV962" i="1"/>
  <c r="DC962" i="1"/>
  <c r="CW962" i="1" s="1"/>
  <c r="DB962" i="1"/>
  <c r="DA962" i="1"/>
  <c r="CZ962" i="1"/>
  <c r="CT962" i="1" s="1"/>
  <c r="CY962" i="1"/>
  <c r="CS962" i="1" s="1"/>
  <c r="CX962" i="1"/>
  <c r="CV962" i="1"/>
  <c r="CU962" i="1"/>
  <c r="CR962" i="1"/>
  <c r="CC962" i="1"/>
  <c r="BZ962" i="1"/>
  <c r="CA962" i="1" s="1"/>
  <c r="BY962" i="1"/>
  <c r="BX962" i="1"/>
  <c r="BW962" i="1"/>
  <c r="BV962" i="1"/>
  <c r="BU962" i="1"/>
  <c r="CB962" i="1" s="1"/>
  <c r="BT962" i="1"/>
  <c r="BS962" i="1"/>
  <c r="AH962" i="1"/>
  <c r="AG962" i="1"/>
  <c r="AF962" i="1"/>
  <c r="AE962" i="1"/>
  <c r="AD962" i="1"/>
  <c r="AC962" i="1"/>
  <c r="EA961" i="1"/>
  <c r="DZ961" i="1"/>
  <c r="DY961" i="1"/>
  <c r="DX961" i="1"/>
  <c r="DW961" i="1"/>
  <c r="DV961" i="1"/>
  <c r="DC961" i="1"/>
  <c r="CW961" i="1" s="1"/>
  <c r="DB961" i="1"/>
  <c r="CV961" i="1" s="1"/>
  <c r="DA961" i="1"/>
  <c r="CZ961" i="1"/>
  <c r="CY961" i="1"/>
  <c r="CS961" i="1" s="1"/>
  <c r="CX961" i="1"/>
  <c r="CR961" i="1" s="1"/>
  <c r="CU961" i="1"/>
  <c r="CT961" i="1"/>
  <c r="BZ961" i="1"/>
  <c r="CA961" i="1" s="1"/>
  <c r="BY961" i="1"/>
  <c r="BX961" i="1"/>
  <c r="BW961" i="1"/>
  <c r="BV961" i="1"/>
  <c r="BU961" i="1"/>
  <c r="BT961" i="1"/>
  <c r="BS961" i="1"/>
  <c r="AH961" i="1"/>
  <c r="AG961" i="1"/>
  <c r="AF961" i="1"/>
  <c r="AE961" i="1"/>
  <c r="AD961" i="1"/>
  <c r="AC961" i="1"/>
  <c r="EA960" i="1"/>
  <c r="DZ960" i="1"/>
  <c r="DY960" i="1"/>
  <c r="DX960" i="1"/>
  <c r="DW960" i="1"/>
  <c r="DV960" i="1"/>
  <c r="DC960" i="1"/>
  <c r="DB960" i="1"/>
  <c r="CV960" i="1" s="1"/>
  <c r="DA960" i="1"/>
  <c r="CU960" i="1" s="1"/>
  <c r="CZ960" i="1"/>
  <c r="CY960" i="1"/>
  <c r="CX960" i="1"/>
  <c r="CR960" i="1" s="1"/>
  <c r="CW960" i="1"/>
  <c r="CT960" i="1"/>
  <c r="CS960" i="1"/>
  <c r="CB960" i="1"/>
  <c r="CA960" i="1"/>
  <c r="BZ960" i="1"/>
  <c r="BY960" i="1"/>
  <c r="BX960" i="1"/>
  <c r="BW960" i="1"/>
  <c r="BV960" i="1"/>
  <c r="BU960" i="1"/>
  <c r="CC960" i="1" s="1"/>
  <c r="BT960" i="1"/>
  <c r="BS960" i="1"/>
  <c r="AH960" i="1"/>
  <c r="AG960" i="1"/>
  <c r="AF960" i="1"/>
  <c r="AE960" i="1"/>
  <c r="AD960" i="1"/>
  <c r="AC960" i="1"/>
  <c r="EA959" i="1"/>
  <c r="DZ959" i="1"/>
  <c r="DY959" i="1"/>
  <c r="DX959" i="1"/>
  <c r="DW959" i="1"/>
  <c r="DV959" i="1"/>
  <c r="DC959" i="1"/>
  <c r="DB959" i="1"/>
  <c r="CV959" i="1" s="1"/>
  <c r="DA959" i="1"/>
  <c r="CU959" i="1" s="1"/>
  <c r="CZ959" i="1"/>
  <c r="CY959" i="1"/>
  <c r="CX959" i="1"/>
  <c r="CW959" i="1"/>
  <c r="CT959" i="1"/>
  <c r="CS959" i="1"/>
  <c r="CR959" i="1"/>
  <c r="BZ959" i="1"/>
  <c r="CA959" i="1" s="1"/>
  <c r="CB959" i="1" s="1"/>
  <c r="BY959" i="1"/>
  <c r="BX959" i="1"/>
  <c r="BW959" i="1"/>
  <c r="BV959" i="1"/>
  <c r="BU959" i="1"/>
  <c r="BT959" i="1"/>
  <c r="BS959" i="1"/>
  <c r="AH959" i="1"/>
  <c r="AG959" i="1"/>
  <c r="AF959" i="1"/>
  <c r="AE959" i="1"/>
  <c r="AD959" i="1"/>
  <c r="AC959" i="1"/>
  <c r="EA958" i="1"/>
  <c r="DZ958" i="1"/>
  <c r="DY958" i="1"/>
  <c r="DX958" i="1"/>
  <c r="DW958" i="1"/>
  <c r="DV958" i="1"/>
  <c r="DC958" i="1"/>
  <c r="CW958" i="1" s="1"/>
  <c r="DB958" i="1"/>
  <c r="DA958" i="1"/>
  <c r="CZ958" i="1"/>
  <c r="CT958" i="1" s="1"/>
  <c r="CY958" i="1"/>
  <c r="CX958" i="1"/>
  <c r="CV958" i="1"/>
  <c r="CU958" i="1"/>
  <c r="CS958" i="1"/>
  <c r="CR958" i="1"/>
  <c r="BZ958" i="1"/>
  <c r="CA958" i="1" s="1"/>
  <c r="CC958" i="1" s="1"/>
  <c r="BY958" i="1"/>
  <c r="BX958" i="1"/>
  <c r="BW958" i="1"/>
  <c r="BV958" i="1"/>
  <c r="BU958" i="1"/>
  <c r="BT958" i="1"/>
  <c r="BS958" i="1"/>
  <c r="AH958" i="1"/>
  <c r="AG958" i="1"/>
  <c r="AF958" i="1"/>
  <c r="AE958" i="1"/>
  <c r="AD958" i="1"/>
  <c r="AC958" i="1"/>
  <c r="EA957" i="1"/>
  <c r="DZ957" i="1"/>
  <c r="DY957" i="1"/>
  <c r="DX957" i="1"/>
  <c r="DW957" i="1"/>
  <c r="DV957" i="1"/>
  <c r="DC957" i="1"/>
  <c r="CW957" i="1" s="1"/>
  <c r="DB957" i="1"/>
  <c r="DA957" i="1"/>
  <c r="CZ957" i="1"/>
  <c r="CY957" i="1"/>
  <c r="CS957" i="1" s="1"/>
  <c r="CX957" i="1"/>
  <c r="CV957" i="1"/>
  <c r="CU957" i="1"/>
  <c r="CT957" i="1"/>
  <c r="CR957" i="1"/>
  <c r="BZ957" i="1"/>
  <c r="CA957" i="1" s="1"/>
  <c r="BY957" i="1"/>
  <c r="BX957" i="1"/>
  <c r="BW957" i="1"/>
  <c r="BV957" i="1"/>
  <c r="BU957" i="1"/>
  <c r="BT957" i="1"/>
  <c r="BS957" i="1"/>
  <c r="AH957" i="1"/>
  <c r="AG957" i="1"/>
  <c r="AF957" i="1"/>
  <c r="AE957" i="1"/>
  <c r="AD957" i="1"/>
  <c r="AC957" i="1"/>
  <c r="EA956" i="1"/>
  <c r="DZ956" i="1"/>
  <c r="DY956" i="1"/>
  <c r="DX956" i="1"/>
  <c r="DW956" i="1"/>
  <c r="DV956" i="1"/>
  <c r="DC956" i="1"/>
  <c r="CW956" i="1" s="1"/>
  <c r="DB956" i="1"/>
  <c r="CV956" i="1" s="1"/>
  <c r="DA956" i="1"/>
  <c r="CZ956" i="1"/>
  <c r="CY956" i="1"/>
  <c r="CS956" i="1" s="1"/>
  <c r="CX956" i="1"/>
  <c r="CR956" i="1" s="1"/>
  <c r="CU956" i="1"/>
  <c r="CT956" i="1"/>
  <c r="CA956" i="1"/>
  <c r="BZ956" i="1"/>
  <c r="BY956" i="1"/>
  <c r="BX956" i="1"/>
  <c r="BW956" i="1"/>
  <c r="BV956" i="1"/>
  <c r="BU956" i="1"/>
  <c r="BT956" i="1"/>
  <c r="BS956" i="1"/>
  <c r="AH956" i="1"/>
  <c r="AG956" i="1"/>
  <c r="AF956" i="1"/>
  <c r="AE956" i="1"/>
  <c r="AD956" i="1"/>
  <c r="AC956" i="1"/>
  <c r="EA955" i="1"/>
  <c r="DZ955" i="1"/>
  <c r="DY955" i="1"/>
  <c r="DX955" i="1"/>
  <c r="DW955" i="1"/>
  <c r="DV955" i="1"/>
  <c r="DC955" i="1"/>
  <c r="DB955" i="1"/>
  <c r="DA955" i="1"/>
  <c r="CU955" i="1" s="1"/>
  <c r="CZ955" i="1"/>
  <c r="CT955" i="1" s="1"/>
  <c r="CY955" i="1"/>
  <c r="CX955" i="1"/>
  <c r="CW955" i="1"/>
  <c r="CV955" i="1"/>
  <c r="CS955" i="1"/>
  <c r="CR955" i="1"/>
  <c r="BZ955" i="1"/>
  <c r="CA955" i="1" s="1"/>
  <c r="CB955" i="1" s="1"/>
  <c r="BY955" i="1"/>
  <c r="BX955" i="1"/>
  <c r="BW955" i="1"/>
  <c r="BV955" i="1"/>
  <c r="BU955" i="1"/>
  <c r="BT955" i="1"/>
  <c r="BS955" i="1"/>
  <c r="AH955" i="1"/>
  <c r="AG955" i="1"/>
  <c r="AF955" i="1"/>
  <c r="AE955" i="1"/>
  <c r="AD955" i="1"/>
  <c r="AC955" i="1"/>
  <c r="EA954" i="1"/>
  <c r="DZ954" i="1"/>
  <c r="DY954" i="1"/>
  <c r="DX954" i="1"/>
  <c r="DW954" i="1"/>
  <c r="DV954" i="1"/>
  <c r="DC954" i="1"/>
  <c r="DB954" i="1"/>
  <c r="CV954" i="1" s="1"/>
  <c r="DA954" i="1"/>
  <c r="CU954" i="1" s="1"/>
  <c r="CZ954" i="1"/>
  <c r="CY954" i="1"/>
  <c r="CX954" i="1"/>
  <c r="CR954" i="1" s="1"/>
  <c r="CW954" i="1"/>
  <c r="CT954" i="1"/>
  <c r="CS954" i="1"/>
  <c r="CA954" i="1"/>
  <c r="BZ954" i="1"/>
  <c r="BY954" i="1"/>
  <c r="BX954" i="1"/>
  <c r="BW954" i="1"/>
  <c r="BV954" i="1"/>
  <c r="BU954" i="1"/>
  <c r="CC954" i="1" s="1"/>
  <c r="BT954" i="1"/>
  <c r="BS954" i="1"/>
  <c r="AH954" i="1"/>
  <c r="AG954" i="1"/>
  <c r="AF954" i="1"/>
  <c r="AE954" i="1"/>
  <c r="AD954" i="1"/>
  <c r="AC954" i="1"/>
  <c r="EA953" i="1"/>
  <c r="DZ953" i="1"/>
  <c r="DY953" i="1"/>
  <c r="DX953" i="1"/>
  <c r="DW953" i="1"/>
  <c r="DV953" i="1"/>
  <c r="DC953" i="1"/>
  <c r="DB953" i="1"/>
  <c r="DA953" i="1"/>
  <c r="CU953" i="1" s="1"/>
  <c r="CZ953" i="1"/>
  <c r="CT953" i="1" s="1"/>
  <c r="CY953" i="1"/>
  <c r="CX953" i="1"/>
  <c r="CW953" i="1"/>
  <c r="CV953" i="1"/>
  <c r="CS953" i="1"/>
  <c r="CR953" i="1"/>
  <c r="BZ953" i="1"/>
  <c r="CA953" i="1" s="1"/>
  <c r="CB953" i="1" s="1"/>
  <c r="BY953" i="1"/>
  <c r="BX953" i="1"/>
  <c r="BW953" i="1"/>
  <c r="BV953" i="1"/>
  <c r="BU953" i="1"/>
  <c r="BT953" i="1"/>
  <c r="BS953" i="1"/>
  <c r="AH953" i="1"/>
  <c r="AG953" i="1"/>
  <c r="AF953" i="1"/>
  <c r="AE953" i="1"/>
  <c r="AD953" i="1"/>
  <c r="AC953" i="1"/>
  <c r="EA952" i="1"/>
  <c r="DZ952" i="1"/>
  <c r="DY952" i="1"/>
  <c r="DX952" i="1"/>
  <c r="DW952" i="1"/>
  <c r="DV952" i="1"/>
  <c r="DC952" i="1"/>
  <c r="CW952" i="1" s="1"/>
  <c r="DB952" i="1"/>
  <c r="DA952" i="1"/>
  <c r="CZ952" i="1"/>
  <c r="CT952" i="1" s="1"/>
  <c r="CY952" i="1"/>
  <c r="CS952" i="1" s="1"/>
  <c r="CX952" i="1"/>
  <c r="CV952" i="1"/>
  <c r="CU952" i="1"/>
  <c r="CR952" i="1"/>
  <c r="BZ952" i="1"/>
  <c r="CA952" i="1" s="1"/>
  <c r="BY952" i="1"/>
  <c r="BX952" i="1"/>
  <c r="BW952" i="1"/>
  <c r="BV952" i="1"/>
  <c r="BU952" i="1"/>
  <c r="CB952" i="1" s="1"/>
  <c r="BT952" i="1"/>
  <c r="BS952" i="1"/>
  <c r="AH952" i="1"/>
  <c r="AG952" i="1"/>
  <c r="AF952" i="1"/>
  <c r="AE952" i="1"/>
  <c r="AD952" i="1"/>
  <c r="AC952" i="1"/>
  <c r="EA951" i="1"/>
  <c r="DZ951" i="1"/>
  <c r="DY951" i="1"/>
  <c r="DX951" i="1"/>
  <c r="DW951" i="1"/>
  <c r="DV951" i="1"/>
  <c r="DC951" i="1"/>
  <c r="CW951" i="1" s="1"/>
  <c r="DB951" i="1"/>
  <c r="CV951" i="1" s="1"/>
  <c r="DA951" i="1"/>
  <c r="CZ951" i="1"/>
  <c r="CY951" i="1"/>
  <c r="CS951" i="1" s="1"/>
  <c r="CX951" i="1"/>
  <c r="CR951" i="1" s="1"/>
  <c r="CU951" i="1"/>
  <c r="CT951" i="1"/>
  <c r="BZ951" i="1"/>
  <c r="CA951" i="1" s="1"/>
  <c r="CB951" i="1" s="1"/>
  <c r="BY951" i="1"/>
  <c r="BX951" i="1"/>
  <c r="BW951" i="1"/>
  <c r="BV951" i="1"/>
  <c r="BU951" i="1"/>
  <c r="CC951" i="1" s="1"/>
  <c r="BT951" i="1"/>
  <c r="BS951" i="1"/>
  <c r="AH951" i="1"/>
  <c r="AG951" i="1"/>
  <c r="AF951" i="1"/>
  <c r="AE951" i="1"/>
  <c r="AD951" i="1"/>
  <c r="AC951" i="1"/>
  <c r="EA950" i="1"/>
  <c r="DZ950" i="1"/>
  <c r="DY950" i="1"/>
  <c r="DX950" i="1"/>
  <c r="DW950" i="1"/>
  <c r="DV950" i="1"/>
  <c r="DC950" i="1"/>
  <c r="DB950" i="1"/>
  <c r="CV950" i="1" s="1"/>
  <c r="DA950" i="1"/>
  <c r="CU950" i="1" s="1"/>
  <c r="CZ950" i="1"/>
  <c r="CY950" i="1"/>
  <c r="CX950" i="1"/>
  <c r="CR950" i="1" s="1"/>
  <c r="CW950" i="1"/>
  <c r="CT950" i="1"/>
  <c r="CS950" i="1"/>
  <c r="CA950" i="1"/>
  <c r="BZ950" i="1"/>
  <c r="BY950" i="1"/>
  <c r="BX950" i="1"/>
  <c r="BW950" i="1"/>
  <c r="BV950" i="1"/>
  <c r="BU950" i="1"/>
  <c r="BT950" i="1"/>
  <c r="BS950" i="1"/>
  <c r="AH950" i="1"/>
  <c r="AG950" i="1"/>
  <c r="AF950" i="1"/>
  <c r="AE950" i="1"/>
  <c r="AD950" i="1"/>
  <c r="AC950" i="1"/>
  <c r="EA949" i="1"/>
  <c r="DZ949" i="1"/>
  <c r="DY949" i="1"/>
  <c r="DX949" i="1"/>
  <c r="DW949" i="1"/>
  <c r="DV949" i="1"/>
  <c r="DC949" i="1"/>
  <c r="DB949" i="1"/>
  <c r="DA949" i="1"/>
  <c r="CU949" i="1" s="1"/>
  <c r="CZ949" i="1"/>
  <c r="CT949" i="1" s="1"/>
  <c r="CY949" i="1"/>
  <c r="CX949" i="1"/>
  <c r="CW949" i="1"/>
  <c r="CV949" i="1"/>
  <c r="CS949" i="1"/>
  <c r="CR949" i="1"/>
  <c r="BZ949" i="1"/>
  <c r="CA949" i="1" s="1"/>
  <c r="CB949" i="1" s="1"/>
  <c r="BY949" i="1"/>
  <c r="BX949" i="1"/>
  <c r="BW949" i="1"/>
  <c r="BV949" i="1"/>
  <c r="BU949" i="1"/>
  <c r="CC949" i="1" s="1"/>
  <c r="BT949" i="1"/>
  <c r="BS949" i="1"/>
  <c r="AH949" i="1"/>
  <c r="AG949" i="1"/>
  <c r="AF949" i="1"/>
  <c r="AE949" i="1"/>
  <c r="AD949" i="1"/>
  <c r="AC949" i="1"/>
  <c r="EA948" i="1"/>
  <c r="DZ948" i="1"/>
  <c r="DY948" i="1"/>
  <c r="DX948" i="1"/>
  <c r="DW948" i="1"/>
  <c r="DV948" i="1"/>
  <c r="DC948" i="1"/>
  <c r="CW948" i="1" s="1"/>
  <c r="DB948" i="1"/>
  <c r="DA948" i="1"/>
  <c r="CZ948" i="1"/>
  <c r="CT948" i="1" s="1"/>
  <c r="CY948" i="1"/>
  <c r="CS948" i="1" s="1"/>
  <c r="CX948" i="1"/>
  <c r="CV948" i="1"/>
  <c r="CU948" i="1"/>
  <c r="CR948" i="1"/>
  <c r="CC948" i="1"/>
  <c r="BZ948" i="1"/>
  <c r="CA948" i="1" s="1"/>
  <c r="BY948" i="1"/>
  <c r="BX948" i="1"/>
  <c r="BW948" i="1"/>
  <c r="BV948" i="1"/>
  <c r="BU948" i="1"/>
  <c r="CB948" i="1" s="1"/>
  <c r="BT948" i="1"/>
  <c r="BS948" i="1"/>
  <c r="AH948" i="1"/>
  <c r="AG948" i="1"/>
  <c r="AF948" i="1"/>
  <c r="AE948" i="1"/>
  <c r="AD948" i="1"/>
  <c r="AC948" i="1"/>
  <c r="EA947" i="1"/>
  <c r="DZ947" i="1"/>
  <c r="DY947" i="1"/>
  <c r="DX947" i="1"/>
  <c r="DW947" i="1"/>
  <c r="DV947" i="1"/>
  <c r="DC947" i="1"/>
  <c r="CW947" i="1" s="1"/>
  <c r="DB947" i="1"/>
  <c r="CV947" i="1" s="1"/>
  <c r="DA947" i="1"/>
  <c r="CZ947" i="1"/>
  <c r="CY947" i="1"/>
  <c r="CS947" i="1" s="1"/>
  <c r="CX947" i="1"/>
  <c r="CR947" i="1" s="1"/>
  <c r="CU947" i="1"/>
  <c r="CT947" i="1"/>
  <c r="BZ947" i="1"/>
  <c r="CA947" i="1" s="1"/>
  <c r="CB947" i="1" s="1"/>
  <c r="BY947" i="1"/>
  <c r="BX947" i="1"/>
  <c r="BW947" i="1"/>
  <c r="BV947" i="1"/>
  <c r="BU947" i="1"/>
  <c r="CC947" i="1" s="1"/>
  <c r="BT947" i="1"/>
  <c r="BS947" i="1"/>
  <c r="AH947" i="1"/>
  <c r="AG947" i="1"/>
  <c r="AF947" i="1"/>
  <c r="AE947" i="1"/>
  <c r="AD947" i="1"/>
  <c r="AC947" i="1"/>
  <c r="EA946" i="1"/>
  <c r="DZ946" i="1"/>
  <c r="DY946" i="1"/>
  <c r="DX946" i="1"/>
  <c r="DW946" i="1"/>
  <c r="DV946" i="1"/>
  <c r="DC946" i="1"/>
  <c r="DB946" i="1"/>
  <c r="CV946" i="1" s="1"/>
  <c r="DA946" i="1"/>
  <c r="CU946" i="1" s="1"/>
  <c r="CZ946" i="1"/>
  <c r="CY946" i="1"/>
  <c r="CX946" i="1"/>
  <c r="CR946" i="1" s="1"/>
  <c r="CW946" i="1"/>
  <c r="CT946" i="1"/>
  <c r="CS946" i="1"/>
  <c r="CA946" i="1"/>
  <c r="BZ946" i="1"/>
  <c r="BY946" i="1"/>
  <c r="BX946" i="1"/>
  <c r="BW946" i="1"/>
  <c r="BV946" i="1"/>
  <c r="BU946" i="1"/>
  <c r="BT946" i="1"/>
  <c r="BS946" i="1"/>
  <c r="AH946" i="1"/>
  <c r="AG946" i="1"/>
  <c r="AF946" i="1"/>
  <c r="AE946" i="1"/>
  <c r="AD946" i="1"/>
  <c r="AC946" i="1"/>
  <c r="EA945" i="1"/>
  <c r="DZ945" i="1"/>
  <c r="DY945" i="1"/>
  <c r="DX945" i="1"/>
  <c r="DW945" i="1"/>
  <c r="DV945" i="1"/>
  <c r="DC945" i="1"/>
  <c r="DB945" i="1"/>
  <c r="DA945" i="1"/>
  <c r="CU945" i="1" s="1"/>
  <c r="CZ945" i="1"/>
  <c r="CT945" i="1" s="1"/>
  <c r="CY945" i="1"/>
  <c r="CX945" i="1"/>
  <c r="CW945" i="1"/>
  <c r="CV945" i="1"/>
  <c r="CS945" i="1"/>
  <c r="CR945" i="1"/>
  <c r="BZ945" i="1"/>
  <c r="CA945" i="1" s="1"/>
  <c r="CB945" i="1" s="1"/>
  <c r="BY945" i="1"/>
  <c r="BX945" i="1"/>
  <c r="BW945" i="1"/>
  <c r="BV945" i="1"/>
  <c r="BU945" i="1"/>
  <c r="CC945" i="1" s="1"/>
  <c r="BT945" i="1"/>
  <c r="BS945" i="1"/>
  <c r="AH945" i="1"/>
  <c r="AG945" i="1"/>
  <c r="AF945" i="1"/>
  <c r="AE945" i="1"/>
  <c r="AD945" i="1"/>
  <c r="AC945" i="1"/>
  <c r="EA944" i="1"/>
  <c r="DZ944" i="1"/>
  <c r="DY944" i="1"/>
  <c r="DX944" i="1"/>
  <c r="DW944" i="1"/>
  <c r="DV944" i="1"/>
  <c r="DC944" i="1"/>
  <c r="CW944" i="1" s="1"/>
  <c r="DB944" i="1"/>
  <c r="DA944" i="1"/>
  <c r="CZ944" i="1"/>
  <c r="CT944" i="1" s="1"/>
  <c r="CY944" i="1"/>
  <c r="CS944" i="1" s="1"/>
  <c r="CX944" i="1"/>
  <c r="CV944" i="1"/>
  <c r="CU944" i="1"/>
  <c r="CR944" i="1"/>
  <c r="CC944" i="1"/>
  <c r="BZ944" i="1"/>
  <c r="CA944" i="1" s="1"/>
  <c r="BY944" i="1"/>
  <c r="BX944" i="1"/>
  <c r="BW944" i="1"/>
  <c r="BV944" i="1"/>
  <c r="BU944" i="1"/>
  <c r="CB944" i="1" s="1"/>
  <c r="BT944" i="1"/>
  <c r="BS944" i="1"/>
  <c r="AH944" i="1"/>
  <c r="AG944" i="1"/>
  <c r="AF944" i="1"/>
  <c r="AE944" i="1"/>
  <c r="AD944" i="1"/>
  <c r="AC944" i="1"/>
  <c r="EA943" i="1"/>
  <c r="DZ943" i="1"/>
  <c r="DY943" i="1"/>
  <c r="DX943" i="1"/>
  <c r="DW943" i="1"/>
  <c r="DV943" i="1"/>
  <c r="DC943" i="1"/>
  <c r="CW943" i="1" s="1"/>
  <c r="DB943" i="1"/>
  <c r="CV943" i="1" s="1"/>
  <c r="DA943" i="1"/>
  <c r="CZ943" i="1"/>
  <c r="CY943" i="1"/>
  <c r="CS943" i="1" s="1"/>
  <c r="CX943" i="1"/>
  <c r="CR943" i="1" s="1"/>
  <c r="CU943" i="1"/>
  <c r="CT943" i="1"/>
  <c r="BZ943" i="1"/>
  <c r="CA943" i="1" s="1"/>
  <c r="BY943" i="1"/>
  <c r="BX943" i="1"/>
  <c r="BW943" i="1"/>
  <c r="BV943" i="1"/>
  <c r="BU943" i="1"/>
  <c r="BT943" i="1"/>
  <c r="BS943" i="1"/>
  <c r="AH943" i="1"/>
  <c r="AG943" i="1"/>
  <c r="AF943" i="1"/>
  <c r="AE943" i="1"/>
  <c r="AD943" i="1"/>
  <c r="AC943" i="1"/>
  <c r="EA942" i="1"/>
  <c r="DZ942" i="1"/>
  <c r="DY942" i="1"/>
  <c r="DX942" i="1"/>
  <c r="DW942" i="1"/>
  <c r="DV942" i="1"/>
  <c r="DC942" i="1"/>
  <c r="DB942" i="1"/>
  <c r="CV942" i="1" s="1"/>
  <c r="DA942" i="1"/>
  <c r="CU942" i="1" s="1"/>
  <c r="CZ942" i="1"/>
  <c r="CY942" i="1"/>
  <c r="CX942" i="1"/>
  <c r="CR942" i="1" s="1"/>
  <c r="CW942" i="1"/>
  <c r="CT942" i="1"/>
  <c r="CS942" i="1"/>
  <c r="CB942" i="1"/>
  <c r="CA942" i="1"/>
  <c r="BZ942" i="1"/>
  <c r="BY942" i="1"/>
  <c r="BX942" i="1"/>
  <c r="BW942" i="1"/>
  <c r="BV942" i="1"/>
  <c r="BU942" i="1"/>
  <c r="CC942" i="1" s="1"/>
  <c r="BT942" i="1"/>
  <c r="BS942" i="1"/>
  <c r="AH942" i="1"/>
  <c r="AG942" i="1"/>
  <c r="AF942" i="1"/>
  <c r="AE942" i="1"/>
  <c r="AD942" i="1"/>
  <c r="AC942" i="1"/>
  <c r="EA941" i="1"/>
  <c r="DZ941" i="1"/>
  <c r="DY941" i="1"/>
  <c r="DX941" i="1"/>
  <c r="DW941" i="1"/>
  <c r="DV941" i="1"/>
  <c r="DC941" i="1"/>
  <c r="DB941" i="1"/>
  <c r="DA941" i="1"/>
  <c r="CU941" i="1" s="1"/>
  <c r="CZ941" i="1"/>
  <c r="CT941" i="1" s="1"/>
  <c r="CY941" i="1"/>
  <c r="CX941" i="1"/>
  <c r="CW941" i="1"/>
  <c r="CV941" i="1"/>
  <c r="CS941" i="1"/>
  <c r="CR941" i="1"/>
  <c r="CA941" i="1"/>
  <c r="BZ941" i="1"/>
  <c r="BY941" i="1"/>
  <c r="BX941" i="1"/>
  <c r="BW941" i="1"/>
  <c r="BV941" i="1"/>
  <c r="BU941" i="1"/>
  <c r="BT941" i="1"/>
  <c r="BS941" i="1"/>
  <c r="AH941" i="1"/>
  <c r="AG941" i="1"/>
  <c r="AF941" i="1"/>
  <c r="AE941" i="1"/>
  <c r="AD941" i="1"/>
  <c r="AC941" i="1"/>
  <c r="EA940" i="1"/>
  <c r="DZ940" i="1"/>
  <c r="DY940" i="1"/>
  <c r="DX940" i="1"/>
  <c r="DW940" i="1"/>
  <c r="DV940" i="1"/>
  <c r="DC940" i="1"/>
  <c r="CW940" i="1" s="1"/>
  <c r="DB940" i="1"/>
  <c r="DA940" i="1"/>
  <c r="CZ940" i="1"/>
  <c r="CT940" i="1" s="1"/>
  <c r="CY940" i="1"/>
  <c r="CS940" i="1" s="1"/>
  <c r="CX940" i="1"/>
  <c r="CV940" i="1"/>
  <c r="CU940" i="1"/>
  <c r="CR940" i="1"/>
  <c r="BZ940" i="1"/>
  <c r="CA940" i="1" s="1"/>
  <c r="BY940" i="1"/>
  <c r="BX940" i="1"/>
  <c r="BW940" i="1"/>
  <c r="BV940" i="1"/>
  <c r="BU940" i="1"/>
  <c r="BT940" i="1"/>
  <c r="BS940" i="1"/>
  <c r="AH940" i="1"/>
  <c r="AG940" i="1"/>
  <c r="AF940" i="1"/>
  <c r="AE940" i="1"/>
  <c r="AD940" i="1"/>
  <c r="AC940" i="1"/>
  <c r="EA939" i="1"/>
  <c r="DZ939" i="1"/>
  <c r="DY939" i="1"/>
  <c r="DX939" i="1"/>
  <c r="DW939" i="1"/>
  <c r="DV939" i="1"/>
  <c r="DC939" i="1"/>
  <c r="CW939" i="1" s="1"/>
  <c r="DB939" i="1"/>
  <c r="CV939" i="1" s="1"/>
  <c r="DA939" i="1"/>
  <c r="CZ939" i="1"/>
  <c r="CY939" i="1"/>
  <c r="CS939" i="1" s="1"/>
  <c r="CX939" i="1"/>
  <c r="CR939" i="1" s="1"/>
  <c r="CU939" i="1"/>
  <c r="CT939" i="1"/>
  <c r="CC939" i="1"/>
  <c r="CB939" i="1"/>
  <c r="BZ939" i="1"/>
  <c r="CA939" i="1" s="1"/>
  <c r="BY939" i="1"/>
  <c r="BX939" i="1"/>
  <c r="BW939" i="1"/>
  <c r="BV939" i="1"/>
  <c r="BU939" i="1"/>
  <c r="BT939" i="1"/>
  <c r="BS939" i="1"/>
  <c r="AH939" i="1"/>
  <c r="AG939" i="1"/>
  <c r="AF939" i="1"/>
  <c r="AE939" i="1"/>
  <c r="AD939" i="1"/>
  <c r="AC939" i="1"/>
  <c r="EA938" i="1"/>
  <c r="DZ938" i="1"/>
  <c r="DY938" i="1"/>
  <c r="DX938" i="1"/>
  <c r="DW938" i="1"/>
  <c r="DV938" i="1"/>
  <c r="DC938" i="1"/>
  <c r="DB938" i="1"/>
  <c r="CV938" i="1" s="1"/>
  <c r="DA938" i="1"/>
  <c r="CU938" i="1" s="1"/>
  <c r="CZ938" i="1"/>
  <c r="CY938" i="1"/>
  <c r="CX938" i="1"/>
  <c r="CR938" i="1" s="1"/>
  <c r="CW938" i="1"/>
  <c r="CT938" i="1"/>
  <c r="CS938" i="1"/>
  <c r="CA938" i="1"/>
  <c r="CB938" i="1" s="1"/>
  <c r="BZ938" i="1"/>
  <c r="BY938" i="1"/>
  <c r="BX938" i="1"/>
  <c r="BW938" i="1"/>
  <c r="BV938" i="1"/>
  <c r="BU938" i="1"/>
  <c r="BT938" i="1"/>
  <c r="BS938" i="1"/>
  <c r="AH938" i="1"/>
  <c r="AG938" i="1"/>
  <c r="AF938" i="1"/>
  <c r="AE938" i="1"/>
  <c r="AD938" i="1"/>
  <c r="AC938" i="1"/>
  <c r="EA937" i="1"/>
  <c r="DZ937" i="1"/>
  <c r="DY937" i="1"/>
  <c r="DX937" i="1"/>
  <c r="DW937" i="1"/>
  <c r="DV937" i="1"/>
  <c r="DC937" i="1"/>
  <c r="DB937" i="1"/>
  <c r="DA937" i="1"/>
  <c r="CU937" i="1" s="1"/>
  <c r="CZ937" i="1"/>
  <c r="CT937" i="1" s="1"/>
  <c r="CY937" i="1"/>
  <c r="CX937" i="1"/>
  <c r="CW937" i="1"/>
  <c r="CV937" i="1"/>
  <c r="CS937" i="1"/>
  <c r="CR937" i="1"/>
  <c r="BZ937" i="1"/>
  <c r="CA937" i="1" s="1"/>
  <c r="CB937" i="1" s="1"/>
  <c r="BY937" i="1"/>
  <c r="BX937" i="1"/>
  <c r="BW937" i="1"/>
  <c r="BV937" i="1"/>
  <c r="BU937" i="1"/>
  <c r="BT937" i="1"/>
  <c r="BS937" i="1"/>
  <c r="AH937" i="1"/>
  <c r="AG937" i="1"/>
  <c r="AF937" i="1"/>
  <c r="AE937" i="1"/>
  <c r="AD937" i="1"/>
  <c r="AC937" i="1"/>
  <c r="EA936" i="1"/>
  <c r="DZ936" i="1"/>
  <c r="DY936" i="1"/>
  <c r="DX936" i="1"/>
  <c r="DW936" i="1"/>
  <c r="DV936" i="1"/>
  <c r="DC936" i="1"/>
  <c r="CW936" i="1" s="1"/>
  <c r="DB936" i="1"/>
  <c r="DA936" i="1"/>
  <c r="CZ936" i="1"/>
  <c r="CT936" i="1" s="1"/>
  <c r="CY936" i="1"/>
  <c r="CS936" i="1" s="1"/>
  <c r="CX936" i="1"/>
  <c r="CV936" i="1"/>
  <c r="CU936" i="1"/>
  <c r="CR936" i="1"/>
  <c r="CC936" i="1"/>
  <c r="BZ936" i="1"/>
  <c r="CA936" i="1" s="1"/>
  <c r="BY936" i="1"/>
  <c r="BX936" i="1"/>
  <c r="BW936" i="1"/>
  <c r="BV936" i="1"/>
  <c r="BU936" i="1"/>
  <c r="CB936" i="1" s="1"/>
  <c r="BT936" i="1"/>
  <c r="BS936" i="1"/>
  <c r="AH936" i="1"/>
  <c r="AG936" i="1"/>
  <c r="AF936" i="1"/>
  <c r="AE936" i="1"/>
  <c r="AD936" i="1"/>
  <c r="AC936" i="1"/>
  <c r="EA935" i="1"/>
  <c r="DZ935" i="1"/>
  <c r="DY935" i="1"/>
  <c r="DX935" i="1"/>
  <c r="DW935" i="1"/>
  <c r="DV935" i="1"/>
  <c r="DC935" i="1"/>
  <c r="CW935" i="1" s="1"/>
  <c r="DB935" i="1"/>
  <c r="CV935" i="1" s="1"/>
  <c r="DA935" i="1"/>
  <c r="CZ935" i="1"/>
  <c r="CY935" i="1"/>
  <c r="CS935" i="1" s="1"/>
  <c r="CX935" i="1"/>
  <c r="CR935" i="1" s="1"/>
  <c r="CU935" i="1"/>
  <c r="CT935" i="1"/>
  <c r="BZ935" i="1"/>
  <c r="CA935" i="1" s="1"/>
  <c r="BY935" i="1"/>
  <c r="BX935" i="1"/>
  <c r="BW935" i="1"/>
  <c r="BV935" i="1"/>
  <c r="BU935" i="1"/>
  <c r="BT935" i="1"/>
  <c r="BS935" i="1"/>
  <c r="AH935" i="1"/>
  <c r="AG935" i="1"/>
  <c r="AF935" i="1"/>
  <c r="AE935" i="1"/>
  <c r="AD935" i="1"/>
  <c r="AC935" i="1"/>
  <c r="EA934" i="1"/>
  <c r="DZ934" i="1"/>
  <c r="DY934" i="1"/>
  <c r="DX934" i="1"/>
  <c r="DW934" i="1"/>
  <c r="DV934" i="1"/>
  <c r="DC934" i="1"/>
  <c r="DB934" i="1"/>
  <c r="CV934" i="1" s="1"/>
  <c r="DA934" i="1"/>
  <c r="CU934" i="1" s="1"/>
  <c r="CZ934" i="1"/>
  <c r="CY934" i="1"/>
  <c r="CX934" i="1"/>
  <c r="CR934" i="1" s="1"/>
  <c r="CW934" i="1"/>
  <c r="CT934" i="1"/>
  <c r="CS934" i="1"/>
  <c r="CB934" i="1"/>
  <c r="CA934" i="1"/>
  <c r="BZ934" i="1"/>
  <c r="BY934" i="1"/>
  <c r="BX934" i="1"/>
  <c r="BW934" i="1"/>
  <c r="BV934" i="1"/>
  <c r="BU934" i="1"/>
  <c r="CC934" i="1" s="1"/>
  <c r="BT934" i="1"/>
  <c r="BS934" i="1"/>
  <c r="AH934" i="1"/>
  <c r="AG934" i="1"/>
  <c r="AF934" i="1"/>
  <c r="AE934" i="1"/>
  <c r="AD934" i="1"/>
  <c r="AC934" i="1"/>
  <c r="EA933" i="1"/>
  <c r="DZ933" i="1"/>
  <c r="DY933" i="1"/>
  <c r="DX933" i="1"/>
  <c r="DW933" i="1"/>
  <c r="DV933" i="1"/>
  <c r="DC933" i="1"/>
  <c r="DB933" i="1"/>
  <c r="DA933" i="1"/>
  <c r="CU933" i="1" s="1"/>
  <c r="CZ933" i="1"/>
  <c r="CT933" i="1" s="1"/>
  <c r="CY933" i="1"/>
  <c r="CX933" i="1"/>
  <c r="CW933" i="1"/>
  <c r="CV933" i="1"/>
  <c r="CS933" i="1"/>
  <c r="CR933" i="1"/>
  <c r="CA933" i="1"/>
  <c r="BZ933" i="1"/>
  <c r="BY933" i="1"/>
  <c r="BX933" i="1"/>
  <c r="BW933" i="1"/>
  <c r="BV933" i="1"/>
  <c r="BU933" i="1"/>
  <c r="BT933" i="1"/>
  <c r="BS933" i="1"/>
  <c r="AH933" i="1"/>
  <c r="AG933" i="1"/>
  <c r="AF933" i="1"/>
  <c r="AE933" i="1"/>
  <c r="AD933" i="1"/>
  <c r="AC933" i="1"/>
  <c r="EA932" i="1"/>
  <c r="DZ932" i="1"/>
  <c r="DY932" i="1"/>
  <c r="DX932" i="1"/>
  <c r="DW932" i="1"/>
  <c r="DV932" i="1"/>
  <c r="DC932" i="1"/>
  <c r="CW932" i="1" s="1"/>
  <c r="DB932" i="1"/>
  <c r="DA932" i="1"/>
  <c r="CZ932" i="1"/>
  <c r="CT932" i="1" s="1"/>
  <c r="CY932" i="1"/>
  <c r="CS932" i="1" s="1"/>
  <c r="CX932" i="1"/>
  <c r="CV932" i="1"/>
  <c r="CU932" i="1"/>
  <c r="CR932" i="1"/>
  <c r="BZ932" i="1"/>
  <c r="CA932" i="1" s="1"/>
  <c r="BY932" i="1"/>
  <c r="BX932" i="1"/>
  <c r="BW932" i="1"/>
  <c r="BV932" i="1"/>
  <c r="BU932" i="1"/>
  <c r="BT932" i="1"/>
  <c r="BS932" i="1"/>
  <c r="AH932" i="1"/>
  <c r="AG932" i="1"/>
  <c r="AF932" i="1"/>
  <c r="AE932" i="1"/>
  <c r="AD932" i="1"/>
  <c r="AC932" i="1"/>
  <c r="EA931" i="1"/>
  <c r="DZ931" i="1"/>
  <c r="DY931" i="1"/>
  <c r="DX931" i="1"/>
  <c r="DW931" i="1"/>
  <c r="DV931" i="1"/>
  <c r="DC931" i="1"/>
  <c r="CW931" i="1" s="1"/>
  <c r="DB931" i="1"/>
  <c r="CV931" i="1" s="1"/>
  <c r="DA931" i="1"/>
  <c r="CZ931" i="1"/>
  <c r="CY931" i="1"/>
  <c r="CS931" i="1" s="1"/>
  <c r="CX931" i="1"/>
  <c r="CR931" i="1" s="1"/>
  <c r="CU931" i="1"/>
  <c r="CT931" i="1"/>
  <c r="CC931" i="1"/>
  <c r="CB931" i="1"/>
  <c r="BZ931" i="1"/>
  <c r="CA931" i="1" s="1"/>
  <c r="BY931" i="1"/>
  <c r="BX931" i="1"/>
  <c r="BW931" i="1"/>
  <c r="BV931" i="1"/>
  <c r="BU931" i="1"/>
  <c r="BT931" i="1"/>
  <c r="BS931" i="1"/>
  <c r="AH931" i="1"/>
  <c r="AG931" i="1"/>
  <c r="AF931" i="1"/>
  <c r="AE931" i="1"/>
  <c r="AD931" i="1"/>
  <c r="AC931" i="1"/>
  <c r="EA930" i="1"/>
  <c r="DZ930" i="1"/>
  <c r="DY930" i="1"/>
  <c r="DX930" i="1"/>
  <c r="DW930" i="1"/>
  <c r="DV930" i="1"/>
  <c r="DC930" i="1"/>
  <c r="DB930" i="1"/>
  <c r="CV930" i="1" s="1"/>
  <c r="DA930" i="1"/>
  <c r="CU930" i="1" s="1"/>
  <c r="CZ930" i="1"/>
  <c r="CY930" i="1"/>
  <c r="CX930" i="1"/>
  <c r="CR930" i="1" s="1"/>
  <c r="CW930" i="1"/>
  <c r="CT930" i="1"/>
  <c r="CS930" i="1"/>
  <c r="CA930" i="1"/>
  <c r="CB930" i="1" s="1"/>
  <c r="BZ930" i="1"/>
  <c r="BY930" i="1"/>
  <c r="BX930" i="1"/>
  <c r="BW930" i="1"/>
  <c r="BV930" i="1"/>
  <c r="BU930" i="1"/>
  <c r="BT930" i="1"/>
  <c r="BS930" i="1"/>
  <c r="AH930" i="1"/>
  <c r="AG930" i="1"/>
  <c r="AF930" i="1"/>
  <c r="AE930" i="1"/>
  <c r="AD930" i="1"/>
  <c r="AC930" i="1"/>
  <c r="EA929" i="1"/>
  <c r="DZ929" i="1"/>
  <c r="DY929" i="1"/>
  <c r="DX929" i="1"/>
  <c r="DW929" i="1"/>
  <c r="DV929" i="1"/>
  <c r="DC929" i="1"/>
  <c r="DB929" i="1"/>
  <c r="DA929" i="1"/>
  <c r="CU929" i="1" s="1"/>
  <c r="CZ929" i="1"/>
  <c r="CT929" i="1" s="1"/>
  <c r="CY929" i="1"/>
  <c r="CX929" i="1"/>
  <c r="CW929" i="1"/>
  <c r="CV929" i="1"/>
  <c r="CS929" i="1"/>
  <c r="CR929" i="1"/>
  <c r="BZ929" i="1"/>
  <c r="CA929" i="1" s="1"/>
  <c r="CB929" i="1" s="1"/>
  <c r="BY929" i="1"/>
  <c r="BX929" i="1"/>
  <c r="BW929" i="1"/>
  <c r="BV929" i="1"/>
  <c r="BU929" i="1"/>
  <c r="BT929" i="1"/>
  <c r="BS929" i="1"/>
  <c r="AH929" i="1"/>
  <c r="AG929" i="1"/>
  <c r="AF929" i="1"/>
  <c r="AE929" i="1"/>
  <c r="AD929" i="1"/>
  <c r="AC929" i="1"/>
  <c r="EA928" i="1"/>
  <c r="DZ928" i="1"/>
  <c r="DY928" i="1"/>
  <c r="DX928" i="1"/>
  <c r="DW928" i="1"/>
  <c r="DV928" i="1"/>
  <c r="DC928" i="1"/>
  <c r="CW928" i="1" s="1"/>
  <c r="DB928" i="1"/>
  <c r="DA928" i="1"/>
  <c r="CZ928" i="1"/>
  <c r="CT928" i="1" s="1"/>
  <c r="CY928" i="1"/>
  <c r="CS928" i="1" s="1"/>
  <c r="CX928" i="1"/>
  <c r="CV928" i="1"/>
  <c r="CU928" i="1"/>
  <c r="CR928" i="1"/>
  <c r="CC928" i="1"/>
  <c r="BZ928" i="1"/>
  <c r="CA928" i="1" s="1"/>
  <c r="BY928" i="1"/>
  <c r="BX928" i="1"/>
  <c r="BW928" i="1"/>
  <c r="BV928" i="1"/>
  <c r="BU928" i="1"/>
  <c r="CB928" i="1" s="1"/>
  <c r="BT928" i="1"/>
  <c r="BS928" i="1"/>
  <c r="AH928" i="1"/>
  <c r="AG928" i="1"/>
  <c r="AF928" i="1"/>
  <c r="AE928" i="1"/>
  <c r="AD928" i="1"/>
  <c r="AC928" i="1"/>
  <c r="EA927" i="1"/>
  <c r="DZ927" i="1"/>
  <c r="DY927" i="1"/>
  <c r="DX927" i="1"/>
  <c r="DW927" i="1"/>
  <c r="DV927" i="1"/>
  <c r="DC927" i="1"/>
  <c r="CW927" i="1" s="1"/>
  <c r="DB927" i="1"/>
  <c r="CV927" i="1" s="1"/>
  <c r="DA927" i="1"/>
  <c r="CZ927" i="1"/>
  <c r="CY927" i="1"/>
  <c r="CS927" i="1" s="1"/>
  <c r="CX927" i="1"/>
  <c r="CR927" i="1" s="1"/>
  <c r="CU927" i="1"/>
  <c r="CT927" i="1"/>
  <c r="BZ927" i="1"/>
  <c r="CA927" i="1" s="1"/>
  <c r="BY927" i="1"/>
  <c r="BX927" i="1"/>
  <c r="BW927" i="1"/>
  <c r="BV927" i="1"/>
  <c r="BU927" i="1"/>
  <c r="BT927" i="1"/>
  <c r="BS927" i="1"/>
  <c r="AH927" i="1"/>
  <c r="AG927" i="1"/>
  <c r="AF927" i="1"/>
  <c r="AE927" i="1"/>
  <c r="AD927" i="1"/>
  <c r="AC927" i="1"/>
  <c r="EA926" i="1"/>
  <c r="DZ926" i="1"/>
  <c r="DY926" i="1"/>
  <c r="DX926" i="1"/>
  <c r="DW926" i="1"/>
  <c r="DV926" i="1"/>
  <c r="DC926" i="1"/>
  <c r="DB926" i="1"/>
  <c r="CV926" i="1" s="1"/>
  <c r="DA926" i="1"/>
  <c r="CU926" i="1" s="1"/>
  <c r="CZ926" i="1"/>
  <c r="CY926" i="1"/>
  <c r="CX926" i="1"/>
  <c r="CR926" i="1" s="1"/>
  <c r="CW926" i="1"/>
  <c r="CT926" i="1"/>
  <c r="CS926" i="1"/>
  <c r="CB926" i="1"/>
  <c r="CA926" i="1"/>
  <c r="BZ926" i="1"/>
  <c r="BY926" i="1"/>
  <c r="BX926" i="1"/>
  <c r="BW926" i="1"/>
  <c r="BV926" i="1"/>
  <c r="BU926" i="1"/>
  <c r="CC926" i="1" s="1"/>
  <c r="BT926" i="1"/>
  <c r="BS926" i="1"/>
  <c r="AH926" i="1"/>
  <c r="AG926" i="1"/>
  <c r="AF926" i="1"/>
  <c r="AE926" i="1"/>
  <c r="AD926" i="1"/>
  <c r="AC926" i="1"/>
  <c r="EA925" i="1"/>
  <c r="DZ925" i="1"/>
  <c r="DY925" i="1"/>
  <c r="DX925" i="1"/>
  <c r="DW925" i="1"/>
  <c r="DV925" i="1"/>
  <c r="DC925" i="1"/>
  <c r="DB925" i="1"/>
  <c r="CV925" i="1" s="1"/>
  <c r="DA925" i="1"/>
  <c r="CU925" i="1" s="1"/>
  <c r="CZ925" i="1"/>
  <c r="CY925" i="1"/>
  <c r="CX925" i="1"/>
  <c r="CW925" i="1"/>
  <c r="CT925" i="1"/>
  <c r="CS925" i="1"/>
  <c r="CR925" i="1"/>
  <c r="BZ925" i="1"/>
  <c r="CA925" i="1" s="1"/>
  <c r="CB925" i="1" s="1"/>
  <c r="BY925" i="1"/>
  <c r="BX925" i="1"/>
  <c r="BW925" i="1"/>
  <c r="BV925" i="1"/>
  <c r="BU925" i="1"/>
  <c r="CC925" i="1" s="1"/>
  <c r="BT925" i="1"/>
  <c r="BS925" i="1"/>
  <c r="AH925" i="1"/>
  <c r="AG925" i="1"/>
  <c r="AF925" i="1"/>
  <c r="AE925" i="1"/>
  <c r="AD925" i="1"/>
  <c r="AC925" i="1"/>
  <c r="EA924" i="1"/>
  <c r="DZ924" i="1"/>
  <c r="DY924" i="1"/>
  <c r="DX924" i="1"/>
  <c r="DW924" i="1"/>
  <c r="DV924" i="1"/>
  <c r="DC924" i="1"/>
  <c r="CW924" i="1" s="1"/>
  <c r="DB924" i="1"/>
  <c r="DA924" i="1"/>
  <c r="CZ924" i="1"/>
  <c r="CT924" i="1" s="1"/>
  <c r="CY924" i="1"/>
  <c r="CX924" i="1"/>
  <c r="CV924" i="1"/>
  <c r="CU924" i="1"/>
  <c r="CS924" i="1"/>
  <c r="CR924" i="1"/>
  <c r="BZ924" i="1"/>
  <c r="CA924" i="1" s="1"/>
  <c r="CC924" i="1" s="1"/>
  <c r="BY924" i="1"/>
  <c r="BX924" i="1"/>
  <c r="BW924" i="1"/>
  <c r="BV924" i="1"/>
  <c r="BU924" i="1"/>
  <c r="BT924" i="1"/>
  <c r="BS924" i="1"/>
  <c r="AH924" i="1"/>
  <c r="AG924" i="1"/>
  <c r="AF924" i="1"/>
  <c r="AE924" i="1"/>
  <c r="AD924" i="1"/>
  <c r="AC924" i="1"/>
  <c r="EA923" i="1"/>
  <c r="DZ923" i="1"/>
  <c r="DY923" i="1"/>
  <c r="DX923" i="1"/>
  <c r="DW923" i="1"/>
  <c r="DV923" i="1"/>
  <c r="DC923" i="1"/>
  <c r="CW923" i="1" s="1"/>
  <c r="DB923" i="1"/>
  <c r="DA923" i="1"/>
  <c r="CZ923" i="1"/>
  <c r="CY923" i="1"/>
  <c r="CS923" i="1" s="1"/>
  <c r="CX923" i="1"/>
  <c r="CV923" i="1"/>
  <c r="CU923" i="1"/>
  <c r="CT923" i="1"/>
  <c r="CR923" i="1"/>
  <c r="BZ923" i="1"/>
  <c r="CA923" i="1" s="1"/>
  <c r="BY923" i="1"/>
  <c r="BX923" i="1"/>
  <c r="BW923" i="1"/>
  <c r="BV923" i="1"/>
  <c r="BU923" i="1"/>
  <c r="BT923" i="1"/>
  <c r="BS923" i="1"/>
  <c r="AH923" i="1"/>
  <c r="AG923" i="1"/>
  <c r="AF923" i="1"/>
  <c r="AE923" i="1"/>
  <c r="AD923" i="1"/>
  <c r="AC923" i="1"/>
  <c r="EA922" i="1"/>
  <c r="DZ922" i="1"/>
  <c r="DY922" i="1"/>
  <c r="DX922" i="1"/>
  <c r="DW922" i="1"/>
  <c r="DV922" i="1"/>
  <c r="DC922" i="1"/>
  <c r="CW922" i="1" s="1"/>
  <c r="DB922" i="1"/>
  <c r="CV922" i="1" s="1"/>
  <c r="DA922" i="1"/>
  <c r="CZ922" i="1"/>
  <c r="CY922" i="1"/>
  <c r="CS922" i="1" s="1"/>
  <c r="CX922" i="1"/>
  <c r="CR922" i="1" s="1"/>
  <c r="CU922" i="1"/>
  <c r="CT922" i="1"/>
  <c r="CA922" i="1"/>
  <c r="BZ922" i="1"/>
  <c r="BY922" i="1"/>
  <c r="BX922" i="1"/>
  <c r="BW922" i="1"/>
  <c r="BV922" i="1"/>
  <c r="BU922" i="1"/>
  <c r="BT922" i="1"/>
  <c r="BS922" i="1"/>
  <c r="AH922" i="1"/>
  <c r="AG922" i="1"/>
  <c r="AF922" i="1"/>
  <c r="AE922" i="1"/>
  <c r="AD922" i="1"/>
  <c r="AC922" i="1"/>
  <c r="EA921" i="1"/>
  <c r="DZ921" i="1"/>
  <c r="DY921" i="1"/>
  <c r="DX921" i="1"/>
  <c r="DW921" i="1"/>
  <c r="DV921" i="1"/>
  <c r="DC921" i="1"/>
  <c r="DB921" i="1"/>
  <c r="DA921" i="1"/>
  <c r="CU921" i="1" s="1"/>
  <c r="CZ921" i="1"/>
  <c r="CT921" i="1" s="1"/>
  <c r="CY921" i="1"/>
  <c r="CX921" i="1"/>
  <c r="CW921" i="1"/>
  <c r="CV921" i="1"/>
  <c r="CS921" i="1"/>
  <c r="CR921" i="1"/>
  <c r="BZ921" i="1"/>
  <c r="CA921" i="1" s="1"/>
  <c r="CB921" i="1" s="1"/>
  <c r="BY921" i="1"/>
  <c r="BX921" i="1"/>
  <c r="BW921" i="1"/>
  <c r="BV921" i="1"/>
  <c r="BU921" i="1"/>
  <c r="BT921" i="1"/>
  <c r="BS921" i="1"/>
  <c r="AH921" i="1"/>
  <c r="AG921" i="1"/>
  <c r="AF921" i="1"/>
  <c r="AE921" i="1"/>
  <c r="AD921" i="1"/>
  <c r="AC921" i="1"/>
  <c r="EA920" i="1"/>
  <c r="DZ920" i="1"/>
  <c r="DY920" i="1"/>
  <c r="DX920" i="1"/>
  <c r="DW920" i="1"/>
  <c r="DV920" i="1"/>
  <c r="DC920" i="1"/>
  <c r="DB920" i="1"/>
  <c r="DA920" i="1"/>
  <c r="CU920" i="1" s="1"/>
  <c r="CZ920" i="1"/>
  <c r="CT920" i="1" s="1"/>
  <c r="CY920" i="1"/>
  <c r="CX920" i="1"/>
  <c r="CW920" i="1"/>
  <c r="CV920" i="1"/>
  <c r="CS920" i="1"/>
  <c r="CR920" i="1"/>
  <c r="BZ920" i="1"/>
  <c r="CA920" i="1" s="1"/>
  <c r="BY920" i="1"/>
  <c r="BX920" i="1"/>
  <c r="BW920" i="1"/>
  <c r="BV920" i="1"/>
  <c r="BU920" i="1"/>
  <c r="BT920" i="1"/>
  <c r="BS920" i="1"/>
  <c r="AH920" i="1"/>
  <c r="AG920" i="1"/>
  <c r="AF920" i="1"/>
  <c r="AE920" i="1"/>
  <c r="AD920" i="1"/>
  <c r="AC920" i="1"/>
  <c r="EA919" i="1"/>
  <c r="DZ919" i="1"/>
  <c r="DY919" i="1"/>
  <c r="DX919" i="1"/>
  <c r="DW919" i="1"/>
  <c r="DV919" i="1"/>
  <c r="DC919" i="1"/>
  <c r="CW919" i="1" s="1"/>
  <c r="DB919" i="1"/>
  <c r="CV919" i="1" s="1"/>
  <c r="DA919" i="1"/>
  <c r="CZ919" i="1"/>
  <c r="CY919" i="1"/>
  <c r="CS919" i="1" s="1"/>
  <c r="CX919" i="1"/>
  <c r="CU919" i="1"/>
  <c r="CT919" i="1"/>
  <c r="CR919" i="1"/>
  <c r="BZ919" i="1"/>
  <c r="CA919" i="1" s="1"/>
  <c r="BY919" i="1"/>
  <c r="BX919" i="1"/>
  <c r="BW919" i="1"/>
  <c r="BV919" i="1"/>
  <c r="BU919" i="1"/>
  <c r="BT919" i="1"/>
  <c r="BS919" i="1"/>
  <c r="AH919" i="1"/>
  <c r="AG919" i="1"/>
  <c r="AF919" i="1"/>
  <c r="AE919" i="1"/>
  <c r="AD919" i="1"/>
  <c r="AC919" i="1"/>
  <c r="EA918" i="1"/>
  <c r="DZ918" i="1"/>
  <c r="DY918" i="1"/>
  <c r="DX918" i="1"/>
  <c r="DW918" i="1"/>
  <c r="DV918" i="1"/>
  <c r="DC918" i="1"/>
  <c r="CW918" i="1" s="1"/>
  <c r="DB918" i="1"/>
  <c r="CV918" i="1" s="1"/>
  <c r="DA918" i="1"/>
  <c r="CZ918" i="1"/>
  <c r="CY918" i="1"/>
  <c r="CX918" i="1"/>
  <c r="CR918" i="1" s="1"/>
  <c r="CU918" i="1"/>
  <c r="CT918" i="1"/>
  <c r="CS918" i="1"/>
  <c r="CA918" i="1"/>
  <c r="CB918" i="1" s="1"/>
  <c r="BZ918" i="1"/>
  <c r="BY918" i="1"/>
  <c r="BX918" i="1"/>
  <c r="BW918" i="1"/>
  <c r="BV918" i="1"/>
  <c r="BU918" i="1"/>
  <c r="CC918" i="1" s="1"/>
  <c r="BT918" i="1"/>
  <c r="BS918" i="1"/>
  <c r="AH918" i="1"/>
  <c r="AG918" i="1"/>
  <c r="AF918" i="1"/>
  <c r="AE918" i="1"/>
  <c r="AD918" i="1"/>
  <c r="AC918" i="1"/>
  <c r="EA917" i="1"/>
  <c r="DZ917" i="1"/>
  <c r="DY917" i="1"/>
  <c r="DX917" i="1"/>
  <c r="DW917" i="1"/>
  <c r="DV917" i="1"/>
  <c r="DC917" i="1"/>
  <c r="DB917" i="1"/>
  <c r="DA917" i="1"/>
  <c r="CU917" i="1" s="1"/>
  <c r="CZ917" i="1"/>
  <c r="CY917" i="1"/>
  <c r="CX917" i="1"/>
  <c r="CW917" i="1"/>
  <c r="CV917" i="1"/>
  <c r="CT917" i="1"/>
  <c r="CS917" i="1"/>
  <c r="CR917" i="1"/>
  <c r="CA917" i="1"/>
  <c r="BZ917" i="1"/>
  <c r="BY917" i="1"/>
  <c r="BX917" i="1"/>
  <c r="BW917" i="1"/>
  <c r="BV917" i="1"/>
  <c r="BU917" i="1"/>
  <c r="BT917" i="1"/>
  <c r="BS917" i="1"/>
  <c r="AH917" i="1"/>
  <c r="AG917" i="1"/>
  <c r="AF917" i="1"/>
  <c r="AE917" i="1"/>
  <c r="AD917" i="1"/>
  <c r="AC917" i="1"/>
  <c r="EA916" i="1"/>
  <c r="DZ916" i="1"/>
  <c r="DY916" i="1"/>
  <c r="DX916" i="1"/>
  <c r="DW916" i="1"/>
  <c r="DV916" i="1"/>
  <c r="DC916" i="1"/>
  <c r="DB916" i="1"/>
  <c r="DA916" i="1"/>
  <c r="CU916" i="1" s="1"/>
  <c r="CZ916" i="1"/>
  <c r="CT916" i="1" s="1"/>
  <c r="CY916" i="1"/>
  <c r="CX916" i="1"/>
  <c r="CW916" i="1"/>
  <c r="CV916" i="1"/>
  <c r="CS916" i="1"/>
  <c r="CR916" i="1"/>
  <c r="BZ916" i="1"/>
  <c r="CA916" i="1" s="1"/>
  <c r="CC916" i="1" s="1"/>
  <c r="BY916" i="1"/>
  <c r="BX916" i="1"/>
  <c r="BW916" i="1"/>
  <c r="BV916" i="1"/>
  <c r="BU916" i="1"/>
  <c r="BT916" i="1"/>
  <c r="BS916" i="1"/>
  <c r="AH916" i="1"/>
  <c r="AG916" i="1"/>
  <c r="AF916" i="1"/>
  <c r="AE916" i="1"/>
  <c r="AD916" i="1"/>
  <c r="AC916" i="1"/>
  <c r="EA915" i="1"/>
  <c r="DZ915" i="1"/>
  <c r="DY915" i="1"/>
  <c r="DX915" i="1"/>
  <c r="DW915" i="1"/>
  <c r="DV915" i="1"/>
  <c r="DC915" i="1"/>
  <c r="CW915" i="1" s="1"/>
  <c r="DB915" i="1"/>
  <c r="DA915" i="1"/>
  <c r="CZ915" i="1"/>
  <c r="CY915" i="1"/>
  <c r="CS915" i="1" s="1"/>
  <c r="CX915" i="1"/>
  <c r="CV915" i="1"/>
  <c r="CU915" i="1"/>
  <c r="CT915" i="1"/>
  <c r="CR915" i="1"/>
  <c r="CC915" i="1"/>
  <c r="BZ915" i="1"/>
  <c r="CA915" i="1" s="1"/>
  <c r="BY915" i="1"/>
  <c r="BX915" i="1"/>
  <c r="BW915" i="1"/>
  <c r="BV915" i="1"/>
  <c r="BU915" i="1"/>
  <c r="CB915" i="1" s="1"/>
  <c r="BT915" i="1"/>
  <c r="BS915" i="1"/>
  <c r="AH915" i="1"/>
  <c r="AG915" i="1"/>
  <c r="AF915" i="1"/>
  <c r="AE915" i="1"/>
  <c r="AD915" i="1"/>
  <c r="AC915" i="1"/>
  <c r="EA914" i="1"/>
  <c r="DZ914" i="1"/>
  <c r="DY914" i="1"/>
  <c r="DX914" i="1"/>
  <c r="DW914" i="1"/>
  <c r="DV914" i="1"/>
  <c r="DC914" i="1"/>
  <c r="DB914" i="1"/>
  <c r="CV914" i="1" s="1"/>
  <c r="DA914" i="1"/>
  <c r="CU914" i="1" s="1"/>
  <c r="CZ914" i="1"/>
  <c r="CY914" i="1"/>
  <c r="CX914" i="1"/>
  <c r="CR914" i="1" s="1"/>
  <c r="CW914" i="1"/>
  <c r="CT914" i="1"/>
  <c r="CS914" i="1"/>
  <c r="CC914" i="1"/>
  <c r="CA914" i="1"/>
  <c r="BZ914" i="1"/>
  <c r="BY914" i="1"/>
  <c r="BX914" i="1"/>
  <c r="BW914" i="1"/>
  <c r="BV914" i="1"/>
  <c r="BU914" i="1"/>
  <c r="CB914" i="1" s="1"/>
  <c r="BT914" i="1"/>
  <c r="BS914" i="1"/>
  <c r="AH914" i="1"/>
  <c r="AG914" i="1"/>
  <c r="AF914" i="1"/>
  <c r="AE914" i="1"/>
  <c r="AD914" i="1"/>
  <c r="AC914" i="1"/>
  <c r="EA913" i="1"/>
  <c r="DZ913" i="1"/>
  <c r="DY913" i="1"/>
  <c r="DX913" i="1"/>
  <c r="DW913" i="1"/>
  <c r="DV913" i="1"/>
  <c r="DC913" i="1"/>
  <c r="DB913" i="1"/>
  <c r="CV913" i="1" s="1"/>
  <c r="DA913" i="1"/>
  <c r="CU913" i="1" s="1"/>
  <c r="CZ913" i="1"/>
  <c r="CY913" i="1"/>
  <c r="CX913" i="1"/>
  <c r="CR913" i="1" s="1"/>
  <c r="CW913" i="1"/>
  <c r="CT913" i="1"/>
  <c r="CS913" i="1"/>
  <c r="BZ913" i="1"/>
  <c r="CA913" i="1" s="1"/>
  <c r="CB913" i="1" s="1"/>
  <c r="BY913" i="1"/>
  <c r="BX913" i="1"/>
  <c r="BW913" i="1"/>
  <c r="BV913" i="1"/>
  <c r="BU913" i="1"/>
  <c r="BT913" i="1"/>
  <c r="BS913" i="1"/>
  <c r="AH913" i="1"/>
  <c r="AG913" i="1"/>
  <c r="AF913" i="1"/>
  <c r="AE913" i="1"/>
  <c r="AD913" i="1"/>
  <c r="AC913" i="1"/>
  <c r="EA912" i="1"/>
  <c r="DZ912" i="1"/>
  <c r="DY912" i="1"/>
  <c r="DX912" i="1"/>
  <c r="DW912" i="1"/>
  <c r="DV912" i="1"/>
  <c r="DC912" i="1"/>
  <c r="CW912" i="1" s="1"/>
  <c r="DB912" i="1"/>
  <c r="DA912" i="1"/>
  <c r="CZ912" i="1"/>
  <c r="CT912" i="1" s="1"/>
  <c r="CY912" i="1"/>
  <c r="CS912" i="1" s="1"/>
  <c r="CX912" i="1"/>
  <c r="CV912" i="1"/>
  <c r="CU912" i="1"/>
  <c r="CR912" i="1"/>
  <c r="CA912" i="1"/>
  <c r="BZ912" i="1"/>
  <c r="BY912" i="1"/>
  <c r="BX912" i="1"/>
  <c r="BW912" i="1"/>
  <c r="BV912" i="1"/>
  <c r="BU912" i="1"/>
  <c r="BT912" i="1"/>
  <c r="BS912" i="1"/>
  <c r="AH912" i="1"/>
  <c r="AG912" i="1"/>
  <c r="AF912" i="1"/>
  <c r="AE912" i="1"/>
  <c r="AD912" i="1"/>
  <c r="AC912" i="1"/>
  <c r="EA911" i="1"/>
  <c r="DZ911" i="1"/>
  <c r="DY911" i="1"/>
  <c r="DX911" i="1"/>
  <c r="DW911" i="1"/>
  <c r="DV911" i="1"/>
  <c r="DC911" i="1"/>
  <c r="CW911" i="1" s="1"/>
  <c r="DB911" i="1"/>
  <c r="DA911" i="1"/>
  <c r="CZ911" i="1"/>
  <c r="CT911" i="1" s="1"/>
  <c r="CY911" i="1"/>
  <c r="CS911" i="1" s="1"/>
  <c r="CX911" i="1"/>
  <c r="CV911" i="1"/>
  <c r="CU911" i="1"/>
  <c r="CR911" i="1"/>
  <c r="CC911" i="1"/>
  <c r="CB911" i="1"/>
  <c r="BZ911" i="1"/>
  <c r="CA911" i="1" s="1"/>
  <c r="BY911" i="1"/>
  <c r="BX911" i="1"/>
  <c r="BW911" i="1"/>
  <c r="BV911" i="1"/>
  <c r="BU911" i="1"/>
  <c r="BT911" i="1"/>
  <c r="BS911" i="1"/>
  <c r="AH911" i="1"/>
  <c r="AG911" i="1"/>
  <c r="AF911" i="1"/>
  <c r="AE911" i="1"/>
  <c r="AD911" i="1"/>
  <c r="AC911" i="1"/>
  <c r="EA910" i="1"/>
  <c r="DZ910" i="1"/>
  <c r="DY910" i="1"/>
  <c r="DX910" i="1"/>
  <c r="DW910" i="1"/>
  <c r="DV910" i="1"/>
  <c r="DC910" i="1"/>
  <c r="DB910" i="1"/>
  <c r="CV910" i="1" s="1"/>
  <c r="DA910" i="1"/>
  <c r="CZ910" i="1"/>
  <c r="CY910" i="1"/>
  <c r="CX910" i="1"/>
  <c r="CR910" i="1" s="1"/>
  <c r="CW910" i="1"/>
  <c r="CU910" i="1"/>
  <c r="CT910" i="1"/>
  <c r="CS910" i="1"/>
  <c r="CB910" i="1"/>
  <c r="CA910" i="1"/>
  <c r="BZ910" i="1"/>
  <c r="BY910" i="1"/>
  <c r="BX910" i="1"/>
  <c r="BW910" i="1"/>
  <c r="BV910" i="1"/>
  <c r="BU910" i="1"/>
  <c r="CC910" i="1" s="1"/>
  <c r="BT910" i="1"/>
  <c r="BS910" i="1"/>
  <c r="AH910" i="1"/>
  <c r="AG910" i="1"/>
  <c r="AF910" i="1"/>
  <c r="AE910" i="1"/>
  <c r="AD910" i="1"/>
  <c r="AC910" i="1"/>
  <c r="EA909" i="1"/>
  <c r="DZ909" i="1"/>
  <c r="DY909" i="1"/>
  <c r="DX909" i="1"/>
  <c r="DW909" i="1"/>
  <c r="DV909" i="1"/>
  <c r="DC909" i="1"/>
  <c r="DB909" i="1"/>
  <c r="CV909" i="1" s="1"/>
  <c r="DA909" i="1"/>
  <c r="CU909" i="1" s="1"/>
  <c r="CZ909" i="1"/>
  <c r="CY909" i="1"/>
  <c r="CX909" i="1"/>
  <c r="CW909" i="1"/>
  <c r="CT909" i="1"/>
  <c r="CS909" i="1"/>
  <c r="CR909" i="1"/>
  <c r="BZ909" i="1"/>
  <c r="CA909" i="1" s="1"/>
  <c r="CB909" i="1" s="1"/>
  <c r="BY909" i="1"/>
  <c r="BX909" i="1"/>
  <c r="BW909" i="1"/>
  <c r="BV909" i="1"/>
  <c r="BU909" i="1"/>
  <c r="BT909" i="1"/>
  <c r="BS909" i="1"/>
  <c r="AH909" i="1"/>
  <c r="AG909" i="1"/>
  <c r="AF909" i="1"/>
  <c r="AE909" i="1"/>
  <c r="AD909" i="1"/>
  <c r="AC909" i="1"/>
  <c r="EA908" i="1"/>
  <c r="DZ908" i="1"/>
  <c r="DY908" i="1"/>
  <c r="DX908" i="1"/>
  <c r="DW908" i="1"/>
  <c r="DV908" i="1"/>
  <c r="DC908" i="1"/>
  <c r="CW908" i="1" s="1"/>
  <c r="DB908" i="1"/>
  <c r="DA908" i="1"/>
  <c r="CZ908" i="1"/>
  <c r="CY908" i="1"/>
  <c r="CS908" i="1" s="1"/>
  <c r="CX908" i="1"/>
  <c r="CV908" i="1"/>
  <c r="CU908" i="1"/>
  <c r="CT908" i="1"/>
  <c r="CR908" i="1"/>
  <c r="BZ908" i="1"/>
  <c r="CA908" i="1" s="1"/>
  <c r="CB908" i="1" s="1"/>
  <c r="BY908" i="1"/>
  <c r="BX908" i="1"/>
  <c r="BW908" i="1"/>
  <c r="BV908" i="1"/>
  <c r="BU908" i="1"/>
  <c r="BT908" i="1"/>
  <c r="BS908" i="1"/>
  <c r="AH908" i="1"/>
  <c r="AG908" i="1"/>
  <c r="AF908" i="1"/>
  <c r="AE908" i="1"/>
  <c r="AD908" i="1"/>
  <c r="AC908" i="1"/>
  <c r="EA907" i="1"/>
  <c r="DZ907" i="1"/>
  <c r="DY907" i="1"/>
  <c r="DX907" i="1"/>
  <c r="DW907" i="1"/>
  <c r="DV907" i="1"/>
  <c r="DC907" i="1"/>
  <c r="DB907" i="1"/>
  <c r="CV907" i="1" s="1"/>
  <c r="DA907" i="1"/>
  <c r="CU907" i="1" s="1"/>
  <c r="CZ907" i="1"/>
  <c r="CY907" i="1"/>
  <c r="CX907" i="1"/>
  <c r="CR907" i="1" s="1"/>
  <c r="CW907" i="1"/>
  <c r="CT907" i="1"/>
  <c r="CS907" i="1"/>
  <c r="CA907" i="1"/>
  <c r="BZ907" i="1"/>
  <c r="BY907" i="1"/>
  <c r="BX907" i="1"/>
  <c r="BW907" i="1"/>
  <c r="BV907" i="1"/>
  <c r="BU907" i="1"/>
  <c r="CC907" i="1" s="1"/>
  <c r="BT907" i="1"/>
  <c r="BS907" i="1"/>
  <c r="AH907" i="1"/>
  <c r="AG907" i="1"/>
  <c r="AF907" i="1"/>
  <c r="AE907" i="1"/>
  <c r="AD907" i="1"/>
  <c r="AC907" i="1"/>
  <c r="EA906" i="1"/>
  <c r="DZ906" i="1"/>
  <c r="DY906" i="1"/>
  <c r="DX906" i="1"/>
  <c r="DW906" i="1"/>
  <c r="DV906" i="1"/>
  <c r="DC906" i="1"/>
  <c r="DB906" i="1"/>
  <c r="DA906" i="1"/>
  <c r="CU906" i="1" s="1"/>
  <c r="CZ906" i="1"/>
  <c r="CT906" i="1" s="1"/>
  <c r="CY906" i="1"/>
  <c r="CX906" i="1"/>
  <c r="CW906" i="1"/>
  <c r="CV906" i="1"/>
  <c r="CS906" i="1"/>
  <c r="CR906" i="1"/>
  <c r="BZ906" i="1"/>
  <c r="CA906" i="1" s="1"/>
  <c r="CB906" i="1" s="1"/>
  <c r="BY906" i="1"/>
  <c r="BX906" i="1"/>
  <c r="BW906" i="1"/>
  <c r="BV906" i="1"/>
  <c r="BU906" i="1"/>
  <c r="BT906" i="1"/>
  <c r="BS906" i="1"/>
  <c r="AH906" i="1"/>
  <c r="AG906" i="1"/>
  <c r="AF906" i="1"/>
  <c r="AE906" i="1"/>
  <c r="AD906" i="1"/>
  <c r="AC906" i="1"/>
  <c r="EA905" i="1"/>
  <c r="DZ905" i="1"/>
  <c r="DY905" i="1"/>
  <c r="DX905" i="1"/>
  <c r="DW905" i="1"/>
  <c r="DV905" i="1"/>
  <c r="DC905" i="1"/>
  <c r="CW905" i="1" s="1"/>
  <c r="DB905" i="1"/>
  <c r="DA905" i="1"/>
  <c r="CZ905" i="1"/>
  <c r="CT905" i="1" s="1"/>
  <c r="CY905" i="1"/>
  <c r="CS905" i="1" s="1"/>
  <c r="CX905" i="1"/>
  <c r="CV905" i="1"/>
  <c r="CU905" i="1"/>
  <c r="CR905" i="1"/>
  <c r="BZ905" i="1"/>
  <c r="CA905" i="1" s="1"/>
  <c r="BY905" i="1"/>
  <c r="BX905" i="1"/>
  <c r="BW905" i="1"/>
  <c r="BV905" i="1"/>
  <c r="BU905" i="1"/>
  <c r="CB905" i="1" s="1"/>
  <c r="BT905" i="1"/>
  <c r="BS905" i="1"/>
  <c r="AH905" i="1"/>
  <c r="AG905" i="1"/>
  <c r="AF905" i="1"/>
  <c r="AE905" i="1"/>
  <c r="AD905" i="1"/>
  <c r="AC905" i="1"/>
  <c r="EA904" i="1"/>
  <c r="DZ904" i="1"/>
  <c r="DY904" i="1"/>
  <c r="DX904" i="1"/>
  <c r="DW904" i="1"/>
  <c r="DV904" i="1"/>
  <c r="DC904" i="1"/>
  <c r="CW904" i="1" s="1"/>
  <c r="DB904" i="1"/>
  <c r="CV904" i="1" s="1"/>
  <c r="DA904" i="1"/>
  <c r="CZ904" i="1"/>
  <c r="CY904" i="1"/>
  <c r="CS904" i="1" s="1"/>
  <c r="CX904" i="1"/>
  <c r="CR904" i="1" s="1"/>
  <c r="CU904" i="1"/>
  <c r="CT904" i="1"/>
  <c r="BZ904" i="1"/>
  <c r="CA904" i="1" s="1"/>
  <c r="CB904" i="1" s="1"/>
  <c r="BY904" i="1"/>
  <c r="BX904" i="1"/>
  <c r="BW904" i="1"/>
  <c r="BV904" i="1"/>
  <c r="BU904" i="1"/>
  <c r="CC904" i="1" s="1"/>
  <c r="BT904" i="1"/>
  <c r="BS904" i="1"/>
  <c r="AH904" i="1"/>
  <c r="AG904" i="1"/>
  <c r="AF904" i="1"/>
  <c r="AE904" i="1"/>
  <c r="AD904" i="1"/>
  <c r="AC904" i="1"/>
  <c r="EA903" i="1"/>
  <c r="DZ903" i="1"/>
  <c r="DY903" i="1"/>
  <c r="DX903" i="1"/>
  <c r="DW903" i="1"/>
  <c r="DV903" i="1"/>
  <c r="DC903" i="1"/>
  <c r="DB903" i="1"/>
  <c r="CV903" i="1" s="1"/>
  <c r="DA903" i="1"/>
  <c r="CU903" i="1" s="1"/>
  <c r="CZ903" i="1"/>
  <c r="CY903" i="1"/>
  <c r="CX903" i="1"/>
  <c r="CR903" i="1" s="1"/>
  <c r="CW903" i="1"/>
  <c r="CT903" i="1"/>
  <c r="CS903" i="1"/>
  <c r="CB903" i="1"/>
  <c r="CA903" i="1"/>
  <c r="BZ903" i="1"/>
  <c r="BY903" i="1"/>
  <c r="BX903" i="1"/>
  <c r="BW903" i="1"/>
  <c r="BV903" i="1"/>
  <c r="BU903" i="1"/>
  <c r="CC903" i="1" s="1"/>
  <c r="BT903" i="1"/>
  <c r="BS903" i="1"/>
  <c r="AH903" i="1"/>
  <c r="AG903" i="1"/>
  <c r="AF903" i="1"/>
  <c r="AE903" i="1"/>
  <c r="AD903" i="1"/>
  <c r="AC903" i="1"/>
  <c r="EA902" i="1"/>
  <c r="DZ902" i="1"/>
  <c r="DY902" i="1"/>
  <c r="DX902" i="1"/>
  <c r="DW902" i="1"/>
  <c r="DV902" i="1"/>
  <c r="DC902" i="1"/>
  <c r="DB902" i="1"/>
  <c r="DA902" i="1"/>
  <c r="CU902" i="1" s="1"/>
  <c r="CZ902" i="1"/>
  <c r="CT902" i="1" s="1"/>
  <c r="CY902" i="1"/>
  <c r="CX902" i="1"/>
  <c r="CW902" i="1"/>
  <c r="CV902" i="1"/>
  <c r="CS902" i="1"/>
  <c r="CR902" i="1"/>
  <c r="CA902" i="1"/>
  <c r="BZ902" i="1"/>
  <c r="BY902" i="1"/>
  <c r="BX902" i="1"/>
  <c r="BW902" i="1"/>
  <c r="BV902" i="1"/>
  <c r="BU902" i="1"/>
  <c r="BT902" i="1"/>
  <c r="BS902" i="1"/>
  <c r="AH902" i="1"/>
  <c r="AG902" i="1"/>
  <c r="AF902" i="1"/>
  <c r="AE902" i="1"/>
  <c r="AD902" i="1"/>
  <c r="AC902" i="1"/>
  <c r="EA901" i="1"/>
  <c r="DZ901" i="1"/>
  <c r="DY901" i="1"/>
  <c r="DX901" i="1"/>
  <c r="DW901" i="1"/>
  <c r="DV901" i="1"/>
  <c r="DC901" i="1"/>
  <c r="CW901" i="1" s="1"/>
  <c r="DB901" i="1"/>
  <c r="DA901" i="1"/>
  <c r="CZ901" i="1"/>
  <c r="CT901" i="1" s="1"/>
  <c r="CY901" i="1"/>
  <c r="CS901" i="1" s="1"/>
  <c r="CX901" i="1"/>
  <c r="CV901" i="1"/>
  <c r="CU901" i="1"/>
  <c r="CR901" i="1"/>
  <c r="BZ901" i="1"/>
  <c r="CA901" i="1" s="1"/>
  <c r="BY901" i="1"/>
  <c r="BX901" i="1"/>
  <c r="BW901" i="1"/>
  <c r="BV901" i="1"/>
  <c r="BU901" i="1"/>
  <c r="BT901" i="1"/>
  <c r="BS901" i="1"/>
  <c r="AH901" i="1"/>
  <c r="AG901" i="1"/>
  <c r="AF901" i="1"/>
  <c r="AE901" i="1"/>
  <c r="AD901" i="1"/>
  <c r="AC901" i="1"/>
  <c r="EA900" i="1"/>
  <c r="DZ900" i="1"/>
  <c r="DY900" i="1"/>
  <c r="DX900" i="1"/>
  <c r="DW900" i="1"/>
  <c r="DV900" i="1"/>
  <c r="DC900" i="1"/>
  <c r="CW900" i="1" s="1"/>
  <c r="DB900" i="1"/>
  <c r="CV900" i="1" s="1"/>
  <c r="DA900" i="1"/>
  <c r="CZ900" i="1"/>
  <c r="CY900" i="1"/>
  <c r="CS900" i="1" s="1"/>
  <c r="CX900" i="1"/>
  <c r="CR900" i="1" s="1"/>
  <c r="CU900" i="1"/>
  <c r="CT900" i="1"/>
  <c r="CC900" i="1"/>
  <c r="CB900" i="1"/>
  <c r="BZ900" i="1"/>
  <c r="CA900" i="1" s="1"/>
  <c r="BY900" i="1"/>
  <c r="BX900" i="1"/>
  <c r="BW900" i="1"/>
  <c r="BV900" i="1"/>
  <c r="BU900" i="1"/>
  <c r="BT900" i="1"/>
  <c r="BS900" i="1"/>
  <c r="AH900" i="1"/>
  <c r="AG900" i="1"/>
  <c r="AF900" i="1"/>
  <c r="AE900" i="1"/>
  <c r="AD900" i="1"/>
  <c r="AC900" i="1"/>
  <c r="EA899" i="1"/>
  <c r="DZ899" i="1"/>
  <c r="DY899" i="1"/>
  <c r="DX899" i="1"/>
  <c r="DW899" i="1"/>
  <c r="DV899" i="1"/>
  <c r="DC899" i="1"/>
  <c r="DB899" i="1"/>
  <c r="CV899" i="1" s="1"/>
  <c r="DA899" i="1"/>
  <c r="CU899" i="1" s="1"/>
  <c r="CZ899" i="1"/>
  <c r="CY899" i="1"/>
  <c r="CX899" i="1"/>
  <c r="CR899" i="1" s="1"/>
  <c r="CW899" i="1"/>
  <c r="CT899" i="1"/>
  <c r="CS899" i="1"/>
  <c r="CA899" i="1"/>
  <c r="CB899" i="1" s="1"/>
  <c r="BZ899" i="1"/>
  <c r="BY899" i="1"/>
  <c r="BX899" i="1"/>
  <c r="BW899" i="1"/>
  <c r="BV899" i="1"/>
  <c r="BU899" i="1"/>
  <c r="BT899" i="1"/>
  <c r="BS899" i="1"/>
  <c r="AH899" i="1"/>
  <c r="AG899" i="1"/>
  <c r="AF899" i="1"/>
  <c r="AE899" i="1"/>
  <c r="AD899" i="1"/>
  <c r="AC899" i="1"/>
  <c r="EA898" i="1"/>
  <c r="DZ898" i="1"/>
  <c r="DY898" i="1"/>
  <c r="DX898" i="1"/>
  <c r="DW898" i="1"/>
  <c r="DV898" i="1"/>
  <c r="DC898" i="1"/>
  <c r="DB898" i="1"/>
  <c r="DA898" i="1"/>
  <c r="CU898" i="1" s="1"/>
  <c r="CZ898" i="1"/>
  <c r="CT898" i="1" s="1"/>
  <c r="CY898" i="1"/>
  <c r="CX898" i="1"/>
  <c r="CW898" i="1"/>
  <c r="CV898" i="1"/>
  <c r="CS898" i="1"/>
  <c r="CR898" i="1"/>
  <c r="BZ898" i="1"/>
  <c r="CA898" i="1" s="1"/>
  <c r="CB898" i="1" s="1"/>
  <c r="BY898" i="1"/>
  <c r="BX898" i="1"/>
  <c r="BW898" i="1"/>
  <c r="BV898" i="1"/>
  <c r="BU898" i="1"/>
  <c r="CC898" i="1" s="1"/>
  <c r="BT898" i="1"/>
  <c r="BS898" i="1"/>
  <c r="AH898" i="1"/>
  <c r="AG898" i="1"/>
  <c r="AF898" i="1"/>
  <c r="AE898" i="1"/>
  <c r="AD898" i="1"/>
  <c r="AC898" i="1"/>
  <c r="EA897" i="1"/>
  <c r="DZ897" i="1"/>
  <c r="DY897" i="1"/>
  <c r="DX897" i="1"/>
  <c r="DW897" i="1"/>
  <c r="DV897" i="1"/>
  <c r="DC897" i="1"/>
  <c r="CW897" i="1" s="1"/>
  <c r="DB897" i="1"/>
  <c r="DA897" i="1"/>
  <c r="CZ897" i="1"/>
  <c r="CT897" i="1" s="1"/>
  <c r="CY897" i="1"/>
  <c r="CS897" i="1" s="1"/>
  <c r="CX897" i="1"/>
  <c r="CV897" i="1"/>
  <c r="CU897" i="1"/>
  <c r="CR897" i="1"/>
  <c r="CC897" i="1"/>
  <c r="BZ897" i="1"/>
  <c r="CA897" i="1" s="1"/>
  <c r="BY897" i="1"/>
  <c r="BX897" i="1"/>
  <c r="BW897" i="1"/>
  <c r="BV897" i="1"/>
  <c r="BU897" i="1"/>
  <c r="BT897" i="1"/>
  <c r="BS897" i="1"/>
  <c r="AH897" i="1"/>
  <c r="AG897" i="1"/>
  <c r="AF897" i="1"/>
  <c r="AE897" i="1"/>
  <c r="AD897" i="1"/>
  <c r="AC897" i="1"/>
  <c r="EA896" i="1"/>
  <c r="DZ896" i="1"/>
  <c r="DY896" i="1"/>
  <c r="DX896" i="1"/>
  <c r="DW896" i="1"/>
  <c r="DV896" i="1"/>
  <c r="DC896" i="1"/>
  <c r="CW896" i="1" s="1"/>
  <c r="DB896" i="1"/>
  <c r="CV896" i="1" s="1"/>
  <c r="DA896" i="1"/>
  <c r="CZ896" i="1"/>
  <c r="CY896" i="1"/>
  <c r="CS896" i="1" s="1"/>
  <c r="CX896" i="1"/>
  <c r="CR896" i="1" s="1"/>
  <c r="CU896" i="1"/>
  <c r="CT896" i="1"/>
  <c r="BZ896" i="1"/>
  <c r="CA896" i="1" s="1"/>
  <c r="BY896" i="1"/>
  <c r="BX896" i="1"/>
  <c r="BW896" i="1"/>
  <c r="BV896" i="1"/>
  <c r="BU896" i="1"/>
  <c r="BT896" i="1"/>
  <c r="BS896" i="1"/>
  <c r="AH896" i="1"/>
  <c r="AG896" i="1"/>
  <c r="AF896" i="1"/>
  <c r="AE896" i="1"/>
  <c r="AD896" i="1"/>
  <c r="AC896" i="1"/>
  <c r="EA895" i="1"/>
  <c r="DZ895" i="1"/>
  <c r="DY895" i="1"/>
  <c r="DX895" i="1"/>
  <c r="DW895" i="1"/>
  <c r="DV895" i="1"/>
  <c r="DC895" i="1"/>
  <c r="DB895" i="1"/>
  <c r="CV895" i="1" s="1"/>
  <c r="DA895" i="1"/>
  <c r="CU895" i="1" s="1"/>
  <c r="CZ895" i="1"/>
  <c r="CY895" i="1"/>
  <c r="CX895" i="1"/>
  <c r="CR895" i="1" s="1"/>
  <c r="CW895" i="1"/>
  <c r="CT895" i="1"/>
  <c r="CS895" i="1"/>
  <c r="CB895" i="1"/>
  <c r="CA895" i="1"/>
  <c r="BZ895" i="1"/>
  <c r="BY895" i="1"/>
  <c r="BX895" i="1"/>
  <c r="BW895" i="1"/>
  <c r="BV895" i="1"/>
  <c r="BU895" i="1"/>
  <c r="CC895" i="1" s="1"/>
  <c r="BT895" i="1"/>
  <c r="BS895" i="1"/>
  <c r="AH895" i="1"/>
  <c r="AG895" i="1"/>
  <c r="AF895" i="1"/>
  <c r="AE895" i="1"/>
  <c r="AD895" i="1"/>
  <c r="AC895" i="1"/>
  <c r="EA894" i="1"/>
  <c r="DZ894" i="1"/>
  <c r="DY894" i="1"/>
  <c r="DX894" i="1"/>
  <c r="DW894" i="1"/>
  <c r="DV894" i="1"/>
  <c r="DC894" i="1"/>
  <c r="DB894" i="1"/>
  <c r="DA894" i="1"/>
  <c r="CU894" i="1" s="1"/>
  <c r="CZ894" i="1"/>
  <c r="CT894" i="1" s="1"/>
  <c r="CY894" i="1"/>
  <c r="CX894" i="1"/>
  <c r="CW894" i="1"/>
  <c r="CV894" i="1"/>
  <c r="CS894" i="1"/>
  <c r="CR894" i="1"/>
  <c r="CA894" i="1"/>
  <c r="BZ894" i="1"/>
  <c r="BY894" i="1"/>
  <c r="BX894" i="1"/>
  <c r="BW894" i="1"/>
  <c r="BV894" i="1"/>
  <c r="BU894" i="1"/>
  <c r="BT894" i="1"/>
  <c r="BS894" i="1"/>
  <c r="AH894" i="1"/>
  <c r="AG894" i="1"/>
  <c r="AF894" i="1"/>
  <c r="AE894" i="1"/>
  <c r="AD894" i="1"/>
  <c r="AC894" i="1"/>
  <c r="EA893" i="1"/>
  <c r="DZ893" i="1"/>
  <c r="DY893" i="1"/>
  <c r="DX893" i="1"/>
  <c r="DW893" i="1"/>
  <c r="DV893" i="1"/>
  <c r="DC893" i="1"/>
  <c r="CW893" i="1" s="1"/>
  <c r="DB893" i="1"/>
  <c r="DA893" i="1"/>
  <c r="CZ893" i="1"/>
  <c r="CT893" i="1" s="1"/>
  <c r="CY893" i="1"/>
  <c r="CS893" i="1" s="1"/>
  <c r="CX893" i="1"/>
  <c r="CV893" i="1"/>
  <c r="CU893" i="1"/>
  <c r="CR893" i="1"/>
  <c r="BZ893" i="1"/>
  <c r="CA893" i="1" s="1"/>
  <c r="BY893" i="1"/>
  <c r="BX893" i="1"/>
  <c r="BW893" i="1"/>
  <c r="BV893" i="1"/>
  <c r="BU893" i="1"/>
  <c r="BT893" i="1"/>
  <c r="BS893" i="1"/>
  <c r="AH893" i="1"/>
  <c r="AG893" i="1"/>
  <c r="AF893" i="1"/>
  <c r="AE893" i="1"/>
  <c r="AD893" i="1"/>
  <c r="AC893" i="1"/>
  <c r="EA892" i="1"/>
  <c r="DZ892" i="1"/>
  <c r="DY892" i="1"/>
  <c r="DX892" i="1"/>
  <c r="DW892" i="1"/>
  <c r="DV892" i="1"/>
  <c r="DC892" i="1"/>
  <c r="CW892" i="1" s="1"/>
  <c r="DB892" i="1"/>
  <c r="CV892" i="1" s="1"/>
  <c r="DA892" i="1"/>
  <c r="CZ892" i="1"/>
  <c r="CY892" i="1"/>
  <c r="CS892" i="1" s="1"/>
  <c r="CX892" i="1"/>
  <c r="CR892" i="1" s="1"/>
  <c r="CU892" i="1"/>
  <c r="CT892" i="1"/>
  <c r="CC892" i="1"/>
  <c r="CB892" i="1"/>
  <c r="BZ892" i="1"/>
  <c r="CA892" i="1" s="1"/>
  <c r="BY892" i="1"/>
  <c r="BX892" i="1"/>
  <c r="BW892" i="1"/>
  <c r="BV892" i="1"/>
  <c r="BU892" i="1"/>
  <c r="BT892" i="1"/>
  <c r="BS892" i="1"/>
  <c r="AH892" i="1"/>
  <c r="AG892" i="1"/>
  <c r="AF892" i="1"/>
  <c r="AE892" i="1"/>
  <c r="AD892" i="1"/>
  <c r="AC892" i="1"/>
  <c r="EA891" i="1"/>
  <c r="DZ891" i="1"/>
  <c r="DY891" i="1"/>
  <c r="DX891" i="1"/>
  <c r="DW891" i="1"/>
  <c r="DV891" i="1"/>
  <c r="DC891" i="1"/>
  <c r="DB891" i="1"/>
  <c r="CV891" i="1" s="1"/>
  <c r="DA891" i="1"/>
  <c r="CU891" i="1" s="1"/>
  <c r="CZ891" i="1"/>
  <c r="CY891" i="1"/>
  <c r="CX891" i="1"/>
  <c r="CR891" i="1" s="1"/>
  <c r="CW891" i="1"/>
  <c r="CT891" i="1"/>
  <c r="CS891" i="1"/>
  <c r="CA891" i="1"/>
  <c r="CB891" i="1" s="1"/>
  <c r="BZ891" i="1"/>
  <c r="BY891" i="1"/>
  <c r="BX891" i="1"/>
  <c r="BW891" i="1"/>
  <c r="BV891" i="1"/>
  <c r="BU891" i="1"/>
  <c r="BT891" i="1"/>
  <c r="BS891" i="1"/>
  <c r="AH891" i="1"/>
  <c r="AG891" i="1"/>
  <c r="AF891" i="1"/>
  <c r="AE891" i="1"/>
  <c r="AD891" i="1"/>
  <c r="AC891" i="1"/>
  <c r="EA890" i="1"/>
  <c r="DZ890" i="1"/>
  <c r="DY890" i="1"/>
  <c r="DX890" i="1"/>
  <c r="DW890" i="1"/>
  <c r="DV890" i="1"/>
  <c r="DC890" i="1"/>
  <c r="DB890" i="1"/>
  <c r="DA890" i="1"/>
  <c r="CU890" i="1" s="1"/>
  <c r="CZ890" i="1"/>
  <c r="CT890" i="1" s="1"/>
  <c r="CY890" i="1"/>
  <c r="CX890" i="1"/>
  <c r="CW890" i="1"/>
  <c r="CV890" i="1"/>
  <c r="CS890" i="1"/>
  <c r="CR890" i="1"/>
  <c r="BZ890" i="1"/>
  <c r="CA890" i="1" s="1"/>
  <c r="CB890" i="1" s="1"/>
  <c r="BY890" i="1"/>
  <c r="BX890" i="1"/>
  <c r="BW890" i="1"/>
  <c r="BV890" i="1"/>
  <c r="BU890" i="1"/>
  <c r="CC890" i="1" s="1"/>
  <c r="BT890" i="1"/>
  <c r="BS890" i="1"/>
  <c r="AH890" i="1"/>
  <c r="AG890" i="1"/>
  <c r="AF890" i="1"/>
  <c r="AE890" i="1"/>
  <c r="AD890" i="1"/>
  <c r="AC890" i="1"/>
  <c r="EA889" i="1"/>
  <c r="DZ889" i="1"/>
  <c r="DY889" i="1"/>
  <c r="DX889" i="1"/>
  <c r="DW889" i="1"/>
  <c r="DV889" i="1"/>
  <c r="DC889" i="1"/>
  <c r="CW889" i="1" s="1"/>
  <c r="DB889" i="1"/>
  <c r="DA889" i="1"/>
  <c r="CZ889" i="1"/>
  <c r="CT889" i="1" s="1"/>
  <c r="CY889" i="1"/>
  <c r="CS889" i="1" s="1"/>
  <c r="CX889" i="1"/>
  <c r="CV889" i="1"/>
  <c r="CU889" i="1"/>
  <c r="CR889" i="1"/>
  <c r="CC889" i="1"/>
  <c r="BZ889" i="1"/>
  <c r="CA889" i="1" s="1"/>
  <c r="BY889" i="1"/>
  <c r="BX889" i="1"/>
  <c r="BW889" i="1"/>
  <c r="BV889" i="1"/>
  <c r="BU889" i="1"/>
  <c r="BT889" i="1"/>
  <c r="BS889" i="1"/>
  <c r="AH889" i="1"/>
  <c r="AG889" i="1"/>
  <c r="AF889" i="1"/>
  <c r="AE889" i="1"/>
  <c r="AD889" i="1"/>
  <c r="AC889" i="1"/>
  <c r="EA888" i="1"/>
  <c r="DZ888" i="1"/>
  <c r="DY888" i="1"/>
  <c r="DX888" i="1"/>
  <c r="DW888" i="1"/>
  <c r="DV888" i="1"/>
  <c r="DC888" i="1"/>
  <c r="CW888" i="1" s="1"/>
  <c r="DB888" i="1"/>
  <c r="CV888" i="1" s="1"/>
  <c r="DA888" i="1"/>
  <c r="CZ888" i="1"/>
  <c r="CY888" i="1"/>
  <c r="CS888" i="1" s="1"/>
  <c r="CX888" i="1"/>
  <c r="CR888" i="1" s="1"/>
  <c r="CU888" i="1"/>
  <c r="CT888" i="1"/>
  <c r="BZ888" i="1"/>
  <c r="CA888" i="1" s="1"/>
  <c r="BY888" i="1"/>
  <c r="BX888" i="1"/>
  <c r="BW888" i="1"/>
  <c r="BV888" i="1"/>
  <c r="BU888" i="1"/>
  <c r="BT888" i="1"/>
  <c r="BS888" i="1"/>
  <c r="AH888" i="1"/>
  <c r="AG888" i="1"/>
  <c r="AF888" i="1"/>
  <c r="AE888" i="1"/>
  <c r="AD888" i="1"/>
  <c r="AC888" i="1"/>
  <c r="EA887" i="1"/>
  <c r="DZ887" i="1"/>
  <c r="DY887" i="1"/>
  <c r="DX887" i="1"/>
  <c r="DW887" i="1"/>
  <c r="DV887" i="1"/>
  <c r="DC887" i="1"/>
  <c r="DB887" i="1"/>
  <c r="CV887" i="1" s="1"/>
  <c r="DA887" i="1"/>
  <c r="CU887" i="1" s="1"/>
  <c r="CZ887" i="1"/>
  <c r="CY887" i="1"/>
  <c r="CX887" i="1"/>
  <c r="CR887" i="1" s="1"/>
  <c r="CW887" i="1"/>
  <c r="CT887" i="1"/>
  <c r="CS887" i="1"/>
  <c r="CB887" i="1"/>
  <c r="CA887" i="1"/>
  <c r="BZ887" i="1"/>
  <c r="BY887" i="1"/>
  <c r="BX887" i="1"/>
  <c r="BW887" i="1"/>
  <c r="BV887" i="1"/>
  <c r="BU887" i="1"/>
  <c r="CC887" i="1" s="1"/>
  <c r="BT887" i="1"/>
  <c r="BS887" i="1"/>
  <c r="AH887" i="1"/>
  <c r="AG887" i="1"/>
  <c r="AF887" i="1"/>
  <c r="AE887" i="1"/>
  <c r="AD887" i="1"/>
  <c r="AC887" i="1"/>
  <c r="EA886" i="1"/>
  <c r="DZ886" i="1"/>
  <c r="DY886" i="1"/>
  <c r="DX886" i="1"/>
  <c r="DW886" i="1"/>
  <c r="DV886" i="1"/>
  <c r="DC886" i="1"/>
  <c r="DB886" i="1"/>
  <c r="DA886" i="1"/>
  <c r="CU886" i="1" s="1"/>
  <c r="CZ886" i="1"/>
  <c r="CT886" i="1" s="1"/>
  <c r="CY886" i="1"/>
  <c r="CX886" i="1"/>
  <c r="CW886" i="1"/>
  <c r="CV886" i="1"/>
  <c r="CS886" i="1"/>
  <c r="CR886" i="1"/>
  <c r="CA886" i="1"/>
  <c r="BZ886" i="1"/>
  <c r="BY886" i="1"/>
  <c r="BX886" i="1"/>
  <c r="BW886" i="1"/>
  <c r="BV886" i="1"/>
  <c r="BU886" i="1"/>
  <c r="BT886" i="1"/>
  <c r="BS886" i="1"/>
  <c r="AH886" i="1"/>
  <c r="AG886" i="1"/>
  <c r="AF886" i="1"/>
  <c r="AE886" i="1"/>
  <c r="AD886" i="1"/>
  <c r="AC886" i="1"/>
  <c r="EA885" i="1"/>
  <c r="DZ885" i="1"/>
  <c r="DY885" i="1"/>
  <c r="DX885" i="1"/>
  <c r="DW885" i="1"/>
  <c r="DV885" i="1"/>
  <c r="DC885" i="1"/>
  <c r="CW885" i="1" s="1"/>
  <c r="DB885" i="1"/>
  <c r="DA885" i="1"/>
  <c r="CZ885" i="1"/>
  <c r="CT885" i="1" s="1"/>
  <c r="CY885" i="1"/>
  <c r="CS885" i="1" s="1"/>
  <c r="CX885" i="1"/>
  <c r="CV885" i="1"/>
  <c r="CU885" i="1"/>
  <c r="CR885" i="1"/>
  <c r="BZ885" i="1"/>
  <c r="CA885" i="1" s="1"/>
  <c r="BY885" i="1"/>
  <c r="BX885" i="1"/>
  <c r="BW885" i="1"/>
  <c r="BV885" i="1"/>
  <c r="BU885" i="1"/>
  <c r="BT885" i="1"/>
  <c r="BS885" i="1"/>
  <c r="AH885" i="1"/>
  <c r="AG885" i="1"/>
  <c r="AF885" i="1"/>
  <c r="AE885" i="1"/>
  <c r="AD885" i="1"/>
  <c r="AC885" i="1"/>
  <c r="EA884" i="1"/>
  <c r="DZ884" i="1"/>
  <c r="DY884" i="1"/>
  <c r="DX884" i="1"/>
  <c r="DW884" i="1"/>
  <c r="DV884" i="1"/>
  <c r="DC884" i="1"/>
  <c r="CW884" i="1" s="1"/>
  <c r="DB884" i="1"/>
  <c r="CV884" i="1" s="1"/>
  <c r="DA884" i="1"/>
  <c r="CZ884" i="1"/>
  <c r="CY884" i="1"/>
  <c r="CS884" i="1" s="1"/>
  <c r="CX884" i="1"/>
  <c r="CR884" i="1" s="1"/>
  <c r="CU884" i="1"/>
  <c r="CT884" i="1"/>
  <c r="CC884" i="1"/>
  <c r="CB884" i="1"/>
  <c r="BZ884" i="1"/>
  <c r="CA884" i="1" s="1"/>
  <c r="BY884" i="1"/>
  <c r="BX884" i="1"/>
  <c r="BW884" i="1"/>
  <c r="BV884" i="1"/>
  <c r="BU884" i="1"/>
  <c r="BT884" i="1"/>
  <c r="BS884" i="1"/>
  <c r="AH884" i="1"/>
  <c r="AG884" i="1"/>
  <c r="AF884" i="1"/>
  <c r="AE884" i="1"/>
  <c r="AD884" i="1"/>
  <c r="AC884" i="1"/>
  <c r="EA883" i="1"/>
  <c r="DZ883" i="1"/>
  <c r="DY883" i="1"/>
  <c r="DX883" i="1"/>
  <c r="DW883" i="1"/>
  <c r="DV883" i="1"/>
  <c r="DC883" i="1"/>
  <c r="DB883" i="1"/>
  <c r="CV883" i="1" s="1"/>
  <c r="DA883" i="1"/>
  <c r="CU883" i="1" s="1"/>
  <c r="CZ883" i="1"/>
  <c r="CY883" i="1"/>
  <c r="CX883" i="1"/>
  <c r="CR883" i="1" s="1"/>
  <c r="CW883" i="1"/>
  <c r="CT883" i="1"/>
  <c r="CS883" i="1"/>
  <c r="CA883" i="1"/>
  <c r="CB883" i="1" s="1"/>
  <c r="BZ883" i="1"/>
  <c r="BY883" i="1"/>
  <c r="BX883" i="1"/>
  <c r="BW883" i="1"/>
  <c r="BV883" i="1"/>
  <c r="BU883" i="1"/>
  <c r="BT883" i="1"/>
  <c r="BS883" i="1"/>
  <c r="AH883" i="1"/>
  <c r="AG883" i="1"/>
  <c r="AF883" i="1"/>
  <c r="AE883" i="1"/>
  <c r="AD883" i="1"/>
  <c r="AC883" i="1"/>
  <c r="EA882" i="1"/>
  <c r="DZ882" i="1"/>
  <c r="DY882" i="1"/>
  <c r="DX882" i="1"/>
  <c r="DW882" i="1"/>
  <c r="DV882" i="1"/>
  <c r="DC882" i="1"/>
  <c r="DB882" i="1"/>
  <c r="DA882" i="1"/>
  <c r="CU882" i="1" s="1"/>
  <c r="CZ882" i="1"/>
  <c r="CT882" i="1" s="1"/>
  <c r="CY882" i="1"/>
  <c r="CX882" i="1"/>
  <c r="CW882" i="1"/>
  <c r="CV882" i="1"/>
  <c r="CS882" i="1"/>
  <c r="CR882" i="1"/>
  <c r="BZ882" i="1"/>
  <c r="CA882" i="1" s="1"/>
  <c r="CB882" i="1" s="1"/>
  <c r="BY882" i="1"/>
  <c r="BX882" i="1"/>
  <c r="BW882" i="1"/>
  <c r="BV882" i="1"/>
  <c r="BU882" i="1"/>
  <c r="CC882" i="1" s="1"/>
  <c r="BT882" i="1"/>
  <c r="BS882" i="1"/>
  <c r="AH882" i="1"/>
  <c r="AG882" i="1"/>
  <c r="AF882" i="1"/>
  <c r="AE882" i="1"/>
  <c r="AD882" i="1"/>
  <c r="AC882" i="1"/>
  <c r="EA881" i="1"/>
  <c r="DZ881" i="1"/>
  <c r="DY881" i="1"/>
  <c r="DX881" i="1"/>
  <c r="DW881" i="1"/>
  <c r="DV881" i="1"/>
  <c r="DC881" i="1"/>
  <c r="CW881" i="1" s="1"/>
  <c r="DB881" i="1"/>
  <c r="DA881" i="1"/>
  <c r="CZ881" i="1"/>
  <c r="CT881" i="1" s="1"/>
  <c r="CY881" i="1"/>
  <c r="CS881" i="1" s="1"/>
  <c r="CX881" i="1"/>
  <c r="CV881" i="1"/>
  <c r="CU881" i="1"/>
  <c r="CR881" i="1"/>
  <c r="CC881" i="1"/>
  <c r="BZ881" i="1"/>
  <c r="CA881" i="1" s="1"/>
  <c r="BY881" i="1"/>
  <c r="BX881" i="1"/>
  <c r="BW881" i="1"/>
  <c r="BV881" i="1"/>
  <c r="BU881" i="1"/>
  <c r="BT881" i="1"/>
  <c r="BS881" i="1"/>
  <c r="AH881" i="1"/>
  <c r="AG881" i="1"/>
  <c r="AF881" i="1"/>
  <c r="AE881" i="1"/>
  <c r="AD881" i="1"/>
  <c r="AC881" i="1"/>
  <c r="EA880" i="1"/>
  <c r="DZ880" i="1"/>
  <c r="DY880" i="1"/>
  <c r="DX880" i="1"/>
  <c r="DW880" i="1"/>
  <c r="DV880" i="1"/>
  <c r="DC880" i="1"/>
  <c r="CW880" i="1" s="1"/>
  <c r="DB880" i="1"/>
  <c r="CV880" i="1" s="1"/>
  <c r="DA880" i="1"/>
  <c r="CZ880" i="1"/>
  <c r="CY880" i="1"/>
  <c r="CS880" i="1" s="1"/>
  <c r="CX880" i="1"/>
  <c r="CR880" i="1" s="1"/>
  <c r="CU880" i="1"/>
  <c r="CT880" i="1"/>
  <c r="BZ880" i="1"/>
  <c r="CA880" i="1" s="1"/>
  <c r="BY880" i="1"/>
  <c r="BX880" i="1"/>
  <c r="BW880" i="1"/>
  <c r="BV880" i="1"/>
  <c r="BU880" i="1"/>
  <c r="BT880" i="1"/>
  <c r="BS880" i="1"/>
  <c r="AH880" i="1"/>
  <c r="AG880" i="1"/>
  <c r="AF880" i="1"/>
  <c r="AE880" i="1"/>
  <c r="AD880" i="1"/>
  <c r="AC880" i="1"/>
  <c r="EA879" i="1"/>
  <c r="DZ879" i="1"/>
  <c r="DY879" i="1"/>
  <c r="DX879" i="1"/>
  <c r="DW879" i="1"/>
  <c r="DV879" i="1"/>
  <c r="DC879" i="1"/>
  <c r="DB879" i="1"/>
  <c r="CV879" i="1" s="1"/>
  <c r="DA879" i="1"/>
  <c r="CU879" i="1" s="1"/>
  <c r="CZ879" i="1"/>
  <c r="CY879" i="1"/>
  <c r="CX879" i="1"/>
  <c r="CR879" i="1" s="1"/>
  <c r="CW879" i="1"/>
  <c r="CT879" i="1"/>
  <c r="CS879" i="1"/>
  <c r="CB879" i="1"/>
  <c r="CA879" i="1"/>
  <c r="BZ879" i="1"/>
  <c r="BY879" i="1"/>
  <c r="BX879" i="1"/>
  <c r="BW879" i="1"/>
  <c r="BV879" i="1"/>
  <c r="BU879" i="1"/>
  <c r="CC879" i="1" s="1"/>
  <c r="BT879" i="1"/>
  <c r="BS879" i="1"/>
  <c r="AH879" i="1"/>
  <c r="AG879" i="1"/>
  <c r="AF879" i="1"/>
  <c r="AE879" i="1"/>
  <c r="AD879" i="1"/>
  <c r="AC879" i="1"/>
  <c r="EA878" i="1"/>
  <c r="DZ878" i="1"/>
  <c r="DY878" i="1"/>
  <c r="DX878" i="1"/>
  <c r="DW878" i="1"/>
  <c r="DV878" i="1"/>
  <c r="DC878" i="1"/>
  <c r="DB878" i="1"/>
  <c r="DA878" i="1"/>
  <c r="CU878" i="1" s="1"/>
  <c r="CZ878" i="1"/>
  <c r="CT878" i="1" s="1"/>
  <c r="CY878" i="1"/>
  <c r="CX878" i="1"/>
  <c r="CW878" i="1"/>
  <c r="CV878" i="1"/>
  <c r="CS878" i="1"/>
  <c r="CR878" i="1"/>
  <c r="CA878" i="1"/>
  <c r="BZ878" i="1"/>
  <c r="BY878" i="1"/>
  <c r="BX878" i="1"/>
  <c r="BW878" i="1"/>
  <c r="BV878" i="1"/>
  <c r="BU878" i="1"/>
  <c r="BT878" i="1"/>
  <c r="BS878" i="1"/>
  <c r="AH878" i="1"/>
  <c r="AG878" i="1"/>
  <c r="AF878" i="1"/>
  <c r="AE878" i="1"/>
  <c r="AD878" i="1"/>
  <c r="AC878" i="1"/>
  <c r="EA877" i="1"/>
  <c r="DZ877" i="1"/>
  <c r="DY877" i="1"/>
  <c r="DX877" i="1"/>
  <c r="DW877" i="1"/>
  <c r="DV877" i="1"/>
  <c r="DC877" i="1"/>
  <c r="CW877" i="1" s="1"/>
  <c r="DB877" i="1"/>
  <c r="DA877" i="1"/>
  <c r="CZ877" i="1"/>
  <c r="CT877" i="1" s="1"/>
  <c r="CY877" i="1"/>
  <c r="CS877" i="1" s="1"/>
  <c r="CX877" i="1"/>
  <c r="CV877" i="1"/>
  <c r="CU877" i="1"/>
  <c r="CR877" i="1"/>
  <c r="BZ877" i="1"/>
  <c r="CA877" i="1" s="1"/>
  <c r="BY877" i="1"/>
  <c r="BX877" i="1"/>
  <c r="BW877" i="1"/>
  <c r="BV877" i="1"/>
  <c r="BU877" i="1"/>
  <c r="BT877" i="1"/>
  <c r="BS877" i="1"/>
  <c r="AH877" i="1"/>
  <c r="AG877" i="1"/>
  <c r="AF877" i="1"/>
  <c r="AE877" i="1"/>
  <c r="AD877" i="1"/>
  <c r="AC877" i="1"/>
  <c r="EA876" i="1"/>
  <c r="DZ876" i="1"/>
  <c r="DY876" i="1"/>
  <c r="DX876" i="1"/>
  <c r="DW876" i="1"/>
  <c r="DV876" i="1"/>
  <c r="DC876" i="1"/>
  <c r="CW876" i="1" s="1"/>
  <c r="DB876" i="1"/>
  <c r="CV876" i="1" s="1"/>
  <c r="DA876" i="1"/>
  <c r="CZ876" i="1"/>
  <c r="CY876" i="1"/>
  <c r="CS876" i="1" s="1"/>
  <c r="CX876" i="1"/>
  <c r="CR876" i="1" s="1"/>
  <c r="CU876" i="1"/>
  <c r="CT876" i="1"/>
  <c r="CC876" i="1"/>
  <c r="CB876" i="1"/>
  <c r="BZ876" i="1"/>
  <c r="CA876" i="1" s="1"/>
  <c r="BY876" i="1"/>
  <c r="BX876" i="1"/>
  <c r="BW876" i="1"/>
  <c r="BV876" i="1"/>
  <c r="BU876" i="1"/>
  <c r="BT876" i="1"/>
  <c r="BS876" i="1"/>
  <c r="AH876" i="1"/>
  <c r="AG876" i="1"/>
  <c r="AF876" i="1"/>
  <c r="AE876" i="1"/>
  <c r="AD876" i="1"/>
  <c r="AC876" i="1"/>
  <c r="EA875" i="1"/>
  <c r="DZ875" i="1"/>
  <c r="DY875" i="1"/>
  <c r="DX875" i="1"/>
  <c r="DW875" i="1"/>
  <c r="DV875" i="1"/>
  <c r="DC875" i="1"/>
  <c r="DB875" i="1"/>
  <c r="CV875" i="1" s="1"/>
  <c r="DA875" i="1"/>
  <c r="CU875" i="1" s="1"/>
  <c r="CZ875" i="1"/>
  <c r="CY875" i="1"/>
  <c r="CX875" i="1"/>
  <c r="CR875" i="1" s="1"/>
  <c r="CW875" i="1"/>
  <c r="CT875" i="1"/>
  <c r="CS875" i="1"/>
  <c r="CA875" i="1"/>
  <c r="CB875" i="1" s="1"/>
  <c r="BZ875" i="1"/>
  <c r="BY875" i="1"/>
  <c r="BX875" i="1"/>
  <c r="BW875" i="1"/>
  <c r="BV875" i="1"/>
  <c r="BU875" i="1"/>
  <c r="BT875" i="1"/>
  <c r="BS875" i="1"/>
  <c r="AH875" i="1"/>
  <c r="AG875" i="1"/>
  <c r="AF875" i="1"/>
  <c r="AE875" i="1"/>
  <c r="AD875" i="1"/>
  <c r="AC875" i="1"/>
  <c r="EA874" i="1"/>
  <c r="DZ874" i="1"/>
  <c r="DY874" i="1"/>
  <c r="DX874" i="1"/>
  <c r="DW874" i="1"/>
  <c r="DV874" i="1"/>
  <c r="DC874" i="1"/>
  <c r="DB874" i="1"/>
  <c r="DA874" i="1"/>
  <c r="CU874" i="1" s="1"/>
  <c r="CZ874" i="1"/>
  <c r="CT874" i="1" s="1"/>
  <c r="CY874" i="1"/>
  <c r="CX874" i="1"/>
  <c r="CW874" i="1"/>
  <c r="CV874" i="1"/>
  <c r="CS874" i="1"/>
  <c r="CR874" i="1"/>
  <c r="BZ874" i="1"/>
  <c r="CA874" i="1" s="1"/>
  <c r="CB874" i="1" s="1"/>
  <c r="BY874" i="1"/>
  <c r="BX874" i="1"/>
  <c r="BW874" i="1"/>
  <c r="BV874" i="1"/>
  <c r="BU874" i="1"/>
  <c r="BT874" i="1"/>
  <c r="BS874" i="1"/>
  <c r="AH874" i="1"/>
  <c r="AG874" i="1"/>
  <c r="AF874" i="1"/>
  <c r="AE874" i="1"/>
  <c r="AD874" i="1"/>
  <c r="AC874" i="1"/>
  <c r="EA873" i="1"/>
  <c r="DZ873" i="1"/>
  <c r="DY873" i="1"/>
  <c r="DX873" i="1"/>
  <c r="DW873" i="1"/>
  <c r="DV873" i="1"/>
  <c r="DC873" i="1"/>
  <c r="CW873" i="1" s="1"/>
  <c r="DB873" i="1"/>
  <c r="DA873" i="1"/>
  <c r="CZ873" i="1"/>
  <c r="CT873" i="1" s="1"/>
  <c r="CY873" i="1"/>
  <c r="CS873" i="1" s="1"/>
  <c r="CX873" i="1"/>
  <c r="CV873" i="1"/>
  <c r="CU873" i="1"/>
  <c r="CR873" i="1"/>
  <c r="CC873" i="1"/>
  <c r="BZ873" i="1"/>
  <c r="CA873" i="1" s="1"/>
  <c r="BY873" i="1"/>
  <c r="BX873" i="1"/>
  <c r="BW873" i="1"/>
  <c r="BV873" i="1"/>
  <c r="BU873" i="1"/>
  <c r="BT873" i="1"/>
  <c r="BS873" i="1"/>
  <c r="AH873" i="1"/>
  <c r="AG873" i="1"/>
  <c r="AF873" i="1"/>
  <c r="AE873" i="1"/>
  <c r="AD873" i="1"/>
  <c r="AC873" i="1"/>
  <c r="EA872" i="1"/>
  <c r="DZ872" i="1"/>
  <c r="DY872" i="1"/>
  <c r="DX872" i="1"/>
  <c r="DW872" i="1"/>
  <c r="DV872" i="1"/>
  <c r="DC872" i="1"/>
  <c r="CW872" i="1" s="1"/>
  <c r="DB872" i="1"/>
  <c r="CV872" i="1" s="1"/>
  <c r="DA872" i="1"/>
  <c r="CZ872" i="1"/>
  <c r="CY872" i="1"/>
  <c r="CS872" i="1" s="1"/>
  <c r="CX872" i="1"/>
  <c r="CR872" i="1" s="1"/>
  <c r="CU872" i="1"/>
  <c r="CT872" i="1"/>
  <c r="BZ872" i="1"/>
  <c r="CA872" i="1" s="1"/>
  <c r="BY872" i="1"/>
  <c r="BX872" i="1"/>
  <c r="BW872" i="1"/>
  <c r="BV872" i="1"/>
  <c r="BU872" i="1"/>
  <c r="BT872" i="1"/>
  <c r="BS872" i="1"/>
  <c r="AH872" i="1"/>
  <c r="AG872" i="1"/>
  <c r="AF872" i="1"/>
  <c r="AE872" i="1"/>
  <c r="AD872" i="1"/>
  <c r="AC872" i="1"/>
  <c r="EA871" i="1"/>
  <c r="DZ871" i="1"/>
  <c r="DY871" i="1"/>
  <c r="DX871" i="1"/>
  <c r="DW871" i="1"/>
  <c r="DV871" i="1"/>
  <c r="DC871" i="1"/>
  <c r="DB871" i="1"/>
  <c r="CV871" i="1" s="1"/>
  <c r="DA871" i="1"/>
  <c r="CU871" i="1" s="1"/>
  <c r="CZ871" i="1"/>
  <c r="CY871" i="1"/>
  <c r="CX871" i="1"/>
  <c r="CR871" i="1" s="1"/>
  <c r="CW871" i="1"/>
  <c r="CT871" i="1"/>
  <c r="CS871" i="1"/>
  <c r="CB871" i="1"/>
  <c r="CA871" i="1"/>
  <c r="BZ871" i="1"/>
  <c r="BY871" i="1"/>
  <c r="BX871" i="1"/>
  <c r="BW871" i="1"/>
  <c r="BV871" i="1"/>
  <c r="BU871" i="1"/>
  <c r="CC871" i="1" s="1"/>
  <c r="BT871" i="1"/>
  <c r="BS871" i="1"/>
  <c r="AH871" i="1"/>
  <c r="AG871" i="1"/>
  <c r="AF871" i="1"/>
  <c r="AE871" i="1"/>
  <c r="AD871" i="1"/>
  <c r="AC871" i="1"/>
  <c r="EA870" i="1"/>
  <c r="DZ870" i="1"/>
  <c r="DY870" i="1"/>
  <c r="DX870" i="1"/>
  <c r="DW870" i="1"/>
  <c r="DV870" i="1"/>
  <c r="DC870" i="1"/>
  <c r="DB870" i="1"/>
  <c r="DA870" i="1"/>
  <c r="CU870" i="1" s="1"/>
  <c r="CZ870" i="1"/>
  <c r="CT870" i="1" s="1"/>
  <c r="CY870" i="1"/>
  <c r="CX870" i="1"/>
  <c r="CW870" i="1"/>
  <c r="CV870" i="1"/>
  <c r="CS870" i="1"/>
  <c r="CR870" i="1"/>
  <c r="CA870" i="1"/>
  <c r="BZ870" i="1"/>
  <c r="BY870" i="1"/>
  <c r="BX870" i="1"/>
  <c r="BW870" i="1"/>
  <c r="BV870" i="1"/>
  <c r="BU870" i="1"/>
  <c r="BT870" i="1"/>
  <c r="BS870" i="1"/>
  <c r="AH870" i="1"/>
  <c r="AG870" i="1"/>
  <c r="AF870" i="1"/>
  <c r="AE870" i="1"/>
  <c r="AD870" i="1"/>
  <c r="AC870" i="1"/>
  <c r="EA869" i="1"/>
  <c r="DZ869" i="1"/>
  <c r="DY869" i="1"/>
  <c r="DX869" i="1"/>
  <c r="DW869" i="1"/>
  <c r="DV869" i="1"/>
  <c r="DC869" i="1"/>
  <c r="CW869" i="1" s="1"/>
  <c r="DB869" i="1"/>
  <c r="DA869" i="1"/>
  <c r="CZ869" i="1"/>
  <c r="CT869" i="1" s="1"/>
  <c r="CY869" i="1"/>
  <c r="CS869" i="1" s="1"/>
  <c r="CX869" i="1"/>
  <c r="CV869" i="1"/>
  <c r="CU869" i="1"/>
  <c r="CR869" i="1"/>
  <c r="BZ869" i="1"/>
  <c r="CA869" i="1" s="1"/>
  <c r="BY869" i="1"/>
  <c r="BX869" i="1"/>
  <c r="BW869" i="1"/>
  <c r="BV869" i="1"/>
  <c r="BU869" i="1"/>
  <c r="BT869" i="1"/>
  <c r="BS869" i="1"/>
  <c r="AH869" i="1"/>
  <c r="AG869" i="1"/>
  <c r="AF869" i="1"/>
  <c r="AE869" i="1"/>
  <c r="AD869" i="1"/>
  <c r="AC869" i="1"/>
  <c r="EA868" i="1"/>
  <c r="DZ868" i="1"/>
  <c r="DY868" i="1"/>
  <c r="DX868" i="1"/>
  <c r="DW868" i="1"/>
  <c r="DV868" i="1"/>
  <c r="DC868" i="1"/>
  <c r="CW868" i="1" s="1"/>
  <c r="DB868" i="1"/>
  <c r="CV868" i="1" s="1"/>
  <c r="DA868" i="1"/>
  <c r="CZ868" i="1"/>
  <c r="CY868" i="1"/>
  <c r="CS868" i="1" s="1"/>
  <c r="CX868" i="1"/>
  <c r="CR868" i="1" s="1"/>
  <c r="CU868" i="1"/>
  <c r="CT868" i="1"/>
  <c r="CC868" i="1"/>
  <c r="CB868" i="1"/>
  <c r="BZ868" i="1"/>
  <c r="CA868" i="1" s="1"/>
  <c r="BY868" i="1"/>
  <c r="BX868" i="1"/>
  <c r="BW868" i="1"/>
  <c r="BV868" i="1"/>
  <c r="BU868" i="1"/>
  <c r="BT868" i="1"/>
  <c r="BS868" i="1"/>
  <c r="AH868" i="1"/>
  <c r="AG868" i="1"/>
  <c r="AF868" i="1"/>
  <c r="AE868" i="1"/>
  <c r="AD868" i="1"/>
  <c r="AC868" i="1"/>
  <c r="EA867" i="1"/>
  <c r="DZ867" i="1"/>
  <c r="DY867" i="1"/>
  <c r="DX867" i="1"/>
  <c r="DW867" i="1"/>
  <c r="DV867" i="1"/>
  <c r="DC867" i="1"/>
  <c r="DB867" i="1"/>
  <c r="CV867" i="1" s="1"/>
  <c r="DA867" i="1"/>
  <c r="CU867" i="1" s="1"/>
  <c r="CZ867" i="1"/>
  <c r="CY867" i="1"/>
  <c r="CX867" i="1"/>
  <c r="CR867" i="1" s="1"/>
  <c r="CW867" i="1"/>
  <c r="CT867" i="1"/>
  <c r="CS867" i="1"/>
  <c r="CA867" i="1"/>
  <c r="CB867" i="1" s="1"/>
  <c r="BZ867" i="1"/>
  <c r="BY867" i="1"/>
  <c r="BX867" i="1"/>
  <c r="BW867" i="1"/>
  <c r="BV867" i="1"/>
  <c r="BU867" i="1"/>
  <c r="BT867" i="1"/>
  <c r="BS867" i="1"/>
  <c r="AH867" i="1"/>
  <c r="AG867" i="1"/>
  <c r="AF867" i="1"/>
  <c r="AE867" i="1"/>
  <c r="AD867" i="1"/>
  <c r="AC867" i="1"/>
  <c r="EA866" i="1"/>
  <c r="DZ866" i="1"/>
  <c r="DY866" i="1"/>
  <c r="DX866" i="1"/>
  <c r="DW866" i="1"/>
  <c r="DV866" i="1"/>
  <c r="DC866" i="1"/>
  <c r="DB866" i="1"/>
  <c r="DA866" i="1"/>
  <c r="CU866" i="1" s="1"/>
  <c r="CZ866" i="1"/>
  <c r="CT866" i="1" s="1"/>
  <c r="CY866" i="1"/>
  <c r="CX866" i="1"/>
  <c r="CW866" i="1"/>
  <c r="CV866" i="1"/>
  <c r="CS866" i="1"/>
  <c r="CR866" i="1"/>
  <c r="BZ866" i="1"/>
  <c r="CA866" i="1" s="1"/>
  <c r="CB866" i="1" s="1"/>
  <c r="BY866" i="1"/>
  <c r="BX866" i="1"/>
  <c r="BW866" i="1"/>
  <c r="BV866" i="1"/>
  <c r="BU866" i="1"/>
  <c r="CC866" i="1" s="1"/>
  <c r="BT866" i="1"/>
  <c r="BS866" i="1"/>
  <c r="AH866" i="1"/>
  <c r="AG866" i="1"/>
  <c r="AF866" i="1"/>
  <c r="AE866" i="1"/>
  <c r="AD866" i="1"/>
  <c r="AC866" i="1"/>
  <c r="EA865" i="1"/>
  <c r="DZ865" i="1"/>
  <c r="DY865" i="1"/>
  <c r="DX865" i="1"/>
  <c r="DW865" i="1"/>
  <c r="DV865" i="1"/>
  <c r="DC865" i="1"/>
  <c r="CW865" i="1" s="1"/>
  <c r="DB865" i="1"/>
  <c r="DA865" i="1"/>
  <c r="CZ865" i="1"/>
  <c r="CT865" i="1" s="1"/>
  <c r="CY865" i="1"/>
  <c r="CS865" i="1" s="1"/>
  <c r="CX865" i="1"/>
  <c r="CV865" i="1"/>
  <c r="CU865" i="1"/>
  <c r="CR865" i="1"/>
  <c r="CC865" i="1"/>
  <c r="BZ865" i="1"/>
  <c r="CA865" i="1" s="1"/>
  <c r="BY865" i="1"/>
  <c r="BX865" i="1"/>
  <c r="BW865" i="1"/>
  <c r="BV865" i="1"/>
  <c r="BU865" i="1"/>
  <c r="BT865" i="1"/>
  <c r="BS865" i="1"/>
  <c r="AH865" i="1"/>
  <c r="AG865" i="1"/>
  <c r="AF865" i="1"/>
  <c r="AE865" i="1"/>
  <c r="AD865" i="1"/>
  <c r="AC865" i="1"/>
  <c r="EA864" i="1"/>
  <c r="DZ864" i="1"/>
  <c r="DY864" i="1"/>
  <c r="DX864" i="1"/>
  <c r="DW864" i="1"/>
  <c r="DV864" i="1"/>
  <c r="DC864" i="1"/>
  <c r="CW864" i="1" s="1"/>
  <c r="DB864" i="1"/>
  <c r="CV864" i="1" s="1"/>
  <c r="DA864" i="1"/>
  <c r="CZ864" i="1"/>
  <c r="CY864" i="1"/>
  <c r="CS864" i="1" s="1"/>
  <c r="CX864" i="1"/>
  <c r="CR864" i="1" s="1"/>
  <c r="CU864" i="1"/>
  <c r="CT864" i="1"/>
  <c r="BZ864" i="1"/>
  <c r="CA864" i="1" s="1"/>
  <c r="BY864" i="1"/>
  <c r="BX864" i="1"/>
  <c r="BW864" i="1"/>
  <c r="BV864" i="1"/>
  <c r="BU864" i="1"/>
  <c r="BT864" i="1"/>
  <c r="BS864" i="1"/>
  <c r="AH864" i="1"/>
  <c r="AG864" i="1"/>
  <c r="AF864" i="1"/>
  <c r="AE864" i="1"/>
  <c r="AD864" i="1"/>
  <c r="AC864" i="1"/>
  <c r="EA863" i="1"/>
  <c r="DZ863" i="1"/>
  <c r="DY863" i="1"/>
  <c r="DX863" i="1"/>
  <c r="DW863" i="1"/>
  <c r="DV863" i="1"/>
  <c r="DC863" i="1"/>
  <c r="DB863" i="1"/>
  <c r="CV863" i="1" s="1"/>
  <c r="DA863" i="1"/>
  <c r="CU863" i="1" s="1"/>
  <c r="CZ863" i="1"/>
  <c r="CY863" i="1"/>
  <c r="CX863" i="1"/>
  <c r="CR863" i="1" s="1"/>
  <c r="CW863" i="1"/>
  <c r="CT863" i="1"/>
  <c r="CS863" i="1"/>
  <c r="CB863" i="1"/>
  <c r="CA863" i="1"/>
  <c r="BZ863" i="1"/>
  <c r="BY863" i="1"/>
  <c r="BX863" i="1"/>
  <c r="BW863" i="1"/>
  <c r="BV863" i="1"/>
  <c r="BU863" i="1"/>
  <c r="CC863" i="1" s="1"/>
  <c r="BT863" i="1"/>
  <c r="BS863" i="1"/>
  <c r="AH863" i="1"/>
  <c r="AG863" i="1"/>
  <c r="AF863" i="1"/>
  <c r="AE863" i="1"/>
  <c r="AD863" i="1"/>
  <c r="AC863" i="1"/>
  <c r="EA862" i="1"/>
  <c r="DZ862" i="1"/>
  <c r="DY862" i="1"/>
  <c r="DX862" i="1"/>
  <c r="DW862" i="1"/>
  <c r="DV862" i="1"/>
  <c r="DC862" i="1"/>
  <c r="DB862" i="1"/>
  <c r="DA862" i="1"/>
  <c r="CU862" i="1" s="1"/>
  <c r="CZ862" i="1"/>
  <c r="CT862" i="1" s="1"/>
  <c r="CY862" i="1"/>
  <c r="CX862" i="1"/>
  <c r="CW862" i="1"/>
  <c r="CV862" i="1"/>
  <c r="CS862" i="1"/>
  <c r="CR862" i="1"/>
  <c r="CA862" i="1"/>
  <c r="BZ862" i="1"/>
  <c r="BY862" i="1"/>
  <c r="BX862" i="1"/>
  <c r="BW862" i="1"/>
  <c r="BV862" i="1"/>
  <c r="BU862" i="1"/>
  <c r="BT862" i="1"/>
  <c r="BS862" i="1"/>
  <c r="AH862" i="1"/>
  <c r="AG862" i="1"/>
  <c r="AF862" i="1"/>
  <c r="AE862" i="1"/>
  <c r="AD862" i="1"/>
  <c r="AC862" i="1"/>
  <c r="EA861" i="1"/>
  <c r="DZ861" i="1"/>
  <c r="DY861" i="1"/>
  <c r="DX861" i="1"/>
  <c r="DW861" i="1"/>
  <c r="DV861" i="1"/>
  <c r="DC861" i="1"/>
  <c r="CW861" i="1" s="1"/>
  <c r="DB861" i="1"/>
  <c r="DA861" i="1"/>
  <c r="CZ861" i="1"/>
  <c r="CT861" i="1" s="1"/>
  <c r="CY861" i="1"/>
  <c r="CS861" i="1" s="1"/>
  <c r="CX861" i="1"/>
  <c r="CV861" i="1"/>
  <c r="CU861" i="1"/>
  <c r="CR861" i="1"/>
  <c r="BZ861" i="1"/>
  <c r="CA861" i="1" s="1"/>
  <c r="BY861" i="1"/>
  <c r="BX861" i="1"/>
  <c r="BW861" i="1"/>
  <c r="BV861" i="1"/>
  <c r="BU861" i="1"/>
  <c r="BT861" i="1"/>
  <c r="BS861" i="1"/>
  <c r="AH861" i="1"/>
  <c r="AG861" i="1"/>
  <c r="AF861" i="1"/>
  <c r="AE861" i="1"/>
  <c r="AD861" i="1"/>
  <c r="AC861" i="1"/>
  <c r="EA860" i="1"/>
  <c r="DZ860" i="1"/>
  <c r="DY860" i="1"/>
  <c r="DX860" i="1"/>
  <c r="DW860" i="1"/>
  <c r="DV860" i="1"/>
  <c r="DC860" i="1"/>
  <c r="CW860" i="1" s="1"/>
  <c r="DB860" i="1"/>
  <c r="CV860" i="1" s="1"/>
  <c r="DA860" i="1"/>
  <c r="CZ860" i="1"/>
  <c r="CY860" i="1"/>
  <c r="CS860" i="1" s="1"/>
  <c r="CX860" i="1"/>
  <c r="CU860" i="1"/>
  <c r="CT860" i="1"/>
  <c r="CR860" i="1"/>
  <c r="BZ860" i="1"/>
  <c r="CA860" i="1" s="1"/>
  <c r="BY860" i="1"/>
  <c r="BX860" i="1"/>
  <c r="BW860" i="1"/>
  <c r="BV860" i="1"/>
  <c r="BU860" i="1"/>
  <c r="BT860" i="1"/>
  <c r="BS860" i="1"/>
  <c r="AH860" i="1"/>
  <c r="AG860" i="1"/>
  <c r="AF860" i="1"/>
  <c r="AE860" i="1"/>
  <c r="AD860" i="1"/>
  <c r="AC860" i="1"/>
  <c r="EA859" i="1"/>
  <c r="DZ859" i="1"/>
  <c r="DY859" i="1"/>
  <c r="DX859" i="1"/>
  <c r="DW859" i="1"/>
  <c r="DV859" i="1"/>
  <c r="DC859" i="1"/>
  <c r="CW859" i="1" s="1"/>
  <c r="DB859" i="1"/>
  <c r="CV859" i="1" s="1"/>
  <c r="DA859" i="1"/>
  <c r="CU859" i="1" s="1"/>
  <c r="CZ859" i="1"/>
  <c r="CY859" i="1"/>
  <c r="CX859" i="1"/>
  <c r="CR859" i="1" s="1"/>
  <c r="CT859" i="1"/>
  <c r="CS859" i="1"/>
  <c r="CA859" i="1"/>
  <c r="BZ859" i="1"/>
  <c r="BY859" i="1"/>
  <c r="BX859" i="1"/>
  <c r="BW859" i="1"/>
  <c r="BV859" i="1"/>
  <c r="BU859" i="1"/>
  <c r="CC859" i="1" s="1"/>
  <c r="BT859" i="1"/>
  <c r="BS859" i="1"/>
  <c r="AH859" i="1"/>
  <c r="AG859" i="1"/>
  <c r="AF859" i="1"/>
  <c r="AE859" i="1"/>
  <c r="AD859" i="1"/>
  <c r="AC859" i="1"/>
  <c r="EA858" i="1"/>
  <c r="DZ858" i="1"/>
  <c r="DY858" i="1"/>
  <c r="DX858" i="1"/>
  <c r="DW858" i="1"/>
  <c r="DV858" i="1"/>
  <c r="DC858" i="1"/>
  <c r="DB858" i="1"/>
  <c r="DA858" i="1"/>
  <c r="CU858" i="1" s="1"/>
  <c r="CZ858" i="1"/>
  <c r="CY858" i="1"/>
  <c r="CX858" i="1"/>
  <c r="CR858" i="1" s="1"/>
  <c r="CW858" i="1"/>
  <c r="CV858" i="1"/>
  <c r="CT858" i="1"/>
  <c r="CS858" i="1"/>
  <c r="CA858" i="1"/>
  <c r="BZ858" i="1"/>
  <c r="BY858" i="1"/>
  <c r="BX858" i="1"/>
  <c r="BW858" i="1"/>
  <c r="BV858" i="1"/>
  <c r="BU858" i="1"/>
  <c r="BT858" i="1"/>
  <c r="BS858" i="1"/>
  <c r="AH858" i="1"/>
  <c r="AG858" i="1"/>
  <c r="AF858" i="1"/>
  <c r="AE858" i="1"/>
  <c r="AD858" i="1"/>
  <c r="AC858" i="1"/>
  <c r="EA857" i="1"/>
  <c r="DZ857" i="1"/>
  <c r="DY857" i="1"/>
  <c r="DX857" i="1"/>
  <c r="DW857" i="1"/>
  <c r="DV857" i="1"/>
  <c r="DC857" i="1"/>
  <c r="DB857" i="1"/>
  <c r="DA857" i="1"/>
  <c r="CU857" i="1" s="1"/>
  <c r="CZ857" i="1"/>
  <c r="CT857" i="1" s="1"/>
  <c r="CY857" i="1"/>
  <c r="CS857" i="1" s="1"/>
  <c r="CX857" i="1"/>
  <c r="CW857" i="1"/>
  <c r="CV857" i="1"/>
  <c r="CR857" i="1"/>
  <c r="CC857" i="1"/>
  <c r="CA857" i="1"/>
  <c r="BZ857" i="1"/>
  <c r="BY857" i="1"/>
  <c r="BX857" i="1"/>
  <c r="BW857" i="1"/>
  <c r="BV857" i="1"/>
  <c r="BU857" i="1"/>
  <c r="CB857" i="1" s="1"/>
  <c r="BT857" i="1"/>
  <c r="BS857" i="1"/>
  <c r="AH857" i="1"/>
  <c r="AG857" i="1"/>
  <c r="AF857" i="1"/>
  <c r="AE857" i="1"/>
  <c r="AD857" i="1"/>
  <c r="AC857" i="1"/>
  <c r="EA856" i="1"/>
  <c r="DZ856" i="1"/>
  <c r="DY856" i="1"/>
  <c r="DX856" i="1"/>
  <c r="DW856" i="1"/>
  <c r="DV856" i="1"/>
  <c r="DC856" i="1"/>
  <c r="CW856" i="1" s="1"/>
  <c r="DB856" i="1"/>
  <c r="DA856" i="1"/>
  <c r="CZ856" i="1"/>
  <c r="CT856" i="1" s="1"/>
  <c r="CY856" i="1"/>
  <c r="CS856" i="1" s="1"/>
  <c r="CX856" i="1"/>
  <c r="CV856" i="1"/>
  <c r="CU856" i="1"/>
  <c r="CR856" i="1"/>
  <c r="CC856" i="1"/>
  <c r="BZ856" i="1"/>
  <c r="CA856" i="1" s="1"/>
  <c r="BY856" i="1"/>
  <c r="BX856" i="1"/>
  <c r="BW856" i="1"/>
  <c r="BV856" i="1"/>
  <c r="BU856" i="1"/>
  <c r="CB856" i="1" s="1"/>
  <c r="BT856" i="1"/>
  <c r="BS856" i="1"/>
  <c r="AH856" i="1"/>
  <c r="AG856" i="1"/>
  <c r="AF856" i="1"/>
  <c r="AE856" i="1"/>
  <c r="AD856" i="1"/>
  <c r="AC856" i="1"/>
  <c r="EA855" i="1"/>
  <c r="DZ855" i="1"/>
  <c r="DY855" i="1"/>
  <c r="DX855" i="1"/>
  <c r="DW855" i="1"/>
  <c r="DV855" i="1"/>
  <c r="DC855" i="1"/>
  <c r="DB855" i="1"/>
  <c r="CV855" i="1" s="1"/>
  <c r="DA855" i="1"/>
  <c r="CU855" i="1" s="1"/>
  <c r="CZ855" i="1"/>
  <c r="CY855" i="1"/>
  <c r="CX855" i="1"/>
  <c r="CR855" i="1" s="1"/>
  <c r="CW855" i="1"/>
  <c r="CT855" i="1"/>
  <c r="CS855" i="1"/>
  <c r="CC855" i="1"/>
  <c r="CA855" i="1"/>
  <c r="BZ855" i="1"/>
  <c r="BY855" i="1"/>
  <c r="BX855" i="1"/>
  <c r="BW855" i="1"/>
  <c r="BV855" i="1"/>
  <c r="BU855" i="1"/>
  <c r="CB855" i="1" s="1"/>
  <c r="BT855" i="1"/>
  <c r="BS855" i="1"/>
  <c r="AH855" i="1"/>
  <c r="AG855" i="1"/>
  <c r="AF855" i="1"/>
  <c r="AE855" i="1"/>
  <c r="AD855" i="1"/>
  <c r="AC855" i="1"/>
  <c r="EA854" i="1"/>
  <c r="DZ854" i="1"/>
  <c r="DY854" i="1"/>
  <c r="DX854" i="1"/>
  <c r="DW854" i="1"/>
  <c r="DV854" i="1"/>
  <c r="DC854" i="1"/>
  <c r="DB854" i="1"/>
  <c r="CV854" i="1" s="1"/>
  <c r="DA854" i="1"/>
  <c r="CU854" i="1" s="1"/>
  <c r="CZ854" i="1"/>
  <c r="CY854" i="1"/>
  <c r="CX854" i="1"/>
  <c r="CR854" i="1" s="1"/>
  <c r="CW854" i="1"/>
  <c r="CT854" i="1"/>
  <c r="CS854" i="1"/>
  <c r="BZ854" i="1"/>
  <c r="CA854" i="1" s="1"/>
  <c r="CB854" i="1" s="1"/>
  <c r="BY854" i="1"/>
  <c r="BX854" i="1"/>
  <c r="BW854" i="1"/>
  <c r="BV854" i="1"/>
  <c r="BU854" i="1"/>
  <c r="BT854" i="1"/>
  <c r="BS854" i="1"/>
  <c r="AH854" i="1"/>
  <c r="AG854" i="1"/>
  <c r="AF854" i="1"/>
  <c r="AE854" i="1"/>
  <c r="AD854" i="1"/>
  <c r="AC854" i="1"/>
  <c r="EA853" i="1"/>
  <c r="DZ853" i="1"/>
  <c r="DY853" i="1"/>
  <c r="DX853" i="1"/>
  <c r="DW853" i="1"/>
  <c r="DV853" i="1"/>
  <c r="DC853" i="1"/>
  <c r="CW853" i="1" s="1"/>
  <c r="DB853" i="1"/>
  <c r="DA853" i="1"/>
  <c r="CZ853" i="1"/>
  <c r="CT853" i="1" s="1"/>
  <c r="CY853" i="1"/>
  <c r="CS853" i="1" s="1"/>
  <c r="CX853" i="1"/>
  <c r="CV853" i="1"/>
  <c r="CU853" i="1"/>
  <c r="CR853" i="1"/>
  <c r="CA853" i="1"/>
  <c r="BZ853" i="1"/>
  <c r="BY853" i="1"/>
  <c r="BX853" i="1"/>
  <c r="BW853" i="1"/>
  <c r="BV853" i="1"/>
  <c r="BU853" i="1"/>
  <c r="BT853" i="1"/>
  <c r="BS853" i="1"/>
  <c r="AH853" i="1"/>
  <c r="AG853" i="1"/>
  <c r="AF853" i="1"/>
  <c r="AE853" i="1"/>
  <c r="AD853" i="1"/>
  <c r="AC853" i="1"/>
  <c r="EA852" i="1"/>
  <c r="DZ852" i="1"/>
  <c r="DY852" i="1"/>
  <c r="DX852" i="1"/>
  <c r="DW852" i="1"/>
  <c r="DV852" i="1"/>
  <c r="DC852" i="1"/>
  <c r="CW852" i="1" s="1"/>
  <c r="DB852" i="1"/>
  <c r="DA852" i="1"/>
  <c r="CZ852" i="1"/>
  <c r="CT852" i="1" s="1"/>
  <c r="CY852" i="1"/>
  <c r="CS852" i="1" s="1"/>
  <c r="CX852" i="1"/>
  <c r="CV852" i="1"/>
  <c r="CU852" i="1"/>
  <c r="CR852" i="1"/>
  <c r="CC852" i="1"/>
  <c r="CB852" i="1"/>
  <c r="BZ852" i="1"/>
  <c r="CA852" i="1" s="1"/>
  <c r="BY852" i="1"/>
  <c r="BX852" i="1"/>
  <c r="BW852" i="1"/>
  <c r="BV852" i="1"/>
  <c r="BU852" i="1"/>
  <c r="BT852" i="1"/>
  <c r="BS852" i="1"/>
  <c r="AH852" i="1"/>
  <c r="AG852" i="1"/>
  <c r="AF852" i="1"/>
  <c r="AE852" i="1"/>
  <c r="AD852" i="1"/>
  <c r="AC852" i="1"/>
  <c r="EA851" i="1"/>
  <c r="DZ851" i="1"/>
  <c r="DY851" i="1"/>
  <c r="DX851" i="1"/>
  <c r="DW851" i="1"/>
  <c r="DV851" i="1"/>
  <c r="DC851" i="1"/>
  <c r="DB851" i="1"/>
  <c r="CV851" i="1" s="1"/>
  <c r="DA851" i="1"/>
  <c r="CZ851" i="1"/>
  <c r="CY851" i="1"/>
  <c r="CS851" i="1" s="1"/>
  <c r="CX851" i="1"/>
  <c r="CR851" i="1" s="1"/>
  <c r="CW851" i="1"/>
  <c r="CU851" i="1"/>
  <c r="CT851" i="1"/>
  <c r="CB851" i="1"/>
  <c r="CA851" i="1"/>
  <c r="BZ851" i="1"/>
  <c r="BY851" i="1"/>
  <c r="BX851" i="1"/>
  <c r="BW851" i="1"/>
  <c r="BV851" i="1"/>
  <c r="BU851" i="1"/>
  <c r="CC851" i="1" s="1"/>
  <c r="BT851" i="1"/>
  <c r="BS851" i="1"/>
  <c r="AH851" i="1"/>
  <c r="AG851" i="1"/>
  <c r="AF851" i="1"/>
  <c r="AE851" i="1"/>
  <c r="AD851" i="1"/>
  <c r="AC851" i="1"/>
  <c r="EA850" i="1"/>
  <c r="DZ850" i="1"/>
  <c r="DY850" i="1"/>
  <c r="DX850" i="1"/>
  <c r="DW850" i="1"/>
  <c r="DV850" i="1"/>
  <c r="DC850" i="1"/>
  <c r="DB850" i="1"/>
  <c r="CV850" i="1" s="1"/>
  <c r="DA850" i="1"/>
  <c r="CU850" i="1" s="1"/>
  <c r="CZ850" i="1"/>
  <c r="CT850" i="1" s="1"/>
  <c r="CY850" i="1"/>
  <c r="CX850" i="1"/>
  <c r="CW850" i="1"/>
  <c r="CS850" i="1"/>
  <c r="CR850" i="1"/>
  <c r="BZ850" i="1"/>
  <c r="CA850" i="1" s="1"/>
  <c r="CB850" i="1" s="1"/>
  <c r="BY850" i="1"/>
  <c r="BX850" i="1"/>
  <c r="BW850" i="1"/>
  <c r="BV850" i="1"/>
  <c r="BU850" i="1"/>
  <c r="CC850" i="1" s="1"/>
  <c r="BT850" i="1"/>
  <c r="BS850" i="1"/>
  <c r="AH850" i="1"/>
  <c r="AG850" i="1"/>
  <c r="AF850" i="1"/>
  <c r="AE850" i="1"/>
  <c r="AD850" i="1"/>
  <c r="AC850" i="1"/>
  <c r="EA849" i="1"/>
  <c r="DZ849" i="1"/>
  <c r="DY849" i="1"/>
  <c r="DX849" i="1"/>
  <c r="DW849" i="1"/>
  <c r="DV849" i="1"/>
  <c r="DC849" i="1"/>
  <c r="CW849" i="1" s="1"/>
  <c r="DB849" i="1"/>
  <c r="DA849" i="1"/>
  <c r="CZ849" i="1"/>
  <c r="CT849" i="1" s="1"/>
  <c r="CY849" i="1"/>
  <c r="CX849" i="1"/>
  <c r="CV849" i="1"/>
  <c r="CU849" i="1"/>
  <c r="CS849" i="1"/>
  <c r="CR849" i="1"/>
  <c r="BZ849" i="1"/>
  <c r="CA849" i="1" s="1"/>
  <c r="BY849" i="1"/>
  <c r="BX849" i="1"/>
  <c r="BW849" i="1"/>
  <c r="BV849" i="1"/>
  <c r="BU849" i="1"/>
  <c r="CC849" i="1" s="1"/>
  <c r="BT849" i="1"/>
  <c r="BS849" i="1"/>
  <c r="AH849" i="1"/>
  <c r="AG849" i="1"/>
  <c r="AF849" i="1"/>
  <c r="AE849" i="1"/>
  <c r="AD849" i="1"/>
  <c r="AC849" i="1"/>
  <c r="EA848" i="1"/>
  <c r="DZ848" i="1"/>
  <c r="DY848" i="1"/>
  <c r="DX848" i="1"/>
  <c r="DW848" i="1"/>
  <c r="DV848" i="1"/>
  <c r="DC848" i="1"/>
  <c r="CW848" i="1" s="1"/>
  <c r="DB848" i="1"/>
  <c r="DA848" i="1"/>
  <c r="CZ848" i="1"/>
  <c r="CT848" i="1" s="1"/>
  <c r="CY848" i="1"/>
  <c r="CS848" i="1" s="1"/>
  <c r="CX848" i="1"/>
  <c r="CV848" i="1"/>
  <c r="CU848" i="1"/>
  <c r="CR848" i="1"/>
  <c r="BZ848" i="1"/>
  <c r="CA848" i="1" s="1"/>
  <c r="BY848" i="1"/>
  <c r="BX848" i="1"/>
  <c r="BW848" i="1"/>
  <c r="BV848" i="1"/>
  <c r="BU848" i="1"/>
  <c r="BT848" i="1"/>
  <c r="BS848" i="1"/>
  <c r="AH848" i="1"/>
  <c r="AG848" i="1"/>
  <c r="AF848" i="1"/>
  <c r="AE848" i="1"/>
  <c r="AD848" i="1"/>
  <c r="AC848" i="1"/>
  <c r="EA847" i="1"/>
  <c r="DZ847" i="1"/>
  <c r="DY847" i="1"/>
  <c r="DX847" i="1"/>
  <c r="DW847" i="1"/>
  <c r="DV847" i="1"/>
  <c r="DC847" i="1"/>
  <c r="CW847" i="1" s="1"/>
  <c r="DB847" i="1"/>
  <c r="CV847" i="1" s="1"/>
  <c r="DA847" i="1"/>
  <c r="CZ847" i="1"/>
  <c r="CY847" i="1"/>
  <c r="CS847" i="1" s="1"/>
  <c r="CX847" i="1"/>
  <c r="CR847" i="1" s="1"/>
  <c r="CU847" i="1"/>
  <c r="CT847" i="1"/>
  <c r="CB847" i="1"/>
  <c r="CA847" i="1"/>
  <c r="BZ847" i="1"/>
  <c r="BY847" i="1"/>
  <c r="BX847" i="1"/>
  <c r="BW847" i="1"/>
  <c r="BV847" i="1"/>
  <c r="BU847" i="1"/>
  <c r="CC847" i="1" s="1"/>
  <c r="BT847" i="1"/>
  <c r="BS847" i="1"/>
  <c r="AH847" i="1"/>
  <c r="AG847" i="1"/>
  <c r="AF847" i="1"/>
  <c r="AE847" i="1"/>
  <c r="AD847" i="1"/>
  <c r="AC847" i="1"/>
  <c r="EA846" i="1"/>
  <c r="DZ846" i="1"/>
  <c r="DY846" i="1"/>
  <c r="DX846" i="1"/>
  <c r="DW846" i="1"/>
  <c r="DV846" i="1"/>
  <c r="DC846" i="1"/>
  <c r="DB846" i="1"/>
  <c r="CV846" i="1" s="1"/>
  <c r="DA846" i="1"/>
  <c r="CU846" i="1" s="1"/>
  <c r="CZ846" i="1"/>
  <c r="CY846" i="1"/>
  <c r="CX846" i="1"/>
  <c r="CR846" i="1" s="1"/>
  <c r="CW846" i="1"/>
  <c r="CT846" i="1"/>
  <c r="CS846" i="1"/>
  <c r="CA846" i="1"/>
  <c r="BZ846" i="1"/>
  <c r="BY846" i="1"/>
  <c r="BX846" i="1"/>
  <c r="BW846" i="1"/>
  <c r="BV846" i="1"/>
  <c r="BU846" i="1"/>
  <c r="CC846" i="1" s="1"/>
  <c r="BT846" i="1"/>
  <c r="BS846" i="1"/>
  <c r="AH846" i="1"/>
  <c r="AG846" i="1"/>
  <c r="AF846" i="1"/>
  <c r="AE846" i="1"/>
  <c r="AD846" i="1"/>
  <c r="AC846" i="1"/>
  <c r="EA845" i="1"/>
  <c r="DZ845" i="1"/>
  <c r="DY845" i="1"/>
  <c r="DX845" i="1"/>
  <c r="DW845" i="1"/>
  <c r="DV845" i="1"/>
  <c r="DC845" i="1"/>
  <c r="DB845" i="1"/>
  <c r="DA845" i="1"/>
  <c r="CU845" i="1" s="1"/>
  <c r="CZ845" i="1"/>
  <c r="CT845" i="1" s="1"/>
  <c r="CY845" i="1"/>
  <c r="CX845" i="1"/>
  <c r="CW845" i="1"/>
  <c r="CV845" i="1"/>
  <c r="CS845" i="1"/>
  <c r="CR845" i="1"/>
  <c r="BZ845" i="1"/>
  <c r="CA845" i="1" s="1"/>
  <c r="BY845" i="1"/>
  <c r="BX845" i="1"/>
  <c r="BW845" i="1"/>
  <c r="BV845" i="1"/>
  <c r="BU845" i="1"/>
  <c r="CC845" i="1" s="1"/>
  <c r="BT845" i="1"/>
  <c r="BS845" i="1"/>
  <c r="AH845" i="1"/>
  <c r="AG845" i="1"/>
  <c r="AF845" i="1"/>
  <c r="AE845" i="1"/>
  <c r="AD845" i="1"/>
  <c r="AC845" i="1"/>
  <c r="EA844" i="1"/>
  <c r="DZ844" i="1"/>
  <c r="DY844" i="1"/>
  <c r="DX844" i="1"/>
  <c r="DW844" i="1"/>
  <c r="DV844" i="1"/>
  <c r="DC844" i="1"/>
  <c r="CW844" i="1" s="1"/>
  <c r="DB844" i="1"/>
  <c r="DA844" i="1"/>
  <c r="CZ844" i="1"/>
  <c r="CT844" i="1" s="1"/>
  <c r="CY844" i="1"/>
  <c r="CS844" i="1" s="1"/>
  <c r="CX844" i="1"/>
  <c r="CV844" i="1"/>
  <c r="CU844" i="1"/>
  <c r="CR844" i="1"/>
  <c r="BZ844" i="1"/>
  <c r="CA844" i="1" s="1"/>
  <c r="BY844" i="1"/>
  <c r="BX844" i="1"/>
  <c r="BW844" i="1"/>
  <c r="BV844" i="1"/>
  <c r="BU844" i="1"/>
  <c r="BT844" i="1"/>
  <c r="BS844" i="1"/>
  <c r="AH844" i="1"/>
  <c r="AG844" i="1"/>
  <c r="AF844" i="1"/>
  <c r="AE844" i="1"/>
  <c r="AD844" i="1"/>
  <c r="AC844" i="1"/>
  <c r="EA843" i="1"/>
  <c r="DZ843" i="1"/>
  <c r="DY843" i="1"/>
  <c r="DX843" i="1"/>
  <c r="DW843" i="1"/>
  <c r="DV843" i="1"/>
  <c r="DC843" i="1"/>
  <c r="CW843" i="1" s="1"/>
  <c r="DB843" i="1"/>
  <c r="CV843" i="1" s="1"/>
  <c r="DA843" i="1"/>
  <c r="CZ843" i="1"/>
  <c r="CY843" i="1"/>
  <c r="CS843" i="1" s="1"/>
  <c r="CX843" i="1"/>
  <c r="CR843" i="1" s="1"/>
  <c r="CU843" i="1"/>
  <c r="CT843" i="1"/>
  <c r="CB843" i="1"/>
  <c r="CA843" i="1"/>
  <c r="BZ843" i="1"/>
  <c r="BY843" i="1"/>
  <c r="BX843" i="1"/>
  <c r="BW843" i="1"/>
  <c r="BV843" i="1"/>
  <c r="BU843" i="1"/>
  <c r="CC843" i="1" s="1"/>
  <c r="BT843" i="1"/>
  <c r="BS843" i="1"/>
  <c r="AH843" i="1"/>
  <c r="AG843" i="1"/>
  <c r="AF843" i="1"/>
  <c r="AE843" i="1"/>
  <c r="AD843" i="1"/>
  <c r="AC843" i="1"/>
  <c r="EA842" i="1"/>
  <c r="DZ842" i="1"/>
  <c r="DY842" i="1"/>
  <c r="DX842" i="1"/>
  <c r="DW842" i="1"/>
  <c r="DV842" i="1"/>
  <c r="DC842" i="1"/>
  <c r="DB842" i="1"/>
  <c r="CV842" i="1" s="1"/>
  <c r="DA842" i="1"/>
  <c r="CU842" i="1" s="1"/>
  <c r="CZ842" i="1"/>
  <c r="CY842" i="1"/>
  <c r="CX842" i="1"/>
  <c r="CR842" i="1" s="1"/>
  <c r="CW842" i="1"/>
  <c r="CT842" i="1"/>
  <c r="CS842" i="1"/>
  <c r="CA842" i="1"/>
  <c r="BZ842" i="1"/>
  <c r="BY842" i="1"/>
  <c r="BX842" i="1"/>
  <c r="BW842" i="1"/>
  <c r="BV842" i="1"/>
  <c r="BU842" i="1"/>
  <c r="CC842" i="1" s="1"/>
  <c r="BT842" i="1"/>
  <c r="BS842" i="1"/>
  <c r="AH842" i="1"/>
  <c r="AG842" i="1"/>
  <c r="AF842" i="1"/>
  <c r="AE842" i="1"/>
  <c r="AD842" i="1"/>
  <c r="AC842" i="1"/>
  <c r="EA841" i="1"/>
  <c r="DZ841" i="1"/>
  <c r="DY841" i="1"/>
  <c r="DX841" i="1"/>
  <c r="DW841" i="1"/>
  <c r="DV841" i="1"/>
  <c r="DC841" i="1"/>
  <c r="DB841" i="1"/>
  <c r="DA841" i="1"/>
  <c r="CU841" i="1" s="1"/>
  <c r="CZ841" i="1"/>
  <c r="CT841" i="1" s="1"/>
  <c r="CY841" i="1"/>
  <c r="CX841" i="1"/>
  <c r="CW841" i="1"/>
  <c r="CV841" i="1"/>
  <c r="CS841" i="1"/>
  <c r="CR841" i="1"/>
  <c r="BZ841" i="1"/>
  <c r="CA841" i="1" s="1"/>
  <c r="BY841" i="1"/>
  <c r="BX841" i="1"/>
  <c r="BW841" i="1"/>
  <c r="BV841" i="1"/>
  <c r="BU841" i="1"/>
  <c r="CC841" i="1" s="1"/>
  <c r="BT841" i="1"/>
  <c r="BS841" i="1"/>
  <c r="AH841" i="1"/>
  <c r="AG841" i="1"/>
  <c r="AF841" i="1"/>
  <c r="AE841" i="1"/>
  <c r="AD841" i="1"/>
  <c r="AC841" i="1"/>
  <c r="EA840" i="1"/>
  <c r="DZ840" i="1"/>
  <c r="DY840" i="1"/>
  <c r="DX840" i="1"/>
  <c r="DW840" i="1"/>
  <c r="DV840" i="1"/>
  <c r="DC840" i="1"/>
  <c r="CW840" i="1" s="1"/>
  <c r="DB840" i="1"/>
  <c r="DA840" i="1"/>
  <c r="CZ840" i="1"/>
  <c r="CT840" i="1" s="1"/>
  <c r="CY840" i="1"/>
  <c r="CS840" i="1" s="1"/>
  <c r="CX840" i="1"/>
  <c r="CV840" i="1"/>
  <c r="CU840" i="1"/>
  <c r="CR840" i="1"/>
  <c r="BZ840" i="1"/>
  <c r="CA840" i="1" s="1"/>
  <c r="BY840" i="1"/>
  <c r="BX840" i="1"/>
  <c r="BW840" i="1"/>
  <c r="BV840" i="1"/>
  <c r="BU840" i="1"/>
  <c r="BT840" i="1"/>
  <c r="BS840" i="1"/>
  <c r="AH840" i="1"/>
  <c r="AG840" i="1"/>
  <c r="AF840" i="1"/>
  <c r="AE840" i="1"/>
  <c r="AD840" i="1"/>
  <c r="AC840" i="1"/>
  <c r="EA839" i="1"/>
  <c r="DZ839" i="1"/>
  <c r="DY839" i="1"/>
  <c r="DX839" i="1"/>
  <c r="DW839" i="1"/>
  <c r="DV839" i="1"/>
  <c r="DC839" i="1"/>
  <c r="CW839" i="1" s="1"/>
  <c r="DB839" i="1"/>
  <c r="CV839" i="1" s="1"/>
  <c r="DA839" i="1"/>
  <c r="CZ839" i="1"/>
  <c r="CY839" i="1"/>
  <c r="CS839" i="1" s="1"/>
  <c r="CX839" i="1"/>
  <c r="CR839" i="1" s="1"/>
  <c r="CU839" i="1"/>
  <c r="CT839" i="1"/>
  <c r="CB839" i="1"/>
  <c r="CA839" i="1"/>
  <c r="BZ839" i="1"/>
  <c r="BY839" i="1"/>
  <c r="BX839" i="1"/>
  <c r="BW839" i="1"/>
  <c r="BV839" i="1"/>
  <c r="BU839" i="1"/>
  <c r="CC839" i="1" s="1"/>
  <c r="BT839" i="1"/>
  <c r="BS839" i="1"/>
  <c r="AH839" i="1"/>
  <c r="AG839" i="1"/>
  <c r="AF839" i="1"/>
  <c r="AE839" i="1"/>
  <c r="AD839" i="1"/>
  <c r="AC839" i="1"/>
  <c r="EA838" i="1"/>
  <c r="DZ838" i="1"/>
  <c r="DY838" i="1"/>
  <c r="DX838" i="1"/>
  <c r="DW838" i="1"/>
  <c r="DV838" i="1"/>
  <c r="DC838" i="1"/>
  <c r="DB838" i="1"/>
  <c r="CV838" i="1" s="1"/>
  <c r="DA838" i="1"/>
  <c r="CU838" i="1" s="1"/>
  <c r="CZ838" i="1"/>
  <c r="CY838" i="1"/>
  <c r="CX838" i="1"/>
  <c r="CR838" i="1" s="1"/>
  <c r="CW838" i="1"/>
  <c r="CT838" i="1"/>
  <c r="CS838" i="1"/>
  <c r="CA838" i="1"/>
  <c r="BZ838" i="1"/>
  <c r="BY838" i="1"/>
  <c r="BX838" i="1"/>
  <c r="BW838" i="1"/>
  <c r="BV838" i="1"/>
  <c r="BU838" i="1"/>
  <c r="CC838" i="1" s="1"/>
  <c r="BT838" i="1"/>
  <c r="BS838" i="1"/>
  <c r="AH838" i="1"/>
  <c r="AG838" i="1"/>
  <c r="AF838" i="1"/>
  <c r="AE838" i="1"/>
  <c r="AD838" i="1"/>
  <c r="AC838" i="1"/>
  <c r="EA837" i="1"/>
  <c r="DZ837" i="1"/>
  <c r="DY837" i="1"/>
  <c r="DX837" i="1"/>
  <c r="DW837" i="1"/>
  <c r="DV837" i="1"/>
  <c r="DC837" i="1"/>
  <c r="DB837" i="1"/>
  <c r="DA837" i="1"/>
  <c r="CU837" i="1" s="1"/>
  <c r="CZ837" i="1"/>
  <c r="CT837" i="1" s="1"/>
  <c r="CY837" i="1"/>
  <c r="CX837" i="1"/>
  <c r="CW837" i="1"/>
  <c r="CV837" i="1"/>
  <c r="CS837" i="1"/>
  <c r="CR837" i="1"/>
  <c r="BZ837" i="1"/>
  <c r="CA837" i="1" s="1"/>
  <c r="BY837" i="1"/>
  <c r="BX837" i="1"/>
  <c r="BW837" i="1"/>
  <c r="BV837" i="1"/>
  <c r="BU837" i="1"/>
  <c r="CC837" i="1" s="1"/>
  <c r="BT837" i="1"/>
  <c r="BS837" i="1"/>
  <c r="AH837" i="1"/>
  <c r="AG837" i="1"/>
  <c r="AF837" i="1"/>
  <c r="AE837" i="1"/>
  <c r="AD837" i="1"/>
  <c r="AC837" i="1"/>
  <c r="EA836" i="1"/>
  <c r="DZ836" i="1"/>
  <c r="DY836" i="1"/>
  <c r="DX836" i="1"/>
  <c r="DW836" i="1"/>
  <c r="DV836" i="1"/>
  <c r="DC836" i="1"/>
  <c r="CW836" i="1" s="1"/>
  <c r="DB836" i="1"/>
  <c r="DA836" i="1"/>
  <c r="CZ836" i="1"/>
  <c r="CT836" i="1" s="1"/>
  <c r="CY836" i="1"/>
  <c r="CS836" i="1" s="1"/>
  <c r="CX836" i="1"/>
  <c r="CV836" i="1"/>
  <c r="CU836" i="1"/>
  <c r="CR836" i="1"/>
  <c r="BZ836" i="1"/>
  <c r="CA836" i="1" s="1"/>
  <c r="BY836" i="1"/>
  <c r="BX836" i="1"/>
  <c r="BW836" i="1"/>
  <c r="BV836" i="1"/>
  <c r="BU836" i="1"/>
  <c r="BT836" i="1"/>
  <c r="BS836" i="1"/>
  <c r="AH836" i="1"/>
  <c r="AG836" i="1"/>
  <c r="AF836" i="1"/>
  <c r="AE836" i="1"/>
  <c r="AD836" i="1"/>
  <c r="AC836" i="1"/>
  <c r="EA835" i="1"/>
  <c r="DZ835" i="1"/>
  <c r="DY835" i="1"/>
  <c r="DX835" i="1"/>
  <c r="DW835" i="1"/>
  <c r="DV835" i="1"/>
  <c r="DC835" i="1"/>
  <c r="CW835" i="1" s="1"/>
  <c r="DB835" i="1"/>
  <c r="CV835" i="1" s="1"/>
  <c r="DA835" i="1"/>
  <c r="CZ835" i="1"/>
  <c r="CY835" i="1"/>
  <c r="CS835" i="1" s="1"/>
  <c r="CX835" i="1"/>
  <c r="CR835" i="1" s="1"/>
  <c r="CU835" i="1"/>
  <c r="CT835" i="1"/>
  <c r="CB835" i="1"/>
  <c r="CA835" i="1"/>
  <c r="BZ835" i="1"/>
  <c r="BY835" i="1"/>
  <c r="BX835" i="1"/>
  <c r="BW835" i="1"/>
  <c r="BV835" i="1"/>
  <c r="BU835" i="1"/>
  <c r="CC835" i="1" s="1"/>
  <c r="BT835" i="1"/>
  <c r="BS835" i="1"/>
  <c r="AH835" i="1"/>
  <c r="AG835" i="1"/>
  <c r="AF835" i="1"/>
  <c r="AE835" i="1"/>
  <c r="AD835" i="1"/>
  <c r="AC835" i="1"/>
  <c r="EA834" i="1"/>
  <c r="DZ834" i="1"/>
  <c r="DY834" i="1"/>
  <c r="DX834" i="1"/>
  <c r="DW834" i="1"/>
  <c r="DV834" i="1"/>
  <c r="DC834" i="1"/>
  <c r="DB834" i="1"/>
  <c r="CV834" i="1" s="1"/>
  <c r="DA834" i="1"/>
  <c r="CU834" i="1" s="1"/>
  <c r="CZ834" i="1"/>
  <c r="CY834" i="1"/>
  <c r="CX834" i="1"/>
  <c r="CR834" i="1" s="1"/>
  <c r="CW834" i="1"/>
  <c r="CT834" i="1"/>
  <c r="CS834" i="1"/>
  <c r="CA834" i="1"/>
  <c r="BZ834" i="1"/>
  <c r="BY834" i="1"/>
  <c r="BX834" i="1"/>
  <c r="BW834" i="1"/>
  <c r="BV834" i="1"/>
  <c r="BU834" i="1"/>
  <c r="CC834" i="1" s="1"/>
  <c r="BT834" i="1"/>
  <c r="BS834" i="1"/>
  <c r="AH834" i="1"/>
  <c r="AG834" i="1"/>
  <c r="AF834" i="1"/>
  <c r="AE834" i="1"/>
  <c r="AD834" i="1"/>
  <c r="AC834" i="1"/>
  <c r="EA833" i="1"/>
  <c r="DZ833" i="1"/>
  <c r="DY833" i="1"/>
  <c r="DX833" i="1"/>
  <c r="DW833" i="1"/>
  <c r="DV833" i="1"/>
  <c r="DC833" i="1"/>
  <c r="DB833" i="1"/>
  <c r="DA833" i="1"/>
  <c r="CU833" i="1" s="1"/>
  <c r="CZ833" i="1"/>
  <c r="CT833" i="1" s="1"/>
  <c r="CY833" i="1"/>
  <c r="CX833" i="1"/>
  <c r="CW833" i="1"/>
  <c r="CV833" i="1"/>
  <c r="CS833" i="1"/>
  <c r="CR833" i="1"/>
  <c r="BZ833" i="1"/>
  <c r="CA833" i="1" s="1"/>
  <c r="BY833" i="1"/>
  <c r="BX833" i="1"/>
  <c r="BW833" i="1"/>
  <c r="BV833" i="1"/>
  <c r="BU833" i="1"/>
  <c r="CC833" i="1" s="1"/>
  <c r="BT833" i="1"/>
  <c r="BS833" i="1"/>
  <c r="AH833" i="1"/>
  <c r="AG833" i="1"/>
  <c r="AF833" i="1"/>
  <c r="AE833" i="1"/>
  <c r="AD833" i="1"/>
  <c r="AC833" i="1"/>
  <c r="EA832" i="1"/>
  <c r="DZ832" i="1"/>
  <c r="DY832" i="1"/>
  <c r="DX832" i="1"/>
  <c r="DW832" i="1"/>
  <c r="DV832" i="1"/>
  <c r="DC832" i="1"/>
  <c r="CW832" i="1" s="1"/>
  <c r="DB832" i="1"/>
  <c r="DA832" i="1"/>
  <c r="CZ832" i="1"/>
  <c r="CT832" i="1" s="1"/>
  <c r="CY832" i="1"/>
  <c r="CS832" i="1" s="1"/>
  <c r="CX832" i="1"/>
  <c r="CV832" i="1"/>
  <c r="CU832" i="1"/>
  <c r="CR832" i="1"/>
  <c r="BZ832" i="1"/>
  <c r="CA832" i="1" s="1"/>
  <c r="BY832" i="1"/>
  <c r="BX832" i="1"/>
  <c r="BW832" i="1"/>
  <c r="BV832" i="1"/>
  <c r="BU832" i="1"/>
  <c r="BT832" i="1"/>
  <c r="BS832" i="1"/>
  <c r="AH832" i="1"/>
  <c r="AG832" i="1"/>
  <c r="AF832" i="1"/>
  <c r="AE832" i="1"/>
  <c r="AD832" i="1"/>
  <c r="AC832" i="1"/>
  <c r="EA831" i="1"/>
  <c r="DZ831" i="1"/>
  <c r="DY831" i="1"/>
  <c r="DX831" i="1"/>
  <c r="DW831" i="1"/>
  <c r="DV831" i="1"/>
  <c r="DC831" i="1"/>
  <c r="CW831" i="1" s="1"/>
  <c r="DB831" i="1"/>
  <c r="CV831" i="1" s="1"/>
  <c r="DA831" i="1"/>
  <c r="CZ831" i="1"/>
  <c r="CY831" i="1"/>
  <c r="CS831" i="1" s="1"/>
  <c r="CX831" i="1"/>
  <c r="CR831" i="1" s="1"/>
  <c r="CU831" i="1"/>
  <c r="CT831" i="1"/>
  <c r="CB831" i="1"/>
  <c r="CA831" i="1"/>
  <c r="BZ831" i="1"/>
  <c r="BY831" i="1"/>
  <c r="BX831" i="1"/>
  <c r="BW831" i="1"/>
  <c r="BV831" i="1"/>
  <c r="BU831" i="1"/>
  <c r="CC831" i="1" s="1"/>
  <c r="BT831" i="1"/>
  <c r="BS831" i="1"/>
  <c r="AH831" i="1"/>
  <c r="AG831" i="1"/>
  <c r="AF831" i="1"/>
  <c r="AE831" i="1"/>
  <c r="AD831" i="1"/>
  <c r="AC831" i="1"/>
  <c r="EA830" i="1"/>
  <c r="DZ830" i="1"/>
  <c r="DY830" i="1"/>
  <c r="DX830" i="1"/>
  <c r="DW830" i="1"/>
  <c r="DV830" i="1"/>
  <c r="DC830" i="1"/>
  <c r="DB830" i="1"/>
  <c r="CV830" i="1" s="1"/>
  <c r="DA830" i="1"/>
  <c r="CU830" i="1" s="1"/>
  <c r="CZ830" i="1"/>
  <c r="CY830" i="1"/>
  <c r="CX830" i="1"/>
  <c r="CR830" i="1" s="1"/>
  <c r="CW830" i="1"/>
  <c r="CT830" i="1"/>
  <c r="CS830" i="1"/>
  <c r="CA830" i="1"/>
  <c r="BZ830" i="1"/>
  <c r="BY830" i="1"/>
  <c r="BX830" i="1"/>
  <c r="BW830" i="1"/>
  <c r="BV830" i="1"/>
  <c r="BU830" i="1"/>
  <c r="BT830" i="1"/>
  <c r="BS830" i="1"/>
  <c r="AH830" i="1"/>
  <c r="AG830" i="1"/>
  <c r="AF830" i="1"/>
  <c r="AE830" i="1"/>
  <c r="AD830" i="1"/>
  <c r="AC830" i="1"/>
  <c r="EA829" i="1"/>
  <c r="DZ829" i="1"/>
  <c r="DY829" i="1"/>
  <c r="DX829" i="1"/>
  <c r="DW829" i="1"/>
  <c r="DV829" i="1"/>
  <c r="DC829" i="1"/>
  <c r="DB829" i="1"/>
  <c r="DA829" i="1"/>
  <c r="CU829" i="1" s="1"/>
  <c r="CZ829" i="1"/>
  <c r="CT829" i="1" s="1"/>
  <c r="CY829" i="1"/>
  <c r="CX829" i="1"/>
  <c r="CW829" i="1"/>
  <c r="CV829" i="1"/>
  <c r="CS829" i="1"/>
  <c r="CR829" i="1"/>
  <c r="BZ829" i="1"/>
  <c r="CA829" i="1" s="1"/>
  <c r="BY829" i="1"/>
  <c r="BX829" i="1"/>
  <c r="BW829" i="1"/>
  <c r="BV829" i="1"/>
  <c r="BU829" i="1"/>
  <c r="BT829" i="1"/>
  <c r="BS829" i="1"/>
  <c r="AH829" i="1"/>
  <c r="AG829" i="1"/>
  <c r="AF829" i="1"/>
  <c r="AE829" i="1"/>
  <c r="AD829" i="1"/>
  <c r="AC829" i="1"/>
  <c r="EA828" i="1"/>
  <c r="DZ828" i="1"/>
  <c r="DY828" i="1"/>
  <c r="DX828" i="1"/>
  <c r="DW828" i="1"/>
  <c r="DV828" i="1"/>
  <c r="DC828" i="1"/>
  <c r="CW828" i="1" s="1"/>
  <c r="DB828" i="1"/>
  <c r="DA828" i="1"/>
  <c r="CZ828" i="1"/>
  <c r="CT828" i="1" s="1"/>
  <c r="CY828" i="1"/>
  <c r="CS828" i="1" s="1"/>
  <c r="CX828" i="1"/>
  <c r="CV828" i="1"/>
  <c r="CU828" i="1"/>
  <c r="CR828" i="1"/>
  <c r="BZ828" i="1"/>
  <c r="CA828" i="1" s="1"/>
  <c r="BY828" i="1"/>
  <c r="BX828" i="1"/>
  <c r="BW828" i="1"/>
  <c r="BV828" i="1"/>
  <c r="BU828" i="1"/>
  <c r="CB828" i="1" s="1"/>
  <c r="BT828" i="1"/>
  <c r="BS828" i="1"/>
  <c r="AH828" i="1"/>
  <c r="AG828" i="1"/>
  <c r="AF828" i="1"/>
  <c r="AE828" i="1"/>
  <c r="AD828" i="1"/>
  <c r="AC828" i="1"/>
  <c r="EA827" i="1"/>
  <c r="DZ827" i="1"/>
  <c r="DY827" i="1"/>
  <c r="DX827" i="1"/>
  <c r="DW827" i="1"/>
  <c r="DV827" i="1"/>
  <c r="DC827" i="1"/>
  <c r="CW827" i="1" s="1"/>
  <c r="DB827" i="1"/>
  <c r="CV827" i="1" s="1"/>
  <c r="DA827" i="1"/>
  <c r="CZ827" i="1"/>
  <c r="CY827" i="1"/>
  <c r="CS827" i="1" s="1"/>
  <c r="CX827" i="1"/>
  <c r="CR827" i="1" s="1"/>
  <c r="CU827" i="1"/>
  <c r="CT827" i="1"/>
  <c r="CB827" i="1"/>
  <c r="CA827" i="1"/>
  <c r="BZ827" i="1"/>
  <c r="BY827" i="1"/>
  <c r="BX827" i="1"/>
  <c r="BW827" i="1"/>
  <c r="BV827" i="1"/>
  <c r="BU827" i="1"/>
  <c r="CC827" i="1" s="1"/>
  <c r="BT827" i="1"/>
  <c r="BS827" i="1"/>
  <c r="AH827" i="1"/>
  <c r="AG827" i="1"/>
  <c r="AF827" i="1"/>
  <c r="AE827" i="1"/>
  <c r="AD827" i="1"/>
  <c r="AC827" i="1"/>
  <c r="EA826" i="1"/>
  <c r="DZ826" i="1"/>
  <c r="DY826" i="1"/>
  <c r="DX826" i="1"/>
  <c r="DW826" i="1"/>
  <c r="DV826" i="1"/>
  <c r="DC826" i="1"/>
  <c r="DB826" i="1"/>
  <c r="CV826" i="1" s="1"/>
  <c r="DA826" i="1"/>
  <c r="CU826" i="1" s="1"/>
  <c r="CZ826" i="1"/>
  <c r="CY826" i="1"/>
  <c r="CX826" i="1"/>
  <c r="CR826" i="1" s="1"/>
  <c r="CW826" i="1"/>
  <c r="CT826" i="1"/>
  <c r="CS826" i="1"/>
  <c r="CA826" i="1"/>
  <c r="CB826" i="1" s="1"/>
  <c r="BZ826" i="1"/>
  <c r="BY826" i="1"/>
  <c r="BX826" i="1"/>
  <c r="BW826" i="1"/>
  <c r="BV826" i="1"/>
  <c r="BU826" i="1"/>
  <c r="BT826" i="1"/>
  <c r="BS826" i="1"/>
  <c r="AH826" i="1"/>
  <c r="AG826" i="1"/>
  <c r="AF826" i="1"/>
  <c r="AE826" i="1"/>
  <c r="AD826" i="1"/>
  <c r="AC826" i="1"/>
  <c r="EA825" i="1"/>
  <c r="DZ825" i="1"/>
  <c r="DY825" i="1"/>
  <c r="DX825" i="1"/>
  <c r="DW825" i="1"/>
  <c r="DV825" i="1"/>
  <c r="DC825" i="1"/>
  <c r="DB825" i="1"/>
  <c r="DA825" i="1"/>
  <c r="CU825" i="1" s="1"/>
  <c r="CZ825" i="1"/>
  <c r="CT825" i="1" s="1"/>
  <c r="CY825" i="1"/>
  <c r="CX825" i="1"/>
  <c r="CW825" i="1"/>
  <c r="CV825" i="1"/>
  <c r="CS825" i="1"/>
  <c r="CR825" i="1"/>
  <c r="BZ825" i="1"/>
  <c r="CA825" i="1" s="1"/>
  <c r="BY825" i="1"/>
  <c r="BX825" i="1"/>
  <c r="BW825" i="1"/>
  <c r="BV825" i="1"/>
  <c r="BU825" i="1"/>
  <c r="CC825" i="1" s="1"/>
  <c r="BT825" i="1"/>
  <c r="BS825" i="1"/>
  <c r="AH825" i="1"/>
  <c r="AG825" i="1"/>
  <c r="AF825" i="1"/>
  <c r="AE825" i="1"/>
  <c r="AD825" i="1"/>
  <c r="AC825" i="1"/>
  <c r="EA824" i="1"/>
  <c r="DZ824" i="1"/>
  <c r="DY824" i="1"/>
  <c r="DX824" i="1"/>
  <c r="DW824" i="1"/>
  <c r="DV824" i="1"/>
  <c r="DC824" i="1"/>
  <c r="CW824" i="1" s="1"/>
  <c r="DB824" i="1"/>
  <c r="DA824" i="1"/>
  <c r="CZ824" i="1"/>
  <c r="CT824" i="1" s="1"/>
  <c r="CY824" i="1"/>
  <c r="CS824" i="1" s="1"/>
  <c r="CX824" i="1"/>
  <c r="CV824" i="1"/>
  <c r="CU824" i="1"/>
  <c r="CR824" i="1"/>
  <c r="CC824" i="1"/>
  <c r="BZ824" i="1"/>
  <c r="CA824" i="1" s="1"/>
  <c r="BY824" i="1"/>
  <c r="BX824" i="1"/>
  <c r="BW824" i="1"/>
  <c r="BV824" i="1"/>
  <c r="BU824" i="1"/>
  <c r="CB824" i="1" s="1"/>
  <c r="BT824" i="1"/>
  <c r="BS824" i="1"/>
  <c r="AH824" i="1"/>
  <c r="AG824" i="1"/>
  <c r="AF824" i="1"/>
  <c r="AE824" i="1"/>
  <c r="AD824" i="1"/>
  <c r="AC824" i="1"/>
  <c r="EA823" i="1"/>
  <c r="DZ823" i="1"/>
  <c r="DY823" i="1"/>
  <c r="DX823" i="1"/>
  <c r="DW823" i="1"/>
  <c r="DV823" i="1"/>
  <c r="DC823" i="1"/>
  <c r="CW823" i="1" s="1"/>
  <c r="DB823" i="1"/>
  <c r="CV823" i="1" s="1"/>
  <c r="DA823" i="1"/>
  <c r="CZ823" i="1"/>
  <c r="CY823" i="1"/>
  <c r="CS823" i="1" s="1"/>
  <c r="CX823" i="1"/>
  <c r="CR823" i="1" s="1"/>
  <c r="CU823" i="1"/>
  <c r="CT823" i="1"/>
  <c r="CB823" i="1"/>
  <c r="CA823" i="1"/>
  <c r="BZ823" i="1"/>
  <c r="BY823" i="1"/>
  <c r="BX823" i="1"/>
  <c r="BW823" i="1"/>
  <c r="BV823" i="1"/>
  <c r="BU823" i="1"/>
  <c r="CC823" i="1" s="1"/>
  <c r="BT823" i="1"/>
  <c r="BS823" i="1"/>
  <c r="AH823" i="1"/>
  <c r="AG823" i="1"/>
  <c r="AF823" i="1"/>
  <c r="AE823" i="1"/>
  <c r="AD823" i="1"/>
  <c r="AC823" i="1"/>
  <c r="EA822" i="1"/>
  <c r="DZ822" i="1"/>
  <c r="DY822" i="1"/>
  <c r="DX822" i="1"/>
  <c r="DW822" i="1"/>
  <c r="DV822" i="1"/>
  <c r="DC822" i="1"/>
  <c r="DB822" i="1"/>
  <c r="CV822" i="1" s="1"/>
  <c r="DA822" i="1"/>
  <c r="CU822" i="1" s="1"/>
  <c r="CZ822" i="1"/>
  <c r="CY822" i="1"/>
  <c r="CX822" i="1"/>
  <c r="CR822" i="1" s="1"/>
  <c r="CW822" i="1"/>
  <c r="CT822" i="1"/>
  <c r="CS822" i="1"/>
  <c r="CA822" i="1"/>
  <c r="CB822" i="1" s="1"/>
  <c r="BZ822" i="1"/>
  <c r="BY822" i="1"/>
  <c r="BX822" i="1"/>
  <c r="BW822" i="1"/>
  <c r="BV822" i="1"/>
  <c r="BU822" i="1"/>
  <c r="CC822" i="1" s="1"/>
  <c r="BT822" i="1"/>
  <c r="BS822" i="1"/>
  <c r="AH822" i="1"/>
  <c r="AG822" i="1"/>
  <c r="AF822" i="1"/>
  <c r="AE822" i="1"/>
  <c r="AD822" i="1"/>
  <c r="AC822" i="1"/>
  <c r="EA821" i="1"/>
  <c r="DZ821" i="1"/>
  <c r="DY821" i="1"/>
  <c r="DX821" i="1"/>
  <c r="DW821" i="1"/>
  <c r="DV821" i="1"/>
  <c r="DC821" i="1"/>
  <c r="DB821" i="1"/>
  <c r="DA821" i="1"/>
  <c r="CU821" i="1" s="1"/>
  <c r="CZ821" i="1"/>
  <c r="CT821" i="1" s="1"/>
  <c r="CY821" i="1"/>
  <c r="CX821" i="1"/>
  <c r="CW821" i="1"/>
  <c r="CV821" i="1"/>
  <c r="CS821" i="1"/>
  <c r="CR821" i="1"/>
  <c r="BZ821" i="1"/>
  <c r="CA821" i="1" s="1"/>
  <c r="BY821" i="1"/>
  <c r="BX821" i="1"/>
  <c r="BW821" i="1"/>
  <c r="BV821" i="1"/>
  <c r="BU821" i="1"/>
  <c r="BT821" i="1"/>
  <c r="BS821" i="1"/>
  <c r="AH821" i="1"/>
  <c r="AG821" i="1"/>
  <c r="AF821" i="1"/>
  <c r="AE821" i="1"/>
  <c r="AD821" i="1"/>
  <c r="AC821" i="1"/>
  <c r="EA820" i="1"/>
  <c r="DZ820" i="1"/>
  <c r="DY820" i="1"/>
  <c r="DX820" i="1"/>
  <c r="DW820" i="1"/>
  <c r="DV820" i="1"/>
  <c r="DC820" i="1"/>
  <c r="CW820" i="1" s="1"/>
  <c r="DB820" i="1"/>
  <c r="DA820" i="1"/>
  <c r="CZ820" i="1"/>
  <c r="CT820" i="1" s="1"/>
  <c r="CY820" i="1"/>
  <c r="CS820" i="1" s="1"/>
  <c r="CX820" i="1"/>
  <c r="CV820" i="1"/>
  <c r="CU820" i="1"/>
  <c r="CR820" i="1"/>
  <c r="BZ820" i="1"/>
  <c r="CA820" i="1" s="1"/>
  <c r="CC820" i="1" s="1"/>
  <c r="BY820" i="1"/>
  <c r="BX820" i="1"/>
  <c r="BW820" i="1"/>
  <c r="BV820" i="1"/>
  <c r="BU820" i="1"/>
  <c r="BT820" i="1"/>
  <c r="BS820" i="1"/>
  <c r="AH820" i="1"/>
  <c r="AG820" i="1"/>
  <c r="AF820" i="1"/>
  <c r="AE820" i="1"/>
  <c r="AD820" i="1"/>
  <c r="AC820" i="1"/>
  <c r="EA819" i="1"/>
  <c r="DZ819" i="1"/>
  <c r="DY819" i="1"/>
  <c r="DX819" i="1"/>
  <c r="DW819" i="1"/>
  <c r="DV819" i="1"/>
  <c r="DC819" i="1"/>
  <c r="CW819" i="1" s="1"/>
  <c r="DB819" i="1"/>
  <c r="CV819" i="1" s="1"/>
  <c r="DA819" i="1"/>
  <c r="CZ819" i="1"/>
  <c r="CY819" i="1"/>
  <c r="CS819" i="1" s="1"/>
  <c r="CX819" i="1"/>
  <c r="CR819" i="1" s="1"/>
  <c r="CU819" i="1"/>
  <c r="CT819" i="1"/>
  <c r="CC819" i="1"/>
  <c r="CA819" i="1"/>
  <c r="BZ819" i="1"/>
  <c r="BY819" i="1"/>
  <c r="BX819" i="1"/>
  <c r="BW819" i="1"/>
  <c r="BV819" i="1"/>
  <c r="BU819" i="1"/>
  <c r="CB819" i="1" s="1"/>
  <c r="BT819" i="1"/>
  <c r="BS819" i="1"/>
  <c r="AH819" i="1"/>
  <c r="AG819" i="1"/>
  <c r="AF819" i="1"/>
  <c r="AE819" i="1"/>
  <c r="AD819" i="1"/>
  <c r="AC819" i="1"/>
  <c r="EA818" i="1"/>
  <c r="DZ818" i="1"/>
  <c r="DY818" i="1"/>
  <c r="DX818" i="1"/>
  <c r="DW818" i="1"/>
  <c r="DV818" i="1"/>
  <c r="DC818" i="1"/>
  <c r="DB818" i="1"/>
  <c r="CV818" i="1" s="1"/>
  <c r="DA818" i="1"/>
  <c r="CU818" i="1" s="1"/>
  <c r="CZ818" i="1"/>
  <c r="CY818" i="1"/>
  <c r="CX818" i="1"/>
  <c r="CR818" i="1" s="1"/>
  <c r="CW818" i="1"/>
  <c r="CT818" i="1"/>
  <c r="CS818" i="1"/>
  <c r="CB818" i="1"/>
  <c r="CA818" i="1"/>
  <c r="BZ818" i="1"/>
  <c r="BY818" i="1"/>
  <c r="BX818" i="1"/>
  <c r="BW818" i="1"/>
  <c r="BV818" i="1"/>
  <c r="BU818" i="1"/>
  <c r="CC818" i="1" s="1"/>
  <c r="BT818" i="1"/>
  <c r="BS818" i="1"/>
  <c r="AH818" i="1"/>
  <c r="AG818" i="1"/>
  <c r="AF818" i="1"/>
  <c r="AE818" i="1"/>
  <c r="AD818" i="1"/>
  <c r="AC818" i="1"/>
  <c r="EA817" i="1"/>
  <c r="DZ817" i="1"/>
  <c r="DY817" i="1"/>
  <c r="DX817" i="1"/>
  <c r="DW817" i="1"/>
  <c r="DV817" i="1"/>
  <c r="DC817" i="1"/>
  <c r="DB817" i="1"/>
  <c r="DA817" i="1"/>
  <c r="CU817" i="1" s="1"/>
  <c r="CZ817" i="1"/>
  <c r="CT817" i="1" s="1"/>
  <c r="CY817" i="1"/>
  <c r="CX817" i="1"/>
  <c r="CW817" i="1"/>
  <c r="CV817" i="1"/>
  <c r="CS817" i="1"/>
  <c r="CR817" i="1"/>
  <c r="CA817" i="1"/>
  <c r="BZ817" i="1"/>
  <c r="BY817" i="1"/>
  <c r="BX817" i="1"/>
  <c r="BW817" i="1"/>
  <c r="BV817" i="1"/>
  <c r="BU817" i="1"/>
  <c r="BT817" i="1"/>
  <c r="BS817" i="1"/>
  <c r="AH817" i="1"/>
  <c r="AG817" i="1"/>
  <c r="AF817" i="1"/>
  <c r="AE817" i="1"/>
  <c r="AD817" i="1"/>
  <c r="AC817" i="1"/>
  <c r="EA816" i="1"/>
  <c r="DZ816" i="1"/>
  <c r="DY816" i="1"/>
  <c r="DX816" i="1"/>
  <c r="DW816" i="1"/>
  <c r="DV816" i="1"/>
  <c r="DC816" i="1"/>
  <c r="CW816" i="1" s="1"/>
  <c r="DB816" i="1"/>
  <c r="DA816" i="1"/>
  <c r="CZ816" i="1"/>
  <c r="CT816" i="1" s="1"/>
  <c r="CY816" i="1"/>
  <c r="CS816" i="1" s="1"/>
  <c r="CX816" i="1"/>
  <c r="CV816" i="1"/>
  <c r="CU816" i="1"/>
  <c r="CR816" i="1"/>
  <c r="BZ816" i="1"/>
  <c r="CA816" i="1" s="1"/>
  <c r="BY816" i="1"/>
  <c r="BX816" i="1"/>
  <c r="BW816" i="1"/>
  <c r="BV816" i="1"/>
  <c r="BU816" i="1"/>
  <c r="BT816" i="1"/>
  <c r="BS816" i="1"/>
  <c r="AH816" i="1"/>
  <c r="AG816" i="1"/>
  <c r="AF816" i="1"/>
  <c r="AE816" i="1"/>
  <c r="AD816" i="1"/>
  <c r="AC816" i="1"/>
  <c r="EA815" i="1"/>
  <c r="DZ815" i="1"/>
  <c r="DY815" i="1"/>
  <c r="DX815" i="1"/>
  <c r="DW815" i="1"/>
  <c r="DV815" i="1"/>
  <c r="DC815" i="1"/>
  <c r="CW815" i="1" s="1"/>
  <c r="DB815" i="1"/>
  <c r="CV815" i="1" s="1"/>
  <c r="DA815" i="1"/>
  <c r="CZ815" i="1"/>
  <c r="CY815" i="1"/>
  <c r="CS815" i="1" s="1"/>
  <c r="CX815" i="1"/>
  <c r="CR815" i="1" s="1"/>
  <c r="CU815" i="1"/>
  <c r="CT815" i="1"/>
  <c r="CB815" i="1"/>
  <c r="CA815" i="1"/>
  <c r="BZ815" i="1"/>
  <c r="BY815" i="1"/>
  <c r="BX815" i="1"/>
  <c r="BW815" i="1"/>
  <c r="BV815" i="1"/>
  <c r="BU815" i="1"/>
  <c r="CC815" i="1" s="1"/>
  <c r="BT815" i="1"/>
  <c r="BS815" i="1"/>
  <c r="AH815" i="1"/>
  <c r="AG815" i="1"/>
  <c r="AF815" i="1"/>
  <c r="AE815" i="1"/>
  <c r="AD815" i="1"/>
  <c r="AC815" i="1"/>
  <c r="EA814" i="1"/>
  <c r="DZ814" i="1"/>
  <c r="DY814" i="1"/>
  <c r="DX814" i="1"/>
  <c r="DW814" i="1"/>
  <c r="DV814" i="1"/>
  <c r="DC814" i="1"/>
  <c r="DB814" i="1"/>
  <c r="CV814" i="1" s="1"/>
  <c r="DA814" i="1"/>
  <c r="CU814" i="1" s="1"/>
  <c r="CZ814" i="1"/>
  <c r="CY814" i="1"/>
  <c r="CX814" i="1"/>
  <c r="CR814" i="1" s="1"/>
  <c r="CW814" i="1"/>
  <c r="CT814" i="1"/>
  <c r="CS814" i="1"/>
  <c r="CA814" i="1"/>
  <c r="BZ814" i="1"/>
  <c r="BY814" i="1"/>
  <c r="BX814" i="1"/>
  <c r="BW814" i="1"/>
  <c r="BV814" i="1"/>
  <c r="BU814" i="1"/>
  <c r="BT814" i="1"/>
  <c r="BS814" i="1"/>
  <c r="AH814" i="1"/>
  <c r="AG814" i="1"/>
  <c r="AF814" i="1"/>
  <c r="AE814" i="1"/>
  <c r="AD814" i="1"/>
  <c r="AC814" i="1"/>
  <c r="EA813" i="1"/>
  <c r="DZ813" i="1"/>
  <c r="DY813" i="1"/>
  <c r="DX813" i="1"/>
  <c r="DW813" i="1"/>
  <c r="DV813" i="1"/>
  <c r="DC813" i="1"/>
  <c r="DB813" i="1"/>
  <c r="DA813" i="1"/>
  <c r="CU813" i="1" s="1"/>
  <c r="CZ813" i="1"/>
  <c r="CT813" i="1" s="1"/>
  <c r="CY813" i="1"/>
  <c r="CX813" i="1"/>
  <c r="CW813" i="1"/>
  <c r="CV813" i="1"/>
  <c r="CS813" i="1"/>
  <c r="CR813" i="1"/>
  <c r="BZ813" i="1"/>
  <c r="CA813" i="1" s="1"/>
  <c r="BY813" i="1"/>
  <c r="BX813" i="1"/>
  <c r="BW813" i="1"/>
  <c r="BV813" i="1"/>
  <c r="BU813" i="1"/>
  <c r="BT813" i="1"/>
  <c r="BS813" i="1"/>
  <c r="AH813" i="1"/>
  <c r="AG813" i="1"/>
  <c r="AF813" i="1"/>
  <c r="AE813" i="1"/>
  <c r="AD813" i="1"/>
  <c r="AC813" i="1"/>
  <c r="EA812" i="1"/>
  <c r="DZ812" i="1"/>
  <c r="DY812" i="1"/>
  <c r="DX812" i="1"/>
  <c r="DW812" i="1"/>
  <c r="DV812" i="1"/>
  <c r="DC812" i="1"/>
  <c r="CW812" i="1" s="1"/>
  <c r="DB812" i="1"/>
  <c r="DA812" i="1"/>
  <c r="CZ812" i="1"/>
  <c r="CT812" i="1" s="1"/>
  <c r="CY812" i="1"/>
  <c r="CS812" i="1" s="1"/>
  <c r="CX812" i="1"/>
  <c r="CV812" i="1"/>
  <c r="CU812" i="1"/>
  <c r="CR812" i="1"/>
  <c r="BZ812" i="1"/>
  <c r="CA812" i="1" s="1"/>
  <c r="BY812" i="1"/>
  <c r="BX812" i="1"/>
  <c r="BW812" i="1"/>
  <c r="BV812" i="1"/>
  <c r="BU812" i="1"/>
  <c r="CB812" i="1" s="1"/>
  <c r="BT812" i="1"/>
  <c r="BS812" i="1"/>
  <c r="AH812" i="1"/>
  <c r="AG812" i="1"/>
  <c r="AF812" i="1"/>
  <c r="AE812" i="1"/>
  <c r="AD812" i="1"/>
  <c r="AC812" i="1"/>
  <c r="EA811" i="1"/>
  <c r="DZ811" i="1"/>
  <c r="DY811" i="1"/>
  <c r="DX811" i="1"/>
  <c r="DW811" i="1"/>
  <c r="DV811" i="1"/>
  <c r="DC811" i="1"/>
  <c r="CW811" i="1" s="1"/>
  <c r="DB811" i="1"/>
  <c r="CV811" i="1" s="1"/>
  <c r="DA811" i="1"/>
  <c r="CZ811" i="1"/>
  <c r="CY811" i="1"/>
  <c r="CS811" i="1" s="1"/>
  <c r="CX811" i="1"/>
  <c r="CR811" i="1" s="1"/>
  <c r="CU811" i="1"/>
  <c r="CT811" i="1"/>
  <c r="CB811" i="1"/>
  <c r="CA811" i="1"/>
  <c r="BZ811" i="1"/>
  <c r="BY811" i="1"/>
  <c r="BX811" i="1"/>
  <c r="BW811" i="1"/>
  <c r="BV811" i="1"/>
  <c r="BU811" i="1"/>
  <c r="CC811" i="1" s="1"/>
  <c r="BT811" i="1"/>
  <c r="BS811" i="1"/>
  <c r="AH811" i="1"/>
  <c r="AG811" i="1"/>
  <c r="AF811" i="1"/>
  <c r="AE811" i="1"/>
  <c r="AD811" i="1"/>
  <c r="AC811" i="1"/>
  <c r="EA810" i="1"/>
  <c r="DZ810" i="1"/>
  <c r="DY810" i="1"/>
  <c r="DX810" i="1"/>
  <c r="DW810" i="1"/>
  <c r="DV810" i="1"/>
  <c r="DC810" i="1"/>
  <c r="DB810" i="1"/>
  <c r="CV810" i="1" s="1"/>
  <c r="DA810" i="1"/>
  <c r="CU810" i="1" s="1"/>
  <c r="CZ810" i="1"/>
  <c r="CY810" i="1"/>
  <c r="CX810" i="1"/>
  <c r="CR810" i="1" s="1"/>
  <c r="CW810" i="1"/>
  <c r="CT810" i="1"/>
  <c r="CS810" i="1"/>
  <c r="CA810" i="1"/>
  <c r="CB810" i="1" s="1"/>
  <c r="BZ810" i="1"/>
  <c r="BY810" i="1"/>
  <c r="BX810" i="1"/>
  <c r="BW810" i="1"/>
  <c r="BV810" i="1"/>
  <c r="BU810" i="1"/>
  <c r="BT810" i="1"/>
  <c r="BS810" i="1"/>
  <c r="AH810" i="1"/>
  <c r="AG810" i="1"/>
  <c r="AF810" i="1"/>
  <c r="AE810" i="1"/>
  <c r="AD810" i="1"/>
  <c r="AC810" i="1"/>
  <c r="EA809" i="1"/>
  <c r="DZ809" i="1"/>
  <c r="DY809" i="1"/>
  <c r="DX809" i="1"/>
  <c r="DW809" i="1"/>
  <c r="DV809" i="1"/>
  <c r="DC809" i="1"/>
  <c r="DB809" i="1"/>
  <c r="DA809" i="1"/>
  <c r="CU809" i="1" s="1"/>
  <c r="CZ809" i="1"/>
  <c r="CT809" i="1" s="1"/>
  <c r="CY809" i="1"/>
  <c r="CX809" i="1"/>
  <c r="CW809" i="1"/>
  <c r="CV809" i="1"/>
  <c r="CS809" i="1"/>
  <c r="CR809" i="1"/>
  <c r="BZ809" i="1"/>
  <c r="CA809" i="1" s="1"/>
  <c r="BY809" i="1"/>
  <c r="BX809" i="1"/>
  <c r="BW809" i="1"/>
  <c r="BV809" i="1"/>
  <c r="BU809" i="1"/>
  <c r="CC809" i="1" s="1"/>
  <c r="BT809" i="1"/>
  <c r="BS809" i="1"/>
  <c r="AH809" i="1"/>
  <c r="AG809" i="1"/>
  <c r="AF809" i="1"/>
  <c r="AE809" i="1"/>
  <c r="AD809" i="1"/>
  <c r="AC809" i="1"/>
  <c r="EA808" i="1"/>
  <c r="DZ808" i="1"/>
  <c r="DY808" i="1"/>
  <c r="DX808" i="1"/>
  <c r="DW808" i="1"/>
  <c r="DV808" i="1"/>
  <c r="DC808" i="1"/>
  <c r="CW808" i="1" s="1"/>
  <c r="DB808" i="1"/>
  <c r="DA808" i="1"/>
  <c r="CZ808" i="1"/>
  <c r="CY808" i="1"/>
  <c r="CS808" i="1" s="1"/>
  <c r="CX808" i="1"/>
  <c r="CV808" i="1"/>
  <c r="CU808" i="1"/>
  <c r="CT808" i="1"/>
  <c r="CR808" i="1"/>
  <c r="BZ808" i="1"/>
  <c r="CA808" i="1" s="1"/>
  <c r="BY808" i="1"/>
  <c r="BX808" i="1"/>
  <c r="BW808" i="1"/>
  <c r="BV808" i="1"/>
  <c r="BU808" i="1"/>
  <c r="BT808" i="1"/>
  <c r="BS808" i="1"/>
  <c r="AH808" i="1"/>
  <c r="AG808" i="1"/>
  <c r="AF808" i="1"/>
  <c r="AE808" i="1"/>
  <c r="AD808" i="1"/>
  <c r="AC808" i="1"/>
  <c r="EA807" i="1"/>
  <c r="DZ807" i="1"/>
  <c r="DY807" i="1"/>
  <c r="DX807" i="1"/>
  <c r="DW807" i="1"/>
  <c r="DV807" i="1"/>
  <c r="DC807" i="1"/>
  <c r="CW807" i="1" s="1"/>
  <c r="DB807" i="1"/>
  <c r="CV807" i="1" s="1"/>
  <c r="DA807" i="1"/>
  <c r="CZ807" i="1"/>
  <c r="CY807" i="1"/>
  <c r="CX807" i="1"/>
  <c r="CR807" i="1" s="1"/>
  <c r="CU807" i="1"/>
  <c r="CT807" i="1"/>
  <c r="CS807" i="1"/>
  <c r="CA807" i="1"/>
  <c r="CB807" i="1" s="1"/>
  <c r="BZ807" i="1"/>
  <c r="BY807" i="1"/>
  <c r="BX807" i="1"/>
  <c r="BW807" i="1"/>
  <c r="BV807" i="1"/>
  <c r="BU807" i="1"/>
  <c r="CC807" i="1" s="1"/>
  <c r="BT807" i="1"/>
  <c r="BS807" i="1"/>
  <c r="AH807" i="1"/>
  <c r="AG807" i="1"/>
  <c r="AF807" i="1"/>
  <c r="AE807" i="1"/>
  <c r="AD807" i="1"/>
  <c r="AC807" i="1"/>
  <c r="EA806" i="1"/>
  <c r="DZ806" i="1"/>
  <c r="DY806" i="1"/>
  <c r="DX806" i="1"/>
  <c r="DW806" i="1"/>
  <c r="DV806" i="1"/>
  <c r="DC806" i="1"/>
  <c r="DB806" i="1"/>
  <c r="DA806" i="1"/>
  <c r="CU806" i="1" s="1"/>
  <c r="CZ806" i="1"/>
  <c r="CY806" i="1"/>
  <c r="CX806" i="1"/>
  <c r="CW806" i="1"/>
  <c r="CV806" i="1"/>
  <c r="CT806" i="1"/>
  <c r="CS806" i="1"/>
  <c r="CR806" i="1"/>
  <c r="CA806" i="1"/>
  <c r="BZ806" i="1"/>
  <c r="BY806" i="1"/>
  <c r="BX806" i="1"/>
  <c r="BW806" i="1"/>
  <c r="BV806" i="1"/>
  <c r="BU806" i="1"/>
  <c r="BT806" i="1"/>
  <c r="BS806" i="1"/>
  <c r="AH806" i="1"/>
  <c r="AG806" i="1"/>
  <c r="AF806" i="1"/>
  <c r="AE806" i="1"/>
  <c r="AD806" i="1"/>
  <c r="AC806" i="1"/>
  <c r="EA805" i="1"/>
  <c r="DZ805" i="1"/>
  <c r="DY805" i="1"/>
  <c r="DX805" i="1"/>
  <c r="DW805" i="1"/>
  <c r="DV805" i="1"/>
  <c r="DC805" i="1"/>
  <c r="DB805" i="1"/>
  <c r="DA805" i="1"/>
  <c r="CU805" i="1" s="1"/>
  <c r="CZ805" i="1"/>
  <c r="CT805" i="1" s="1"/>
  <c r="CY805" i="1"/>
  <c r="CX805" i="1"/>
  <c r="CW805" i="1"/>
  <c r="CV805" i="1"/>
  <c r="CS805" i="1"/>
  <c r="CR805" i="1"/>
  <c r="CC805" i="1"/>
  <c r="BZ805" i="1"/>
  <c r="CA805" i="1" s="1"/>
  <c r="BY805" i="1"/>
  <c r="BX805" i="1"/>
  <c r="BW805" i="1"/>
  <c r="BV805" i="1"/>
  <c r="BU805" i="1"/>
  <c r="BT805" i="1"/>
  <c r="BS805" i="1"/>
  <c r="AH805" i="1"/>
  <c r="AG805" i="1"/>
  <c r="AF805" i="1"/>
  <c r="AE805" i="1"/>
  <c r="AD805" i="1"/>
  <c r="AC805" i="1"/>
  <c r="EA804" i="1"/>
  <c r="DZ804" i="1"/>
  <c r="DY804" i="1"/>
  <c r="DX804" i="1"/>
  <c r="DW804" i="1"/>
  <c r="DV804" i="1"/>
  <c r="DC804" i="1"/>
  <c r="CW804" i="1" s="1"/>
  <c r="DB804" i="1"/>
  <c r="DA804" i="1"/>
  <c r="CZ804" i="1"/>
  <c r="CY804" i="1"/>
  <c r="CS804" i="1" s="1"/>
  <c r="CX804" i="1"/>
  <c r="CV804" i="1"/>
  <c r="CU804" i="1"/>
  <c r="CT804" i="1"/>
  <c r="CR804" i="1"/>
  <c r="CC804" i="1"/>
  <c r="BZ804" i="1"/>
  <c r="CA804" i="1" s="1"/>
  <c r="BY804" i="1"/>
  <c r="BX804" i="1"/>
  <c r="BW804" i="1"/>
  <c r="BV804" i="1"/>
  <c r="BU804" i="1"/>
  <c r="CB804" i="1" s="1"/>
  <c r="BT804" i="1"/>
  <c r="BS804" i="1"/>
  <c r="AH804" i="1"/>
  <c r="AG804" i="1"/>
  <c r="AF804" i="1"/>
  <c r="AE804" i="1"/>
  <c r="AD804" i="1"/>
  <c r="AC804" i="1"/>
  <c r="EA803" i="1"/>
  <c r="DZ803" i="1"/>
  <c r="DY803" i="1"/>
  <c r="DX803" i="1"/>
  <c r="DW803" i="1"/>
  <c r="DV803" i="1"/>
  <c r="DC803" i="1"/>
  <c r="DB803" i="1"/>
  <c r="CV803" i="1" s="1"/>
  <c r="DA803" i="1"/>
  <c r="CU803" i="1" s="1"/>
  <c r="CZ803" i="1"/>
  <c r="CY803" i="1"/>
  <c r="CX803" i="1"/>
  <c r="CR803" i="1" s="1"/>
  <c r="CW803" i="1"/>
  <c r="CT803" i="1"/>
  <c r="CS803" i="1"/>
  <c r="CA803" i="1"/>
  <c r="BZ803" i="1"/>
  <c r="BY803" i="1"/>
  <c r="BX803" i="1"/>
  <c r="BW803" i="1"/>
  <c r="BV803" i="1"/>
  <c r="BU803" i="1"/>
  <c r="BT803" i="1"/>
  <c r="BS803" i="1"/>
  <c r="AN803" i="1"/>
  <c r="AM803" i="1"/>
  <c r="AL803" i="1"/>
  <c r="AK803" i="1"/>
  <c r="AJ803" i="1"/>
  <c r="AI803" i="1"/>
  <c r="O803" i="1"/>
  <c r="D803" i="1" s="1"/>
  <c r="F803" i="1"/>
  <c r="E803" i="1"/>
  <c r="EA802" i="1"/>
  <c r="DZ802" i="1"/>
  <c r="DY802" i="1"/>
  <c r="DX802" i="1"/>
  <c r="DW802" i="1"/>
  <c r="DV802" i="1"/>
  <c r="DC802" i="1"/>
  <c r="DB802" i="1"/>
  <c r="DA802" i="1"/>
  <c r="CU802" i="1" s="1"/>
  <c r="CZ802" i="1"/>
  <c r="CT802" i="1" s="1"/>
  <c r="CY802" i="1"/>
  <c r="CX802" i="1"/>
  <c r="CW802" i="1"/>
  <c r="CV802" i="1"/>
  <c r="CS802" i="1"/>
  <c r="CR802" i="1"/>
  <c r="BZ802" i="1"/>
  <c r="CA802" i="1" s="1"/>
  <c r="CC802" i="1" s="1"/>
  <c r="BY802" i="1"/>
  <c r="BX802" i="1"/>
  <c r="BW802" i="1"/>
  <c r="BV802" i="1"/>
  <c r="BU802" i="1"/>
  <c r="BT802" i="1"/>
  <c r="BS802" i="1"/>
  <c r="AN802" i="1"/>
  <c r="AM802" i="1"/>
  <c r="AL802" i="1"/>
  <c r="AK802" i="1"/>
  <c r="AJ802" i="1"/>
  <c r="AI802" i="1"/>
  <c r="O802" i="1"/>
  <c r="D802" i="1" s="1"/>
  <c r="F802" i="1"/>
  <c r="E802" i="1"/>
  <c r="EA801" i="1"/>
  <c r="DZ801" i="1"/>
  <c r="DY801" i="1"/>
  <c r="DX801" i="1"/>
  <c r="DW801" i="1"/>
  <c r="DV801" i="1"/>
  <c r="DC801" i="1"/>
  <c r="CW801" i="1" s="1"/>
  <c r="DB801" i="1"/>
  <c r="CV801" i="1" s="1"/>
  <c r="DA801" i="1"/>
  <c r="CZ801" i="1"/>
  <c r="CY801" i="1"/>
  <c r="CX801" i="1"/>
  <c r="CR801" i="1" s="1"/>
  <c r="CU801" i="1"/>
  <c r="CT801" i="1"/>
  <c r="CS801" i="1"/>
  <c r="CA801" i="1"/>
  <c r="CB801" i="1" s="1"/>
  <c r="BZ801" i="1"/>
  <c r="BY801" i="1"/>
  <c r="BX801" i="1"/>
  <c r="BW801" i="1"/>
  <c r="BV801" i="1"/>
  <c r="BU801" i="1"/>
  <c r="CC801" i="1" s="1"/>
  <c r="BT801" i="1"/>
  <c r="BS801" i="1"/>
  <c r="AN801" i="1"/>
  <c r="AM801" i="1"/>
  <c r="AL801" i="1"/>
  <c r="AK801" i="1"/>
  <c r="AJ801" i="1"/>
  <c r="AI801" i="1"/>
  <c r="O801" i="1"/>
  <c r="D801" i="1" s="1"/>
  <c r="F801" i="1"/>
  <c r="E801" i="1"/>
  <c r="EA800" i="1"/>
  <c r="DZ800" i="1"/>
  <c r="DY800" i="1"/>
  <c r="DX800" i="1"/>
  <c r="DW800" i="1"/>
  <c r="DV800" i="1"/>
  <c r="DC800" i="1"/>
  <c r="DB800" i="1"/>
  <c r="DA800" i="1"/>
  <c r="CU800" i="1" s="1"/>
  <c r="CZ800" i="1"/>
  <c r="CT800" i="1" s="1"/>
  <c r="CY800" i="1"/>
  <c r="CX800" i="1"/>
  <c r="CW800" i="1"/>
  <c r="CV800" i="1"/>
  <c r="CS800" i="1"/>
  <c r="CR800" i="1"/>
  <c r="BZ800" i="1"/>
  <c r="CA800" i="1" s="1"/>
  <c r="BY800" i="1"/>
  <c r="BX800" i="1"/>
  <c r="BW800" i="1"/>
  <c r="BV800" i="1"/>
  <c r="BU800" i="1"/>
  <c r="BT800" i="1"/>
  <c r="BS800" i="1"/>
  <c r="AN800" i="1"/>
  <c r="AM800" i="1"/>
  <c r="AL800" i="1"/>
  <c r="AK800" i="1"/>
  <c r="AJ800" i="1"/>
  <c r="AI800" i="1"/>
  <c r="O800" i="1"/>
  <c r="D800" i="1" s="1"/>
  <c r="F800" i="1"/>
  <c r="E800" i="1"/>
  <c r="EA799" i="1"/>
  <c r="DZ799" i="1"/>
  <c r="DY799" i="1"/>
  <c r="DX799" i="1"/>
  <c r="DW799" i="1"/>
  <c r="DV799" i="1"/>
  <c r="DC799" i="1"/>
  <c r="CW799" i="1" s="1"/>
  <c r="DB799" i="1"/>
  <c r="CV799" i="1" s="1"/>
  <c r="DA799" i="1"/>
  <c r="CZ799" i="1"/>
  <c r="CY799" i="1"/>
  <c r="CS799" i="1" s="1"/>
  <c r="CX799" i="1"/>
  <c r="CR799" i="1" s="1"/>
  <c r="CU799" i="1"/>
  <c r="CT799" i="1"/>
  <c r="CA799" i="1"/>
  <c r="BZ799" i="1"/>
  <c r="BY799" i="1"/>
  <c r="BX799" i="1"/>
  <c r="BW799" i="1"/>
  <c r="BV799" i="1"/>
  <c r="BU799" i="1"/>
  <c r="BT799" i="1"/>
  <c r="BS799" i="1"/>
  <c r="AN799" i="1"/>
  <c r="AM799" i="1"/>
  <c r="AL799" i="1"/>
  <c r="AK799" i="1"/>
  <c r="AJ799" i="1"/>
  <c r="AI799" i="1"/>
  <c r="O799" i="1"/>
  <c r="D799" i="1" s="1"/>
  <c r="F799" i="1"/>
  <c r="E799" i="1"/>
  <c r="EA798" i="1"/>
  <c r="DZ798" i="1"/>
  <c r="DY798" i="1"/>
  <c r="DX798" i="1"/>
  <c r="DW798" i="1"/>
  <c r="DV798" i="1"/>
  <c r="DC798" i="1"/>
  <c r="CW798" i="1" s="1"/>
  <c r="DB798" i="1"/>
  <c r="DA798" i="1"/>
  <c r="CZ798" i="1"/>
  <c r="CT798" i="1" s="1"/>
  <c r="CY798" i="1"/>
  <c r="CS798" i="1" s="1"/>
  <c r="CX798" i="1"/>
  <c r="CV798" i="1"/>
  <c r="CU798" i="1"/>
  <c r="CR798" i="1"/>
  <c r="BZ798" i="1"/>
  <c r="CA798" i="1" s="1"/>
  <c r="CC798" i="1" s="1"/>
  <c r="BY798" i="1"/>
  <c r="BX798" i="1"/>
  <c r="BW798" i="1"/>
  <c r="BV798" i="1"/>
  <c r="BU798" i="1"/>
  <c r="BT798" i="1"/>
  <c r="BS798" i="1"/>
  <c r="AN798" i="1"/>
  <c r="AM798" i="1"/>
  <c r="AL798" i="1"/>
  <c r="AK798" i="1"/>
  <c r="AJ798" i="1"/>
  <c r="AI798" i="1"/>
  <c r="O798" i="1"/>
  <c r="D798" i="1" s="1"/>
  <c r="F798" i="1"/>
  <c r="E798" i="1"/>
  <c r="EA797" i="1"/>
  <c r="DZ797" i="1"/>
  <c r="DY797" i="1"/>
  <c r="DX797" i="1"/>
  <c r="DW797" i="1"/>
  <c r="DV797" i="1"/>
  <c r="DC797" i="1"/>
  <c r="DB797" i="1"/>
  <c r="CV797" i="1" s="1"/>
  <c r="DA797" i="1"/>
  <c r="CU797" i="1" s="1"/>
  <c r="CZ797" i="1"/>
  <c r="CY797" i="1"/>
  <c r="CX797" i="1"/>
  <c r="CR797" i="1" s="1"/>
  <c r="CW797" i="1"/>
  <c r="CT797" i="1"/>
  <c r="CS797" i="1"/>
  <c r="CA797" i="1"/>
  <c r="BZ797" i="1"/>
  <c r="BY797" i="1"/>
  <c r="BX797" i="1"/>
  <c r="BW797" i="1"/>
  <c r="BV797" i="1"/>
  <c r="BU797" i="1"/>
  <c r="BT797" i="1"/>
  <c r="BS797" i="1"/>
  <c r="AN797" i="1"/>
  <c r="AM797" i="1"/>
  <c r="AL797" i="1"/>
  <c r="AK797" i="1"/>
  <c r="AJ797" i="1"/>
  <c r="AI797" i="1"/>
  <c r="O797" i="1"/>
  <c r="D797" i="1" s="1"/>
  <c r="F797" i="1"/>
  <c r="E797" i="1"/>
  <c r="EA796" i="1"/>
  <c r="DZ796" i="1"/>
  <c r="DY796" i="1"/>
  <c r="DX796" i="1"/>
  <c r="DW796" i="1"/>
  <c r="DV796" i="1"/>
  <c r="DC796" i="1"/>
  <c r="CW796" i="1" s="1"/>
  <c r="DB796" i="1"/>
  <c r="DA796" i="1"/>
  <c r="CZ796" i="1"/>
  <c r="CT796" i="1" s="1"/>
  <c r="CY796" i="1"/>
  <c r="CS796" i="1" s="1"/>
  <c r="CX796" i="1"/>
  <c r="CV796" i="1"/>
  <c r="CU796" i="1"/>
  <c r="CR796" i="1"/>
  <c r="BZ796" i="1"/>
  <c r="CA796" i="1" s="1"/>
  <c r="CC796" i="1" s="1"/>
  <c r="BY796" i="1"/>
  <c r="BX796" i="1"/>
  <c r="BW796" i="1"/>
  <c r="BV796" i="1"/>
  <c r="BU796" i="1"/>
  <c r="BT796" i="1"/>
  <c r="BS796" i="1"/>
  <c r="AN796" i="1"/>
  <c r="AM796" i="1"/>
  <c r="AL796" i="1"/>
  <c r="AK796" i="1"/>
  <c r="AJ796" i="1"/>
  <c r="AI796" i="1"/>
  <c r="O796" i="1"/>
  <c r="D796" i="1" s="1"/>
  <c r="F796" i="1"/>
  <c r="E796" i="1"/>
  <c r="EA795" i="1"/>
  <c r="DZ795" i="1"/>
  <c r="DY795" i="1"/>
  <c r="DX795" i="1"/>
  <c r="DW795" i="1"/>
  <c r="DV795" i="1"/>
  <c r="DC795" i="1"/>
  <c r="DB795" i="1"/>
  <c r="CV795" i="1" s="1"/>
  <c r="DA795" i="1"/>
  <c r="CU795" i="1" s="1"/>
  <c r="CZ795" i="1"/>
  <c r="CY795" i="1"/>
  <c r="CX795" i="1"/>
  <c r="CR795" i="1" s="1"/>
  <c r="CW795" i="1"/>
  <c r="CT795" i="1"/>
  <c r="CS795" i="1"/>
  <c r="CA795" i="1"/>
  <c r="BZ795" i="1"/>
  <c r="BY795" i="1"/>
  <c r="BX795" i="1"/>
  <c r="BW795" i="1"/>
  <c r="BV795" i="1"/>
  <c r="BU795" i="1"/>
  <c r="BT795" i="1"/>
  <c r="BS795" i="1"/>
  <c r="AN795" i="1"/>
  <c r="AM795" i="1"/>
  <c r="AL795" i="1"/>
  <c r="AK795" i="1"/>
  <c r="AJ795" i="1"/>
  <c r="AI795" i="1"/>
  <c r="O795" i="1"/>
  <c r="D795" i="1" s="1"/>
  <c r="F795" i="1"/>
  <c r="E795" i="1"/>
  <c r="EA794" i="1"/>
  <c r="DZ794" i="1"/>
  <c r="DY794" i="1"/>
  <c r="DX794" i="1"/>
  <c r="DW794" i="1"/>
  <c r="DV794" i="1"/>
  <c r="DC794" i="1"/>
  <c r="CW794" i="1" s="1"/>
  <c r="DB794" i="1"/>
  <c r="DA794" i="1"/>
  <c r="CZ794" i="1"/>
  <c r="CT794" i="1" s="1"/>
  <c r="CY794" i="1"/>
  <c r="CS794" i="1" s="1"/>
  <c r="CX794" i="1"/>
  <c r="CV794" i="1"/>
  <c r="CU794" i="1"/>
  <c r="CR794" i="1"/>
  <c r="BZ794" i="1"/>
  <c r="CA794" i="1" s="1"/>
  <c r="CC794" i="1" s="1"/>
  <c r="BY794" i="1"/>
  <c r="BX794" i="1"/>
  <c r="BW794" i="1"/>
  <c r="BV794" i="1"/>
  <c r="BU794" i="1"/>
  <c r="BT794" i="1"/>
  <c r="BS794" i="1"/>
  <c r="AN794" i="1"/>
  <c r="AM794" i="1"/>
  <c r="AL794" i="1"/>
  <c r="AK794" i="1"/>
  <c r="AJ794" i="1"/>
  <c r="AI794" i="1"/>
  <c r="O794" i="1"/>
  <c r="D794" i="1" s="1"/>
  <c r="F794" i="1"/>
  <c r="E794" i="1"/>
  <c r="EA793" i="1"/>
  <c r="DZ793" i="1"/>
  <c r="DY793" i="1"/>
  <c r="DX793" i="1"/>
  <c r="DW793" i="1"/>
  <c r="DV793" i="1"/>
  <c r="DC793" i="1"/>
  <c r="DB793" i="1"/>
  <c r="CV793" i="1" s="1"/>
  <c r="DA793" i="1"/>
  <c r="CU793" i="1" s="1"/>
  <c r="CZ793" i="1"/>
  <c r="CY793" i="1"/>
  <c r="CX793" i="1"/>
  <c r="CR793" i="1" s="1"/>
  <c r="CW793" i="1"/>
  <c r="CT793" i="1"/>
  <c r="CS793" i="1"/>
  <c r="CA793" i="1"/>
  <c r="BZ793" i="1"/>
  <c r="BY793" i="1"/>
  <c r="BX793" i="1"/>
  <c r="BW793" i="1"/>
  <c r="BV793" i="1"/>
  <c r="BU793" i="1"/>
  <c r="BT793" i="1"/>
  <c r="BS793" i="1"/>
  <c r="AN793" i="1"/>
  <c r="AM793" i="1"/>
  <c r="AL793" i="1"/>
  <c r="AK793" i="1"/>
  <c r="AJ793" i="1"/>
  <c r="AI793" i="1"/>
  <c r="O793" i="1"/>
  <c r="D793" i="1" s="1"/>
  <c r="F793" i="1"/>
  <c r="E793" i="1"/>
  <c r="EA792" i="1"/>
  <c r="DZ792" i="1"/>
  <c r="DY792" i="1"/>
  <c r="DX792" i="1"/>
  <c r="DW792" i="1"/>
  <c r="DV792" i="1"/>
  <c r="DC792" i="1"/>
  <c r="CW792" i="1" s="1"/>
  <c r="DB792" i="1"/>
  <c r="DA792" i="1"/>
  <c r="CZ792" i="1"/>
  <c r="CT792" i="1" s="1"/>
  <c r="CY792" i="1"/>
  <c r="CS792" i="1" s="1"/>
  <c r="CX792" i="1"/>
  <c r="CV792" i="1"/>
  <c r="CU792" i="1"/>
  <c r="CR792" i="1"/>
  <c r="BZ792" i="1"/>
  <c r="CA792" i="1" s="1"/>
  <c r="CC792" i="1" s="1"/>
  <c r="BY792" i="1"/>
  <c r="BX792" i="1"/>
  <c r="BW792" i="1"/>
  <c r="BV792" i="1"/>
  <c r="BU792" i="1"/>
  <c r="BT792" i="1"/>
  <c r="BS792" i="1"/>
  <c r="AN792" i="1"/>
  <c r="AM792" i="1"/>
  <c r="AL792" i="1"/>
  <c r="AK792" i="1"/>
  <c r="AJ792" i="1"/>
  <c r="AI792" i="1"/>
  <c r="O792" i="1"/>
  <c r="D792" i="1" s="1"/>
  <c r="F792" i="1"/>
  <c r="E792" i="1"/>
  <c r="EA791" i="1"/>
  <c r="DZ791" i="1"/>
  <c r="DY791" i="1"/>
  <c r="DX791" i="1"/>
  <c r="DW791" i="1"/>
  <c r="DV791" i="1"/>
  <c r="DC791" i="1"/>
  <c r="DB791" i="1"/>
  <c r="CV791" i="1" s="1"/>
  <c r="DA791" i="1"/>
  <c r="CU791" i="1" s="1"/>
  <c r="CZ791" i="1"/>
  <c r="CY791" i="1"/>
  <c r="CX791" i="1"/>
  <c r="CR791" i="1" s="1"/>
  <c r="CW791" i="1"/>
  <c r="CT791" i="1"/>
  <c r="CS791" i="1"/>
  <c r="CA791" i="1"/>
  <c r="BZ791" i="1"/>
  <c r="BY791" i="1"/>
  <c r="BX791" i="1"/>
  <c r="BW791" i="1"/>
  <c r="BV791" i="1"/>
  <c r="BU791" i="1"/>
  <c r="BT791" i="1"/>
  <c r="BS791" i="1"/>
  <c r="AN791" i="1"/>
  <c r="AM791" i="1"/>
  <c r="AL791" i="1"/>
  <c r="AK791" i="1"/>
  <c r="AJ791" i="1"/>
  <c r="AI791" i="1"/>
  <c r="O791" i="1"/>
  <c r="D791" i="1" s="1"/>
  <c r="F791" i="1"/>
  <c r="E791" i="1"/>
  <c r="EA790" i="1"/>
  <c r="DZ790" i="1"/>
  <c r="DY790" i="1"/>
  <c r="DX790" i="1"/>
  <c r="DW790" i="1"/>
  <c r="DV790" i="1"/>
  <c r="DC790" i="1"/>
  <c r="CW790" i="1" s="1"/>
  <c r="DB790" i="1"/>
  <c r="DA790" i="1"/>
  <c r="CZ790" i="1"/>
  <c r="CT790" i="1" s="1"/>
  <c r="CY790" i="1"/>
  <c r="CS790" i="1" s="1"/>
  <c r="CX790" i="1"/>
  <c r="CV790" i="1"/>
  <c r="CU790" i="1"/>
  <c r="CR790" i="1"/>
  <c r="BZ790" i="1"/>
  <c r="CA790" i="1" s="1"/>
  <c r="CC790" i="1" s="1"/>
  <c r="BY790" i="1"/>
  <c r="BX790" i="1"/>
  <c r="BW790" i="1"/>
  <c r="BV790" i="1"/>
  <c r="BU790" i="1"/>
  <c r="BT790" i="1"/>
  <c r="BS790" i="1"/>
  <c r="AN790" i="1"/>
  <c r="AM790" i="1"/>
  <c r="AL790" i="1"/>
  <c r="AK790" i="1"/>
  <c r="AJ790" i="1"/>
  <c r="AI790" i="1"/>
  <c r="O790" i="1"/>
  <c r="D790" i="1" s="1"/>
  <c r="F790" i="1"/>
  <c r="E790" i="1"/>
  <c r="EA789" i="1"/>
  <c r="DZ789" i="1"/>
  <c r="DY789" i="1"/>
  <c r="DX789" i="1"/>
  <c r="DW789" i="1"/>
  <c r="DV789" i="1"/>
  <c r="DC789" i="1"/>
  <c r="DB789" i="1"/>
  <c r="CV789" i="1" s="1"/>
  <c r="DA789" i="1"/>
  <c r="CU789" i="1" s="1"/>
  <c r="CZ789" i="1"/>
  <c r="CY789" i="1"/>
  <c r="CX789" i="1"/>
  <c r="CR789" i="1" s="1"/>
  <c r="CW789" i="1"/>
  <c r="CT789" i="1"/>
  <c r="CS789" i="1"/>
  <c r="CA789" i="1"/>
  <c r="BZ789" i="1"/>
  <c r="BY789" i="1"/>
  <c r="BX789" i="1"/>
  <c r="BW789" i="1"/>
  <c r="BV789" i="1"/>
  <c r="BU789" i="1"/>
  <c r="BT789" i="1"/>
  <c r="BS789" i="1"/>
  <c r="AN789" i="1"/>
  <c r="AM789" i="1"/>
  <c r="AL789" i="1"/>
  <c r="AK789" i="1"/>
  <c r="AJ789" i="1"/>
  <c r="AI789" i="1"/>
  <c r="O789" i="1"/>
  <c r="D789" i="1" s="1"/>
  <c r="F789" i="1"/>
  <c r="E789" i="1"/>
  <c r="EA788" i="1"/>
  <c r="DZ788" i="1"/>
  <c r="DY788" i="1"/>
  <c r="DX788" i="1"/>
  <c r="DW788" i="1"/>
  <c r="DV788" i="1"/>
  <c r="DC788" i="1"/>
  <c r="CW788" i="1" s="1"/>
  <c r="DB788" i="1"/>
  <c r="DA788" i="1"/>
  <c r="CZ788" i="1"/>
  <c r="CT788" i="1" s="1"/>
  <c r="CY788" i="1"/>
  <c r="CS788" i="1" s="1"/>
  <c r="CX788" i="1"/>
  <c r="CV788" i="1"/>
  <c r="CU788" i="1"/>
  <c r="CR788" i="1"/>
  <c r="BZ788" i="1"/>
  <c r="CA788" i="1" s="1"/>
  <c r="CC788" i="1" s="1"/>
  <c r="BY788" i="1"/>
  <c r="BX788" i="1"/>
  <c r="BW788" i="1"/>
  <c r="BV788" i="1"/>
  <c r="BU788" i="1"/>
  <c r="BT788" i="1"/>
  <c r="BS788" i="1"/>
  <c r="AN788" i="1"/>
  <c r="AM788" i="1"/>
  <c r="AL788" i="1"/>
  <c r="AK788" i="1"/>
  <c r="AJ788" i="1"/>
  <c r="AI788" i="1"/>
  <c r="O788" i="1"/>
  <c r="D788" i="1" s="1"/>
  <c r="F788" i="1"/>
  <c r="E788" i="1"/>
  <c r="EA787" i="1"/>
  <c r="DZ787" i="1"/>
  <c r="DY787" i="1"/>
  <c r="DX787" i="1"/>
  <c r="DW787" i="1"/>
  <c r="DV787" i="1"/>
  <c r="DC787" i="1"/>
  <c r="DB787" i="1"/>
  <c r="CV787" i="1" s="1"/>
  <c r="DA787" i="1"/>
  <c r="CU787" i="1" s="1"/>
  <c r="CZ787" i="1"/>
  <c r="CY787" i="1"/>
  <c r="CX787" i="1"/>
  <c r="CR787" i="1" s="1"/>
  <c r="CW787" i="1"/>
  <c r="CT787" i="1"/>
  <c r="CS787" i="1"/>
  <c r="CA787" i="1"/>
  <c r="BZ787" i="1"/>
  <c r="BY787" i="1"/>
  <c r="BX787" i="1"/>
  <c r="BW787" i="1"/>
  <c r="BV787" i="1"/>
  <c r="BU787" i="1"/>
  <c r="BT787" i="1"/>
  <c r="BS787" i="1"/>
  <c r="AN787" i="1"/>
  <c r="AM787" i="1"/>
  <c r="AL787" i="1"/>
  <c r="AK787" i="1"/>
  <c r="AJ787" i="1"/>
  <c r="AI787" i="1"/>
  <c r="O787" i="1"/>
  <c r="D787" i="1" s="1"/>
  <c r="F787" i="1"/>
  <c r="E787" i="1"/>
  <c r="EA786" i="1"/>
  <c r="DZ786" i="1"/>
  <c r="DY786" i="1"/>
  <c r="DX786" i="1"/>
  <c r="DW786" i="1"/>
  <c r="DV786" i="1"/>
  <c r="DC786" i="1"/>
  <c r="CW786" i="1" s="1"/>
  <c r="DB786" i="1"/>
  <c r="DA786" i="1"/>
  <c r="CZ786" i="1"/>
  <c r="CT786" i="1" s="1"/>
  <c r="CY786" i="1"/>
  <c r="CS786" i="1" s="1"/>
  <c r="CX786" i="1"/>
  <c r="CV786" i="1"/>
  <c r="CU786" i="1"/>
  <c r="CR786" i="1"/>
  <c r="BZ786" i="1"/>
  <c r="CA786" i="1" s="1"/>
  <c r="CC786" i="1" s="1"/>
  <c r="BY786" i="1"/>
  <c r="BX786" i="1"/>
  <c r="BW786" i="1"/>
  <c r="BV786" i="1"/>
  <c r="BU786" i="1"/>
  <c r="BT786" i="1"/>
  <c r="BS786" i="1"/>
  <c r="AN786" i="1"/>
  <c r="AM786" i="1"/>
  <c r="AL786" i="1"/>
  <c r="AK786" i="1"/>
  <c r="AJ786" i="1"/>
  <c r="AI786" i="1"/>
  <c r="O786" i="1"/>
  <c r="D786" i="1" s="1"/>
  <c r="F786" i="1"/>
  <c r="E786" i="1"/>
  <c r="EA785" i="1"/>
  <c r="DZ785" i="1"/>
  <c r="DY785" i="1"/>
  <c r="DX785" i="1"/>
  <c r="DW785" i="1"/>
  <c r="DV785" i="1"/>
  <c r="DC785" i="1"/>
  <c r="DB785" i="1"/>
  <c r="CV785" i="1" s="1"/>
  <c r="DA785" i="1"/>
  <c r="CU785" i="1" s="1"/>
  <c r="CZ785" i="1"/>
  <c r="CY785" i="1"/>
  <c r="CX785" i="1"/>
  <c r="CR785" i="1" s="1"/>
  <c r="CW785" i="1"/>
  <c r="CT785" i="1"/>
  <c r="CS785" i="1"/>
  <c r="CA785" i="1"/>
  <c r="BZ785" i="1"/>
  <c r="BY785" i="1"/>
  <c r="BX785" i="1"/>
  <c r="BW785" i="1"/>
  <c r="BV785" i="1"/>
  <c r="BU785" i="1"/>
  <c r="BT785" i="1"/>
  <c r="BS785" i="1"/>
  <c r="AN785" i="1"/>
  <c r="AM785" i="1"/>
  <c r="AL785" i="1"/>
  <c r="AK785" i="1"/>
  <c r="AJ785" i="1"/>
  <c r="AI785" i="1"/>
  <c r="O785" i="1"/>
  <c r="D785" i="1" s="1"/>
  <c r="F785" i="1"/>
  <c r="E785" i="1"/>
  <c r="EA784" i="1"/>
  <c r="DZ784" i="1"/>
  <c r="DY784" i="1"/>
  <c r="DX784" i="1"/>
  <c r="DW784" i="1"/>
  <c r="DV784" i="1"/>
  <c r="DC784" i="1"/>
  <c r="CW784" i="1" s="1"/>
  <c r="DB784" i="1"/>
  <c r="DA784" i="1"/>
  <c r="CZ784" i="1"/>
  <c r="CT784" i="1" s="1"/>
  <c r="CY784" i="1"/>
  <c r="CS784" i="1" s="1"/>
  <c r="CX784" i="1"/>
  <c r="CV784" i="1"/>
  <c r="CU784" i="1"/>
  <c r="CR784" i="1"/>
  <c r="BZ784" i="1"/>
  <c r="CA784" i="1" s="1"/>
  <c r="CC784" i="1" s="1"/>
  <c r="BY784" i="1"/>
  <c r="BX784" i="1"/>
  <c r="BW784" i="1"/>
  <c r="BV784" i="1"/>
  <c r="BU784" i="1"/>
  <c r="BT784" i="1"/>
  <c r="BS784" i="1"/>
  <c r="AN784" i="1"/>
  <c r="AM784" i="1"/>
  <c r="AL784" i="1"/>
  <c r="AK784" i="1"/>
  <c r="AJ784" i="1"/>
  <c r="AI784" i="1"/>
  <c r="O784" i="1"/>
  <c r="D784" i="1" s="1"/>
  <c r="F784" i="1"/>
  <c r="E784" i="1"/>
  <c r="EA783" i="1"/>
  <c r="DZ783" i="1"/>
  <c r="DY783" i="1"/>
  <c r="DX783" i="1"/>
  <c r="DW783" i="1"/>
  <c r="DV783" i="1"/>
  <c r="DC783" i="1"/>
  <c r="DB783" i="1"/>
  <c r="CV783" i="1" s="1"/>
  <c r="DA783" i="1"/>
  <c r="CU783" i="1" s="1"/>
  <c r="CZ783" i="1"/>
  <c r="CY783" i="1"/>
  <c r="CX783" i="1"/>
  <c r="CR783" i="1" s="1"/>
  <c r="CW783" i="1"/>
  <c r="CT783" i="1"/>
  <c r="CS783" i="1"/>
  <c r="CA783" i="1"/>
  <c r="BZ783" i="1"/>
  <c r="BY783" i="1"/>
  <c r="BX783" i="1"/>
  <c r="BW783" i="1"/>
  <c r="BV783" i="1"/>
  <c r="BU783" i="1"/>
  <c r="BT783" i="1"/>
  <c r="BS783" i="1"/>
  <c r="AN783" i="1"/>
  <c r="AM783" i="1"/>
  <c r="AL783" i="1"/>
  <c r="AK783" i="1"/>
  <c r="AJ783" i="1"/>
  <c r="AI783" i="1"/>
  <c r="O783" i="1"/>
  <c r="D783" i="1" s="1"/>
  <c r="F783" i="1"/>
  <c r="E783" i="1"/>
  <c r="EA782" i="1"/>
  <c r="DZ782" i="1"/>
  <c r="DY782" i="1"/>
  <c r="DX782" i="1"/>
  <c r="DW782" i="1"/>
  <c r="DV782" i="1"/>
  <c r="DC782" i="1"/>
  <c r="CW782" i="1" s="1"/>
  <c r="DB782" i="1"/>
  <c r="DA782" i="1"/>
  <c r="CZ782" i="1"/>
  <c r="CT782" i="1" s="1"/>
  <c r="CY782" i="1"/>
  <c r="CS782" i="1" s="1"/>
  <c r="CX782" i="1"/>
  <c r="CV782" i="1"/>
  <c r="CU782" i="1"/>
  <c r="CR782" i="1"/>
  <c r="BZ782" i="1"/>
  <c r="CA782" i="1" s="1"/>
  <c r="CC782" i="1" s="1"/>
  <c r="BY782" i="1"/>
  <c r="BX782" i="1"/>
  <c r="BW782" i="1"/>
  <c r="BV782" i="1"/>
  <c r="BU782" i="1"/>
  <c r="BT782" i="1"/>
  <c r="BS782" i="1"/>
  <c r="AN782" i="1"/>
  <c r="AM782" i="1"/>
  <c r="AL782" i="1"/>
  <c r="AK782" i="1"/>
  <c r="AJ782" i="1"/>
  <c r="AI782" i="1"/>
  <c r="O782" i="1"/>
  <c r="D782" i="1" s="1"/>
  <c r="F782" i="1"/>
  <c r="E782" i="1"/>
  <c r="EA781" i="1"/>
  <c r="DZ781" i="1"/>
  <c r="DY781" i="1"/>
  <c r="DX781" i="1"/>
  <c r="DW781" i="1"/>
  <c r="DV781" i="1"/>
  <c r="DC781" i="1"/>
  <c r="DB781" i="1"/>
  <c r="CV781" i="1" s="1"/>
  <c r="DA781" i="1"/>
  <c r="CU781" i="1" s="1"/>
  <c r="CZ781" i="1"/>
  <c r="CY781" i="1"/>
  <c r="CX781" i="1"/>
  <c r="CR781" i="1" s="1"/>
  <c r="CW781" i="1"/>
  <c r="CT781" i="1"/>
  <c r="CS781" i="1"/>
  <c r="CA781" i="1"/>
  <c r="BZ781" i="1"/>
  <c r="BY781" i="1"/>
  <c r="BX781" i="1"/>
  <c r="BW781" i="1"/>
  <c r="BV781" i="1"/>
  <c r="BU781" i="1"/>
  <c r="BT781" i="1"/>
  <c r="BS781" i="1"/>
  <c r="AN781" i="1"/>
  <c r="AM781" i="1"/>
  <c r="AL781" i="1"/>
  <c r="AK781" i="1"/>
  <c r="AJ781" i="1"/>
  <c r="AI781" i="1"/>
  <c r="O781" i="1"/>
  <c r="D781" i="1" s="1"/>
  <c r="F781" i="1"/>
  <c r="E781" i="1"/>
  <c r="EA780" i="1"/>
  <c r="DZ780" i="1"/>
  <c r="DY780" i="1"/>
  <c r="DX780" i="1"/>
  <c r="DW780" i="1"/>
  <c r="DV780" i="1"/>
  <c r="DC780" i="1"/>
  <c r="CW780" i="1" s="1"/>
  <c r="DB780" i="1"/>
  <c r="DA780" i="1"/>
  <c r="CZ780" i="1"/>
  <c r="CT780" i="1" s="1"/>
  <c r="CY780" i="1"/>
  <c r="CS780" i="1" s="1"/>
  <c r="CX780" i="1"/>
  <c r="CV780" i="1"/>
  <c r="CU780" i="1"/>
  <c r="CR780" i="1"/>
  <c r="BZ780" i="1"/>
  <c r="CA780" i="1" s="1"/>
  <c r="CC780" i="1" s="1"/>
  <c r="BY780" i="1"/>
  <c r="BX780" i="1"/>
  <c r="BW780" i="1"/>
  <c r="BV780" i="1"/>
  <c r="BU780" i="1"/>
  <c r="BT780" i="1"/>
  <c r="BS780" i="1"/>
  <c r="AN780" i="1"/>
  <c r="AM780" i="1"/>
  <c r="AL780" i="1"/>
  <c r="AK780" i="1"/>
  <c r="AJ780" i="1"/>
  <c r="AI780" i="1"/>
  <c r="O780" i="1"/>
  <c r="D780" i="1" s="1"/>
  <c r="F780" i="1"/>
  <c r="E780" i="1"/>
  <c r="EA779" i="1"/>
  <c r="DZ779" i="1"/>
  <c r="DY779" i="1"/>
  <c r="DX779" i="1"/>
  <c r="DW779" i="1"/>
  <c r="DV779" i="1"/>
  <c r="DC779" i="1"/>
  <c r="DB779" i="1"/>
  <c r="CV779" i="1" s="1"/>
  <c r="DA779" i="1"/>
  <c r="CU779" i="1" s="1"/>
  <c r="CZ779" i="1"/>
  <c r="CY779" i="1"/>
  <c r="CX779" i="1"/>
  <c r="CR779" i="1" s="1"/>
  <c r="CW779" i="1"/>
  <c r="CT779" i="1"/>
  <c r="CS779" i="1"/>
  <c r="CA779" i="1"/>
  <c r="BZ779" i="1"/>
  <c r="BY779" i="1"/>
  <c r="BX779" i="1"/>
  <c r="BW779" i="1"/>
  <c r="BV779" i="1"/>
  <c r="BU779" i="1"/>
  <c r="BT779" i="1"/>
  <c r="BS779" i="1"/>
  <c r="AN779" i="1"/>
  <c r="AM779" i="1"/>
  <c r="AL779" i="1"/>
  <c r="AK779" i="1"/>
  <c r="AJ779" i="1"/>
  <c r="AI779" i="1"/>
  <c r="O779" i="1"/>
  <c r="D779" i="1" s="1"/>
  <c r="F779" i="1"/>
  <c r="E779" i="1"/>
  <c r="EA778" i="1"/>
  <c r="DZ778" i="1"/>
  <c r="DY778" i="1"/>
  <c r="DX778" i="1"/>
  <c r="DW778" i="1"/>
  <c r="DV778" i="1"/>
  <c r="DC778" i="1"/>
  <c r="CW778" i="1" s="1"/>
  <c r="DB778" i="1"/>
  <c r="DA778" i="1"/>
  <c r="CZ778" i="1"/>
  <c r="CT778" i="1" s="1"/>
  <c r="CY778" i="1"/>
  <c r="CS778" i="1" s="1"/>
  <c r="CX778" i="1"/>
  <c r="CV778" i="1"/>
  <c r="CU778" i="1"/>
  <c r="CR778" i="1"/>
  <c r="BZ778" i="1"/>
  <c r="CA778" i="1" s="1"/>
  <c r="CC778" i="1" s="1"/>
  <c r="BY778" i="1"/>
  <c r="BX778" i="1"/>
  <c r="BW778" i="1"/>
  <c r="BV778" i="1"/>
  <c r="BU778" i="1"/>
  <c r="BT778" i="1"/>
  <c r="BS778" i="1"/>
  <c r="AN778" i="1"/>
  <c r="AM778" i="1"/>
  <c r="AL778" i="1"/>
  <c r="AK778" i="1"/>
  <c r="AJ778" i="1"/>
  <c r="AI778" i="1"/>
  <c r="O778" i="1"/>
  <c r="D778" i="1" s="1"/>
  <c r="F778" i="1"/>
  <c r="E778" i="1"/>
  <c r="EA777" i="1"/>
  <c r="DZ777" i="1"/>
  <c r="DY777" i="1"/>
  <c r="DX777" i="1"/>
  <c r="DW777" i="1"/>
  <c r="DV777" i="1"/>
  <c r="DC777" i="1"/>
  <c r="DB777" i="1"/>
  <c r="CV777" i="1" s="1"/>
  <c r="DA777" i="1"/>
  <c r="CU777" i="1" s="1"/>
  <c r="CZ777" i="1"/>
  <c r="CY777" i="1"/>
  <c r="CX777" i="1"/>
  <c r="CR777" i="1" s="1"/>
  <c r="CW777" i="1"/>
  <c r="CT777" i="1"/>
  <c r="CS777" i="1"/>
  <c r="CA777" i="1"/>
  <c r="BZ777" i="1"/>
  <c r="BY777" i="1"/>
  <c r="BX777" i="1"/>
  <c r="BW777" i="1"/>
  <c r="BV777" i="1"/>
  <c r="BU777" i="1"/>
  <c r="BT777" i="1"/>
  <c r="BS777" i="1"/>
  <c r="AN777" i="1"/>
  <c r="AM777" i="1"/>
  <c r="AL777" i="1"/>
  <c r="AK777" i="1"/>
  <c r="AJ777" i="1"/>
  <c r="AI777" i="1"/>
  <c r="O777" i="1"/>
  <c r="F777" i="1"/>
  <c r="E777" i="1"/>
  <c r="D777" i="1"/>
  <c r="EA776" i="1"/>
  <c r="DZ776" i="1"/>
  <c r="DY776" i="1"/>
  <c r="DX776" i="1"/>
  <c r="DW776" i="1"/>
  <c r="DV776" i="1"/>
  <c r="DC776" i="1"/>
  <c r="CW776" i="1" s="1"/>
  <c r="DB776" i="1"/>
  <c r="DA776" i="1"/>
  <c r="CZ776" i="1"/>
  <c r="CT776" i="1" s="1"/>
  <c r="CY776" i="1"/>
  <c r="CS776" i="1" s="1"/>
  <c r="CX776" i="1"/>
  <c r="CV776" i="1"/>
  <c r="CU776" i="1"/>
  <c r="CR776" i="1"/>
  <c r="BZ776" i="1"/>
  <c r="CA776" i="1" s="1"/>
  <c r="CC776" i="1" s="1"/>
  <c r="BY776" i="1"/>
  <c r="BX776" i="1"/>
  <c r="BW776" i="1"/>
  <c r="BV776" i="1"/>
  <c r="BU776" i="1"/>
  <c r="BT776" i="1"/>
  <c r="BS776" i="1"/>
  <c r="AN776" i="1"/>
  <c r="AM776" i="1"/>
  <c r="AL776" i="1"/>
  <c r="AK776" i="1"/>
  <c r="AJ776" i="1"/>
  <c r="AI776" i="1"/>
  <c r="O776" i="1"/>
  <c r="D776" i="1" s="1"/>
  <c r="F776" i="1"/>
  <c r="E776" i="1"/>
  <c r="EA775" i="1"/>
  <c r="DZ775" i="1"/>
  <c r="DY775" i="1"/>
  <c r="DX775" i="1"/>
  <c r="DW775" i="1"/>
  <c r="DV775" i="1"/>
  <c r="DC775" i="1"/>
  <c r="DB775" i="1"/>
  <c r="CV775" i="1" s="1"/>
  <c r="DA775" i="1"/>
  <c r="CU775" i="1" s="1"/>
  <c r="CZ775" i="1"/>
  <c r="CY775" i="1"/>
  <c r="CX775" i="1"/>
  <c r="CR775" i="1" s="1"/>
  <c r="CW775" i="1"/>
  <c r="CT775" i="1"/>
  <c r="CS775" i="1"/>
  <c r="CA775" i="1"/>
  <c r="BZ775" i="1"/>
  <c r="BY775" i="1"/>
  <c r="BX775" i="1"/>
  <c r="BW775" i="1"/>
  <c r="BV775" i="1"/>
  <c r="BU775" i="1"/>
  <c r="BT775" i="1"/>
  <c r="BS775" i="1"/>
  <c r="AN775" i="1"/>
  <c r="AM775" i="1"/>
  <c r="AL775" i="1"/>
  <c r="AK775" i="1"/>
  <c r="AJ775" i="1"/>
  <c r="AI775" i="1"/>
  <c r="O775" i="1"/>
  <c r="D775" i="1" s="1"/>
  <c r="F775" i="1"/>
  <c r="E775" i="1"/>
  <c r="EA774" i="1"/>
  <c r="DZ774" i="1"/>
  <c r="DY774" i="1"/>
  <c r="DX774" i="1"/>
  <c r="DW774" i="1"/>
  <c r="DV774" i="1"/>
  <c r="DC774" i="1"/>
  <c r="CW774" i="1" s="1"/>
  <c r="DB774" i="1"/>
  <c r="DA774" i="1"/>
  <c r="CZ774" i="1"/>
  <c r="CT774" i="1" s="1"/>
  <c r="CY774" i="1"/>
  <c r="CS774" i="1" s="1"/>
  <c r="CX774" i="1"/>
  <c r="CV774" i="1"/>
  <c r="CU774" i="1"/>
  <c r="CR774" i="1"/>
  <c r="BZ774" i="1"/>
  <c r="CA774" i="1" s="1"/>
  <c r="CC774" i="1" s="1"/>
  <c r="BY774" i="1"/>
  <c r="BX774" i="1"/>
  <c r="BW774" i="1"/>
  <c r="BV774" i="1"/>
  <c r="BU774" i="1"/>
  <c r="BT774" i="1"/>
  <c r="BS774" i="1"/>
  <c r="AN774" i="1"/>
  <c r="AM774" i="1"/>
  <c r="AL774" i="1"/>
  <c r="AK774" i="1"/>
  <c r="AJ774" i="1"/>
  <c r="AI774" i="1"/>
  <c r="O774" i="1"/>
  <c r="D774" i="1" s="1"/>
  <c r="F774" i="1"/>
  <c r="E774" i="1"/>
  <c r="EA773" i="1"/>
  <c r="DZ773" i="1"/>
  <c r="DY773" i="1"/>
  <c r="DX773" i="1"/>
  <c r="DW773" i="1"/>
  <c r="DV773" i="1"/>
  <c r="DC773" i="1"/>
  <c r="DB773" i="1"/>
  <c r="CV773" i="1" s="1"/>
  <c r="DA773" i="1"/>
  <c r="CU773" i="1" s="1"/>
  <c r="CZ773" i="1"/>
  <c r="CY773" i="1"/>
  <c r="CX773" i="1"/>
  <c r="CR773" i="1" s="1"/>
  <c r="CW773" i="1"/>
  <c r="CT773" i="1"/>
  <c r="CS773" i="1"/>
  <c r="CA773" i="1"/>
  <c r="BZ773" i="1"/>
  <c r="BY773" i="1"/>
  <c r="BX773" i="1"/>
  <c r="BW773" i="1"/>
  <c r="BV773" i="1"/>
  <c r="BU773" i="1"/>
  <c r="BT773" i="1"/>
  <c r="BS773" i="1"/>
  <c r="AN773" i="1"/>
  <c r="AM773" i="1"/>
  <c r="AL773" i="1"/>
  <c r="AK773" i="1"/>
  <c r="AJ773" i="1"/>
  <c r="AI773" i="1"/>
  <c r="O773" i="1"/>
  <c r="D773" i="1" s="1"/>
  <c r="F773" i="1"/>
  <c r="E773" i="1"/>
  <c r="EA772" i="1"/>
  <c r="DZ772" i="1"/>
  <c r="DY772" i="1"/>
  <c r="DX772" i="1"/>
  <c r="DW772" i="1"/>
  <c r="DV772" i="1"/>
  <c r="DC772" i="1"/>
  <c r="CW772" i="1" s="1"/>
  <c r="DB772" i="1"/>
  <c r="DA772" i="1"/>
  <c r="CZ772" i="1"/>
  <c r="CT772" i="1" s="1"/>
  <c r="CY772" i="1"/>
  <c r="CS772" i="1" s="1"/>
  <c r="CX772" i="1"/>
  <c r="CV772" i="1"/>
  <c r="CU772" i="1"/>
  <c r="CR772" i="1"/>
  <c r="BZ772" i="1"/>
  <c r="CA772" i="1" s="1"/>
  <c r="CC772" i="1" s="1"/>
  <c r="BY772" i="1"/>
  <c r="BX772" i="1"/>
  <c r="BW772" i="1"/>
  <c r="BV772" i="1"/>
  <c r="BU772" i="1"/>
  <c r="BT772" i="1"/>
  <c r="BS772" i="1"/>
  <c r="AN772" i="1"/>
  <c r="AM772" i="1"/>
  <c r="AL772" i="1"/>
  <c r="AK772" i="1"/>
  <c r="AJ772" i="1"/>
  <c r="AI772" i="1"/>
  <c r="O772" i="1"/>
  <c r="D772" i="1" s="1"/>
  <c r="F772" i="1"/>
  <c r="E772" i="1"/>
  <c r="EA771" i="1"/>
  <c r="DZ771" i="1"/>
  <c r="DY771" i="1"/>
  <c r="DX771" i="1"/>
  <c r="DW771" i="1"/>
  <c r="DV771" i="1"/>
  <c r="DC771" i="1"/>
  <c r="DB771" i="1"/>
  <c r="CV771" i="1" s="1"/>
  <c r="DA771" i="1"/>
  <c r="CU771" i="1" s="1"/>
  <c r="CZ771" i="1"/>
  <c r="CY771" i="1"/>
  <c r="CX771" i="1"/>
  <c r="CR771" i="1" s="1"/>
  <c r="CW771" i="1"/>
  <c r="CT771" i="1"/>
  <c r="CS771" i="1"/>
  <c r="CA771" i="1"/>
  <c r="BZ771" i="1"/>
  <c r="BY771" i="1"/>
  <c r="BX771" i="1"/>
  <c r="BW771" i="1"/>
  <c r="BV771" i="1"/>
  <c r="BU771" i="1"/>
  <c r="BT771" i="1"/>
  <c r="BS771" i="1"/>
  <c r="AN771" i="1"/>
  <c r="AM771" i="1"/>
  <c r="AL771" i="1"/>
  <c r="AK771" i="1"/>
  <c r="AJ771" i="1"/>
  <c r="AI771" i="1"/>
  <c r="O771" i="1"/>
  <c r="D771" i="1" s="1"/>
  <c r="F771" i="1"/>
  <c r="E771" i="1"/>
  <c r="EA770" i="1"/>
  <c r="DZ770" i="1"/>
  <c r="DY770" i="1"/>
  <c r="DX770" i="1"/>
  <c r="DW770" i="1"/>
  <c r="DV770" i="1"/>
  <c r="DC770" i="1"/>
  <c r="CW770" i="1" s="1"/>
  <c r="DB770" i="1"/>
  <c r="DA770" i="1"/>
  <c r="CZ770" i="1"/>
  <c r="CT770" i="1" s="1"/>
  <c r="CY770" i="1"/>
  <c r="CS770" i="1" s="1"/>
  <c r="CX770" i="1"/>
  <c r="CV770" i="1"/>
  <c r="CU770" i="1"/>
  <c r="CR770" i="1"/>
  <c r="BZ770" i="1"/>
  <c r="CA770" i="1" s="1"/>
  <c r="CC770" i="1" s="1"/>
  <c r="BY770" i="1"/>
  <c r="BX770" i="1"/>
  <c r="BW770" i="1"/>
  <c r="BV770" i="1"/>
  <c r="BU770" i="1"/>
  <c r="BT770" i="1"/>
  <c r="BS770" i="1"/>
  <c r="AN770" i="1"/>
  <c r="AM770" i="1"/>
  <c r="AL770" i="1"/>
  <c r="AK770" i="1"/>
  <c r="AJ770" i="1"/>
  <c r="AI770" i="1"/>
  <c r="O770" i="1"/>
  <c r="D770" i="1" s="1"/>
  <c r="F770" i="1"/>
  <c r="E770" i="1"/>
  <c r="EA769" i="1"/>
  <c r="DZ769" i="1"/>
  <c r="DY769" i="1"/>
  <c r="DX769" i="1"/>
  <c r="DW769" i="1"/>
  <c r="DV769" i="1"/>
  <c r="DC769" i="1"/>
  <c r="DB769" i="1"/>
  <c r="CV769" i="1" s="1"/>
  <c r="DA769" i="1"/>
  <c r="CU769" i="1" s="1"/>
  <c r="CZ769" i="1"/>
  <c r="CY769" i="1"/>
  <c r="CX769" i="1"/>
  <c r="CR769" i="1" s="1"/>
  <c r="CW769" i="1"/>
  <c r="CT769" i="1"/>
  <c r="CS769" i="1"/>
  <c r="CA769" i="1"/>
  <c r="BZ769" i="1"/>
  <c r="BY769" i="1"/>
  <c r="BX769" i="1"/>
  <c r="BW769" i="1"/>
  <c r="BV769" i="1"/>
  <c r="BU769" i="1"/>
  <c r="BT769" i="1"/>
  <c r="BS769" i="1"/>
  <c r="AN769" i="1"/>
  <c r="AM769" i="1"/>
  <c r="AL769" i="1"/>
  <c r="AK769" i="1"/>
  <c r="AJ769" i="1"/>
  <c r="AI769" i="1"/>
  <c r="O769" i="1"/>
  <c r="D769" i="1" s="1"/>
  <c r="F769" i="1"/>
  <c r="E769" i="1"/>
  <c r="EA768" i="1"/>
  <c r="DZ768" i="1"/>
  <c r="DY768" i="1"/>
  <c r="DX768" i="1"/>
  <c r="DW768" i="1"/>
  <c r="DV768" i="1"/>
  <c r="DC768" i="1"/>
  <c r="CW768" i="1" s="1"/>
  <c r="DB768" i="1"/>
  <c r="DA768" i="1"/>
  <c r="CZ768" i="1"/>
  <c r="CT768" i="1" s="1"/>
  <c r="CY768" i="1"/>
  <c r="CS768" i="1" s="1"/>
  <c r="CX768" i="1"/>
  <c r="CV768" i="1"/>
  <c r="CU768" i="1"/>
  <c r="CR768" i="1"/>
  <c r="BZ768" i="1"/>
  <c r="CA768" i="1" s="1"/>
  <c r="CC768" i="1" s="1"/>
  <c r="BY768" i="1"/>
  <c r="BX768" i="1"/>
  <c r="BW768" i="1"/>
  <c r="BV768" i="1"/>
  <c r="BU768" i="1"/>
  <c r="BT768" i="1"/>
  <c r="BS768" i="1"/>
  <c r="AN768" i="1"/>
  <c r="AM768" i="1"/>
  <c r="AL768" i="1"/>
  <c r="AK768" i="1"/>
  <c r="AJ768" i="1"/>
  <c r="AI768" i="1"/>
  <c r="O768" i="1"/>
  <c r="D768" i="1" s="1"/>
  <c r="F768" i="1"/>
  <c r="E768" i="1"/>
  <c r="EA767" i="1"/>
  <c r="DZ767" i="1"/>
  <c r="DY767" i="1"/>
  <c r="DX767" i="1"/>
  <c r="DW767" i="1"/>
  <c r="DV767" i="1"/>
  <c r="DC767" i="1"/>
  <c r="DB767" i="1"/>
  <c r="CV767" i="1" s="1"/>
  <c r="DA767" i="1"/>
  <c r="CU767" i="1" s="1"/>
  <c r="CZ767" i="1"/>
  <c r="CY767" i="1"/>
  <c r="CX767" i="1"/>
  <c r="CR767" i="1" s="1"/>
  <c r="CW767" i="1"/>
  <c r="CT767" i="1"/>
  <c r="CS767" i="1"/>
  <c r="CB767" i="1"/>
  <c r="CA767" i="1"/>
  <c r="BZ767" i="1"/>
  <c r="BY767" i="1"/>
  <c r="BX767" i="1"/>
  <c r="BW767" i="1"/>
  <c r="BV767" i="1"/>
  <c r="BU767" i="1"/>
  <c r="CC767" i="1" s="1"/>
  <c r="BT767" i="1"/>
  <c r="BS767" i="1"/>
  <c r="AN767" i="1"/>
  <c r="AM767" i="1"/>
  <c r="AL767" i="1"/>
  <c r="AK767" i="1"/>
  <c r="AJ767" i="1"/>
  <c r="AI767" i="1"/>
  <c r="O767" i="1"/>
  <c r="D767" i="1" s="1"/>
  <c r="F767" i="1"/>
  <c r="E767" i="1"/>
  <c r="EA766" i="1"/>
  <c r="DZ766" i="1"/>
  <c r="DY766" i="1"/>
  <c r="DX766" i="1"/>
  <c r="DW766" i="1"/>
  <c r="DV766" i="1"/>
  <c r="DC766" i="1"/>
  <c r="CW766" i="1" s="1"/>
  <c r="DB766" i="1"/>
  <c r="DA766" i="1"/>
  <c r="CZ766" i="1"/>
  <c r="CT766" i="1" s="1"/>
  <c r="CY766" i="1"/>
  <c r="CS766" i="1" s="1"/>
  <c r="CX766" i="1"/>
  <c r="CV766" i="1"/>
  <c r="CU766" i="1"/>
  <c r="CR766" i="1"/>
  <c r="BZ766" i="1"/>
  <c r="CA766" i="1" s="1"/>
  <c r="CC766" i="1" s="1"/>
  <c r="BY766" i="1"/>
  <c r="BX766" i="1"/>
  <c r="BW766" i="1"/>
  <c r="BV766" i="1"/>
  <c r="BU766" i="1"/>
  <c r="BT766" i="1"/>
  <c r="BS766" i="1"/>
  <c r="AN766" i="1"/>
  <c r="AM766" i="1"/>
  <c r="AL766" i="1"/>
  <c r="AK766" i="1"/>
  <c r="AJ766" i="1"/>
  <c r="AI766" i="1"/>
  <c r="O766" i="1"/>
  <c r="D766" i="1" s="1"/>
  <c r="F766" i="1"/>
  <c r="E766" i="1"/>
  <c r="EA765" i="1"/>
  <c r="DZ765" i="1"/>
  <c r="DY765" i="1"/>
  <c r="DX765" i="1"/>
  <c r="DW765" i="1"/>
  <c r="DV765" i="1"/>
  <c r="DC765" i="1"/>
  <c r="DB765" i="1"/>
  <c r="CV765" i="1" s="1"/>
  <c r="DA765" i="1"/>
  <c r="CU765" i="1" s="1"/>
  <c r="CZ765" i="1"/>
  <c r="CY765" i="1"/>
  <c r="CX765" i="1"/>
  <c r="CR765" i="1" s="1"/>
  <c r="CW765" i="1"/>
  <c r="CT765" i="1"/>
  <c r="CS765" i="1"/>
  <c r="CB765" i="1"/>
  <c r="CA765" i="1"/>
  <c r="BZ765" i="1"/>
  <c r="BY765" i="1"/>
  <c r="BX765" i="1"/>
  <c r="BW765" i="1"/>
  <c r="BV765" i="1"/>
  <c r="BU765" i="1"/>
  <c r="BT765" i="1"/>
  <c r="BS765" i="1"/>
  <c r="AN765" i="1"/>
  <c r="AM765" i="1"/>
  <c r="AL765" i="1"/>
  <c r="AK765" i="1"/>
  <c r="AJ765" i="1"/>
  <c r="AI765" i="1"/>
  <c r="O765" i="1"/>
  <c r="D765" i="1" s="1"/>
  <c r="F765" i="1"/>
  <c r="E765" i="1"/>
  <c r="EA764" i="1"/>
  <c r="DZ764" i="1"/>
  <c r="DY764" i="1"/>
  <c r="DX764" i="1"/>
  <c r="DW764" i="1"/>
  <c r="DV764" i="1"/>
  <c r="DC764" i="1"/>
  <c r="CW764" i="1" s="1"/>
  <c r="DB764" i="1"/>
  <c r="DA764" i="1"/>
  <c r="CZ764" i="1"/>
  <c r="CT764" i="1" s="1"/>
  <c r="CY764" i="1"/>
  <c r="CS764" i="1" s="1"/>
  <c r="CX764" i="1"/>
  <c r="CV764" i="1"/>
  <c r="CU764" i="1"/>
  <c r="CR764" i="1"/>
  <c r="BZ764" i="1"/>
  <c r="CA764" i="1" s="1"/>
  <c r="BY764" i="1"/>
  <c r="BX764" i="1"/>
  <c r="BW764" i="1"/>
  <c r="BV764" i="1"/>
  <c r="BU764" i="1"/>
  <c r="BT764" i="1"/>
  <c r="BS764" i="1"/>
  <c r="AN764" i="1"/>
  <c r="AM764" i="1"/>
  <c r="AL764" i="1"/>
  <c r="AK764" i="1"/>
  <c r="AJ764" i="1"/>
  <c r="AI764" i="1"/>
  <c r="O764" i="1"/>
  <c r="D764" i="1" s="1"/>
  <c r="F764" i="1"/>
  <c r="E764" i="1"/>
  <c r="EA763" i="1"/>
  <c r="DZ763" i="1"/>
  <c r="DY763" i="1"/>
  <c r="DX763" i="1"/>
  <c r="DW763" i="1"/>
  <c r="DV763" i="1"/>
  <c r="DC763" i="1"/>
  <c r="DB763" i="1"/>
  <c r="CV763" i="1" s="1"/>
  <c r="DA763" i="1"/>
  <c r="CU763" i="1" s="1"/>
  <c r="CZ763" i="1"/>
  <c r="CY763" i="1"/>
  <c r="CX763" i="1"/>
  <c r="CR763" i="1" s="1"/>
  <c r="CW763" i="1"/>
  <c r="CT763" i="1"/>
  <c r="CS763" i="1"/>
  <c r="CB763" i="1"/>
  <c r="CA763" i="1"/>
  <c r="BZ763" i="1"/>
  <c r="BY763" i="1"/>
  <c r="BX763" i="1"/>
  <c r="BW763" i="1"/>
  <c r="BV763" i="1"/>
  <c r="BU763" i="1"/>
  <c r="BT763" i="1"/>
  <c r="BS763" i="1"/>
  <c r="AN763" i="1"/>
  <c r="AM763" i="1"/>
  <c r="AL763" i="1"/>
  <c r="AK763" i="1"/>
  <c r="AJ763" i="1"/>
  <c r="AI763" i="1"/>
  <c r="O763" i="1"/>
  <c r="D763" i="1" s="1"/>
  <c r="F763" i="1"/>
  <c r="E763" i="1"/>
  <c r="EA762" i="1"/>
  <c r="DZ762" i="1"/>
  <c r="DY762" i="1"/>
  <c r="DX762" i="1"/>
  <c r="DW762" i="1"/>
  <c r="DV762" i="1"/>
  <c r="DC762" i="1"/>
  <c r="CW762" i="1" s="1"/>
  <c r="DB762" i="1"/>
  <c r="DA762" i="1"/>
  <c r="CZ762" i="1"/>
  <c r="CT762" i="1" s="1"/>
  <c r="CY762" i="1"/>
  <c r="CS762" i="1" s="1"/>
  <c r="CX762" i="1"/>
  <c r="CV762" i="1"/>
  <c r="CU762" i="1"/>
  <c r="CR762" i="1"/>
  <c r="BZ762" i="1"/>
  <c r="CA762" i="1" s="1"/>
  <c r="BY762" i="1"/>
  <c r="BX762" i="1"/>
  <c r="BW762" i="1"/>
  <c r="BV762" i="1"/>
  <c r="BU762" i="1"/>
  <c r="BT762" i="1"/>
  <c r="BS762" i="1"/>
  <c r="AN762" i="1"/>
  <c r="AM762" i="1"/>
  <c r="AL762" i="1"/>
  <c r="AK762" i="1"/>
  <c r="AJ762" i="1"/>
  <c r="AI762" i="1"/>
  <c r="O762" i="1"/>
  <c r="D762" i="1" s="1"/>
  <c r="F762" i="1"/>
  <c r="E762" i="1"/>
  <c r="EA761" i="1"/>
  <c r="DZ761" i="1"/>
  <c r="DY761" i="1"/>
  <c r="DX761" i="1"/>
  <c r="DW761" i="1"/>
  <c r="DV761" i="1"/>
  <c r="DC761" i="1"/>
  <c r="DB761" i="1"/>
  <c r="CV761" i="1" s="1"/>
  <c r="DA761" i="1"/>
  <c r="CU761" i="1" s="1"/>
  <c r="CZ761" i="1"/>
  <c r="CY761" i="1"/>
  <c r="CX761" i="1"/>
  <c r="CR761" i="1" s="1"/>
  <c r="CW761" i="1"/>
  <c r="CT761" i="1"/>
  <c r="CS761" i="1"/>
  <c r="CB761" i="1"/>
  <c r="CA761" i="1"/>
  <c r="BZ761" i="1"/>
  <c r="BY761" i="1"/>
  <c r="BX761" i="1"/>
  <c r="BW761" i="1"/>
  <c r="BV761" i="1"/>
  <c r="BU761" i="1"/>
  <c r="BT761" i="1"/>
  <c r="BS761" i="1"/>
  <c r="AN761" i="1"/>
  <c r="AM761" i="1"/>
  <c r="AL761" i="1"/>
  <c r="AK761" i="1"/>
  <c r="AJ761" i="1"/>
  <c r="AI761" i="1"/>
  <c r="O761" i="1"/>
  <c r="D761" i="1" s="1"/>
  <c r="F761" i="1"/>
  <c r="E761" i="1"/>
  <c r="EA760" i="1"/>
  <c r="DZ760" i="1"/>
  <c r="DY760" i="1"/>
  <c r="DX760" i="1"/>
  <c r="DW760" i="1"/>
  <c r="DV760" i="1"/>
  <c r="DC760" i="1"/>
  <c r="CW760" i="1" s="1"/>
  <c r="DB760" i="1"/>
  <c r="DA760" i="1"/>
  <c r="CZ760" i="1"/>
  <c r="CT760" i="1" s="1"/>
  <c r="CY760" i="1"/>
  <c r="CS760" i="1" s="1"/>
  <c r="CX760" i="1"/>
  <c r="CV760" i="1"/>
  <c r="CU760" i="1"/>
  <c r="CR760" i="1"/>
  <c r="BZ760" i="1"/>
  <c r="CA760" i="1" s="1"/>
  <c r="BY760" i="1"/>
  <c r="BX760" i="1"/>
  <c r="BW760" i="1"/>
  <c r="BV760" i="1"/>
  <c r="BU760" i="1"/>
  <c r="CC760" i="1" s="1"/>
  <c r="BT760" i="1"/>
  <c r="BS760" i="1"/>
  <c r="AN760" i="1"/>
  <c r="AM760" i="1"/>
  <c r="AL760" i="1"/>
  <c r="AK760" i="1"/>
  <c r="AJ760" i="1"/>
  <c r="AI760" i="1"/>
  <c r="O760" i="1"/>
  <c r="D760" i="1" s="1"/>
  <c r="F760" i="1"/>
  <c r="E760" i="1"/>
  <c r="EA759" i="1"/>
  <c r="DZ759" i="1"/>
  <c r="DY759" i="1"/>
  <c r="DX759" i="1"/>
  <c r="DW759" i="1"/>
  <c r="DV759" i="1"/>
  <c r="DC759" i="1"/>
  <c r="DB759" i="1"/>
  <c r="CV759" i="1" s="1"/>
  <c r="DA759" i="1"/>
  <c r="CU759" i="1" s="1"/>
  <c r="CZ759" i="1"/>
  <c r="CY759" i="1"/>
  <c r="CX759" i="1"/>
  <c r="CR759" i="1" s="1"/>
  <c r="CW759" i="1"/>
  <c r="CT759" i="1"/>
  <c r="CS759" i="1"/>
  <c r="CB759" i="1"/>
  <c r="CA759" i="1"/>
  <c r="BZ759" i="1"/>
  <c r="BY759" i="1"/>
  <c r="BX759" i="1"/>
  <c r="BW759" i="1"/>
  <c r="BV759" i="1"/>
  <c r="BU759" i="1"/>
  <c r="BT759" i="1"/>
  <c r="BS759" i="1"/>
  <c r="AN759" i="1"/>
  <c r="AM759" i="1"/>
  <c r="AL759" i="1"/>
  <c r="AK759" i="1"/>
  <c r="AJ759" i="1"/>
  <c r="AI759" i="1"/>
  <c r="O759" i="1"/>
  <c r="D759" i="1" s="1"/>
  <c r="F759" i="1"/>
  <c r="E759" i="1"/>
  <c r="EA758" i="1"/>
  <c r="DZ758" i="1"/>
  <c r="DY758" i="1"/>
  <c r="DX758" i="1"/>
  <c r="DW758" i="1"/>
  <c r="DV758" i="1"/>
  <c r="DC758" i="1"/>
  <c r="CW758" i="1" s="1"/>
  <c r="DB758" i="1"/>
  <c r="DA758" i="1"/>
  <c r="CZ758" i="1"/>
  <c r="CT758" i="1" s="1"/>
  <c r="CY758" i="1"/>
  <c r="CS758" i="1" s="1"/>
  <c r="CX758" i="1"/>
  <c r="CV758" i="1"/>
  <c r="CU758" i="1"/>
  <c r="CR758" i="1"/>
  <c r="BZ758" i="1"/>
  <c r="CA758" i="1" s="1"/>
  <c r="BY758" i="1"/>
  <c r="BX758" i="1"/>
  <c r="BW758" i="1"/>
  <c r="BV758" i="1"/>
  <c r="BU758" i="1"/>
  <c r="BT758" i="1"/>
  <c r="BS758" i="1"/>
  <c r="AN758" i="1"/>
  <c r="AM758" i="1"/>
  <c r="AL758" i="1"/>
  <c r="AK758" i="1"/>
  <c r="AJ758" i="1"/>
  <c r="AI758" i="1"/>
  <c r="O758" i="1"/>
  <c r="D758" i="1" s="1"/>
  <c r="F758" i="1"/>
  <c r="E758" i="1"/>
  <c r="EA757" i="1"/>
  <c r="DZ757" i="1"/>
  <c r="DY757" i="1"/>
  <c r="DX757" i="1"/>
  <c r="DW757" i="1"/>
  <c r="DV757" i="1"/>
  <c r="DC757" i="1"/>
  <c r="DB757" i="1"/>
  <c r="CV757" i="1" s="1"/>
  <c r="DA757" i="1"/>
  <c r="CU757" i="1" s="1"/>
  <c r="CZ757" i="1"/>
  <c r="CY757" i="1"/>
  <c r="CX757" i="1"/>
  <c r="CR757" i="1" s="1"/>
  <c r="CW757" i="1"/>
  <c r="CT757" i="1"/>
  <c r="CS757" i="1"/>
  <c r="CB757" i="1"/>
  <c r="CA757" i="1"/>
  <c r="BZ757" i="1"/>
  <c r="BY757" i="1"/>
  <c r="BX757" i="1"/>
  <c r="BW757" i="1"/>
  <c r="BV757" i="1"/>
  <c r="BU757" i="1"/>
  <c r="BT757" i="1"/>
  <c r="BS757" i="1"/>
  <c r="AN757" i="1"/>
  <c r="AM757" i="1"/>
  <c r="AL757" i="1"/>
  <c r="AK757" i="1"/>
  <c r="AJ757" i="1"/>
  <c r="AI757" i="1"/>
  <c r="O757" i="1"/>
  <c r="D757" i="1" s="1"/>
  <c r="F757" i="1"/>
  <c r="E757" i="1"/>
  <c r="EA756" i="1"/>
  <c r="DZ756" i="1"/>
  <c r="DY756" i="1"/>
  <c r="DX756" i="1"/>
  <c r="DW756" i="1"/>
  <c r="DV756" i="1"/>
  <c r="DC756" i="1"/>
  <c r="CW756" i="1" s="1"/>
  <c r="DB756" i="1"/>
  <c r="DA756" i="1"/>
  <c r="CZ756" i="1"/>
  <c r="CT756" i="1" s="1"/>
  <c r="CY756" i="1"/>
  <c r="CS756" i="1" s="1"/>
  <c r="CX756" i="1"/>
  <c r="CV756" i="1"/>
  <c r="CU756" i="1"/>
  <c r="CR756" i="1"/>
  <c r="BZ756" i="1"/>
  <c r="CA756" i="1" s="1"/>
  <c r="BY756" i="1"/>
  <c r="BX756" i="1"/>
  <c r="BW756" i="1"/>
  <c r="BV756" i="1"/>
  <c r="BU756" i="1"/>
  <c r="BT756" i="1"/>
  <c r="BS756" i="1"/>
  <c r="AN756" i="1"/>
  <c r="AM756" i="1"/>
  <c r="AL756" i="1"/>
  <c r="AK756" i="1"/>
  <c r="AJ756" i="1"/>
  <c r="AI756" i="1"/>
  <c r="O756" i="1"/>
  <c r="D756" i="1" s="1"/>
  <c r="F756" i="1"/>
  <c r="E756" i="1"/>
  <c r="EA755" i="1"/>
  <c r="DZ755" i="1"/>
  <c r="DY755" i="1"/>
  <c r="DX755" i="1"/>
  <c r="DW755" i="1"/>
  <c r="DV755" i="1"/>
  <c r="DC755" i="1"/>
  <c r="DB755" i="1"/>
  <c r="CV755" i="1" s="1"/>
  <c r="DA755" i="1"/>
  <c r="CU755" i="1" s="1"/>
  <c r="CZ755" i="1"/>
  <c r="CY755" i="1"/>
  <c r="CX755" i="1"/>
  <c r="CR755" i="1" s="1"/>
  <c r="CW755" i="1"/>
  <c r="CT755" i="1"/>
  <c r="CS755" i="1"/>
  <c r="CA755" i="1"/>
  <c r="CB755" i="1" s="1"/>
  <c r="BZ755" i="1"/>
  <c r="BY755" i="1"/>
  <c r="BX755" i="1"/>
  <c r="BW755" i="1"/>
  <c r="BV755" i="1"/>
  <c r="BU755" i="1"/>
  <c r="BT755" i="1"/>
  <c r="BS755" i="1"/>
  <c r="AN755" i="1"/>
  <c r="AM755" i="1"/>
  <c r="AL755" i="1"/>
  <c r="AK755" i="1"/>
  <c r="AJ755" i="1"/>
  <c r="AI755" i="1"/>
  <c r="O755" i="1"/>
  <c r="F755" i="1"/>
  <c r="E755" i="1"/>
  <c r="D755" i="1"/>
  <c r="EA754" i="1"/>
  <c r="DZ754" i="1"/>
  <c r="DY754" i="1"/>
  <c r="DX754" i="1"/>
  <c r="DW754" i="1"/>
  <c r="DV754" i="1"/>
  <c r="DC754" i="1"/>
  <c r="CW754" i="1" s="1"/>
  <c r="DB754" i="1"/>
  <c r="DA754" i="1"/>
  <c r="CZ754" i="1"/>
  <c r="CT754" i="1" s="1"/>
  <c r="CY754" i="1"/>
  <c r="CS754" i="1" s="1"/>
  <c r="CX754" i="1"/>
  <c r="CV754" i="1"/>
  <c r="CU754" i="1"/>
  <c r="CR754" i="1"/>
  <c r="BZ754" i="1"/>
  <c r="CA754" i="1" s="1"/>
  <c r="BY754" i="1"/>
  <c r="BX754" i="1"/>
  <c r="BW754" i="1"/>
  <c r="BV754" i="1"/>
  <c r="BU754" i="1"/>
  <c r="BT754" i="1"/>
  <c r="BS754" i="1"/>
  <c r="AN754" i="1"/>
  <c r="AM754" i="1"/>
  <c r="AL754" i="1"/>
  <c r="AK754" i="1"/>
  <c r="AJ754" i="1"/>
  <c r="AI754" i="1"/>
  <c r="O754" i="1"/>
  <c r="D754" i="1" s="1"/>
  <c r="F754" i="1"/>
  <c r="E754" i="1"/>
  <c r="EA753" i="1"/>
  <c r="DZ753" i="1"/>
  <c r="DY753" i="1"/>
  <c r="DX753" i="1"/>
  <c r="DW753" i="1"/>
  <c r="DV753" i="1"/>
  <c r="DC753" i="1"/>
  <c r="DB753" i="1"/>
  <c r="CV753" i="1" s="1"/>
  <c r="DA753" i="1"/>
  <c r="CU753" i="1" s="1"/>
  <c r="CZ753" i="1"/>
  <c r="CY753" i="1"/>
  <c r="CX753" i="1"/>
  <c r="CR753" i="1" s="1"/>
  <c r="CW753" i="1"/>
  <c r="CT753" i="1"/>
  <c r="CS753" i="1"/>
  <c r="CB753" i="1"/>
  <c r="CA753" i="1"/>
  <c r="BZ753" i="1"/>
  <c r="BY753" i="1"/>
  <c r="BX753" i="1"/>
  <c r="BW753" i="1"/>
  <c r="BV753" i="1"/>
  <c r="BU753" i="1"/>
  <c r="BT753" i="1"/>
  <c r="BS753" i="1"/>
  <c r="AN753" i="1"/>
  <c r="AM753" i="1"/>
  <c r="AL753" i="1"/>
  <c r="AK753" i="1"/>
  <c r="AJ753" i="1"/>
  <c r="AI753" i="1"/>
  <c r="O753" i="1"/>
  <c r="D753" i="1" s="1"/>
  <c r="F753" i="1"/>
  <c r="E753" i="1"/>
  <c r="EA752" i="1"/>
  <c r="DZ752" i="1"/>
  <c r="DY752" i="1"/>
  <c r="DX752" i="1"/>
  <c r="DW752" i="1"/>
  <c r="DV752" i="1"/>
  <c r="DC752" i="1"/>
  <c r="CW752" i="1" s="1"/>
  <c r="DB752" i="1"/>
  <c r="DA752" i="1"/>
  <c r="CZ752" i="1"/>
  <c r="CT752" i="1" s="1"/>
  <c r="CY752" i="1"/>
  <c r="CS752" i="1" s="1"/>
  <c r="CX752" i="1"/>
  <c r="CV752" i="1"/>
  <c r="CU752" i="1"/>
  <c r="CR752" i="1"/>
  <c r="BZ752" i="1"/>
  <c r="CA752" i="1" s="1"/>
  <c r="BY752" i="1"/>
  <c r="BX752" i="1"/>
  <c r="BW752" i="1"/>
  <c r="BV752" i="1"/>
  <c r="BU752" i="1"/>
  <c r="BT752" i="1"/>
  <c r="BS752" i="1"/>
  <c r="AN752" i="1"/>
  <c r="AM752" i="1"/>
  <c r="AL752" i="1"/>
  <c r="AK752" i="1"/>
  <c r="AJ752" i="1"/>
  <c r="AI752" i="1"/>
  <c r="O752" i="1"/>
  <c r="D752" i="1" s="1"/>
  <c r="F752" i="1"/>
  <c r="E752" i="1"/>
  <c r="EA751" i="1"/>
  <c r="DZ751" i="1"/>
  <c r="DY751" i="1"/>
  <c r="DX751" i="1"/>
  <c r="DW751" i="1"/>
  <c r="DV751" i="1"/>
  <c r="DC751" i="1"/>
  <c r="DB751" i="1"/>
  <c r="CV751" i="1" s="1"/>
  <c r="DA751" i="1"/>
  <c r="CU751" i="1" s="1"/>
  <c r="CZ751" i="1"/>
  <c r="CY751" i="1"/>
  <c r="CX751" i="1"/>
  <c r="CR751" i="1" s="1"/>
  <c r="CW751" i="1"/>
  <c r="CT751" i="1"/>
  <c r="CS751" i="1"/>
  <c r="CB751" i="1"/>
  <c r="CA751" i="1"/>
  <c r="BZ751" i="1"/>
  <c r="BY751" i="1"/>
  <c r="BX751" i="1"/>
  <c r="BW751" i="1"/>
  <c r="BV751" i="1"/>
  <c r="BU751" i="1"/>
  <c r="BT751" i="1"/>
  <c r="BS751" i="1"/>
  <c r="AN751" i="1"/>
  <c r="AM751" i="1"/>
  <c r="AL751" i="1"/>
  <c r="AK751" i="1"/>
  <c r="AJ751" i="1"/>
  <c r="AI751" i="1"/>
  <c r="O751" i="1"/>
  <c r="F751" i="1"/>
  <c r="E751" i="1"/>
  <c r="D751" i="1"/>
  <c r="EA750" i="1"/>
  <c r="DZ750" i="1"/>
  <c r="DY750" i="1"/>
  <c r="DX750" i="1"/>
  <c r="DW750" i="1"/>
  <c r="DV750" i="1"/>
  <c r="DC750" i="1"/>
  <c r="CW750" i="1" s="1"/>
  <c r="DB750" i="1"/>
  <c r="DA750" i="1"/>
  <c r="CZ750" i="1"/>
  <c r="CT750" i="1" s="1"/>
  <c r="CY750" i="1"/>
  <c r="CS750" i="1" s="1"/>
  <c r="CX750" i="1"/>
  <c r="CV750" i="1"/>
  <c r="CU750" i="1"/>
  <c r="CR750" i="1"/>
  <c r="BZ750" i="1"/>
  <c r="CA750" i="1" s="1"/>
  <c r="BY750" i="1"/>
  <c r="BX750" i="1"/>
  <c r="BW750" i="1"/>
  <c r="BV750" i="1"/>
  <c r="BU750" i="1"/>
  <c r="BT750" i="1"/>
  <c r="BS750" i="1"/>
  <c r="AN750" i="1"/>
  <c r="AM750" i="1"/>
  <c r="AL750" i="1"/>
  <c r="AK750" i="1"/>
  <c r="AJ750" i="1"/>
  <c r="AI750" i="1"/>
  <c r="O750" i="1"/>
  <c r="D750" i="1" s="1"/>
  <c r="F750" i="1"/>
  <c r="E750" i="1"/>
  <c r="EA749" i="1"/>
  <c r="DZ749" i="1"/>
  <c r="DY749" i="1"/>
  <c r="DX749" i="1"/>
  <c r="DW749" i="1"/>
  <c r="DV749" i="1"/>
  <c r="DC749" i="1"/>
  <c r="DB749" i="1"/>
  <c r="CV749" i="1" s="1"/>
  <c r="DA749" i="1"/>
  <c r="CU749" i="1" s="1"/>
  <c r="CZ749" i="1"/>
  <c r="CY749" i="1"/>
  <c r="CX749" i="1"/>
  <c r="CR749" i="1" s="1"/>
  <c r="CW749" i="1"/>
  <c r="CT749" i="1"/>
  <c r="CS749" i="1"/>
  <c r="CB749" i="1"/>
  <c r="CA749" i="1"/>
  <c r="BZ749" i="1"/>
  <c r="BY749" i="1"/>
  <c r="BX749" i="1"/>
  <c r="BW749" i="1"/>
  <c r="BV749" i="1"/>
  <c r="BU749" i="1"/>
  <c r="BT749" i="1"/>
  <c r="BS749" i="1"/>
  <c r="AN749" i="1"/>
  <c r="AM749" i="1"/>
  <c r="AL749" i="1"/>
  <c r="AK749" i="1"/>
  <c r="AJ749" i="1"/>
  <c r="AI749" i="1"/>
  <c r="O749" i="1"/>
  <c r="D749" i="1" s="1"/>
  <c r="F749" i="1"/>
  <c r="E749" i="1"/>
  <c r="EA748" i="1"/>
  <c r="DZ748" i="1"/>
  <c r="DY748" i="1"/>
  <c r="DX748" i="1"/>
  <c r="DW748" i="1"/>
  <c r="DV748" i="1"/>
  <c r="DC748" i="1"/>
  <c r="CW748" i="1" s="1"/>
  <c r="DB748" i="1"/>
  <c r="DA748" i="1"/>
  <c r="CZ748" i="1"/>
  <c r="CT748" i="1" s="1"/>
  <c r="CY748" i="1"/>
  <c r="CS748" i="1" s="1"/>
  <c r="CX748" i="1"/>
  <c r="CV748" i="1"/>
  <c r="CU748" i="1"/>
  <c r="CR748" i="1"/>
  <c r="BZ748" i="1"/>
  <c r="CA748" i="1" s="1"/>
  <c r="BY748" i="1"/>
  <c r="BX748" i="1"/>
  <c r="BW748" i="1"/>
  <c r="BV748" i="1"/>
  <c r="BU748" i="1"/>
  <c r="BT748" i="1"/>
  <c r="BS748" i="1"/>
  <c r="AN748" i="1"/>
  <c r="AM748" i="1"/>
  <c r="AL748" i="1"/>
  <c r="AK748" i="1"/>
  <c r="AJ748" i="1"/>
  <c r="AI748" i="1"/>
  <c r="O748" i="1"/>
  <c r="D748" i="1" s="1"/>
  <c r="F748" i="1"/>
  <c r="E748" i="1"/>
  <c r="EA747" i="1"/>
  <c r="DZ747" i="1"/>
  <c r="DY747" i="1"/>
  <c r="DX747" i="1"/>
  <c r="DW747" i="1"/>
  <c r="DV747" i="1"/>
  <c r="DC747" i="1"/>
  <c r="DB747" i="1"/>
  <c r="CV747" i="1" s="1"/>
  <c r="DA747" i="1"/>
  <c r="CU747" i="1" s="1"/>
  <c r="CZ747" i="1"/>
  <c r="CY747" i="1"/>
  <c r="CX747" i="1"/>
  <c r="CR747" i="1" s="1"/>
  <c r="CW747" i="1"/>
  <c r="CT747" i="1"/>
  <c r="CS747" i="1"/>
  <c r="CA747" i="1"/>
  <c r="CB747" i="1" s="1"/>
  <c r="BZ747" i="1"/>
  <c r="BY747" i="1"/>
  <c r="BX747" i="1"/>
  <c r="BW747" i="1"/>
  <c r="BV747" i="1"/>
  <c r="BU747" i="1"/>
  <c r="BT747" i="1"/>
  <c r="BS747" i="1"/>
  <c r="AN747" i="1"/>
  <c r="AM747" i="1"/>
  <c r="AL747" i="1"/>
  <c r="AK747" i="1"/>
  <c r="AJ747" i="1"/>
  <c r="AI747" i="1"/>
  <c r="O747" i="1"/>
  <c r="D747" i="1" s="1"/>
  <c r="F747" i="1"/>
  <c r="E747" i="1"/>
  <c r="EA746" i="1"/>
  <c r="DZ746" i="1"/>
  <c r="DY746" i="1"/>
  <c r="DX746" i="1"/>
  <c r="DW746" i="1"/>
  <c r="DV746" i="1"/>
  <c r="DC746" i="1"/>
  <c r="CW746" i="1" s="1"/>
  <c r="DB746" i="1"/>
  <c r="DA746" i="1"/>
  <c r="CZ746" i="1"/>
  <c r="CT746" i="1" s="1"/>
  <c r="CY746" i="1"/>
  <c r="CS746" i="1" s="1"/>
  <c r="CX746" i="1"/>
  <c r="CV746" i="1"/>
  <c r="CU746" i="1"/>
  <c r="CR746" i="1"/>
  <c r="BZ746" i="1"/>
  <c r="CA746" i="1" s="1"/>
  <c r="BY746" i="1"/>
  <c r="BX746" i="1"/>
  <c r="BW746" i="1"/>
  <c r="BV746" i="1"/>
  <c r="BU746" i="1"/>
  <c r="BT746" i="1"/>
  <c r="BS746" i="1"/>
  <c r="AN746" i="1"/>
  <c r="AM746" i="1"/>
  <c r="AL746" i="1"/>
  <c r="AK746" i="1"/>
  <c r="AJ746" i="1"/>
  <c r="AI746" i="1"/>
  <c r="O746" i="1"/>
  <c r="D746" i="1" s="1"/>
  <c r="F746" i="1"/>
  <c r="E746" i="1"/>
  <c r="EA745" i="1"/>
  <c r="DZ745" i="1"/>
  <c r="DY745" i="1"/>
  <c r="DX745" i="1"/>
  <c r="DW745" i="1"/>
  <c r="DV745" i="1"/>
  <c r="DC745" i="1"/>
  <c r="DB745" i="1"/>
  <c r="CV745" i="1" s="1"/>
  <c r="DA745" i="1"/>
  <c r="CU745" i="1" s="1"/>
  <c r="CZ745" i="1"/>
  <c r="CY745" i="1"/>
  <c r="CX745" i="1"/>
  <c r="CR745" i="1" s="1"/>
  <c r="CW745" i="1"/>
  <c r="CT745" i="1"/>
  <c r="CS745" i="1"/>
  <c r="CB745" i="1"/>
  <c r="CA745" i="1"/>
  <c r="BZ745" i="1"/>
  <c r="BY745" i="1"/>
  <c r="BX745" i="1"/>
  <c r="BW745" i="1"/>
  <c r="BV745" i="1"/>
  <c r="BU745" i="1"/>
  <c r="BT745" i="1"/>
  <c r="BS745" i="1"/>
  <c r="AN745" i="1"/>
  <c r="AM745" i="1"/>
  <c r="AL745" i="1"/>
  <c r="AK745" i="1"/>
  <c r="AJ745" i="1"/>
  <c r="AI745" i="1"/>
  <c r="O745" i="1"/>
  <c r="D745" i="1" s="1"/>
  <c r="F745" i="1"/>
  <c r="E745" i="1"/>
  <c r="EA744" i="1"/>
  <c r="DZ744" i="1"/>
  <c r="DY744" i="1"/>
  <c r="DX744" i="1"/>
  <c r="DW744" i="1"/>
  <c r="DV744" i="1"/>
  <c r="DC744" i="1"/>
  <c r="CW744" i="1" s="1"/>
  <c r="DB744" i="1"/>
  <c r="DA744" i="1"/>
  <c r="CZ744" i="1"/>
  <c r="CT744" i="1" s="1"/>
  <c r="CY744" i="1"/>
  <c r="CS744" i="1" s="1"/>
  <c r="CX744" i="1"/>
  <c r="CV744" i="1"/>
  <c r="CU744" i="1"/>
  <c r="CR744" i="1"/>
  <c r="BZ744" i="1"/>
  <c r="CA744" i="1" s="1"/>
  <c r="BY744" i="1"/>
  <c r="BX744" i="1"/>
  <c r="BW744" i="1"/>
  <c r="BV744" i="1"/>
  <c r="BU744" i="1"/>
  <c r="BT744" i="1"/>
  <c r="BS744" i="1"/>
  <c r="AN744" i="1"/>
  <c r="AM744" i="1"/>
  <c r="AL744" i="1"/>
  <c r="AK744" i="1"/>
  <c r="AJ744" i="1"/>
  <c r="AI744" i="1"/>
  <c r="O744" i="1"/>
  <c r="D744" i="1" s="1"/>
  <c r="F744" i="1"/>
  <c r="E744" i="1"/>
  <c r="EA743" i="1"/>
  <c r="DZ743" i="1"/>
  <c r="DY743" i="1"/>
  <c r="DX743" i="1"/>
  <c r="DW743" i="1"/>
  <c r="DV743" i="1"/>
  <c r="DC743" i="1"/>
  <c r="DB743" i="1"/>
  <c r="CV743" i="1" s="1"/>
  <c r="DA743" i="1"/>
  <c r="CU743" i="1" s="1"/>
  <c r="CZ743" i="1"/>
  <c r="CY743" i="1"/>
  <c r="CX743" i="1"/>
  <c r="CR743" i="1" s="1"/>
  <c r="CW743" i="1"/>
  <c r="CT743" i="1"/>
  <c r="CS743" i="1"/>
  <c r="CB743" i="1"/>
  <c r="CA743" i="1"/>
  <c r="BZ743" i="1"/>
  <c r="BY743" i="1"/>
  <c r="BX743" i="1"/>
  <c r="BW743" i="1"/>
  <c r="BV743" i="1"/>
  <c r="BU743" i="1"/>
  <c r="BT743" i="1"/>
  <c r="BS743" i="1"/>
  <c r="AN743" i="1"/>
  <c r="AM743" i="1"/>
  <c r="AL743" i="1"/>
  <c r="AK743" i="1"/>
  <c r="AJ743" i="1"/>
  <c r="AI743" i="1"/>
  <c r="O743" i="1"/>
  <c r="D743" i="1" s="1"/>
  <c r="F743" i="1"/>
  <c r="E743" i="1"/>
  <c r="EA742" i="1"/>
  <c r="DZ742" i="1"/>
  <c r="DY742" i="1"/>
  <c r="DX742" i="1"/>
  <c r="DW742" i="1"/>
  <c r="DV742" i="1"/>
  <c r="DC742" i="1"/>
  <c r="CW742" i="1" s="1"/>
  <c r="DB742" i="1"/>
  <c r="DA742" i="1"/>
  <c r="CZ742" i="1"/>
  <c r="CT742" i="1" s="1"/>
  <c r="CY742" i="1"/>
  <c r="CS742" i="1" s="1"/>
  <c r="CX742" i="1"/>
  <c r="CV742" i="1"/>
  <c r="CU742" i="1"/>
  <c r="CR742" i="1"/>
  <c r="BZ742" i="1"/>
  <c r="CA742" i="1" s="1"/>
  <c r="BY742" i="1"/>
  <c r="BX742" i="1"/>
  <c r="BW742" i="1"/>
  <c r="BV742" i="1"/>
  <c r="BU742" i="1"/>
  <c r="BT742" i="1"/>
  <c r="BS742" i="1"/>
  <c r="AN742" i="1"/>
  <c r="AM742" i="1"/>
  <c r="AL742" i="1"/>
  <c r="AK742" i="1"/>
  <c r="AJ742" i="1"/>
  <c r="AI742" i="1"/>
  <c r="O742" i="1"/>
  <c r="D742" i="1" s="1"/>
  <c r="F742" i="1"/>
  <c r="E742" i="1"/>
  <c r="EA741" i="1"/>
  <c r="DZ741" i="1"/>
  <c r="DY741" i="1"/>
  <c r="DX741" i="1"/>
  <c r="DW741" i="1"/>
  <c r="DV741" i="1"/>
  <c r="DC741" i="1"/>
  <c r="DB741" i="1"/>
  <c r="CV741" i="1" s="1"/>
  <c r="DA741" i="1"/>
  <c r="CU741" i="1" s="1"/>
  <c r="CZ741" i="1"/>
  <c r="CY741" i="1"/>
  <c r="CX741" i="1"/>
  <c r="CR741" i="1" s="1"/>
  <c r="CW741" i="1"/>
  <c r="CT741" i="1"/>
  <c r="CS741" i="1"/>
  <c r="CB741" i="1"/>
  <c r="CA741" i="1"/>
  <c r="BZ741" i="1"/>
  <c r="BY741" i="1"/>
  <c r="BX741" i="1"/>
  <c r="BW741" i="1"/>
  <c r="BV741" i="1"/>
  <c r="BU741" i="1"/>
  <c r="BT741" i="1"/>
  <c r="BS741" i="1"/>
  <c r="AN741" i="1"/>
  <c r="AM741" i="1"/>
  <c r="AL741" i="1"/>
  <c r="AK741" i="1"/>
  <c r="AJ741" i="1"/>
  <c r="AI741" i="1"/>
  <c r="O741" i="1"/>
  <c r="D741" i="1" s="1"/>
  <c r="F741" i="1"/>
  <c r="E741" i="1"/>
  <c r="EA740" i="1"/>
  <c r="DZ740" i="1"/>
  <c r="DY740" i="1"/>
  <c r="DX740" i="1"/>
  <c r="DW740" i="1"/>
  <c r="DV740" i="1"/>
  <c r="DC740" i="1"/>
  <c r="CW740" i="1" s="1"/>
  <c r="DB740" i="1"/>
  <c r="DA740" i="1"/>
  <c r="CZ740" i="1"/>
  <c r="CT740" i="1" s="1"/>
  <c r="CY740" i="1"/>
  <c r="CS740" i="1" s="1"/>
  <c r="CX740" i="1"/>
  <c r="CV740" i="1"/>
  <c r="CU740" i="1"/>
  <c r="CR740" i="1"/>
  <c r="BZ740" i="1"/>
  <c r="CA740" i="1" s="1"/>
  <c r="BY740" i="1"/>
  <c r="BX740" i="1"/>
  <c r="BW740" i="1"/>
  <c r="BV740" i="1"/>
  <c r="BU740" i="1"/>
  <c r="BT740" i="1"/>
  <c r="BS740" i="1"/>
  <c r="AN740" i="1"/>
  <c r="AM740" i="1"/>
  <c r="AL740" i="1"/>
  <c r="AK740" i="1"/>
  <c r="AJ740" i="1"/>
  <c r="AI740" i="1"/>
  <c r="O740" i="1"/>
  <c r="D740" i="1" s="1"/>
  <c r="F740" i="1"/>
  <c r="E740" i="1"/>
  <c r="EA739" i="1"/>
  <c r="DZ739" i="1"/>
  <c r="DY739" i="1"/>
  <c r="DX739" i="1"/>
  <c r="DW739" i="1"/>
  <c r="DV739" i="1"/>
  <c r="DC739" i="1"/>
  <c r="DB739" i="1"/>
  <c r="DA739" i="1"/>
  <c r="CU739" i="1" s="1"/>
  <c r="CZ739" i="1"/>
  <c r="CY739" i="1"/>
  <c r="CX739" i="1"/>
  <c r="CW739" i="1"/>
  <c r="CV739" i="1"/>
  <c r="CT739" i="1"/>
  <c r="CS739" i="1"/>
  <c r="CR739" i="1"/>
  <c r="CB739" i="1"/>
  <c r="BZ739" i="1"/>
  <c r="CA739" i="1" s="1"/>
  <c r="BY739" i="1"/>
  <c r="BX739" i="1"/>
  <c r="BW739" i="1"/>
  <c r="BV739" i="1"/>
  <c r="BU739" i="1"/>
  <c r="BT739" i="1"/>
  <c r="BS739" i="1"/>
  <c r="AN739" i="1"/>
  <c r="AM739" i="1"/>
  <c r="AL739" i="1"/>
  <c r="AK739" i="1"/>
  <c r="AJ739" i="1"/>
  <c r="AI739" i="1"/>
  <c r="O739" i="1"/>
  <c r="D739" i="1" s="1"/>
  <c r="F739" i="1"/>
  <c r="E739" i="1"/>
  <c r="EA738" i="1"/>
  <c r="DZ738" i="1"/>
  <c r="DY738" i="1"/>
  <c r="DX738" i="1"/>
  <c r="DW738" i="1"/>
  <c r="DV738" i="1"/>
  <c r="DC738" i="1"/>
  <c r="CW738" i="1" s="1"/>
  <c r="DB738" i="1"/>
  <c r="DA738" i="1"/>
  <c r="CZ738" i="1"/>
  <c r="CT738" i="1" s="1"/>
  <c r="CY738" i="1"/>
  <c r="CS738" i="1" s="1"/>
  <c r="CX738" i="1"/>
  <c r="CV738" i="1"/>
  <c r="CU738" i="1"/>
  <c r="CR738" i="1"/>
  <c r="CC738" i="1"/>
  <c r="CB738" i="1"/>
  <c r="BZ738" i="1"/>
  <c r="CA738" i="1" s="1"/>
  <c r="BY738" i="1"/>
  <c r="BX738" i="1"/>
  <c r="BW738" i="1"/>
  <c r="BV738" i="1"/>
  <c r="BU738" i="1"/>
  <c r="BT738" i="1"/>
  <c r="BS738" i="1"/>
  <c r="AN738" i="1"/>
  <c r="AM738" i="1"/>
  <c r="AL738" i="1"/>
  <c r="AK738" i="1"/>
  <c r="AJ738" i="1"/>
  <c r="AI738" i="1"/>
  <c r="O738" i="1"/>
  <c r="D738" i="1" s="1"/>
  <c r="F738" i="1"/>
  <c r="E738" i="1"/>
  <c r="EA737" i="1"/>
  <c r="DZ737" i="1"/>
  <c r="DY737" i="1"/>
  <c r="DX737" i="1"/>
  <c r="DW737" i="1"/>
  <c r="DV737" i="1"/>
  <c r="DC737" i="1"/>
  <c r="DB737" i="1"/>
  <c r="CV737" i="1" s="1"/>
  <c r="DA737" i="1"/>
  <c r="CU737" i="1" s="1"/>
  <c r="CZ737" i="1"/>
  <c r="CT737" i="1" s="1"/>
  <c r="CY737" i="1"/>
  <c r="CX737" i="1"/>
  <c r="CR737" i="1" s="1"/>
  <c r="CW737" i="1"/>
  <c r="CS737" i="1"/>
  <c r="BZ737" i="1"/>
  <c r="CA737" i="1" s="1"/>
  <c r="CB737" i="1" s="1"/>
  <c r="BY737" i="1"/>
  <c r="BX737" i="1"/>
  <c r="BW737" i="1"/>
  <c r="BV737" i="1"/>
  <c r="BU737" i="1"/>
  <c r="BT737" i="1"/>
  <c r="BS737" i="1"/>
  <c r="AN737" i="1"/>
  <c r="AM737" i="1"/>
  <c r="AL737" i="1"/>
  <c r="AK737" i="1"/>
  <c r="AJ737" i="1"/>
  <c r="AI737" i="1"/>
  <c r="O737" i="1"/>
  <c r="D737" i="1" s="1"/>
  <c r="F737" i="1"/>
  <c r="E737" i="1"/>
  <c r="EA736" i="1"/>
  <c r="DZ736" i="1"/>
  <c r="DY736" i="1"/>
  <c r="DX736" i="1"/>
  <c r="DW736" i="1"/>
  <c r="DV736" i="1"/>
  <c r="DC736" i="1"/>
  <c r="CW736" i="1" s="1"/>
  <c r="DB736" i="1"/>
  <c r="CV736" i="1" s="1"/>
  <c r="DA736" i="1"/>
  <c r="CZ736" i="1"/>
  <c r="CT736" i="1" s="1"/>
  <c r="CY736" i="1"/>
  <c r="CS736" i="1" s="1"/>
  <c r="CX736" i="1"/>
  <c r="CU736" i="1"/>
  <c r="CR736" i="1"/>
  <c r="CB736" i="1"/>
  <c r="BZ736" i="1"/>
  <c r="CA736" i="1" s="1"/>
  <c r="BY736" i="1"/>
  <c r="BX736" i="1"/>
  <c r="BW736" i="1"/>
  <c r="BV736" i="1"/>
  <c r="BU736" i="1"/>
  <c r="CC736" i="1" s="1"/>
  <c r="BT736" i="1"/>
  <c r="BS736" i="1"/>
  <c r="AN736" i="1"/>
  <c r="AM736" i="1"/>
  <c r="AL736" i="1"/>
  <c r="AK736" i="1"/>
  <c r="AJ736" i="1"/>
  <c r="AI736" i="1"/>
  <c r="O736" i="1"/>
  <c r="D736" i="1" s="1"/>
  <c r="F736" i="1"/>
  <c r="E736" i="1"/>
  <c r="EA735" i="1"/>
  <c r="DZ735" i="1"/>
  <c r="DY735" i="1"/>
  <c r="DX735" i="1"/>
  <c r="DW735" i="1"/>
  <c r="DV735" i="1"/>
  <c r="DC735" i="1"/>
  <c r="DB735" i="1"/>
  <c r="DA735" i="1"/>
  <c r="CU735" i="1" s="1"/>
  <c r="CZ735" i="1"/>
  <c r="CT735" i="1" s="1"/>
  <c r="CY735" i="1"/>
  <c r="CX735" i="1"/>
  <c r="CW735" i="1"/>
  <c r="CV735" i="1"/>
  <c r="CS735" i="1"/>
  <c r="CR735" i="1"/>
  <c r="CB735" i="1"/>
  <c r="CA735" i="1"/>
  <c r="BZ735" i="1"/>
  <c r="BY735" i="1"/>
  <c r="BX735" i="1"/>
  <c r="BW735" i="1"/>
  <c r="BV735" i="1"/>
  <c r="BU735" i="1"/>
  <c r="CC735" i="1" s="1"/>
  <c r="BT735" i="1"/>
  <c r="BS735" i="1"/>
  <c r="AN735" i="1"/>
  <c r="AM735" i="1"/>
  <c r="AL735" i="1"/>
  <c r="AK735" i="1"/>
  <c r="AJ735" i="1"/>
  <c r="AI735" i="1"/>
  <c r="O735" i="1"/>
  <c r="D735" i="1" s="1"/>
  <c r="F735" i="1"/>
  <c r="E735" i="1"/>
  <c r="EA734" i="1"/>
  <c r="DZ734" i="1"/>
  <c r="DY734" i="1"/>
  <c r="DX734" i="1"/>
  <c r="DW734" i="1"/>
  <c r="DV734" i="1"/>
  <c r="DC734" i="1"/>
  <c r="CW734" i="1" s="1"/>
  <c r="DB734" i="1"/>
  <c r="CV734" i="1" s="1"/>
  <c r="DA734" i="1"/>
  <c r="CZ734" i="1"/>
  <c r="CY734" i="1"/>
  <c r="CS734" i="1" s="1"/>
  <c r="CX734" i="1"/>
  <c r="CU734" i="1"/>
  <c r="CT734" i="1"/>
  <c r="CR734" i="1"/>
  <c r="BZ734" i="1"/>
  <c r="CA734" i="1" s="1"/>
  <c r="BY734" i="1"/>
  <c r="BX734" i="1"/>
  <c r="BW734" i="1"/>
  <c r="BV734" i="1"/>
  <c r="BU734" i="1"/>
  <c r="BT734" i="1"/>
  <c r="BS734" i="1"/>
  <c r="AN734" i="1"/>
  <c r="AM734" i="1"/>
  <c r="AL734" i="1"/>
  <c r="AK734" i="1"/>
  <c r="AJ734" i="1"/>
  <c r="AI734" i="1"/>
  <c r="O734" i="1"/>
  <c r="D734" i="1" s="1"/>
  <c r="F734" i="1"/>
  <c r="E734" i="1"/>
  <c r="EA733" i="1"/>
  <c r="DZ733" i="1"/>
  <c r="DY733" i="1"/>
  <c r="DX733" i="1"/>
  <c r="DW733" i="1"/>
  <c r="DV733" i="1"/>
  <c r="DC733" i="1"/>
  <c r="DB733" i="1"/>
  <c r="DA733" i="1"/>
  <c r="CU733" i="1" s="1"/>
  <c r="CZ733" i="1"/>
  <c r="CT733" i="1" s="1"/>
  <c r="CY733" i="1"/>
  <c r="CX733" i="1"/>
  <c r="CR733" i="1" s="1"/>
  <c r="CW733" i="1"/>
  <c r="CV733" i="1"/>
  <c r="CS733" i="1"/>
  <c r="CB733" i="1"/>
  <c r="CA733" i="1"/>
  <c r="BZ733" i="1"/>
  <c r="BY733" i="1"/>
  <c r="BX733" i="1"/>
  <c r="BW733" i="1"/>
  <c r="BV733" i="1"/>
  <c r="BU733" i="1"/>
  <c r="BT733" i="1"/>
  <c r="BS733" i="1"/>
  <c r="AN733" i="1"/>
  <c r="AM733" i="1"/>
  <c r="AL733" i="1"/>
  <c r="AK733" i="1"/>
  <c r="AJ733" i="1"/>
  <c r="AI733" i="1"/>
  <c r="O733" i="1"/>
  <c r="D733" i="1" s="1"/>
  <c r="F733" i="1"/>
  <c r="E733" i="1"/>
  <c r="EA732" i="1"/>
  <c r="DZ732" i="1"/>
  <c r="DY732" i="1"/>
  <c r="DX732" i="1"/>
  <c r="DW732" i="1"/>
  <c r="DV732" i="1"/>
  <c r="DC732" i="1"/>
  <c r="CW732" i="1" s="1"/>
  <c r="DB732" i="1"/>
  <c r="CV732" i="1" s="1"/>
  <c r="DA732" i="1"/>
  <c r="CZ732" i="1"/>
  <c r="CT732" i="1" s="1"/>
  <c r="CY732" i="1"/>
  <c r="CS732" i="1" s="1"/>
  <c r="CX732" i="1"/>
  <c r="CR732" i="1" s="1"/>
  <c r="CU732" i="1"/>
  <c r="BZ732" i="1"/>
  <c r="CA732" i="1" s="1"/>
  <c r="BY732" i="1"/>
  <c r="BX732" i="1"/>
  <c r="BW732" i="1"/>
  <c r="BV732" i="1"/>
  <c r="BU732" i="1"/>
  <c r="CB732" i="1" s="1"/>
  <c r="BT732" i="1"/>
  <c r="BS732" i="1"/>
  <c r="AN732" i="1"/>
  <c r="AM732" i="1"/>
  <c r="AL732" i="1"/>
  <c r="AK732" i="1"/>
  <c r="AJ732" i="1"/>
  <c r="AI732" i="1"/>
  <c r="O732" i="1"/>
  <c r="D732" i="1" s="1"/>
  <c r="F732" i="1"/>
  <c r="E732" i="1"/>
  <c r="EA731" i="1"/>
  <c r="DZ731" i="1"/>
  <c r="DY731" i="1"/>
  <c r="DX731" i="1"/>
  <c r="DW731" i="1"/>
  <c r="DV731" i="1"/>
  <c r="DC731" i="1"/>
  <c r="DB731" i="1"/>
  <c r="CV731" i="1" s="1"/>
  <c r="DA731" i="1"/>
  <c r="CU731" i="1" s="1"/>
  <c r="CZ731" i="1"/>
  <c r="CY731" i="1"/>
  <c r="CX731" i="1"/>
  <c r="CR731" i="1" s="1"/>
  <c r="CW731" i="1"/>
  <c r="CT731" i="1"/>
  <c r="CS731" i="1"/>
  <c r="BZ731" i="1"/>
  <c r="CA731" i="1" s="1"/>
  <c r="CB731" i="1" s="1"/>
  <c r="BY731" i="1"/>
  <c r="BX731" i="1"/>
  <c r="BW731" i="1"/>
  <c r="BV731" i="1"/>
  <c r="BU731" i="1"/>
  <c r="BT731" i="1"/>
  <c r="BS731" i="1"/>
  <c r="AN731" i="1"/>
  <c r="AM731" i="1"/>
  <c r="AL731" i="1"/>
  <c r="AK731" i="1"/>
  <c r="AJ731" i="1"/>
  <c r="AI731" i="1"/>
  <c r="O731" i="1"/>
  <c r="D731" i="1" s="1"/>
  <c r="F731" i="1"/>
  <c r="E731" i="1"/>
  <c r="EA730" i="1"/>
  <c r="DZ730" i="1"/>
  <c r="DY730" i="1"/>
  <c r="DX730" i="1"/>
  <c r="DW730" i="1"/>
  <c r="DV730" i="1"/>
  <c r="DC730" i="1"/>
  <c r="CW730" i="1" s="1"/>
  <c r="DB730" i="1"/>
  <c r="DA730" i="1"/>
  <c r="CZ730" i="1"/>
  <c r="CT730" i="1" s="1"/>
  <c r="CY730" i="1"/>
  <c r="CS730" i="1" s="1"/>
  <c r="CX730" i="1"/>
  <c r="CV730" i="1"/>
  <c r="CU730" i="1"/>
  <c r="CR730" i="1"/>
  <c r="CC730" i="1"/>
  <c r="CB730" i="1"/>
  <c r="BZ730" i="1"/>
  <c r="CA730" i="1" s="1"/>
  <c r="BY730" i="1"/>
  <c r="BX730" i="1"/>
  <c r="BW730" i="1"/>
  <c r="BV730" i="1"/>
  <c r="BU730" i="1"/>
  <c r="BT730" i="1"/>
  <c r="BS730" i="1"/>
  <c r="AN730" i="1"/>
  <c r="AM730" i="1"/>
  <c r="AL730" i="1"/>
  <c r="AK730" i="1"/>
  <c r="AJ730" i="1"/>
  <c r="AI730" i="1"/>
  <c r="O730" i="1"/>
  <c r="D730" i="1" s="1"/>
  <c r="F730" i="1"/>
  <c r="E730" i="1"/>
  <c r="EA729" i="1"/>
  <c r="DZ729" i="1"/>
  <c r="DY729" i="1"/>
  <c r="DX729" i="1"/>
  <c r="DW729" i="1"/>
  <c r="DV729" i="1"/>
  <c r="DC729" i="1"/>
  <c r="DB729" i="1"/>
  <c r="CV729" i="1" s="1"/>
  <c r="DA729" i="1"/>
  <c r="CU729" i="1" s="1"/>
  <c r="CZ729" i="1"/>
  <c r="CT729" i="1" s="1"/>
  <c r="CY729" i="1"/>
  <c r="CX729" i="1"/>
  <c r="CR729" i="1" s="1"/>
  <c r="CW729" i="1"/>
  <c r="CS729" i="1"/>
  <c r="BZ729" i="1"/>
  <c r="CA729" i="1" s="1"/>
  <c r="CB729" i="1" s="1"/>
  <c r="BY729" i="1"/>
  <c r="BX729" i="1"/>
  <c r="BW729" i="1"/>
  <c r="BV729" i="1"/>
  <c r="BU729" i="1"/>
  <c r="BT729" i="1"/>
  <c r="BS729" i="1"/>
  <c r="AN729" i="1"/>
  <c r="AM729" i="1"/>
  <c r="AL729" i="1"/>
  <c r="AK729" i="1"/>
  <c r="AJ729" i="1"/>
  <c r="AI729" i="1"/>
  <c r="O729" i="1"/>
  <c r="D729" i="1" s="1"/>
  <c r="F729" i="1"/>
  <c r="E729" i="1"/>
  <c r="EA728" i="1"/>
  <c r="DZ728" i="1"/>
  <c r="DY728" i="1"/>
  <c r="DX728" i="1"/>
  <c r="DW728" i="1"/>
  <c r="DV728" i="1"/>
  <c r="DC728" i="1"/>
  <c r="CW728" i="1" s="1"/>
  <c r="DB728" i="1"/>
  <c r="DA728" i="1"/>
  <c r="CZ728" i="1"/>
  <c r="CT728" i="1" s="1"/>
  <c r="CY728" i="1"/>
  <c r="CS728" i="1" s="1"/>
  <c r="CX728" i="1"/>
  <c r="CV728" i="1"/>
  <c r="CU728" i="1"/>
  <c r="CR728" i="1"/>
  <c r="BZ728" i="1"/>
  <c r="CA728" i="1" s="1"/>
  <c r="BY728" i="1"/>
  <c r="BX728" i="1"/>
  <c r="BW728" i="1"/>
  <c r="BV728" i="1"/>
  <c r="BU728" i="1"/>
  <c r="CB728" i="1" s="1"/>
  <c r="BT728" i="1"/>
  <c r="BS728" i="1"/>
  <c r="AN728" i="1"/>
  <c r="AM728" i="1"/>
  <c r="AL728" i="1"/>
  <c r="AK728" i="1"/>
  <c r="AJ728" i="1"/>
  <c r="AI728" i="1"/>
  <c r="O728" i="1"/>
  <c r="F728" i="1"/>
  <c r="E728" i="1"/>
  <c r="D728" i="1"/>
  <c r="EA727" i="1"/>
  <c r="DZ727" i="1"/>
  <c r="DY727" i="1"/>
  <c r="DX727" i="1"/>
  <c r="DW727" i="1"/>
  <c r="DV727" i="1"/>
  <c r="DC727" i="1"/>
  <c r="DB727" i="1"/>
  <c r="CV727" i="1" s="1"/>
  <c r="DA727" i="1"/>
  <c r="CU727" i="1" s="1"/>
  <c r="CZ727" i="1"/>
  <c r="CY727" i="1"/>
  <c r="CX727" i="1"/>
  <c r="CR727" i="1" s="1"/>
  <c r="CW727" i="1"/>
  <c r="CT727" i="1"/>
  <c r="CS727" i="1"/>
  <c r="CA727" i="1"/>
  <c r="CB727" i="1" s="1"/>
  <c r="BZ727" i="1"/>
  <c r="BY727" i="1"/>
  <c r="BX727" i="1"/>
  <c r="BW727" i="1"/>
  <c r="BV727" i="1"/>
  <c r="BU727" i="1"/>
  <c r="BT727" i="1"/>
  <c r="BS727" i="1"/>
  <c r="AN727" i="1"/>
  <c r="AM727" i="1"/>
  <c r="AL727" i="1"/>
  <c r="AK727" i="1"/>
  <c r="AJ727" i="1"/>
  <c r="AI727" i="1"/>
  <c r="O727" i="1"/>
  <c r="D727" i="1" s="1"/>
  <c r="F727" i="1"/>
  <c r="E727" i="1"/>
  <c r="EA726" i="1"/>
  <c r="DZ726" i="1"/>
  <c r="DY726" i="1"/>
  <c r="DX726" i="1"/>
  <c r="DW726" i="1"/>
  <c r="DV726" i="1"/>
  <c r="DC726" i="1"/>
  <c r="CW726" i="1" s="1"/>
  <c r="DB726" i="1"/>
  <c r="DA726" i="1"/>
  <c r="CZ726" i="1"/>
  <c r="CT726" i="1" s="1"/>
  <c r="CY726" i="1"/>
  <c r="CS726" i="1" s="1"/>
  <c r="CX726" i="1"/>
  <c r="CV726" i="1"/>
  <c r="CU726" i="1"/>
  <c r="CR726" i="1"/>
  <c r="BZ726" i="1"/>
  <c r="CA726" i="1" s="1"/>
  <c r="BY726" i="1"/>
  <c r="BX726" i="1"/>
  <c r="BW726" i="1"/>
  <c r="BV726" i="1"/>
  <c r="BU726" i="1"/>
  <c r="CB726" i="1" s="1"/>
  <c r="BT726" i="1"/>
  <c r="BS726" i="1"/>
  <c r="AN726" i="1"/>
  <c r="AM726" i="1"/>
  <c r="AL726" i="1"/>
  <c r="AK726" i="1"/>
  <c r="AJ726" i="1"/>
  <c r="AI726" i="1"/>
  <c r="O726" i="1"/>
  <c r="D726" i="1" s="1"/>
  <c r="F726" i="1"/>
  <c r="E726" i="1"/>
  <c r="EA725" i="1"/>
  <c r="DZ725" i="1"/>
  <c r="DY725" i="1"/>
  <c r="DX725" i="1"/>
  <c r="DW725" i="1"/>
  <c r="DV725" i="1"/>
  <c r="DC725" i="1"/>
  <c r="DB725" i="1"/>
  <c r="CV725" i="1" s="1"/>
  <c r="DA725" i="1"/>
  <c r="CU725" i="1" s="1"/>
  <c r="CZ725" i="1"/>
  <c r="CY725" i="1"/>
  <c r="CX725" i="1"/>
  <c r="CR725" i="1" s="1"/>
  <c r="CW725" i="1"/>
  <c r="CT725" i="1"/>
  <c r="CS725" i="1"/>
  <c r="CA725" i="1"/>
  <c r="CB725" i="1" s="1"/>
  <c r="BZ725" i="1"/>
  <c r="BY725" i="1"/>
  <c r="BX725" i="1"/>
  <c r="BW725" i="1"/>
  <c r="BV725" i="1"/>
  <c r="BU725" i="1"/>
  <c r="BT725" i="1"/>
  <c r="BS725" i="1"/>
  <c r="AN725" i="1"/>
  <c r="AM725" i="1"/>
  <c r="AL725" i="1"/>
  <c r="AK725" i="1"/>
  <c r="AJ725" i="1"/>
  <c r="AI725" i="1"/>
  <c r="O725" i="1"/>
  <c r="D725" i="1" s="1"/>
  <c r="F725" i="1"/>
  <c r="E725" i="1"/>
  <c r="EA724" i="1"/>
  <c r="DZ724" i="1"/>
  <c r="DY724" i="1"/>
  <c r="DX724" i="1"/>
  <c r="DW724" i="1"/>
  <c r="DV724" i="1"/>
  <c r="DC724" i="1"/>
  <c r="CW724" i="1" s="1"/>
  <c r="DB724" i="1"/>
  <c r="DA724" i="1"/>
  <c r="CZ724" i="1"/>
  <c r="CT724" i="1" s="1"/>
  <c r="CY724" i="1"/>
  <c r="CS724" i="1" s="1"/>
  <c r="CX724" i="1"/>
  <c r="CV724" i="1"/>
  <c r="CU724" i="1"/>
  <c r="CR724" i="1"/>
  <c r="BZ724" i="1"/>
  <c r="CA724" i="1" s="1"/>
  <c r="BY724" i="1"/>
  <c r="BX724" i="1"/>
  <c r="BW724" i="1"/>
  <c r="BV724" i="1"/>
  <c r="BU724" i="1"/>
  <c r="CB724" i="1" s="1"/>
  <c r="BT724" i="1"/>
  <c r="BS724" i="1"/>
  <c r="AN724" i="1"/>
  <c r="AM724" i="1"/>
  <c r="AL724" i="1"/>
  <c r="AK724" i="1"/>
  <c r="AJ724" i="1"/>
  <c r="AI724" i="1"/>
  <c r="O724" i="1"/>
  <c r="D724" i="1" s="1"/>
  <c r="F724" i="1"/>
  <c r="E724" i="1"/>
  <c r="EA723" i="1"/>
  <c r="DZ723" i="1"/>
  <c r="DY723" i="1"/>
  <c r="DX723" i="1"/>
  <c r="DW723" i="1"/>
  <c r="DV723" i="1"/>
  <c r="DC723" i="1"/>
  <c r="DB723" i="1"/>
  <c r="CV723" i="1" s="1"/>
  <c r="DA723" i="1"/>
  <c r="CU723" i="1" s="1"/>
  <c r="CZ723" i="1"/>
  <c r="CY723" i="1"/>
  <c r="CX723" i="1"/>
  <c r="CR723" i="1" s="1"/>
  <c r="CW723" i="1"/>
  <c r="CT723" i="1"/>
  <c r="CS723" i="1"/>
  <c r="CA723" i="1"/>
  <c r="CB723" i="1" s="1"/>
  <c r="BZ723" i="1"/>
  <c r="BY723" i="1"/>
  <c r="BX723" i="1"/>
  <c r="BW723" i="1"/>
  <c r="BV723" i="1"/>
  <c r="BU723" i="1"/>
  <c r="BT723" i="1"/>
  <c r="BS723" i="1"/>
  <c r="AN723" i="1"/>
  <c r="AM723" i="1"/>
  <c r="AL723" i="1"/>
  <c r="AK723" i="1"/>
  <c r="AJ723" i="1"/>
  <c r="AI723" i="1"/>
  <c r="O723" i="1"/>
  <c r="F723" i="1"/>
  <c r="E723" i="1"/>
  <c r="D723" i="1"/>
  <c r="EA722" i="1"/>
  <c r="DZ722" i="1"/>
  <c r="DY722" i="1"/>
  <c r="DX722" i="1"/>
  <c r="DW722" i="1"/>
  <c r="DV722" i="1"/>
  <c r="DC722" i="1"/>
  <c r="CW722" i="1" s="1"/>
  <c r="DB722" i="1"/>
  <c r="DA722" i="1"/>
  <c r="CZ722" i="1"/>
  <c r="CT722" i="1" s="1"/>
  <c r="CY722" i="1"/>
  <c r="CS722" i="1" s="1"/>
  <c r="CX722" i="1"/>
  <c r="CV722" i="1"/>
  <c r="CU722" i="1"/>
  <c r="CR722" i="1"/>
  <c r="CC722" i="1"/>
  <c r="CB722" i="1"/>
  <c r="BZ722" i="1"/>
  <c r="CA722" i="1" s="1"/>
  <c r="BY722" i="1"/>
  <c r="BX722" i="1"/>
  <c r="BW722" i="1"/>
  <c r="BV722" i="1"/>
  <c r="BU722" i="1"/>
  <c r="BT722" i="1"/>
  <c r="BS722" i="1"/>
  <c r="AN722" i="1"/>
  <c r="AM722" i="1"/>
  <c r="AL722" i="1"/>
  <c r="AK722" i="1"/>
  <c r="AJ722" i="1"/>
  <c r="AI722" i="1"/>
  <c r="O722" i="1"/>
  <c r="D722" i="1" s="1"/>
  <c r="F722" i="1"/>
  <c r="E722" i="1"/>
  <c r="EA721" i="1"/>
  <c r="DZ721" i="1"/>
  <c r="DY721" i="1"/>
  <c r="DX721" i="1"/>
  <c r="DW721" i="1"/>
  <c r="DV721" i="1"/>
  <c r="DC721" i="1"/>
  <c r="DB721" i="1"/>
  <c r="CV721" i="1" s="1"/>
  <c r="DA721" i="1"/>
  <c r="CU721" i="1" s="1"/>
  <c r="CZ721" i="1"/>
  <c r="CT721" i="1" s="1"/>
  <c r="CY721" i="1"/>
  <c r="CX721" i="1"/>
  <c r="CW721" i="1"/>
  <c r="CS721" i="1"/>
  <c r="CR721" i="1"/>
  <c r="BZ721" i="1"/>
  <c r="CA721" i="1" s="1"/>
  <c r="CB721" i="1" s="1"/>
  <c r="BY721" i="1"/>
  <c r="BX721" i="1"/>
  <c r="BW721" i="1"/>
  <c r="BV721" i="1"/>
  <c r="BU721" i="1"/>
  <c r="BT721" i="1"/>
  <c r="BS721" i="1"/>
  <c r="AN721" i="1"/>
  <c r="AM721" i="1"/>
  <c r="AL721" i="1"/>
  <c r="AK721" i="1"/>
  <c r="AJ721" i="1"/>
  <c r="AI721" i="1"/>
  <c r="O721" i="1"/>
  <c r="F721" i="1"/>
  <c r="E721" i="1"/>
  <c r="D721" i="1"/>
  <c r="EA720" i="1"/>
  <c r="DZ720" i="1"/>
  <c r="DY720" i="1"/>
  <c r="DX720" i="1"/>
  <c r="DW720" i="1"/>
  <c r="DV720" i="1"/>
  <c r="DC720" i="1"/>
  <c r="CW720" i="1" s="1"/>
  <c r="DB720" i="1"/>
  <c r="CV720" i="1" s="1"/>
  <c r="DA720" i="1"/>
  <c r="CZ720" i="1"/>
  <c r="CY720" i="1"/>
  <c r="CS720" i="1" s="1"/>
  <c r="CX720" i="1"/>
  <c r="CU720" i="1"/>
  <c r="CT720" i="1"/>
  <c r="CR720" i="1"/>
  <c r="BZ720" i="1"/>
  <c r="CA720" i="1" s="1"/>
  <c r="CB720" i="1" s="1"/>
  <c r="BY720" i="1"/>
  <c r="BX720" i="1"/>
  <c r="BW720" i="1"/>
  <c r="BV720" i="1"/>
  <c r="BU720" i="1"/>
  <c r="CC720" i="1" s="1"/>
  <c r="BT720" i="1"/>
  <c r="BS720" i="1"/>
  <c r="AN720" i="1"/>
  <c r="AM720" i="1"/>
  <c r="AL720" i="1"/>
  <c r="AK720" i="1"/>
  <c r="AJ720" i="1"/>
  <c r="AI720" i="1"/>
  <c r="O720" i="1"/>
  <c r="D720" i="1" s="1"/>
  <c r="F720" i="1"/>
  <c r="E720" i="1"/>
  <c r="EA719" i="1"/>
  <c r="DZ719" i="1"/>
  <c r="DY719" i="1"/>
  <c r="DX719" i="1"/>
  <c r="DW719" i="1"/>
  <c r="DV719" i="1"/>
  <c r="DC719" i="1"/>
  <c r="DB719" i="1"/>
  <c r="DA719" i="1"/>
  <c r="CU719" i="1" s="1"/>
  <c r="CZ719" i="1"/>
  <c r="CT719" i="1" s="1"/>
  <c r="CY719" i="1"/>
  <c r="CX719" i="1"/>
  <c r="CW719" i="1"/>
  <c r="CV719" i="1"/>
  <c r="CS719" i="1"/>
  <c r="CR719" i="1"/>
  <c r="CB719" i="1"/>
  <c r="CA719" i="1"/>
  <c r="BZ719" i="1"/>
  <c r="BY719" i="1"/>
  <c r="BX719" i="1"/>
  <c r="BW719" i="1"/>
  <c r="BV719" i="1"/>
  <c r="BU719" i="1"/>
  <c r="CC719" i="1" s="1"/>
  <c r="BT719" i="1"/>
  <c r="BS719" i="1"/>
  <c r="AN719" i="1"/>
  <c r="AM719" i="1"/>
  <c r="AL719" i="1"/>
  <c r="AK719" i="1"/>
  <c r="AJ719" i="1"/>
  <c r="AI719" i="1"/>
  <c r="O719" i="1"/>
  <c r="D719" i="1" s="1"/>
  <c r="F719" i="1"/>
  <c r="E719" i="1"/>
  <c r="EA718" i="1"/>
  <c r="DZ718" i="1"/>
  <c r="DY718" i="1"/>
  <c r="DX718" i="1"/>
  <c r="DW718" i="1"/>
  <c r="DV718" i="1"/>
  <c r="DC718" i="1"/>
  <c r="CW718" i="1" s="1"/>
  <c r="DB718" i="1"/>
  <c r="CV718" i="1" s="1"/>
  <c r="DA718" i="1"/>
  <c r="CZ718" i="1"/>
  <c r="CY718" i="1"/>
  <c r="CS718" i="1" s="1"/>
  <c r="CX718" i="1"/>
  <c r="CU718" i="1"/>
  <c r="CT718" i="1"/>
  <c r="CR718" i="1"/>
  <c r="BZ718" i="1"/>
  <c r="CA718" i="1" s="1"/>
  <c r="BY718" i="1"/>
  <c r="BX718" i="1"/>
  <c r="BW718" i="1"/>
  <c r="BV718" i="1"/>
  <c r="BU718" i="1"/>
  <c r="CC718" i="1" s="1"/>
  <c r="BT718" i="1"/>
  <c r="BS718" i="1"/>
  <c r="AN718" i="1"/>
  <c r="AM718" i="1"/>
  <c r="AL718" i="1"/>
  <c r="AK718" i="1"/>
  <c r="AJ718" i="1"/>
  <c r="AI718" i="1"/>
  <c r="O718" i="1"/>
  <c r="D718" i="1" s="1"/>
  <c r="F718" i="1"/>
  <c r="E718" i="1"/>
  <c r="EA717" i="1"/>
  <c r="DZ717" i="1"/>
  <c r="DY717" i="1"/>
  <c r="DX717" i="1"/>
  <c r="DW717" i="1"/>
  <c r="DV717" i="1"/>
  <c r="DC717" i="1"/>
  <c r="CW717" i="1" s="1"/>
  <c r="DB717" i="1"/>
  <c r="DA717" i="1"/>
  <c r="CZ717" i="1"/>
  <c r="CT717" i="1" s="1"/>
  <c r="CY717" i="1"/>
  <c r="CS717" i="1" s="1"/>
  <c r="CX717" i="1"/>
  <c r="CV717" i="1"/>
  <c r="CU717" i="1"/>
  <c r="CR717" i="1"/>
  <c r="BZ717" i="1"/>
  <c r="CA717" i="1" s="1"/>
  <c r="BY717" i="1"/>
  <c r="BX717" i="1"/>
  <c r="BW717" i="1"/>
  <c r="BV717" i="1"/>
  <c r="BU717" i="1"/>
  <c r="CB717" i="1" s="1"/>
  <c r="BT717" i="1"/>
  <c r="BS717" i="1"/>
  <c r="AN717" i="1"/>
  <c r="AM717" i="1"/>
  <c r="AL717" i="1"/>
  <c r="AK717" i="1"/>
  <c r="AJ717" i="1"/>
  <c r="AI717" i="1"/>
  <c r="O717" i="1"/>
  <c r="D717" i="1" s="1"/>
  <c r="F717" i="1"/>
  <c r="E717" i="1"/>
  <c r="EA716" i="1"/>
  <c r="DZ716" i="1"/>
  <c r="DY716" i="1"/>
  <c r="DX716" i="1"/>
  <c r="DW716" i="1"/>
  <c r="DV716" i="1"/>
  <c r="DC716" i="1"/>
  <c r="DB716" i="1"/>
  <c r="CV716" i="1" s="1"/>
  <c r="DA716" i="1"/>
  <c r="CU716" i="1" s="1"/>
  <c r="CZ716" i="1"/>
  <c r="CY716" i="1"/>
  <c r="CX716" i="1"/>
  <c r="CR716" i="1" s="1"/>
  <c r="CW716" i="1"/>
  <c r="CT716" i="1"/>
  <c r="CS716" i="1"/>
  <c r="CA716" i="1"/>
  <c r="CB716" i="1" s="1"/>
  <c r="BZ716" i="1"/>
  <c r="BY716" i="1"/>
  <c r="BX716" i="1"/>
  <c r="BW716" i="1"/>
  <c r="BV716" i="1"/>
  <c r="BU716" i="1"/>
  <c r="CC716" i="1" s="1"/>
  <c r="BT716" i="1"/>
  <c r="BS716" i="1"/>
  <c r="AN716" i="1"/>
  <c r="AM716" i="1"/>
  <c r="AL716" i="1"/>
  <c r="AK716" i="1"/>
  <c r="AJ716" i="1"/>
  <c r="AI716" i="1"/>
  <c r="O716" i="1"/>
  <c r="D716" i="1" s="1"/>
  <c r="F716" i="1"/>
  <c r="E716" i="1"/>
  <c r="EA715" i="1"/>
  <c r="DZ715" i="1"/>
  <c r="DY715" i="1"/>
  <c r="DX715" i="1"/>
  <c r="DW715" i="1"/>
  <c r="DV715" i="1"/>
  <c r="DC715" i="1"/>
  <c r="CW715" i="1" s="1"/>
  <c r="DB715" i="1"/>
  <c r="DA715" i="1"/>
  <c r="CZ715" i="1"/>
  <c r="CT715" i="1" s="1"/>
  <c r="CY715" i="1"/>
  <c r="CS715" i="1" s="1"/>
  <c r="CX715" i="1"/>
  <c r="CV715" i="1"/>
  <c r="CU715" i="1"/>
  <c r="CR715" i="1"/>
  <c r="BZ715" i="1"/>
  <c r="CA715" i="1" s="1"/>
  <c r="BY715" i="1"/>
  <c r="BX715" i="1"/>
  <c r="BW715" i="1"/>
  <c r="BV715" i="1"/>
  <c r="BU715" i="1"/>
  <c r="BT715" i="1"/>
  <c r="BS715" i="1"/>
  <c r="AN715" i="1"/>
  <c r="AM715" i="1"/>
  <c r="AL715" i="1"/>
  <c r="AK715" i="1"/>
  <c r="AJ715" i="1"/>
  <c r="AI715" i="1"/>
  <c r="O715" i="1"/>
  <c r="D715" i="1" s="1"/>
  <c r="F715" i="1"/>
  <c r="E715" i="1"/>
  <c r="EA714" i="1"/>
  <c r="DZ714" i="1"/>
  <c r="DY714" i="1"/>
  <c r="DX714" i="1"/>
  <c r="DW714" i="1"/>
  <c r="DV714" i="1"/>
  <c r="DC714" i="1"/>
  <c r="DB714" i="1"/>
  <c r="CV714" i="1" s="1"/>
  <c r="DA714" i="1"/>
  <c r="CU714" i="1" s="1"/>
  <c r="CZ714" i="1"/>
  <c r="CY714" i="1"/>
  <c r="CX714" i="1"/>
  <c r="CR714" i="1" s="1"/>
  <c r="CW714" i="1"/>
  <c r="CT714" i="1"/>
  <c r="CS714" i="1"/>
  <c r="CA714" i="1"/>
  <c r="CB714" i="1" s="1"/>
  <c r="BZ714" i="1"/>
  <c r="BY714" i="1"/>
  <c r="BX714" i="1"/>
  <c r="BW714" i="1"/>
  <c r="BV714" i="1"/>
  <c r="BU714" i="1"/>
  <c r="CC714" i="1" s="1"/>
  <c r="BT714" i="1"/>
  <c r="BS714" i="1"/>
  <c r="AN714" i="1"/>
  <c r="AM714" i="1"/>
  <c r="AL714" i="1"/>
  <c r="AK714" i="1"/>
  <c r="AJ714" i="1"/>
  <c r="AI714" i="1"/>
  <c r="O714" i="1"/>
  <c r="D714" i="1" s="1"/>
  <c r="F714" i="1"/>
  <c r="E714" i="1"/>
  <c r="EA713" i="1"/>
  <c r="DZ713" i="1"/>
  <c r="DY713" i="1"/>
  <c r="DX713" i="1"/>
  <c r="DW713" i="1"/>
  <c r="DV713" i="1"/>
  <c r="DC713" i="1"/>
  <c r="CW713" i="1" s="1"/>
  <c r="DB713" i="1"/>
  <c r="DA713" i="1"/>
  <c r="CZ713" i="1"/>
  <c r="CT713" i="1" s="1"/>
  <c r="CY713" i="1"/>
  <c r="CS713" i="1" s="1"/>
  <c r="CX713" i="1"/>
  <c r="CV713" i="1"/>
  <c r="CU713" i="1"/>
  <c r="CR713" i="1"/>
  <c r="BZ713" i="1"/>
  <c r="CA713" i="1" s="1"/>
  <c r="BY713" i="1"/>
  <c r="BX713" i="1"/>
  <c r="BW713" i="1"/>
  <c r="BV713" i="1"/>
  <c r="BU713" i="1"/>
  <c r="BT713" i="1"/>
  <c r="BS713" i="1"/>
  <c r="AN713" i="1"/>
  <c r="AM713" i="1"/>
  <c r="AL713" i="1"/>
  <c r="AK713" i="1"/>
  <c r="AJ713" i="1"/>
  <c r="AI713" i="1"/>
  <c r="O713" i="1"/>
  <c r="D713" i="1" s="1"/>
  <c r="F713" i="1"/>
  <c r="E713" i="1"/>
  <c r="EA712" i="1"/>
  <c r="DZ712" i="1"/>
  <c r="DY712" i="1"/>
  <c r="DX712" i="1"/>
  <c r="DW712" i="1"/>
  <c r="DV712" i="1"/>
  <c r="DC712" i="1"/>
  <c r="DB712" i="1"/>
  <c r="CV712" i="1" s="1"/>
  <c r="DA712" i="1"/>
  <c r="CU712" i="1" s="1"/>
  <c r="CZ712" i="1"/>
  <c r="CY712" i="1"/>
  <c r="CX712" i="1"/>
  <c r="CR712" i="1" s="1"/>
  <c r="CW712" i="1"/>
  <c r="CT712" i="1"/>
  <c r="CS712" i="1"/>
  <c r="CA712" i="1"/>
  <c r="CB712" i="1" s="1"/>
  <c r="BZ712" i="1"/>
  <c r="BY712" i="1"/>
  <c r="BX712" i="1"/>
  <c r="BW712" i="1"/>
  <c r="BV712" i="1"/>
  <c r="BU712" i="1"/>
  <c r="CC712" i="1" s="1"/>
  <c r="BT712" i="1"/>
  <c r="BS712" i="1"/>
  <c r="AN712" i="1"/>
  <c r="AM712" i="1"/>
  <c r="AL712" i="1"/>
  <c r="AK712" i="1"/>
  <c r="AJ712" i="1"/>
  <c r="AI712" i="1"/>
  <c r="O712" i="1"/>
  <c r="D712" i="1" s="1"/>
  <c r="F712" i="1"/>
  <c r="E712" i="1"/>
  <c r="EA711" i="1"/>
  <c r="DZ711" i="1"/>
  <c r="DY711" i="1"/>
  <c r="DX711" i="1"/>
  <c r="DW711" i="1"/>
  <c r="DV711" i="1"/>
  <c r="DC711" i="1"/>
  <c r="CW711" i="1" s="1"/>
  <c r="DB711" i="1"/>
  <c r="DA711" i="1"/>
  <c r="CZ711" i="1"/>
  <c r="CT711" i="1" s="1"/>
  <c r="CY711" i="1"/>
  <c r="CS711" i="1" s="1"/>
  <c r="CX711" i="1"/>
  <c r="CV711" i="1"/>
  <c r="CU711" i="1"/>
  <c r="CR711" i="1"/>
  <c r="BZ711" i="1"/>
  <c r="CA711" i="1" s="1"/>
  <c r="BY711" i="1"/>
  <c r="BX711" i="1"/>
  <c r="BW711" i="1"/>
  <c r="BV711" i="1"/>
  <c r="BU711" i="1"/>
  <c r="CB711" i="1" s="1"/>
  <c r="BT711" i="1"/>
  <c r="BS711" i="1"/>
  <c r="AN711" i="1"/>
  <c r="AM711" i="1"/>
  <c r="AL711" i="1"/>
  <c r="AK711" i="1"/>
  <c r="AJ711" i="1"/>
  <c r="AI711" i="1"/>
  <c r="O711" i="1"/>
  <c r="D711" i="1" s="1"/>
  <c r="F711" i="1"/>
  <c r="E711" i="1"/>
  <c r="EA710" i="1"/>
  <c r="DZ710" i="1"/>
  <c r="DY710" i="1"/>
  <c r="DX710" i="1"/>
  <c r="DW710" i="1"/>
  <c r="DV710" i="1"/>
  <c r="DC710" i="1"/>
  <c r="DB710" i="1"/>
  <c r="CV710" i="1" s="1"/>
  <c r="DA710" i="1"/>
  <c r="CU710" i="1" s="1"/>
  <c r="CZ710" i="1"/>
  <c r="CY710" i="1"/>
  <c r="CX710" i="1"/>
  <c r="CR710" i="1" s="1"/>
  <c r="CW710" i="1"/>
  <c r="CT710" i="1"/>
  <c r="CS710" i="1"/>
  <c r="CA710" i="1"/>
  <c r="CB710" i="1" s="1"/>
  <c r="BZ710" i="1"/>
  <c r="BY710" i="1"/>
  <c r="BX710" i="1"/>
  <c r="BW710" i="1"/>
  <c r="BV710" i="1"/>
  <c r="BU710" i="1"/>
  <c r="CC710" i="1" s="1"/>
  <c r="BT710" i="1"/>
  <c r="BS710" i="1"/>
  <c r="AN710" i="1"/>
  <c r="AM710" i="1"/>
  <c r="AL710" i="1"/>
  <c r="AK710" i="1"/>
  <c r="AJ710" i="1"/>
  <c r="AI710" i="1"/>
  <c r="O710" i="1"/>
  <c r="D710" i="1" s="1"/>
  <c r="F710" i="1"/>
  <c r="E710" i="1"/>
  <c r="EA709" i="1"/>
  <c r="DZ709" i="1"/>
  <c r="DY709" i="1"/>
  <c r="DX709" i="1"/>
  <c r="DW709" i="1"/>
  <c r="DV709" i="1"/>
  <c r="DC709" i="1"/>
  <c r="CW709" i="1" s="1"/>
  <c r="DB709" i="1"/>
  <c r="DA709" i="1"/>
  <c r="CZ709" i="1"/>
  <c r="CT709" i="1" s="1"/>
  <c r="CY709" i="1"/>
  <c r="CS709" i="1" s="1"/>
  <c r="CX709" i="1"/>
  <c r="CV709" i="1"/>
  <c r="CU709" i="1"/>
  <c r="CR709" i="1"/>
  <c r="BZ709" i="1"/>
  <c r="CA709" i="1" s="1"/>
  <c r="BY709" i="1"/>
  <c r="BX709" i="1"/>
  <c r="BW709" i="1"/>
  <c r="BV709" i="1"/>
  <c r="BU709" i="1"/>
  <c r="CB709" i="1" s="1"/>
  <c r="BT709" i="1"/>
  <c r="BS709" i="1"/>
  <c r="AN709" i="1"/>
  <c r="AM709" i="1"/>
  <c r="AL709" i="1"/>
  <c r="AK709" i="1"/>
  <c r="AJ709" i="1"/>
  <c r="AI709" i="1"/>
  <c r="O709" i="1"/>
  <c r="D709" i="1" s="1"/>
  <c r="F709" i="1"/>
  <c r="E709" i="1"/>
  <c r="EA708" i="1"/>
  <c r="DZ708" i="1"/>
  <c r="DY708" i="1"/>
  <c r="DX708" i="1"/>
  <c r="DW708" i="1"/>
  <c r="DV708" i="1"/>
  <c r="DC708" i="1"/>
  <c r="DB708" i="1"/>
  <c r="CV708" i="1" s="1"/>
  <c r="DA708" i="1"/>
  <c r="CU708" i="1" s="1"/>
  <c r="CZ708" i="1"/>
  <c r="CY708" i="1"/>
  <c r="CX708" i="1"/>
  <c r="CR708" i="1" s="1"/>
  <c r="CW708" i="1"/>
  <c r="CT708" i="1"/>
  <c r="CS708" i="1"/>
  <c r="CA708" i="1"/>
  <c r="CB708" i="1" s="1"/>
  <c r="BZ708" i="1"/>
  <c r="BY708" i="1"/>
  <c r="BX708" i="1"/>
  <c r="BW708" i="1"/>
  <c r="BV708" i="1"/>
  <c r="BU708" i="1"/>
  <c r="CC708" i="1" s="1"/>
  <c r="BT708" i="1"/>
  <c r="BS708" i="1"/>
  <c r="AN708" i="1"/>
  <c r="AM708" i="1"/>
  <c r="AL708" i="1"/>
  <c r="AK708" i="1"/>
  <c r="AJ708" i="1"/>
  <c r="AI708" i="1"/>
  <c r="O708" i="1"/>
  <c r="D708" i="1" s="1"/>
  <c r="F708" i="1"/>
  <c r="E708" i="1"/>
  <c r="EA707" i="1"/>
  <c r="DZ707" i="1"/>
  <c r="DY707" i="1"/>
  <c r="DX707" i="1"/>
  <c r="DW707" i="1"/>
  <c r="DV707" i="1"/>
  <c r="DC707" i="1"/>
  <c r="CW707" i="1" s="1"/>
  <c r="DB707" i="1"/>
  <c r="DA707" i="1"/>
  <c r="CZ707" i="1"/>
  <c r="CT707" i="1" s="1"/>
  <c r="CY707" i="1"/>
  <c r="CS707" i="1" s="1"/>
  <c r="CX707" i="1"/>
  <c r="CV707" i="1"/>
  <c r="CU707" i="1"/>
  <c r="CR707" i="1"/>
  <c r="BZ707" i="1"/>
  <c r="CA707" i="1" s="1"/>
  <c r="BY707" i="1"/>
  <c r="BX707" i="1"/>
  <c r="BW707" i="1"/>
  <c r="BV707" i="1"/>
  <c r="BU707" i="1"/>
  <c r="BT707" i="1"/>
  <c r="BS707" i="1"/>
  <c r="AN707" i="1"/>
  <c r="AM707" i="1"/>
  <c r="AL707" i="1"/>
  <c r="AK707" i="1"/>
  <c r="AJ707" i="1"/>
  <c r="AI707" i="1"/>
  <c r="O707" i="1"/>
  <c r="D707" i="1" s="1"/>
  <c r="F707" i="1"/>
  <c r="E707" i="1"/>
  <c r="EA706" i="1"/>
  <c r="DZ706" i="1"/>
  <c r="DY706" i="1"/>
  <c r="DX706" i="1"/>
  <c r="DW706" i="1"/>
  <c r="DV706" i="1"/>
  <c r="DC706" i="1"/>
  <c r="DB706" i="1"/>
  <c r="CV706" i="1" s="1"/>
  <c r="DA706" i="1"/>
  <c r="CU706" i="1" s="1"/>
  <c r="CZ706" i="1"/>
  <c r="CY706" i="1"/>
  <c r="CX706" i="1"/>
  <c r="CR706" i="1" s="1"/>
  <c r="CW706" i="1"/>
  <c r="CT706" i="1"/>
  <c r="CS706" i="1"/>
  <c r="CA706" i="1"/>
  <c r="CB706" i="1" s="1"/>
  <c r="BZ706" i="1"/>
  <c r="BY706" i="1"/>
  <c r="BX706" i="1"/>
  <c r="BW706" i="1"/>
  <c r="BV706" i="1"/>
  <c r="BU706" i="1"/>
  <c r="CC706" i="1" s="1"/>
  <c r="BT706" i="1"/>
  <c r="BS706" i="1"/>
  <c r="AN706" i="1"/>
  <c r="AM706" i="1"/>
  <c r="AL706" i="1"/>
  <c r="AK706" i="1"/>
  <c r="AJ706" i="1"/>
  <c r="AI706" i="1"/>
  <c r="O706" i="1"/>
  <c r="D706" i="1" s="1"/>
  <c r="F706" i="1"/>
  <c r="E706" i="1"/>
  <c r="EA705" i="1"/>
  <c r="DZ705" i="1"/>
  <c r="DY705" i="1"/>
  <c r="DX705" i="1"/>
  <c r="DW705" i="1"/>
  <c r="DV705" i="1"/>
  <c r="DC705" i="1"/>
  <c r="CW705" i="1" s="1"/>
  <c r="DB705" i="1"/>
  <c r="DA705" i="1"/>
  <c r="CZ705" i="1"/>
  <c r="CT705" i="1" s="1"/>
  <c r="CY705" i="1"/>
  <c r="CS705" i="1" s="1"/>
  <c r="CX705" i="1"/>
  <c r="CV705" i="1"/>
  <c r="CU705" i="1"/>
  <c r="CR705" i="1"/>
  <c r="BZ705" i="1"/>
  <c r="CA705" i="1" s="1"/>
  <c r="BY705" i="1"/>
  <c r="BX705" i="1"/>
  <c r="BW705" i="1"/>
  <c r="BV705" i="1"/>
  <c r="BU705" i="1"/>
  <c r="BT705" i="1"/>
  <c r="BS705" i="1"/>
  <c r="AN705" i="1"/>
  <c r="AM705" i="1"/>
  <c r="AL705" i="1"/>
  <c r="AK705" i="1"/>
  <c r="AJ705" i="1"/>
  <c r="AI705" i="1"/>
  <c r="O705" i="1"/>
  <c r="F705" i="1"/>
  <c r="E705" i="1"/>
  <c r="D705" i="1"/>
  <c r="EA704" i="1"/>
  <c r="DZ704" i="1"/>
  <c r="DY704" i="1"/>
  <c r="DX704" i="1"/>
  <c r="DW704" i="1"/>
  <c r="DV704" i="1"/>
  <c r="DC704" i="1"/>
  <c r="DB704" i="1"/>
  <c r="CV704" i="1" s="1"/>
  <c r="DA704" i="1"/>
  <c r="CU704" i="1" s="1"/>
  <c r="CZ704" i="1"/>
  <c r="CY704" i="1"/>
  <c r="CX704" i="1"/>
  <c r="CR704" i="1" s="1"/>
  <c r="CW704" i="1"/>
  <c r="CT704" i="1"/>
  <c r="CS704" i="1"/>
  <c r="CA704" i="1"/>
  <c r="CB704" i="1" s="1"/>
  <c r="BZ704" i="1"/>
  <c r="BY704" i="1"/>
  <c r="BX704" i="1"/>
  <c r="BW704" i="1"/>
  <c r="BV704" i="1"/>
  <c r="BU704" i="1"/>
  <c r="CC704" i="1" s="1"/>
  <c r="BT704" i="1"/>
  <c r="BS704" i="1"/>
  <c r="AN704" i="1"/>
  <c r="AM704" i="1"/>
  <c r="AL704" i="1"/>
  <c r="AK704" i="1"/>
  <c r="AJ704" i="1"/>
  <c r="AI704" i="1"/>
  <c r="O704" i="1"/>
  <c r="D704" i="1" s="1"/>
  <c r="F704" i="1"/>
  <c r="E704" i="1"/>
  <c r="EA703" i="1"/>
  <c r="DZ703" i="1"/>
  <c r="DY703" i="1"/>
  <c r="DX703" i="1"/>
  <c r="DW703" i="1"/>
  <c r="DV703" i="1"/>
  <c r="DC703" i="1"/>
  <c r="CW703" i="1" s="1"/>
  <c r="DB703" i="1"/>
  <c r="DA703" i="1"/>
  <c r="CZ703" i="1"/>
  <c r="CT703" i="1" s="1"/>
  <c r="CY703" i="1"/>
  <c r="CS703" i="1" s="1"/>
  <c r="CX703" i="1"/>
  <c r="CV703" i="1"/>
  <c r="CU703" i="1"/>
  <c r="CR703" i="1"/>
  <c r="BZ703" i="1"/>
  <c r="CA703" i="1" s="1"/>
  <c r="BY703" i="1"/>
  <c r="BX703" i="1"/>
  <c r="BW703" i="1"/>
  <c r="BV703" i="1"/>
  <c r="BU703" i="1"/>
  <c r="CB703" i="1" s="1"/>
  <c r="BT703" i="1"/>
  <c r="BS703" i="1"/>
  <c r="AN703" i="1"/>
  <c r="AM703" i="1"/>
  <c r="AL703" i="1"/>
  <c r="AK703" i="1"/>
  <c r="AJ703" i="1"/>
  <c r="AI703" i="1"/>
  <c r="O703" i="1"/>
  <c r="D703" i="1" s="1"/>
  <c r="F703" i="1"/>
  <c r="E703" i="1"/>
  <c r="EA702" i="1"/>
  <c r="DZ702" i="1"/>
  <c r="DY702" i="1"/>
  <c r="DX702" i="1"/>
  <c r="DW702" i="1"/>
  <c r="DV702" i="1"/>
  <c r="DC702" i="1"/>
  <c r="DB702" i="1"/>
  <c r="CV702" i="1" s="1"/>
  <c r="DA702" i="1"/>
  <c r="CU702" i="1" s="1"/>
  <c r="CZ702" i="1"/>
  <c r="CY702" i="1"/>
  <c r="CX702" i="1"/>
  <c r="CR702" i="1" s="1"/>
  <c r="CW702" i="1"/>
  <c r="CT702" i="1"/>
  <c r="CS702" i="1"/>
  <c r="CA702" i="1"/>
  <c r="CB702" i="1" s="1"/>
  <c r="BZ702" i="1"/>
  <c r="BY702" i="1"/>
  <c r="BX702" i="1"/>
  <c r="BW702" i="1"/>
  <c r="BV702" i="1"/>
  <c r="BU702" i="1"/>
  <c r="CC702" i="1" s="1"/>
  <c r="BT702" i="1"/>
  <c r="BS702" i="1"/>
  <c r="AN702" i="1"/>
  <c r="AM702" i="1"/>
  <c r="AL702" i="1"/>
  <c r="AK702" i="1"/>
  <c r="AJ702" i="1"/>
  <c r="AI702" i="1"/>
  <c r="O702" i="1"/>
  <c r="D702" i="1" s="1"/>
  <c r="F702" i="1"/>
  <c r="E702" i="1"/>
  <c r="EA701" i="1"/>
  <c r="DZ701" i="1"/>
  <c r="DY701" i="1"/>
  <c r="DX701" i="1"/>
  <c r="DW701" i="1"/>
  <c r="DV701" i="1"/>
  <c r="DC701" i="1"/>
  <c r="CW701" i="1" s="1"/>
  <c r="DB701" i="1"/>
  <c r="DA701" i="1"/>
  <c r="CZ701" i="1"/>
  <c r="CT701" i="1" s="1"/>
  <c r="CY701" i="1"/>
  <c r="CS701" i="1" s="1"/>
  <c r="CX701" i="1"/>
  <c r="CV701" i="1"/>
  <c r="CU701" i="1"/>
  <c r="CR701" i="1"/>
  <c r="BZ701" i="1"/>
  <c r="CA701" i="1" s="1"/>
  <c r="BY701" i="1"/>
  <c r="BX701" i="1"/>
  <c r="BW701" i="1"/>
  <c r="BV701" i="1"/>
  <c r="BU701" i="1"/>
  <c r="CB701" i="1" s="1"/>
  <c r="BT701" i="1"/>
  <c r="BS701" i="1"/>
  <c r="AN701" i="1"/>
  <c r="AM701" i="1"/>
  <c r="AL701" i="1"/>
  <c r="AK701" i="1"/>
  <c r="AJ701" i="1"/>
  <c r="AI701" i="1"/>
  <c r="O701" i="1"/>
  <c r="D701" i="1" s="1"/>
  <c r="F701" i="1"/>
  <c r="E701" i="1"/>
  <c r="EA700" i="1"/>
  <c r="DZ700" i="1"/>
  <c r="DY700" i="1"/>
  <c r="DX700" i="1"/>
  <c r="DW700" i="1"/>
  <c r="DV700" i="1"/>
  <c r="DC700" i="1"/>
  <c r="DB700" i="1"/>
  <c r="CV700" i="1" s="1"/>
  <c r="DA700" i="1"/>
  <c r="CU700" i="1" s="1"/>
  <c r="CZ700" i="1"/>
  <c r="CY700" i="1"/>
  <c r="CX700" i="1"/>
  <c r="CR700" i="1" s="1"/>
  <c r="CW700" i="1"/>
  <c r="CT700" i="1"/>
  <c r="CS700" i="1"/>
  <c r="CA700" i="1"/>
  <c r="CB700" i="1" s="1"/>
  <c r="BZ700" i="1"/>
  <c r="BY700" i="1"/>
  <c r="BX700" i="1"/>
  <c r="BW700" i="1"/>
  <c r="BV700" i="1"/>
  <c r="BU700" i="1"/>
  <c r="CC700" i="1" s="1"/>
  <c r="BT700" i="1"/>
  <c r="BS700" i="1"/>
  <c r="AN700" i="1"/>
  <c r="AM700" i="1"/>
  <c r="AL700" i="1"/>
  <c r="AK700" i="1"/>
  <c r="AJ700" i="1"/>
  <c r="AI700" i="1"/>
  <c r="O700" i="1"/>
  <c r="D700" i="1" s="1"/>
  <c r="F700" i="1"/>
  <c r="E700" i="1"/>
  <c r="EA699" i="1"/>
  <c r="DZ699" i="1"/>
  <c r="DY699" i="1"/>
  <c r="DX699" i="1"/>
  <c r="DW699" i="1"/>
  <c r="DV699" i="1"/>
  <c r="DC699" i="1"/>
  <c r="CW699" i="1" s="1"/>
  <c r="DB699" i="1"/>
  <c r="DA699" i="1"/>
  <c r="CZ699" i="1"/>
  <c r="CT699" i="1" s="1"/>
  <c r="CY699" i="1"/>
  <c r="CS699" i="1" s="1"/>
  <c r="CX699" i="1"/>
  <c r="CV699" i="1"/>
  <c r="CU699" i="1"/>
  <c r="CR699" i="1"/>
  <c r="BZ699" i="1"/>
  <c r="CA699" i="1" s="1"/>
  <c r="BY699" i="1"/>
  <c r="BX699" i="1"/>
  <c r="BW699" i="1"/>
  <c r="BV699" i="1"/>
  <c r="BU699" i="1"/>
  <c r="BT699" i="1"/>
  <c r="BS699" i="1"/>
  <c r="AN699" i="1"/>
  <c r="AM699" i="1"/>
  <c r="AL699" i="1"/>
  <c r="AK699" i="1"/>
  <c r="AJ699" i="1"/>
  <c r="AI699" i="1"/>
  <c r="O699" i="1"/>
  <c r="D699" i="1" s="1"/>
  <c r="F699" i="1"/>
  <c r="E699" i="1"/>
  <c r="EA698" i="1"/>
  <c r="DZ698" i="1"/>
  <c r="DY698" i="1"/>
  <c r="DX698" i="1"/>
  <c r="DW698" i="1"/>
  <c r="DV698" i="1"/>
  <c r="DC698" i="1"/>
  <c r="DB698" i="1"/>
  <c r="CV698" i="1" s="1"/>
  <c r="DA698" i="1"/>
  <c r="CU698" i="1" s="1"/>
  <c r="CZ698" i="1"/>
  <c r="CY698" i="1"/>
  <c r="CX698" i="1"/>
  <c r="CR698" i="1" s="1"/>
  <c r="CW698" i="1"/>
  <c r="CT698" i="1"/>
  <c r="CS698" i="1"/>
  <c r="CA698" i="1"/>
  <c r="CB698" i="1" s="1"/>
  <c r="BZ698" i="1"/>
  <c r="BY698" i="1"/>
  <c r="BX698" i="1"/>
  <c r="BW698" i="1"/>
  <c r="BV698" i="1"/>
  <c r="BU698" i="1"/>
  <c r="CC698" i="1" s="1"/>
  <c r="BT698" i="1"/>
  <c r="BS698" i="1"/>
  <c r="AN698" i="1"/>
  <c r="AM698" i="1"/>
  <c r="AL698" i="1"/>
  <c r="AK698" i="1"/>
  <c r="AJ698" i="1"/>
  <c r="AI698" i="1"/>
  <c r="O698" i="1"/>
  <c r="F698" i="1"/>
  <c r="E698" i="1"/>
  <c r="D698" i="1"/>
  <c r="EA697" i="1"/>
  <c r="DZ697" i="1"/>
  <c r="DY697" i="1"/>
  <c r="DX697" i="1"/>
  <c r="DW697" i="1"/>
  <c r="DV697" i="1"/>
  <c r="DC697" i="1"/>
  <c r="CW697" i="1" s="1"/>
  <c r="DB697" i="1"/>
  <c r="DA697" i="1"/>
  <c r="CZ697" i="1"/>
  <c r="CT697" i="1" s="1"/>
  <c r="CY697" i="1"/>
  <c r="CS697" i="1" s="1"/>
  <c r="CX697" i="1"/>
  <c r="CV697" i="1"/>
  <c r="CU697" i="1"/>
  <c r="CR697" i="1"/>
  <c r="BZ697" i="1"/>
  <c r="CA697" i="1" s="1"/>
  <c r="BY697" i="1"/>
  <c r="BX697" i="1"/>
  <c r="BW697" i="1"/>
  <c r="BV697" i="1"/>
  <c r="BU697" i="1"/>
  <c r="BT697" i="1"/>
  <c r="BS697" i="1"/>
  <c r="AN697" i="1"/>
  <c r="AM697" i="1"/>
  <c r="AL697" i="1"/>
  <c r="AK697" i="1"/>
  <c r="AJ697" i="1"/>
  <c r="AI697" i="1"/>
  <c r="O697" i="1"/>
  <c r="D697" i="1" s="1"/>
  <c r="F697" i="1"/>
  <c r="E697" i="1"/>
  <c r="EA696" i="1"/>
  <c r="DZ696" i="1"/>
  <c r="DY696" i="1"/>
  <c r="DX696" i="1"/>
  <c r="DW696" i="1"/>
  <c r="DV696" i="1"/>
  <c r="DC696" i="1"/>
  <c r="DB696" i="1"/>
  <c r="CV696" i="1" s="1"/>
  <c r="DA696" i="1"/>
  <c r="CU696" i="1" s="1"/>
  <c r="CZ696" i="1"/>
  <c r="CY696" i="1"/>
  <c r="CX696" i="1"/>
  <c r="CR696" i="1" s="1"/>
  <c r="CW696" i="1"/>
  <c r="CT696" i="1"/>
  <c r="CS696" i="1"/>
  <c r="CA696" i="1"/>
  <c r="CB696" i="1" s="1"/>
  <c r="BZ696" i="1"/>
  <c r="BY696" i="1"/>
  <c r="BX696" i="1"/>
  <c r="BW696" i="1"/>
  <c r="BV696" i="1"/>
  <c r="BU696" i="1"/>
  <c r="CC696" i="1" s="1"/>
  <c r="BT696" i="1"/>
  <c r="BS696" i="1"/>
  <c r="AN696" i="1"/>
  <c r="AM696" i="1"/>
  <c r="AL696" i="1"/>
  <c r="AK696" i="1"/>
  <c r="AJ696" i="1"/>
  <c r="AI696" i="1"/>
  <c r="O696" i="1"/>
  <c r="D696" i="1" s="1"/>
  <c r="F696" i="1"/>
  <c r="E696" i="1"/>
  <c r="EA695" i="1"/>
  <c r="DZ695" i="1"/>
  <c r="DY695" i="1"/>
  <c r="DX695" i="1"/>
  <c r="DW695" i="1"/>
  <c r="DV695" i="1"/>
  <c r="DC695" i="1"/>
  <c r="CW695" i="1" s="1"/>
  <c r="DB695" i="1"/>
  <c r="DA695" i="1"/>
  <c r="CZ695" i="1"/>
  <c r="CT695" i="1" s="1"/>
  <c r="CY695" i="1"/>
  <c r="CS695" i="1" s="1"/>
  <c r="CX695" i="1"/>
  <c r="CV695" i="1"/>
  <c r="CU695" i="1"/>
  <c r="CR695" i="1"/>
  <c r="BZ695" i="1"/>
  <c r="CA695" i="1" s="1"/>
  <c r="BY695" i="1"/>
  <c r="BX695" i="1"/>
  <c r="BW695" i="1"/>
  <c r="BV695" i="1"/>
  <c r="BU695" i="1"/>
  <c r="CB695" i="1" s="1"/>
  <c r="BT695" i="1"/>
  <c r="BS695" i="1"/>
  <c r="AN695" i="1"/>
  <c r="AM695" i="1"/>
  <c r="AL695" i="1"/>
  <c r="AK695" i="1"/>
  <c r="AJ695" i="1"/>
  <c r="AI695" i="1"/>
  <c r="O695" i="1"/>
  <c r="F695" i="1"/>
  <c r="E695" i="1"/>
  <c r="D695" i="1"/>
  <c r="EA694" i="1"/>
  <c r="DZ694" i="1"/>
  <c r="DY694" i="1"/>
  <c r="DX694" i="1"/>
  <c r="DW694" i="1"/>
  <c r="DV694" i="1"/>
  <c r="DC694" i="1"/>
  <c r="DB694" i="1"/>
  <c r="CV694" i="1" s="1"/>
  <c r="DA694" i="1"/>
  <c r="CU694" i="1" s="1"/>
  <c r="CZ694" i="1"/>
  <c r="CY694" i="1"/>
  <c r="CX694" i="1"/>
  <c r="CR694" i="1" s="1"/>
  <c r="CW694" i="1"/>
  <c r="CT694" i="1"/>
  <c r="CS694" i="1"/>
  <c r="CB694" i="1"/>
  <c r="CA694" i="1"/>
  <c r="BZ694" i="1"/>
  <c r="BY694" i="1"/>
  <c r="BX694" i="1"/>
  <c r="BW694" i="1"/>
  <c r="BV694" i="1"/>
  <c r="BU694" i="1"/>
  <c r="CC694" i="1" s="1"/>
  <c r="BT694" i="1"/>
  <c r="BS694" i="1"/>
  <c r="AN694" i="1"/>
  <c r="AM694" i="1"/>
  <c r="AL694" i="1"/>
  <c r="AK694" i="1"/>
  <c r="AJ694" i="1"/>
  <c r="AI694" i="1"/>
  <c r="O694" i="1"/>
  <c r="D694" i="1" s="1"/>
  <c r="F694" i="1"/>
  <c r="E694" i="1"/>
  <c r="EA693" i="1"/>
  <c r="DZ693" i="1"/>
  <c r="DY693" i="1"/>
  <c r="DX693" i="1"/>
  <c r="DW693" i="1"/>
  <c r="DV693" i="1"/>
  <c r="DC693" i="1"/>
  <c r="CW693" i="1" s="1"/>
  <c r="DB693" i="1"/>
  <c r="DA693" i="1"/>
  <c r="CZ693" i="1"/>
  <c r="CT693" i="1" s="1"/>
  <c r="CY693" i="1"/>
  <c r="CS693" i="1" s="1"/>
  <c r="CX693" i="1"/>
  <c r="CV693" i="1"/>
  <c r="CU693" i="1"/>
  <c r="CR693" i="1"/>
  <c r="BZ693" i="1"/>
  <c r="CA693" i="1" s="1"/>
  <c r="BY693" i="1"/>
  <c r="BX693" i="1"/>
  <c r="BW693" i="1"/>
  <c r="BV693" i="1"/>
  <c r="BU693" i="1"/>
  <c r="CB693" i="1" s="1"/>
  <c r="BT693" i="1"/>
  <c r="BS693" i="1"/>
  <c r="AN693" i="1"/>
  <c r="AM693" i="1"/>
  <c r="AL693" i="1"/>
  <c r="AK693" i="1"/>
  <c r="AJ693" i="1"/>
  <c r="AI693" i="1"/>
  <c r="O693" i="1"/>
  <c r="D693" i="1" s="1"/>
  <c r="F693" i="1"/>
  <c r="E693" i="1"/>
  <c r="EA692" i="1"/>
  <c r="DZ692" i="1"/>
  <c r="DY692" i="1"/>
  <c r="DX692" i="1"/>
  <c r="DW692" i="1"/>
  <c r="DV692" i="1"/>
  <c r="DC692" i="1"/>
  <c r="DB692" i="1"/>
  <c r="CV692" i="1" s="1"/>
  <c r="DA692" i="1"/>
  <c r="CU692" i="1" s="1"/>
  <c r="CZ692" i="1"/>
  <c r="CY692" i="1"/>
  <c r="CX692" i="1"/>
  <c r="CR692" i="1" s="1"/>
  <c r="CW692" i="1"/>
  <c r="CT692" i="1"/>
  <c r="CS692" i="1"/>
  <c r="CB692" i="1"/>
  <c r="CA692" i="1"/>
  <c r="BZ692" i="1"/>
  <c r="BY692" i="1"/>
  <c r="BX692" i="1"/>
  <c r="BW692" i="1"/>
  <c r="BV692" i="1"/>
  <c r="BU692" i="1"/>
  <c r="CC692" i="1" s="1"/>
  <c r="BT692" i="1"/>
  <c r="BS692" i="1"/>
  <c r="AN692" i="1"/>
  <c r="AM692" i="1"/>
  <c r="AL692" i="1"/>
  <c r="AK692" i="1"/>
  <c r="AJ692" i="1"/>
  <c r="AI692" i="1"/>
  <c r="O692" i="1"/>
  <c r="D692" i="1" s="1"/>
  <c r="F692" i="1"/>
  <c r="E692" i="1"/>
  <c r="EA691" i="1"/>
  <c r="DZ691" i="1"/>
  <c r="DY691" i="1"/>
  <c r="DX691" i="1"/>
  <c r="DW691" i="1"/>
  <c r="DV691" i="1"/>
  <c r="DC691" i="1"/>
  <c r="CW691" i="1" s="1"/>
  <c r="DB691" i="1"/>
  <c r="DA691" i="1"/>
  <c r="CZ691" i="1"/>
  <c r="CT691" i="1" s="1"/>
  <c r="CY691" i="1"/>
  <c r="CS691" i="1" s="1"/>
  <c r="CX691" i="1"/>
  <c r="CV691" i="1"/>
  <c r="CU691" i="1"/>
  <c r="CR691" i="1"/>
  <c r="BZ691" i="1"/>
  <c r="CA691" i="1" s="1"/>
  <c r="BY691" i="1"/>
  <c r="BX691" i="1"/>
  <c r="BW691" i="1"/>
  <c r="BV691" i="1"/>
  <c r="BU691" i="1"/>
  <c r="CB691" i="1" s="1"/>
  <c r="BT691" i="1"/>
  <c r="BS691" i="1"/>
  <c r="AN691" i="1"/>
  <c r="AM691" i="1"/>
  <c r="AL691" i="1"/>
  <c r="AK691" i="1"/>
  <c r="AJ691" i="1"/>
  <c r="AI691" i="1"/>
  <c r="O691" i="1"/>
  <c r="D691" i="1" s="1"/>
  <c r="F691" i="1"/>
  <c r="E691" i="1"/>
  <c r="EA690" i="1"/>
  <c r="DZ690" i="1"/>
  <c r="DY690" i="1"/>
  <c r="DX690" i="1"/>
  <c r="DW690" i="1"/>
  <c r="DV690" i="1"/>
  <c r="DC690" i="1"/>
  <c r="DB690" i="1"/>
  <c r="CV690" i="1" s="1"/>
  <c r="DA690" i="1"/>
  <c r="CU690" i="1" s="1"/>
  <c r="CZ690" i="1"/>
  <c r="CY690" i="1"/>
  <c r="CX690" i="1"/>
  <c r="CR690" i="1" s="1"/>
  <c r="CW690" i="1"/>
  <c r="CT690" i="1"/>
  <c r="CS690" i="1"/>
  <c r="CB690" i="1"/>
  <c r="CA690" i="1"/>
  <c r="BZ690" i="1"/>
  <c r="BY690" i="1"/>
  <c r="BX690" i="1"/>
  <c r="BW690" i="1"/>
  <c r="BV690" i="1"/>
  <c r="BU690" i="1"/>
  <c r="CC690" i="1" s="1"/>
  <c r="BT690" i="1"/>
  <c r="BS690" i="1"/>
  <c r="AN690" i="1"/>
  <c r="AM690" i="1"/>
  <c r="AL690" i="1"/>
  <c r="AK690" i="1"/>
  <c r="AJ690" i="1"/>
  <c r="AI690" i="1"/>
  <c r="O690" i="1"/>
  <c r="D690" i="1" s="1"/>
  <c r="F690" i="1"/>
  <c r="E690" i="1"/>
  <c r="EA689" i="1"/>
  <c r="DZ689" i="1"/>
  <c r="DY689" i="1"/>
  <c r="DX689" i="1"/>
  <c r="DW689" i="1"/>
  <c r="DV689" i="1"/>
  <c r="DC689" i="1"/>
  <c r="CW689" i="1" s="1"/>
  <c r="DB689" i="1"/>
  <c r="DA689" i="1"/>
  <c r="CZ689" i="1"/>
  <c r="CT689" i="1" s="1"/>
  <c r="CY689" i="1"/>
  <c r="CS689" i="1" s="1"/>
  <c r="CX689" i="1"/>
  <c r="CV689" i="1"/>
  <c r="CU689" i="1"/>
  <c r="CR689" i="1"/>
  <c r="BZ689" i="1"/>
  <c r="CA689" i="1" s="1"/>
  <c r="BY689" i="1"/>
  <c r="BX689" i="1"/>
  <c r="BW689" i="1"/>
  <c r="BV689" i="1"/>
  <c r="BU689" i="1"/>
  <c r="CB689" i="1" s="1"/>
  <c r="BT689" i="1"/>
  <c r="BS689" i="1"/>
  <c r="AN689" i="1"/>
  <c r="AM689" i="1"/>
  <c r="AL689" i="1"/>
  <c r="AK689" i="1"/>
  <c r="AJ689" i="1"/>
  <c r="AI689" i="1"/>
  <c r="O689" i="1"/>
  <c r="D689" i="1" s="1"/>
  <c r="F689" i="1"/>
  <c r="E689" i="1"/>
  <c r="EA688" i="1"/>
  <c r="DZ688" i="1"/>
  <c r="DY688" i="1"/>
  <c r="DX688" i="1"/>
  <c r="DW688" i="1"/>
  <c r="DV688" i="1"/>
  <c r="DC688" i="1"/>
  <c r="DB688" i="1"/>
  <c r="CV688" i="1" s="1"/>
  <c r="DA688" i="1"/>
  <c r="CU688" i="1" s="1"/>
  <c r="CZ688" i="1"/>
  <c r="CY688" i="1"/>
  <c r="CX688" i="1"/>
  <c r="CR688" i="1" s="1"/>
  <c r="CW688" i="1"/>
  <c r="CT688" i="1"/>
  <c r="CS688" i="1"/>
  <c r="CB688" i="1"/>
  <c r="CA688" i="1"/>
  <c r="BZ688" i="1"/>
  <c r="BY688" i="1"/>
  <c r="BX688" i="1"/>
  <c r="BW688" i="1"/>
  <c r="BV688" i="1"/>
  <c r="BU688" i="1"/>
  <c r="CC688" i="1" s="1"/>
  <c r="BT688" i="1"/>
  <c r="BS688" i="1"/>
  <c r="AN688" i="1"/>
  <c r="AM688" i="1"/>
  <c r="AL688" i="1"/>
  <c r="AK688" i="1"/>
  <c r="AJ688" i="1"/>
  <c r="AI688" i="1"/>
  <c r="O688" i="1"/>
  <c r="D688" i="1" s="1"/>
  <c r="F688" i="1"/>
  <c r="E688" i="1"/>
  <c r="EA687" i="1"/>
  <c r="DZ687" i="1"/>
  <c r="DY687" i="1"/>
  <c r="DX687" i="1"/>
  <c r="DW687" i="1"/>
  <c r="DV687" i="1"/>
  <c r="DC687" i="1"/>
  <c r="CW687" i="1" s="1"/>
  <c r="DB687" i="1"/>
  <c r="DA687" i="1"/>
  <c r="CZ687" i="1"/>
  <c r="CT687" i="1" s="1"/>
  <c r="CY687" i="1"/>
  <c r="CS687" i="1" s="1"/>
  <c r="CX687" i="1"/>
  <c r="CV687" i="1"/>
  <c r="CU687" i="1"/>
  <c r="CR687" i="1"/>
  <c r="BZ687" i="1"/>
  <c r="CA687" i="1" s="1"/>
  <c r="BY687" i="1"/>
  <c r="BX687" i="1"/>
  <c r="BW687" i="1"/>
  <c r="BV687" i="1"/>
  <c r="BU687" i="1"/>
  <c r="CB687" i="1" s="1"/>
  <c r="BT687" i="1"/>
  <c r="BS687" i="1"/>
  <c r="AN687" i="1"/>
  <c r="AM687" i="1"/>
  <c r="AL687" i="1"/>
  <c r="AK687" i="1"/>
  <c r="AJ687" i="1"/>
  <c r="AI687" i="1"/>
  <c r="O687" i="1"/>
  <c r="F687" i="1"/>
  <c r="E687" i="1"/>
  <c r="D687" i="1"/>
  <c r="EA686" i="1"/>
  <c r="DZ686" i="1"/>
  <c r="DY686" i="1"/>
  <c r="DX686" i="1"/>
  <c r="DW686" i="1"/>
  <c r="DV686" i="1"/>
  <c r="DC686" i="1"/>
  <c r="DB686" i="1"/>
  <c r="CV686" i="1" s="1"/>
  <c r="DA686" i="1"/>
  <c r="CU686" i="1" s="1"/>
  <c r="CZ686" i="1"/>
  <c r="CY686" i="1"/>
  <c r="CX686" i="1"/>
  <c r="CR686" i="1" s="1"/>
  <c r="CW686" i="1"/>
  <c r="CT686" i="1"/>
  <c r="CS686" i="1"/>
  <c r="CB686" i="1"/>
  <c r="CA686" i="1"/>
  <c r="BZ686" i="1"/>
  <c r="BY686" i="1"/>
  <c r="BX686" i="1"/>
  <c r="BW686" i="1"/>
  <c r="BV686" i="1"/>
  <c r="BU686" i="1"/>
  <c r="CC686" i="1" s="1"/>
  <c r="BT686" i="1"/>
  <c r="BS686" i="1"/>
  <c r="AN686" i="1"/>
  <c r="AM686" i="1"/>
  <c r="AL686" i="1"/>
  <c r="AK686" i="1"/>
  <c r="AJ686" i="1"/>
  <c r="AI686" i="1"/>
  <c r="O686" i="1"/>
  <c r="D686" i="1" s="1"/>
  <c r="F686" i="1"/>
  <c r="E686" i="1"/>
  <c r="EA685" i="1"/>
  <c r="DZ685" i="1"/>
  <c r="DY685" i="1"/>
  <c r="DX685" i="1"/>
  <c r="DW685" i="1"/>
  <c r="DV685" i="1"/>
  <c r="DC685" i="1"/>
  <c r="CW685" i="1" s="1"/>
  <c r="DB685" i="1"/>
  <c r="DA685" i="1"/>
  <c r="CZ685" i="1"/>
  <c r="CT685" i="1" s="1"/>
  <c r="CY685" i="1"/>
  <c r="CS685" i="1" s="1"/>
  <c r="CX685" i="1"/>
  <c r="CV685" i="1"/>
  <c r="CU685" i="1"/>
  <c r="CR685" i="1"/>
  <c r="BZ685" i="1"/>
  <c r="CA685" i="1" s="1"/>
  <c r="BY685" i="1"/>
  <c r="BX685" i="1"/>
  <c r="BW685" i="1"/>
  <c r="BV685" i="1"/>
  <c r="BU685" i="1"/>
  <c r="CB685" i="1" s="1"/>
  <c r="BT685" i="1"/>
  <c r="BS685" i="1"/>
  <c r="AN685" i="1"/>
  <c r="AM685" i="1"/>
  <c r="AL685" i="1"/>
  <c r="AK685" i="1"/>
  <c r="AJ685" i="1"/>
  <c r="AI685" i="1"/>
  <c r="O685" i="1"/>
  <c r="D685" i="1" s="1"/>
  <c r="F685" i="1"/>
  <c r="E685" i="1"/>
  <c r="EA684" i="1"/>
  <c r="DZ684" i="1"/>
  <c r="DY684" i="1"/>
  <c r="DX684" i="1"/>
  <c r="DW684" i="1"/>
  <c r="DV684" i="1"/>
  <c r="DC684" i="1"/>
  <c r="DB684" i="1"/>
  <c r="CV684" i="1" s="1"/>
  <c r="DA684" i="1"/>
  <c r="CU684" i="1" s="1"/>
  <c r="CZ684" i="1"/>
  <c r="CY684" i="1"/>
  <c r="CX684" i="1"/>
  <c r="CR684" i="1" s="1"/>
  <c r="CW684" i="1"/>
  <c r="CT684" i="1"/>
  <c r="CS684" i="1"/>
  <c r="CB684" i="1"/>
  <c r="CA684" i="1"/>
  <c r="BZ684" i="1"/>
  <c r="BY684" i="1"/>
  <c r="BX684" i="1"/>
  <c r="BW684" i="1"/>
  <c r="BV684" i="1"/>
  <c r="BU684" i="1"/>
  <c r="BT684" i="1"/>
  <c r="BS684" i="1"/>
  <c r="AN684" i="1"/>
  <c r="AM684" i="1"/>
  <c r="AL684" i="1"/>
  <c r="AK684" i="1"/>
  <c r="AJ684" i="1"/>
  <c r="AI684" i="1"/>
  <c r="O684" i="1"/>
  <c r="D684" i="1" s="1"/>
  <c r="F684" i="1"/>
  <c r="E684" i="1"/>
  <c r="EA683" i="1"/>
  <c r="DZ683" i="1"/>
  <c r="DY683" i="1"/>
  <c r="DX683" i="1"/>
  <c r="DW683" i="1"/>
  <c r="DV683" i="1"/>
  <c r="DC683" i="1"/>
  <c r="CW683" i="1" s="1"/>
  <c r="DB683" i="1"/>
  <c r="DA683" i="1"/>
  <c r="CZ683" i="1"/>
  <c r="CT683" i="1" s="1"/>
  <c r="CY683" i="1"/>
  <c r="CS683" i="1" s="1"/>
  <c r="CX683" i="1"/>
  <c r="CV683" i="1"/>
  <c r="CU683" i="1"/>
  <c r="CR683" i="1"/>
  <c r="BZ683" i="1"/>
  <c r="CA683" i="1" s="1"/>
  <c r="BY683" i="1"/>
  <c r="BX683" i="1"/>
  <c r="BW683" i="1"/>
  <c r="BV683" i="1"/>
  <c r="BU683" i="1"/>
  <c r="CC683" i="1" s="1"/>
  <c r="BT683" i="1"/>
  <c r="BS683" i="1"/>
  <c r="AN683" i="1"/>
  <c r="AM683" i="1"/>
  <c r="AL683" i="1"/>
  <c r="AK683" i="1"/>
  <c r="AJ683" i="1"/>
  <c r="AI683" i="1"/>
  <c r="O683" i="1"/>
  <c r="D683" i="1" s="1"/>
  <c r="F683" i="1"/>
  <c r="E683" i="1"/>
  <c r="EA682" i="1"/>
  <c r="DZ682" i="1"/>
  <c r="DY682" i="1"/>
  <c r="DX682" i="1"/>
  <c r="DW682" i="1"/>
  <c r="DV682" i="1"/>
  <c r="DC682" i="1"/>
  <c r="DB682" i="1"/>
  <c r="CV682" i="1" s="1"/>
  <c r="DA682" i="1"/>
  <c r="CU682" i="1" s="1"/>
  <c r="CZ682" i="1"/>
  <c r="CY682" i="1"/>
  <c r="CX682" i="1"/>
  <c r="CR682" i="1" s="1"/>
  <c r="CW682" i="1"/>
  <c r="CT682" i="1"/>
  <c r="CS682" i="1"/>
  <c r="CA682" i="1"/>
  <c r="CB682" i="1" s="1"/>
  <c r="BZ682" i="1"/>
  <c r="BY682" i="1"/>
  <c r="BX682" i="1"/>
  <c r="BW682" i="1"/>
  <c r="BV682" i="1"/>
  <c r="BU682" i="1"/>
  <c r="BT682" i="1"/>
  <c r="BS682" i="1"/>
  <c r="AN682" i="1"/>
  <c r="AM682" i="1"/>
  <c r="AL682" i="1"/>
  <c r="AK682" i="1"/>
  <c r="AJ682" i="1"/>
  <c r="AI682" i="1"/>
  <c r="O682" i="1"/>
  <c r="D682" i="1" s="1"/>
  <c r="F682" i="1"/>
  <c r="E682" i="1"/>
  <c r="EA681" i="1"/>
  <c r="DZ681" i="1"/>
  <c r="DY681" i="1"/>
  <c r="DX681" i="1"/>
  <c r="DW681" i="1"/>
  <c r="DV681" i="1"/>
  <c r="DC681" i="1"/>
  <c r="CW681" i="1" s="1"/>
  <c r="DB681" i="1"/>
  <c r="DA681" i="1"/>
  <c r="CZ681" i="1"/>
  <c r="CT681" i="1" s="1"/>
  <c r="CY681" i="1"/>
  <c r="CS681" i="1" s="1"/>
  <c r="CX681" i="1"/>
  <c r="CV681" i="1"/>
  <c r="CU681" i="1"/>
  <c r="CR681" i="1"/>
  <c r="BZ681" i="1"/>
  <c r="CA681" i="1" s="1"/>
  <c r="BY681" i="1"/>
  <c r="BX681" i="1"/>
  <c r="BW681" i="1"/>
  <c r="BV681" i="1"/>
  <c r="BU681" i="1"/>
  <c r="CB681" i="1" s="1"/>
  <c r="BT681" i="1"/>
  <c r="BS681" i="1"/>
  <c r="AN681" i="1"/>
  <c r="AM681" i="1"/>
  <c r="AL681" i="1"/>
  <c r="AK681" i="1"/>
  <c r="AJ681" i="1"/>
  <c r="AI681" i="1"/>
  <c r="O681" i="1"/>
  <c r="D681" i="1" s="1"/>
  <c r="F681" i="1"/>
  <c r="E681" i="1"/>
  <c r="EA680" i="1"/>
  <c r="DZ680" i="1"/>
  <c r="DY680" i="1"/>
  <c r="DX680" i="1"/>
  <c r="DW680" i="1"/>
  <c r="DV680" i="1"/>
  <c r="DC680" i="1"/>
  <c r="DB680" i="1"/>
  <c r="CV680" i="1" s="1"/>
  <c r="DA680" i="1"/>
  <c r="CU680" i="1" s="1"/>
  <c r="CZ680" i="1"/>
  <c r="CY680" i="1"/>
  <c r="CX680" i="1"/>
  <c r="CR680" i="1" s="1"/>
  <c r="CW680" i="1"/>
  <c r="CT680" i="1"/>
  <c r="CS680" i="1"/>
  <c r="CA680" i="1"/>
  <c r="CB680" i="1" s="1"/>
  <c r="BZ680" i="1"/>
  <c r="BY680" i="1"/>
  <c r="BX680" i="1"/>
  <c r="BW680" i="1"/>
  <c r="BV680" i="1"/>
  <c r="BU680" i="1"/>
  <c r="BT680" i="1"/>
  <c r="BS680" i="1"/>
  <c r="AN680" i="1"/>
  <c r="AM680" i="1"/>
  <c r="AL680" i="1"/>
  <c r="AK680" i="1"/>
  <c r="AJ680" i="1"/>
  <c r="AI680" i="1"/>
  <c r="O680" i="1"/>
  <c r="F680" i="1"/>
  <c r="E680" i="1"/>
  <c r="D680" i="1"/>
  <c r="EA679" i="1"/>
  <c r="DZ679" i="1"/>
  <c r="DY679" i="1"/>
  <c r="DX679" i="1"/>
  <c r="DW679" i="1"/>
  <c r="DV679" i="1"/>
  <c r="DC679" i="1"/>
  <c r="CW679" i="1" s="1"/>
  <c r="DB679" i="1"/>
  <c r="DA679" i="1"/>
  <c r="CZ679" i="1"/>
  <c r="CT679" i="1" s="1"/>
  <c r="CY679" i="1"/>
  <c r="CS679" i="1" s="1"/>
  <c r="CX679" i="1"/>
  <c r="CV679" i="1"/>
  <c r="CU679" i="1"/>
  <c r="CR679" i="1"/>
  <c r="BZ679" i="1"/>
  <c r="CA679" i="1" s="1"/>
  <c r="BY679" i="1"/>
  <c r="BX679" i="1"/>
  <c r="BW679" i="1"/>
  <c r="BV679" i="1"/>
  <c r="BU679" i="1"/>
  <c r="CB679" i="1" s="1"/>
  <c r="BT679" i="1"/>
  <c r="BS679" i="1"/>
  <c r="AN679" i="1"/>
  <c r="AM679" i="1"/>
  <c r="AL679" i="1"/>
  <c r="AK679" i="1"/>
  <c r="AJ679" i="1"/>
  <c r="AI679" i="1"/>
  <c r="O679" i="1"/>
  <c r="D679" i="1" s="1"/>
  <c r="F679" i="1"/>
  <c r="E679" i="1"/>
  <c r="EA678" i="1"/>
  <c r="DZ678" i="1"/>
  <c r="DY678" i="1"/>
  <c r="DX678" i="1"/>
  <c r="DW678" i="1"/>
  <c r="DV678" i="1"/>
  <c r="DC678" i="1"/>
  <c r="DB678" i="1"/>
  <c r="CV678" i="1" s="1"/>
  <c r="DA678" i="1"/>
  <c r="CU678" i="1" s="1"/>
  <c r="CZ678" i="1"/>
  <c r="CY678" i="1"/>
  <c r="CX678" i="1"/>
  <c r="CR678" i="1" s="1"/>
  <c r="CW678" i="1"/>
  <c r="CT678" i="1"/>
  <c r="CS678" i="1"/>
  <c r="CA678" i="1"/>
  <c r="CB678" i="1" s="1"/>
  <c r="BZ678" i="1"/>
  <c r="BY678" i="1"/>
  <c r="BX678" i="1"/>
  <c r="BW678" i="1"/>
  <c r="BV678" i="1"/>
  <c r="BU678" i="1"/>
  <c r="BT678" i="1"/>
  <c r="BS678" i="1"/>
  <c r="AN678" i="1"/>
  <c r="AM678" i="1"/>
  <c r="AL678" i="1"/>
  <c r="AK678" i="1"/>
  <c r="AJ678" i="1"/>
  <c r="AI678" i="1"/>
  <c r="O678" i="1"/>
  <c r="D678" i="1" s="1"/>
  <c r="F678" i="1"/>
  <c r="E678" i="1"/>
  <c r="EA677" i="1"/>
  <c r="DZ677" i="1"/>
  <c r="DY677" i="1"/>
  <c r="DX677" i="1"/>
  <c r="DW677" i="1"/>
  <c r="DV677" i="1"/>
  <c r="DC677" i="1"/>
  <c r="CW677" i="1" s="1"/>
  <c r="DB677" i="1"/>
  <c r="DA677" i="1"/>
  <c r="CZ677" i="1"/>
  <c r="CT677" i="1" s="1"/>
  <c r="CY677" i="1"/>
  <c r="CS677" i="1" s="1"/>
  <c r="CX677" i="1"/>
  <c r="CV677" i="1"/>
  <c r="CU677" i="1"/>
  <c r="CR677" i="1"/>
  <c r="BZ677" i="1"/>
  <c r="CA677" i="1" s="1"/>
  <c r="BY677" i="1"/>
  <c r="BX677" i="1"/>
  <c r="BW677" i="1"/>
  <c r="BV677" i="1"/>
  <c r="BU677" i="1"/>
  <c r="CB677" i="1" s="1"/>
  <c r="BT677" i="1"/>
  <c r="BS677" i="1"/>
  <c r="AN677" i="1"/>
  <c r="AM677" i="1"/>
  <c r="AL677" i="1"/>
  <c r="AK677" i="1"/>
  <c r="AJ677" i="1"/>
  <c r="AI677" i="1"/>
  <c r="O677" i="1"/>
  <c r="D677" i="1" s="1"/>
  <c r="F677" i="1"/>
  <c r="E677" i="1"/>
  <c r="EA676" i="1"/>
  <c r="DZ676" i="1"/>
  <c r="DY676" i="1"/>
  <c r="DX676" i="1"/>
  <c r="DW676" i="1"/>
  <c r="DV676" i="1"/>
  <c r="DC676" i="1"/>
  <c r="DB676" i="1"/>
  <c r="CV676" i="1" s="1"/>
  <c r="DA676" i="1"/>
  <c r="CU676" i="1" s="1"/>
  <c r="CZ676" i="1"/>
  <c r="CY676" i="1"/>
  <c r="CX676" i="1"/>
  <c r="CR676" i="1" s="1"/>
  <c r="CW676" i="1"/>
  <c r="CT676" i="1"/>
  <c r="CS676" i="1"/>
  <c r="CA676" i="1"/>
  <c r="CB676" i="1" s="1"/>
  <c r="BZ676" i="1"/>
  <c r="BY676" i="1"/>
  <c r="BX676" i="1"/>
  <c r="BW676" i="1"/>
  <c r="BV676" i="1"/>
  <c r="BU676" i="1"/>
  <c r="BT676" i="1"/>
  <c r="BS676" i="1"/>
  <c r="AN676" i="1"/>
  <c r="AM676" i="1"/>
  <c r="AL676" i="1"/>
  <c r="AK676" i="1"/>
  <c r="AJ676" i="1"/>
  <c r="AI676" i="1"/>
  <c r="O676" i="1"/>
  <c r="D676" i="1" s="1"/>
  <c r="F676" i="1"/>
  <c r="E676" i="1"/>
  <c r="EA675" i="1"/>
  <c r="DZ675" i="1"/>
  <c r="DY675" i="1"/>
  <c r="DX675" i="1"/>
  <c r="DW675" i="1"/>
  <c r="DV675" i="1"/>
  <c r="DC675" i="1"/>
  <c r="CW675" i="1" s="1"/>
  <c r="DB675" i="1"/>
  <c r="DA675" i="1"/>
  <c r="CZ675" i="1"/>
  <c r="CT675" i="1" s="1"/>
  <c r="CY675" i="1"/>
  <c r="CS675" i="1" s="1"/>
  <c r="CX675" i="1"/>
  <c r="CV675" i="1"/>
  <c r="CU675" i="1"/>
  <c r="CR675" i="1"/>
  <c r="BZ675" i="1"/>
  <c r="CA675" i="1" s="1"/>
  <c r="BY675" i="1"/>
  <c r="BX675" i="1"/>
  <c r="BW675" i="1"/>
  <c r="BV675" i="1"/>
  <c r="BU675" i="1"/>
  <c r="CB675" i="1" s="1"/>
  <c r="BT675" i="1"/>
  <c r="BS675" i="1"/>
  <c r="AN675" i="1"/>
  <c r="AM675" i="1"/>
  <c r="AL675" i="1"/>
  <c r="AK675" i="1"/>
  <c r="AJ675" i="1"/>
  <c r="AI675" i="1"/>
  <c r="O675" i="1"/>
  <c r="F675" i="1"/>
  <c r="E675" i="1"/>
  <c r="D675" i="1"/>
  <c r="EA674" i="1"/>
  <c r="DZ674" i="1"/>
  <c r="DY674" i="1"/>
  <c r="DX674" i="1"/>
  <c r="DW674" i="1"/>
  <c r="DV674" i="1"/>
  <c r="DC674" i="1"/>
  <c r="DB674" i="1"/>
  <c r="CV674" i="1" s="1"/>
  <c r="DA674" i="1"/>
  <c r="CU674" i="1" s="1"/>
  <c r="CZ674" i="1"/>
  <c r="CY674" i="1"/>
  <c r="CX674" i="1"/>
  <c r="CR674" i="1" s="1"/>
  <c r="CW674" i="1"/>
  <c r="CT674" i="1"/>
  <c r="CS674" i="1"/>
  <c r="CA674" i="1"/>
  <c r="CB674" i="1" s="1"/>
  <c r="BZ674" i="1"/>
  <c r="BY674" i="1"/>
  <c r="BX674" i="1"/>
  <c r="BW674" i="1"/>
  <c r="BV674" i="1"/>
  <c r="BU674" i="1"/>
  <c r="BT674" i="1"/>
  <c r="BS674" i="1"/>
  <c r="AN674" i="1"/>
  <c r="AM674" i="1"/>
  <c r="AL674" i="1"/>
  <c r="AK674" i="1"/>
  <c r="AJ674" i="1"/>
  <c r="AI674" i="1"/>
  <c r="O674" i="1"/>
  <c r="D674" i="1" s="1"/>
  <c r="F674" i="1"/>
  <c r="E674" i="1"/>
  <c r="EA673" i="1"/>
  <c r="DZ673" i="1"/>
  <c r="DY673" i="1"/>
  <c r="DX673" i="1"/>
  <c r="DW673" i="1"/>
  <c r="DV673" i="1"/>
  <c r="DC673" i="1"/>
  <c r="CW673" i="1" s="1"/>
  <c r="DB673" i="1"/>
  <c r="DA673" i="1"/>
  <c r="CZ673" i="1"/>
  <c r="CT673" i="1" s="1"/>
  <c r="CY673" i="1"/>
  <c r="CS673" i="1" s="1"/>
  <c r="CX673" i="1"/>
  <c r="CV673" i="1"/>
  <c r="CU673" i="1"/>
  <c r="CR673" i="1"/>
  <c r="BZ673" i="1"/>
  <c r="CA673" i="1" s="1"/>
  <c r="BY673" i="1"/>
  <c r="BX673" i="1"/>
  <c r="BW673" i="1"/>
  <c r="BV673" i="1"/>
  <c r="BU673" i="1"/>
  <c r="CB673" i="1" s="1"/>
  <c r="BT673" i="1"/>
  <c r="BS673" i="1"/>
  <c r="AN673" i="1"/>
  <c r="AM673" i="1"/>
  <c r="AL673" i="1"/>
  <c r="AK673" i="1"/>
  <c r="AJ673" i="1"/>
  <c r="AI673" i="1"/>
  <c r="O673" i="1"/>
  <c r="D673" i="1" s="1"/>
  <c r="F673" i="1"/>
  <c r="E673" i="1"/>
  <c r="EA672" i="1"/>
  <c r="DZ672" i="1"/>
  <c r="DY672" i="1"/>
  <c r="DX672" i="1"/>
  <c r="DW672" i="1"/>
  <c r="DV672" i="1"/>
  <c r="DC672" i="1"/>
  <c r="DB672" i="1"/>
  <c r="CV672" i="1" s="1"/>
  <c r="DA672" i="1"/>
  <c r="CU672" i="1" s="1"/>
  <c r="CZ672" i="1"/>
  <c r="CY672" i="1"/>
  <c r="CX672" i="1"/>
  <c r="CR672" i="1" s="1"/>
  <c r="CW672" i="1"/>
  <c r="CT672" i="1"/>
  <c r="CS672" i="1"/>
  <c r="CA672" i="1"/>
  <c r="CB672" i="1" s="1"/>
  <c r="BZ672" i="1"/>
  <c r="BY672" i="1"/>
  <c r="BX672" i="1"/>
  <c r="BW672" i="1"/>
  <c r="BV672" i="1"/>
  <c r="BU672" i="1"/>
  <c r="BT672" i="1"/>
  <c r="BS672" i="1"/>
  <c r="AN672" i="1"/>
  <c r="AM672" i="1"/>
  <c r="AL672" i="1"/>
  <c r="AK672" i="1"/>
  <c r="AJ672" i="1"/>
  <c r="AI672" i="1"/>
  <c r="O672" i="1"/>
  <c r="D672" i="1" s="1"/>
  <c r="F672" i="1"/>
  <c r="E672" i="1"/>
  <c r="EA671" i="1"/>
  <c r="DZ671" i="1"/>
  <c r="DY671" i="1"/>
  <c r="DX671" i="1"/>
  <c r="DW671" i="1"/>
  <c r="DV671" i="1"/>
  <c r="DC671" i="1"/>
  <c r="CW671" i="1" s="1"/>
  <c r="DB671" i="1"/>
  <c r="DA671" i="1"/>
  <c r="CZ671" i="1"/>
  <c r="CT671" i="1" s="1"/>
  <c r="CY671" i="1"/>
  <c r="CS671" i="1" s="1"/>
  <c r="CX671" i="1"/>
  <c r="CV671" i="1"/>
  <c r="CU671" i="1"/>
  <c r="CR671" i="1"/>
  <c r="BZ671" i="1"/>
  <c r="CA671" i="1" s="1"/>
  <c r="BY671" i="1"/>
  <c r="BX671" i="1"/>
  <c r="BW671" i="1"/>
  <c r="BV671" i="1"/>
  <c r="BU671" i="1"/>
  <c r="CB671" i="1" s="1"/>
  <c r="BT671" i="1"/>
  <c r="BS671" i="1"/>
  <c r="AN671" i="1"/>
  <c r="AM671" i="1"/>
  <c r="AL671" i="1"/>
  <c r="AK671" i="1"/>
  <c r="AJ671" i="1"/>
  <c r="AI671" i="1"/>
  <c r="O671" i="1"/>
  <c r="D671" i="1" s="1"/>
  <c r="F671" i="1"/>
  <c r="E671" i="1"/>
  <c r="EA670" i="1"/>
  <c r="DZ670" i="1"/>
  <c r="DY670" i="1"/>
  <c r="DX670" i="1"/>
  <c r="DW670" i="1"/>
  <c r="DV670" i="1"/>
  <c r="DC670" i="1"/>
  <c r="DB670" i="1"/>
  <c r="CV670" i="1" s="1"/>
  <c r="DA670" i="1"/>
  <c r="CU670" i="1" s="1"/>
  <c r="CZ670" i="1"/>
  <c r="CY670" i="1"/>
  <c r="CX670" i="1"/>
  <c r="CR670" i="1" s="1"/>
  <c r="CW670" i="1"/>
  <c r="CT670" i="1"/>
  <c r="CS670" i="1"/>
  <c r="CA670" i="1"/>
  <c r="CB670" i="1" s="1"/>
  <c r="BZ670" i="1"/>
  <c r="BY670" i="1"/>
  <c r="BX670" i="1"/>
  <c r="BW670" i="1"/>
  <c r="BV670" i="1"/>
  <c r="BU670" i="1"/>
  <c r="BT670" i="1"/>
  <c r="BS670" i="1"/>
  <c r="AN670" i="1"/>
  <c r="AM670" i="1"/>
  <c r="AL670" i="1"/>
  <c r="AK670" i="1"/>
  <c r="AJ670" i="1"/>
  <c r="AI670" i="1"/>
  <c r="O670" i="1"/>
  <c r="D670" i="1" s="1"/>
  <c r="F670" i="1"/>
  <c r="E670" i="1"/>
  <c r="EA669" i="1"/>
  <c r="DZ669" i="1"/>
  <c r="DY669" i="1"/>
  <c r="DX669" i="1"/>
  <c r="DW669" i="1"/>
  <c r="DV669" i="1"/>
  <c r="DC669" i="1"/>
  <c r="CW669" i="1" s="1"/>
  <c r="DB669" i="1"/>
  <c r="DA669" i="1"/>
  <c r="CZ669" i="1"/>
  <c r="CT669" i="1" s="1"/>
  <c r="CY669" i="1"/>
  <c r="CS669" i="1" s="1"/>
  <c r="CX669" i="1"/>
  <c r="CV669" i="1"/>
  <c r="CU669" i="1"/>
  <c r="CR669" i="1"/>
  <c r="BZ669" i="1"/>
  <c r="CA669" i="1" s="1"/>
  <c r="BY669" i="1"/>
  <c r="BX669" i="1"/>
  <c r="BW669" i="1"/>
  <c r="BV669" i="1"/>
  <c r="BU669" i="1"/>
  <c r="CB669" i="1" s="1"/>
  <c r="BT669" i="1"/>
  <c r="BS669" i="1"/>
  <c r="AN669" i="1"/>
  <c r="AM669" i="1"/>
  <c r="AL669" i="1"/>
  <c r="AK669" i="1"/>
  <c r="AJ669" i="1"/>
  <c r="AI669" i="1"/>
  <c r="O669" i="1"/>
  <c r="D669" i="1" s="1"/>
  <c r="F669" i="1"/>
  <c r="E669" i="1"/>
  <c r="EA668" i="1"/>
  <c r="DZ668" i="1"/>
  <c r="DY668" i="1"/>
  <c r="DX668" i="1"/>
  <c r="DW668" i="1"/>
  <c r="DV668" i="1"/>
  <c r="DC668" i="1"/>
  <c r="DB668" i="1"/>
  <c r="CV668" i="1" s="1"/>
  <c r="DA668" i="1"/>
  <c r="CU668" i="1" s="1"/>
  <c r="CZ668" i="1"/>
  <c r="CT668" i="1" s="1"/>
  <c r="CY668" i="1"/>
  <c r="CX668" i="1"/>
  <c r="CW668" i="1"/>
  <c r="CS668" i="1"/>
  <c r="CR668" i="1"/>
  <c r="BZ668" i="1"/>
  <c r="CA668" i="1" s="1"/>
  <c r="CB668" i="1" s="1"/>
  <c r="BY668" i="1"/>
  <c r="BX668" i="1"/>
  <c r="BW668" i="1"/>
  <c r="BV668" i="1"/>
  <c r="BU668" i="1"/>
  <c r="BT668" i="1"/>
  <c r="BS668" i="1"/>
  <c r="AN668" i="1"/>
  <c r="AM668" i="1"/>
  <c r="AL668" i="1"/>
  <c r="AK668" i="1"/>
  <c r="AJ668" i="1"/>
  <c r="AI668" i="1"/>
  <c r="O668" i="1"/>
  <c r="D668" i="1" s="1"/>
  <c r="F668" i="1"/>
  <c r="E668" i="1"/>
  <c r="EA667" i="1"/>
  <c r="DZ667" i="1"/>
  <c r="DY667" i="1"/>
  <c r="DX667" i="1"/>
  <c r="DW667" i="1"/>
  <c r="DV667" i="1"/>
  <c r="DC667" i="1"/>
  <c r="CW667" i="1" s="1"/>
  <c r="DB667" i="1"/>
  <c r="CV667" i="1" s="1"/>
  <c r="DA667" i="1"/>
  <c r="CZ667" i="1"/>
  <c r="CY667" i="1"/>
  <c r="CS667" i="1" s="1"/>
  <c r="CX667" i="1"/>
  <c r="CU667" i="1"/>
  <c r="CT667" i="1"/>
  <c r="CR667" i="1"/>
  <c r="BZ667" i="1"/>
  <c r="CA667" i="1" s="1"/>
  <c r="CB667" i="1" s="1"/>
  <c r="BY667" i="1"/>
  <c r="BX667" i="1"/>
  <c r="BW667" i="1"/>
  <c r="BV667" i="1"/>
  <c r="BU667" i="1"/>
  <c r="CC667" i="1" s="1"/>
  <c r="BT667" i="1"/>
  <c r="BS667" i="1"/>
  <c r="AN667" i="1"/>
  <c r="AM667" i="1"/>
  <c r="AL667" i="1"/>
  <c r="AK667" i="1"/>
  <c r="AJ667" i="1"/>
  <c r="AI667" i="1"/>
  <c r="O667" i="1"/>
  <c r="D667" i="1" s="1"/>
  <c r="F667" i="1"/>
  <c r="E667" i="1"/>
  <c r="EA666" i="1"/>
  <c r="DZ666" i="1"/>
  <c r="DY666" i="1"/>
  <c r="DX666" i="1"/>
  <c r="DW666" i="1"/>
  <c r="DV666" i="1"/>
  <c r="DC666" i="1"/>
  <c r="DB666" i="1"/>
  <c r="DA666" i="1"/>
  <c r="CU666" i="1" s="1"/>
  <c r="CZ666" i="1"/>
  <c r="CT666" i="1" s="1"/>
  <c r="CY666" i="1"/>
  <c r="CX666" i="1"/>
  <c r="CW666" i="1"/>
  <c r="CV666" i="1"/>
  <c r="CS666" i="1"/>
  <c r="CR666" i="1"/>
  <c r="CB666" i="1"/>
  <c r="CA666" i="1"/>
  <c r="BZ666" i="1"/>
  <c r="BY666" i="1"/>
  <c r="BX666" i="1"/>
  <c r="BW666" i="1"/>
  <c r="BV666" i="1"/>
  <c r="BU666" i="1"/>
  <c r="CC666" i="1" s="1"/>
  <c r="BT666" i="1"/>
  <c r="BS666" i="1"/>
  <c r="AN666" i="1"/>
  <c r="AM666" i="1"/>
  <c r="AL666" i="1"/>
  <c r="AK666" i="1"/>
  <c r="AJ666" i="1"/>
  <c r="AI666" i="1"/>
  <c r="O666" i="1"/>
  <c r="D666" i="1" s="1"/>
  <c r="F666" i="1"/>
  <c r="E666" i="1"/>
  <c r="EA665" i="1"/>
  <c r="DZ665" i="1"/>
  <c r="DY665" i="1"/>
  <c r="DX665" i="1"/>
  <c r="DW665" i="1"/>
  <c r="DV665" i="1"/>
  <c r="DC665" i="1"/>
  <c r="CW665" i="1" s="1"/>
  <c r="DB665" i="1"/>
  <c r="CV665" i="1" s="1"/>
  <c r="DA665" i="1"/>
  <c r="CZ665" i="1"/>
  <c r="CY665" i="1"/>
  <c r="CS665" i="1" s="1"/>
  <c r="CX665" i="1"/>
  <c r="CU665" i="1"/>
  <c r="CT665" i="1"/>
  <c r="CR665" i="1"/>
  <c r="BZ665" i="1"/>
  <c r="CA665" i="1" s="1"/>
  <c r="BY665" i="1"/>
  <c r="BX665" i="1"/>
  <c r="BW665" i="1"/>
  <c r="BV665" i="1"/>
  <c r="BU665" i="1"/>
  <c r="CC665" i="1" s="1"/>
  <c r="BT665" i="1"/>
  <c r="BS665" i="1"/>
  <c r="AN665" i="1"/>
  <c r="AM665" i="1"/>
  <c r="AL665" i="1"/>
  <c r="AK665" i="1"/>
  <c r="AJ665" i="1"/>
  <c r="AI665" i="1"/>
  <c r="O665" i="1"/>
  <c r="D665" i="1" s="1"/>
  <c r="F665" i="1"/>
  <c r="E665" i="1"/>
  <c r="EA664" i="1"/>
  <c r="DZ664" i="1"/>
  <c r="DY664" i="1"/>
  <c r="DX664" i="1"/>
  <c r="DW664" i="1"/>
  <c r="DV664" i="1"/>
  <c r="DC664" i="1"/>
  <c r="DB664" i="1"/>
  <c r="DA664" i="1"/>
  <c r="CU664" i="1" s="1"/>
  <c r="CZ664" i="1"/>
  <c r="CY664" i="1"/>
  <c r="CX664" i="1"/>
  <c r="CR664" i="1" s="1"/>
  <c r="CW664" i="1"/>
  <c r="CV664" i="1"/>
  <c r="CT664" i="1"/>
  <c r="CS664" i="1"/>
  <c r="CA664" i="1"/>
  <c r="CB664" i="1" s="1"/>
  <c r="BZ664" i="1"/>
  <c r="BY664" i="1"/>
  <c r="BX664" i="1"/>
  <c r="BW664" i="1"/>
  <c r="BV664" i="1"/>
  <c r="BU664" i="1"/>
  <c r="BT664" i="1"/>
  <c r="BS664" i="1"/>
  <c r="AN664" i="1"/>
  <c r="AM664" i="1"/>
  <c r="AL664" i="1"/>
  <c r="AK664" i="1"/>
  <c r="AJ664" i="1"/>
  <c r="AI664" i="1"/>
  <c r="O664" i="1"/>
  <c r="D664" i="1" s="1"/>
  <c r="F664" i="1"/>
  <c r="E664" i="1"/>
  <c r="EA663" i="1"/>
  <c r="DZ663" i="1"/>
  <c r="DY663" i="1"/>
  <c r="DX663" i="1"/>
  <c r="DW663" i="1"/>
  <c r="DV663" i="1"/>
  <c r="DC663" i="1"/>
  <c r="CW663" i="1" s="1"/>
  <c r="DB663" i="1"/>
  <c r="DA663" i="1"/>
  <c r="CZ663" i="1"/>
  <c r="CT663" i="1" s="1"/>
  <c r="CY663" i="1"/>
  <c r="CS663" i="1" s="1"/>
  <c r="CX663" i="1"/>
  <c r="CV663" i="1"/>
  <c r="CU663" i="1"/>
  <c r="CR663" i="1"/>
  <c r="CC663" i="1"/>
  <c r="BZ663" i="1"/>
  <c r="CA663" i="1" s="1"/>
  <c r="BY663" i="1"/>
  <c r="BX663" i="1"/>
  <c r="BW663" i="1"/>
  <c r="BV663" i="1"/>
  <c r="BU663" i="1"/>
  <c r="CB663" i="1" s="1"/>
  <c r="BT663" i="1"/>
  <c r="BS663" i="1"/>
  <c r="AN663" i="1"/>
  <c r="AM663" i="1"/>
  <c r="AL663" i="1"/>
  <c r="AK663" i="1"/>
  <c r="AJ663" i="1"/>
  <c r="AI663" i="1"/>
  <c r="O663" i="1"/>
  <c r="D663" i="1" s="1"/>
  <c r="F663" i="1"/>
  <c r="E663" i="1"/>
  <c r="EA662" i="1"/>
  <c r="DZ662" i="1"/>
  <c r="DY662" i="1"/>
  <c r="DX662" i="1"/>
  <c r="DW662" i="1"/>
  <c r="DV662" i="1"/>
  <c r="DC662" i="1"/>
  <c r="DB662" i="1"/>
  <c r="CV662" i="1" s="1"/>
  <c r="DA662" i="1"/>
  <c r="CU662" i="1" s="1"/>
  <c r="CZ662" i="1"/>
  <c r="CY662" i="1"/>
  <c r="CX662" i="1"/>
  <c r="CR662" i="1" s="1"/>
  <c r="CW662" i="1"/>
  <c r="CT662" i="1"/>
  <c r="CS662" i="1"/>
  <c r="BZ662" i="1"/>
  <c r="CA662" i="1" s="1"/>
  <c r="CB662" i="1" s="1"/>
  <c r="BY662" i="1"/>
  <c r="BX662" i="1"/>
  <c r="BW662" i="1"/>
  <c r="BV662" i="1"/>
  <c r="BU662" i="1"/>
  <c r="BT662" i="1"/>
  <c r="BS662" i="1"/>
  <c r="AN662" i="1"/>
  <c r="AM662" i="1"/>
  <c r="AL662" i="1"/>
  <c r="AK662" i="1"/>
  <c r="AJ662" i="1"/>
  <c r="AI662" i="1"/>
  <c r="O662" i="1"/>
  <c r="D662" i="1" s="1"/>
  <c r="F662" i="1"/>
  <c r="E662" i="1"/>
  <c r="EA661" i="1"/>
  <c r="DZ661" i="1"/>
  <c r="DY661" i="1"/>
  <c r="DX661" i="1"/>
  <c r="DW661" i="1"/>
  <c r="DV661" i="1"/>
  <c r="DC661" i="1"/>
  <c r="CW661" i="1" s="1"/>
  <c r="DB661" i="1"/>
  <c r="DA661" i="1"/>
  <c r="CZ661" i="1"/>
  <c r="CT661" i="1" s="1"/>
  <c r="CY661" i="1"/>
  <c r="CS661" i="1" s="1"/>
  <c r="CX661" i="1"/>
  <c r="CV661" i="1"/>
  <c r="CU661" i="1"/>
  <c r="CR661" i="1"/>
  <c r="CC661" i="1"/>
  <c r="CB661" i="1"/>
  <c r="BZ661" i="1"/>
  <c r="CA661" i="1" s="1"/>
  <c r="BY661" i="1"/>
  <c r="BX661" i="1"/>
  <c r="BW661" i="1"/>
  <c r="BV661" i="1"/>
  <c r="BU661" i="1"/>
  <c r="BT661" i="1"/>
  <c r="BS661" i="1"/>
  <c r="AN661" i="1"/>
  <c r="AM661" i="1"/>
  <c r="AL661" i="1"/>
  <c r="AK661" i="1"/>
  <c r="AJ661" i="1"/>
  <c r="AI661" i="1"/>
  <c r="O661" i="1"/>
  <c r="D661" i="1" s="1"/>
  <c r="F661" i="1"/>
  <c r="E661" i="1"/>
  <c r="EA660" i="1"/>
  <c r="DZ660" i="1"/>
  <c r="DY660" i="1"/>
  <c r="DX660" i="1"/>
  <c r="DW660" i="1"/>
  <c r="DV660" i="1"/>
  <c r="DC660" i="1"/>
  <c r="DB660" i="1"/>
  <c r="CV660" i="1" s="1"/>
  <c r="DA660" i="1"/>
  <c r="CU660" i="1" s="1"/>
  <c r="CZ660" i="1"/>
  <c r="CT660" i="1" s="1"/>
  <c r="CY660" i="1"/>
  <c r="CX660" i="1"/>
  <c r="CW660" i="1"/>
  <c r="CS660" i="1"/>
  <c r="CR660" i="1"/>
  <c r="BZ660" i="1"/>
  <c r="CA660" i="1" s="1"/>
  <c r="CB660" i="1" s="1"/>
  <c r="BY660" i="1"/>
  <c r="BX660" i="1"/>
  <c r="BW660" i="1"/>
  <c r="BV660" i="1"/>
  <c r="BU660" i="1"/>
  <c r="BT660" i="1"/>
  <c r="BS660" i="1"/>
  <c r="AN660" i="1"/>
  <c r="AM660" i="1"/>
  <c r="AL660" i="1"/>
  <c r="AK660" i="1"/>
  <c r="AJ660" i="1"/>
  <c r="AI660" i="1"/>
  <c r="O660" i="1"/>
  <c r="D660" i="1" s="1"/>
  <c r="F660" i="1"/>
  <c r="E660" i="1"/>
  <c r="EA659" i="1"/>
  <c r="DZ659" i="1"/>
  <c r="DY659" i="1"/>
  <c r="DX659" i="1"/>
  <c r="DW659" i="1"/>
  <c r="DV659" i="1"/>
  <c r="DC659" i="1"/>
  <c r="CW659" i="1" s="1"/>
  <c r="DB659" i="1"/>
  <c r="CV659" i="1" s="1"/>
  <c r="DA659" i="1"/>
  <c r="CZ659" i="1"/>
  <c r="CY659" i="1"/>
  <c r="CS659" i="1" s="1"/>
  <c r="CX659" i="1"/>
  <c r="CU659" i="1"/>
  <c r="CT659" i="1"/>
  <c r="CR659" i="1"/>
  <c r="BZ659" i="1"/>
  <c r="CA659" i="1" s="1"/>
  <c r="CB659" i="1" s="1"/>
  <c r="BY659" i="1"/>
  <c r="BX659" i="1"/>
  <c r="BW659" i="1"/>
  <c r="BV659" i="1"/>
  <c r="BU659" i="1"/>
  <c r="CC659" i="1" s="1"/>
  <c r="BT659" i="1"/>
  <c r="BS659" i="1"/>
  <c r="AN659" i="1"/>
  <c r="AM659" i="1"/>
  <c r="AL659" i="1"/>
  <c r="AK659" i="1"/>
  <c r="AJ659" i="1"/>
  <c r="AI659" i="1"/>
  <c r="O659" i="1"/>
  <c r="D659" i="1" s="1"/>
  <c r="F659" i="1"/>
  <c r="E659" i="1"/>
  <c r="EA658" i="1"/>
  <c r="DZ658" i="1"/>
  <c r="DY658" i="1"/>
  <c r="DX658" i="1"/>
  <c r="DW658" i="1"/>
  <c r="DV658" i="1"/>
  <c r="DC658" i="1"/>
  <c r="DB658" i="1"/>
  <c r="DA658" i="1"/>
  <c r="CU658" i="1" s="1"/>
  <c r="CZ658" i="1"/>
  <c r="CT658" i="1" s="1"/>
  <c r="CY658" i="1"/>
  <c r="CX658" i="1"/>
  <c r="CW658" i="1"/>
  <c r="CV658" i="1"/>
  <c r="CS658" i="1"/>
  <c r="CR658" i="1"/>
  <c r="CB658" i="1"/>
  <c r="CA658" i="1"/>
  <c r="BZ658" i="1"/>
  <c r="BY658" i="1"/>
  <c r="BX658" i="1"/>
  <c r="BW658" i="1"/>
  <c r="BV658" i="1"/>
  <c r="BU658" i="1"/>
  <c r="CC658" i="1" s="1"/>
  <c r="BT658" i="1"/>
  <c r="BS658" i="1"/>
  <c r="AN658" i="1"/>
  <c r="AM658" i="1"/>
  <c r="AL658" i="1"/>
  <c r="AK658" i="1"/>
  <c r="AJ658" i="1"/>
  <c r="AI658" i="1"/>
  <c r="O658" i="1"/>
  <c r="D658" i="1" s="1"/>
  <c r="F658" i="1"/>
  <c r="E658" i="1"/>
  <c r="EA657" i="1"/>
  <c r="DZ657" i="1"/>
  <c r="DY657" i="1"/>
  <c r="DX657" i="1"/>
  <c r="DW657" i="1"/>
  <c r="DV657" i="1"/>
  <c r="DC657" i="1"/>
  <c r="CW657" i="1" s="1"/>
  <c r="DB657" i="1"/>
  <c r="CV657" i="1" s="1"/>
  <c r="DA657" i="1"/>
  <c r="CZ657" i="1"/>
  <c r="CY657" i="1"/>
  <c r="CS657" i="1" s="1"/>
  <c r="CX657" i="1"/>
  <c r="CU657" i="1"/>
  <c r="CT657" i="1"/>
  <c r="CR657" i="1"/>
  <c r="BZ657" i="1"/>
  <c r="CA657" i="1" s="1"/>
  <c r="BY657" i="1"/>
  <c r="BX657" i="1"/>
  <c r="BW657" i="1"/>
  <c r="BV657" i="1"/>
  <c r="BU657" i="1"/>
  <c r="CC657" i="1" s="1"/>
  <c r="BT657" i="1"/>
  <c r="BS657" i="1"/>
  <c r="AN657" i="1"/>
  <c r="AM657" i="1"/>
  <c r="AL657" i="1"/>
  <c r="AK657" i="1"/>
  <c r="AJ657" i="1"/>
  <c r="AI657" i="1"/>
  <c r="O657" i="1"/>
  <c r="D657" i="1" s="1"/>
  <c r="F657" i="1"/>
  <c r="E657" i="1"/>
  <c r="EA656" i="1"/>
  <c r="DZ656" i="1"/>
  <c r="DY656" i="1"/>
  <c r="DX656" i="1"/>
  <c r="DW656" i="1"/>
  <c r="DV656" i="1"/>
  <c r="DC656" i="1"/>
  <c r="DB656" i="1"/>
  <c r="DA656" i="1"/>
  <c r="CU656" i="1" s="1"/>
  <c r="CZ656" i="1"/>
  <c r="CY656" i="1"/>
  <c r="CX656" i="1"/>
  <c r="CR656" i="1" s="1"/>
  <c r="CW656" i="1"/>
  <c r="CV656" i="1"/>
  <c r="CT656" i="1"/>
  <c r="CS656" i="1"/>
  <c r="CA656" i="1"/>
  <c r="CB656" i="1" s="1"/>
  <c r="BZ656" i="1"/>
  <c r="BY656" i="1"/>
  <c r="BX656" i="1"/>
  <c r="BW656" i="1"/>
  <c r="BV656" i="1"/>
  <c r="BU656" i="1"/>
  <c r="BT656" i="1"/>
  <c r="BS656" i="1"/>
  <c r="AN656" i="1"/>
  <c r="AM656" i="1"/>
  <c r="AL656" i="1"/>
  <c r="AK656" i="1"/>
  <c r="AJ656" i="1"/>
  <c r="AI656" i="1"/>
  <c r="O656" i="1"/>
  <c r="D656" i="1" s="1"/>
  <c r="F656" i="1"/>
  <c r="E656" i="1"/>
  <c r="EA655" i="1"/>
  <c r="DZ655" i="1"/>
  <c r="DY655" i="1"/>
  <c r="DX655" i="1"/>
  <c r="DW655" i="1"/>
  <c r="DV655" i="1"/>
  <c r="DC655" i="1"/>
  <c r="CW655" i="1" s="1"/>
  <c r="DB655" i="1"/>
  <c r="DA655" i="1"/>
  <c r="CZ655" i="1"/>
  <c r="CT655" i="1" s="1"/>
  <c r="CY655" i="1"/>
  <c r="CS655" i="1" s="1"/>
  <c r="CX655" i="1"/>
  <c r="CV655" i="1"/>
  <c r="CU655" i="1"/>
  <c r="CR655" i="1"/>
  <c r="CC655" i="1"/>
  <c r="BZ655" i="1"/>
  <c r="CA655" i="1" s="1"/>
  <c r="BY655" i="1"/>
  <c r="BX655" i="1"/>
  <c r="BW655" i="1"/>
  <c r="BV655" i="1"/>
  <c r="BU655" i="1"/>
  <c r="CB655" i="1" s="1"/>
  <c r="BT655" i="1"/>
  <c r="BS655" i="1"/>
  <c r="AN655" i="1"/>
  <c r="AM655" i="1"/>
  <c r="AL655" i="1"/>
  <c r="AK655" i="1"/>
  <c r="AJ655" i="1"/>
  <c r="AI655" i="1"/>
  <c r="O655" i="1"/>
  <c r="D655" i="1" s="1"/>
  <c r="F655" i="1"/>
  <c r="E655" i="1"/>
  <c r="EA654" i="1"/>
  <c r="DZ654" i="1"/>
  <c r="DY654" i="1"/>
  <c r="DX654" i="1"/>
  <c r="DW654" i="1"/>
  <c r="DV654" i="1"/>
  <c r="DC654" i="1"/>
  <c r="DB654" i="1"/>
  <c r="CV654" i="1" s="1"/>
  <c r="DA654" i="1"/>
  <c r="CU654" i="1" s="1"/>
  <c r="CZ654" i="1"/>
  <c r="CY654" i="1"/>
  <c r="CX654" i="1"/>
  <c r="CR654" i="1" s="1"/>
  <c r="CW654" i="1"/>
  <c r="CT654" i="1"/>
  <c r="CS654" i="1"/>
  <c r="BZ654" i="1"/>
  <c r="CA654" i="1" s="1"/>
  <c r="CB654" i="1" s="1"/>
  <c r="BY654" i="1"/>
  <c r="BX654" i="1"/>
  <c r="BW654" i="1"/>
  <c r="BV654" i="1"/>
  <c r="BU654" i="1"/>
  <c r="BT654" i="1"/>
  <c r="BS654" i="1"/>
  <c r="AN654" i="1"/>
  <c r="AM654" i="1"/>
  <c r="AL654" i="1"/>
  <c r="AK654" i="1"/>
  <c r="AJ654" i="1"/>
  <c r="AI654" i="1"/>
  <c r="O654" i="1"/>
  <c r="D654" i="1" s="1"/>
  <c r="F654" i="1"/>
  <c r="E654" i="1"/>
  <c r="EA653" i="1"/>
  <c r="DZ653" i="1"/>
  <c r="DY653" i="1"/>
  <c r="DX653" i="1"/>
  <c r="DW653" i="1"/>
  <c r="DV653" i="1"/>
  <c r="DC653" i="1"/>
  <c r="CW653" i="1" s="1"/>
  <c r="DB653" i="1"/>
  <c r="DA653" i="1"/>
  <c r="CZ653" i="1"/>
  <c r="CT653" i="1" s="1"/>
  <c r="CY653" i="1"/>
  <c r="CS653" i="1" s="1"/>
  <c r="CX653" i="1"/>
  <c r="CV653" i="1"/>
  <c r="CU653" i="1"/>
  <c r="CR653" i="1"/>
  <c r="CC653" i="1"/>
  <c r="CB653" i="1"/>
  <c r="BZ653" i="1"/>
  <c r="CA653" i="1" s="1"/>
  <c r="BY653" i="1"/>
  <c r="BX653" i="1"/>
  <c r="BW653" i="1"/>
  <c r="BV653" i="1"/>
  <c r="BU653" i="1"/>
  <c r="BT653" i="1"/>
  <c r="BS653" i="1"/>
  <c r="AN653" i="1"/>
  <c r="AM653" i="1"/>
  <c r="AL653" i="1"/>
  <c r="AK653" i="1"/>
  <c r="AJ653" i="1"/>
  <c r="AI653" i="1"/>
  <c r="O653" i="1"/>
  <c r="D653" i="1" s="1"/>
  <c r="F653" i="1"/>
  <c r="E653" i="1"/>
  <c r="EA652" i="1"/>
  <c r="DZ652" i="1"/>
  <c r="DY652" i="1"/>
  <c r="DX652" i="1"/>
  <c r="DW652" i="1"/>
  <c r="DV652" i="1"/>
  <c r="DC652" i="1"/>
  <c r="DB652" i="1"/>
  <c r="CV652" i="1" s="1"/>
  <c r="DA652" i="1"/>
  <c r="CU652" i="1" s="1"/>
  <c r="CZ652" i="1"/>
  <c r="CT652" i="1" s="1"/>
  <c r="CY652" i="1"/>
  <c r="CX652" i="1"/>
  <c r="CW652" i="1"/>
  <c r="CS652" i="1"/>
  <c r="CR652" i="1"/>
  <c r="BZ652" i="1"/>
  <c r="CA652" i="1" s="1"/>
  <c r="CB652" i="1" s="1"/>
  <c r="BY652" i="1"/>
  <c r="BX652" i="1"/>
  <c r="BW652" i="1"/>
  <c r="BV652" i="1"/>
  <c r="BU652" i="1"/>
  <c r="BT652" i="1"/>
  <c r="BS652" i="1"/>
  <c r="AN652" i="1"/>
  <c r="AM652" i="1"/>
  <c r="AL652" i="1"/>
  <c r="AK652" i="1"/>
  <c r="AJ652" i="1"/>
  <c r="AI652" i="1"/>
  <c r="O652" i="1"/>
  <c r="D652" i="1" s="1"/>
  <c r="F652" i="1"/>
  <c r="E652" i="1"/>
  <c r="EA651" i="1"/>
  <c r="DZ651" i="1"/>
  <c r="DY651" i="1"/>
  <c r="DX651" i="1"/>
  <c r="DW651" i="1"/>
  <c r="DV651" i="1"/>
  <c r="DC651" i="1"/>
  <c r="CW651" i="1" s="1"/>
  <c r="DB651" i="1"/>
  <c r="CV651" i="1" s="1"/>
  <c r="DA651" i="1"/>
  <c r="CZ651" i="1"/>
  <c r="CY651" i="1"/>
  <c r="CS651" i="1" s="1"/>
  <c r="CX651" i="1"/>
  <c r="CU651" i="1"/>
  <c r="CT651" i="1"/>
  <c r="CR651" i="1"/>
  <c r="CA651" i="1"/>
  <c r="CB651" i="1" s="1"/>
  <c r="BZ651" i="1"/>
  <c r="BY651" i="1"/>
  <c r="BX651" i="1"/>
  <c r="BW651" i="1"/>
  <c r="BV651" i="1"/>
  <c r="BU651" i="1"/>
  <c r="CC651" i="1" s="1"/>
  <c r="BT651" i="1"/>
  <c r="BS651" i="1"/>
  <c r="AN651" i="1"/>
  <c r="AM651" i="1"/>
  <c r="AL651" i="1"/>
  <c r="AK651" i="1"/>
  <c r="AJ651" i="1"/>
  <c r="AI651" i="1"/>
  <c r="O651" i="1"/>
  <c r="D651" i="1" s="1"/>
  <c r="F651" i="1"/>
  <c r="E651" i="1"/>
  <c r="EA650" i="1"/>
  <c r="DZ650" i="1"/>
  <c r="DY650" i="1"/>
  <c r="DX650" i="1"/>
  <c r="DW650" i="1"/>
  <c r="DV650" i="1"/>
  <c r="DC650" i="1"/>
  <c r="CW650" i="1" s="1"/>
  <c r="DB650" i="1"/>
  <c r="DA650" i="1"/>
  <c r="CZ650" i="1"/>
  <c r="CT650" i="1" s="1"/>
  <c r="CY650" i="1"/>
  <c r="CS650" i="1" s="1"/>
  <c r="CX650" i="1"/>
  <c r="CV650" i="1"/>
  <c r="CU650" i="1"/>
  <c r="CR650" i="1"/>
  <c r="BZ650" i="1"/>
  <c r="CA650" i="1" s="1"/>
  <c r="BY650" i="1"/>
  <c r="BX650" i="1"/>
  <c r="BW650" i="1"/>
  <c r="BV650" i="1"/>
  <c r="BU650" i="1"/>
  <c r="BT650" i="1"/>
  <c r="BS650" i="1"/>
  <c r="AN650" i="1"/>
  <c r="AM650" i="1"/>
  <c r="AL650" i="1"/>
  <c r="AK650" i="1"/>
  <c r="AJ650" i="1"/>
  <c r="AI650" i="1"/>
  <c r="O650" i="1"/>
  <c r="F650" i="1"/>
  <c r="E650" i="1"/>
  <c r="D650" i="1"/>
  <c r="EA649" i="1"/>
  <c r="DZ649" i="1"/>
  <c r="DY649" i="1"/>
  <c r="DX649" i="1"/>
  <c r="DW649" i="1"/>
  <c r="DV649" i="1"/>
  <c r="DC649" i="1"/>
  <c r="DB649" i="1"/>
  <c r="CV649" i="1" s="1"/>
  <c r="DA649" i="1"/>
  <c r="CU649" i="1" s="1"/>
  <c r="CZ649" i="1"/>
  <c r="CY649" i="1"/>
  <c r="CX649" i="1"/>
  <c r="CR649" i="1" s="1"/>
  <c r="CW649" i="1"/>
  <c r="CT649" i="1"/>
  <c r="CS649" i="1"/>
  <c r="CA649" i="1"/>
  <c r="CB649" i="1" s="1"/>
  <c r="BZ649" i="1"/>
  <c r="BY649" i="1"/>
  <c r="BX649" i="1"/>
  <c r="BW649" i="1"/>
  <c r="BV649" i="1"/>
  <c r="BU649" i="1"/>
  <c r="CC649" i="1" s="1"/>
  <c r="BT649" i="1"/>
  <c r="BS649" i="1"/>
  <c r="AN649" i="1"/>
  <c r="AM649" i="1"/>
  <c r="AL649" i="1"/>
  <c r="AK649" i="1"/>
  <c r="AJ649" i="1"/>
  <c r="AI649" i="1"/>
  <c r="O649" i="1"/>
  <c r="D649" i="1" s="1"/>
  <c r="F649" i="1"/>
  <c r="E649" i="1"/>
  <c r="EA648" i="1"/>
  <c r="DZ648" i="1"/>
  <c r="DY648" i="1"/>
  <c r="DX648" i="1"/>
  <c r="DW648" i="1"/>
  <c r="DV648" i="1"/>
  <c r="DC648" i="1"/>
  <c r="CW648" i="1" s="1"/>
  <c r="DB648" i="1"/>
  <c r="DA648" i="1"/>
  <c r="CZ648" i="1"/>
  <c r="CT648" i="1" s="1"/>
  <c r="CY648" i="1"/>
  <c r="CS648" i="1" s="1"/>
  <c r="CX648" i="1"/>
  <c r="CV648" i="1"/>
  <c r="CU648" i="1"/>
  <c r="CR648" i="1"/>
  <c r="BZ648" i="1"/>
  <c r="CA648" i="1" s="1"/>
  <c r="BY648" i="1"/>
  <c r="BX648" i="1"/>
  <c r="BW648" i="1"/>
  <c r="BV648" i="1"/>
  <c r="BU648" i="1"/>
  <c r="CC648" i="1" s="1"/>
  <c r="BT648" i="1"/>
  <c r="BS648" i="1"/>
  <c r="AN648" i="1"/>
  <c r="AM648" i="1"/>
  <c r="AL648" i="1"/>
  <c r="AK648" i="1"/>
  <c r="AJ648" i="1"/>
  <c r="AI648" i="1"/>
  <c r="O648" i="1"/>
  <c r="D648" i="1" s="1"/>
  <c r="F648" i="1"/>
  <c r="E648" i="1"/>
  <c r="EA647" i="1"/>
  <c r="DZ647" i="1"/>
  <c r="DY647" i="1"/>
  <c r="DX647" i="1"/>
  <c r="DW647" i="1"/>
  <c r="DV647" i="1"/>
  <c r="DC647" i="1"/>
  <c r="DB647" i="1"/>
  <c r="CV647" i="1" s="1"/>
  <c r="DA647" i="1"/>
  <c r="CU647" i="1" s="1"/>
  <c r="CZ647" i="1"/>
  <c r="CY647" i="1"/>
  <c r="CX647" i="1"/>
  <c r="CR647" i="1" s="1"/>
  <c r="CW647" i="1"/>
  <c r="CT647" i="1"/>
  <c r="CS647" i="1"/>
  <c r="CA647" i="1"/>
  <c r="CB647" i="1" s="1"/>
  <c r="BZ647" i="1"/>
  <c r="BY647" i="1"/>
  <c r="BX647" i="1"/>
  <c r="BW647" i="1"/>
  <c r="BV647" i="1"/>
  <c r="BU647" i="1"/>
  <c r="CC647" i="1" s="1"/>
  <c r="BT647" i="1"/>
  <c r="BS647" i="1"/>
  <c r="AN647" i="1"/>
  <c r="AM647" i="1"/>
  <c r="AL647" i="1"/>
  <c r="AK647" i="1"/>
  <c r="AJ647" i="1"/>
  <c r="AI647" i="1"/>
  <c r="O647" i="1"/>
  <c r="D647" i="1" s="1"/>
  <c r="F647" i="1"/>
  <c r="E647" i="1"/>
  <c r="EA646" i="1"/>
  <c r="DZ646" i="1"/>
  <c r="DY646" i="1"/>
  <c r="DX646" i="1"/>
  <c r="DW646" i="1"/>
  <c r="DV646" i="1"/>
  <c r="DC646" i="1"/>
  <c r="CW646" i="1" s="1"/>
  <c r="DB646" i="1"/>
  <c r="DA646" i="1"/>
  <c r="CZ646" i="1"/>
  <c r="CT646" i="1" s="1"/>
  <c r="CY646" i="1"/>
  <c r="CS646" i="1" s="1"/>
  <c r="CX646" i="1"/>
  <c r="CV646" i="1"/>
  <c r="CU646" i="1"/>
  <c r="CR646" i="1"/>
  <c r="BZ646" i="1"/>
  <c r="CA646" i="1" s="1"/>
  <c r="BY646" i="1"/>
  <c r="BX646" i="1"/>
  <c r="BW646" i="1"/>
  <c r="BV646" i="1"/>
  <c r="BU646" i="1"/>
  <c r="BT646" i="1"/>
  <c r="BS646" i="1"/>
  <c r="AN646" i="1"/>
  <c r="AM646" i="1"/>
  <c r="AL646" i="1"/>
  <c r="AK646" i="1"/>
  <c r="AJ646" i="1"/>
  <c r="AI646" i="1"/>
  <c r="O646" i="1"/>
  <c r="D646" i="1" s="1"/>
  <c r="F646" i="1"/>
  <c r="E646" i="1"/>
  <c r="EA645" i="1"/>
  <c r="DZ645" i="1"/>
  <c r="DY645" i="1"/>
  <c r="DX645" i="1"/>
  <c r="DW645" i="1"/>
  <c r="DV645" i="1"/>
  <c r="DC645" i="1"/>
  <c r="DB645" i="1"/>
  <c r="CV645" i="1" s="1"/>
  <c r="DA645" i="1"/>
  <c r="CU645" i="1" s="1"/>
  <c r="CZ645" i="1"/>
  <c r="CY645" i="1"/>
  <c r="CX645" i="1"/>
  <c r="CR645" i="1" s="1"/>
  <c r="CW645" i="1"/>
  <c r="CT645" i="1"/>
  <c r="CS645" i="1"/>
  <c r="CA645" i="1"/>
  <c r="BZ645" i="1"/>
  <c r="BY645" i="1"/>
  <c r="BX645" i="1"/>
  <c r="BW645" i="1"/>
  <c r="BV645" i="1"/>
  <c r="BU645" i="1"/>
  <c r="CC645" i="1" s="1"/>
  <c r="BT645" i="1"/>
  <c r="BS645" i="1"/>
  <c r="AN645" i="1"/>
  <c r="AM645" i="1"/>
  <c r="AL645" i="1"/>
  <c r="AK645" i="1"/>
  <c r="AJ645" i="1"/>
  <c r="AI645" i="1"/>
  <c r="O645" i="1"/>
  <c r="D645" i="1" s="1"/>
  <c r="F645" i="1"/>
  <c r="E645" i="1"/>
  <c r="EA644" i="1"/>
  <c r="DZ644" i="1"/>
  <c r="DY644" i="1"/>
  <c r="DX644" i="1"/>
  <c r="DW644" i="1"/>
  <c r="DV644" i="1"/>
  <c r="DC644" i="1"/>
  <c r="CW644" i="1" s="1"/>
  <c r="DB644" i="1"/>
  <c r="DA644" i="1"/>
  <c r="CZ644" i="1"/>
  <c r="CT644" i="1" s="1"/>
  <c r="CY644" i="1"/>
  <c r="CS644" i="1" s="1"/>
  <c r="CX644" i="1"/>
  <c r="CV644" i="1"/>
  <c r="CU644" i="1"/>
  <c r="CR644" i="1"/>
  <c r="BZ644" i="1"/>
  <c r="CA644" i="1" s="1"/>
  <c r="BY644" i="1"/>
  <c r="BX644" i="1"/>
  <c r="BW644" i="1"/>
  <c r="BV644" i="1"/>
  <c r="BU644" i="1"/>
  <c r="CC644" i="1" s="1"/>
  <c r="BT644" i="1"/>
  <c r="BS644" i="1"/>
  <c r="AN644" i="1"/>
  <c r="AM644" i="1"/>
  <c r="AL644" i="1"/>
  <c r="AK644" i="1"/>
  <c r="AJ644" i="1"/>
  <c r="AI644" i="1"/>
  <c r="O644" i="1"/>
  <c r="D644" i="1" s="1"/>
  <c r="F644" i="1"/>
  <c r="E644" i="1"/>
  <c r="EA643" i="1"/>
  <c r="DZ643" i="1"/>
  <c r="DY643" i="1"/>
  <c r="DX643" i="1"/>
  <c r="DW643" i="1"/>
  <c r="DV643" i="1"/>
  <c r="DC643" i="1"/>
  <c r="DB643" i="1"/>
  <c r="CV643" i="1" s="1"/>
  <c r="DA643" i="1"/>
  <c r="CU643" i="1" s="1"/>
  <c r="CZ643" i="1"/>
  <c r="CY643" i="1"/>
  <c r="CX643" i="1"/>
  <c r="CR643" i="1" s="1"/>
  <c r="CW643" i="1"/>
  <c r="CT643" i="1"/>
  <c r="CS643" i="1"/>
  <c r="CA643" i="1"/>
  <c r="BZ643" i="1"/>
  <c r="BY643" i="1"/>
  <c r="BX643" i="1"/>
  <c r="BW643" i="1"/>
  <c r="BV643" i="1"/>
  <c r="BU643" i="1"/>
  <c r="CC643" i="1" s="1"/>
  <c r="BT643" i="1"/>
  <c r="BS643" i="1"/>
  <c r="AN643" i="1"/>
  <c r="AM643" i="1"/>
  <c r="AL643" i="1"/>
  <c r="AK643" i="1"/>
  <c r="AJ643" i="1"/>
  <c r="AI643" i="1"/>
  <c r="O643" i="1"/>
  <c r="D643" i="1" s="1"/>
  <c r="F643" i="1"/>
  <c r="E643" i="1"/>
  <c r="EA642" i="1"/>
  <c r="DZ642" i="1"/>
  <c r="DY642" i="1"/>
  <c r="DX642" i="1"/>
  <c r="DW642" i="1"/>
  <c r="DV642" i="1"/>
  <c r="DC642" i="1"/>
  <c r="CW642" i="1" s="1"/>
  <c r="DB642" i="1"/>
  <c r="DA642" i="1"/>
  <c r="CZ642" i="1"/>
  <c r="CT642" i="1" s="1"/>
  <c r="CY642" i="1"/>
  <c r="CS642" i="1" s="1"/>
  <c r="CX642" i="1"/>
  <c r="CV642" i="1"/>
  <c r="CU642" i="1"/>
  <c r="CR642" i="1"/>
  <c r="BZ642" i="1"/>
  <c r="CA642" i="1" s="1"/>
  <c r="BY642" i="1"/>
  <c r="BX642" i="1"/>
  <c r="BW642" i="1"/>
  <c r="BV642" i="1"/>
  <c r="BU642" i="1"/>
  <c r="CC642" i="1" s="1"/>
  <c r="BT642" i="1"/>
  <c r="BS642" i="1"/>
  <c r="AN642" i="1"/>
  <c r="AM642" i="1"/>
  <c r="AL642" i="1"/>
  <c r="AK642" i="1"/>
  <c r="AJ642" i="1"/>
  <c r="AI642" i="1"/>
  <c r="O642" i="1"/>
  <c r="D642" i="1" s="1"/>
  <c r="F642" i="1"/>
  <c r="E642" i="1"/>
  <c r="EA641" i="1"/>
  <c r="DZ641" i="1"/>
  <c r="DY641" i="1"/>
  <c r="DX641" i="1"/>
  <c r="DW641" i="1"/>
  <c r="DV641" i="1"/>
  <c r="DC641" i="1"/>
  <c r="DB641" i="1"/>
  <c r="CV641" i="1" s="1"/>
  <c r="DA641" i="1"/>
  <c r="CU641" i="1" s="1"/>
  <c r="CZ641" i="1"/>
  <c r="CY641" i="1"/>
  <c r="CX641" i="1"/>
  <c r="CR641" i="1" s="1"/>
  <c r="CW641" i="1"/>
  <c r="CT641" i="1"/>
  <c r="CS641" i="1"/>
  <c r="CB641" i="1"/>
  <c r="CA641" i="1"/>
  <c r="BZ641" i="1"/>
  <c r="BY641" i="1"/>
  <c r="BX641" i="1"/>
  <c r="BW641" i="1"/>
  <c r="BV641" i="1"/>
  <c r="BU641" i="1"/>
  <c r="BT641" i="1"/>
  <c r="BS641" i="1"/>
  <c r="AN641" i="1"/>
  <c r="AM641" i="1"/>
  <c r="AL641" i="1"/>
  <c r="AK641" i="1"/>
  <c r="AJ641" i="1"/>
  <c r="AI641" i="1"/>
  <c r="O641" i="1"/>
  <c r="D641" i="1" s="1"/>
  <c r="F641" i="1"/>
  <c r="E641" i="1"/>
  <c r="EA640" i="1"/>
  <c r="DZ640" i="1"/>
  <c r="DY640" i="1"/>
  <c r="DX640" i="1"/>
  <c r="DW640" i="1"/>
  <c r="DV640" i="1"/>
  <c r="DC640" i="1"/>
  <c r="CW640" i="1" s="1"/>
  <c r="DB640" i="1"/>
  <c r="DA640" i="1"/>
  <c r="CZ640" i="1"/>
  <c r="CT640" i="1" s="1"/>
  <c r="CY640" i="1"/>
  <c r="CS640" i="1" s="1"/>
  <c r="CX640" i="1"/>
  <c r="CV640" i="1"/>
  <c r="CU640" i="1"/>
  <c r="CR640" i="1"/>
  <c r="BZ640" i="1"/>
  <c r="CA640" i="1" s="1"/>
  <c r="BY640" i="1"/>
  <c r="BX640" i="1"/>
  <c r="BW640" i="1"/>
  <c r="BV640" i="1"/>
  <c r="BU640" i="1"/>
  <c r="CC640" i="1" s="1"/>
  <c r="BT640" i="1"/>
  <c r="BS640" i="1"/>
  <c r="AN640" i="1"/>
  <c r="AM640" i="1"/>
  <c r="AL640" i="1"/>
  <c r="AK640" i="1"/>
  <c r="AJ640" i="1"/>
  <c r="AI640" i="1"/>
  <c r="O640" i="1"/>
  <c r="D640" i="1" s="1"/>
  <c r="F640" i="1"/>
  <c r="E640" i="1"/>
  <c r="EA639" i="1"/>
  <c r="DZ639" i="1"/>
  <c r="DY639" i="1"/>
  <c r="DX639" i="1"/>
  <c r="DW639" i="1"/>
  <c r="DV639" i="1"/>
  <c r="DC639" i="1"/>
  <c r="DB639" i="1"/>
  <c r="CV639" i="1" s="1"/>
  <c r="DA639" i="1"/>
  <c r="CU639" i="1" s="1"/>
  <c r="CZ639" i="1"/>
  <c r="CY639" i="1"/>
  <c r="CX639" i="1"/>
  <c r="CR639" i="1" s="1"/>
  <c r="CW639" i="1"/>
  <c r="CT639" i="1"/>
  <c r="CS639" i="1"/>
  <c r="CB639" i="1"/>
  <c r="CA639" i="1"/>
  <c r="BZ639" i="1"/>
  <c r="BY639" i="1"/>
  <c r="BX639" i="1"/>
  <c r="BW639" i="1"/>
  <c r="BV639" i="1"/>
  <c r="BU639" i="1"/>
  <c r="BT639" i="1"/>
  <c r="BS639" i="1"/>
  <c r="AN639" i="1"/>
  <c r="AM639" i="1"/>
  <c r="AL639" i="1"/>
  <c r="AK639" i="1"/>
  <c r="AJ639" i="1"/>
  <c r="AI639" i="1"/>
  <c r="O639" i="1"/>
  <c r="D639" i="1" s="1"/>
  <c r="F639" i="1"/>
  <c r="E639" i="1"/>
  <c r="EA638" i="1"/>
  <c r="DZ638" i="1"/>
  <c r="DY638" i="1"/>
  <c r="DX638" i="1"/>
  <c r="DW638" i="1"/>
  <c r="DV638" i="1"/>
  <c r="DC638" i="1"/>
  <c r="CW638" i="1" s="1"/>
  <c r="DB638" i="1"/>
  <c r="DA638" i="1"/>
  <c r="CZ638" i="1"/>
  <c r="CT638" i="1" s="1"/>
  <c r="CY638" i="1"/>
  <c r="CS638" i="1" s="1"/>
  <c r="CX638" i="1"/>
  <c r="CV638" i="1"/>
  <c r="CU638" i="1"/>
  <c r="CR638" i="1"/>
  <c r="BZ638" i="1"/>
  <c r="CA638" i="1" s="1"/>
  <c r="BY638" i="1"/>
  <c r="BX638" i="1"/>
  <c r="BW638" i="1"/>
  <c r="BV638" i="1"/>
  <c r="BU638" i="1"/>
  <c r="CC638" i="1" s="1"/>
  <c r="BT638" i="1"/>
  <c r="BS638" i="1"/>
  <c r="AN638" i="1"/>
  <c r="AM638" i="1"/>
  <c r="AL638" i="1"/>
  <c r="AK638" i="1"/>
  <c r="AJ638" i="1"/>
  <c r="AI638" i="1"/>
  <c r="O638" i="1"/>
  <c r="F638" i="1"/>
  <c r="E638" i="1"/>
  <c r="D638" i="1"/>
  <c r="EA637" i="1"/>
  <c r="DZ637" i="1"/>
  <c r="DY637" i="1"/>
  <c r="DX637" i="1"/>
  <c r="DW637" i="1"/>
  <c r="DV637" i="1"/>
  <c r="DC637" i="1"/>
  <c r="DB637" i="1"/>
  <c r="CV637" i="1" s="1"/>
  <c r="DA637" i="1"/>
  <c r="CU637" i="1" s="1"/>
  <c r="CZ637" i="1"/>
  <c r="CY637" i="1"/>
  <c r="CX637" i="1"/>
  <c r="CR637" i="1" s="1"/>
  <c r="CW637" i="1"/>
  <c r="CT637" i="1"/>
  <c r="CS637" i="1"/>
  <c r="CB637" i="1"/>
  <c r="CA637" i="1"/>
  <c r="BZ637" i="1"/>
  <c r="BY637" i="1"/>
  <c r="BX637" i="1"/>
  <c r="BW637" i="1"/>
  <c r="BV637" i="1"/>
  <c r="BU637" i="1"/>
  <c r="BT637" i="1"/>
  <c r="BS637" i="1"/>
  <c r="AN637" i="1"/>
  <c r="AM637" i="1"/>
  <c r="AL637" i="1"/>
  <c r="AK637" i="1"/>
  <c r="AJ637" i="1"/>
  <c r="AI637" i="1"/>
  <c r="O637" i="1"/>
  <c r="D637" i="1" s="1"/>
  <c r="F637" i="1"/>
  <c r="E637" i="1"/>
  <c r="EA636" i="1"/>
  <c r="DZ636" i="1"/>
  <c r="DY636" i="1"/>
  <c r="DX636" i="1"/>
  <c r="DW636" i="1"/>
  <c r="DV636" i="1"/>
  <c r="DC636" i="1"/>
  <c r="CW636" i="1" s="1"/>
  <c r="DB636" i="1"/>
  <c r="DA636" i="1"/>
  <c r="CZ636" i="1"/>
  <c r="CT636" i="1" s="1"/>
  <c r="CY636" i="1"/>
  <c r="CS636" i="1" s="1"/>
  <c r="CX636" i="1"/>
  <c r="CV636" i="1"/>
  <c r="CU636" i="1"/>
  <c r="CR636" i="1"/>
  <c r="BZ636" i="1"/>
  <c r="CA636" i="1" s="1"/>
  <c r="BY636" i="1"/>
  <c r="BX636" i="1"/>
  <c r="BW636" i="1"/>
  <c r="BV636" i="1"/>
  <c r="BU636" i="1"/>
  <c r="CC636" i="1" s="1"/>
  <c r="BT636" i="1"/>
  <c r="BS636" i="1"/>
  <c r="AN636" i="1"/>
  <c r="AM636" i="1"/>
  <c r="AL636" i="1"/>
  <c r="AK636" i="1"/>
  <c r="AJ636" i="1"/>
  <c r="AI636" i="1"/>
  <c r="O636" i="1"/>
  <c r="D636" i="1" s="1"/>
  <c r="F636" i="1"/>
  <c r="E636" i="1"/>
  <c r="EA635" i="1"/>
  <c r="DZ635" i="1"/>
  <c r="DY635" i="1"/>
  <c r="DX635" i="1"/>
  <c r="DW635" i="1"/>
  <c r="DV635" i="1"/>
  <c r="DC635" i="1"/>
  <c r="DB635" i="1"/>
  <c r="CV635" i="1" s="1"/>
  <c r="DA635" i="1"/>
  <c r="CU635" i="1" s="1"/>
  <c r="CZ635" i="1"/>
  <c r="CY635" i="1"/>
  <c r="CX635" i="1"/>
  <c r="CR635" i="1" s="1"/>
  <c r="CW635" i="1"/>
  <c r="CT635" i="1"/>
  <c r="CS635" i="1"/>
  <c r="CB635" i="1"/>
  <c r="CA635" i="1"/>
  <c r="BZ635" i="1"/>
  <c r="BY635" i="1"/>
  <c r="BX635" i="1"/>
  <c r="BW635" i="1"/>
  <c r="BV635" i="1"/>
  <c r="BU635" i="1"/>
  <c r="BT635" i="1"/>
  <c r="BS635" i="1"/>
  <c r="AN635" i="1"/>
  <c r="AM635" i="1"/>
  <c r="AL635" i="1"/>
  <c r="AK635" i="1"/>
  <c r="AJ635" i="1"/>
  <c r="AI635" i="1"/>
  <c r="O635" i="1"/>
  <c r="D635" i="1" s="1"/>
  <c r="F635" i="1"/>
  <c r="E635" i="1"/>
  <c r="EA634" i="1"/>
  <c r="DZ634" i="1"/>
  <c r="DY634" i="1"/>
  <c r="DX634" i="1"/>
  <c r="DW634" i="1"/>
  <c r="DV634" i="1"/>
  <c r="DC634" i="1"/>
  <c r="CW634" i="1" s="1"/>
  <c r="DB634" i="1"/>
  <c r="DA634" i="1"/>
  <c r="CZ634" i="1"/>
  <c r="CT634" i="1" s="1"/>
  <c r="CY634" i="1"/>
  <c r="CS634" i="1" s="1"/>
  <c r="CX634" i="1"/>
  <c r="CV634" i="1"/>
  <c r="CU634" i="1"/>
  <c r="CR634" i="1"/>
  <c r="BZ634" i="1"/>
  <c r="CA634" i="1" s="1"/>
  <c r="BY634" i="1"/>
  <c r="BX634" i="1"/>
  <c r="BW634" i="1"/>
  <c r="BV634" i="1"/>
  <c r="BU634" i="1"/>
  <c r="CC634" i="1" s="1"/>
  <c r="BT634" i="1"/>
  <c r="BS634" i="1"/>
  <c r="AN634" i="1"/>
  <c r="AM634" i="1"/>
  <c r="AL634" i="1"/>
  <c r="AK634" i="1"/>
  <c r="AJ634" i="1"/>
  <c r="AI634" i="1"/>
  <c r="O634" i="1"/>
  <c r="D634" i="1" s="1"/>
  <c r="F634" i="1"/>
  <c r="E634" i="1"/>
  <c r="EA633" i="1"/>
  <c r="DZ633" i="1"/>
  <c r="DY633" i="1"/>
  <c r="DX633" i="1"/>
  <c r="DW633" i="1"/>
  <c r="DV633" i="1"/>
  <c r="DC633" i="1"/>
  <c r="DB633" i="1"/>
  <c r="CV633" i="1" s="1"/>
  <c r="DA633" i="1"/>
  <c r="CU633" i="1" s="1"/>
  <c r="CZ633" i="1"/>
  <c r="CY633" i="1"/>
  <c r="CX633" i="1"/>
  <c r="CR633" i="1" s="1"/>
  <c r="CW633" i="1"/>
  <c r="CT633" i="1"/>
  <c r="CS633" i="1"/>
  <c r="CB633" i="1"/>
  <c r="CA633" i="1"/>
  <c r="BZ633" i="1"/>
  <c r="BY633" i="1"/>
  <c r="BX633" i="1"/>
  <c r="BW633" i="1"/>
  <c r="BV633" i="1"/>
  <c r="BU633" i="1"/>
  <c r="BT633" i="1"/>
  <c r="BS633" i="1"/>
  <c r="AN633" i="1"/>
  <c r="AM633" i="1"/>
  <c r="AL633" i="1"/>
  <c r="AK633" i="1"/>
  <c r="AJ633" i="1"/>
  <c r="AI633" i="1"/>
  <c r="O633" i="1"/>
  <c r="D633" i="1" s="1"/>
  <c r="F633" i="1"/>
  <c r="E633" i="1"/>
  <c r="EA632" i="1"/>
  <c r="DZ632" i="1"/>
  <c r="DY632" i="1"/>
  <c r="DX632" i="1"/>
  <c r="DW632" i="1"/>
  <c r="DV632" i="1"/>
  <c r="DC632" i="1"/>
  <c r="CW632" i="1" s="1"/>
  <c r="DB632" i="1"/>
  <c r="DA632" i="1"/>
  <c r="CZ632" i="1"/>
  <c r="CT632" i="1" s="1"/>
  <c r="CY632" i="1"/>
  <c r="CS632" i="1" s="1"/>
  <c r="CX632" i="1"/>
  <c r="CV632" i="1"/>
  <c r="CU632" i="1"/>
  <c r="CR632" i="1"/>
  <c r="BZ632" i="1"/>
  <c r="CA632" i="1" s="1"/>
  <c r="BY632" i="1"/>
  <c r="BX632" i="1"/>
  <c r="BW632" i="1"/>
  <c r="BV632" i="1"/>
  <c r="BU632" i="1"/>
  <c r="CC632" i="1" s="1"/>
  <c r="BT632" i="1"/>
  <c r="BS632" i="1"/>
  <c r="AN632" i="1"/>
  <c r="AM632" i="1"/>
  <c r="AL632" i="1"/>
  <c r="AK632" i="1"/>
  <c r="AJ632" i="1"/>
  <c r="AI632" i="1"/>
  <c r="O632" i="1"/>
  <c r="D632" i="1" s="1"/>
  <c r="F632" i="1"/>
  <c r="E632" i="1"/>
  <c r="EA631" i="1"/>
  <c r="DZ631" i="1"/>
  <c r="DY631" i="1"/>
  <c r="DX631" i="1"/>
  <c r="DW631" i="1"/>
  <c r="DV631" i="1"/>
  <c r="DC631" i="1"/>
  <c r="DB631" i="1"/>
  <c r="CV631" i="1" s="1"/>
  <c r="DA631" i="1"/>
  <c r="CU631" i="1" s="1"/>
  <c r="CZ631" i="1"/>
  <c r="CY631" i="1"/>
  <c r="CX631" i="1"/>
  <c r="CR631" i="1" s="1"/>
  <c r="CW631" i="1"/>
  <c r="CT631" i="1"/>
  <c r="CS631" i="1"/>
  <c r="CB631" i="1"/>
  <c r="CA631" i="1"/>
  <c r="BZ631" i="1"/>
  <c r="BY631" i="1"/>
  <c r="BX631" i="1"/>
  <c r="BW631" i="1"/>
  <c r="BV631" i="1"/>
  <c r="BU631" i="1"/>
  <c r="BT631" i="1"/>
  <c r="BS631" i="1"/>
  <c r="AN631" i="1"/>
  <c r="AM631" i="1"/>
  <c r="AL631" i="1"/>
  <c r="AK631" i="1"/>
  <c r="AJ631" i="1"/>
  <c r="AI631" i="1"/>
  <c r="O631" i="1"/>
  <c r="D631" i="1" s="1"/>
  <c r="F631" i="1"/>
  <c r="E631" i="1"/>
  <c r="EA630" i="1"/>
  <c r="DZ630" i="1"/>
  <c r="DY630" i="1"/>
  <c r="DX630" i="1"/>
  <c r="DW630" i="1"/>
  <c r="DV630" i="1"/>
  <c r="DC630" i="1"/>
  <c r="CW630" i="1" s="1"/>
  <c r="DB630" i="1"/>
  <c r="DA630" i="1"/>
  <c r="CZ630" i="1"/>
  <c r="CT630" i="1" s="1"/>
  <c r="CY630" i="1"/>
  <c r="CS630" i="1" s="1"/>
  <c r="CX630" i="1"/>
  <c r="CV630" i="1"/>
  <c r="CU630" i="1"/>
  <c r="CR630" i="1"/>
  <c r="BZ630" i="1"/>
  <c r="CA630" i="1" s="1"/>
  <c r="BY630" i="1"/>
  <c r="BX630" i="1"/>
  <c r="BW630" i="1"/>
  <c r="BV630" i="1"/>
  <c r="BU630" i="1"/>
  <c r="CC630" i="1" s="1"/>
  <c r="BT630" i="1"/>
  <c r="BS630" i="1"/>
  <c r="AN630" i="1"/>
  <c r="AM630" i="1"/>
  <c r="AL630" i="1"/>
  <c r="AK630" i="1"/>
  <c r="AJ630" i="1"/>
  <c r="AI630" i="1"/>
  <c r="O630" i="1"/>
  <c r="F630" i="1"/>
  <c r="E630" i="1"/>
  <c r="D630" i="1"/>
  <c r="EA629" i="1"/>
  <c r="DZ629" i="1"/>
  <c r="DY629" i="1"/>
  <c r="DX629" i="1"/>
  <c r="DW629" i="1"/>
  <c r="DV629" i="1"/>
  <c r="DC629" i="1"/>
  <c r="DB629" i="1"/>
  <c r="CV629" i="1" s="1"/>
  <c r="DA629" i="1"/>
  <c r="CU629" i="1" s="1"/>
  <c r="CZ629" i="1"/>
  <c r="CY629" i="1"/>
  <c r="CX629" i="1"/>
  <c r="CR629" i="1" s="1"/>
  <c r="CW629" i="1"/>
  <c r="CT629" i="1"/>
  <c r="CS629" i="1"/>
  <c r="CB629" i="1"/>
  <c r="CA629" i="1"/>
  <c r="BZ629" i="1"/>
  <c r="BY629" i="1"/>
  <c r="BX629" i="1"/>
  <c r="BW629" i="1"/>
  <c r="BV629" i="1"/>
  <c r="BU629" i="1"/>
  <c r="BT629" i="1"/>
  <c r="BS629" i="1"/>
  <c r="AN629" i="1"/>
  <c r="AM629" i="1"/>
  <c r="AL629" i="1"/>
  <c r="AK629" i="1"/>
  <c r="AJ629" i="1"/>
  <c r="AI629" i="1"/>
  <c r="O629" i="1"/>
  <c r="D629" i="1" s="1"/>
  <c r="F629" i="1"/>
  <c r="E629" i="1"/>
  <c r="EA628" i="1"/>
  <c r="DZ628" i="1"/>
  <c r="DY628" i="1"/>
  <c r="DX628" i="1"/>
  <c r="DW628" i="1"/>
  <c r="DV628" i="1"/>
  <c r="DC628" i="1"/>
  <c r="CW628" i="1" s="1"/>
  <c r="DB628" i="1"/>
  <c r="DA628" i="1"/>
  <c r="CZ628" i="1"/>
  <c r="CT628" i="1" s="1"/>
  <c r="CY628" i="1"/>
  <c r="CS628" i="1" s="1"/>
  <c r="CX628" i="1"/>
  <c r="CV628" i="1"/>
  <c r="CU628" i="1"/>
  <c r="CR628" i="1"/>
  <c r="BZ628" i="1"/>
  <c r="CA628" i="1" s="1"/>
  <c r="BY628" i="1"/>
  <c r="BX628" i="1"/>
  <c r="BW628" i="1"/>
  <c r="BV628" i="1"/>
  <c r="BU628" i="1"/>
  <c r="CC628" i="1" s="1"/>
  <c r="BT628" i="1"/>
  <c r="BS628" i="1"/>
  <c r="AN628" i="1"/>
  <c r="AM628" i="1"/>
  <c r="AL628" i="1"/>
  <c r="AK628" i="1"/>
  <c r="AJ628" i="1"/>
  <c r="AI628" i="1"/>
  <c r="O628" i="1"/>
  <c r="D628" i="1" s="1"/>
  <c r="F628" i="1"/>
  <c r="E628" i="1"/>
  <c r="EA627" i="1"/>
  <c r="DZ627" i="1"/>
  <c r="DY627" i="1"/>
  <c r="DX627" i="1"/>
  <c r="DW627" i="1"/>
  <c r="DV627" i="1"/>
  <c r="DC627" i="1"/>
  <c r="DB627" i="1"/>
  <c r="CV627" i="1" s="1"/>
  <c r="DA627" i="1"/>
  <c r="CU627" i="1" s="1"/>
  <c r="CZ627" i="1"/>
  <c r="CY627" i="1"/>
  <c r="CX627" i="1"/>
  <c r="CR627" i="1" s="1"/>
  <c r="CW627" i="1"/>
  <c r="CT627" i="1"/>
  <c r="CS627" i="1"/>
  <c r="CB627" i="1"/>
  <c r="CA627" i="1"/>
  <c r="BZ627" i="1"/>
  <c r="BY627" i="1"/>
  <c r="BX627" i="1"/>
  <c r="BW627" i="1"/>
  <c r="BV627" i="1"/>
  <c r="BU627" i="1"/>
  <c r="BT627" i="1"/>
  <c r="BS627" i="1"/>
  <c r="AN627" i="1"/>
  <c r="AM627" i="1"/>
  <c r="AL627" i="1"/>
  <c r="AK627" i="1"/>
  <c r="AJ627" i="1"/>
  <c r="AI627" i="1"/>
  <c r="O627" i="1"/>
  <c r="D627" i="1" s="1"/>
  <c r="F627" i="1"/>
  <c r="E627" i="1"/>
  <c r="EA626" i="1"/>
  <c r="DZ626" i="1"/>
  <c r="DY626" i="1"/>
  <c r="DX626" i="1"/>
  <c r="DW626" i="1"/>
  <c r="DV626" i="1"/>
  <c r="DC626" i="1"/>
  <c r="CW626" i="1" s="1"/>
  <c r="DB626" i="1"/>
  <c r="DA626" i="1"/>
  <c r="CZ626" i="1"/>
  <c r="CT626" i="1" s="1"/>
  <c r="CY626" i="1"/>
  <c r="CS626" i="1" s="1"/>
  <c r="CX626" i="1"/>
  <c r="CV626" i="1"/>
  <c r="CU626" i="1"/>
  <c r="CR626" i="1"/>
  <c r="BZ626" i="1"/>
  <c r="CA626" i="1" s="1"/>
  <c r="BY626" i="1"/>
  <c r="BX626" i="1"/>
  <c r="BW626" i="1"/>
  <c r="BV626" i="1"/>
  <c r="BU626" i="1"/>
  <c r="CC626" i="1" s="1"/>
  <c r="BT626" i="1"/>
  <c r="BS626" i="1"/>
  <c r="AN626" i="1"/>
  <c r="AM626" i="1"/>
  <c r="AL626" i="1"/>
  <c r="AK626" i="1"/>
  <c r="AJ626" i="1"/>
  <c r="AI626" i="1"/>
  <c r="O626" i="1"/>
  <c r="D626" i="1" s="1"/>
  <c r="F626" i="1"/>
  <c r="E626" i="1"/>
  <c r="EA625" i="1"/>
  <c r="DZ625" i="1"/>
  <c r="DY625" i="1"/>
  <c r="DX625" i="1"/>
  <c r="DW625" i="1"/>
  <c r="DV625" i="1"/>
  <c r="DC625" i="1"/>
  <c r="DB625" i="1"/>
  <c r="CV625" i="1" s="1"/>
  <c r="DA625" i="1"/>
  <c r="CU625" i="1" s="1"/>
  <c r="CZ625" i="1"/>
  <c r="CY625" i="1"/>
  <c r="CX625" i="1"/>
  <c r="CR625" i="1" s="1"/>
  <c r="CW625" i="1"/>
  <c r="CT625" i="1"/>
  <c r="CS625" i="1"/>
  <c r="CB625" i="1"/>
  <c r="CA625" i="1"/>
  <c r="BZ625" i="1"/>
  <c r="BY625" i="1"/>
  <c r="BX625" i="1"/>
  <c r="BW625" i="1"/>
  <c r="BV625" i="1"/>
  <c r="BU625" i="1"/>
  <c r="BT625" i="1"/>
  <c r="BS625" i="1"/>
  <c r="AN625" i="1"/>
  <c r="AM625" i="1"/>
  <c r="AL625" i="1"/>
  <c r="AK625" i="1"/>
  <c r="AJ625" i="1"/>
  <c r="AI625" i="1"/>
  <c r="O625" i="1"/>
  <c r="D625" i="1" s="1"/>
  <c r="F625" i="1"/>
  <c r="E625" i="1"/>
  <c r="EA624" i="1"/>
  <c r="DZ624" i="1"/>
  <c r="DY624" i="1"/>
  <c r="DX624" i="1"/>
  <c r="DW624" i="1"/>
  <c r="DV624" i="1"/>
  <c r="DC624" i="1"/>
  <c r="CW624" i="1" s="1"/>
  <c r="DB624" i="1"/>
  <c r="DA624" i="1"/>
  <c r="CZ624" i="1"/>
  <c r="CT624" i="1" s="1"/>
  <c r="CY624" i="1"/>
  <c r="CS624" i="1" s="1"/>
  <c r="CX624" i="1"/>
  <c r="CV624" i="1"/>
  <c r="CU624" i="1"/>
  <c r="CR624" i="1"/>
  <c r="BZ624" i="1"/>
  <c r="CA624" i="1" s="1"/>
  <c r="BY624" i="1"/>
  <c r="BX624" i="1"/>
  <c r="BW624" i="1"/>
  <c r="BV624" i="1"/>
  <c r="BU624" i="1"/>
  <c r="CC624" i="1" s="1"/>
  <c r="BT624" i="1"/>
  <c r="BS624" i="1"/>
  <c r="AN624" i="1"/>
  <c r="AM624" i="1"/>
  <c r="AL624" i="1"/>
  <c r="AK624" i="1"/>
  <c r="AJ624" i="1"/>
  <c r="AI624" i="1"/>
  <c r="O624" i="1"/>
  <c r="D624" i="1" s="1"/>
  <c r="F624" i="1"/>
  <c r="E624" i="1"/>
  <c r="EA623" i="1"/>
  <c r="DZ623" i="1"/>
  <c r="DY623" i="1"/>
  <c r="DX623" i="1"/>
  <c r="DW623" i="1"/>
  <c r="DV623" i="1"/>
  <c r="DC623" i="1"/>
  <c r="DB623" i="1"/>
  <c r="CV623" i="1" s="1"/>
  <c r="DA623" i="1"/>
  <c r="CU623" i="1" s="1"/>
  <c r="CZ623" i="1"/>
  <c r="CY623" i="1"/>
  <c r="CX623" i="1"/>
  <c r="CR623" i="1" s="1"/>
  <c r="CW623" i="1"/>
  <c r="CT623" i="1"/>
  <c r="CS623" i="1"/>
  <c r="CB623" i="1"/>
  <c r="CA623" i="1"/>
  <c r="BZ623" i="1"/>
  <c r="BY623" i="1"/>
  <c r="BX623" i="1"/>
  <c r="BW623" i="1"/>
  <c r="BV623" i="1"/>
  <c r="BU623" i="1"/>
  <c r="BT623" i="1"/>
  <c r="BS623" i="1"/>
  <c r="AN623" i="1"/>
  <c r="AM623" i="1"/>
  <c r="AL623" i="1"/>
  <c r="AK623" i="1"/>
  <c r="AJ623" i="1"/>
  <c r="AI623" i="1"/>
  <c r="O623" i="1"/>
  <c r="D623" i="1" s="1"/>
  <c r="F623" i="1"/>
  <c r="E623" i="1"/>
  <c r="EA622" i="1"/>
  <c r="DZ622" i="1"/>
  <c r="DY622" i="1"/>
  <c r="DX622" i="1"/>
  <c r="DW622" i="1"/>
  <c r="DV622" i="1"/>
  <c r="DC622" i="1"/>
  <c r="CW622" i="1" s="1"/>
  <c r="DB622" i="1"/>
  <c r="DA622" i="1"/>
  <c r="CZ622" i="1"/>
  <c r="CT622" i="1" s="1"/>
  <c r="CY622" i="1"/>
  <c r="CS622" i="1" s="1"/>
  <c r="CX622" i="1"/>
  <c r="CV622" i="1"/>
  <c r="CU622" i="1"/>
  <c r="CR622" i="1"/>
  <c r="BZ622" i="1"/>
  <c r="CA622" i="1" s="1"/>
  <c r="BY622" i="1"/>
  <c r="BX622" i="1"/>
  <c r="BW622" i="1"/>
  <c r="BV622" i="1"/>
  <c r="BU622" i="1"/>
  <c r="CC622" i="1" s="1"/>
  <c r="BT622" i="1"/>
  <c r="BS622" i="1"/>
  <c r="AN622" i="1"/>
  <c r="AM622" i="1"/>
  <c r="AL622" i="1"/>
  <c r="AK622" i="1"/>
  <c r="AJ622" i="1"/>
  <c r="AI622" i="1"/>
  <c r="O622" i="1"/>
  <c r="D622" i="1" s="1"/>
  <c r="F622" i="1"/>
  <c r="E622" i="1"/>
  <c r="EA621" i="1"/>
  <c r="DZ621" i="1"/>
  <c r="DY621" i="1"/>
  <c r="DX621" i="1"/>
  <c r="DW621" i="1"/>
  <c r="DV621" i="1"/>
  <c r="DC621" i="1"/>
  <c r="DB621" i="1"/>
  <c r="CV621" i="1" s="1"/>
  <c r="DA621" i="1"/>
  <c r="CU621" i="1" s="1"/>
  <c r="CZ621" i="1"/>
  <c r="CY621" i="1"/>
  <c r="CX621" i="1"/>
  <c r="CR621" i="1" s="1"/>
  <c r="CW621" i="1"/>
  <c r="CT621" i="1"/>
  <c r="CS621" i="1"/>
  <c r="CB621" i="1"/>
  <c r="CA621" i="1"/>
  <c r="BZ621" i="1"/>
  <c r="BY621" i="1"/>
  <c r="BX621" i="1"/>
  <c r="BW621" i="1"/>
  <c r="BV621" i="1"/>
  <c r="BU621" i="1"/>
  <c r="BT621" i="1"/>
  <c r="BS621" i="1"/>
  <c r="AN621" i="1"/>
  <c r="AM621" i="1"/>
  <c r="AL621" i="1"/>
  <c r="AK621" i="1"/>
  <c r="AJ621" i="1"/>
  <c r="AI621" i="1"/>
  <c r="O621" i="1"/>
  <c r="D621" i="1" s="1"/>
  <c r="F621" i="1"/>
  <c r="E621" i="1"/>
  <c r="EA620" i="1"/>
  <c r="DZ620" i="1"/>
  <c r="DY620" i="1"/>
  <c r="DX620" i="1"/>
  <c r="DW620" i="1"/>
  <c r="DV620" i="1"/>
  <c r="DC620" i="1"/>
  <c r="CW620" i="1" s="1"/>
  <c r="DB620" i="1"/>
  <c r="DA620" i="1"/>
  <c r="CZ620" i="1"/>
  <c r="CT620" i="1" s="1"/>
  <c r="CY620" i="1"/>
  <c r="CS620" i="1" s="1"/>
  <c r="CX620" i="1"/>
  <c r="CV620" i="1"/>
  <c r="CU620" i="1"/>
  <c r="CR620" i="1"/>
  <c r="BZ620" i="1"/>
  <c r="CA620" i="1" s="1"/>
  <c r="BY620" i="1"/>
  <c r="BX620" i="1"/>
  <c r="BW620" i="1"/>
  <c r="BV620" i="1"/>
  <c r="BU620" i="1"/>
  <c r="CC620" i="1" s="1"/>
  <c r="BT620" i="1"/>
  <c r="BS620" i="1"/>
  <c r="AN620" i="1"/>
  <c r="AM620" i="1"/>
  <c r="AL620" i="1"/>
  <c r="AK620" i="1"/>
  <c r="AJ620" i="1"/>
  <c r="AI620" i="1"/>
  <c r="O620" i="1"/>
  <c r="D620" i="1" s="1"/>
  <c r="F620" i="1"/>
  <c r="E620" i="1"/>
  <c r="EA619" i="1"/>
  <c r="DZ619" i="1"/>
  <c r="DY619" i="1"/>
  <c r="DX619" i="1"/>
  <c r="DW619" i="1"/>
  <c r="DV619" i="1"/>
  <c r="DC619" i="1"/>
  <c r="DB619" i="1"/>
  <c r="CV619" i="1" s="1"/>
  <c r="DA619" i="1"/>
  <c r="CU619" i="1" s="1"/>
  <c r="CZ619" i="1"/>
  <c r="CY619" i="1"/>
  <c r="CX619" i="1"/>
  <c r="CR619" i="1" s="1"/>
  <c r="CW619" i="1"/>
  <c r="CT619" i="1"/>
  <c r="CS619" i="1"/>
  <c r="CB619" i="1"/>
  <c r="CA619" i="1"/>
  <c r="BZ619" i="1"/>
  <c r="BY619" i="1"/>
  <c r="BX619" i="1"/>
  <c r="BW619" i="1"/>
  <c r="BV619" i="1"/>
  <c r="BU619" i="1"/>
  <c r="BT619" i="1"/>
  <c r="BS619" i="1"/>
  <c r="AN619" i="1"/>
  <c r="AM619" i="1"/>
  <c r="AL619" i="1"/>
  <c r="AK619" i="1"/>
  <c r="AJ619" i="1"/>
  <c r="AI619" i="1"/>
  <c r="O619" i="1"/>
  <c r="D619" i="1" s="1"/>
  <c r="F619" i="1"/>
  <c r="E619" i="1"/>
  <c r="EA618" i="1"/>
  <c r="DZ618" i="1"/>
  <c r="DY618" i="1"/>
  <c r="DX618" i="1"/>
  <c r="DW618" i="1"/>
  <c r="DV618" i="1"/>
  <c r="DC618" i="1"/>
  <c r="CW618" i="1" s="1"/>
  <c r="DB618" i="1"/>
  <c r="DA618" i="1"/>
  <c r="CZ618" i="1"/>
  <c r="CT618" i="1" s="1"/>
  <c r="CY618" i="1"/>
  <c r="CS618" i="1" s="1"/>
  <c r="CX618" i="1"/>
  <c r="CV618" i="1"/>
  <c r="CU618" i="1"/>
  <c r="CR618" i="1"/>
  <c r="CC618" i="1"/>
  <c r="CB618" i="1"/>
  <c r="BZ618" i="1"/>
  <c r="CA618" i="1" s="1"/>
  <c r="BY618" i="1"/>
  <c r="BX618" i="1"/>
  <c r="BW618" i="1"/>
  <c r="BV618" i="1"/>
  <c r="BU618" i="1"/>
  <c r="BT618" i="1"/>
  <c r="BS618" i="1"/>
  <c r="AN618" i="1"/>
  <c r="AM618" i="1"/>
  <c r="AL618" i="1"/>
  <c r="AK618" i="1"/>
  <c r="AJ618" i="1"/>
  <c r="AI618" i="1"/>
  <c r="O618" i="1"/>
  <c r="F618" i="1"/>
  <c r="E618" i="1"/>
  <c r="D618" i="1"/>
  <c r="EA617" i="1"/>
  <c r="DZ617" i="1"/>
  <c r="DY617" i="1"/>
  <c r="DX617" i="1"/>
  <c r="DW617" i="1"/>
  <c r="DV617" i="1"/>
  <c r="DC617" i="1"/>
  <c r="DB617" i="1"/>
  <c r="CV617" i="1" s="1"/>
  <c r="DA617" i="1"/>
  <c r="CU617" i="1" s="1"/>
  <c r="CZ617" i="1"/>
  <c r="CT617" i="1" s="1"/>
  <c r="CY617" i="1"/>
  <c r="CX617" i="1"/>
  <c r="CR617" i="1" s="1"/>
  <c r="CW617" i="1"/>
  <c r="CS617" i="1"/>
  <c r="BZ617" i="1"/>
  <c r="CA617" i="1" s="1"/>
  <c r="CB617" i="1" s="1"/>
  <c r="BY617" i="1"/>
  <c r="BX617" i="1"/>
  <c r="BW617" i="1"/>
  <c r="BV617" i="1"/>
  <c r="BU617" i="1"/>
  <c r="BT617" i="1"/>
  <c r="BS617" i="1"/>
  <c r="AN617" i="1"/>
  <c r="AM617" i="1"/>
  <c r="AL617" i="1"/>
  <c r="AK617" i="1"/>
  <c r="AJ617" i="1"/>
  <c r="AI617" i="1"/>
  <c r="O617" i="1"/>
  <c r="F617" i="1"/>
  <c r="E617" i="1"/>
  <c r="D617" i="1"/>
  <c r="EA616" i="1"/>
  <c r="DZ616" i="1"/>
  <c r="DY616" i="1"/>
  <c r="DX616" i="1"/>
  <c r="DW616" i="1"/>
  <c r="DV616" i="1"/>
  <c r="DC616" i="1"/>
  <c r="CW616" i="1" s="1"/>
  <c r="DB616" i="1"/>
  <c r="CV616" i="1" s="1"/>
  <c r="DA616" i="1"/>
  <c r="CZ616" i="1"/>
  <c r="CT616" i="1" s="1"/>
  <c r="CY616" i="1"/>
  <c r="CS616" i="1" s="1"/>
  <c r="CX616" i="1"/>
  <c r="CU616" i="1"/>
  <c r="CR616" i="1"/>
  <c r="CB616" i="1"/>
  <c r="BZ616" i="1"/>
  <c r="CA616" i="1" s="1"/>
  <c r="BY616" i="1"/>
  <c r="BX616" i="1"/>
  <c r="BW616" i="1"/>
  <c r="BV616" i="1"/>
  <c r="BU616" i="1"/>
  <c r="CC616" i="1" s="1"/>
  <c r="BT616" i="1"/>
  <c r="BS616" i="1"/>
  <c r="AN616" i="1"/>
  <c r="AM616" i="1"/>
  <c r="AL616" i="1"/>
  <c r="AK616" i="1"/>
  <c r="AJ616" i="1"/>
  <c r="AI616" i="1"/>
  <c r="O616" i="1"/>
  <c r="D616" i="1" s="1"/>
  <c r="F616" i="1"/>
  <c r="E616" i="1"/>
  <c r="EA615" i="1"/>
  <c r="DZ615" i="1"/>
  <c r="DY615" i="1"/>
  <c r="DX615" i="1"/>
  <c r="DW615" i="1"/>
  <c r="DV615" i="1"/>
  <c r="DC615" i="1"/>
  <c r="DB615" i="1"/>
  <c r="DA615" i="1"/>
  <c r="CU615" i="1" s="1"/>
  <c r="CZ615" i="1"/>
  <c r="CT615" i="1" s="1"/>
  <c r="CY615" i="1"/>
  <c r="CX615" i="1"/>
  <c r="CW615" i="1"/>
  <c r="CV615" i="1"/>
  <c r="CS615" i="1"/>
  <c r="CR615" i="1"/>
  <c r="CB615" i="1"/>
  <c r="CA615" i="1"/>
  <c r="BZ615" i="1"/>
  <c r="BY615" i="1"/>
  <c r="BX615" i="1"/>
  <c r="BW615" i="1"/>
  <c r="BV615" i="1"/>
  <c r="BU615" i="1"/>
  <c r="CC615" i="1" s="1"/>
  <c r="BT615" i="1"/>
  <c r="BS615" i="1"/>
  <c r="AN615" i="1"/>
  <c r="AM615" i="1"/>
  <c r="AL615" i="1"/>
  <c r="AK615" i="1"/>
  <c r="AJ615" i="1"/>
  <c r="AI615" i="1"/>
  <c r="O615" i="1"/>
  <c r="D615" i="1" s="1"/>
  <c r="F615" i="1"/>
  <c r="E615" i="1"/>
  <c r="EA614" i="1"/>
  <c r="DZ614" i="1"/>
  <c r="DY614" i="1"/>
  <c r="DX614" i="1"/>
  <c r="DW614" i="1"/>
  <c r="DV614" i="1"/>
  <c r="DC614" i="1"/>
  <c r="CW614" i="1" s="1"/>
  <c r="DB614" i="1"/>
  <c r="CV614" i="1" s="1"/>
  <c r="DA614" i="1"/>
  <c r="CZ614" i="1"/>
  <c r="CY614" i="1"/>
  <c r="CS614" i="1" s="1"/>
  <c r="CX614" i="1"/>
  <c r="CU614" i="1"/>
  <c r="CT614" i="1"/>
  <c r="CR614" i="1"/>
  <c r="BZ614" i="1"/>
  <c r="CA614" i="1" s="1"/>
  <c r="BY614" i="1"/>
  <c r="BX614" i="1"/>
  <c r="BW614" i="1"/>
  <c r="BV614" i="1"/>
  <c r="BU614" i="1"/>
  <c r="CC614" i="1" s="1"/>
  <c r="BT614" i="1"/>
  <c r="BS614" i="1"/>
  <c r="AN614" i="1"/>
  <c r="AM614" i="1"/>
  <c r="AL614" i="1"/>
  <c r="AK614" i="1"/>
  <c r="AJ614" i="1"/>
  <c r="AI614" i="1"/>
  <c r="O614" i="1"/>
  <c r="D614" i="1" s="1"/>
  <c r="F614" i="1"/>
  <c r="E614" i="1"/>
  <c r="EA613" i="1"/>
  <c r="DZ613" i="1"/>
  <c r="DY613" i="1"/>
  <c r="DX613" i="1"/>
  <c r="DW613" i="1"/>
  <c r="DV613" i="1"/>
  <c r="DC613" i="1"/>
  <c r="DB613" i="1"/>
  <c r="DA613" i="1"/>
  <c r="CU613" i="1" s="1"/>
  <c r="CZ613" i="1"/>
  <c r="CT613" i="1" s="1"/>
  <c r="CY613" i="1"/>
  <c r="CX613" i="1"/>
  <c r="CR613" i="1" s="1"/>
  <c r="CW613" i="1"/>
  <c r="CV613" i="1"/>
  <c r="CS613" i="1"/>
  <c r="CB613" i="1"/>
  <c r="CA613" i="1"/>
  <c r="BZ613" i="1"/>
  <c r="BY613" i="1"/>
  <c r="BX613" i="1"/>
  <c r="BW613" i="1"/>
  <c r="BV613" i="1"/>
  <c r="BU613" i="1"/>
  <c r="BT613" i="1"/>
  <c r="BS613" i="1"/>
  <c r="AN613" i="1"/>
  <c r="AM613" i="1"/>
  <c r="AL613" i="1"/>
  <c r="AK613" i="1"/>
  <c r="AJ613" i="1"/>
  <c r="AI613" i="1"/>
  <c r="O613" i="1"/>
  <c r="D613" i="1" s="1"/>
  <c r="F613" i="1"/>
  <c r="E613" i="1"/>
  <c r="EA612" i="1"/>
  <c r="DZ612" i="1"/>
  <c r="DY612" i="1"/>
  <c r="DX612" i="1"/>
  <c r="DW612" i="1"/>
  <c r="DV612" i="1"/>
  <c r="DC612" i="1"/>
  <c r="CW612" i="1" s="1"/>
  <c r="DB612" i="1"/>
  <c r="CV612" i="1" s="1"/>
  <c r="DA612" i="1"/>
  <c r="CZ612" i="1"/>
  <c r="CT612" i="1" s="1"/>
  <c r="CY612" i="1"/>
  <c r="CS612" i="1" s="1"/>
  <c r="CX612" i="1"/>
  <c r="CU612" i="1"/>
  <c r="CR612" i="1"/>
  <c r="BZ612" i="1"/>
  <c r="CA612" i="1" s="1"/>
  <c r="BY612" i="1"/>
  <c r="BX612" i="1"/>
  <c r="BW612" i="1"/>
  <c r="BV612" i="1"/>
  <c r="BU612" i="1"/>
  <c r="CC612" i="1" s="1"/>
  <c r="BT612" i="1"/>
  <c r="BS612" i="1"/>
  <c r="AN612" i="1"/>
  <c r="AM612" i="1"/>
  <c r="AL612" i="1"/>
  <c r="AK612" i="1"/>
  <c r="AJ612" i="1"/>
  <c r="AI612" i="1"/>
  <c r="O612" i="1"/>
  <c r="D612" i="1" s="1"/>
  <c r="F612" i="1"/>
  <c r="E612" i="1"/>
  <c r="EA611" i="1"/>
  <c r="DZ611" i="1"/>
  <c r="DY611" i="1"/>
  <c r="DX611" i="1"/>
  <c r="DW611" i="1"/>
  <c r="DV611" i="1"/>
  <c r="DC611" i="1"/>
  <c r="DB611" i="1"/>
  <c r="CV611" i="1" s="1"/>
  <c r="DA611" i="1"/>
  <c r="CU611" i="1" s="1"/>
  <c r="CZ611" i="1"/>
  <c r="CY611" i="1"/>
  <c r="CX611" i="1"/>
  <c r="CR611" i="1" s="1"/>
  <c r="CW611" i="1"/>
  <c r="CT611" i="1"/>
  <c r="CS611" i="1"/>
  <c r="CA611" i="1"/>
  <c r="CB611" i="1" s="1"/>
  <c r="BZ611" i="1"/>
  <c r="BY611" i="1"/>
  <c r="BX611" i="1"/>
  <c r="BW611" i="1"/>
  <c r="BV611" i="1"/>
  <c r="BU611" i="1"/>
  <c r="BT611" i="1"/>
  <c r="BS611" i="1"/>
  <c r="AN611" i="1"/>
  <c r="AM611" i="1"/>
  <c r="AL611" i="1"/>
  <c r="AK611" i="1"/>
  <c r="AJ611" i="1"/>
  <c r="AI611" i="1"/>
  <c r="O611" i="1"/>
  <c r="D611" i="1" s="1"/>
  <c r="F611" i="1"/>
  <c r="E611" i="1"/>
  <c r="EA610" i="1"/>
  <c r="DZ610" i="1"/>
  <c r="DY610" i="1"/>
  <c r="DX610" i="1"/>
  <c r="DW610" i="1"/>
  <c r="DV610" i="1"/>
  <c r="DC610" i="1"/>
  <c r="CW610" i="1" s="1"/>
  <c r="DB610" i="1"/>
  <c r="DA610" i="1"/>
  <c r="CZ610" i="1"/>
  <c r="CT610" i="1" s="1"/>
  <c r="CY610" i="1"/>
  <c r="CS610" i="1" s="1"/>
  <c r="CX610" i="1"/>
  <c r="CV610" i="1"/>
  <c r="CU610" i="1"/>
  <c r="CR610" i="1"/>
  <c r="CC610" i="1"/>
  <c r="CB610" i="1"/>
  <c r="BZ610" i="1"/>
  <c r="CA610" i="1" s="1"/>
  <c r="BY610" i="1"/>
  <c r="BX610" i="1"/>
  <c r="BW610" i="1"/>
  <c r="BV610" i="1"/>
  <c r="BU610" i="1"/>
  <c r="BT610" i="1"/>
  <c r="BS610" i="1"/>
  <c r="AN610" i="1"/>
  <c r="AM610" i="1"/>
  <c r="AL610" i="1"/>
  <c r="AK610" i="1"/>
  <c r="AJ610" i="1"/>
  <c r="AI610" i="1"/>
  <c r="O610" i="1"/>
  <c r="D610" i="1" s="1"/>
  <c r="F610" i="1"/>
  <c r="E610" i="1"/>
  <c r="EA609" i="1"/>
  <c r="DZ609" i="1"/>
  <c r="DY609" i="1"/>
  <c r="DX609" i="1"/>
  <c r="DW609" i="1"/>
  <c r="DV609" i="1"/>
  <c r="DC609" i="1"/>
  <c r="DB609" i="1"/>
  <c r="CV609" i="1" s="1"/>
  <c r="DA609" i="1"/>
  <c r="CU609" i="1" s="1"/>
  <c r="CZ609" i="1"/>
  <c r="CT609" i="1" s="1"/>
  <c r="CY609" i="1"/>
  <c r="CX609" i="1"/>
  <c r="CR609" i="1" s="1"/>
  <c r="CW609" i="1"/>
  <c r="CS609" i="1"/>
  <c r="BZ609" i="1"/>
  <c r="CA609" i="1" s="1"/>
  <c r="CB609" i="1" s="1"/>
  <c r="BY609" i="1"/>
  <c r="BX609" i="1"/>
  <c r="BW609" i="1"/>
  <c r="BV609" i="1"/>
  <c r="BU609" i="1"/>
  <c r="BT609" i="1"/>
  <c r="BS609" i="1"/>
  <c r="AN609" i="1"/>
  <c r="AM609" i="1"/>
  <c r="AL609" i="1"/>
  <c r="AK609" i="1"/>
  <c r="AJ609" i="1"/>
  <c r="AI609" i="1"/>
  <c r="O609" i="1"/>
  <c r="D609" i="1" s="1"/>
  <c r="F609" i="1"/>
  <c r="E609" i="1"/>
  <c r="EA608" i="1"/>
  <c r="DZ608" i="1"/>
  <c r="DY608" i="1"/>
  <c r="DX608" i="1"/>
  <c r="DW608" i="1"/>
  <c r="DV608" i="1"/>
  <c r="DC608" i="1"/>
  <c r="CW608" i="1" s="1"/>
  <c r="DB608" i="1"/>
  <c r="CV608" i="1" s="1"/>
  <c r="DA608" i="1"/>
  <c r="CZ608" i="1"/>
  <c r="CT608" i="1" s="1"/>
  <c r="CY608" i="1"/>
  <c r="CS608" i="1" s="1"/>
  <c r="CX608" i="1"/>
  <c r="CU608" i="1"/>
  <c r="CR608" i="1"/>
  <c r="CB608" i="1"/>
  <c r="BZ608" i="1"/>
  <c r="CA608" i="1" s="1"/>
  <c r="BY608" i="1"/>
  <c r="BX608" i="1"/>
  <c r="BW608" i="1"/>
  <c r="BV608" i="1"/>
  <c r="BU608" i="1"/>
  <c r="CC608" i="1" s="1"/>
  <c r="BT608" i="1"/>
  <c r="BS608" i="1"/>
  <c r="AN608" i="1"/>
  <c r="AM608" i="1"/>
  <c r="AL608" i="1"/>
  <c r="AK608" i="1"/>
  <c r="AJ608" i="1"/>
  <c r="AI608" i="1"/>
  <c r="O608" i="1"/>
  <c r="D608" i="1" s="1"/>
  <c r="F608" i="1"/>
  <c r="E608" i="1"/>
  <c r="EA607" i="1"/>
  <c r="DZ607" i="1"/>
  <c r="DY607" i="1"/>
  <c r="DX607" i="1"/>
  <c r="DW607" i="1"/>
  <c r="DV607" i="1"/>
  <c r="DC607" i="1"/>
  <c r="DB607" i="1"/>
  <c r="DA607" i="1"/>
  <c r="CU607" i="1" s="1"/>
  <c r="CZ607" i="1"/>
  <c r="CT607" i="1" s="1"/>
  <c r="CY607" i="1"/>
  <c r="CX607" i="1"/>
  <c r="CW607" i="1"/>
  <c r="CV607" i="1"/>
  <c r="CS607" i="1"/>
  <c r="CR607" i="1"/>
  <c r="CB607" i="1"/>
  <c r="CA607" i="1"/>
  <c r="BZ607" i="1"/>
  <c r="BY607" i="1"/>
  <c r="BX607" i="1"/>
  <c r="BW607" i="1"/>
  <c r="BV607" i="1"/>
  <c r="BU607" i="1"/>
  <c r="CC607" i="1" s="1"/>
  <c r="BT607" i="1"/>
  <c r="BS607" i="1"/>
  <c r="AN607" i="1"/>
  <c r="AM607" i="1"/>
  <c r="AL607" i="1"/>
  <c r="AK607" i="1"/>
  <c r="AJ607" i="1"/>
  <c r="AI607" i="1"/>
  <c r="O607" i="1"/>
  <c r="D607" i="1" s="1"/>
  <c r="F607" i="1"/>
  <c r="E607" i="1"/>
  <c r="EA606" i="1"/>
  <c r="DZ606" i="1"/>
  <c r="DY606" i="1"/>
  <c r="DX606" i="1"/>
  <c r="DW606" i="1"/>
  <c r="DV606" i="1"/>
  <c r="DC606" i="1"/>
  <c r="CW606" i="1" s="1"/>
  <c r="DB606" i="1"/>
  <c r="CV606" i="1" s="1"/>
  <c r="DA606" i="1"/>
  <c r="CZ606" i="1"/>
  <c r="CY606" i="1"/>
  <c r="CS606" i="1" s="1"/>
  <c r="CX606" i="1"/>
  <c r="CU606" i="1"/>
  <c r="CT606" i="1"/>
  <c r="CR606" i="1"/>
  <c r="BZ606" i="1"/>
  <c r="CA606" i="1" s="1"/>
  <c r="BY606" i="1"/>
  <c r="BX606" i="1"/>
  <c r="BW606" i="1"/>
  <c r="BV606" i="1"/>
  <c r="BU606" i="1"/>
  <c r="CC606" i="1" s="1"/>
  <c r="BT606" i="1"/>
  <c r="BS606" i="1"/>
  <c r="AN606" i="1"/>
  <c r="AM606" i="1"/>
  <c r="AL606" i="1"/>
  <c r="AK606" i="1"/>
  <c r="AJ606" i="1"/>
  <c r="AI606" i="1"/>
  <c r="O606" i="1"/>
  <c r="D606" i="1" s="1"/>
  <c r="F606" i="1"/>
  <c r="E606" i="1"/>
  <c r="EA605" i="1"/>
  <c r="DZ605" i="1"/>
  <c r="DY605" i="1"/>
  <c r="DX605" i="1"/>
  <c r="DW605" i="1"/>
  <c r="DV605" i="1"/>
  <c r="DC605" i="1"/>
  <c r="DB605" i="1"/>
  <c r="DA605" i="1"/>
  <c r="CU605" i="1" s="1"/>
  <c r="CZ605" i="1"/>
  <c r="CT605" i="1" s="1"/>
  <c r="CY605" i="1"/>
  <c r="CX605" i="1"/>
  <c r="CR605" i="1" s="1"/>
  <c r="CW605" i="1"/>
  <c r="CV605" i="1"/>
  <c r="CS605" i="1"/>
  <c r="CB605" i="1"/>
  <c r="CA605" i="1"/>
  <c r="BZ605" i="1"/>
  <c r="BY605" i="1"/>
  <c r="BX605" i="1"/>
  <c r="BW605" i="1"/>
  <c r="BV605" i="1"/>
  <c r="BU605" i="1"/>
  <c r="BT605" i="1"/>
  <c r="BS605" i="1"/>
  <c r="AN605" i="1"/>
  <c r="AM605" i="1"/>
  <c r="AL605" i="1"/>
  <c r="AK605" i="1"/>
  <c r="AJ605" i="1"/>
  <c r="AI605" i="1"/>
  <c r="O605" i="1"/>
  <c r="D605" i="1" s="1"/>
  <c r="F605" i="1"/>
  <c r="E605" i="1"/>
  <c r="EA604" i="1"/>
  <c r="DZ604" i="1"/>
  <c r="DY604" i="1"/>
  <c r="DX604" i="1"/>
  <c r="DW604" i="1"/>
  <c r="DV604" i="1"/>
  <c r="DC604" i="1"/>
  <c r="CW604" i="1" s="1"/>
  <c r="DB604" i="1"/>
  <c r="CV604" i="1" s="1"/>
  <c r="DA604" i="1"/>
  <c r="CZ604" i="1"/>
  <c r="CT604" i="1" s="1"/>
  <c r="CY604" i="1"/>
  <c r="CS604" i="1" s="1"/>
  <c r="CX604" i="1"/>
  <c r="CU604" i="1"/>
  <c r="CR604" i="1"/>
  <c r="BZ604" i="1"/>
  <c r="CA604" i="1" s="1"/>
  <c r="BY604" i="1"/>
  <c r="BX604" i="1"/>
  <c r="BW604" i="1"/>
  <c r="BV604" i="1"/>
  <c r="BU604" i="1"/>
  <c r="CC604" i="1" s="1"/>
  <c r="BT604" i="1"/>
  <c r="BS604" i="1"/>
  <c r="AN604" i="1"/>
  <c r="AM604" i="1"/>
  <c r="AL604" i="1"/>
  <c r="AK604" i="1"/>
  <c r="AJ604" i="1"/>
  <c r="AI604" i="1"/>
  <c r="O604" i="1"/>
  <c r="D604" i="1" s="1"/>
  <c r="F604" i="1"/>
  <c r="E604" i="1"/>
  <c r="EA603" i="1"/>
  <c r="DZ603" i="1"/>
  <c r="DY603" i="1"/>
  <c r="DX603" i="1"/>
  <c r="DW603" i="1"/>
  <c r="DV603" i="1"/>
  <c r="DC603" i="1"/>
  <c r="DB603" i="1"/>
  <c r="CV603" i="1" s="1"/>
  <c r="DA603" i="1"/>
  <c r="CU603" i="1" s="1"/>
  <c r="CZ603" i="1"/>
  <c r="CY603" i="1"/>
  <c r="CX603" i="1"/>
  <c r="CR603" i="1" s="1"/>
  <c r="CW603" i="1"/>
  <c r="CT603" i="1"/>
  <c r="CS603" i="1"/>
  <c r="CA603" i="1"/>
  <c r="CB603" i="1" s="1"/>
  <c r="BZ603" i="1"/>
  <c r="BY603" i="1"/>
  <c r="BX603" i="1"/>
  <c r="BW603" i="1"/>
  <c r="BV603" i="1"/>
  <c r="BU603" i="1"/>
  <c r="BT603" i="1"/>
  <c r="BS603" i="1"/>
  <c r="AS603" i="1"/>
  <c r="AN603" i="1"/>
  <c r="AM603" i="1"/>
  <c r="AL603" i="1"/>
  <c r="AK603" i="1"/>
  <c r="AJ603" i="1"/>
  <c r="AI603" i="1"/>
  <c r="BC603" i="1" s="1"/>
  <c r="O603" i="1"/>
  <c r="F603" i="1"/>
  <c r="E603" i="1"/>
  <c r="D603" i="1"/>
  <c r="EA602" i="1"/>
  <c r="DZ602" i="1"/>
  <c r="DY602" i="1"/>
  <c r="DX602" i="1"/>
  <c r="DW602" i="1"/>
  <c r="DV602" i="1"/>
  <c r="DC602" i="1"/>
  <c r="CW602" i="1" s="1"/>
  <c r="DB602" i="1"/>
  <c r="CV602" i="1" s="1"/>
  <c r="DA602" i="1"/>
  <c r="CZ602" i="1"/>
  <c r="CY602" i="1"/>
  <c r="CS602" i="1" s="1"/>
  <c r="CX602" i="1"/>
  <c r="CR602" i="1" s="1"/>
  <c r="CU602" i="1"/>
  <c r="CT602" i="1"/>
  <c r="CB602" i="1"/>
  <c r="CA602" i="1"/>
  <c r="BZ602" i="1"/>
  <c r="BY602" i="1"/>
  <c r="BX602" i="1"/>
  <c r="BW602" i="1"/>
  <c r="BV602" i="1"/>
  <c r="BU602" i="1"/>
  <c r="CC602" i="1" s="1"/>
  <c r="BT602" i="1"/>
  <c r="BS602" i="1"/>
  <c r="AS602" i="1"/>
  <c r="AN602" i="1"/>
  <c r="AM602" i="1"/>
  <c r="AL602" i="1"/>
  <c r="AK602" i="1"/>
  <c r="AJ602" i="1"/>
  <c r="AI602" i="1"/>
  <c r="BC602" i="1" s="1"/>
  <c r="O602" i="1"/>
  <c r="D602" i="1" s="1"/>
  <c r="F602" i="1"/>
  <c r="E602" i="1"/>
  <c r="EA601" i="1"/>
  <c r="DZ601" i="1"/>
  <c r="DY601" i="1"/>
  <c r="DX601" i="1"/>
  <c r="DW601" i="1"/>
  <c r="DV601" i="1"/>
  <c r="DC601" i="1"/>
  <c r="DB601" i="1"/>
  <c r="DA601" i="1"/>
  <c r="CU601" i="1" s="1"/>
  <c r="CZ601" i="1"/>
  <c r="CT601" i="1" s="1"/>
  <c r="CY601" i="1"/>
  <c r="CX601" i="1"/>
  <c r="CW601" i="1"/>
  <c r="CV601" i="1"/>
  <c r="CS601" i="1"/>
  <c r="CR601" i="1"/>
  <c r="BZ601" i="1"/>
  <c r="CA601" i="1" s="1"/>
  <c r="BY601" i="1"/>
  <c r="BX601" i="1"/>
  <c r="BW601" i="1"/>
  <c r="BV601" i="1"/>
  <c r="BU601" i="1"/>
  <c r="BT601" i="1"/>
  <c r="BS601" i="1"/>
  <c r="BC601" i="1"/>
  <c r="AS601" i="1"/>
  <c r="AN601" i="1"/>
  <c r="AM601" i="1"/>
  <c r="AL601" i="1"/>
  <c r="AK601" i="1"/>
  <c r="AJ601" i="1"/>
  <c r="AI601" i="1"/>
  <c r="O601" i="1"/>
  <c r="D601" i="1" s="1"/>
  <c r="F601" i="1"/>
  <c r="E601" i="1"/>
  <c r="EA600" i="1"/>
  <c r="DZ600" i="1"/>
  <c r="DY600" i="1"/>
  <c r="DX600" i="1"/>
  <c r="DW600" i="1"/>
  <c r="DV600" i="1"/>
  <c r="DC600" i="1"/>
  <c r="CW600" i="1" s="1"/>
  <c r="DB600" i="1"/>
  <c r="DA600" i="1"/>
  <c r="CZ600" i="1"/>
  <c r="CT600" i="1" s="1"/>
  <c r="CY600" i="1"/>
  <c r="CS600" i="1" s="1"/>
  <c r="CX600" i="1"/>
  <c r="CV600" i="1"/>
  <c r="CU600" i="1"/>
  <c r="CR600" i="1"/>
  <c r="BZ600" i="1"/>
  <c r="CA600" i="1" s="1"/>
  <c r="BY600" i="1"/>
  <c r="BX600" i="1"/>
  <c r="BW600" i="1"/>
  <c r="BV600" i="1"/>
  <c r="BU600" i="1"/>
  <c r="CC600" i="1" s="1"/>
  <c r="BT600" i="1"/>
  <c r="BS600" i="1"/>
  <c r="AS600" i="1"/>
  <c r="AN600" i="1"/>
  <c r="AM600" i="1"/>
  <c r="AL600" i="1"/>
  <c r="AK600" i="1"/>
  <c r="AJ600" i="1"/>
  <c r="AI600" i="1"/>
  <c r="BC600" i="1" s="1"/>
  <c r="O600" i="1"/>
  <c r="D600" i="1" s="1"/>
  <c r="F600" i="1"/>
  <c r="E600" i="1"/>
  <c r="EA599" i="1"/>
  <c r="DZ599" i="1"/>
  <c r="DY599" i="1"/>
  <c r="DX599" i="1"/>
  <c r="DW599" i="1"/>
  <c r="DV599" i="1"/>
  <c r="DC599" i="1"/>
  <c r="DB599" i="1"/>
  <c r="CV599" i="1" s="1"/>
  <c r="DA599" i="1"/>
  <c r="CU599" i="1" s="1"/>
  <c r="CZ599" i="1"/>
  <c r="CY599" i="1"/>
  <c r="CX599" i="1"/>
  <c r="CR599" i="1" s="1"/>
  <c r="CW599" i="1"/>
  <c r="CT599" i="1"/>
  <c r="CS599" i="1"/>
  <c r="CB599" i="1"/>
  <c r="CA599" i="1"/>
  <c r="BZ599" i="1"/>
  <c r="BY599" i="1"/>
  <c r="BX599" i="1"/>
  <c r="BW599" i="1"/>
  <c r="BV599" i="1"/>
  <c r="BU599" i="1"/>
  <c r="CC599" i="1" s="1"/>
  <c r="BT599" i="1"/>
  <c r="BS599" i="1"/>
  <c r="AS599" i="1"/>
  <c r="AN599" i="1"/>
  <c r="AM599" i="1"/>
  <c r="AL599" i="1"/>
  <c r="AK599" i="1"/>
  <c r="AJ599" i="1"/>
  <c r="AI599" i="1"/>
  <c r="BC599" i="1" s="1"/>
  <c r="O599" i="1"/>
  <c r="D599" i="1" s="1"/>
  <c r="F599" i="1"/>
  <c r="E599" i="1"/>
  <c r="EA598" i="1"/>
  <c r="DZ598" i="1"/>
  <c r="DY598" i="1"/>
  <c r="DX598" i="1"/>
  <c r="DW598" i="1"/>
  <c r="DV598" i="1"/>
  <c r="DC598" i="1"/>
  <c r="CW598" i="1" s="1"/>
  <c r="DB598" i="1"/>
  <c r="DA598" i="1"/>
  <c r="CZ598" i="1"/>
  <c r="CT598" i="1" s="1"/>
  <c r="CY598" i="1"/>
  <c r="CS598" i="1" s="1"/>
  <c r="CX598" i="1"/>
  <c r="CV598" i="1"/>
  <c r="CU598" i="1"/>
  <c r="CR598" i="1"/>
  <c r="BZ598" i="1"/>
  <c r="CA598" i="1" s="1"/>
  <c r="BY598" i="1"/>
  <c r="BX598" i="1"/>
  <c r="BW598" i="1"/>
  <c r="BV598" i="1"/>
  <c r="BU598" i="1"/>
  <c r="CC598" i="1" s="1"/>
  <c r="BT598" i="1"/>
  <c r="BS598" i="1"/>
  <c r="AS598" i="1"/>
  <c r="AN598" i="1"/>
  <c r="AM598" i="1"/>
  <c r="AL598" i="1"/>
  <c r="AK598" i="1"/>
  <c r="AJ598" i="1"/>
  <c r="AI598" i="1"/>
  <c r="BC598" i="1" s="1"/>
  <c r="O598" i="1"/>
  <c r="D598" i="1" s="1"/>
  <c r="F598" i="1"/>
  <c r="E598" i="1"/>
  <c r="EA597" i="1"/>
  <c r="DZ597" i="1"/>
  <c r="DY597" i="1"/>
  <c r="DX597" i="1"/>
  <c r="DW597" i="1"/>
  <c r="DV597" i="1"/>
  <c r="DC597" i="1"/>
  <c r="DB597" i="1"/>
  <c r="CV597" i="1" s="1"/>
  <c r="DA597" i="1"/>
  <c r="CU597" i="1" s="1"/>
  <c r="CZ597" i="1"/>
  <c r="CY597" i="1"/>
  <c r="CX597" i="1"/>
  <c r="CR597" i="1" s="1"/>
  <c r="CW597" i="1"/>
  <c r="CT597" i="1"/>
  <c r="CS597" i="1"/>
  <c r="CB597" i="1"/>
  <c r="CA597" i="1"/>
  <c r="BZ597" i="1"/>
  <c r="BY597" i="1"/>
  <c r="BX597" i="1"/>
  <c r="BW597" i="1"/>
  <c r="BV597" i="1"/>
  <c r="BU597" i="1"/>
  <c r="CC597" i="1" s="1"/>
  <c r="BT597" i="1"/>
  <c r="BS597" i="1"/>
  <c r="AS597" i="1"/>
  <c r="AN597" i="1"/>
  <c r="AM597" i="1"/>
  <c r="AL597" i="1"/>
  <c r="AK597" i="1"/>
  <c r="AJ597" i="1"/>
  <c r="AI597" i="1"/>
  <c r="BC597" i="1" s="1"/>
  <c r="O597" i="1"/>
  <c r="F597" i="1"/>
  <c r="E597" i="1"/>
  <c r="D597" i="1"/>
  <c r="EA596" i="1"/>
  <c r="DZ596" i="1"/>
  <c r="DY596" i="1"/>
  <c r="DX596" i="1"/>
  <c r="DW596" i="1"/>
  <c r="DV596" i="1"/>
  <c r="DC596" i="1"/>
  <c r="CW596" i="1" s="1"/>
  <c r="DB596" i="1"/>
  <c r="DA596" i="1"/>
  <c r="CZ596" i="1"/>
  <c r="CT596" i="1" s="1"/>
  <c r="CY596" i="1"/>
  <c r="CS596" i="1" s="1"/>
  <c r="CX596" i="1"/>
  <c r="CV596" i="1"/>
  <c r="CU596" i="1"/>
  <c r="CR596" i="1"/>
  <c r="BZ596" i="1"/>
  <c r="CA596" i="1" s="1"/>
  <c r="BY596" i="1"/>
  <c r="BX596" i="1"/>
  <c r="BW596" i="1"/>
  <c r="BV596" i="1"/>
  <c r="BU596" i="1"/>
  <c r="CC596" i="1" s="1"/>
  <c r="BT596" i="1"/>
  <c r="BS596" i="1"/>
  <c r="AS596" i="1"/>
  <c r="AN596" i="1"/>
  <c r="AM596" i="1"/>
  <c r="AL596" i="1"/>
  <c r="AK596" i="1"/>
  <c r="AJ596" i="1"/>
  <c r="AI596" i="1"/>
  <c r="BC596" i="1" s="1"/>
  <c r="O596" i="1"/>
  <c r="D596" i="1" s="1"/>
  <c r="F596" i="1"/>
  <c r="E596" i="1"/>
  <c r="EA595" i="1"/>
  <c r="DZ595" i="1"/>
  <c r="DY595" i="1"/>
  <c r="DX595" i="1"/>
  <c r="DW595" i="1"/>
  <c r="DV595" i="1"/>
  <c r="DC595" i="1"/>
  <c r="DB595" i="1"/>
  <c r="CV595" i="1" s="1"/>
  <c r="DA595" i="1"/>
  <c r="CU595" i="1" s="1"/>
  <c r="CZ595" i="1"/>
  <c r="CY595" i="1"/>
  <c r="CX595" i="1"/>
  <c r="CR595" i="1" s="1"/>
  <c r="CW595" i="1"/>
  <c r="CT595" i="1"/>
  <c r="CS595" i="1"/>
  <c r="CB595" i="1"/>
  <c r="CA595" i="1"/>
  <c r="BZ595" i="1"/>
  <c r="BY595" i="1"/>
  <c r="BX595" i="1"/>
  <c r="BW595" i="1"/>
  <c r="BV595" i="1"/>
  <c r="BU595" i="1"/>
  <c r="CC595" i="1" s="1"/>
  <c r="BT595" i="1"/>
  <c r="BS595" i="1"/>
  <c r="AS595" i="1"/>
  <c r="AN595" i="1"/>
  <c r="AM595" i="1"/>
  <c r="AL595" i="1"/>
  <c r="AK595" i="1"/>
  <c r="AJ595" i="1"/>
  <c r="AI595" i="1"/>
  <c r="BC595" i="1" s="1"/>
  <c r="O595" i="1"/>
  <c r="D595" i="1" s="1"/>
  <c r="F595" i="1"/>
  <c r="E595" i="1"/>
  <c r="EA594" i="1"/>
  <c r="DZ594" i="1"/>
  <c r="DY594" i="1"/>
  <c r="DX594" i="1"/>
  <c r="DW594" i="1"/>
  <c r="DV594" i="1"/>
  <c r="DC594" i="1"/>
  <c r="CW594" i="1" s="1"/>
  <c r="DB594" i="1"/>
  <c r="DA594" i="1"/>
  <c r="CZ594" i="1"/>
  <c r="CT594" i="1" s="1"/>
  <c r="CY594" i="1"/>
  <c r="CS594" i="1" s="1"/>
  <c r="CX594" i="1"/>
  <c r="CV594" i="1"/>
  <c r="CU594" i="1"/>
  <c r="CR594" i="1"/>
  <c r="BZ594" i="1"/>
  <c r="CA594" i="1" s="1"/>
  <c r="BY594" i="1"/>
  <c r="BX594" i="1"/>
  <c r="BW594" i="1"/>
  <c r="BV594" i="1"/>
  <c r="BU594" i="1"/>
  <c r="CC594" i="1" s="1"/>
  <c r="BT594" i="1"/>
  <c r="BS594" i="1"/>
  <c r="BC594" i="1"/>
  <c r="AS594" i="1"/>
  <c r="AN594" i="1"/>
  <c r="AM594" i="1"/>
  <c r="AL594" i="1"/>
  <c r="AK594" i="1"/>
  <c r="AJ594" i="1"/>
  <c r="AI594" i="1"/>
  <c r="O594" i="1"/>
  <c r="D594" i="1" s="1"/>
  <c r="F594" i="1"/>
  <c r="E594" i="1"/>
  <c r="EA593" i="1"/>
  <c r="DZ593" i="1"/>
  <c r="DY593" i="1"/>
  <c r="DX593" i="1"/>
  <c r="DW593" i="1"/>
  <c r="DV593" i="1"/>
  <c r="DC593" i="1"/>
  <c r="DB593" i="1"/>
  <c r="CV593" i="1" s="1"/>
  <c r="DA593" i="1"/>
  <c r="CU593" i="1" s="1"/>
  <c r="CZ593" i="1"/>
  <c r="CY593" i="1"/>
  <c r="CX593" i="1"/>
  <c r="CR593" i="1" s="1"/>
  <c r="CW593" i="1"/>
  <c r="CT593" i="1"/>
  <c r="CS593" i="1"/>
  <c r="CB593" i="1"/>
  <c r="CA593" i="1"/>
  <c r="BZ593" i="1"/>
  <c r="BY593" i="1"/>
  <c r="BX593" i="1"/>
  <c r="BW593" i="1"/>
  <c r="BV593" i="1"/>
  <c r="BU593" i="1"/>
  <c r="CC593" i="1" s="1"/>
  <c r="BT593" i="1"/>
  <c r="BS593" i="1"/>
  <c r="BC593" i="1"/>
  <c r="AS593" i="1"/>
  <c r="AN593" i="1"/>
  <c r="AM593" i="1"/>
  <c r="AL593" i="1"/>
  <c r="AK593" i="1"/>
  <c r="AJ593" i="1"/>
  <c r="AI593" i="1"/>
  <c r="O593" i="1"/>
  <c r="D593" i="1" s="1"/>
  <c r="F593" i="1"/>
  <c r="E593" i="1"/>
  <c r="EA592" i="1"/>
  <c r="DZ592" i="1"/>
  <c r="DY592" i="1"/>
  <c r="DX592" i="1"/>
  <c r="DW592" i="1"/>
  <c r="DV592" i="1"/>
  <c r="DC592" i="1"/>
  <c r="CW592" i="1" s="1"/>
  <c r="DB592" i="1"/>
  <c r="DA592" i="1"/>
  <c r="CZ592" i="1"/>
  <c r="CT592" i="1" s="1"/>
  <c r="CY592" i="1"/>
  <c r="CS592" i="1" s="1"/>
  <c r="CX592" i="1"/>
  <c r="CV592" i="1"/>
  <c r="CU592" i="1"/>
  <c r="CR592" i="1"/>
  <c r="BZ592" i="1"/>
  <c r="CA592" i="1" s="1"/>
  <c r="BY592" i="1"/>
  <c r="BX592" i="1"/>
  <c r="BW592" i="1"/>
  <c r="BV592" i="1"/>
  <c r="BU592" i="1"/>
  <c r="CC592" i="1" s="1"/>
  <c r="BT592" i="1"/>
  <c r="BS592" i="1"/>
  <c r="AS592" i="1"/>
  <c r="AN592" i="1"/>
  <c r="AM592" i="1"/>
  <c r="AL592" i="1"/>
  <c r="AK592" i="1"/>
  <c r="AJ592" i="1"/>
  <c r="AI592" i="1"/>
  <c r="BC592" i="1" s="1"/>
  <c r="O592" i="1"/>
  <c r="D592" i="1" s="1"/>
  <c r="F592" i="1"/>
  <c r="E592" i="1"/>
  <c r="EA591" i="1"/>
  <c r="DZ591" i="1"/>
  <c r="DY591" i="1"/>
  <c r="DX591" i="1"/>
  <c r="DW591" i="1"/>
  <c r="DV591" i="1"/>
  <c r="DC591" i="1"/>
  <c r="DB591" i="1"/>
  <c r="CV591" i="1" s="1"/>
  <c r="DA591" i="1"/>
  <c r="CU591" i="1" s="1"/>
  <c r="CZ591" i="1"/>
  <c r="CY591" i="1"/>
  <c r="CX591" i="1"/>
  <c r="CR591" i="1" s="1"/>
  <c r="CW591" i="1"/>
  <c r="CT591" i="1"/>
  <c r="CS591" i="1"/>
  <c r="CB591" i="1"/>
  <c r="CA591" i="1"/>
  <c r="BZ591" i="1"/>
  <c r="BY591" i="1"/>
  <c r="BX591" i="1"/>
  <c r="BW591" i="1"/>
  <c r="BV591" i="1"/>
  <c r="BU591" i="1"/>
  <c r="CC591" i="1" s="1"/>
  <c r="BT591" i="1"/>
  <c r="BS591" i="1"/>
  <c r="AS591" i="1"/>
  <c r="AN591" i="1"/>
  <c r="AM591" i="1"/>
  <c r="AL591" i="1"/>
  <c r="AK591" i="1"/>
  <c r="AJ591" i="1"/>
  <c r="AI591" i="1"/>
  <c r="BC591" i="1" s="1"/>
  <c r="O591" i="1"/>
  <c r="D591" i="1" s="1"/>
  <c r="F591" i="1"/>
  <c r="E591" i="1"/>
  <c r="EA590" i="1"/>
  <c r="DZ590" i="1"/>
  <c r="DY590" i="1"/>
  <c r="DX590" i="1"/>
  <c r="DW590" i="1"/>
  <c r="DV590" i="1"/>
  <c r="DC590" i="1"/>
  <c r="CW590" i="1" s="1"/>
  <c r="DB590" i="1"/>
  <c r="DA590" i="1"/>
  <c r="CZ590" i="1"/>
  <c r="CT590" i="1" s="1"/>
  <c r="CY590" i="1"/>
  <c r="CS590" i="1" s="1"/>
  <c r="CX590" i="1"/>
  <c r="CV590" i="1"/>
  <c r="CU590" i="1"/>
  <c r="CR590" i="1"/>
  <c r="BZ590" i="1"/>
  <c r="CA590" i="1" s="1"/>
  <c r="BY590" i="1"/>
  <c r="BX590" i="1"/>
  <c r="BW590" i="1"/>
  <c r="BV590" i="1"/>
  <c r="BU590" i="1"/>
  <c r="CC590" i="1" s="1"/>
  <c r="BT590" i="1"/>
  <c r="BS590" i="1"/>
  <c r="AS590" i="1"/>
  <c r="AN590" i="1"/>
  <c r="AM590" i="1"/>
  <c r="AL590" i="1"/>
  <c r="AK590" i="1"/>
  <c r="AJ590" i="1"/>
  <c r="AI590" i="1"/>
  <c r="BC590" i="1" s="1"/>
  <c r="O590" i="1"/>
  <c r="D590" i="1" s="1"/>
  <c r="F590" i="1"/>
  <c r="E590" i="1"/>
  <c r="EA589" i="1"/>
  <c r="DZ589" i="1"/>
  <c r="DY589" i="1"/>
  <c r="DX589" i="1"/>
  <c r="DW589" i="1"/>
  <c r="DV589" i="1"/>
  <c r="DC589" i="1"/>
  <c r="DB589" i="1"/>
  <c r="CV589" i="1" s="1"/>
  <c r="DA589" i="1"/>
  <c r="CU589" i="1" s="1"/>
  <c r="CZ589" i="1"/>
  <c r="CY589" i="1"/>
  <c r="CX589" i="1"/>
  <c r="CR589" i="1" s="1"/>
  <c r="CW589" i="1"/>
  <c r="CT589" i="1"/>
  <c r="CS589" i="1"/>
  <c r="CB589" i="1"/>
  <c r="CA589" i="1"/>
  <c r="BZ589" i="1"/>
  <c r="BY589" i="1"/>
  <c r="BX589" i="1"/>
  <c r="BW589" i="1"/>
  <c r="BV589" i="1"/>
  <c r="BU589" i="1"/>
  <c r="CC589" i="1" s="1"/>
  <c r="BT589" i="1"/>
  <c r="BS589" i="1"/>
  <c r="AS589" i="1"/>
  <c r="AN589" i="1"/>
  <c r="AM589" i="1"/>
  <c r="AL589" i="1"/>
  <c r="AK589" i="1"/>
  <c r="AJ589" i="1"/>
  <c r="AI589" i="1"/>
  <c r="BC589" i="1" s="1"/>
  <c r="O589" i="1"/>
  <c r="F589" i="1"/>
  <c r="E589" i="1"/>
  <c r="D589" i="1"/>
  <c r="EA588" i="1"/>
  <c r="DZ588" i="1"/>
  <c r="DY588" i="1"/>
  <c r="DX588" i="1"/>
  <c r="DW588" i="1"/>
  <c r="DV588" i="1"/>
  <c r="DC588" i="1"/>
  <c r="CW588" i="1" s="1"/>
  <c r="DB588" i="1"/>
  <c r="DA588" i="1"/>
  <c r="CZ588" i="1"/>
  <c r="CT588" i="1" s="1"/>
  <c r="CY588" i="1"/>
  <c r="CS588" i="1" s="1"/>
  <c r="CX588" i="1"/>
  <c r="CV588" i="1"/>
  <c r="CU588" i="1"/>
  <c r="CR588" i="1"/>
  <c r="BZ588" i="1"/>
  <c r="CA588" i="1" s="1"/>
  <c r="BY588" i="1"/>
  <c r="BX588" i="1"/>
  <c r="BW588" i="1"/>
  <c r="BV588" i="1"/>
  <c r="BU588" i="1"/>
  <c r="CC588" i="1" s="1"/>
  <c r="BT588" i="1"/>
  <c r="BS588" i="1"/>
  <c r="AS588" i="1"/>
  <c r="AN588" i="1"/>
  <c r="AM588" i="1"/>
  <c r="AL588" i="1"/>
  <c r="AK588" i="1"/>
  <c r="AJ588" i="1"/>
  <c r="AI588" i="1"/>
  <c r="BC588" i="1" s="1"/>
  <c r="O588" i="1"/>
  <c r="D588" i="1" s="1"/>
  <c r="F588" i="1"/>
  <c r="E588" i="1"/>
  <c r="EA587" i="1"/>
  <c r="DZ587" i="1"/>
  <c r="DY587" i="1"/>
  <c r="DX587" i="1"/>
  <c r="DW587" i="1"/>
  <c r="DV587" i="1"/>
  <c r="DC587" i="1"/>
  <c r="DB587" i="1"/>
  <c r="CV587" i="1" s="1"/>
  <c r="DA587" i="1"/>
  <c r="CU587" i="1" s="1"/>
  <c r="CZ587" i="1"/>
  <c r="CY587" i="1"/>
  <c r="CX587" i="1"/>
  <c r="CR587" i="1" s="1"/>
  <c r="CW587" i="1"/>
  <c r="CT587" i="1"/>
  <c r="CS587" i="1"/>
  <c r="CB587" i="1"/>
  <c r="CA587" i="1"/>
  <c r="BZ587" i="1"/>
  <c r="BY587" i="1"/>
  <c r="BX587" i="1"/>
  <c r="BW587" i="1"/>
  <c r="BV587" i="1"/>
  <c r="BU587" i="1"/>
  <c r="CC587" i="1" s="1"/>
  <c r="BT587" i="1"/>
  <c r="BS587" i="1"/>
  <c r="AS587" i="1"/>
  <c r="AN587" i="1"/>
  <c r="AM587" i="1"/>
  <c r="AL587" i="1"/>
  <c r="AK587" i="1"/>
  <c r="AJ587" i="1"/>
  <c r="AI587" i="1"/>
  <c r="BC587" i="1" s="1"/>
  <c r="O587" i="1"/>
  <c r="F587" i="1"/>
  <c r="E587" i="1"/>
  <c r="D587" i="1"/>
  <c r="EA586" i="1"/>
  <c r="DZ586" i="1"/>
  <c r="DY586" i="1"/>
  <c r="DX586" i="1"/>
  <c r="DW586" i="1"/>
  <c r="DV586" i="1"/>
  <c r="DC586" i="1"/>
  <c r="CW586" i="1" s="1"/>
  <c r="DB586" i="1"/>
  <c r="DA586" i="1"/>
  <c r="CZ586" i="1"/>
  <c r="CT586" i="1" s="1"/>
  <c r="CY586" i="1"/>
  <c r="CS586" i="1" s="1"/>
  <c r="CX586" i="1"/>
  <c r="CV586" i="1"/>
  <c r="CU586" i="1"/>
  <c r="CR586" i="1"/>
  <c r="BZ586" i="1"/>
  <c r="CA586" i="1" s="1"/>
  <c r="BY586" i="1"/>
  <c r="BX586" i="1"/>
  <c r="BW586" i="1"/>
  <c r="BV586" i="1"/>
  <c r="BU586" i="1"/>
  <c r="CC586" i="1" s="1"/>
  <c r="BT586" i="1"/>
  <c r="BS586" i="1"/>
  <c r="AS586" i="1"/>
  <c r="AN586" i="1"/>
  <c r="AM586" i="1"/>
  <c r="AL586" i="1"/>
  <c r="AK586" i="1"/>
  <c r="AJ586" i="1"/>
  <c r="AI586" i="1"/>
  <c r="BC586" i="1" s="1"/>
  <c r="O586" i="1"/>
  <c r="D586" i="1" s="1"/>
  <c r="F586" i="1"/>
  <c r="E586" i="1"/>
  <c r="EA585" i="1"/>
  <c r="DZ585" i="1"/>
  <c r="DY585" i="1"/>
  <c r="DX585" i="1"/>
  <c r="DW585" i="1"/>
  <c r="DV585" i="1"/>
  <c r="DC585" i="1"/>
  <c r="DB585" i="1"/>
  <c r="CV585" i="1" s="1"/>
  <c r="DA585" i="1"/>
  <c r="CU585" i="1" s="1"/>
  <c r="CZ585" i="1"/>
  <c r="CY585" i="1"/>
  <c r="CX585" i="1"/>
  <c r="CR585" i="1" s="1"/>
  <c r="CW585" i="1"/>
  <c r="CT585" i="1"/>
  <c r="CS585" i="1"/>
  <c r="CB585" i="1"/>
  <c r="CA585" i="1"/>
  <c r="BZ585" i="1"/>
  <c r="BY585" i="1"/>
  <c r="BX585" i="1"/>
  <c r="BW585" i="1"/>
  <c r="BV585" i="1"/>
  <c r="BU585" i="1"/>
  <c r="CC585" i="1" s="1"/>
  <c r="BT585" i="1"/>
  <c r="BS585" i="1"/>
  <c r="AS585" i="1"/>
  <c r="AN585" i="1"/>
  <c r="AM585" i="1"/>
  <c r="AL585" i="1"/>
  <c r="AK585" i="1"/>
  <c r="AJ585" i="1"/>
  <c r="AI585" i="1"/>
  <c r="BC585" i="1" s="1"/>
  <c r="O585" i="1"/>
  <c r="D585" i="1" s="1"/>
  <c r="F585" i="1"/>
  <c r="E585" i="1"/>
  <c r="EA584" i="1"/>
  <c r="DZ584" i="1"/>
  <c r="DY584" i="1"/>
  <c r="DX584" i="1"/>
  <c r="DW584" i="1"/>
  <c r="DV584" i="1"/>
  <c r="DC584" i="1"/>
  <c r="CW584" i="1" s="1"/>
  <c r="DB584" i="1"/>
  <c r="DA584" i="1"/>
  <c r="CZ584" i="1"/>
  <c r="CT584" i="1" s="1"/>
  <c r="CY584" i="1"/>
  <c r="CS584" i="1" s="1"/>
  <c r="CX584" i="1"/>
  <c r="CV584" i="1"/>
  <c r="CU584" i="1"/>
  <c r="CR584" i="1"/>
  <c r="BZ584" i="1"/>
  <c r="CA584" i="1" s="1"/>
  <c r="BY584" i="1"/>
  <c r="BX584" i="1"/>
  <c r="BW584" i="1"/>
  <c r="BV584" i="1"/>
  <c r="BU584" i="1"/>
  <c r="CC584" i="1" s="1"/>
  <c r="BT584" i="1"/>
  <c r="BS584" i="1"/>
  <c r="AS584" i="1"/>
  <c r="AN584" i="1"/>
  <c r="AM584" i="1"/>
  <c r="AL584" i="1"/>
  <c r="AK584" i="1"/>
  <c r="AJ584" i="1"/>
  <c r="AI584" i="1"/>
  <c r="BC584" i="1" s="1"/>
  <c r="O584" i="1"/>
  <c r="D584" i="1" s="1"/>
  <c r="F584" i="1"/>
  <c r="E584" i="1"/>
  <c r="EA583" i="1"/>
  <c r="DZ583" i="1"/>
  <c r="DY583" i="1"/>
  <c r="DX583" i="1"/>
  <c r="DW583" i="1"/>
  <c r="DV583" i="1"/>
  <c r="DC583" i="1"/>
  <c r="DB583" i="1"/>
  <c r="CV583" i="1" s="1"/>
  <c r="DA583" i="1"/>
  <c r="CU583" i="1" s="1"/>
  <c r="CZ583" i="1"/>
  <c r="CY583" i="1"/>
  <c r="CX583" i="1"/>
  <c r="CR583" i="1" s="1"/>
  <c r="CW583" i="1"/>
  <c r="CT583" i="1"/>
  <c r="CS583" i="1"/>
  <c r="CB583" i="1"/>
  <c r="CA583" i="1"/>
  <c r="BZ583" i="1"/>
  <c r="BY583" i="1"/>
  <c r="BX583" i="1"/>
  <c r="BW583" i="1"/>
  <c r="BV583" i="1"/>
  <c r="BU583" i="1"/>
  <c r="CC583" i="1" s="1"/>
  <c r="BT583" i="1"/>
  <c r="BS583" i="1"/>
  <c r="AS583" i="1"/>
  <c r="AN583" i="1"/>
  <c r="AM583" i="1"/>
  <c r="AL583" i="1"/>
  <c r="AK583" i="1"/>
  <c r="AJ583" i="1"/>
  <c r="AI583" i="1"/>
  <c r="BC583" i="1" s="1"/>
  <c r="O583" i="1"/>
  <c r="F583" i="1"/>
  <c r="E583" i="1"/>
  <c r="D583" i="1"/>
  <c r="EA582" i="1"/>
  <c r="DZ582" i="1"/>
  <c r="DY582" i="1"/>
  <c r="DX582" i="1"/>
  <c r="DW582" i="1"/>
  <c r="DV582" i="1"/>
  <c r="DC582" i="1"/>
  <c r="CW582" i="1" s="1"/>
  <c r="DB582" i="1"/>
  <c r="DA582" i="1"/>
  <c r="CZ582" i="1"/>
  <c r="CT582" i="1" s="1"/>
  <c r="CY582" i="1"/>
  <c r="CS582" i="1" s="1"/>
  <c r="CX582" i="1"/>
  <c r="CV582" i="1"/>
  <c r="CU582" i="1"/>
  <c r="CR582" i="1"/>
  <c r="BZ582" i="1"/>
  <c r="CA582" i="1" s="1"/>
  <c r="BY582" i="1"/>
  <c r="BX582" i="1"/>
  <c r="BW582" i="1"/>
  <c r="BV582" i="1"/>
  <c r="BU582" i="1"/>
  <c r="CC582" i="1" s="1"/>
  <c r="BT582" i="1"/>
  <c r="BS582" i="1"/>
  <c r="BC582" i="1"/>
  <c r="AS582" i="1"/>
  <c r="AN582" i="1"/>
  <c r="AM582" i="1"/>
  <c r="AL582" i="1"/>
  <c r="AK582" i="1"/>
  <c r="AJ582" i="1"/>
  <c r="AI582" i="1"/>
  <c r="O582" i="1"/>
  <c r="D582" i="1" s="1"/>
  <c r="F582" i="1"/>
  <c r="E582" i="1"/>
  <c r="EA581" i="1"/>
  <c r="DZ581" i="1"/>
  <c r="DY581" i="1"/>
  <c r="DX581" i="1"/>
  <c r="DW581" i="1"/>
  <c r="DV581" i="1"/>
  <c r="DC581" i="1"/>
  <c r="DB581" i="1"/>
  <c r="CV581" i="1" s="1"/>
  <c r="DA581" i="1"/>
  <c r="CU581" i="1" s="1"/>
  <c r="CZ581" i="1"/>
  <c r="CY581" i="1"/>
  <c r="CX581" i="1"/>
  <c r="CR581" i="1" s="1"/>
  <c r="CW581" i="1"/>
  <c r="CT581" i="1"/>
  <c r="CS581" i="1"/>
  <c r="CB581" i="1"/>
  <c r="CA581" i="1"/>
  <c r="BZ581" i="1"/>
  <c r="BY581" i="1"/>
  <c r="BX581" i="1"/>
  <c r="BW581" i="1"/>
  <c r="BV581" i="1"/>
  <c r="BU581" i="1"/>
  <c r="CC581" i="1" s="1"/>
  <c r="BT581" i="1"/>
  <c r="BS581" i="1"/>
  <c r="AS581" i="1"/>
  <c r="AN581" i="1"/>
  <c r="AM581" i="1"/>
  <c r="AL581" i="1"/>
  <c r="AK581" i="1"/>
  <c r="AJ581" i="1"/>
  <c r="AI581" i="1"/>
  <c r="BC581" i="1" s="1"/>
  <c r="O581" i="1"/>
  <c r="D581" i="1" s="1"/>
  <c r="F581" i="1"/>
  <c r="E581" i="1"/>
  <c r="EA580" i="1"/>
  <c r="DZ580" i="1"/>
  <c r="DY580" i="1"/>
  <c r="DX580" i="1"/>
  <c r="DW580" i="1"/>
  <c r="DV580" i="1"/>
  <c r="DC580" i="1"/>
  <c r="CW580" i="1" s="1"/>
  <c r="DB580" i="1"/>
  <c r="DA580" i="1"/>
  <c r="CZ580" i="1"/>
  <c r="CT580" i="1" s="1"/>
  <c r="CY580" i="1"/>
  <c r="CS580" i="1" s="1"/>
  <c r="CX580" i="1"/>
  <c r="CV580" i="1"/>
  <c r="CU580" i="1"/>
  <c r="CR580" i="1"/>
  <c r="BZ580" i="1"/>
  <c r="CA580" i="1" s="1"/>
  <c r="BY580" i="1"/>
  <c r="BX580" i="1"/>
  <c r="BW580" i="1"/>
  <c r="BV580" i="1"/>
  <c r="BU580" i="1"/>
  <c r="CC580" i="1" s="1"/>
  <c r="BT580" i="1"/>
  <c r="BS580" i="1"/>
  <c r="AS580" i="1"/>
  <c r="AN580" i="1"/>
  <c r="AM580" i="1"/>
  <c r="AL580" i="1"/>
  <c r="AK580" i="1"/>
  <c r="AJ580" i="1"/>
  <c r="AI580" i="1"/>
  <c r="BC580" i="1" s="1"/>
  <c r="O580" i="1"/>
  <c r="D580" i="1" s="1"/>
  <c r="F580" i="1"/>
  <c r="E580" i="1"/>
  <c r="EA579" i="1"/>
  <c r="DZ579" i="1"/>
  <c r="DY579" i="1"/>
  <c r="DX579" i="1"/>
  <c r="DW579" i="1"/>
  <c r="DV579" i="1"/>
  <c r="DC579" i="1"/>
  <c r="DB579" i="1"/>
  <c r="CV579" i="1" s="1"/>
  <c r="DA579" i="1"/>
  <c r="CU579" i="1" s="1"/>
  <c r="CZ579" i="1"/>
  <c r="CY579" i="1"/>
  <c r="CX579" i="1"/>
  <c r="CR579" i="1" s="1"/>
  <c r="CW579" i="1"/>
  <c r="CT579" i="1"/>
  <c r="CS579" i="1"/>
  <c r="CB579" i="1"/>
  <c r="CA579" i="1"/>
  <c r="BZ579" i="1"/>
  <c r="BY579" i="1"/>
  <c r="BX579" i="1"/>
  <c r="BW579" i="1"/>
  <c r="BV579" i="1"/>
  <c r="BU579" i="1"/>
  <c r="CC579" i="1" s="1"/>
  <c r="BT579" i="1"/>
  <c r="BS579" i="1"/>
  <c r="AS579" i="1"/>
  <c r="AN579" i="1"/>
  <c r="AM579" i="1"/>
  <c r="AL579" i="1"/>
  <c r="AK579" i="1"/>
  <c r="AJ579" i="1"/>
  <c r="AI579" i="1"/>
  <c r="BC579" i="1" s="1"/>
  <c r="O579" i="1"/>
  <c r="D579" i="1" s="1"/>
  <c r="F579" i="1"/>
  <c r="E579" i="1"/>
  <c r="EA578" i="1"/>
  <c r="DZ578" i="1"/>
  <c r="DY578" i="1"/>
  <c r="DX578" i="1"/>
  <c r="DW578" i="1"/>
  <c r="DV578" i="1"/>
  <c r="DC578" i="1"/>
  <c r="CW578" i="1" s="1"/>
  <c r="DB578" i="1"/>
  <c r="DA578" i="1"/>
  <c r="CZ578" i="1"/>
  <c r="CT578" i="1" s="1"/>
  <c r="CY578" i="1"/>
  <c r="CS578" i="1" s="1"/>
  <c r="CX578" i="1"/>
  <c r="CV578" i="1"/>
  <c r="CU578" i="1"/>
  <c r="CR578" i="1"/>
  <c r="BZ578" i="1"/>
  <c r="CA578" i="1" s="1"/>
  <c r="BY578" i="1"/>
  <c r="BX578" i="1"/>
  <c r="BW578" i="1"/>
  <c r="BV578" i="1"/>
  <c r="BU578" i="1"/>
  <c r="CC578" i="1" s="1"/>
  <c r="BT578" i="1"/>
  <c r="BS578" i="1"/>
  <c r="AS578" i="1"/>
  <c r="AN578" i="1"/>
  <c r="AM578" i="1"/>
  <c r="AL578" i="1"/>
  <c r="AK578" i="1"/>
  <c r="AJ578" i="1"/>
  <c r="AI578" i="1"/>
  <c r="BC578" i="1" s="1"/>
  <c r="O578" i="1"/>
  <c r="D578" i="1" s="1"/>
  <c r="F578" i="1"/>
  <c r="E578" i="1"/>
  <c r="EA577" i="1"/>
  <c r="DZ577" i="1"/>
  <c r="DY577" i="1"/>
  <c r="DX577" i="1"/>
  <c r="DW577" i="1"/>
  <c r="DV577" i="1"/>
  <c r="DC577" i="1"/>
  <c r="DB577" i="1"/>
  <c r="CV577" i="1" s="1"/>
  <c r="DA577" i="1"/>
  <c r="CU577" i="1" s="1"/>
  <c r="CZ577" i="1"/>
  <c r="CY577" i="1"/>
  <c r="CX577" i="1"/>
  <c r="CR577" i="1" s="1"/>
  <c r="CW577" i="1"/>
  <c r="CT577" i="1"/>
  <c r="CS577" i="1"/>
  <c r="CB577" i="1"/>
  <c r="CA577" i="1"/>
  <c r="BZ577" i="1"/>
  <c r="BY577" i="1"/>
  <c r="BX577" i="1"/>
  <c r="BW577" i="1"/>
  <c r="BV577" i="1"/>
  <c r="BU577" i="1"/>
  <c r="CC577" i="1" s="1"/>
  <c r="BT577" i="1"/>
  <c r="BS577" i="1"/>
  <c r="AS577" i="1"/>
  <c r="AN577" i="1"/>
  <c r="AM577" i="1"/>
  <c r="AL577" i="1"/>
  <c r="AK577" i="1"/>
  <c r="AJ577" i="1"/>
  <c r="AI577" i="1"/>
  <c r="BC577" i="1" s="1"/>
  <c r="O577" i="1"/>
  <c r="D577" i="1" s="1"/>
  <c r="F577" i="1"/>
  <c r="E577" i="1"/>
  <c r="EA576" i="1"/>
  <c r="DZ576" i="1"/>
  <c r="DY576" i="1"/>
  <c r="DX576" i="1"/>
  <c r="DW576" i="1"/>
  <c r="DV576" i="1"/>
  <c r="DC576" i="1"/>
  <c r="CW576" i="1" s="1"/>
  <c r="DB576" i="1"/>
  <c r="DA576" i="1"/>
  <c r="CZ576" i="1"/>
  <c r="CT576" i="1" s="1"/>
  <c r="CY576" i="1"/>
  <c r="CS576" i="1" s="1"/>
  <c r="CX576" i="1"/>
  <c r="CV576" i="1"/>
  <c r="CU576" i="1"/>
  <c r="CR576" i="1"/>
  <c r="BZ576" i="1"/>
  <c r="CA576" i="1" s="1"/>
  <c r="BY576" i="1"/>
  <c r="BX576" i="1"/>
  <c r="BW576" i="1"/>
  <c r="BV576" i="1"/>
  <c r="BU576" i="1"/>
  <c r="CC576" i="1" s="1"/>
  <c r="BT576" i="1"/>
  <c r="BS576" i="1"/>
  <c r="AS576" i="1"/>
  <c r="AN576" i="1"/>
  <c r="AM576" i="1"/>
  <c r="AL576" i="1"/>
  <c r="AK576" i="1"/>
  <c r="AJ576" i="1"/>
  <c r="AI576" i="1"/>
  <c r="BC576" i="1" s="1"/>
  <c r="O576" i="1"/>
  <c r="D576" i="1" s="1"/>
  <c r="F576" i="1"/>
  <c r="E576" i="1"/>
  <c r="EA575" i="1"/>
  <c r="DZ575" i="1"/>
  <c r="DY575" i="1"/>
  <c r="DX575" i="1"/>
  <c r="DW575" i="1"/>
  <c r="DV575" i="1"/>
  <c r="DC575" i="1"/>
  <c r="DB575" i="1"/>
  <c r="CV575" i="1" s="1"/>
  <c r="DA575" i="1"/>
  <c r="CU575" i="1" s="1"/>
  <c r="CZ575" i="1"/>
  <c r="CY575" i="1"/>
  <c r="CX575" i="1"/>
  <c r="CR575" i="1" s="1"/>
  <c r="CW575" i="1"/>
  <c r="CT575" i="1"/>
  <c r="CS575" i="1"/>
  <c r="CB575" i="1"/>
  <c r="CA575" i="1"/>
  <c r="BZ575" i="1"/>
  <c r="BY575" i="1"/>
  <c r="BX575" i="1"/>
  <c r="BW575" i="1"/>
  <c r="BV575" i="1"/>
  <c r="BU575" i="1"/>
  <c r="CC575" i="1" s="1"/>
  <c r="BT575" i="1"/>
  <c r="BS575" i="1"/>
  <c r="AS575" i="1"/>
  <c r="AN575" i="1"/>
  <c r="AM575" i="1"/>
  <c r="AL575" i="1"/>
  <c r="AK575" i="1"/>
  <c r="AJ575" i="1"/>
  <c r="AI575" i="1"/>
  <c r="BC575" i="1" s="1"/>
  <c r="O575" i="1"/>
  <c r="D575" i="1" s="1"/>
  <c r="F575" i="1"/>
  <c r="E575" i="1"/>
  <c r="EA574" i="1"/>
  <c r="DZ574" i="1"/>
  <c r="DY574" i="1"/>
  <c r="DX574" i="1"/>
  <c r="DW574" i="1"/>
  <c r="DV574" i="1"/>
  <c r="DC574" i="1"/>
  <c r="CW574" i="1" s="1"/>
  <c r="DB574" i="1"/>
  <c r="DA574" i="1"/>
  <c r="CZ574" i="1"/>
  <c r="CT574" i="1" s="1"/>
  <c r="CY574" i="1"/>
  <c r="CS574" i="1" s="1"/>
  <c r="CX574" i="1"/>
  <c r="CV574" i="1"/>
  <c r="CU574" i="1"/>
  <c r="CR574" i="1"/>
  <c r="BZ574" i="1"/>
  <c r="CA574" i="1" s="1"/>
  <c r="BY574" i="1"/>
  <c r="BX574" i="1"/>
  <c r="BW574" i="1"/>
  <c r="BV574" i="1"/>
  <c r="BU574" i="1"/>
  <c r="CC574" i="1" s="1"/>
  <c r="BT574" i="1"/>
  <c r="BS574" i="1"/>
  <c r="BC574" i="1"/>
  <c r="AS574" i="1"/>
  <c r="AN574" i="1"/>
  <c r="AM574" i="1"/>
  <c r="AL574" i="1"/>
  <c r="AK574" i="1"/>
  <c r="AJ574" i="1"/>
  <c r="AI574" i="1"/>
  <c r="O574" i="1"/>
  <c r="D574" i="1" s="1"/>
  <c r="F574" i="1"/>
  <c r="E574" i="1"/>
  <c r="EA573" i="1"/>
  <c r="DZ573" i="1"/>
  <c r="DY573" i="1"/>
  <c r="DX573" i="1"/>
  <c r="DW573" i="1"/>
  <c r="DV573" i="1"/>
  <c r="DC573" i="1"/>
  <c r="DB573" i="1"/>
  <c r="CV573" i="1" s="1"/>
  <c r="DA573" i="1"/>
  <c r="CU573" i="1" s="1"/>
  <c r="CZ573" i="1"/>
  <c r="CY573" i="1"/>
  <c r="CX573" i="1"/>
  <c r="CR573" i="1" s="1"/>
  <c r="CW573" i="1"/>
  <c r="CT573" i="1"/>
  <c r="CS573" i="1"/>
  <c r="CB573" i="1"/>
  <c r="CA573" i="1"/>
  <c r="BZ573" i="1"/>
  <c r="BY573" i="1"/>
  <c r="BX573" i="1"/>
  <c r="BW573" i="1"/>
  <c r="BV573" i="1"/>
  <c r="BU573" i="1"/>
  <c r="CC573" i="1" s="1"/>
  <c r="BT573" i="1"/>
  <c r="BS573" i="1"/>
  <c r="AS573" i="1"/>
  <c r="AN573" i="1"/>
  <c r="AM573" i="1"/>
  <c r="AL573" i="1"/>
  <c r="AK573" i="1"/>
  <c r="AJ573" i="1"/>
  <c r="AI573" i="1"/>
  <c r="BC573" i="1" s="1"/>
  <c r="O573" i="1"/>
  <c r="F573" i="1"/>
  <c r="E573" i="1"/>
  <c r="D573" i="1"/>
  <c r="EA572" i="1"/>
  <c r="DZ572" i="1"/>
  <c r="DY572" i="1"/>
  <c r="DX572" i="1"/>
  <c r="DW572" i="1"/>
  <c r="DV572" i="1"/>
  <c r="DC572" i="1"/>
  <c r="CW572" i="1" s="1"/>
  <c r="DB572" i="1"/>
  <c r="DA572" i="1"/>
  <c r="CZ572" i="1"/>
  <c r="CT572" i="1" s="1"/>
  <c r="CY572" i="1"/>
  <c r="CS572" i="1" s="1"/>
  <c r="CX572" i="1"/>
  <c r="CV572" i="1"/>
  <c r="CU572" i="1"/>
  <c r="CR572" i="1"/>
  <c r="BZ572" i="1"/>
  <c r="CA572" i="1" s="1"/>
  <c r="BY572" i="1"/>
  <c r="BX572" i="1"/>
  <c r="BW572" i="1"/>
  <c r="BV572" i="1"/>
  <c r="BU572" i="1"/>
  <c r="CC572" i="1" s="1"/>
  <c r="BT572" i="1"/>
  <c r="BS572" i="1"/>
  <c r="AS572" i="1"/>
  <c r="AN572" i="1"/>
  <c r="AM572" i="1"/>
  <c r="AL572" i="1"/>
  <c r="AK572" i="1"/>
  <c r="AJ572" i="1"/>
  <c r="AI572" i="1"/>
  <c r="BC572" i="1" s="1"/>
  <c r="O572" i="1"/>
  <c r="D572" i="1" s="1"/>
  <c r="F572" i="1"/>
  <c r="E572" i="1"/>
  <c r="EA571" i="1"/>
  <c r="DZ571" i="1"/>
  <c r="DY571" i="1"/>
  <c r="DX571" i="1"/>
  <c r="DW571" i="1"/>
  <c r="DV571" i="1"/>
  <c r="DC571" i="1"/>
  <c r="DB571" i="1"/>
  <c r="CV571" i="1" s="1"/>
  <c r="DA571" i="1"/>
  <c r="CU571" i="1" s="1"/>
  <c r="CZ571" i="1"/>
  <c r="CY571" i="1"/>
  <c r="CX571" i="1"/>
  <c r="CR571" i="1" s="1"/>
  <c r="CW571" i="1"/>
  <c r="CT571" i="1"/>
  <c r="CS571" i="1"/>
  <c r="CB571" i="1"/>
  <c r="CA571" i="1"/>
  <c r="BZ571" i="1"/>
  <c r="BY571" i="1"/>
  <c r="BX571" i="1"/>
  <c r="BW571" i="1"/>
  <c r="BV571" i="1"/>
  <c r="BU571" i="1"/>
  <c r="CC571" i="1" s="1"/>
  <c r="BT571" i="1"/>
  <c r="BS571" i="1"/>
  <c r="AS571" i="1"/>
  <c r="AN571" i="1"/>
  <c r="AM571" i="1"/>
  <c r="AL571" i="1"/>
  <c r="AK571" i="1"/>
  <c r="AJ571" i="1"/>
  <c r="AI571" i="1"/>
  <c r="BC571" i="1" s="1"/>
  <c r="O571" i="1"/>
  <c r="D571" i="1" s="1"/>
  <c r="F571" i="1"/>
  <c r="E571" i="1"/>
  <c r="EA570" i="1"/>
  <c r="DZ570" i="1"/>
  <c r="DY570" i="1"/>
  <c r="DX570" i="1"/>
  <c r="DW570" i="1"/>
  <c r="DV570" i="1"/>
  <c r="DC570" i="1"/>
  <c r="CW570" i="1" s="1"/>
  <c r="DB570" i="1"/>
  <c r="DA570" i="1"/>
  <c r="CZ570" i="1"/>
  <c r="CT570" i="1" s="1"/>
  <c r="CY570" i="1"/>
  <c r="CS570" i="1" s="1"/>
  <c r="CX570" i="1"/>
  <c r="CV570" i="1"/>
  <c r="CU570" i="1"/>
  <c r="CR570" i="1"/>
  <c r="BZ570" i="1"/>
  <c r="CA570" i="1" s="1"/>
  <c r="BY570" i="1"/>
  <c r="BX570" i="1"/>
  <c r="BW570" i="1"/>
  <c r="BV570" i="1"/>
  <c r="BU570" i="1"/>
  <c r="CC570" i="1" s="1"/>
  <c r="BT570" i="1"/>
  <c r="BS570" i="1"/>
  <c r="AS570" i="1"/>
  <c r="AN570" i="1"/>
  <c r="AM570" i="1"/>
  <c r="AL570" i="1"/>
  <c r="AK570" i="1"/>
  <c r="AJ570" i="1"/>
  <c r="AI570" i="1"/>
  <c r="BC570" i="1" s="1"/>
  <c r="O570" i="1"/>
  <c r="D570" i="1" s="1"/>
  <c r="F570" i="1"/>
  <c r="E570" i="1"/>
  <c r="EA569" i="1"/>
  <c r="DZ569" i="1"/>
  <c r="DY569" i="1"/>
  <c r="DX569" i="1"/>
  <c r="DW569" i="1"/>
  <c r="DV569" i="1"/>
  <c r="DC569" i="1"/>
  <c r="DB569" i="1"/>
  <c r="CV569" i="1" s="1"/>
  <c r="DA569" i="1"/>
  <c r="CU569" i="1" s="1"/>
  <c r="CZ569" i="1"/>
  <c r="CY569" i="1"/>
  <c r="CX569" i="1"/>
  <c r="CR569" i="1" s="1"/>
  <c r="CW569" i="1"/>
  <c r="CT569" i="1"/>
  <c r="CS569" i="1"/>
  <c r="CB569" i="1"/>
  <c r="CA569" i="1"/>
  <c r="BZ569" i="1"/>
  <c r="BY569" i="1"/>
  <c r="BX569" i="1"/>
  <c r="BW569" i="1"/>
  <c r="BV569" i="1"/>
  <c r="BU569" i="1"/>
  <c r="CC569" i="1" s="1"/>
  <c r="BT569" i="1"/>
  <c r="BS569" i="1"/>
  <c r="AS569" i="1"/>
  <c r="AN569" i="1"/>
  <c r="AM569" i="1"/>
  <c r="AL569" i="1"/>
  <c r="AK569" i="1"/>
  <c r="AJ569" i="1"/>
  <c r="AI569" i="1"/>
  <c r="BC569" i="1" s="1"/>
  <c r="O569" i="1"/>
  <c r="D569" i="1" s="1"/>
  <c r="F569" i="1"/>
  <c r="E569" i="1"/>
  <c r="EA568" i="1"/>
  <c r="DZ568" i="1"/>
  <c r="DY568" i="1"/>
  <c r="DX568" i="1"/>
  <c r="DW568" i="1"/>
  <c r="DV568" i="1"/>
  <c r="DC568" i="1"/>
  <c r="CW568" i="1" s="1"/>
  <c r="DB568" i="1"/>
  <c r="DA568" i="1"/>
  <c r="CZ568" i="1"/>
  <c r="CT568" i="1" s="1"/>
  <c r="CY568" i="1"/>
  <c r="CS568" i="1" s="1"/>
  <c r="CX568" i="1"/>
  <c r="CV568" i="1"/>
  <c r="CU568" i="1"/>
  <c r="CR568" i="1"/>
  <c r="BZ568" i="1"/>
  <c r="CA568" i="1" s="1"/>
  <c r="BY568" i="1"/>
  <c r="BX568" i="1"/>
  <c r="BW568" i="1"/>
  <c r="BV568" i="1"/>
  <c r="BU568" i="1"/>
  <c r="CC568" i="1" s="1"/>
  <c r="BT568" i="1"/>
  <c r="BS568" i="1"/>
  <c r="AS568" i="1"/>
  <c r="AN568" i="1"/>
  <c r="AM568" i="1"/>
  <c r="AL568" i="1"/>
  <c r="AK568" i="1"/>
  <c r="AJ568" i="1"/>
  <c r="AI568" i="1"/>
  <c r="BC568" i="1" s="1"/>
  <c r="O568" i="1"/>
  <c r="D568" i="1" s="1"/>
  <c r="F568" i="1"/>
  <c r="E568" i="1"/>
  <c r="EA567" i="1"/>
  <c r="DZ567" i="1"/>
  <c r="DY567" i="1"/>
  <c r="DX567" i="1"/>
  <c r="DW567" i="1"/>
  <c r="DV567" i="1"/>
  <c r="DC567" i="1"/>
  <c r="DB567" i="1"/>
  <c r="CV567" i="1" s="1"/>
  <c r="DA567" i="1"/>
  <c r="CU567" i="1" s="1"/>
  <c r="CZ567" i="1"/>
  <c r="CY567" i="1"/>
  <c r="CX567" i="1"/>
  <c r="CR567" i="1" s="1"/>
  <c r="CW567" i="1"/>
  <c r="CT567" i="1"/>
  <c r="CS567" i="1"/>
  <c r="CB567" i="1"/>
  <c r="CA567" i="1"/>
  <c r="BZ567" i="1"/>
  <c r="BY567" i="1"/>
  <c r="BX567" i="1"/>
  <c r="BW567" i="1"/>
  <c r="BV567" i="1"/>
  <c r="BU567" i="1"/>
  <c r="CC567" i="1" s="1"/>
  <c r="BT567" i="1"/>
  <c r="BS567" i="1"/>
  <c r="AS567" i="1"/>
  <c r="AN567" i="1"/>
  <c r="AM567" i="1"/>
  <c r="AL567" i="1"/>
  <c r="AK567" i="1"/>
  <c r="AJ567" i="1"/>
  <c r="AI567" i="1"/>
  <c r="BC567" i="1" s="1"/>
  <c r="O567" i="1"/>
  <c r="F567" i="1"/>
  <c r="E567" i="1"/>
  <c r="D567" i="1"/>
  <c r="EA566" i="1"/>
  <c r="DZ566" i="1"/>
  <c r="DY566" i="1"/>
  <c r="DX566" i="1"/>
  <c r="DW566" i="1"/>
  <c r="DV566" i="1"/>
  <c r="DC566" i="1"/>
  <c r="CW566" i="1" s="1"/>
  <c r="DB566" i="1"/>
  <c r="DA566" i="1"/>
  <c r="CZ566" i="1"/>
  <c r="CT566" i="1" s="1"/>
  <c r="CY566" i="1"/>
  <c r="CS566" i="1" s="1"/>
  <c r="CX566" i="1"/>
  <c r="CV566" i="1"/>
  <c r="CU566" i="1"/>
  <c r="CR566" i="1"/>
  <c r="BZ566" i="1"/>
  <c r="CA566" i="1" s="1"/>
  <c r="BY566" i="1"/>
  <c r="BX566" i="1"/>
  <c r="BW566" i="1"/>
  <c r="BV566" i="1"/>
  <c r="BU566" i="1"/>
  <c r="CC566" i="1" s="1"/>
  <c r="BT566" i="1"/>
  <c r="BS566" i="1"/>
  <c r="BC566" i="1"/>
  <c r="AS566" i="1"/>
  <c r="AN566" i="1"/>
  <c r="AM566" i="1"/>
  <c r="AL566" i="1"/>
  <c r="AK566" i="1"/>
  <c r="AJ566" i="1"/>
  <c r="AI566" i="1"/>
  <c r="O566" i="1"/>
  <c r="D566" i="1" s="1"/>
  <c r="F566" i="1"/>
  <c r="E566" i="1"/>
  <c r="EA565" i="1"/>
  <c r="DZ565" i="1"/>
  <c r="DY565" i="1"/>
  <c r="DX565" i="1"/>
  <c r="DW565" i="1"/>
  <c r="DV565" i="1"/>
  <c r="DC565" i="1"/>
  <c r="DB565" i="1"/>
  <c r="CV565" i="1" s="1"/>
  <c r="DA565" i="1"/>
  <c r="CU565" i="1" s="1"/>
  <c r="CZ565" i="1"/>
  <c r="CY565" i="1"/>
  <c r="CX565" i="1"/>
  <c r="CR565" i="1" s="1"/>
  <c r="CW565" i="1"/>
  <c r="CT565" i="1"/>
  <c r="CS565" i="1"/>
  <c r="CB565" i="1"/>
  <c r="CA565" i="1"/>
  <c r="BZ565" i="1"/>
  <c r="BY565" i="1"/>
  <c r="BX565" i="1"/>
  <c r="BW565" i="1"/>
  <c r="BV565" i="1"/>
  <c r="BU565" i="1"/>
  <c r="CC565" i="1" s="1"/>
  <c r="BT565" i="1"/>
  <c r="BS565" i="1"/>
  <c r="AS565" i="1"/>
  <c r="AN565" i="1"/>
  <c r="AM565" i="1"/>
  <c r="AL565" i="1"/>
  <c r="AK565" i="1"/>
  <c r="AJ565" i="1"/>
  <c r="AI565" i="1"/>
  <c r="BC565" i="1" s="1"/>
  <c r="O565" i="1"/>
  <c r="D565" i="1" s="1"/>
  <c r="F565" i="1"/>
  <c r="E565" i="1"/>
  <c r="EA564" i="1"/>
  <c r="DZ564" i="1"/>
  <c r="DY564" i="1"/>
  <c r="DX564" i="1"/>
  <c r="DW564" i="1"/>
  <c r="DV564" i="1"/>
  <c r="DC564" i="1"/>
  <c r="CW564" i="1" s="1"/>
  <c r="DB564" i="1"/>
  <c r="DA564" i="1"/>
  <c r="CZ564" i="1"/>
  <c r="CT564" i="1" s="1"/>
  <c r="CY564" i="1"/>
  <c r="CS564" i="1" s="1"/>
  <c r="CX564" i="1"/>
  <c r="CV564" i="1"/>
  <c r="CU564" i="1"/>
  <c r="CR564" i="1"/>
  <c r="BZ564" i="1"/>
  <c r="CA564" i="1" s="1"/>
  <c r="BY564" i="1"/>
  <c r="BX564" i="1"/>
  <c r="BW564" i="1"/>
  <c r="BV564" i="1"/>
  <c r="BU564" i="1"/>
  <c r="CC564" i="1" s="1"/>
  <c r="BT564" i="1"/>
  <c r="BS564" i="1"/>
  <c r="AS564" i="1"/>
  <c r="AN564" i="1"/>
  <c r="AM564" i="1"/>
  <c r="AL564" i="1"/>
  <c r="AK564" i="1"/>
  <c r="AJ564" i="1"/>
  <c r="AI564" i="1"/>
  <c r="BC564" i="1" s="1"/>
  <c r="O564" i="1"/>
  <c r="D564" i="1" s="1"/>
  <c r="F564" i="1"/>
  <c r="E564" i="1"/>
  <c r="EA563" i="1"/>
  <c r="DZ563" i="1"/>
  <c r="DY563" i="1"/>
  <c r="DX563" i="1"/>
  <c r="DW563" i="1"/>
  <c r="DV563" i="1"/>
  <c r="DC563" i="1"/>
  <c r="DB563" i="1"/>
  <c r="CV563" i="1" s="1"/>
  <c r="DA563" i="1"/>
  <c r="CU563" i="1" s="1"/>
  <c r="CZ563" i="1"/>
  <c r="CY563" i="1"/>
  <c r="CX563" i="1"/>
  <c r="CR563" i="1" s="1"/>
  <c r="CW563" i="1"/>
  <c r="CT563" i="1"/>
  <c r="CS563" i="1"/>
  <c r="CB563" i="1"/>
  <c r="CA563" i="1"/>
  <c r="BZ563" i="1"/>
  <c r="BY563" i="1"/>
  <c r="BX563" i="1"/>
  <c r="BW563" i="1"/>
  <c r="BV563" i="1"/>
  <c r="BU563" i="1"/>
  <c r="CC563" i="1" s="1"/>
  <c r="BT563" i="1"/>
  <c r="BS563" i="1"/>
  <c r="AS563" i="1"/>
  <c r="AN563" i="1"/>
  <c r="AM563" i="1"/>
  <c r="AL563" i="1"/>
  <c r="AK563" i="1"/>
  <c r="AJ563" i="1"/>
  <c r="AI563" i="1"/>
  <c r="BC563" i="1" s="1"/>
  <c r="O563" i="1"/>
  <c r="D563" i="1" s="1"/>
  <c r="F563" i="1"/>
  <c r="E563" i="1"/>
  <c r="EA562" i="1"/>
  <c r="DZ562" i="1"/>
  <c r="DY562" i="1"/>
  <c r="DX562" i="1"/>
  <c r="DW562" i="1"/>
  <c r="DV562" i="1"/>
  <c r="DC562" i="1"/>
  <c r="CW562" i="1" s="1"/>
  <c r="DB562" i="1"/>
  <c r="DA562" i="1"/>
  <c r="CZ562" i="1"/>
  <c r="CT562" i="1" s="1"/>
  <c r="CY562" i="1"/>
  <c r="CS562" i="1" s="1"/>
  <c r="CX562" i="1"/>
  <c r="CV562" i="1"/>
  <c r="CU562" i="1"/>
  <c r="CR562" i="1"/>
  <c r="BZ562" i="1"/>
  <c r="CA562" i="1" s="1"/>
  <c r="BY562" i="1"/>
  <c r="BX562" i="1"/>
  <c r="BW562" i="1"/>
  <c r="BV562" i="1"/>
  <c r="BU562" i="1"/>
  <c r="CC562" i="1" s="1"/>
  <c r="BT562" i="1"/>
  <c r="BS562" i="1"/>
  <c r="AS562" i="1"/>
  <c r="AN562" i="1"/>
  <c r="AM562" i="1"/>
  <c r="AL562" i="1"/>
  <c r="AK562" i="1"/>
  <c r="AJ562" i="1"/>
  <c r="AI562" i="1"/>
  <c r="BC562" i="1" s="1"/>
  <c r="O562" i="1"/>
  <c r="D562" i="1" s="1"/>
  <c r="F562" i="1"/>
  <c r="E562" i="1"/>
  <c r="EA561" i="1"/>
  <c r="DZ561" i="1"/>
  <c r="DY561" i="1"/>
  <c r="DX561" i="1"/>
  <c r="DW561" i="1"/>
  <c r="DV561" i="1"/>
  <c r="DC561" i="1"/>
  <c r="DB561" i="1"/>
  <c r="CV561" i="1" s="1"/>
  <c r="DA561" i="1"/>
  <c r="CU561" i="1" s="1"/>
  <c r="CZ561" i="1"/>
  <c r="CY561" i="1"/>
  <c r="CX561" i="1"/>
  <c r="CR561" i="1" s="1"/>
  <c r="CW561" i="1"/>
  <c r="CT561" i="1"/>
  <c r="CS561" i="1"/>
  <c r="CB561" i="1"/>
  <c r="CA561" i="1"/>
  <c r="BZ561" i="1"/>
  <c r="BY561" i="1"/>
  <c r="BX561" i="1"/>
  <c r="BW561" i="1"/>
  <c r="BV561" i="1"/>
  <c r="BU561" i="1"/>
  <c r="CC561" i="1" s="1"/>
  <c r="BT561" i="1"/>
  <c r="BS561" i="1"/>
  <c r="AS561" i="1"/>
  <c r="AN561" i="1"/>
  <c r="AM561" i="1"/>
  <c r="AL561" i="1"/>
  <c r="AK561" i="1"/>
  <c r="AJ561" i="1"/>
  <c r="AI561" i="1"/>
  <c r="BC561" i="1" s="1"/>
  <c r="O561" i="1"/>
  <c r="D561" i="1" s="1"/>
  <c r="F561" i="1"/>
  <c r="E561" i="1"/>
  <c r="EA560" i="1"/>
  <c r="DZ560" i="1"/>
  <c r="DY560" i="1"/>
  <c r="DX560" i="1"/>
  <c r="DW560" i="1"/>
  <c r="DV560" i="1"/>
  <c r="DC560" i="1"/>
  <c r="CW560" i="1" s="1"/>
  <c r="DB560" i="1"/>
  <c r="DA560" i="1"/>
  <c r="CZ560" i="1"/>
  <c r="CT560" i="1" s="1"/>
  <c r="CY560" i="1"/>
  <c r="CS560" i="1" s="1"/>
  <c r="CX560" i="1"/>
  <c r="CV560" i="1"/>
  <c r="CU560" i="1"/>
  <c r="CR560" i="1"/>
  <c r="BZ560" i="1"/>
  <c r="CA560" i="1" s="1"/>
  <c r="BY560" i="1"/>
  <c r="BX560" i="1"/>
  <c r="BW560" i="1"/>
  <c r="BV560" i="1"/>
  <c r="BU560" i="1"/>
  <c r="CC560" i="1" s="1"/>
  <c r="BT560" i="1"/>
  <c r="BS560" i="1"/>
  <c r="AS560" i="1"/>
  <c r="AN560" i="1"/>
  <c r="AM560" i="1"/>
  <c r="AL560" i="1"/>
  <c r="AK560" i="1"/>
  <c r="AJ560" i="1"/>
  <c r="AI560" i="1"/>
  <c r="BC560" i="1" s="1"/>
  <c r="O560" i="1"/>
  <c r="D560" i="1" s="1"/>
  <c r="F560" i="1"/>
  <c r="E560" i="1"/>
  <c r="EA559" i="1"/>
  <c r="DZ559" i="1"/>
  <c r="DY559" i="1"/>
  <c r="DX559" i="1"/>
  <c r="DW559" i="1"/>
  <c r="DV559" i="1"/>
  <c r="DC559" i="1"/>
  <c r="DB559" i="1"/>
  <c r="CV559" i="1" s="1"/>
  <c r="DA559" i="1"/>
  <c r="CU559" i="1" s="1"/>
  <c r="CZ559" i="1"/>
  <c r="CY559" i="1"/>
  <c r="CX559" i="1"/>
  <c r="CR559" i="1" s="1"/>
  <c r="CW559" i="1"/>
  <c r="CT559" i="1"/>
  <c r="CS559" i="1"/>
  <c r="CB559" i="1"/>
  <c r="CA559" i="1"/>
  <c r="BZ559" i="1"/>
  <c r="BY559" i="1"/>
  <c r="BX559" i="1"/>
  <c r="BW559" i="1"/>
  <c r="BV559" i="1"/>
  <c r="BU559" i="1"/>
  <c r="CC559" i="1" s="1"/>
  <c r="BT559" i="1"/>
  <c r="BS559" i="1"/>
  <c r="AS559" i="1"/>
  <c r="AN559" i="1"/>
  <c r="AM559" i="1"/>
  <c r="AL559" i="1"/>
  <c r="AK559" i="1"/>
  <c r="AJ559" i="1"/>
  <c r="AI559" i="1"/>
  <c r="BC559" i="1" s="1"/>
  <c r="O559" i="1"/>
  <c r="F559" i="1"/>
  <c r="E559" i="1"/>
  <c r="D559" i="1"/>
  <c r="EA558" i="1"/>
  <c r="DZ558" i="1"/>
  <c r="DY558" i="1"/>
  <c r="DX558" i="1"/>
  <c r="DW558" i="1"/>
  <c r="DV558" i="1"/>
  <c r="DC558" i="1"/>
  <c r="CW558" i="1" s="1"/>
  <c r="DB558" i="1"/>
  <c r="DA558" i="1"/>
  <c r="CZ558" i="1"/>
  <c r="CT558" i="1" s="1"/>
  <c r="CY558" i="1"/>
  <c r="CS558" i="1" s="1"/>
  <c r="CX558" i="1"/>
  <c r="CV558" i="1"/>
  <c r="CU558" i="1"/>
  <c r="CR558" i="1"/>
  <c r="BZ558" i="1"/>
  <c r="CA558" i="1" s="1"/>
  <c r="BY558" i="1"/>
  <c r="BX558" i="1"/>
  <c r="BW558" i="1"/>
  <c r="BV558" i="1"/>
  <c r="BU558" i="1"/>
  <c r="CC558" i="1" s="1"/>
  <c r="BT558" i="1"/>
  <c r="BS558" i="1"/>
  <c r="AS558" i="1"/>
  <c r="AN558" i="1"/>
  <c r="AM558" i="1"/>
  <c r="AL558" i="1"/>
  <c r="AK558" i="1"/>
  <c r="AJ558" i="1"/>
  <c r="AI558" i="1"/>
  <c r="BC558" i="1" s="1"/>
  <c r="O558" i="1"/>
  <c r="D558" i="1" s="1"/>
  <c r="F558" i="1"/>
  <c r="E558" i="1"/>
  <c r="EA557" i="1"/>
  <c r="DZ557" i="1"/>
  <c r="DY557" i="1"/>
  <c r="DX557" i="1"/>
  <c r="DW557" i="1"/>
  <c r="DV557" i="1"/>
  <c r="DC557" i="1"/>
  <c r="DB557" i="1"/>
  <c r="CV557" i="1" s="1"/>
  <c r="DA557" i="1"/>
  <c r="CU557" i="1" s="1"/>
  <c r="CZ557" i="1"/>
  <c r="CY557" i="1"/>
  <c r="CX557" i="1"/>
  <c r="CR557" i="1" s="1"/>
  <c r="CW557" i="1"/>
  <c r="CT557" i="1"/>
  <c r="CS557" i="1"/>
  <c r="CB557" i="1"/>
  <c r="CA557" i="1"/>
  <c r="BZ557" i="1"/>
  <c r="BY557" i="1"/>
  <c r="BX557" i="1"/>
  <c r="BW557" i="1"/>
  <c r="BV557" i="1"/>
  <c r="BU557" i="1"/>
  <c r="CC557" i="1" s="1"/>
  <c r="BT557" i="1"/>
  <c r="BS557" i="1"/>
  <c r="AS557" i="1"/>
  <c r="AN557" i="1"/>
  <c r="AM557" i="1"/>
  <c r="AL557" i="1"/>
  <c r="AK557" i="1"/>
  <c r="AJ557" i="1"/>
  <c r="AI557" i="1"/>
  <c r="BC557" i="1" s="1"/>
  <c r="O557" i="1"/>
  <c r="D557" i="1" s="1"/>
  <c r="F557" i="1"/>
  <c r="E557" i="1"/>
  <c r="EA556" i="1"/>
  <c r="DZ556" i="1"/>
  <c r="DY556" i="1"/>
  <c r="DX556" i="1"/>
  <c r="DW556" i="1"/>
  <c r="DV556" i="1"/>
  <c r="DC556" i="1"/>
  <c r="CW556" i="1" s="1"/>
  <c r="DB556" i="1"/>
  <c r="DA556" i="1"/>
  <c r="CZ556" i="1"/>
  <c r="CT556" i="1" s="1"/>
  <c r="CY556" i="1"/>
  <c r="CS556" i="1" s="1"/>
  <c r="CX556" i="1"/>
  <c r="CV556" i="1"/>
  <c r="CU556" i="1"/>
  <c r="CR556" i="1"/>
  <c r="BZ556" i="1"/>
  <c r="CA556" i="1" s="1"/>
  <c r="BY556" i="1"/>
  <c r="BX556" i="1"/>
  <c r="BW556" i="1"/>
  <c r="BV556" i="1"/>
  <c r="BU556" i="1"/>
  <c r="CC556" i="1" s="1"/>
  <c r="BT556" i="1"/>
  <c r="BS556" i="1"/>
  <c r="BC556" i="1"/>
  <c r="AS556" i="1"/>
  <c r="AN556" i="1"/>
  <c r="AM556" i="1"/>
  <c r="AL556" i="1"/>
  <c r="AK556" i="1"/>
  <c r="AJ556" i="1"/>
  <c r="AI556" i="1"/>
  <c r="O556" i="1"/>
  <c r="D556" i="1" s="1"/>
  <c r="F556" i="1"/>
  <c r="E556" i="1"/>
  <c r="EA555" i="1"/>
  <c r="DZ555" i="1"/>
  <c r="DY555" i="1"/>
  <c r="DX555" i="1"/>
  <c r="DW555" i="1"/>
  <c r="DV555" i="1"/>
  <c r="DC555" i="1"/>
  <c r="DB555" i="1"/>
  <c r="CV555" i="1" s="1"/>
  <c r="DA555" i="1"/>
  <c r="CU555" i="1" s="1"/>
  <c r="CZ555" i="1"/>
  <c r="CY555" i="1"/>
  <c r="CX555" i="1"/>
  <c r="CR555" i="1" s="1"/>
  <c r="CW555" i="1"/>
  <c r="CT555" i="1"/>
  <c r="CS555" i="1"/>
  <c r="CB555" i="1"/>
  <c r="CA555" i="1"/>
  <c r="BZ555" i="1"/>
  <c r="BY555" i="1"/>
  <c r="BX555" i="1"/>
  <c r="BW555" i="1"/>
  <c r="BV555" i="1"/>
  <c r="BU555" i="1"/>
  <c r="CC555" i="1" s="1"/>
  <c r="BT555" i="1"/>
  <c r="BS555" i="1"/>
  <c r="AS555" i="1"/>
  <c r="AN555" i="1"/>
  <c r="AM555" i="1"/>
  <c r="AL555" i="1"/>
  <c r="AK555" i="1"/>
  <c r="AJ555" i="1"/>
  <c r="AI555" i="1"/>
  <c r="BC555" i="1" s="1"/>
  <c r="O555" i="1"/>
  <c r="F555" i="1"/>
  <c r="E555" i="1"/>
  <c r="D555" i="1"/>
  <c r="EA554" i="1"/>
  <c r="DZ554" i="1"/>
  <c r="DY554" i="1"/>
  <c r="DX554" i="1"/>
  <c r="DW554" i="1"/>
  <c r="DV554" i="1"/>
  <c r="DC554" i="1"/>
  <c r="CW554" i="1" s="1"/>
  <c r="DB554" i="1"/>
  <c r="DA554" i="1"/>
  <c r="CZ554" i="1"/>
  <c r="CT554" i="1" s="1"/>
  <c r="CY554" i="1"/>
  <c r="CS554" i="1" s="1"/>
  <c r="CX554" i="1"/>
  <c r="CV554" i="1"/>
  <c r="CU554" i="1"/>
  <c r="CR554" i="1"/>
  <c r="BZ554" i="1"/>
  <c r="CA554" i="1" s="1"/>
  <c r="BY554" i="1"/>
  <c r="BX554" i="1"/>
  <c r="BW554" i="1"/>
  <c r="BV554" i="1"/>
  <c r="BU554" i="1"/>
  <c r="CC554" i="1" s="1"/>
  <c r="BT554" i="1"/>
  <c r="BS554" i="1"/>
  <c r="BA554" i="1"/>
  <c r="BA555" i="1" s="1"/>
  <c r="BA556" i="1" s="1"/>
  <c r="BA557" i="1" s="1"/>
  <c r="BA558" i="1" s="1"/>
  <c r="BA559" i="1" s="1"/>
  <c r="BA560" i="1" s="1"/>
  <c r="BA561" i="1" s="1"/>
  <c r="BA562" i="1" s="1"/>
  <c r="BA563" i="1" s="1"/>
  <c r="BA564" i="1" s="1"/>
  <c r="BA565" i="1" s="1"/>
  <c r="BA566" i="1" s="1"/>
  <c r="BA567" i="1" s="1"/>
  <c r="BA568" i="1" s="1"/>
  <c r="BA569" i="1" s="1"/>
  <c r="BA570" i="1" s="1"/>
  <c r="BA571" i="1" s="1"/>
  <c r="BA572" i="1" s="1"/>
  <c r="BA573" i="1" s="1"/>
  <c r="BA574" i="1" s="1"/>
  <c r="BA575" i="1" s="1"/>
  <c r="BA576" i="1" s="1"/>
  <c r="BA577" i="1" s="1"/>
  <c r="BA578" i="1" s="1"/>
  <c r="BA579" i="1" s="1"/>
  <c r="BA580" i="1" s="1"/>
  <c r="BA581" i="1" s="1"/>
  <c r="BA582" i="1" s="1"/>
  <c r="BA583" i="1" s="1"/>
  <c r="BA584" i="1" s="1"/>
  <c r="BA585" i="1" s="1"/>
  <c r="BA586" i="1" s="1"/>
  <c r="BA587" i="1" s="1"/>
  <c r="BA588" i="1" s="1"/>
  <c r="BA589" i="1" s="1"/>
  <c r="BA590" i="1" s="1"/>
  <c r="BA591" i="1" s="1"/>
  <c r="BA592" i="1" s="1"/>
  <c r="BA593" i="1" s="1"/>
  <c r="BA594" i="1" s="1"/>
  <c r="BA595" i="1" s="1"/>
  <c r="BA596" i="1" s="1"/>
  <c r="BA597" i="1" s="1"/>
  <c r="BA598" i="1" s="1"/>
  <c r="BA599" i="1" s="1"/>
  <c r="BA600" i="1" s="1"/>
  <c r="BA601" i="1" s="1"/>
  <c r="BA602" i="1" s="1"/>
  <c r="AS554" i="1"/>
  <c r="AN554" i="1"/>
  <c r="AM554" i="1"/>
  <c r="AL554" i="1"/>
  <c r="AK554" i="1"/>
  <c r="AJ554" i="1"/>
  <c r="AI554" i="1"/>
  <c r="BC554" i="1" s="1"/>
  <c r="O554" i="1"/>
  <c r="F554" i="1"/>
  <c r="E554" i="1"/>
  <c r="D554" i="1"/>
  <c r="EA553" i="1"/>
  <c r="DZ553" i="1"/>
  <c r="DY553" i="1"/>
  <c r="DX553" i="1"/>
  <c r="DW553" i="1"/>
  <c r="DV553" i="1"/>
  <c r="DC553" i="1"/>
  <c r="DB553" i="1"/>
  <c r="CV553" i="1" s="1"/>
  <c r="DA553" i="1"/>
  <c r="CU553" i="1" s="1"/>
  <c r="CZ553" i="1"/>
  <c r="CY553" i="1"/>
  <c r="CX553" i="1"/>
  <c r="CR553" i="1" s="1"/>
  <c r="CW553" i="1"/>
  <c r="CT553" i="1"/>
  <c r="CS553" i="1"/>
  <c r="CB553" i="1"/>
  <c r="CA553" i="1"/>
  <c r="BZ553" i="1"/>
  <c r="BY553" i="1"/>
  <c r="BX553" i="1"/>
  <c r="BW553" i="1"/>
  <c r="BV553" i="1"/>
  <c r="BU553" i="1"/>
  <c r="CC553" i="1" s="1"/>
  <c r="BT553" i="1"/>
  <c r="BS553" i="1"/>
  <c r="AS553" i="1"/>
  <c r="AN553" i="1"/>
  <c r="AM553" i="1"/>
  <c r="AL553" i="1"/>
  <c r="AK553" i="1"/>
  <c r="AJ553" i="1"/>
  <c r="AI553" i="1"/>
  <c r="BC553" i="1" s="1"/>
  <c r="O553" i="1"/>
  <c r="F553" i="1"/>
  <c r="E553" i="1"/>
  <c r="D553" i="1"/>
  <c r="EA552" i="1"/>
  <c r="DZ552" i="1"/>
  <c r="DY552" i="1"/>
  <c r="DX552" i="1"/>
  <c r="DW552" i="1"/>
  <c r="DV552" i="1"/>
  <c r="DC552" i="1"/>
  <c r="CW552" i="1" s="1"/>
  <c r="DB552" i="1"/>
  <c r="CV552" i="1" s="1"/>
  <c r="DA552" i="1"/>
  <c r="CZ552" i="1"/>
  <c r="CY552" i="1"/>
  <c r="CS552" i="1" s="1"/>
  <c r="CX552" i="1"/>
  <c r="CR552" i="1" s="1"/>
  <c r="CU552" i="1"/>
  <c r="CT552" i="1"/>
  <c r="CC552" i="1"/>
  <c r="CA552" i="1"/>
  <c r="BZ552" i="1"/>
  <c r="BY552" i="1"/>
  <c r="BX552" i="1"/>
  <c r="BW552" i="1"/>
  <c r="BV552" i="1"/>
  <c r="BU552" i="1"/>
  <c r="CB552" i="1" s="1"/>
  <c r="BT552" i="1"/>
  <c r="BS552" i="1"/>
  <c r="AS552" i="1"/>
  <c r="AN552" i="1"/>
  <c r="AM552" i="1"/>
  <c r="AL552" i="1"/>
  <c r="AK552" i="1"/>
  <c r="AJ552" i="1"/>
  <c r="AI552" i="1"/>
  <c r="O552" i="1"/>
  <c r="D552" i="1" s="1"/>
  <c r="F552" i="1"/>
  <c r="E552" i="1"/>
  <c r="EA551" i="1"/>
  <c r="DZ551" i="1"/>
  <c r="DY551" i="1"/>
  <c r="DX551" i="1"/>
  <c r="DW551" i="1"/>
  <c r="DV551" i="1"/>
  <c r="DC551" i="1"/>
  <c r="DB551" i="1"/>
  <c r="DA551" i="1"/>
  <c r="CU551" i="1" s="1"/>
  <c r="CZ551" i="1"/>
  <c r="CT551" i="1" s="1"/>
  <c r="CY551" i="1"/>
  <c r="CX551" i="1"/>
  <c r="CW551" i="1"/>
  <c r="CV551" i="1"/>
  <c r="CS551" i="1"/>
  <c r="CR551" i="1"/>
  <c r="CA551" i="1"/>
  <c r="BZ551" i="1"/>
  <c r="BY551" i="1"/>
  <c r="BX551" i="1"/>
  <c r="BW551" i="1"/>
  <c r="BV551" i="1"/>
  <c r="BU551" i="1"/>
  <c r="CC551" i="1" s="1"/>
  <c r="BT551" i="1"/>
  <c r="BS551" i="1"/>
  <c r="BC551" i="1"/>
  <c r="AS551" i="1"/>
  <c r="AN551" i="1"/>
  <c r="AM551" i="1"/>
  <c r="AL551" i="1"/>
  <c r="AK551" i="1"/>
  <c r="AJ551" i="1"/>
  <c r="AI551" i="1"/>
  <c r="O551" i="1"/>
  <c r="D551" i="1" s="1"/>
  <c r="F551" i="1"/>
  <c r="E551" i="1"/>
  <c r="EA550" i="1"/>
  <c r="DZ550" i="1"/>
  <c r="DY550" i="1"/>
  <c r="DX550" i="1"/>
  <c r="DW550" i="1"/>
  <c r="DV550" i="1"/>
  <c r="DC550" i="1"/>
  <c r="CW550" i="1" s="1"/>
  <c r="DB550" i="1"/>
  <c r="CV550" i="1" s="1"/>
  <c r="DA550" i="1"/>
  <c r="CZ550" i="1"/>
  <c r="CY550" i="1"/>
  <c r="CS550" i="1" s="1"/>
  <c r="CX550" i="1"/>
  <c r="CR550" i="1" s="1"/>
  <c r="CU550" i="1"/>
  <c r="CT550" i="1"/>
  <c r="CC550" i="1"/>
  <c r="CA550" i="1"/>
  <c r="BZ550" i="1"/>
  <c r="BY550" i="1"/>
  <c r="BX550" i="1"/>
  <c r="BW550" i="1"/>
  <c r="BV550" i="1"/>
  <c r="BU550" i="1"/>
  <c r="CB550" i="1" s="1"/>
  <c r="BT550" i="1"/>
  <c r="BS550" i="1"/>
  <c r="AS550" i="1"/>
  <c r="AN550" i="1"/>
  <c r="AM550" i="1"/>
  <c r="AL550" i="1"/>
  <c r="AK550" i="1"/>
  <c r="AJ550" i="1"/>
  <c r="AI550" i="1"/>
  <c r="O550" i="1"/>
  <c r="D550" i="1" s="1"/>
  <c r="F550" i="1"/>
  <c r="E550" i="1"/>
  <c r="EA549" i="1"/>
  <c r="DZ549" i="1"/>
  <c r="DY549" i="1"/>
  <c r="DX549" i="1"/>
  <c r="DW549" i="1"/>
  <c r="DV549" i="1"/>
  <c r="DC549" i="1"/>
  <c r="DB549" i="1"/>
  <c r="DA549" i="1"/>
  <c r="CU549" i="1" s="1"/>
  <c r="CZ549" i="1"/>
  <c r="CT549" i="1" s="1"/>
  <c r="CY549" i="1"/>
  <c r="CX549" i="1"/>
  <c r="CW549" i="1"/>
  <c r="CV549" i="1"/>
  <c r="CS549" i="1"/>
  <c r="CR549" i="1"/>
  <c r="CA549" i="1"/>
  <c r="BZ549" i="1"/>
  <c r="BY549" i="1"/>
  <c r="BX549" i="1"/>
  <c r="BW549" i="1"/>
  <c r="BV549" i="1"/>
  <c r="BU549" i="1"/>
  <c r="BT549" i="1"/>
  <c r="BS549" i="1"/>
  <c r="AS549" i="1"/>
  <c r="AN549" i="1"/>
  <c r="AM549" i="1"/>
  <c r="AL549" i="1"/>
  <c r="AK549" i="1"/>
  <c r="AJ549" i="1"/>
  <c r="AI549" i="1"/>
  <c r="BC549" i="1" s="1"/>
  <c r="O549" i="1"/>
  <c r="F549" i="1"/>
  <c r="E549" i="1"/>
  <c r="D549" i="1"/>
  <c r="EA548" i="1"/>
  <c r="DZ548" i="1"/>
  <c r="DY548" i="1"/>
  <c r="DX548" i="1"/>
  <c r="DW548" i="1"/>
  <c r="DV548" i="1"/>
  <c r="DC548" i="1"/>
  <c r="CW548" i="1" s="1"/>
  <c r="DB548" i="1"/>
  <c r="CV548" i="1" s="1"/>
  <c r="DA548" i="1"/>
  <c r="CZ548" i="1"/>
  <c r="CY548" i="1"/>
  <c r="CS548" i="1" s="1"/>
  <c r="CX548" i="1"/>
  <c r="CR548" i="1" s="1"/>
  <c r="CU548" i="1"/>
  <c r="CT548" i="1"/>
  <c r="CC548" i="1"/>
  <c r="CA548" i="1"/>
  <c r="BZ548" i="1"/>
  <c r="BY548" i="1"/>
  <c r="BX548" i="1"/>
  <c r="BW548" i="1"/>
  <c r="BV548" i="1"/>
  <c r="BU548" i="1"/>
  <c r="CB548" i="1" s="1"/>
  <c r="BT548" i="1"/>
  <c r="BS548" i="1"/>
  <c r="AS548" i="1"/>
  <c r="AN548" i="1"/>
  <c r="AM548" i="1"/>
  <c r="AL548" i="1"/>
  <c r="AK548" i="1"/>
  <c r="AJ548" i="1"/>
  <c r="AI548" i="1"/>
  <c r="O548" i="1"/>
  <c r="D548" i="1" s="1"/>
  <c r="F548" i="1"/>
  <c r="E548" i="1"/>
  <c r="EA547" i="1"/>
  <c r="DZ547" i="1"/>
  <c r="DY547" i="1"/>
  <c r="DX547" i="1"/>
  <c r="DW547" i="1"/>
  <c r="DV547" i="1"/>
  <c r="DC547" i="1"/>
  <c r="DB547" i="1"/>
  <c r="DA547" i="1"/>
  <c r="CU547" i="1" s="1"/>
  <c r="CZ547" i="1"/>
  <c r="CT547" i="1" s="1"/>
  <c r="CY547" i="1"/>
  <c r="CX547" i="1"/>
  <c r="CW547" i="1"/>
  <c r="CV547" i="1"/>
  <c r="CS547" i="1"/>
  <c r="CR547" i="1"/>
  <c r="CA547" i="1"/>
  <c r="BZ547" i="1"/>
  <c r="BY547" i="1"/>
  <c r="BX547" i="1"/>
  <c r="BW547" i="1"/>
  <c r="BV547" i="1"/>
  <c r="BU547" i="1"/>
  <c r="CC547" i="1" s="1"/>
  <c r="BT547" i="1"/>
  <c r="BS547" i="1"/>
  <c r="AS547" i="1"/>
  <c r="AN547" i="1"/>
  <c r="AM547" i="1"/>
  <c r="AL547" i="1"/>
  <c r="AK547" i="1"/>
  <c r="AJ547" i="1"/>
  <c r="AI547" i="1"/>
  <c r="BC547" i="1" s="1"/>
  <c r="O547" i="1"/>
  <c r="D547" i="1" s="1"/>
  <c r="F547" i="1"/>
  <c r="E547" i="1"/>
  <c r="EA546" i="1"/>
  <c r="DZ546" i="1"/>
  <c r="DY546" i="1"/>
  <c r="DX546" i="1"/>
  <c r="DW546" i="1"/>
  <c r="DV546" i="1"/>
  <c r="DC546" i="1"/>
  <c r="CW546" i="1" s="1"/>
  <c r="DB546" i="1"/>
  <c r="CV546" i="1" s="1"/>
  <c r="DA546" i="1"/>
  <c r="CZ546" i="1"/>
  <c r="CY546" i="1"/>
  <c r="CS546" i="1" s="1"/>
  <c r="CX546" i="1"/>
  <c r="CR546" i="1" s="1"/>
  <c r="CU546" i="1"/>
  <c r="CT546" i="1"/>
  <c r="CC546" i="1"/>
  <c r="CA546" i="1"/>
  <c r="BZ546" i="1"/>
  <c r="BY546" i="1"/>
  <c r="BX546" i="1"/>
  <c r="BW546" i="1"/>
  <c r="BV546" i="1"/>
  <c r="BU546" i="1"/>
  <c r="CB546" i="1" s="1"/>
  <c r="BT546" i="1"/>
  <c r="BS546" i="1"/>
  <c r="AS546" i="1"/>
  <c r="AN546" i="1"/>
  <c r="AM546" i="1"/>
  <c r="AL546" i="1"/>
  <c r="AK546" i="1"/>
  <c r="AJ546" i="1"/>
  <c r="AI546" i="1"/>
  <c r="O546" i="1"/>
  <c r="D546" i="1" s="1"/>
  <c r="F546" i="1"/>
  <c r="E546" i="1"/>
  <c r="EA545" i="1"/>
  <c r="DZ545" i="1"/>
  <c r="DY545" i="1"/>
  <c r="DX545" i="1"/>
  <c r="DW545" i="1"/>
  <c r="DV545" i="1"/>
  <c r="DC545" i="1"/>
  <c r="DB545" i="1"/>
  <c r="DA545" i="1"/>
  <c r="CU545" i="1" s="1"/>
  <c r="CZ545" i="1"/>
  <c r="CT545" i="1" s="1"/>
  <c r="CY545" i="1"/>
  <c r="CX545" i="1"/>
  <c r="CW545" i="1"/>
  <c r="CV545" i="1"/>
  <c r="CS545" i="1"/>
  <c r="CR545" i="1"/>
  <c r="CA545" i="1"/>
  <c r="BZ545" i="1"/>
  <c r="BY545" i="1"/>
  <c r="BX545" i="1"/>
  <c r="BW545" i="1"/>
  <c r="BV545" i="1"/>
  <c r="BU545" i="1"/>
  <c r="BT545" i="1"/>
  <c r="BS545" i="1"/>
  <c r="AS545" i="1"/>
  <c r="AN545" i="1"/>
  <c r="AM545" i="1"/>
  <c r="AL545" i="1"/>
  <c r="AK545" i="1"/>
  <c r="AJ545" i="1"/>
  <c r="AI545" i="1"/>
  <c r="BC545" i="1" s="1"/>
  <c r="O545" i="1"/>
  <c r="F545" i="1"/>
  <c r="E545" i="1"/>
  <c r="D545" i="1"/>
  <c r="EA544" i="1"/>
  <c r="DZ544" i="1"/>
  <c r="DY544" i="1"/>
  <c r="DX544" i="1"/>
  <c r="DW544" i="1"/>
  <c r="DV544" i="1"/>
  <c r="DC544" i="1"/>
  <c r="CW544" i="1" s="1"/>
  <c r="DB544" i="1"/>
  <c r="CV544" i="1" s="1"/>
  <c r="DA544" i="1"/>
  <c r="CZ544" i="1"/>
  <c r="CY544" i="1"/>
  <c r="CS544" i="1" s="1"/>
  <c r="CX544" i="1"/>
  <c r="CR544" i="1" s="1"/>
  <c r="CU544" i="1"/>
  <c r="CT544" i="1"/>
  <c r="CC544" i="1"/>
  <c r="CA544" i="1"/>
  <c r="BZ544" i="1"/>
  <c r="BY544" i="1"/>
  <c r="BX544" i="1"/>
  <c r="BW544" i="1"/>
  <c r="BV544" i="1"/>
  <c r="BU544" i="1"/>
  <c r="CB544" i="1" s="1"/>
  <c r="BT544" i="1"/>
  <c r="BS544" i="1"/>
  <c r="AS544" i="1"/>
  <c r="AN544" i="1"/>
  <c r="AM544" i="1"/>
  <c r="AL544" i="1"/>
  <c r="AK544" i="1"/>
  <c r="AJ544" i="1"/>
  <c r="AI544" i="1"/>
  <c r="O544" i="1"/>
  <c r="D544" i="1" s="1"/>
  <c r="F544" i="1"/>
  <c r="E544" i="1"/>
  <c r="EA543" i="1"/>
  <c r="DZ543" i="1"/>
  <c r="DY543" i="1"/>
  <c r="DX543" i="1"/>
  <c r="DW543" i="1"/>
  <c r="DV543" i="1"/>
  <c r="DC543" i="1"/>
  <c r="DB543" i="1"/>
  <c r="DA543" i="1"/>
  <c r="CU543" i="1" s="1"/>
  <c r="CZ543" i="1"/>
  <c r="CT543" i="1" s="1"/>
  <c r="CY543" i="1"/>
  <c r="CX543" i="1"/>
  <c r="CW543" i="1"/>
  <c r="CV543" i="1"/>
  <c r="CS543" i="1"/>
  <c r="CR543" i="1"/>
  <c r="CA543" i="1"/>
  <c r="BZ543" i="1"/>
  <c r="BY543" i="1"/>
  <c r="BX543" i="1"/>
  <c r="BW543" i="1"/>
  <c r="BV543" i="1"/>
  <c r="BU543" i="1"/>
  <c r="CC543" i="1" s="1"/>
  <c r="BT543" i="1"/>
  <c r="BS543" i="1"/>
  <c r="BC543" i="1"/>
  <c r="AS543" i="1"/>
  <c r="AN543" i="1"/>
  <c r="AM543" i="1"/>
  <c r="AL543" i="1"/>
  <c r="AK543" i="1"/>
  <c r="AJ543" i="1"/>
  <c r="AI543" i="1"/>
  <c r="O543" i="1"/>
  <c r="D543" i="1" s="1"/>
  <c r="F543" i="1"/>
  <c r="E543" i="1"/>
  <c r="EA542" i="1"/>
  <c r="DZ542" i="1"/>
  <c r="DY542" i="1"/>
  <c r="DX542" i="1"/>
  <c r="DW542" i="1"/>
  <c r="DV542" i="1"/>
  <c r="DC542" i="1"/>
  <c r="CW542" i="1" s="1"/>
  <c r="DB542" i="1"/>
  <c r="CV542" i="1" s="1"/>
  <c r="DA542" i="1"/>
  <c r="CZ542" i="1"/>
  <c r="CY542" i="1"/>
  <c r="CS542" i="1" s="1"/>
  <c r="CX542" i="1"/>
  <c r="CR542" i="1" s="1"/>
  <c r="CU542" i="1"/>
  <c r="CT542" i="1"/>
  <c r="CC542" i="1"/>
  <c r="CA542" i="1"/>
  <c r="BZ542" i="1"/>
  <c r="BY542" i="1"/>
  <c r="BX542" i="1"/>
  <c r="BW542" i="1"/>
  <c r="BV542" i="1"/>
  <c r="BU542" i="1"/>
  <c r="CB542" i="1" s="1"/>
  <c r="BT542" i="1"/>
  <c r="BS542" i="1"/>
  <c r="AS542" i="1"/>
  <c r="AN542" i="1"/>
  <c r="AM542" i="1"/>
  <c r="AL542" i="1"/>
  <c r="AK542" i="1"/>
  <c r="AJ542" i="1"/>
  <c r="AI542" i="1"/>
  <c r="O542" i="1"/>
  <c r="D542" i="1" s="1"/>
  <c r="F542" i="1"/>
  <c r="E542" i="1"/>
  <c r="EA541" i="1"/>
  <c r="DZ541" i="1"/>
  <c r="DY541" i="1"/>
  <c r="DX541" i="1"/>
  <c r="DW541" i="1"/>
  <c r="DV541" i="1"/>
  <c r="DC541" i="1"/>
  <c r="DB541" i="1"/>
  <c r="DA541" i="1"/>
  <c r="CU541" i="1" s="1"/>
  <c r="CZ541" i="1"/>
  <c r="CT541" i="1" s="1"/>
  <c r="CY541" i="1"/>
  <c r="CX541" i="1"/>
  <c r="CW541" i="1"/>
  <c r="CV541" i="1"/>
  <c r="CS541" i="1"/>
  <c r="CR541" i="1"/>
  <c r="CA541" i="1"/>
  <c r="BZ541" i="1"/>
  <c r="BY541" i="1"/>
  <c r="BX541" i="1"/>
  <c r="BW541" i="1"/>
  <c r="BV541" i="1"/>
  <c r="BU541" i="1"/>
  <c r="BT541" i="1"/>
  <c r="BS541" i="1"/>
  <c r="AS541" i="1"/>
  <c r="AN541" i="1"/>
  <c r="AM541" i="1"/>
  <c r="AL541" i="1"/>
  <c r="AK541" i="1"/>
  <c r="AJ541" i="1"/>
  <c r="AI541" i="1"/>
  <c r="BC541" i="1" s="1"/>
  <c r="O541" i="1"/>
  <c r="F541" i="1"/>
  <c r="E541" i="1"/>
  <c r="D541" i="1"/>
  <c r="EA540" i="1"/>
  <c r="DZ540" i="1"/>
  <c r="DY540" i="1"/>
  <c r="DX540" i="1"/>
  <c r="DW540" i="1"/>
  <c r="DV540" i="1"/>
  <c r="DC540" i="1"/>
  <c r="CW540" i="1" s="1"/>
  <c r="DB540" i="1"/>
  <c r="CV540" i="1" s="1"/>
  <c r="DA540" i="1"/>
  <c r="CZ540" i="1"/>
  <c r="CY540" i="1"/>
  <c r="CS540" i="1" s="1"/>
  <c r="CX540" i="1"/>
  <c r="CR540" i="1" s="1"/>
  <c r="CU540" i="1"/>
  <c r="CT540" i="1"/>
  <c r="CC540" i="1"/>
  <c r="CA540" i="1"/>
  <c r="BZ540" i="1"/>
  <c r="BY540" i="1"/>
  <c r="BX540" i="1"/>
  <c r="BW540" i="1"/>
  <c r="BV540" i="1"/>
  <c r="BU540" i="1"/>
  <c r="CB540" i="1" s="1"/>
  <c r="BT540" i="1"/>
  <c r="BS540" i="1"/>
  <c r="AS540" i="1"/>
  <c r="AN540" i="1"/>
  <c r="AM540" i="1"/>
  <c r="AL540" i="1"/>
  <c r="AK540" i="1"/>
  <c r="AJ540" i="1"/>
  <c r="AI540" i="1"/>
  <c r="O540" i="1"/>
  <c r="D540" i="1" s="1"/>
  <c r="F540" i="1"/>
  <c r="E540" i="1"/>
  <c r="EA539" i="1"/>
  <c r="DZ539" i="1"/>
  <c r="DY539" i="1"/>
  <c r="DX539" i="1"/>
  <c r="DW539" i="1"/>
  <c r="DV539" i="1"/>
  <c r="DC539" i="1"/>
  <c r="DB539" i="1"/>
  <c r="DA539" i="1"/>
  <c r="CU539" i="1" s="1"/>
  <c r="CZ539" i="1"/>
  <c r="CT539" i="1" s="1"/>
  <c r="CY539" i="1"/>
  <c r="CX539" i="1"/>
  <c r="CW539" i="1"/>
  <c r="CV539" i="1"/>
  <c r="CS539" i="1"/>
  <c r="CR539" i="1"/>
  <c r="CA539" i="1"/>
  <c r="BZ539" i="1"/>
  <c r="BY539" i="1"/>
  <c r="BX539" i="1"/>
  <c r="BW539" i="1"/>
  <c r="BV539" i="1"/>
  <c r="BU539" i="1"/>
  <c r="CC539" i="1" s="1"/>
  <c r="BT539" i="1"/>
  <c r="BS539" i="1"/>
  <c r="AS539" i="1"/>
  <c r="AN539" i="1"/>
  <c r="AM539" i="1"/>
  <c r="AL539" i="1"/>
  <c r="AK539" i="1"/>
  <c r="AJ539" i="1"/>
  <c r="AI539" i="1"/>
  <c r="BC539" i="1" s="1"/>
  <c r="O539" i="1"/>
  <c r="D539" i="1" s="1"/>
  <c r="F539" i="1"/>
  <c r="E539" i="1"/>
  <c r="EA538" i="1"/>
  <c r="DZ538" i="1"/>
  <c r="DY538" i="1"/>
  <c r="DX538" i="1"/>
  <c r="DW538" i="1"/>
  <c r="DV538" i="1"/>
  <c r="DC538" i="1"/>
  <c r="CW538" i="1" s="1"/>
  <c r="DB538" i="1"/>
  <c r="CV538" i="1" s="1"/>
  <c r="DA538" i="1"/>
  <c r="CZ538" i="1"/>
  <c r="CY538" i="1"/>
  <c r="CS538" i="1" s="1"/>
  <c r="CX538" i="1"/>
  <c r="CR538" i="1" s="1"/>
  <c r="CU538" i="1"/>
  <c r="CT538" i="1"/>
  <c r="CC538" i="1"/>
  <c r="CA538" i="1"/>
  <c r="BZ538" i="1"/>
  <c r="BY538" i="1"/>
  <c r="BX538" i="1"/>
  <c r="BW538" i="1"/>
  <c r="BV538" i="1"/>
  <c r="BU538" i="1"/>
  <c r="CB538" i="1" s="1"/>
  <c r="BT538" i="1"/>
  <c r="BS538" i="1"/>
  <c r="AS538" i="1"/>
  <c r="AN538" i="1"/>
  <c r="AM538" i="1"/>
  <c r="AL538" i="1"/>
  <c r="AK538" i="1"/>
  <c r="AJ538" i="1"/>
  <c r="AI538" i="1"/>
  <c r="O538" i="1"/>
  <c r="D538" i="1" s="1"/>
  <c r="F538" i="1"/>
  <c r="E538" i="1"/>
  <c r="EA537" i="1"/>
  <c r="DZ537" i="1"/>
  <c r="DY537" i="1"/>
  <c r="DX537" i="1"/>
  <c r="DW537" i="1"/>
  <c r="DV537" i="1"/>
  <c r="DC537" i="1"/>
  <c r="DB537" i="1"/>
  <c r="DA537" i="1"/>
  <c r="CU537" i="1" s="1"/>
  <c r="CZ537" i="1"/>
  <c r="CT537" i="1" s="1"/>
  <c r="CY537" i="1"/>
  <c r="CX537" i="1"/>
  <c r="CW537" i="1"/>
  <c r="CV537" i="1"/>
  <c r="CS537" i="1"/>
  <c r="CR537" i="1"/>
  <c r="CA537" i="1"/>
  <c r="BZ537" i="1"/>
  <c r="BY537" i="1"/>
  <c r="BX537" i="1"/>
  <c r="BW537" i="1"/>
  <c r="BV537" i="1"/>
  <c r="BU537" i="1"/>
  <c r="BT537" i="1"/>
  <c r="BS537" i="1"/>
  <c r="BC537" i="1"/>
  <c r="AS537" i="1"/>
  <c r="AN537" i="1"/>
  <c r="AM537" i="1"/>
  <c r="AL537" i="1"/>
  <c r="AK537" i="1"/>
  <c r="AJ537" i="1"/>
  <c r="AI537" i="1"/>
  <c r="O537" i="1"/>
  <c r="D537" i="1" s="1"/>
  <c r="F537" i="1"/>
  <c r="E537" i="1"/>
  <c r="EA536" i="1"/>
  <c r="DZ536" i="1"/>
  <c r="DY536" i="1"/>
  <c r="DX536" i="1"/>
  <c r="DW536" i="1"/>
  <c r="DV536" i="1"/>
  <c r="DC536" i="1"/>
  <c r="CW536" i="1" s="1"/>
  <c r="DB536" i="1"/>
  <c r="CV536" i="1" s="1"/>
  <c r="DA536" i="1"/>
  <c r="CZ536" i="1"/>
  <c r="CY536" i="1"/>
  <c r="CS536" i="1" s="1"/>
  <c r="CX536" i="1"/>
  <c r="CR536" i="1" s="1"/>
  <c r="CU536" i="1"/>
  <c r="CT536" i="1"/>
  <c r="CC536" i="1"/>
  <c r="CA536" i="1"/>
  <c r="BZ536" i="1"/>
  <c r="BY536" i="1"/>
  <c r="BX536" i="1"/>
  <c r="BW536" i="1"/>
  <c r="BV536" i="1"/>
  <c r="BU536" i="1"/>
  <c r="CB536" i="1" s="1"/>
  <c r="BT536" i="1"/>
  <c r="BS536" i="1"/>
  <c r="AS536" i="1"/>
  <c r="AN536" i="1"/>
  <c r="AM536" i="1"/>
  <c r="AL536" i="1"/>
  <c r="AK536" i="1"/>
  <c r="AJ536" i="1"/>
  <c r="AI536" i="1"/>
  <c r="O536" i="1"/>
  <c r="D536" i="1" s="1"/>
  <c r="F536" i="1"/>
  <c r="E536" i="1"/>
  <c r="EA535" i="1"/>
  <c r="DZ535" i="1"/>
  <c r="DY535" i="1"/>
  <c r="DX535" i="1"/>
  <c r="DW535" i="1"/>
  <c r="DV535" i="1"/>
  <c r="DC535" i="1"/>
  <c r="DB535" i="1"/>
  <c r="DA535" i="1"/>
  <c r="CU535" i="1" s="1"/>
  <c r="CZ535" i="1"/>
  <c r="CT535" i="1" s="1"/>
  <c r="CY535" i="1"/>
  <c r="CX535" i="1"/>
  <c r="CW535" i="1"/>
  <c r="CV535" i="1"/>
  <c r="CS535" i="1"/>
  <c r="CR535" i="1"/>
  <c r="CA535" i="1"/>
  <c r="BZ535" i="1"/>
  <c r="BY535" i="1"/>
  <c r="BX535" i="1"/>
  <c r="BW535" i="1"/>
  <c r="BV535" i="1"/>
  <c r="BU535" i="1"/>
  <c r="CC535" i="1" s="1"/>
  <c r="BT535" i="1"/>
  <c r="BS535" i="1"/>
  <c r="BC535" i="1"/>
  <c r="AS535" i="1"/>
  <c r="AN535" i="1"/>
  <c r="AM535" i="1"/>
  <c r="AL535" i="1"/>
  <c r="AK535" i="1"/>
  <c r="AJ535" i="1"/>
  <c r="AI535" i="1"/>
  <c r="O535" i="1"/>
  <c r="D535" i="1" s="1"/>
  <c r="F535" i="1"/>
  <c r="E535" i="1"/>
  <c r="EA534" i="1"/>
  <c r="DZ534" i="1"/>
  <c r="DY534" i="1"/>
  <c r="DX534" i="1"/>
  <c r="DW534" i="1"/>
  <c r="DV534" i="1"/>
  <c r="DC534" i="1"/>
  <c r="CW534" i="1" s="1"/>
  <c r="DB534" i="1"/>
  <c r="CV534" i="1" s="1"/>
  <c r="DA534" i="1"/>
  <c r="CZ534" i="1"/>
  <c r="CY534" i="1"/>
  <c r="CS534" i="1" s="1"/>
  <c r="CX534" i="1"/>
  <c r="CR534" i="1" s="1"/>
  <c r="CU534" i="1"/>
  <c r="CT534" i="1"/>
  <c r="CA534" i="1"/>
  <c r="BZ534" i="1"/>
  <c r="BY534" i="1"/>
  <c r="BX534" i="1"/>
  <c r="BW534" i="1"/>
  <c r="BV534" i="1"/>
  <c r="BU534" i="1"/>
  <c r="CB534" i="1" s="1"/>
  <c r="BT534" i="1"/>
  <c r="BS534" i="1"/>
  <c r="AS534" i="1"/>
  <c r="AN534" i="1"/>
  <c r="AM534" i="1"/>
  <c r="AL534" i="1"/>
  <c r="AK534" i="1"/>
  <c r="AJ534" i="1"/>
  <c r="AI534" i="1"/>
  <c r="O534" i="1"/>
  <c r="D534" i="1" s="1"/>
  <c r="F534" i="1"/>
  <c r="E534" i="1"/>
  <c r="EA533" i="1"/>
  <c r="DZ533" i="1"/>
  <c r="DY533" i="1"/>
  <c r="DX533" i="1"/>
  <c r="DW533" i="1"/>
  <c r="DV533" i="1"/>
  <c r="DC533" i="1"/>
  <c r="DB533" i="1"/>
  <c r="DA533" i="1"/>
  <c r="CU533" i="1" s="1"/>
  <c r="CZ533" i="1"/>
  <c r="CT533" i="1" s="1"/>
  <c r="CY533" i="1"/>
  <c r="CX533" i="1"/>
  <c r="CW533" i="1"/>
  <c r="CV533" i="1"/>
  <c r="CS533" i="1"/>
  <c r="CR533" i="1"/>
  <c r="BZ533" i="1"/>
  <c r="CA533" i="1" s="1"/>
  <c r="BY533" i="1"/>
  <c r="BX533" i="1"/>
  <c r="BW533" i="1"/>
  <c r="BV533" i="1"/>
  <c r="BU533" i="1"/>
  <c r="BT533" i="1"/>
  <c r="BS533" i="1"/>
  <c r="BC533" i="1"/>
  <c r="AS533" i="1"/>
  <c r="AN533" i="1"/>
  <c r="AM533" i="1"/>
  <c r="AL533" i="1"/>
  <c r="AK533" i="1"/>
  <c r="AJ533" i="1"/>
  <c r="AI533" i="1"/>
  <c r="O533" i="1"/>
  <c r="D533" i="1" s="1"/>
  <c r="F533" i="1"/>
  <c r="E533" i="1"/>
  <c r="EA532" i="1"/>
  <c r="DZ532" i="1"/>
  <c r="DY532" i="1"/>
  <c r="DX532" i="1"/>
  <c r="DW532" i="1"/>
  <c r="DV532" i="1"/>
  <c r="DC532" i="1"/>
  <c r="CW532" i="1" s="1"/>
  <c r="DB532" i="1"/>
  <c r="CV532" i="1" s="1"/>
  <c r="DA532" i="1"/>
  <c r="CZ532" i="1"/>
  <c r="CY532" i="1"/>
  <c r="CS532" i="1" s="1"/>
  <c r="CX532" i="1"/>
  <c r="CR532" i="1" s="1"/>
  <c r="CU532" i="1"/>
  <c r="CT532" i="1"/>
  <c r="CA532" i="1"/>
  <c r="BZ532" i="1"/>
  <c r="BY532" i="1"/>
  <c r="BX532" i="1"/>
  <c r="BW532" i="1"/>
  <c r="BV532" i="1"/>
  <c r="BU532" i="1"/>
  <c r="CC532" i="1" s="1"/>
  <c r="BT532" i="1"/>
  <c r="BS532" i="1"/>
  <c r="AS532" i="1"/>
  <c r="AN532" i="1"/>
  <c r="AM532" i="1"/>
  <c r="AL532" i="1"/>
  <c r="AK532" i="1"/>
  <c r="AJ532" i="1"/>
  <c r="AI532" i="1"/>
  <c r="O532" i="1"/>
  <c r="D532" i="1" s="1"/>
  <c r="F532" i="1"/>
  <c r="E532" i="1"/>
  <c r="EA531" i="1"/>
  <c r="DZ531" i="1"/>
  <c r="DY531" i="1"/>
  <c r="DX531" i="1"/>
  <c r="DW531" i="1"/>
  <c r="DV531" i="1"/>
  <c r="DC531" i="1"/>
  <c r="DB531" i="1"/>
  <c r="DA531" i="1"/>
  <c r="CU531" i="1" s="1"/>
  <c r="CZ531" i="1"/>
  <c r="CT531" i="1" s="1"/>
  <c r="CY531" i="1"/>
  <c r="CX531" i="1"/>
  <c r="CW531" i="1"/>
  <c r="CV531" i="1"/>
  <c r="CS531" i="1"/>
  <c r="CR531" i="1"/>
  <c r="BZ531" i="1"/>
  <c r="CA531" i="1" s="1"/>
  <c r="BY531" i="1"/>
  <c r="BX531" i="1"/>
  <c r="BW531" i="1"/>
  <c r="BV531" i="1"/>
  <c r="BU531" i="1"/>
  <c r="BT531" i="1"/>
  <c r="BS531" i="1"/>
  <c r="BC531" i="1"/>
  <c r="AS531" i="1"/>
  <c r="AN531" i="1"/>
  <c r="AM531" i="1"/>
  <c r="AL531" i="1"/>
  <c r="AK531" i="1"/>
  <c r="AJ531" i="1"/>
  <c r="AI531" i="1"/>
  <c r="O531" i="1"/>
  <c r="D531" i="1" s="1"/>
  <c r="F531" i="1"/>
  <c r="E531" i="1"/>
  <c r="EA530" i="1"/>
  <c r="DZ530" i="1"/>
  <c r="DY530" i="1"/>
  <c r="DX530" i="1"/>
  <c r="DW530" i="1"/>
  <c r="DV530" i="1"/>
  <c r="DC530" i="1"/>
  <c r="CW530" i="1" s="1"/>
  <c r="DB530" i="1"/>
  <c r="CV530" i="1" s="1"/>
  <c r="DA530" i="1"/>
  <c r="CZ530" i="1"/>
  <c r="CY530" i="1"/>
  <c r="CS530" i="1" s="1"/>
  <c r="CX530" i="1"/>
  <c r="CR530" i="1" s="1"/>
  <c r="CU530" i="1"/>
  <c r="CT530" i="1"/>
  <c r="CA530" i="1"/>
  <c r="BZ530" i="1"/>
  <c r="BY530" i="1"/>
  <c r="BX530" i="1"/>
  <c r="BW530" i="1"/>
  <c r="BV530" i="1"/>
  <c r="BU530" i="1"/>
  <c r="CB530" i="1" s="1"/>
  <c r="BT530" i="1"/>
  <c r="BS530" i="1"/>
  <c r="AS530" i="1"/>
  <c r="AN530" i="1"/>
  <c r="AM530" i="1"/>
  <c r="AL530" i="1"/>
  <c r="AK530" i="1"/>
  <c r="AJ530" i="1"/>
  <c r="AI530" i="1"/>
  <c r="O530" i="1"/>
  <c r="F530" i="1"/>
  <c r="E530" i="1"/>
  <c r="D530" i="1"/>
  <c r="EA529" i="1"/>
  <c r="DZ529" i="1"/>
  <c r="DY529" i="1"/>
  <c r="DX529" i="1"/>
  <c r="DW529" i="1"/>
  <c r="DV529" i="1"/>
  <c r="DC529" i="1"/>
  <c r="DB529" i="1"/>
  <c r="DA529" i="1"/>
  <c r="CU529" i="1" s="1"/>
  <c r="CZ529" i="1"/>
  <c r="CT529" i="1" s="1"/>
  <c r="CY529" i="1"/>
  <c r="CX529" i="1"/>
  <c r="CW529" i="1"/>
  <c r="CV529" i="1"/>
  <c r="CS529" i="1"/>
  <c r="CR529" i="1"/>
  <c r="BZ529" i="1"/>
  <c r="CA529" i="1" s="1"/>
  <c r="BY529" i="1"/>
  <c r="BX529" i="1"/>
  <c r="BW529" i="1"/>
  <c r="BV529" i="1"/>
  <c r="BU529" i="1"/>
  <c r="BT529" i="1"/>
  <c r="BS529" i="1"/>
  <c r="AS529" i="1"/>
  <c r="AN529" i="1"/>
  <c r="AM529" i="1"/>
  <c r="AL529" i="1"/>
  <c r="AK529" i="1"/>
  <c r="AJ529" i="1"/>
  <c r="AI529" i="1"/>
  <c r="BC529" i="1" s="1"/>
  <c r="O529" i="1"/>
  <c r="D529" i="1" s="1"/>
  <c r="F529" i="1"/>
  <c r="E529" i="1"/>
  <c r="EA528" i="1"/>
  <c r="DZ528" i="1"/>
  <c r="DY528" i="1"/>
  <c r="DX528" i="1"/>
  <c r="DW528" i="1"/>
  <c r="DV528" i="1"/>
  <c r="DC528" i="1"/>
  <c r="CW528" i="1" s="1"/>
  <c r="DB528" i="1"/>
  <c r="CV528" i="1" s="1"/>
  <c r="DA528" i="1"/>
  <c r="CZ528" i="1"/>
  <c r="CY528" i="1"/>
  <c r="CS528" i="1" s="1"/>
  <c r="CX528" i="1"/>
  <c r="CR528" i="1" s="1"/>
  <c r="CU528" i="1"/>
  <c r="CT528" i="1"/>
  <c r="CA528" i="1"/>
  <c r="BZ528" i="1"/>
  <c r="BY528" i="1"/>
  <c r="BX528" i="1"/>
  <c r="BW528" i="1"/>
  <c r="BV528" i="1"/>
  <c r="BU528" i="1"/>
  <c r="CC528" i="1" s="1"/>
  <c r="BT528" i="1"/>
  <c r="BS528" i="1"/>
  <c r="AS528" i="1"/>
  <c r="AN528" i="1"/>
  <c r="AM528" i="1"/>
  <c r="AL528" i="1"/>
  <c r="AK528" i="1"/>
  <c r="AJ528" i="1"/>
  <c r="AI528" i="1"/>
  <c r="O528" i="1"/>
  <c r="F528" i="1"/>
  <c r="E528" i="1"/>
  <c r="D528" i="1"/>
  <c r="EA527" i="1"/>
  <c r="DZ527" i="1"/>
  <c r="DY527" i="1"/>
  <c r="DX527" i="1"/>
  <c r="DW527" i="1"/>
  <c r="DV527" i="1"/>
  <c r="DC527" i="1"/>
  <c r="DB527" i="1"/>
  <c r="DA527" i="1"/>
  <c r="CU527" i="1" s="1"/>
  <c r="CZ527" i="1"/>
  <c r="CT527" i="1" s="1"/>
  <c r="CY527" i="1"/>
  <c r="CX527" i="1"/>
  <c r="CW527" i="1"/>
  <c r="CV527" i="1"/>
  <c r="CS527" i="1"/>
  <c r="CR527" i="1"/>
  <c r="BZ527" i="1"/>
  <c r="CA527" i="1" s="1"/>
  <c r="BY527" i="1"/>
  <c r="BX527" i="1"/>
  <c r="BW527" i="1"/>
  <c r="BV527" i="1"/>
  <c r="BU527" i="1"/>
  <c r="BT527" i="1"/>
  <c r="BS527" i="1"/>
  <c r="AS527" i="1"/>
  <c r="AN527" i="1"/>
  <c r="AM527" i="1"/>
  <c r="AL527" i="1"/>
  <c r="AK527" i="1"/>
  <c r="AJ527" i="1"/>
  <c r="AI527" i="1"/>
  <c r="BC527" i="1" s="1"/>
  <c r="O527" i="1"/>
  <c r="D527" i="1" s="1"/>
  <c r="F527" i="1"/>
  <c r="E527" i="1"/>
  <c r="EA526" i="1"/>
  <c r="DZ526" i="1"/>
  <c r="DY526" i="1"/>
  <c r="DX526" i="1"/>
  <c r="DW526" i="1"/>
  <c r="DV526" i="1"/>
  <c r="DC526" i="1"/>
  <c r="CW526" i="1" s="1"/>
  <c r="DB526" i="1"/>
  <c r="CV526" i="1" s="1"/>
  <c r="DA526" i="1"/>
  <c r="CZ526" i="1"/>
  <c r="CY526" i="1"/>
  <c r="CS526" i="1" s="1"/>
  <c r="CX526" i="1"/>
  <c r="CR526" i="1" s="1"/>
  <c r="CU526" i="1"/>
  <c r="CT526" i="1"/>
  <c r="CA526" i="1"/>
  <c r="BZ526" i="1"/>
  <c r="BY526" i="1"/>
  <c r="BX526" i="1"/>
  <c r="BW526" i="1"/>
  <c r="BV526" i="1"/>
  <c r="BU526" i="1"/>
  <c r="CB526" i="1" s="1"/>
  <c r="BT526" i="1"/>
  <c r="BS526" i="1"/>
  <c r="AS526" i="1"/>
  <c r="AN526" i="1"/>
  <c r="AM526" i="1"/>
  <c r="AL526" i="1"/>
  <c r="AK526" i="1"/>
  <c r="AJ526" i="1"/>
  <c r="AI526" i="1"/>
  <c r="O526" i="1"/>
  <c r="D526" i="1" s="1"/>
  <c r="F526" i="1"/>
  <c r="E526" i="1"/>
  <c r="EA525" i="1"/>
  <c r="DZ525" i="1"/>
  <c r="DY525" i="1"/>
  <c r="DX525" i="1"/>
  <c r="DW525" i="1"/>
  <c r="DV525" i="1"/>
  <c r="DC525" i="1"/>
  <c r="DB525" i="1"/>
  <c r="DA525" i="1"/>
  <c r="CU525" i="1" s="1"/>
  <c r="CZ525" i="1"/>
  <c r="CT525" i="1" s="1"/>
  <c r="CY525" i="1"/>
  <c r="CX525" i="1"/>
  <c r="CW525" i="1"/>
  <c r="CV525" i="1"/>
  <c r="CS525" i="1"/>
  <c r="CR525" i="1"/>
  <c r="BZ525" i="1"/>
  <c r="CA525" i="1" s="1"/>
  <c r="BY525" i="1"/>
  <c r="BX525" i="1"/>
  <c r="BW525" i="1"/>
  <c r="BV525" i="1"/>
  <c r="BU525" i="1"/>
  <c r="BT525" i="1"/>
  <c r="BS525" i="1"/>
  <c r="BC525" i="1"/>
  <c r="AS525" i="1"/>
  <c r="AN525" i="1"/>
  <c r="AM525" i="1"/>
  <c r="AL525" i="1"/>
  <c r="AK525" i="1"/>
  <c r="AJ525" i="1"/>
  <c r="AI525" i="1"/>
  <c r="O525" i="1"/>
  <c r="D525" i="1" s="1"/>
  <c r="F525" i="1"/>
  <c r="E525" i="1"/>
  <c r="EA524" i="1"/>
  <c r="DZ524" i="1"/>
  <c r="DY524" i="1"/>
  <c r="DX524" i="1"/>
  <c r="DW524" i="1"/>
  <c r="DV524" i="1"/>
  <c r="DC524" i="1"/>
  <c r="CW524" i="1" s="1"/>
  <c r="DB524" i="1"/>
  <c r="CV524" i="1" s="1"/>
  <c r="DA524" i="1"/>
  <c r="CZ524" i="1"/>
  <c r="CY524" i="1"/>
  <c r="CS524" i="1" s="1"/>
  <c r="CX524" i="1"/>
  <c r="CR524" i="1" s="1"/>
  <c r="CU524" i="1"/>
  <c r="CT524" i="1"/>
  <c r="CA524" i="1"/>
  <c r="BZ524" i="1"/>
  <c r="BY524" i="1"/>
  <c r="BX524" i="1"/>
  <c r="BW524" i="1"/>
  <c r="BV524" i="1"/>
  <c r="BU524" i="1"/>
  <c r="CC524" i="1" s="1"/>
  <c r="BT524" i="1"/>
  <c r="BS524" i="1"/>
  <c r="AS524" i="1"/>
  <c r="AN524" i="1"/>
  <c r="AM524" i="1"/>
  <c r="AL524" i="1"/>
  <c r="AK524" i="1"/>
  <c r="AJ524" i="1"/>
  <c r="AI524" i="1"/>
  <c r="O524" i="1"/>
  <c r="D524" i="1" s="1"/>
  <c r="F524" i="1"/>
  <c r="E524" i="1"/>
  <c r="EA523" i="1"/>
  <c r="DZ523" i="1"/>
  <c r="DY523" i="1"/>
  <c r="DX523" i="1"/>
  <c r="DW523" i="1"/>
  <c r="DV523" i="1"/>
  <c r="DC523" i="1"/>
  <c r="DB523" i="1"/>
  <c r="DA523" i="1"/>
  <c r="CU523" i="1" s="1"/>
  <c r="CZ523" i="1"/>
  <c r="CT523" i="1" s="1"/>
  <c r="CY523" i="1"/>
  <c r="CX523" i="1"/>
  <c r="CW523" i="1"/>
  <c r="CV523" i="1"/>
  <c r="CS523" i="1"/>
  <c r="CR523" i="1"/>
  <c r="BZ523" i="1"/>
  <c r="CA523" i="1" s="1"/>
  <c r="BY523" i="1"/>
  <c r="BX523" i="1"/>
  <c r="BW523" i="1"/>
  <c r="BV523" i="1"/>
  <c r="BU523" i="1"/>
  <c r="BT523" i="1"/>
  <c r="BS523" i="1"/>
  <c r="BC523" i="1"/>
  <c r="AS523" i="1"/>
  <c r="AN523" i="1"/>
  <c r="AM523" i="1"/>
  <c r="AL523" i="1"/>
  <c r="AK523" i="1"/>
  <c r="AJ523" i="1"/>
  <c r="AI523" i="1"/>
  <c r="O523" i="1"/>
  <c r="D523" i="1" s="1"/>
  <c r="F523" i="1"/>
  <c r="E523" i="1"/>
  <c r="EA522" i="1"/>
  <c r="DZ522" i="1"/>
  <c r="DY522" i="1"/>
  <c r="DX522" i="1"/>
  <c r="DW522" i="1"/>
  <c r="DV522" i="1"/>
  <c r="DC522" i="1"/>
  <c r="CW522" i="1" s="1"/>
  <c r="DB522" i="1"/>
  <c r="CV522" i="1" s="1"/>
  <c r="DA522" i="1"/>
  <c r="CZ522" i="1"/>
  <c r="CY522" i="1"/>
  <c r="CS522" i="1" s="1"/>
  <c r="CX522" i="1"/>
  <c r="CR522" i="1" s="1"/>
  <c r="CU522" i="1"/>
  <c r="CT522" i="1"/>
  <c r="CA522" i="1"/>
  <c r="BZ522" i="1"/>
  <c r="BY522" i="1"/>
  <c r="BX522" i="1"/>
  <c r="BW522" i="1"/>
  <c r="BV522" i="1"/>
  <c r="BU522" i="1"/>
  <c r="CB522" i="1" s="1"/>
  <c r="BT522" i="1"/>
  <c r="BS522" i="1"/>
  <c r="AS522" i="1"/>
  <c r="AN522" i="1"/>
  <c r="AM522" i="1"/>
  <c r="AL522" i="1"/>
  <c r="AK522" i="1"/>
  <c r="AJ522" i="1"/>
  <c r="AI522" i="1"/>
  <c r="O522" i="1"/>
  <c r="F522" i="1"/>
  <c r="E522" i="1"/>
  <c r="D522" i="1"/>
  <c r="EA521" i="1"/>
  <c r="DZ521" i="1"/>
  <c r="DY521" i="1"/>
  <c r="DX521" i="1"/>
  <c r="DW521" i="1"/>
  <c r="DV521" i="1"/>
  <c r="DC521" i="1"/>
  <c r="DB521" i="1"/>
  <c r="DA521" i="1"/>
  <c r="CU521" i="1" s="1"/>
  <c r="CZ521" i="1"/>
  <c r="CT521" i="1" s="1"/>
  <c r="CY521" i="1"/>
  <c r="CX521" i="1"/>
  <c r="CW521" i="1"/>
  <c r="CV521" i="1"/>
  <c r="CS521" i="1"/>
  <c r="CR521" i="1"/>
  <c r="BZ521" i="1"/>
  <c r="CA521" i="1" s="1"/>
  <c r="BY521" i="1"/>
  <c r="BX521" i="1"/>
  <c r="BW521" i="1"/>
  <c r="BV521" i="1"/>
  <c r="BU521" i="1"/>
  <c r="BT521" i="1"/>
  <c r="BS521" i="1"/>
  <c r="AS521" i="1"/>
  <c r="AN521" i="1"/>
  <c r="AM521" i="1"/>
  <c r="AL521" i="1"/>
  <c r="AK521" i="1"/>
  <c r="AJ521" i="1"/>
  <c r="AI521" i="1"/>
  <c r="BC521" i="1" s="1"/>
  <c r="O521" i="1"/>
  <c r="D521" i="1" s="1"/>
  <c r="F521" i="1"/>
  <c r="E521" i="1"/>
  <c r="EA520" i="1"/>
  <c r="DZ520" i="1"/>
  <c r="DY520" i="1"/>
  <c r="DX520" i="1"/>
  <c r="DW520" i="1"/>
  <c r="DV520" i="1"/>
  <c r="DC520" i="1"/>
  <c r="CW520" i="1" s="1"/>
  <c r="DB520" i="1"/>
  <c r="CV520" i="1" s="1"/>
  <c r="DA520" i="1"/>
  <c r="CZ520" i="1"/>
  <c r="CY520" i="1"/>
  <c r="CS520" i="1" s="1"/>
  <c r="CX520" i="1"/>
  <c r="CR520" i="1" s="1"/>
  <c r="CU520" i="1"/>
  <c r="CT520" i="1"/>
  <c r="CA520" i="1"/>
  <c r="BZ520" i="1"/>
  <c r="BY520" i="1"/>
  <c r="BX520" i="1"/>
  <c r="BW520" i="1"/>
  <c r="BV520" i="1"/>
  <c r="BU520" i="1"/>
  <c r="CC520" i="1" s="1"/>
  <c r="BT520" i="1"/>
  <c r="BS520" i="1"/>
  <c r="AS520" i="1"/>
  <c r="AN520" i="1"/>
  <c r="AM520" i="1"/>
  <c r="AL520" i="1"/>
  <c r="AK520" i="1"/>
  <c r="AJ520" i="1"/>
  <c r="AI520" i="1"/>
  <c r="O520" i="1"/>
  <c r="F520" i="1"/>
  <c r="E520" i="1"/>
  <c r="D520" i="1"/>
  <c r="EA519" i="1"/>
  <c r="DZ519" i="1"/>
  <c r="DY519" i="1"/>
  <c r="DX519" i="1"/>
  <c r="DW519" i="1"/>
  <c r="DV519" i="1"/>
  <c r="DC519" i="1"/>
  <c r="DB519" i="1"/>
  <c r="DA519" i="1"/>
  <c r="CU519" i="1" s="1"/>
  <c r="CZ519" i="1"/>
  <c r="CT519" i="1" s="1"/>
  <c r="CY519" i="1"/>
  <c r="CX519" i="1"/>
  <c r="CW519" i="1"/>
  <c r="CV519" i="1"/>
  <c r="CS519" i="1"/>
  <c r="CR519" i="1"/>
  <c r="BZ519" i="1"/>
  <c r="CA519" i="1" s="1"/>
  <c r="BY519" i="1"/>
  <c r="BX519" i="1"/>
  <c r="BW519" i="1"/>
  <c r="BV519" i="1"/>
  <c r="BU519" i="1"/>
  <c r="BT519" i="1"/>
  <c r="BS519" i="1"/>
  <c r="AS519" i="1"/>
  <c r="AN519" i="1"/>
  <c r="AM519" i="1"/>
  <c r="AL519" i="1"/>
  <c r="AK519" i="1"/>
  <c r="AJ519" i="1"/>
  <c r="AI519" i="1"/>
  <c r="BC519" i="1" s="1"/>
  <c r="O519" i="1"/>
  <c r="D519" i="1" s="1"/>
  <c r="F519" i="1"/>
  <c r="E519" i="1"/>
  <c r="EA518" i="1"/>
  <c r="DZ518" i="1"/>
  <c r="DY518" i="1"/>
  <c r="DX518" i="1"/>
  <c r="DW518" i="1"/>
  <c r="DV518" i="1"/>
  <c r="DC518" i="1"/>
  <c r="CW518" i="1" s="1"/>
  <c r="DB518" i="1"/>
  <c r="CV518" i="1" s="1"/>
  <c r="DA518" i="1"/>
  <c r="CZ518" i="1"/>
  <c r="CY518" i="1"/>
  <c r="CS518" i="1" s="1"/>
  <c r="CX518" i="1"/>
  <c r="CR518" i="1" s="1"/>
  <c r="CU518" i="1"/>
  <c r="CT518" i="1"/>
  <c r="CA518" i="1"/>
  <c r="BZ518" i="1"/>
  <c r="BY518" i="1"/>
  <c r="BX518" i="1"/>
  <c r="BW518" i="1"/>
  <c r="BV518" i="1"/>
  <c r="BU518" i="1"/>
  <c r="CB518" i="1" s="1"/>
  <c r="BT518" i="1"/>
  <c r="BS518" i="1"/>
  <c r="AS518" i="1"/>
  <c r="AN518" i="1"/>
  <c r="AM518" i="1"/>
  <c r="AL518" i="1"/>
  <c r="AK518" i="1"/>
  <c r="AJ518" i="1"/>
  <c r="AI518" i="1"/>
  <c r="O518" i="1"/>
  <c r="D518" i="1" s="1"/>
  <c r="F518" i="1"/>
  <c r="E518" i="1"/>
  <c r="EA517" i="1"/>
  <c r="DZ517" i="1"/>
  <c r="DY517" i="1"/>
  <c r="DX517" i="1"/>
  <c r="DW517" i="1"/>
  <c r="DV517" i="1"/>
  <c r="DC517" i="1"/>
  <c r="DB517" i="1"/>
  <c r="DA517" i="1"/>
  <c r="CU517" i="1" s="1"/>
  <c r="CZ517" i="1"/>
  <c r="CT517" i="1" s="1"/>
  <c r="CY517" i="1"/>
  <c r="CX517" i="1"/>
  <c r="CW517" i="1"/>
  <c r="CV517" i="1"/>
  <c r="CS517" i="1"/>
  <c r="CR517" i="1"/>
  <c r="BZ517" i="1"/>
  <c r="CA517" i="1" s="1"/>
  <c r="BY517" i="1"/>
  <c r="BX517" i="1"/>
  <c r="BW517" i="1"/>
  <c r="BV517" i="1"/>
  <c r="BU517" i="1"/>
  <c r="BT517" i="1"/>
  <c r="BS517" i="1"/>
  <c r="BC517" i="1"/>
  <c r="AS517" i="1"/>
  <c r="AN517" i="1"/>
  <c r="AM517" i="1"/>
  <c r="AL517" i="1"/>
  <c r="AK517" i="1"/>
  <c r="AJ517" i="1"/>
  <c r="AI517" i="1"/>
  <c r="O517" i="1"/>
  <c r="D517" i="1" s="1"/>
  <c r="F517" i="1"/>
  <c r="E517" i="1"/>
  <c r="EA516" i="1"/>
  <c r="DZ516" i="1"/>
  <c r="DY516" i="1"/>
  <c r="DX516" i="1"/>
  <c r="DW516" i="1"/>
  <c r="DV516" i="1"/>
  <c r="DC516" i="1"/>
  <c r="CW516" i="1" s="1"/>
  <c r="DB516" i="1"/>
  <c r="CV516" i="1" s="1"/>
  <c r="DA516" i="1"/>
  <c r="CZ516" i="1"/>
  <c r="CY516" i="1"/>
  <c r="CS516" i="1" s="1"/>
  <c r="CX516" i="1"/>
  <c r="CR516" i="1" s="1"/>
  <c r="CU516" i="1"/>
  <c r="CT516" i="1"/>
  <c r="CA516" i="1"/>
  <c r="BZ516" i="1"/>
  <c r="BY516" i="1"/>
  <c r="BX516" i="1"/>
  <c r="BW516" i="1"/>
  <c r="BV516" i="1"/>
  <c r="BU516" i="1"/>
  <c r="CC516" i="1" s="1"/>
  <c r="BT516" i="1"/>
  <c r="BS516" i="1"/>
  <c r="AS516" i="1"/>
  <c r="AN516" i="1"/>
  <c r="AM516" i="1"/>
  <c r="AL516" i="1"/>
  <c r="AK516" i="1"/>
  <c r="AJ516" i="1"/>
  <c r="AI516" i="1"/>
  <c r="O516" i="1"/>
  <c r="D516" i="1" s="1"/>
  <c r="F516" i="1"/>
  <c r="E516" i="1"/>
  <c r="EA515" i="1"/>
  <c r="DZ515" i="1"/>
  <c r="DY515" i="1"/>
  <c r="DX515" i="1"/>
  <c r="DW515" i="1"/>
  <c r="DV515" i="1"/>
  <c r="DC515" i="1"/>
  <c r="DB515" i="1"/>
  <c r="DA515" i="1"/>
  <c r="CU515" i="1" s="1"/>
  <c r="CZ515" i="1"/>
  <c r="CT515" i="1" s="1"/>
  <c r="CY515" i="1"/>
  <c r="CX515" i="1"/>
  <c r="CW515" i="1"/>
  <c r="CV515" i="1"/>
  <c r="CS515" i="1"/>
  <c r="CR515" i="1"/>
  <c r="BZ515" i="1"/>
  <c r="CA515" i="1" s="1"/>
  <c r="BY515" i="1"/>
  <c r="BX515" i="1"/>
  <c r="BW515" i="1"/>
  <c r="BV515" i="1"/>
  <c r="BU515" i="1"/>
  <c r="BT515" i="1"/>
  <c r="BS515" i="1"/>
  <c r="BC515" i="1"/>
  <c r="AS515" i="1"/>
  <c r="AN515" i="1"/>
  <c r="AM515" i="1"/>
  <c r="AL515" i="1"/>
  <c r="AK515" i="1"/>
  <c r="AJ515" i="1"/>
  <c r="AI515" i="1"/>
  <c r="O515" i="1"/>
  <c r="D515" i="1" s="1"/>
  <c r="F515" i="1"/>
  <c r="E515" i="1"/>
  <c r="EA514" i="1"/>
  <c r="DZ514" i="1"/>
  <c r="DY514" i="1"/>
  <c r="DX514" i="1"/>
  <c r="DW514" i="1"/>
  <c r="DV514" i="1"/>
  <c r="DC514" i="1"/>
  <c r="CW514" i="1" s="1"/>
  <c r="DB514" i="1"/>
  <c r="CV514" i="1" s="1"/>
  <c r="DA514" i="1"/>
  <c r="CZ514" i="1"/>
  <c r="CY514" i="1"/>
  <c r="CS514" i="1" s="1"/>
  <c r="CX514" i="1"/>
  <c r="CR514" i="1" s="1"/>
  <c r="CU514" i="1"/>
  <c r="CT514" i="1"/>
  <c r="CA514" i="1"/>
  <c r="BZ514" i="1"/>
  <c r="BY514" i="1"/>
  <c r="BX514" i="1"/>
  <c r="BW514" i="1"/>
  <c r="BV514" i="1"/>
  <c r="BU514" i="1"/>
  <c r="CB514" i="1" s="1"/>
  <c r="BT514" i="1"/>
  <c r="BS514" i="1"/>
  <c r="AS514" i="1"/>
  <c r="AN514" i="1"/>
  <c r="AM514" i="1"/>
  <c r="AL514" i="1"/>
  <c r="AK514" i="1"/>
  <c r="AJ514" i="1"/>
  <c r="AI514" i="1"/>
  <c r="O514" i="1"/>
  <c r="D514" i="1" s="1"/>
  <c r="F514" i="1"/>
  <c r="E514" i="1"/>
  <c r="EA513" i="1"/>
  <c r="DZ513" i="1"/>
  <c r="DY513" i="1"/>
  <c r="DX513" i="1"/>
  <c r="DW513" i="1"/>
  <c r="DV513" i="1"/>
  <c r="DC513" i="1"/>
  <c r="DB513" i="1"/>
  <c r="DA513" i="1"/>
  <c r="CU513" i="1" s="1"/>
  <c r="CZ513" i="1"/>
  <c r="CT513" i="1" s="1"/>
  <c r="CY513" i="1"/>
  <c r="CX513" i="1"/>
  <c r="CW513" i="1"/>
  <c r="CV513" i="1"/>
  <c r="CS513" i="1"/>
  <c r="CR513" i="1"/>
  <c r="BZ513" i="1"/>
  <c r="CA513" i="1" s="1"/>
  <c r="BY513" i="1"/>
  <c r="BX513" i="1"/>
  <c r="BW513" i="1"/>
  <c r="BV513" i="1"/>
  <c r="BU513" i="1"/>
  <c r="BT513" i="1"/>
  <c r="BS513" i="1"/>
  <c r="BC513" i="1"/>
  <c r="AS513" i="1"/>
  <c r="AN513" i="1"/>
  <c r="AM513" i="1"/>
  <c r="AL513" i="1"/>
  <c r="AK513" i="1"/>
  <c r="AJ513" i="1"/>
  <c r="AI513" i="1"/>
  <c r="O513" i="1"/>
  <c r="D513" i="1" s="1"/>
  <c r="F513" i="1"/>
  <c r="E513" i="1"/>
  <c r="EA512" i="1"/>
  <c r="DZ512" i="1"/>
  <c r="DY512" i="1"/>
  <c r="DX512" i="1"/>
  <c r="DW512" i="1"/>
  <c r="DV512" i="1"/>
  <c r="DC512" i="1"/>
  <c r="CW512" i="1" s="1"/>
  <c r="DB512" i="1"/>
  <c r="CV512" i="1" s="1"/>
  <c r="DA512" i="1"/>
  <c r="CZ512" i="1"/>
  <c r="CY512" i="1"/>
  <c r="CS512" i="1" s="1"/>
  <c r="CX512" i="1"/>
  <c r="CR512" i="1" s="1"/>
  <c r="CU512" i="1"/>
  <c r="CT512" i="1"/>
  <c r="CA512" i="1"/>
  <c r="BZ512" i="1"/>
  <c r="BY512" i="1"/>
  <c r="BX512" i="1"/>
  <c r="BW512" i="1"/>
  <c r="BV512" i="1"/>
  <c r="BU512" i="1"/>
  <c r="CC512" i="1" s="1"/>
  <c r="BT512" i="1"/>
  <c r="BS512" i="1"/>
  <c r="AS512" i="1"/>
  <c r="AN512" i="1"/>
  <c r="AM512" i="1"/>
  <c r="AL512" i="1"/>
  <c r="AK512" i="1"/>
  <c r="AJ512" i="1"/>
  <c r="AI512" i="1"/>
  <c r="O512" i="1"/>
  <c r="F512" i="1"/>
  <c r="E512" i="1"/>
  <c r="D512" i="1"/>
  <c r="EA511" i="1"/>
  <c r="DZ511" i="1"/>
  <c r="DY511" i="1"/>
  <c r="DX511" i="1"/>
  <c r="DW511" i="1"/>
  <c r="DV511" i="1"/>
  <c r="DC511" i="1"/>
  <c r="DB511" i="1"/>
  <c r="DA511" i="1"/>
  <c r="CU511" i="1" s="1"/>
  <c r="CZ511" i="1"/>
  <c r="CT511" i="1" s="1"/>
  <c r="CY511" i="1"/>
  <c r="CX511" i="1"/>
  <c r="CW511" i="1"/>
  <c r="CV511" i="1"/>
  <c r="CS511" i="1"/>
  <c r="CR511" i="1"/>
  <c r="BZ511" i="1"/>
  <c r="CA511" i="1" s="1"/>
  <c r="BY511" i="1"/>
  <c r="BX511" i="1"/>
  <c r="BW511" i="1"/>
  <c r="BV511" i="1"/>
  <c r="BU511" i="1"/>
  <c r="BT511" i="1"/>
  <c r="BS511" i="1"/>
  <c r="AS511" i="1"/>
  <c r="AN511" i="1"/>
  <c r="AM511" i="1"/>
  <c r="AL511" i="1"/>
  <c r="AK511" i="1"/>
  <c r="AJ511" i="1"/>
  <c r="AI511" i="1"/>
  <c r="BC511" i="1" s="1"/>
  <c r="O511" i="1"/>
  <c r="D511" i="1" s="1"/>
  <c r="F511" i="1"/>
  <c r="E511" i="1"/>
  <c r="EA510" i="1"/>
  <c r="DZ510" i="1"/>
  <c r="DY510" i="1"/>
  <c r="DX510" i="1"/>
  <c r="DW510" i="1"/>
  <c r="DV510" i="1"/>
  <c r="DC510" i="1"/>
  <c r="CW510" i="1" s="1"/>
  <c r="DB510" i="1"/>
  <c r="CV510" i="1" s="1"/>
  <c r="DA510" i="1"/>
  <c r="CZ510" i="1"/>
  <c r="CY510" i="1"/>
  <c r="CS510" i="1" s="1"/>
  <c r="CX510" i="1"/>
  <c r="CR510" i="1" s="1"/>
  <c r="CU510" i="1"/>
  <c r="CT510" i="1"/>
  <c r="CA510" i="1"/>
  <c r="BZ510" i="1"/>
  <c r="BY510" i="1"/>
  <c r="BX510" i="1"/>
  <c r="BW510" i="1"/>
  <c r="BV510" i="1"/>
  <c r="BU510" i="1"/>
  <c r="CB510" i="1" s="1"/>
  <c r="BT510" i="1"/>
  <c r="BS510" i="1"/>
  <c r="AS510" i="1"/>
  <c r="AN510" i="1"/>
  <c r="AM510" i="1"/>
  <c r="AL510" i="1"/>
  <c r="AK510" i="1"/>
  <c r="AJ510" i="1"/>
  <c r="AI510" i="1"/>
  <c r="O510" i="1"/>
  <c r="D510" i="1" s="1"/>
  <c r="F510" i="1"/>
  <c r="E510" i="1"/>
  <c r="EA509" i="1"/>
  <c r="DZ509" i="1"/>
  <c r="DY509" i="1"/>
  <c r="DX509" i="1"/>
  <c r="DW509" i="1"/>
  <c r="DV509" i="1"/>
  <c r="DC509" i="1"/>
  <c r="DB509" i="1"/>
  <c r="DA509" i="1"/>
  <c r="CU509" i="1" s="1"/>
  <c r="CZ509" i="1"/>
  <c r="CT509" i="1" s="1"/>
  <c r="CY509" i="1"/>
  <c r="CX509" i="1"/>
  <c r="CW509" i="1"/>
  <c r="CV509" i="1"/>
  <c r="CS509" i="1"/>
  <c r="CR509" i="1"/>
  <c r="BZ509" i="1"/>
  <c r="CA509" i="1" s="1"/>
  <c r="BY509" i="1"/>
  <c r="BX509" i="1"/>
  <c r="BW509" i="1"/>
  <c r="BV509" i="1"/>
  <c r="BU509" i="1"/>
  <c r="BT509" i="1"/>
  <c r="BS509" i="1"/>
  <c r="BC509" i="1"/>
  <c r="AS509" i="1"/>
  <c r="AN509" i="1"/>
  <c r="AM509" i="1"/>
  <c r="AL509" i="1"/>
  <c r="AK509" i="1"/>
  <c r="AJ509" i="1"/>
  <c r="AI509" i="1"/>
  <c r="O509" i="1"/>
  <c r="D509" i="1" s="1"/>
  <c r="F509" i="1"/>
  <c r="E509" i="1"/>
  <c r="EA508" i="1"/>
  <c r="DZ508" i="1"/>
  <c r="DY508" i="1"/>
  <c r="DX508" i="1"/>
  <c r="DW508" i="1"/>
  <c r="DV508" i="1"/>
  <c r="DC508" i="1"/>
  <c r="CW508" i="1" s="1"/>
  <c r="DB508" i="1"/>
  <c r="CV508" i="1" s="1"/>
  <c r="DA508" i="1"/>
  <c r="CZ508" i="1"/>
  <c r="CY508" i="1"/>
  <c r="CS508" i="1" s="1"/>
  <c r="CX508" i="1"/>
  <c r="CR508" i="1" s="1"/>
  <c r="CU508" i="1"/>
  <c r="CT508" i="1"/>
  <c r="CA508" i="1"/>
  <c r="BZ508" i="1"/>
  <c r="BY508" i="1"/>
  <c r="BX508" i="1"/>
  <c r="BW508" i="1"/>
  <c r="BV508" i="1"/>
  <c r="BU508" i="1"/>
  <c r="CC508" i="1" s="1"/>
  <c r="BT508" i="1"/>
  <c r="BS508" i="1"/>
  <c r="AS508" i="1"/>
  <c r="AN508" i="1"/>
  <c r="AM508" i="1"/>
  <c r="AL508" i="1"/>
  <c r="AK508" i="1"/>
  <c r="AJ508" i="1"/>
  <c r="AI508" i="1"/>
  <c r="O508" i="1"/>
  <c r="D508" i="1" s="1"/>
  <c r="F508" i="1"/>
  <c r="E508" i="1"/>
  <c r="EA507" i="1"/>
  <c r="DZ507" i="1"/>
  <c r="DY507" i="1"/>
  <c r="DX507" i="1"/>
  <c r="DW507" i="1"/>
  <c r="DV507" i="1"/>
  <c r="DC507" i="1"/>
  <c r="DB507" i="1"/>
  <c r="DA507" i="1"/>
  <c r="CU507" i="1" s="1"/>
  <c r="CZ507" i="1"/>
  <c r="CT507" i="1" s="1"/>
  <c r="CY507" i="1"/>
  <c r="CX507" i="1"/>
  <c r="CW507" i="1"/>
  <c r="CV507" i="1"/>
  <c r="CS507" i="1"/>
  <c r="CR507" i="1"/>
  <c r="BZ507" i="1"/>
  <c r="CA507" i="1" s="1"/>
  <c r="BY507" i="1"/>
  <c r="BX507" i="1"/>
  <c r="BW507" i="1"/>
  <c r="BV507" i="1"/>
  <c r="BU507" i="1"/>
  <c r="BT507" i="1"/>
  <c r="BS507" i="1"/>
  <c r="BC507" i="1"/>
  <c r="AS507" i="1"/>
  <c r="AN507" i="1"/>
  <c r="AM507" i="1"/>
  <c r="AL507" i="1"/>
  <c r="AK507" i="1"/>
  <c r="AJ507" i="1"/>
  <c r="AI507" i="1"/>
  <c r="O507" i="1"/>
  <c r="D507" i="1" s="1"/>
  <c r="F507" i="1"/>
  <c r="E507" i="1"/>
  <c r="EA506" i="1"/>
  <c r="DZ506" i="1"/>
  <c r="DY506" i="1"/>
  <c r="DX506" i="1"/>
  <c r="DW506" i="1"/>
  <c r="DV506" i="1"/>
  <c r="DC506" i="1"/>
  <c r="CW506" i="1" s="1"/>
  <c r="DB506" i="1"/>
  <c r="CV506" i="1" s="1"/>
  <c r="DA506" i="1"/>
  <c r="CZ506" i="1"/>
  <c r="CY506" i="1"/>
  <c r="CS506" i="1" s="1"/>
  <c r="CX506" i="1"/>
  <c r="CR506" i="1" s="1"/>
  <c r="CU506" i="1"/>
  <c r="CT506" i="1"/>
  <c r="CA506" i="1"/>
  <c r="BZ506" i="1"/>
  <c r="BY506" i="1"/>
  <c r="BX506" i="1"/>
  <c r="BW506" i="1"/>
  <c r="BV506" i="1"/>
  <c r="BU506" i="1"/>
  <c r="CB506" i="1" s="1"/>
  <c r="BT506" i="1"/>
  <c r="BS506" i="1"/>
  <c r="BA506" i="1"/>
  <c r="BA507" i="1" s="1"/>
  <c r="BA508" i="1" s="1"/>
  <c r="BA509" i="1" s="1"/>
  <c r="BA510" i="1" s="1"/>
  <c r="BA511" i="1" s="1"/>
  <c r="BA512" i="1" s="1"/>
  <c r="BA513" i="1" s="1"/>
  <c r="BA514" i="1" s="1"/>
  <c r="BA515" i="1" s="1"/>
  <c r="BA516" i="1" s="1"/>
  <c r="BA517" i="1" s="1"/>
  <c r="BA518" i="1" s="1"/>
  <c r="BA519" i="1" s="1"/>
  <c r="BA520" i="1" s="1"/>
  <c r="BA521" i="1" s="1"/>
  <c r="BA522" i="1" s="1"/>
  <c r="BA523" i="1" s="1"/>
  <c r="BA524" i="1" s="1"/>
  <c r="BA525" i="1" s="1"/>
  <c r="BA526" i="1" s="1"/>
  <c r="BA527" i="1" s="1"/>
  <c r="BA528" i="1" s="1"/>
  <c r="BA529" i="1" s="1"/>
  <c r="BA530" i="1" s="1"/>
  <c r="BA531" i="1" s="1"/>
  <c r="BA532" i="1" s="1"/>
  <c r="BA533" i="1" s="1"/>
  <c r="BA534" i="1" s="1"/>
  <c r="BA535" i="1" s="1"/>
  <c r="BA536" i="1" s="1"/>
  <c r="BA537" i="1" s="1"/>
  <c r="BA538" i="1" s="1"/>
  <c r="BA539" i="1" s="1"/>
  <c r="BA540" i="1" s="1"/>
  <c r="BA541" i="1" s="1"/>
  <c r="BA542" i="1" s="1"/>
  <c r="BA543" i="1" s="1"/>
  <c r="BA544" i="1" s="1"/>
  <c r="BA545" i="1" s="1"/>
  <c r="BA546" i="1" s="1"/>
  <c r="BA547" i="1" s="1"/>
  <c r="BA548" i="1" s="1"/>
  <c r="BA549" i="1" s="1"/>
  <c r="BA550" i="1" s="1"/>
  <c r="BA551" i="1" s="1"/>
  <c r="BA552" i="1" s="1"/>
  <c r="AS506" i="1"/>
  <c r="AN506" i="1"/>
  <c r="AM506" i="1"/>
  <c r="AL506" i="1"/>
  <c r="AK506" i="1"/>
  <c r="AJ506" i="1"/>
  <c r="AI506" i="1"/>
  <c r="O506" i="1"/>
  <c r="D506" i="1" s="1"/>
  <c r="F506" i="1"/>
  <c r="E506" i="1"/>
  <c r="EA505" i="1"/>
  <c r="DZ505" i="1"/>
  <c r="DY505" i="1"/>
  <c r="DX505" i="1"/>
  <c r="DW505" i="1"/>
  <c r="DV505" i="1"/>
  <c r="DC505" i="1"/>
  <c r="DB505" i="1"/>
  <c r="DA505" i="1"/>
  <c r="CU505" i="1" s="1"/>
  <c r="CZ505" i="1"/>
  <c r="CT505" i="1" s="1"/>
  <c r="CY505" i="1"/>
  <c r="CX505" i="1"/>
  <c r="CW505" i="1"/>
  <c r="CV505" i="1"/>
  <c r="CS505" i="1"/>
  <c r="CR505" i="1"/>
  <c r="BZ505" i="1"/>
  <c r="CA505" i="1" s="1"/>
  <c r="BY505" i="1"/>
  <c r="BX505" i="1"/>
  <c r="BW505" i="1"/>
  <c r="BV505" i="1"/>
  <c r="BU505" i="1"/>
  <c r="BT505" i="1"/>
  <c r="BS505" i="1"/>
  <c r="AS505" i="1"/>
  <c r="AN505" i="1"/>
  <c r="AM505" i="1"/>
  <c r="AL505" i="1"/>
  <c r="AK505" i="1"/>
  <c r="AJ505" i="1"/>
  <c r="AI505" i="1"/>
  <c r="BC505" i="1" s="1"/>
  <c r="O505" i="1"/>
  <c r="D505" i="1" s="1"/>
  <c r="F505" i="1"/>
  <c r="E505" i="1"/>
  <c r="EA504" i="1"/>
  <c r="DZ504" i="1"/>
  <c r="DY504" i="1"/>
  <c r="DX504" i="1"/>
  <c r="DW504" i="1"/>
  <c r="DV504" i="1"/>
  <c r="DC504" i="1"/>
  <c r="CW504" i="1" s="1"/>
  <c r="DB504" i="1"/>
  <c r="CV504" i="1" s="1"/>
  <c r="DA504" i="1"/>
  <c r="CZ504" i="1"/>
  <c r="CY504" i="1"/>
  <c r="CS504" i="1" s="1"/>
  <c r="CX504" i="1"/>
  <c r="CR504" i="1" s="1"/>
  <c r="CU504" i="1"/>
  <c r="CT504" i="1"/>
  <c r="CA504" i="1"/>
  <c r="BZ504" i="1"/>
  <c r="BY504" i="1"/>
  <c r="BX504" i="1"/>
  <c r="BW504" i="1"/>
  <c r="BV504" i="1"/>
  <c r="BU504" i="1"/>
  <c r="CC504" i="1" s="1"/>
  <c r="BT504" i="1"/>
  <c r="BS504" i="1"/>
  <c r="BA504" i="1"/>
  <c r="BA505" i="1" s="1"/>
  <c r="AS504" i="1"/>
  <c r="AN504" i="1"/>
  <c r="AM504" i="1"/>
  <c r="AL504" i="1"/>
  <c r="AK504" i="1"/>
  <c r="AJ504" i="1"/>
  <c r="AI504" i="1"/>
  <c r="O504" i="1"/>
  <c r="D504" i="1" s="1"/>
  <c r="F504" i="1"/>
  <c r="E504" i="1"/>
  <c r="EA503" i="1"/>
  <c r="DZ503" i="1"/>
  <c r="DY503" i="1"/>
  <c r="DX503" i="1"/>
  <c r="DW503" i="1"/>
  <c r="DV503" i="1"/>
  <c r="DC503" i="1"/>
  <c r="DB503" i="1"/>
  <c r="DA503" i="1"/>
  <c r="CU503" i="1" s="1"/>
  <c r="CZ503" i="1"/>
  <c r="CT503" i="1" s="1"/>
  <c r="CY503" i="1"/>
  <c r="CX503" i="1"/>
  <c r="CW503" i="1"/>
  <c r="CV503" i="1"/>
  <c r="CS503" i="1"/>
  <c r="CR503" i="1"/>
  <c r="BZ503" i="1"/>
  <c r="CA503" i="1" s="1"/>
  <c r="BY503" i="1"/>
  <c r="BX503" i="1"/>
  <c r="BW503" i="1"/>
  <c r="BV503" i="1"/>
  <c r="BU503" i="1"/>
  <c r="BT503" i="1"/>
  <c r="BS503" i="1"/>
  <c r="AS503" i="1"/>
  <c r="AN503" i="1"/>
  <c r="AM503" i="1"/>
  <c r="AL503" i="1"/>
  <c r="AK503" i="1"/>
  <c r="AJ503" i="1"/>
  <c r="AI503" i="1"/>
  <c r="BC503" i="1" s="1"/>
  <c r="O503" i="1"/>
  <c r="D503" i="1" s="1"/>
  <c r="F503" i="1"/>
  <c r="E503" i="1"/>
  <c r="EA502" i="1"/>
  <c r="DZ502" i="1"/>
  <c r="DY502" i="1"/>
  <c r="DX502" i="1"/>
  <c r="DW502" i="1"/>
  <c r="DV502" i="1"/>
  <c r="DC502" i="1"/>
  <c r="DB502" i="1"/>
  <c r="CV502" i="1" s="1"/>
  <c r="DA502" i="1"/>
  <c r="CU502" i="1" s="1"/>
  <c r="CZ502" i="1"/>
  <c r="CY502" i="1"/>
  <c r="CX502" i="1"/>
  <c r="CR502" i="1" s="1"/>
  <c r="CW502" i="1"/>
  <c r="CT502" i="1"/>
  <c r="CS502" i="1"/>
  <c r="CB502" i="1"/>
  <c r="CA502" i="1"/>
  <c r="BZ502" i="1"/>
  <c r="BY502" i="1"/>
  <c r="BX502" i="1"/>
  <c r="BW502" i="1"/>
  <c r="BV502" i="1"/>
  <c r="BU502" i="1"/>
  <c r="CC502" i="1" s="1"/>
  <c r="BT502" i="1"/>
  <c r="BS502" i="1"/>
  <c r="AS502" i="1"/>
  <c r="AN502" i="1"/>
  <c r="AM502" i="1"/>
  <c r="AL502" i="1"/>
  <c r="AK502" i="1"/>
  <c r="AJ502" i="1"/>
  <c r="AI502" i="1"/>
  <c r="BC502" i="1" s="1"/>
  <c r="O502" i="1"/>
  <c r="D502" i="1" s="1"/>
  <c r="F502" i="1"/>
  <c r="E502" i="1"/>
  <c r="EA501" i="1"/>
  <c r="DZ501" i="1"/>
  <c r="DY501" i="1"/>
  <c r="DX501" i="1"/>
  <c r="DW501" i="1"/>
  <c r="DV501" i="1"/>
  <c r="DC501" i="1"/>
  <c r="CW501" i="1" s="1"/>
  <c r="DB501" i="1"/>
  <c r="DA501" i="1"/>
  <c r="CZ501" i="1"/>
  <c r="CT501" i="1" s="1"/>
  <c r="CY501" i="1"/>
  <c r="CS501" i="1" s="1"/>
  <c r="CX501" i="1"/>
  <c r="CV501" i="1"/>
  <c r="CU501" i="1"/>
  <c r="CR501" i="1"/>
  <c r="BZ501" i="1"/>
  <c r="CA501" i="1" s="1"/>
  <c r="BY501" i="1"/>
  <c r="BX501" i="1"/>
  <c r="BW501" i="1"/>
  <c r="BV501" i="1"/>
  <c r="BU501" i="1"/>
  <c r="BT501" i="1"/>
  <c r="BS501" i="1"/>
  <c r="AS501" i="1"/>
  <c r="AN501" i="1"/>
  <c r="AM501" i="1"/>
  <c r="AL501" i="1"/>
  <c r="AK501" i="1"/>
  <c r="AJ501" i="1"/>
  <c r="AI501" i="1"/>
  <c r="O501" i="1"/>
  <c r="D501" i="1" s="1"/>
  <c r="F501" i="1"/>
  <c r="E501" i="1"/>
  <c r="EA500" i="1"/>
  <c r="DZ500" i="1"/>
  <c r="DY500" i="1"/>
  <c r="DX500" i="1"/>
  <c r="DW500" i="1"/>
  <c r="DV500" i="1"/>
  <c r="DC500" i="1"/>
  <c r="DB500" i="1"/>
  <c r="CV500" i="1" s="1"/>
  <c r="DA500" i="1"/>
  <c r="CU500" i="1" s="1"/>
  <c r="CZ500" i="1"/>
  <c r="CY500" i="1"/>
  <c r="CX500" i="1"/>
  <c r="CR500" i="1" s="1"/>
  <c r="CW500" i="1"/>
  <c r="CT500" i="1"/>
  <c r="CS500" i="1"/>
  <c r="CB500" i="1"/>
  <c r="CA500" i="1"/>
  <c r="BZ500" i="1"/>
  <c r="BY500" i="1"/>
  <c r="BX500" i="1"/>
  <c r="BW500" i="1"/>
  <c r="BV500" i="1"/>
  <c r="BU500" i="1"/>
  <c r="BT500" i="1"/>
  <c r="BS500" i="1"/>
  <c r="AS500" i="1"/>
  <c r="AN500" i="1"/>
  <c r="AM500" i="1"/>
  <c r="AL500" i="1"/>
  <c r="AK500" i="1"/>
  <c r="AJ500" i="1"/>
  <c r="AI500" i="1"/>
  <c r="BC500" i="1" s="1"/>
  <c r="O500" i="1"/>
  <c r="D500" i="1" s="1"/>
  <c r="F500" i="1"/>
  <c r="E500" i="1"/>
  <c r="EA499" i="1"/>
  <c r="DZ499" i="1"/>
  <c r="DY499" i="1"/>
  <c r="DX499" i="1"/>
  <c r="DW499" i="1"/>
  <c r="DV499" i="1"/>
  <c r="DC499" i="1"/>
  <c r="CW499" i="1" s="1"/>
  <c r="DB499" i="1"/>
  <c r="DA499" i="1"/>
  <c r="CZ499" i="1"/>
  <c r="CY499" i="1"/>
  <c r="CS499" i="1" s="1"/>
  <c r="CX499" i="1"/>
  <c r="CV499" i="1"/>
  <c r="CU499" i="1"/>
  <c r="CT499" i="1"/>
  <c r="CR499" i="1"/>
  <c r="BZ499" i="1"/>
  <c r="CA499" i="1" s="1"/>
  <c r="BY499" i="1"/>
  <c r="BX499" i="1"/>
  <c r="BW499" i="1"/>
  <c r="BV499" i="1"/>
  <c r="BU499" i="1"/>
  <c r="BT499" i="1"/>
  <c r="BS499" i="1"/>
  <c r="AS499" i="1"/>
  <c r="AN499" i="1"/>
  <c r="AM499" i="1"/>
  <c r="AL499" i="1"/>
  <c r="AK499" i="1"/>
  <c r="AJ499" i="1"/>
  <c r="AI499" i="1"/>
  <c r="BC499" i="1" s="1"/>
  <c r="O499" i="1"/>
  <c r="D499" i="1" s="1"/>
  <c r="F499" i="1"/>
  <c r="E499" i="1"/>
  <c r="EA498" i="1"/>
  <c r="DZ498" i="1"/>
  <c r="DY498" i="1"/>
  <c r="DX498" i="1"/>
  <c r="DW498" i="1"/>
  <c r="DV498" i="1"/>
  <c r="DC498" i="1"/>
  <c r="DB498" i="1"/>
  <c r="DA498" i="1"/>
  <c r="CU498" i="1" s="1"/>
  <c r="CZ498" i="1"/>
  <c r="CY498" i="1"/>
  <c r="CX498" i="1"/>
  <c r="CW498" i="1"/>
  <c r="CV498" i="1"/>
  <c r="CT498" i="1"/>
  <c r="CS498" i="1"/>
  <c r="CR498" i="1"/>
  <c r="CA498" i="1"/>
  <c r="BZ498" i="1"/>
  <c r="BY498" i="1"/>
  <c r="BX498" i="1"/>
  <c r="BW498" i="1"/>
  <c r="BV498" i="1"/>
  <c r="BU498" i="1"/>
  <c r="BT498" i="1"/>
  <c r="BS498" i="1"/>
  <c r="AS498" i="1"/>
  <c r="AN498" i="1"/>
  <c r="AM498" i="1"/>
  <c r="AL498" i="1"/>
  <c r="AK498" i="1"/>
  <c r="AJ498" i="1"/>
  <c r="AI498" i="1"/>
  <c r="BC498" i="1" s="1"/>
  <c r="O498" i="1"/>
  <c r="D498" i="1" s="1"/>
  <c r="F498" i="1"/>
  <c r="E498" i="1"/>
  <c r="EA497" i="1"/>
  <c r="DZ497" i="1"/>
  <c r="DY497" i="1"/>
  <c r="DX497" i="1"/>
  <c r="DW497" i="1"/>
  <c r="DV497" i="1"/>
  <c r="DC497" i="1"/>
  <c r="CW497" i="1" s="1"/>
  <c r="DB497" i="1"/>
  <c r="CV497" i="1" s="1"/>
  <c r="DA497" i="1"/>
  <c r="CZ497" i="1"/>
  <c r="CT497" i="1" s="1"/>
  <c r="CY497" i="1"/>
  <c r="CS497" i="1" s="1"/>
  <c r="CX497" i="1"/>
  <c r="CU497" i="1"/>
  <c r="CR497" i="1"/>
  <c r="CB497" i="1"/>
  <c r="BZ497" i="1"/>
  <c r="CA497" i="1" s="1"/>
  <c r="BY497" i="1"/>
  <c r="BX497" i="1"/>
  <c r="BW497" i="1"/>
  <c r="BV497" i="1"/>
  <c r="BU497" i="1"/>
  <c r="CC497" i="1" s="1"/>
  <c r="BT497" i="1"/>
  <c r="BS497" i="1"/>
  <c r="AS497" i="1"/>
  <c r="AN497" i="1"/>
  <c r="AM497" i="1"/>
  <c r="AL497" i="1"/>
  <c r="AK497" i="1"/>
  <c r="AJ497" i="1"/>
  <c r="AI497" i="1"/>
  <c r="O497" i="1"/>
  <c r="D497" i="1" s="1"/>
  <c r="F497" i="1"/>
  <c r="E497" i="1"/>
  <c r="EA496" i="1"/>
  <c r="DZ496" i="1"/>
  <c r="DY496" i="1"/>
  <c r="DX496" i="1"/>
  <c r="DW496" i="1"/>
  <c r="DV496" i="1"/>
  <c r="DC496" i="1"/>
  <c r="DB496" i="1"/>
  <c r="DA496" i="1"/>
  <c r="CU496" i="1" s="1"/>
  <c r="CZ496" i="1"/>
  <c r="CT496" i="1" s="1"/>
  <c r="CY496" i="1"/>
  <c r="CX496" i="1"/>
  <c r="CR496" i="1" s="1"/>
  <c r="CW496" i="1"/>
  <c r="CV496" i="1"/>
  <c r="CS496" i="1"/>
  <c r="BZ496" i="1"/>
  <c r="CA496" i="1" s="1"/>
  <c r="CB496" i="1" s="1"/>
  <c r="BY496" i="1"/>
  <c r="BX496" i="1"/>
  <c r="BW496" i="1"/>
  <c r="BV496" i="1"/>
  <c r="BU496" i="1"/>
  <c r="BT496" i="1"/>
  <c r="BS496" i="1"/>
  <c r="AS496" i="1"/>
  <c r="AN496" i="1"/>
  <c r="AM496" i="1"/>
  <c r="AL496" i="1"/>
  <c r="AK496" i="1"/>
  <c r="AJ496" i="1"/>
  <c r="AI496" i="1"/>
  <c r="BC496" i="1" s="1"/>
  <c r="O496" i="1"/>
  <c r="D496" i="1" s="1"/>
  <c r="F496" i="1"/>
  <c r="E496" i="1"/>
  <c r="EA495" i="1"/>
  <c r="DZ495" i="1"/>
  <c r="DY495" i="1"/>
  <c r="DX495" i="1"/>
  <c r="DW495" i="1"/>
  <c r="DV495" i="1"/>
  <c r="DC495" i="1"/>
  <c r="DB495" i="1"/>
  <c r="CV495" i="1" s="1"/>
  <c r="DA495" i="1"/>
  <c r="CZ495" i="1"/>
  <c r="CY495" i="1"/>
  <c r="CX495" i="1"/>
  <c r="CR495" i="1" s="1"/>
  <c r="CW495" i="1"/>
  <c r="CU495" i="1"/>
  <c r="CT495" i="1"/>
  <c r="CS495" i="1"/>
  <c r="CA495" i="1"/>
  <c r="BZ495" i="1"/>
  <c r="BY495" i="1"/>
  <c r="BX495" i="1"/>
  <c r="BW495" i="1"/>
  <c r="BV495" i="1"/>
  <c r="BU495" i="1"/>
  <c r="BT495" i="1"/>
  <c r="BS495" i="1"/>
  <c r="AS495" i="1"/>
  <c r="AN495" i="1"/>
  <c r="AM495" i="1"/>
  <c r="AL495" i="1"/>
  <c r="AK495" i="1"/>
  <c r="AJ495" i="1"/>
  <c r="AI495" i="1"/>
  <c r="BC495" i="1" s="1"/>
  <c r="O495" i="1"/>
  <c r="D495" i="1" s="1"/>
  <c r="F495" i="1"/>
  <c r="E495" i="1"/>
  <c r="EA494" i="1"/>
  <c r="DZ494" i="1"/>
  <c r="DY494" i="1"/>
  <c r="DX494" i="1"/>
  <c r="DW494" i="1"/>
  <c r="DV494" i="1"/>
  <c r="DC494" i="1"/>
  <c r="CW494" i="1" s="1"/>
  <c r="DB494" i="1"/>
  <c r="DA494" i="1"/>
  <c r="CZ494" i="1"/>
  <c r="CT494" i="1" s="1"/>
  <c r="CY494" i="1"/>
  <c r="CS494" i="1" s="1"/>
  <c r="CX494" i="1"/>
  <c r="CV494" i="1"/>
  <c r="CU494" i="1"/>
  <c r="CR494" i="1"/>
  <c r="CC494" i="1"/>
  <c r="CA494" i="1"/>
  <c r="BZ494" i="1"/>
  <c r="BY494" i="1"/>
  <c r="BX494" i="1"/>
  <c r="BW494" i="1"/>
  <c r="BV494" i="1"/>
  <c r="BU494" i="1"/>
  <c r="CB494" i="1" s="1"/>
  <c r="BT494" i="1"/>
  <c r="BS494" i="1"/>
  <c r="AS494" i="1"/>
  <c r="AN494" i="1"/>
  <c r="AM494" i="1"/>
  <c r="AL494" i="1"/>
  <c r="AK494" i="1"/>
  <c r="AJ494" i="1"/>
  <c r="AI494" i="1"/>
  <c r="O494" i="1"/>
  <c r="D494" i="1" s="1"/>
  <c r="F494" i="1"/>
  <c r="E494" i="1"/>
  <c r="EA493" i="1"/>
  <c r="DZ493" i="1"/>
  <c r="DY493" i="1"/>
  <c r="DX493" i="1"/>
  <c r="DW493" i="1"/>
  <c r="DV493" i="1"/>
  <c r="DC493" i="1"/>
  <c r="DB493" i="1"/>
  <c r="CV493" i="1" s="1"/>
  <c r="DA493" i="1"/>
  <c r="CU493" i="1" s="1"/>
  <c r="CZ493" i="1"/>
  <c r="CY493" i="1"/>
  <c r="CX493" i="1"/>
  <c r="CR493" i="1" s="1"/>
  <c r="CW493" i="1"/>
  <c r="CT493" i="1"/>
  <c r="CS493" i="1"/>
  <c r="CA493" i="1"/>
  <c r="BZ493" i="1"/>
  <c r="BY493" i="1"/>
  <c r="BX493" i="1"/>
  <c r="BW493" i="1"/>
  <c r="BV493" i="1"/>
  <c r="BU493" i="1"/>
  <c r="CC493" i="1" s="1"/>
  <c r="BT493" i="1"/>
  <c r="BS493" i="1"/>
  <c r="AS493" i="1"/>
  <c r="AN493" i="1"/>
  <c r="AM493" i="1"/>
  <c r="AL493" i="1"/>
  <c r="AK493" i="1"/>
  <c r="AJ493" i="1"/>
  <c r="AI493" i="1"/>
  <c r="BC493" i="1" s="1"/>
  <c r="O493" i="1"/>
  <c r="D493" i="1" s="1"/>
  <c r="F493" i="1"/>
  <c r="E493" i="1"/>
  <c r="EA492" i="1"/>
  <c r="DZ492" i="1"/>
  <c r="DY492" i="1"/>
  <c r="DX492" i="1"/>
  <c r="DW492" i="1"/>
  <c r="DV492" i="1"/>
  <c r="DC492" i="1"/>
  <c r="CW492" i="1" s="1"/>
  <c r="DB492" i="1"/>
  <c r="DA492" i="1"/>
  <c r="CZ492" i="1"/>
  <c r="CT492" i="1" s="1"/>
  <c r="CY492" i="1"/>
  <c r="CS492" i="1" s="1"/>
  <c r="CX492" i="1"/>
  <c r="CV492" i="1"/>
  <c r="CU492" i="1"/>
  <c r="CR492" i="1"/>
  <c r="CA492" i="1"/>
  <c r="BZ492" i="1"/>
  <c r="BY492" i="1"/>
  <c r="BX492" i="1"/>
  <c r="BW492" i="1"/>
  <c r="BV492" i="1"/>
  <c r="BU492" i="1"/>
  <c r="CB492" i="1" s="1"/>
  <c r="BT492" i="1"/>
  <c r="BS492" i="1"/>
  <c r="AS492" i="1"/>
  <c r="AN492" i="1"/>
  <c r="AM492" i="1"/>
  <c r="AL492" i="1"/>
  <c r="AK492" i="1"/>
  <c r="AJ492" i="1"/>
  <c r="AI492" i="1"/>
  <c r="O492" i="1"/>
  <c r="D492" i="1" s="1"/>
  <c r="F492" i="1"/>
  <c r="E492" i="1"/>
  <c r="EA491" i="1"/>
  <c r="DZ491" i="1"/>
  <c r="DY491" i="1"/>
  <c r="DX491" i="1"/>
  <c r="DW491" i="1"/>
  <c r="DV491" i="1"/>
  <c r="DC491" i="1"/>
  <c r="DB491" i="1"/>
  <c r="CV491" i="1" s="1"/>
  <c r="DA491" i="1"/>
  <c r="CU491" i="1" s="1"/>
  <c r="CZ491" i="1"/>
  <c r="CY491" i="1"/>
  <c r="CX491" i="1"/>
  <c r="CR491" i="1" s="1"/>
  <c r="CW491" i="1"/>
  <c r="CT491" i="1"/>
  <c r="CS491" i="1"/>
  <c r="CA491" i="1"/>
  <c r="BZ491" i="1"/>
  <c r="BY491" i="1"/>
  <c r="BX491" i="1"/>
  <c r="BW491" i="1"/>
  <c r="BV491" i="1"/>
  <c r="BU491" i="1"/>
  <c r="BT491" i="1"/>
  <c r="BS491" i="1"/>
  <c r="AS491" i="1"/>
  <c r="AN491" i="1"/>
  <c r="AM491" i="1"/>
  <c r="AL491" i="1"/>
  <c r="AK491" i="1"/>
  <c r="AJ491" i="1"/>
  <c r="AI491" i="1"/>
  <c r="BC491" i="1" s="1"/>
  <c r="O491" i="1"/>
  <c r="D491" i="1" s="1"/>
  <c r="F491" i="1"/>
  <c r="E491" i="1"/>
  <c r="EA490" i="1"/>
  <c r="DZ490" i="1"/>
  <c r="DY490" i="1"/>
  <c r="DX490" i="1"/>
  <c r="DW490" i="1"/>
  <c r="DV490" i="1"/>
  <c r="DC490" i="1"/>
  <c r="CW490" i="1" s="1"/>
  <c r="DB490" i="1"/>
  <c r="DA490" i="1"/>
  <c r="CZ490" i="1"/>
  <c r="CT490" i="1" s="1"/>
  <c r="CY490" i="1"/>
  <c r="CS490" i="1" s="1"/>
  <c r="CX490" i="1"/>
  <c r="CV490" i="1"/>
  <c r="CU490" i="1"/>
  <c r="CR490" i="1"/>
  <c r="CA490" i="1"/>
  <c r="BZ490" i="1"/>
  <c r="BY490" i="1"/>
  <c r="BX490" i="1"/>
  <c r="BW490" i="1"/>
  <c r="BV490" i="1"/>
  <c r="BU490" i="1"/>
  <c r="CB490" i="1" s="1"/>
  <c r="BT490" i="1"/>
  <c r="BS490" i="1"/>
  <c r="AS490" i="1"/>
  <c r="AN490" i="1"/>
  <c r="AM490" i="1"/>
  <c r="AL490" i="1"/>
  <c r="AK490" i="1"/>
  <c r="AJ490" i="1"/>
  <c r="AI490" i="1"/>
  <c r="O490" i="1"/>
  <c r="D490" i="1" s="1"/>
  <c r="F490" i="1"/>
  <c r="E490" i="1"/>
  <c r="EA489" i="1"/>
  <c r="DZ489" i="1"/>
  <c r="DY489" i="1"/>
  <c r="DX489" i="1"/>
  <c r="DW489" i="1"/>
  <c r="DV489" i="1"/>
  <c r="DC489" i="1"/>
  <c r="DB489" i="1"/>
  <c r="CV489" i="1" s="1"/>
  <c r="DA489" i="1"/>
  <c r="CU489" i="1" s="1"/>
  <c r="CZ489" i="1"/>
  <c r="CY489" i="1"/>
  <c r="CX489" i="1"/>
  <c r="CR489" i="1" s="1"/>
  <c r="CW489" i="1"/>
  <c r="CT489" i="1"/>
  <c r="CS489" i="1"/>
  <c r="CA489" i="1"/>
  <c r="BZ489" i="1"/>
  <c r="BY489" i="1"/>
  <c r="BX489" i="1"/>
  <c r="BW489" i="1"/>
  <c r="BV489" i="1"/>
  <c r="BU489" i="1"/>
  <c r="BT489" i="1"/>
  <c r="BS489" i="1"/>
  <c r="AS489" i="1"/>
  <c r="AN489" i="1"/>
  <c r="AM489" i="1"/>
  <c r="AL489" i="1"/>
  <c r="AK489" i="1"/>
  <c r="AJ489" i="1"/>
  <c r="AI489" i="1"/>
  <c r="BC489" i="1" s="1"/>
  <c r="O489" i="1"/>
  <c r="D489" i="1" s="1"/>
  <c r="F489" i="1"/>
  <c r="E489" i="1"/>
  <c r="EA488" i="1"/>
  <c r="DZ488" i="1"/>
  <c r="DY488" i="1"/>
  <c r="DX488" i="1"/>
  <c r="DW488" i="1"/>
  <c r="DV488" i="1"/>
  <c r="DC488" i="1"/>
  <c r="CW488" i="1" s="1"/>
  <c r="DB488" i="1"/>
  <c r="DA488" i="1"/>
  <c r="CZ488" i="1"/>
  <c r="CT488" i="1" s="1"/>
  <c r="CY488" i="1"/>
  <c r="CS488" i="1" s="1"/>
  <c r="CX488" i="1"/>
  <c r="CV488" i="1"/>
  <c r="CU488" i="1"/>
  <c r="CR488" i="1"/>
  <c r="CA488" i="1"/>
  <c r="BZ488" i="1"/>
  <c r="BY488" i="1"/>
  <c r="BX488" i="1"/>
  <c r="BW488" i="1"/>
  <c r="BV488" i="1"/>
  <c r="BU488" i="1"/>
  <c r="CB488" i="1" s="1"/>
  <c r="BT488" i="1"/>
  <c r="BS488" i="1"/>
  <c r="AS488" i="1"/>
  <c r="AN488" i="1"/>
  <c r="AM488" i="1"/>
  <c r="AL488" i="1"/>
  <c r="AK488" i="1"/>
  <c r="AJ488" i="1"/>
  <c r="AI488" i="1"/>
  <c r="O488" i="1"/>
  <c r="F488" i="1"/>
  <c r="E488" i="1"/>
  <c r="D488" i="1"/>
  <c r="EA487" i="1"/>
  <c r="DZ487" i="1"/>
  <c r="DY487" i="1"/>
  <c r="DX487" i="1"/>
  <c r="DW487" i="1"/>
  <c r="DV487" i="1"/>
  <c r="DC487" i="1"/>
  <c r="DB487" i="1"/>
  <c r="CV487" i="1" s="1"/>
  <c r="DA487" i="1"/>
  <c r="CU487" i="1" s="1"/>
  <c r="CZ487" i="1"/>
  <c r="CY487" i="1"/>
  <c r="CX487" i="1"/>
  <c r="CR487" i="1" s="1"/>
  <c r="CW487" i="1"/>
  <c r="CT487" i="1"/>
  <c r="CS487" i="1"/>
  <c r="CA487" i="1"/>
  <c r="BZ487" i="1"/>
  <c r="BY487" i="1"/>
  <c r="BX487" i="1"/>
  <c r="BW487" i="1"/>
  <c r="BV487" i="1"/>
  <c r="BU487" i="1"/>
  <c r="BT487" i="1"/>
  <c r="BS487" i="1"/>
  <c r="AS487" i="1"/>
  <c r="AN487" i="1"/>
  <c r="AM487" i="1"/>
  <c r="AL487" i="1"/>
  <c r="AK487" i="1"/>
  <c r="AJ487" i="1"/>
  <c r="AI487" i="1"/>
  <c r="BC487" i="1" s="1"/>
  <c r="O487" i="1"/>
  <c r="D487" i="1" s="1"/>
  <c r="F487" i="1"/>
  <c r="E487" i="1"/>
  <c r="EA486" i="1"/>
  <c r="DZ486" i="1"/>
  <c r="DY486" i="1"/>
  <c r="DX486" i="1"/>
  <c r="DW486" i="1"/>
  <c r="DV486" i="1"/>
  <c r="DC486" i="1"/>
  <c r="CW486" i="1" s="1"/>
  <c r="DB486" i="1"/>
  <c r="DA486" i="1"/>
  <c r="CZ486" i="1"/>
  <c r="CT486" i="1" s="1"/>
  <c r="CY486" i="1"/>
  <c r="CS486" i="1" s="1"/>
  <c r="CX486" i="1"/>
  <c r="CV486" i="1"/>
  <c r="CU486" i="1"/>
  <c r="CR486" i="1"/>
  <c r="CC486" i="1"/>
  <c r="CA486" i="1"/>
  <c r="BZ486" i="1"/>
  <c r="BY486" i="1"/>
  <c r="BX486" i="1"/>
  <c r="BW486" i="1"/>
  <c r="BV486" i="1"/>
  <c r="BU486" i="1"/>
  <c r="CB486" i="1" s="1"/>
  <c r="BT486" i="1"/>
  <c r="BS486" i="1"/>
  <c r="AS486" i="1"/>
  <c r="AN486" i="1"/>
  <c r="AM486" i="1"/>
  <c r="AL486" i="1"/>
  <c r="AK486" i="1"/>
  <c r="AJ486" i="1"/>
  <c r="AI486" i="1"/>
  <c r="O486" i="1"/>
  <c r="D486" i="1" s="1"/>
  <c r="F486" i="1"/>
  <c r="E486" i="1"/>
  <c r="EA485" i="1"/>
  <c r="DZ485" i="1"/>
  <c r="DY485" i="1"/>
  <c r="DX485" i="1"/>
  <c r="DW485" i="1"/>
  <c r="DV485" i="1"/>
  <c r="DC485" i="1"/>
  <c r="DB485" i="1"/>
  <c r="CV485" i="1" s="1"/>
  <c r="DA485" i="1"/>
  <c r="CU485" i="1" s="1"/>
  <c r="CZ485" i="1"/>
  <c r="CY485" i="1"/>
  <c r="CX485" i="1"/>
  <c r="CR485" i="1" s="1"/>
  <c r="CW485" i="1"/>
  <c r="CT485" i="1"/>
  <c r="CS485" i="1"/>
  <c r="CA485" i="1"/>
  <c r="BZ485" i="1"/>
  <c r="BY485" i="1"/>
  <c r="BX485" i="1"/>
  <c r="BW485" i="1"/>
  <c r="BV485" i="1"/>
  <c r="BU485" i="1"/>
  <c r="CC485" i="1" s="1"/>
  <c r="BT485" i="1"/>
  <c r="BS485" i="1"/>
  <c r="AS485" i="1"/>
  <c r="AN485" i="1"/>
  <c r="AM485" i="1"/>
  <c r="AL485" i="1"/>
  <c r="AK485" i="1"/>
  <c r="AJ485" i="1"/>
  <c r="AI485" i="1"/>
  <c r="BC485" i="1" s="1"/>
  <c r="O485" i="1"/>
  <c r="D485" i="1" s="1"/>
  <c r="F485" i="1"/>
  <c r="E485" i="1"/>
  <c r="EA484" i="1"/>
  <c r="DZ484" i="1"/>
  <c r="DY484" i="1"/>
  <c r="DX484" i="1"/>
  <c r="DW484" i="1"/>
  <c r="DV484" i="1"/>
  <c r="DC484" i="1"/>
  <c r="CW484" i="1" s="1"/>
  <c r="DB484" i="1"/>
  <c r="DA484" i="1"/>
  <c r="CZ484" i="1"/>
  <c r="CT484" i="1" s="1"/>
  <c r="CY484" i="1"/>
  <c r="CX484" i="1"/>
  <c r="CV484" i="1"/>
  <c r="CU484" i="1"/>
  <c r="CS484" i="1"/>
  <c r="CR484" i="1"/>
  <c r="CA484" i="1"/>
  <c r="BZ484" i="1"/>
  <c r="BY484" i="1"/>
  <c r="BX484" i="1"/>
  <c r="BW484" i="1"/>
  <c r="BV484" i="1"/>
  <c r="BU484" i="1"/>
  <c r="CC484" i="1" s="1"/>
  <c r="BT484" i="1"/>
  <c r="BS484" i="1"/>
  <c r="AS484" i="1"/>
  <c r="AN484" i="1"/>
  <c r="AM484" i="1"/>
  <c r="AL484" i="1"/>
  <c r="AK484" i="1"/>
  <c r="AJ484" i="1"/>
  <c r="AI484" i="1"/>
  <c r="BC484" i="1" s="1"/>
  <c r="O484" i="1"/>
  <c r="D484" i="1" s="1"/>
  <c r="F484" i="1"/>
  <c r="E484" i="1"/>
  <c r="EA483" i="1"/>
  <c r="DZ483" i="1"/>
  <c r="DY483" i="1"/>
  <c r="DX483" i="1"/>
  <c r="DW483" i="1"/>
  <c r="DV483" i="1"/>
  <c r="DC483" i="1"/>
  <c r="CW483" i="1" s="1"/>
  <c r="DB483" i="1"/>
  <c r="CV483" i="1" s="1"/>
  <c r="DA483" i="1"/>
  <c r="CU483" i="1" s="1"/>
  <c r="CZ483" i="1"/>
  <c r="CY483" i="1"/>
  <c r="CS483" i="1" s="1"/>
  <c r="CX483" i="1"/>
  <c r="CR483" i="1" s="1"/>
  <c r="CT483" i="1"/>
  <c r="CA483" i="1"/>
  <c r="BZ483" i="1"/>
  <c r="BY483" i="1"/>
  <c r="BX483" i="1"/>
  <c r="BW483" i="1"/>
  <c r="BV483" i="1"/>
  <c r="BU483" i="1"/>
  <c r="CB483" i="1" s="1"/>
  <c r="BT483" i="1"/>
  <c r="BS483" i="1"/>
  <c r="AS483" i="1"/>
  <c r="AN483" i="1"/>
  <c r="AM483" i="1"/>
  <c r="AL483" i="1"/>
  <c r="AK483" i="1"/>
  <c r="AJ483" i="1"/>
  <c r="AI483" i="1"/>
  <c r="BC483" i="1" s="1"/>
  <c r="O483" i="1"/>
  <c r="D483" i="1" s="1"/>
  <c r="F483" i="1"/>
  <c r="E483" i="1"/>
  <c r="EA482" i="1"/>
  <c r="DZ482" i="1"/>
  <c r="DY482" i="1"/>
  <c r="DX482" i="1"/>
  <c r="DW482" i="1"/>
  <c r="DV482" i="1"/>
  <c r="DC482" i="1"/>
  <c r="DB482" i="1"/>
  <c r="DA482" i="1"/>
  <c r="CU482" i="1" s="1"/>
  <c r="CZ482" i="1"/>
  <c r="CT482" i="1" s="1"/>
  <c r="CY482" i="1"/>
  <c r="CX482" i="1"/>
  <c r="CW482" i="1"/>
  <c r="CV482" i="1"/>
  <c r="CS482" i="1"/>
  <c r="CR482" i="1"/>
  <c r="CA482" i="1"/>
  <c r="BZ482" i="1"/>
  <c r="BY482" i="1"/>
  <c r="BX482" i="1"/>
  <c r="BW482" i="1"/>
  <c r="BV482" i="1"/>
  <c r="BU482" i="1"/>
  <c r="CB482" i="1" s="1"/>
  <c r="BT482" i="1"/>
  <c r="BS482" i="1"/>
  <c r="AS482" i="1"/>
  <c r="AN482" i="1"/>
  <c r="AM482" i="1"/>
  <c r="AL482" i="1"/>
  <c r="AK482" i="1"/>
  <c r="AJ482" i="1"/>
  <c r="AI482" i="1"/>
  <c r="BC482" i="1" s="1"/>
  <c r="O482" i="1"/>
  <c r="D482" i="1" s="1"/>
  <c r="F482" i="1"/>
  <c r="E482" i="1"/>
  <c r="EA481" i="1"/>
  <c r="DZ481" i="1"/>
  <c r="DY481" i="1"/>
  <c r="DX481" i="1"/>
  <c r="DW481" i="1"/>
  <c r="DV481" i="1"/>
  <c r="DC481" i="1"/>
  <c r="DB481" i="1"/>
  <c r="CV481" i="1" s="1"/>
  <c r="DA481" i="1"/>
  <c r="CU481" i="1" s="1"/>
  <c r="CZ481" i="1"/>
  <c r="CY481" i="1"/>
  <c r="CX481" i="1"/>
  <c r="CR481" i="1" s="1"/>
  <c r="CW481" i="1"/>
  <c r="CT481" i="1"/>
  <c r="CS481" i="1"/>
  <c r="CC481" i="1"/>
  <c r="CA481" i="1"/>
  <c r="BZ481" i="1"/>
  <c r="BY481" i="1"/>
  <c r="BX481" i="1"/>
  <c r="BW481" i="1"/>
  <c r="BV481" i="1"/>
  <c r="BU481" i="1"/>
  <c r="CB481" i="1" s="1"/>
  <c r="BT481" i="1"/>
  <c r="BS481" i="1"/>
  <c r="AS481" i="1"/>
  <c r="AN481" i="1"/>
  <c r="AM481" i="1"/>
  <c r="AL481" i="1"/>
  <c r="AK481" i="1"/>
  <c r="AJ481" i="1"/>
  <c r="AI481" i="1"/>
  <c r="BC481" i="1" s="1"/>
  <c r="O481" i="1"/>
  <c r="D481" i="1" s="1"/>
  <c r="F481" i="1"/>
  <c r="E481" i="1"/>
  <c r="EA480" i="1"/>
  <c r="DZ480" i="1"/>
  <c r="DY480" i="1"/>
  <c r="DX480" i="1"/>
  <c r="DW480" i="1"/>
  <c r="DV480" i="1"/>
  <c r="DC480" i="1"/>
  <c r="DB480" i="1"/>
  <c r="DA480" i="1"/>
  <c r="CU480" i="1" s="1"/>
  <c r="CZ480" i="1"/>
  <c r="CT480" i="1" s="1"/>
  <c r="CY480" i="1"/>
  <c r="CS480" i="1" s="1"/>
  <c r="CX480" i="1"/>
  <c r="CW480" i="1"/>
  <c r="CV480" i="1"/>
  <c r="CR480" i="1"/>
  <c r="CA480" i="1"/>
  <c r="BZ480" i="1"/>
  <c r="BY480" i="1"/>
  <c r="BX480" i="1"/>
  <c r="BW480" i="1"/>
  <c r="BV480" i="1"/>
  <c r="BU480" i="1"/>
  <c r="CB480" i="1" s="1"/>
  <c r="BT480" i="1"/>
  <c r="BS480" i="1"/>
  <c r="AS480" i="1"/>
  <c r="AN480" i="1"/>
  <c r="AM480" i="1"/>
  <c r="AL480" i="1"/>
  <c r="AK480" i="1"/>
  <c r="AJ480" i="1"/>
  <c r="AI480" i="1"/>
  <c r="BC480" i="1" s="1"/>
  <c r="O480" i="1"/>
  <c r="D480" i="1" s="1"/>
  <c r="F480" i="1"/>
  <c r="E480" i="1"/>
  <c r="EA479" i="1"/>
  <c r="DZ479" i="1"/>
  <c r="DY479" i="1"/>
  <c r="DX479" i="1"/>
  <c r="DW479" i="1"/>
  <c r="DV479" i="1"/>
  <c r="DC479" i="1"/>
  <c r="DB479" i="1"/>
  <c r="CV479" i="1" s="1"/>
  <c r="DA479" i="1"/>
  <c r="CU479" i="1" s="1"/>
  <c r="CZ479" i="1"/>
  <c r="CY479" i="1"/>
  <c r="CS479" i="1" s="1"/>
  <c r="CX479" i="1"/>
  <c r="CR479" i="1" s="1"/>
  <c r="CW479" i="1"/>
  <c r="CT479" i="1"/>
  <c r="CC479" i="1"/>
  <c r="CA479" i="1"/>
  <c r="BZ479" i="1"/>
  <c r="BY479" i="1"/>
  <c r="BX479" i="1"/>
  <c r="BW479" i="1"/>
  <c r="BV479" i="1"/>
  <c r="BU479" i="1"/>
  <c r="BT479" i="1"/>
  <c r="BS479" i="1"/>
  <c r="AS479" i="1"/>
  <c r="AN479" i="1"/>
  <c r="AM479" i="1"/>
  <c r="AL479" i="1"/>
  <c r="AK479" i="1"/>
  <c r="AJ479" i="1"/>
  <c r="AI479" i="1"/>
  <c r="BC479" i="1" s="1"/>
  <c r="O479" i="1"/>
  <c r="D479" i="1" s="1"/>
  <c r="F479" i="1"/>
  <c r="E479" i="1"/>
  <c r="EA478" i="1"/>
  <c r="DZ478" i="1"/>
  <c r="DY478" i="1"/>
  <c r="DX478" i="1"/>
  <c r="DW478" i="1"/>
  <c r="DV478" i="1"/>
  <c r="DC478" i="1"/>
  <c r="CW478" i="1" s="1"/>
  <c r="DB478" i="1"/>
  <c r="DA478" i="1"/>
  <c r="CZ478" i="1"/>
  <c r="CT478" i="1" s="1"/>
  <c r="CY478" i="1"/>
  <c r="CS478" i="1" s="1"/>
  <c r="CX478" i="1"/>
  <c r="CV478" i="1"/>
  <c r="CU478" i="1"/>
  <c r="CR478" i="1"/>
  <c r="CC478" i="1"/>
  <c r="CA478" i="1"/>
  <c r="BZ478" i="1"/>
  <c r="BY478" i="1"/>
  <c r="BX478" i="1"/>
  <c r="BW478" i="1"/>
  <c r="BV478" i="1"/>
  <c r="BU478" i="1"/>
  <c r="BT478" i="1"/>
  <c r="BS478" i="1"/>
  <c r="AS478" i="1"/>
  <c r="AN478" i="1"/>
  <c r="AM478" i="1"/>
  <c r="AL478" i="1"/>
  <c r="AK478" i="1"/>
  <c r="AJ478" i="1"/>
  <c r="AI478" i="1"/>
  <c r="BC478" i="1" s="1"/>
  <c r="O478" i="1"/>
  <c r="D478" i="1" s="1"/>
  <c r="F478" i="1"/>
  <c r="E478" i="1"/>
  <c r="EA477" i="1"/>
  <c r="DZ477" i="1"/>
  <c r="DY477" i="1"/>
  <c r="DX477" i="1"/>
  <c r="DW477" i="1"/>
  <c r="DV477" i="1"/>
  <c r="DC477" i="1"/>
  <c r="CW477" i="1" s="1"/>
  <c r="DB477" i="1"/>
  <c r="CV477" i="1" s="1"/>
  <c r="DA477" i="1"/>
  <c r="CZ477" i="1"/>
  <c r="CY477" i="1"/>
  <c r="CS477" i="1" s="1"/>
  <c r="CX477" i="1"/>
  <c r="CR477" i="1" s="1"/>
  <c r="CU477" i="1"/>
  <c r="CT477" i="1"/>
  <c r="CA477" i="1"/>
  <c r="BZ477" i="1"/>
  <c r="BY477" i="1"/>
  <c r="BX477" i="1"/>
  <c r="BW477" i="1"/>
  <c r="BV477" i="1"/>
  <c r="BU477" i="1"/>
  <c r="CC477" i="1" s="1"/>
  <c r="BT477" i="1"/>
  <c r="BS477" i="1"/>
  <c r="AS477" i="1"/>
  <c r="AN477" i="1"/>
  <c r="AM477" i="1"/>
  <c r="AL477" i="1"/>
  <c r="AK477" i="1"/>
  <c r="AJ477" i="1"/>
  <c r="AI477" i="1"/>
  <c r="BC477" i="1" s="1"/>
  <c r="O477" i="1"/>
  <c r="F477" i="1"/>
  <c r="E477" i="1"/>
  <c r="D477" i="1"/>
  <c r="EA476" i="1"/>
  <c r="DZ476" i="1"/>
  <c r="DY476" i="1"/>
  <c r="DX476" i="1"/>
  <c r="DW476" i="1"/>
  <c r="DV476" i="1"/>
  <c r="DC476" i="1"/>
  <c r="CW476" i="1" s="1"/>
  <c r="DB476" i="1"/>
  <c r="DA476" i="1"/>
  <c r="CZ476" i="1"/>
  <c r="CT476" i="1" s="1"/>
  <c r="CY476" i="1"/>
  <c r="CS476" i="1" s="1"/>
  <c r="CX476" i="1"/>
  <c r="CV476" i="1"/>
  <c r="CU476" i="1"/>
  <c r="CR476" i="1"/>
  <c r="CA476" i="1"/>
  <c r="BZ476" i="1"/>
  <c r="BY476" i="1"/>
  <c r="BX476" i="1"/>
  <c r="BW476" i="1"/>
  <c r="BV476" i="1"/>
  <c r="BU476" i="1"/>
  <c r="CC476" i="1" s="1"/>
  <c r="BT476" i="1"/>
  <c r="BS476" i="1"/>
  <c r="AS476" i="1"/>
  <c r="AN476" i="1"/>
  <c r="AM476" i="1"/>
  <c r="AL476" i="1"/>
  <c r="AK476" i="1"/>
  <c r="AJ476" i="1"/>
  <c r="AI476" i="1"/>
  <c r="BC476" i="1" s="1"/>
  <c r="O476" i="1"/>
  <c r="D476" i="1" s="1"/>
  <c r="F476" i="1"/>
  <c r="E476" i="1"/>
  <c r="EA475" i="1"/>
  <c r="DZ475" i="1"/>
  <c r="DY475" i="1"/>
  <c r="DX475" i="1"/>
  <c r="DW475" i="1"/>
  <c r="DV475" i="1"/>
  <c r="DC475" i="1"/>
  <c r="CW475" i="1" s="1"/>
  <c r="DB475" i="1"/>
  <c r="CV475" i="1" s="1"/>
  <c r="DA475" i="1"/>
  <c r="CU475" i="1" s="1"/>
  <c r="CZ475" i="1"/>
  <c r="CY475" i="1"/>
  <c r="CS475" i="1" s="1"/>
  <c r="CX475" i="1"/>
  <c r="CR475" i="1" s="1"/>
  <c r="CT475" i="1"/>
  <c r="CA475" i="1"/>
  <c r="BZ475" i="1"/>
  <c r="BY475" i="1"/>
  <c r="BX475" i="1"/>
  <c r="BW475" i="1"/>
  <c r="BV475" i="1"/>
  <c r="BU475" i="1"/>
  <c r="CB475" i="1" s="1"/>
  <c r="BT475" i="1"/>
  <c r="BS475" i="1"/>
  <c r="AS475" i="1"/>
  <c r="AN475" i="1"/>
  <c r="AM475" i="1"/>
  <c r="AL475" i="1"/>
  <c r="AK475" i="1"/>
  <c r="AJ475" i="1"/>
  <c r="AI475" i="1"/>
  <c r="BC475" i="1" s="1"/>
  <c r="O475" i="1"/>
  <c r="D475" i="1" s="1"/>
  <c r="F475" i="1"/>
  <c r="E475" i="1"/>
  <c r="EA474" i="1"/>
  <c r="DZ474" i="1"/>
  <c r="DY474" i="1"/>
  <c r="DX474" i="1"/>
  <c r="DW474" i="1"/>
  <c r="DV474" i="1"/>
  <c r="DC474" i="1"/>
  <c r="DB474" i="1"/>
  <c r="DA474" i="1"/>
  <c r="CU474" i="1" s="1"/>
  <c r="CZ474" i="1"/>
  <c r="CT474" i="1" s="1"/>
  <c r="CY474" i="1"/>
  <c r="CX474" i="1"/>
  <c r="CW474" i="1"/>
  <c r="CV474" i="1"/>
  <c r="CS474" i="1"/>
  <c r="CR474" i="1"/>
  <c r="CA474" i="1"/>
  <c r="BZ474" i="1"/>
  <c r="BY474" i="1"/>
  <c r="BX474" i="1"/>
  <c r="BW474" i="1"/>
  <c r="BV474" i="1"/>
  <c r="BU474" i="1"/>
  <c r="CB474" i="1" s="1"/>
  <c r="BT474" i="1"/>
  <c r="BS474" i="1"/>
  <c r="AS474" i="1"/>
  <c r="AN474" i="1"/>
  <c r="AM474" i="1"/>
  <c r="AL474" i="1"/>
  <c r="AK474" i="1"/>
  <c r="AJ474" i="1"/>
  <c r="AI474" i="1"/>
  <c r="BC474" i="1" s="1"/>
  <c r="O474" i="1"/>
  <c r="D474" i="1" s="1"/>
  <c r="F474" i="1"/>
  <c r="E474" i="1"/>
  <c r="EA473" i="1"/>
  <c r="DZ473" i="1"/>
  <c r="DY473" i="1"/>
  <c r="DX473" i="1"/>
  <c r="DW473" i="1"/>
  <c r="DV473" i="1"/>
  <c r="DC473" i="1"/>
  <c r="DB473" i="1"/>
  <c r="CV473" i="1" s="1"/>
  <c r="DA473" i="1"/>
  <c r="CU473" i="1" s="1"/>
  <c r="CZ473" i="1"/>
  <c r="CY473" i="1"/>
  <c r="CX473" i="1"/>
  <c r="CR473" i="1" s="1"/>
  <c r="CW473" i="1"/>
  <c r="CT473" i="1"/>
  <c r="CS473" i="1"/>
  <c r="CA473" i="1"/>
  <c r="BZ473" i="1"/>
  <c r="BY473" i="1"/>
  <c r="BX473" i="1"/>
  <c r="BW473" i="1"/>
  <c r="BV473" i="1"/>
  <c r="BU473" i="1"/>
  <c r="CB473" i="1" s="1"/>
  <c r="BT473" i="1"/>
  <c r="BS473" i="1"/>
  <c r="AS473" i="1"/>
  <c r="AN473" i="1"/>
  <c r="AM473" i="1"/>
  <c r="AL473" i="1"/>
  <c r="AK473" i="1"/>
  <c r="AJ473" i="1"/>
  <c r="AI473" i="1"/>
  <c r="BC473" i="1" s="1"/>
  <c r="O473" i="1"/>
  <c r="D473" i="1" s="1"/>
  <c r="F473" i="1"/>
  <c r="E473" i="1"/>
  <c r="EA472" i="1"/>
  <c r="DZ472" i="1"/>
  <c r="DY472" i="1"/>
  <c r="DX472" i="1"/>
  <c r="DW472" i="1"/>
  <c r="DV472" i="1"/>
  <c r="DC472" i="1"/>
  <c r="DB472" i="1"/>
  <c r="DA472" i="1"/>
  <c r="CU472" i="1" s="1"/>
  <c r="CZ472" i="1"/>
  <c r="CT472" i="1" s="1"/>
  <c r="CY472" i="1"/>
  <c r="CS472" i="1" s="1"/>
  <c r="CX472" i="1"/>
  <c r="CW472" i="1"/>
  <c r="CV472" i="1"/>
  <c r="CR472" i="1"/>
  <c r="CA472" i="1"/>
  <c r="BZ472" i="1"/>
  <c r="BY472" i="1"/>
  <c r="BX472" i="1"/>
  <c r="BW472" i="1"/>
  <c r="BV472" i="1"/>
  <c r="BU472" i="1"/>
  <c r="CB472" i="1" s="1"/>
  <c r="BT472" i="1"/>
  <c r="BS472" i="1"/>
  <c r="AS472" i="1"/>
  <c r="AN472" i="1"/>
  <c r="AM472" i="1"/>
  <c r="AL472" i="1"/>
  <c r="AK472" i="1"/>
  <c r="AJ472" i="1"/>
  <c r="AI472" i="1"/>
  <c r="BC472" i="1" s="1"/>
  <c r="O472" i="1"/>
  <c r="D472" i="1" s="1"/>
  <c r="F472" i="1"/>
  <c r="E472" i="1"/>
  <c r="EA471" i="1"/>
  <c r="DZ471" i="1"/>
  <c r="DY471" i="1"/>
  <c r="DX471" i="1"/>
  <c r="DW471" i="1"/>
  <c r="DV471" i="1"/>
  <c r="DC471" i="1"/>
  <c r="DB471" i="1"/>
  <c r="CV471" i="1" s="1"/>
  <c r="DA471" i="1"/>
  <c r="CU471" i="1" s="1"/>
  <c r="CZ471" i="1"/>
  <c r="CY471" i="1"/>
  <c r="CS471" i="1" s="1"/>
  <c r="CX471" i="1"/>
  <c r="CR471" i="1" s="1"/>
  <c r="CW471" i="1"/>
  <c r="CT471" i="1"/>
  <c r="CC471" i="1"/>
  <c r="CA471" i="1"/>
  <c r="BZ471" i="1"/>
  <c r="BY471" i="1"/>
  <c r="BX471" i="1"/>
  <c r="BW471" i="1"/>
  <c r="BV471" i="1"/>
  <c r="BU471" i="1"/>
  <c r="BT471" i="1"/>
  <c r="BS471" i="1"/>
  <c r="AS471" i="1"/>
  <c r="AN471" i="1"/>
  <c r="AM471" i="1"/>
  <c r="AL471" i="1"/>
  <c r="AK471" i="1"/>
  <c r="AJ471" i="1"/>
  <c r="AI471" i="1"/>
  <c r="BC471" i="1" s="1"/>
  <c r="O471" i="1"/>
  <c r="D471" i="1" s="1"/>
  <c r="F471" i="1"/>
  <c r="E471" i="1"/>
  <c r="EA470" i="1"/>
  <c r="DZ470" i="1"/>
  <c r="DY470" i="1"/>
  <c r="DX470" i="1"/>
  <c r="DW470" i="1"/>
  <c r="DV470" i="1"/>
  <c r="DC470" i="1"/>
  <c r="CW470" i="1" s="1"/>
  <c r="DB470" i="1"/>
  <c r="DA470" i="1"/>
  <c r="CZ470" i="1"/>
  <c r="CT470" i="1" s="1"/>
  <c r="CY470" i="1"/>
  <c r="CS470" i="1" s="1"/>
  <c r="CX470" i="1"/>
  <c r="CV470" i="1"/>
  <c r="CU470" i="1"/>
  <c r="CR470" i="1"/>
  <c r="CC470" i="1"/>
  <c r="CA470" i="1"/>
  <c r="BZ470" i="1"/>
  <c r="BY470" i="1"/>
  <c r="BX470" i="1"/>
  <c r="BW470" i="1"/>
  <c r="BV470" i="1"/>
  <c r="BU470" i="1"/>
  <c r="BT470" i="1"/>
  <c r="BS470" i="1"/>
  <c r="AS470" i="1"/>
  <c r="AN470" i="1"/>
  <c r="AM470" i="1"/>
  <c r="AL470" i="1"/>
  <c r="AK470" i="1"/>
  <c r="AJ470" i="1"/>
  <c r="AI470" i="1"/>
  <c r="BC470" i="1" s="1"/>
  <c r="O470" i="1"/>
  <c r="D470" i="1" s="1"/>
  <c r="F470" i="1"/>
  <c r="E470" i="1"/>
  <c r="EA469" i="1"/>
  <c r="DZ469" i="1"/>
  <c r="DY469" i="1"/>
  <c r="DX469" i="1"/>
  <c r="DW469" i="1"/>
  <c r="DV469" i="1"/>
  <c r="DC469" i="1"/>
  <c r="DB469" i="1"/>
  <c r="CV469" i="1" s="1"/>
  <c r="DA469" i="1"/>
  <c r="CU469" i="1" s="1"/>
  <c r="CZ469" i="1"/>
  <c r="CY469" i="1"/>
  <c r="CX469" i="1"/>
  <c r="CR469" i="1" s="1"/>
  <c r="CW469" i="1"/>
  <c r="CT469" i="1"/>
  <c r="CS469" i="1"/>
  <c r="CA469" i="1"/>
  <c r="BZ469" i="1"/>
  <c r="BY469" i="1"/>
  <c r="BX469" i="1"/>
  <c r="BW469" i="1"/>
  <c r="BV469" i="1"/>
  <c r="BU469" i="1"/>
  <c r="CC469" i="1" s="1"/>
  <c r="BT469" i="1"/>
  <c r="BS469" i="1"/>
  <c r="AS469" i="1"/>
  <c r="AN469" i="1"/>
  <c r="AM469" i="1"/>
  <c r="AL469" i="1"/>
  <c r="AK469" i="1"/>
  <c r="AJ469" i="1"/>
  <c r="AI469" i="1"/>
  <c r="BC469" i="1" s="1"/>
  <c r="O469" i="1"/>
  <c r="D469" i="1" s="1"/>
  <c r="F469" i="1"/>
  <c r="E469" i="1"/>
  <c r="EA468" i="1"/>
  <c r="DZ468" i="1"/>
  <c r="DY468" i="1"/>
  <c r="DX468" i="1"/>
  <c r="DW468" i="1"/>
  <c r="DV468" i="1"/>
  <c r="DC468" i="1"/>
  <c r="CW468" i="1" s="1"/>
  <c r="DB468" i="1"/>
  <c r="DA468" i="1"/>
  <c r="CZ468" i="1"/>
  <c r="CT468" i="1" s="1"/>
  <c r="CY468" i="1"/>
  <c r="CS468" i="1" s="1"/>
  <c r="CX468" i="1"/>
  <c r="CV468" i="1"/>
  <c r="CU468" i="1"/>
  <c r="CR468" i="1"/>
  <c r="CC468" i="1"/>
  <c r="CA468" i="1"/>
  <c r="BZ468" i="1"/>
  <c r="BY468" i="1"/>
  <c r="BX468" i="1"/>
  <c r="BW468" i="1"/>
  <c r="BV468" i="1"/>
  <c r="BU468" i="1"/>
  <c r="BT468" i="1"/>
  <c r="BS468" i="1"/>
  <c r="BC468" i="1"/>
  <c r="AS468" i="1"/>
  <c r="AN468" i="1"/>
  <c r="AM468" i="1"/>
  <c r="AL468" i="1"/>
  <c r="AK468" i="1"/>
  <c r="AJ468" i="1"/>
  <c r="AI468" i="1"/>
  <c r="O468" i="1"/>
  <c r="D468" i="1" s="1"/>
  <c r="F468" i="1"/>
  <c r="E468" i="1"/>
  <c r="EA467" i="1"/>
  <c r="DZ467" i="1"/>
  <c r="DY467" i="1"/>
  <c r="DX467" i="1"/>
  <c r="DW467" i="1"/>
  <c r="DV467" i="1"/>
  <c r="DC467" i="1"/>
  <c r="DB467" i="1"/>
  <c r="CV467" i="1" s="1"/>
  <c r="DA467" i="1"/>
  <c r="CU467" i="1" s="1"/>
  <c r="CZ467" i="1"/>
  <c r="CY467" i="1"/>
  <c r="CX467" i="1"/>
  <c r="CR467" i="1" s="1"/>
  <c r="CW467" i="1"/>
  <c r="CT467" i="1"/>
  <c r="CS467" i="1"/>
  <c r="CA467" i="1"/>
  <c r="BZ467" i="1"/>
  <c r="BY467" i="1"/>
  <c r="BX467" i="1"/>
  <c r="BW467" i="1"/>
  <c r="BV467" i="1"/>
  <c r="BU467" i="1"/>
  <c r="CC467" i="1" s="1"/>
  <c r="BT467" i="1"/>
  <c r="BS467" i="1"/>
  <c r="AS467" i="1"/>
  <c r="AN467" i="1"/>
  <c r="AM467" i="1"/>
  <c r="AL467" i="1"/>
  <c r="AK467" i="1"/>
  <c r="AJ467" i="1"/>
  <c r="AI467" i="1"/>
  <c r="BC467" i="1" s="1"/>
  <c r="O467" i="1"/>
  <c r="F467" i="1"/>
  <c r="E467" i="1"/>
  <c r="D467" i="1"/>
  <c r="EA466" i="1"/>
  <c r="DZ466" i="1"/>
  <c r="DY466" i="1"/>
  <c r="DX466" i="1"/>
  <c r="DW466" i="1"/>
  <c r="DV466" i="1"/>
  <c r="DC466" i="1"/>
  <c r="CW466" i="1" s="1"/>
  <c r="DB466" i="1"/>
  <c r="DA466" i="1"/>
  <c r="CZ466" i="1"/>
  <c r="CT466" i="1" s="1"/>
  <c r="CY466" i="1"/>
  <c r="CS466" i="1" s="1"/>
  <c r="CX466" i="1"/>
  <c r="CV466" i="1"/>
  <c r="CU466" i="1"/>
  <c r="CR466" i="1"/>
  <c r="CC466" i="1"/>
  <c r="CA466" i="1"/>
  <c r="BZ466" i="1"/>
  <c r="BY466" i="1"/>
  <c r="BX466" i="1"/>
  <c r="BW466" i="1"/>
  <c r="BV466" i="1"/>
  <c r="BU466" i="1"/>
  <c r="BT466" i="1"/>
  <c r="BS466" i="1"/>
  <c r="BC466" i="1"/>
  <c r="AS466" i="1"/>
  <c r="AN466" i="1"/>
  <c r="AM466" i="1"/>
  <c r="AL466" i="1"/>
  <c r="AK466" i="1"/>
  <c r="AJ466" i="1"/>
  <c r="AI466" i="1"/>
  <c r="O466" i="1"/>
  <c r="D466" i="1" s="1"/>
  <c r="F466" i="1"/>
  <c r="E466" i="1"/>
  <c r="EA465" i="1"/>
  <c r="DZ465" i="1"/>
  <c r="DY465" i="1"/>
  <c r="DX465" i="1"/>
  <c r="DW465" i="1"/>
  <c r="DV465" i="1"/>
  <c r="DC465" i="1"/>
  <c r="DB465" i="1"/>
  <c r="CV465" i="1" s="1"/>
  <c r="DA465" i="1"/>
  <c r="CU465" i="1" s="1"/>
  <c r="CZ465" i="1"/>
  <c r="CY465" i="1"/>
  <c r="CX465" i="1"/>
  <c r="CR465" i="1" s="1"/>
  <c r="CW465" i="1"/>
  <c r="CT465" i="1"/>
  <c r="CS465" i="1"/>
  <c r="CA465" i="1"/>
  <c r="BZ465" i="1"/>
  <c r="BY465" i="1"/>
  <c r="BX465" i="1"/>
  <c r="BW465" i="1"/>
  <c r="BV465" i="1"/>
  <c r="BU465" i="1"/>
  <c r="CC465" i="1" s="1"/>
  <c r="BT465" i="1"/>
  <c r="BS465" i="1"/>
  <c r="AS465" i="1"/>
  <c r="AN465" i="1"/>
  <c r="AM465" i="1"/>
  <c r="AL465" i="1"/>
  <c r="AK465" i="1"/>
  <c r="AJ465" i="1"/>
  <c r="AI465" i="1"/>
  <c r="BC465" i="1" s="1"/>
  <c r="O465" i="1"/>
  <c r="D465" i="1" s="1"/>
  <c r="F465" i="1"/>
  <c r="E465" i="1"/>
  <c r="EA464" i="1"/>
  <c r="DZ464" i="1"/>
  <c r="DY464" i="1"/>
  <c r="DX464" i="1"/>
  <c r="DW464" i="1"/>
  <c r="DV464" i="1"/>
  <c r="DC464" i="1"/>
  <c r="DB464" i="1"/>
  <c r="DA464" i="1"/>
  <c r="CU464" i="1" s="1"/>
  <c r="CZ464" i="1"/>
  <c r="CT464" i="1" s="1"/>
  <c r="CY464" i="1"/>
  <c r="CX464" i="1"/>
  <c r="CW464" i="1"/>
  <c r="CV464" i="1"/>
  <c r="CS464" i="1"/>
  <c r="CR464" i="1"/>
  <c r="CA464" i="1"/>
  <c r="BZ464" i="1"/>
  <c r="BY464" i="1"/>
  <c r="BX464" i="1"/>
  <c r="BW464" i="1"/>
  <c r="BV464" i="1"/>
  <c r="BU464" i="1"/>
  <c r="CC464" i="1" s="1"/>
  <c r="BT464" i="1"/>
  <c r="BS464" i="1"/>
  <c r="AS464" i="1"/>
  <c r="AN464" i="1"/>
  <c r="AM464" i="1"/>
  <c r="AL464" i="1"/>
  <c r="AK464" i="1"/>
  <c r="AJ464" i="1"/>
  <c r="AI464" i="1"/>
  <c r="BC464" i="1" s="1"/>
  <c r="O464" i="1"/>
  <c r="D464" i="1" s="1"/>
  <c r="F464" i="1"/>
  <c r="E464" i="1"/>
  <c r="EA463" i="1"/>
  <c r="DZ463" i="1"/>
  <c r="DY463" i="1"/>
  <c r="DX463" i="1"/>
  <c r="DW463" i="1"/>
  <c r="DV463" i="1"/>
  <c r="DC463" i="1"/>
  <c r="CW463" i="1" s="1"/>
  <c r="DB463" i="1"/>
  <c r="CV463" i="1" s="1"/>
  <c r="DA463" i="1"/>
  <c r="CZ463" i="1"/>
  <c r="CY463" i="1"/>
  <c r="CS463" i="1" s="1"/>
  <c r="CX463" i="1"/>
  <c r="CR463" i="1" s="1"/>
  <c r="CU463" i="1"/>
  <c r="CT463" i="1"/>
  <c r="BZ463" i="1"/>
  <c r="CA463" i="1" s="1"/>
  <c r="BY463" i="1"/>
  <c r="BX463" i="1"/>
  <c r="BW463" i="1"/>
  <c r="BV463" i="1"/>
  <c r="BU463" i="1"/>
  <c r="BT463" i="1"/>
  <c r="BS463" i="1"/>
  <c r="AS463" i="1"/>
  <c r="AN463" i="1"/>
  <c r="AM463" i="1"/>
  <c r="AL463" i="1"/>
  <c r="AK463" i="1"/>
  <c r="AJ463" i="1"/>
  <c r="AI463" i="1"/>
  <c r="O463" i="1"/>
  <c r="D463" i="1" s="1"/>
  <c r="F463" i="1"/>
  <c r="E463" i="1"/>
  <c r="EA462" i="1"/>
  <c r="DZ462" i="1"/>
  <c r="DY462" i="1"/>
  <c r="DX462" i="1"/>
  <c r="DW462" i="1"/>
  <c r="DV462" i="1"/>
  <c r="DC462" i="1"/>
  <c r="DB462" i="1"/>
  <c r="DA462" i="1"/>
  <c r="CU462" i="1" s="1"/>
  <c r="CZ462" i="1"/>
  <c r="CT462" i="1" s="1"/>
  <c r="CY462" i="1"/>
  <c r="CX462" i="1"/>
  <c r="CW462" i="1"/>
  <c r="CV462" i="1"/>
  <c r="CS462" i="1"/>
  <c r="CR462" i="1"/>
  <c r="CA462" i="1"/>
  <c r="CB462" i="1" s="1"/>
  <c r="BZ462" i="1"/>
  <c r="BY462" i="1"/>
  <c r="BX462" i="1"/>
  <c r="BW462" i="1"/>
  <c r="BV462" i="1"/>
  <c r="BU462" i="1"/>
  <c r="CC462" i="1" s="1"/>
  <c r="BT462" i="1"/>
  <c r="BS462" i="1"/>
  <c r="AS462" i="1"/>
  <c r="AN462" i="1"/>
  <c r="AM462" i="1"/>
  <c r="AL462" i="1"/>
  <c r="AK462" i="1"/>
  <c r="AJ462" i="1"/>
  <c r="AI462" i="1"/>
  <c r="BC462" i="1" s="1"/>
  <c r="O462" i="1"/>
  <c r="D462" i="1" s="1"/>
  <c r="F462" i="1"/>
  <c r="E462" i="1"/>
  <c r="EA461" i="1"/>
  <c r="DZ461" i="1"/>
  <c r="DY461" i="1"/>
  <c r="DX461" i="1"/>
  <c r="DW461" i="1"/>
  <c r="DV461" i="1"/>
  <c r="DC461" i="1"/>
  <c r="CW461" i="1" s="1"/>
  <c r="DB461" i="1"/>
  <c r="CV461" i="1" s="1"/>
  <c r="DA461" i="1"/>
  <c r="CZ461" i="1"/>
  <c r="CY461" i="1"/>
  <c r="CS461" i="1" s="1"/>
  <c r="CX461" i="1"/>
  <c r="CR461" i="1" s="1"/>
  <c r="CU461" i="1"/>
  <c r="CT461" i="1"/>
  <c r="BZ461" i="1"/>
  <c r="CA461" i="1" s="1"/>
  <c r="BY461" i="1"/>
  <c r="BX461" i="1"/>
  <c r="BW461" i="1"/>
  <c r="BV461" i="1"/>
  <c r="BU461" i="1"/>
  <c r="CC461" i="1" s="1"/>
  <c r="BT461" i="1"/>
  <c r="BS461" i="1"/>
  <c r="AS461" i="1"/>
  <c r="AN461" i="1"/>
  <c r="AM461" i="1"/>
  <c r="AL461" i="1"/>
  <c r="AK461" i="1"/>
  <c r="AJ461" i="1"/>
  <c r="AI461" i="1"/>
  <c r="O461" i="1"/>
  <c r="D461" i="1" s="1"/>
  <c r="F461" i="1"/>
  <c r="E461" i="1"/>
  <c r="EA460" i="1"/>
  <c r="DZ460" i="1"/>
  <c r="DY460" i="1"/>
  <c r="DX460" i="1"/>
  <c r="DW460" i="1"/>
  <c r="DV460" i="1"/>
  <c r="DC460" i="1"/>
  <c r="DB460" i="1"/>
  <c r="DA460" i="1"/>
  <c r="CU460" i="1" s="1"/>
  <c r="CZ460" i="1"/>
  <c r="CT460" i="1" s="1"/>
  <c r="CY460" i="1"/>
  <c r="CX460" i="1"/>
  <c r="CW460" i="1"/>
  <c r="CV460" i="1"/>
  <c r="CS460" i="1"/>
  <c r="CR460" i="1"/>
  <c r="CA460" i="1"/>
  <c r="CB460" i="1" s="1"/>
  <c r="BZ460" i="1"/>
  <c r="BY460" i="1"/>
  <c r="BX460" i="1"/>
  <c r="BW460" i="1"/>
  <c r="BV460" i="1"/>
  <c r="BU460" i="1"/>
  <c r="CC460" i="1" s="1"/>
  <c r="BT460" i="1"/>
  <c r="BS460" i="1"/>
  <c r="BC460" i="1"/>
  <c r="AS460" i="1"/>
  <c r="AN460" i="1"/>
  <c r="AM460" i="1"/>
  <c r="AL460" i="1"/>
  <c r="AK460" i="1"/>
  <c r="AJ460" i="1"/>
  <c r="AI460" i="1"/>
  <c r="O460" i="1"/>
  <c r="D460" i="1" s="1"/>
  <c r="F460" i="1"/>
  <c r="E460" i="1"/>
  <c r="EA459" i="1"/>
  <c r="DZ459" i="1"/>
  <c r="DY459" i="1"/>
  <c r="DX459" i="1"/>
  <c r="DW459" i="1"/>
  <c r="DV459" i="1"/>
  <c r="DC459" i="1"/>
  <c r="CW459" i="1" s="1"/>
  <c r="DB459" i="1"/>
  <c r="CV459" i="1" s="1"/>
  <c r="DA459" i="1"/>
  <c r="CZ459" i="1"/>
  <c r="CY459" i="1"/>
  <c r="CS459" i="1" s="1"/>
  <c r="CX459" i="1"/>
  <c r="CR459" i="1" s="1"/>
  <c r="CU459" i="1"/>
  <c r="CT459" i="1"/>
  <c r="BZ459" i="1"/>
  <c r="CA459" i="1" s="1"/>
  <c r="BY459" i="1"/>
  <c r="BX459" i="1"/>
  <c r="BW459" i="1"/>
  <c r="BV459" i="1"/>
  <c r="BU459" i="1"/>
  <c r="BT459" i="1"/>
  <c r="BS459" i="1"/>
  <c r="AS459" i="1"/>
  <c r="AN459" i="1"/>
  <c r="AM459" i="1"/>
  <c r="AL459" i="1"/>
  <c r="AK459" i="1"/>
  <c r="AJ459" i="1"/>
  <c r="AI459" i="1"/>
  <c r="O459" i="1"/>
  <c r="D459" i="1" s="1"/>
  <c r="F459" i="1"/>
  <c r="E459" i="1"/>
  <c r="EA458" i="1"/>
  <c r="DZ458" i="1"/>
  <c r="DY458" i="1"/>
  <c r="DX458" i="1"/>
  <c r="DW458" i="1"/>
  <c r="DV458" i="1"/>
  <c r="DC458" i="1"/>
  <c r="DB458" i="1"/>
  <c r="DA458" i="1"/>
  <c r="CU458" i="1" s="1"/>
  <c r="CZ458" i="1"/>
  <c r="CT458" i="1" s="1"/>
  <c r="CY458" i="1"/>
  <c r="CX458" i="1"/>
  <c r="CW458" i="1"/>
  <c r="CV458" i="1"/>
  <c r="CS458" i="1"/>
  <c r="CR458" i="1"/>
  <c r="CA458" i="1"/>
  <c r="CB458" i="1" s="1"/>
  <c r="BZ458" i="1"/>
  <c r="BY458" i="1"/>
  <c r="BX458" i="1"/>
  <c r="BW458" i="1"/>
  <c r="BV458" i="1"/>
  <c r="BU458" i="1"/>
  <c r="CC458" i="1" s="1"/>
  <c r="BT458" i="1"/>
  <c r="BS458" i="1"/>
  <c r="AS458" i="1"/>
  <c r="AN458" i="1"/>
  <c r="AM458" i="1"/>
  <c r="AL458" i="1"/>
  <c r="AK458" i="1"/>
  <c r="AJ458" i="1"/>
  <c r="AI458" i="1"/>
  <c r="BC458" i="1" s="1"/>
  <c r="O458" i="1"/>
  <c r="D458" i="1" s="1"/>
  <c r="F458" i="1"/>
  <c r="E458" i="1"/>
  <c r="EA457" i="1"/>
  <c r="DZ457" i="1"/>
  <c r="DY457" i="1"/>
  <c r="DX457" i="1"/>
  <c r="DW457" i="1"/>
  <c r="DV457" i="1"/>
  <c r="DC457" i="1"/>
  <c r="CW457" i="1" s="1"/>
  <c r="DB457" i="1"/>
  <c r="CV457" i="1" s="1"/>
  <c r="DA457" i="1"/>
  <c r="CZ457" i="1"/>
  <c r="CY457" i="1"/>
  <c r="CS457" i="1" s="1"/>
  <c r="CX457" i="1"/>
  <c r="CR457" i="1" s="1"/>
  <c r="CU457" i="1"/>
  <c r="CT457" i="1"/>
  <c r="CA457" i="1"/>
  <c r="BZ457" i="1"/>
  <c r="BY457" i="1"/>
  <c r="BX457" i="1"/>
  <c r="BW457" i="1"/>
  <c r="BV457" i="1"/>
  <c r="BU457" i="1"/>
  <c r="CC457" i="1" s="1"/>
  <c r="BT457" i="1"/>
  <c r="BS457" i="1"/>
  <c r="AS457" i="1"/>
  <c r="AN457" i="1"/>
  <c r="AM457" i="1"/>
  <c r="AL457" i="1"/>
  <c r="AK457" i="1"/>
  <c r="AJ457" i="1"/>
  <c r="AI457" i="1"/>
  <c r="O457" i="1"/>
  <c r="D457" i="1" s="1"/>
  <c r="F457" i="1"/>
  <c r="E457" i="1"/>
  <c r="EA456" i="1"/>
  <c r="DZ456" i="1"/>
  <c r="DY456" i="1"/>
  <c r="DX456" i="1"/>
  <c r="DW456" i="1"/>
  <c r="DV456" i="1"/>
  <c r="DC456" i="1"/>
  <c r="DB456" i="1"/>
  <c r="DA456" i="1"/>
  <c r="CU456" i="1" s="1"/>
  <c r="CZ456" i="1"/>
  <c r="CT456" i="1" s="1"/>
  <c r="CY456" i="1"/>
  <c r="CX456" i="1"/>
  <c r="CW456" i="1"/>
  <c r="CV456" i="1"/>
  <c r="CS456" i="1"/>
  <c r="CR456" i="1"/>
  <c r="CA456" i="1"/>
  <c r="BZ456" i="1"/>
  <c r="BY456" i="1"/>
  <c r="BX456" i="1"/>
  <c r="BW456" i="1"/>
  <c r="BV456" i="1"/>
  <c r="BU456" i="1"/>
  <c r="CC456" i="1" s="1"/>
  <c r="BT456" i="1"/>
  <c r="BS456" i="1"/>
  <c r="BC456" i="1"/>
  <c r="AS456" i="1"/>
  <c r="AN456" i="1"/>
  <c r="AM456" i="1"/>
  <c r="AL456" i="1"/>
  <c r="AK456" i="1"/>
  <c r="AJ456" i="1"/>
  <c r="AI456" i="1"/>
  <c r="O456" i="1"/>
  <c r="D456" i="1" s="1"/>
  <c r="F456" i="1"/>
  <c r="E456" i="1"/>
  <c r="EA455" i="1"/>
  <c r="DZ455" i="1"/>
  <c r="DY455" i="1"/>
  <c r="DX455" i="1"/>
  <c r="DW455" i="1"/>
  <c r="DV455" i="1"/>
  <c r="DC455" i="1"/>
  <c r="CW455" i="1" s="1"/>
  <c r="DB455" i="1"/>
  <c r="CV455" i="1" s="1"/>
  <c r="DA455" i="1"/>
  <c r="CZ455" i="1"/>
  <c r="CY455" i="1"/>
  <c r="CS455" i="1" s="1"/>
  <c r="CX455" i="1"/>
  <c r="CR455" i="1" s="1"/>
  <c r="CU455" i="1"/>
  <c r="CT455" i="1"/>
  <c r="CA455" i="1"/>
  <c r="BZ455" i="1"/>
  <c r="BY455" i="1"/>
  <c r="BX455" i="1"/>
  <c r="BW455" i="1"/>
  <c r="BV455" i="1"/>
  <c r="BU455" i="1"/>
  <c r="CC455" i="1" s="1"/>
  <c r="BT455" i="1"/>
  <c r="BS455" i="1"/>
  <c r="BA455" i="1"/>
  <c r="BA456" i="1" s="1"/>
  <c r="BA457" i="1" s="1"/>
  <c r="BA458" i="1" s="1"/>
  <c r="BA459" i="1" s="1"/>
  <c r="BA460" i="1" s="1"/>
  <c r="BA461" i="1" s="1"/>
  <c r="BA462" i="1" s="1"/>
  <c r="BA463" i="1" s="1"/>
  <c r="BA464" i="1" s="1"/>
  <c r="BA465" i="1" s="1"/>
  <c r="BA466" i="1" s="1"/>
  <c r="BA467" i="1" s="1"/>
  <c r="BA468" i="1" s="1"/>
  <c r="BA469" i="1" s="1"/>
  <c r="BA470" i="1" s="1"/>
  <c r="BA471" i="1" s="1"/>
  <c r="BA472" i="1" s="1"/>
  <c r="BA473" i="1" s="1"/>
  <c r="BA474" i="1" s="1"/>
  <c r="BA475" i="1" s="1"/>
  <c r="BA476" i="1" s="1"/>
  <c r="BA477" i="1" s="1"/>
  <c r="BA478" i="1" s="1"/>
  <c r="BA479" i="1" s="1"/>
  <c r="BA480" i="1" s="1"/>
  <c r="BA481" i="1" s="1"/>
  <c r="BA482" i="1" s="1"/>
  <c r="BA483" i="1" s="1"/>
  <c r="BA484" i="1" s="1"/>
  <c r="BA485" i="1" s="1"/>
  <c r="BA486" i="1" s="1"/>
  <c r="BA487" i="1" s="1"/>
  <c r="BA488" i="1" s="1"/>
  <c r="BA489" i="1" s="1"/>
  <c r="BA490" i="1" s="1"/>
  <c r="BA491" i="1" s="1"/>
  <c r="BA492" i="1" s="1"/>
  <c r="BA493" i="1" s="1"/>
  <c r="BA494" i="1" s="1"/>
  <c r="BA495" i="1" s="1"/>
  <c r="BA496" i="1" s="1"/>
  <c r="BA497" i="1" s="1"/>
  <c r="BA498" i="1" s="1"/>
  <c r="BA499" i="1" s="1"/>
  <c r="BA500" i="1" s="1"/>
  <c r="BA501" i="1" s="1"/>
  <c r="BA502" i="1" s="1"/>
  <c r="AS455" i="1"/>
  <c r="AN455" i="1"/>
  <c r="AM455" i="1"/>
  <c r="AL455" i="1"/>
  <c r="AK455" i="1"/>
  <c r="AJ455" i="1"/>
  <c r="AI455" i="1"/>
  <c r="O455" i="1"/>
  <c r="D455" i="1" s="1"/>
  <c r="F455" i="1"/>
  <c r="E455" i="1"/>
  <c r="EA454" i="1"/>
  <c r="DZ454" i="1"/>
  <c r="DY454" i="1"/>
  <c r="DX454" i="1"/>
  <c r="DW454" i="1"/>
  <c r="DV454" i="1"/>
  <c r="DC454" i="1"/>
  <c r="DB454" i="1"/>
  <c r="DA454" i="1"/>
  <c r="CU454" i="1" s="1"/>
  <c r="CZ454" i="1"/>
  <c r="CT454" i="1" s="1"/>
  <c r="CY454" i="1"/>
  <c r="CX454" i="1"/>
  <c r="CW454" i="1"/>
  <c r="CV454" i="1"/>
  <c r="CS454" i="1"/>
  <c r="CR454" i="1"/>
  <c r="CA454" i="1"/>
  <c r="BZ454" i="1"/>
  <c r="BY454" i="1"/>
  <c r="BX454" i="1"/>
  <c r="BW454" i="1"/>
  <c r="BV454" i="1"/>
  <c r="BU454" i="1"/>
  <c r="CC454" i="1" s="1"/>
  <c r="BT454" i="1"/>
  <c r="BS454" i="1"/>
  <c r="BA454" i="1"/>
  <c r="AS454" i="1"/>
  <c r="AN454" i="1"/>
  <c r="AM454" i="1"/>
  <c r="AL454" i="1"/>
  <c r="AK454" i="1"/>
  <c r="AJ454" i="1"/>
  <c r="AI454" i="1"/>
  <c r="BC454" i="1" s="1"/>
  <c r="O454" i="1"/>
  <c r="D454" i="1" s="1"/>
  <c r="F454" i="1"/>
  <c r="E454" i="1"/>
  <c r="EA453" i="1"/>
  <c r="DZ453" i="1"/>
  <c r="DY453" i="1"/>
  <c r="DX453" i="1"/>
  <c r="DW453" i="1"/>
  <c r="DV453" i="1"/>
  <c r="DC453" i="1"/>
  <c r="CW453" i="1" s="1"/>
  <c r="DB453" i="1"/>
  <c r="CV453" i="1" s="1"/>
  <c r="DA453" i="1"/>
  <c r="CZ453" i="1"/>
  <c r="CY453" i="1"/>
  <c r="CS453" i="1" s="1"/>
  <c r="CX453" i="1"/>
  <c r="CR453" i="1" s="1"/>
  <c r="CU453" i="1"/>
  <c r="CT453" i="1"/>
  <c r="BZ453" i="1"/>
  <c r="CA453" i="1" s="1"/>
  <c r="BY453" i="1"/>
  <c r="BX453" i="1"/>
  <c r="BW453" i="1"/>
  <c r="BV453" i="1"/>
  <c r="BU453" i="1"/>
  <c r="CC453" i="1" s="1"/>
  <c r="BT453" i="1"/>
  <c r="BS453" i="1"/>
  <c r="AS453" i="1"/>
  <c r="AN453" i="1"/>
  <c r="AM453" i="1"/>
  <c r="AL453" i="1"/>
  <c r="AK453" i="1"/>
  <c r="AJ453" i="1"/>
  <c r="AI453" i="1"/>
  <c r="BC453" i="1" s="1"/>
  <c r="O453" i="1"/>
  <c r="D453" i="1" s="1"/>
  <c r="F453" i="1"/>
  <c r="E453" i="1"/>
  <c r="EA452" i="1"/>
  <c r="DZ452" i="1"/>
  <c r="DY452" i="1"/>
  <c r="DX452" i="1"/>
  <c r="DW452" i="1"/>
  <c r="DV452" i="1"/>
  <c r="DC452" i="1"/>
  <c r="CW452" i="1" s="1"/>
  <c r="DB452" i="1"/>
  <c r="DA452" i="1"/>
  <c r="CZ452" i="1"/>
  <c r="CT452" i="1" s="1"/>
  <c r="CY452" i="1"/>
  <c r="CS452" i="1" s="1"/>
  <c r="CX452" i="1"/>
  <c r="CV452" i="1"/>
  <c r="CU452" i="1"/>
  <c r="CR452" i="1"/>
  <c r="BZ452" i="1"/>
  <c r="CA452" i="1" s="1"/>
  <c r="BY452" i="1"/>
  <c r="BX452" i="1"/>
  <c r="BW452" i="1"/>
  <c r="BV452" i="1"/>
  <c r="BU452" i="1"/>
  <c r="BT452" i="1"/>
  <c r="BS452" i="1"/>
  <c r="AS452" i="1"/>
  <c r="AN452" i="1"/>
  <c r="AM452" i="1"/>
  <c r="AL452" i="1"/>
  <c r="AK452" i="1"/>
  <c r="AJ452" i="1"/>
  <c r="AI452" i="1"/>
  <c r="BC452" i="1" s="1"/>
  <c r="O452" i="1"/>
  <c r="D452" i="1" s="1"/>
  <c r="F452" i="1"/>
  <c r="E452" i="1"/>
  <c r="EA451" i="1"/>
  <c r="DZ451" i="1"/>
  <c r="DY451" i="1"/>
  <c r="DX451" i="1"/>
  <c r="DW451" i="1"/>
  <c r="DV451" i="1"/>
  <c r="DC451" i="1"/>
  <c r="DB451" i="1"/>
  <c r="CV451" i="1" s="1"/>
  <c r="DA451" i="1"/>
  <c r="CU451" i="1" s="1"/>
  <c r="CZ451" i="1"/>
  <c r="CY451" i="1"/>
  <c r="CX451" i="1"/>
  <c r="CR451" i="1" s="1"/>
  <c r="CW451" i="1"/>
  <c r="CT451" i="1"/>
  <c r="CS451" i="1"/>
  <c r="CB451" i="1"/>
  <c r="CA451" i="1"/>
  <c r="BZ451" i="1"/>
  <c r="BY451" i="1"/>
  <c r="BX451" i="1"/>
  <c r="BW451" i="1"/>
  <c r="BV451" i="1"/>
  <c r="BU451" i="1"/>
  <c r="CC451" i="1" s="1"/>
  <c r="BT451" i="1"/>
  <c r="BS451" i="1"/>
  <c r="AS451" i="1"/>
  <c r="AN451" i="1"/>
  <c r="AM451" i="1"/>
  <c r="AL451" i="1"/>
  <c r="AK451" i="1"/>
  <c r="AJ451" i="1"/>
  <c r="AI451" i="1"/>
  <c r="BC451" i="1" s="1"/>
  <c r="O451" i="1"/>
  <c r="D451" i="1" s="1"/>
  <c r="F451" i="1"/>
  <c r="E451" i="1"/>
  <c r="EA450" i="1"/>
  <c r="DZ450" i="1"/>
  <c r="DY450" i="1"/>
  <c r="DX450" i="1"/>
  <c r="DW450" i="1"/>
  <c r="DV450" i="1"/>
  <c r="DC450" i="1"/>
  <c r="CW450" i="1" s="1"/>
  <c r="DB450" i="1"/>
  <c r="DA450" i="1"/>
  <c r="CZ450" i="1"/>
  <c r="CT450" i="1" s="1"/>
  <c r="CY450" i="1"/>
  <c r="CS450" i="1" s="1"/>
  <c r="CX450" i="1"/>
  <c r="CV450" i="1"/>
  <c r="CU450" i="1"/>
  <c r="CR450" i="1"/>
  <c r="BZ450" i="1"/>
  <c r="CA450" i="1" s="1"/>
  <c r="BY450" i="1"/>
  <c r="BX450" i="1"/>
  <c r="BW450" i="1"/>
  <c r="BV450" i="1"/>
  <c r="BU450" i="1"/>
  <c r="BT450" i="1"/>
  <c r="BS450" i="1"/>
  <c r="AS450" i="1"/>
  <c r="AN450" i="1"/>
  <c r="AM450" i="1"/>
  <c r="AL450" i="1"/>
  <c r="AK450" i="1"/>
  <c r="AJ450" i="1"/>
  <c r="AI450" i="1"/>
  <c r="BC450" i="1" s="1"/>
  <c r="O450" i="1"/>
  <c r="D450" i="1" s="1"/>
  <c r="F450" i="1"/>
  <c r="E450" i="1"/>
  <c r="EA449" i="1"/>
  <c r="DZ449" i="1"/>
  <c r="DY449" i="1"/>
  <c r="DX449" i="1"/>
  <c r="DW449" i="1"/>
  <c r="DV449" i="1"/>
  <c r="DC449" i="1"/>
  <c r="DB449" i="1"/>
  <c r="CV449" i="1" s="1"/>
  <c r="DA449" i="1"/>
  <c r="CU449" i="1" s="1"/>
  <c r="CZ449" i="1"/>
  <c r="CY449" i="1"/>
  <c r="CX449" i="1"/>
  <c r="CR449" i="1" s="1"/>
  <c r="CW449" i="1"/>
  <c r="CT449" i="1"/>
  <c r="CS449" i="1"/>
  <c r="CB449" i="1"/>
  <c r="CA449" i="1"/>
  <c r="BZ449" i="1"/>
  <c r="BY449" i="1"/>
  <c r="BX449" i="1"/>
  <c r="BW449" i="1"/>
  <c r="BV449" i="1"/>
  <c r="BU449" i="1"/>
  <c r="CC449" i="1" s="1"/>
  <c r="BT449" i="1"/>
  <c r="BS449" i="1"/>
  <c r="AS449" i="1"/>
  <c r="AN449" i="1"/>
  <c r="AM449" i="1"/>
  <c r="AL449" i="1"/>
  <c r="AK449" i="1"/>
  <c r="AJ449" i="1"/>
  <c r="AI449" i="1"/>
  <c r="BC449" i="1" s="1"/>
  <c r="O449" i="1"/>
  <c r="F449" i="1"/>
  <c r="E449" i="1"/>
  <c r="D449" i="1"/>
  <c r="EA448" i="1"/>
  <c r="DZ448" i="1"/>
  <c r="DY448" i="1"/>
  <c r="DX448" i="1"/>
  <c r="DW448" i="1"/>
  <c r="DV448" i="1"/>
  <c r="DC448" i="1"/>
  <c r="CW448" i="1" s="1"/>
  <c r="DB448" i="1"/>
  <c r="DA448" i="1"/>
  <c r="CZ448" i="1"/>
  <c r="CT448" i="1" s="1"/>
  <c r="CY448" i="1"/>
  <c r="CS448" i="1" s="1"/>
  <c r="CX448" i="1"/>
  <c r="CV448" i="1"/>
  <c r="CU448" i="1"/>
  <c r="CR448" i="1"/>
  <c r="BZ448" i="1"/>
  <c r="CA448" i="1" s="1"/>
  <c r="BY448" i="1"/>
  <c r="BX448" i="1"/>
  <c r="BW448" i="1"/>
  <c r="BV448" i="1"/>
  <c r="BU448" i="1"/>
  <c r="BT448" i="1"/>
  <c r="BS448" i="1"/>
  <c r="AS448" i="1"/>
  <c r="AN448" i="1"/>
  <c r="AM448" i="1"/>
  <c r="AL448" i="1"/>
  <c r="AK448" i="1"/>
  <c r="AJ448" i="1"/>
  <c r="AI448" i="1"/>
  <c r="BC448" i="1" s="1"/>
  <c r="O448" i="1"/>
  <c r="D448" i="1" s="1"/>
  <c r="F448" i="1"/>
  <c r="E448" i="1"/>
  <c r="EA447" i="1"/>
  <c r="DZ447" i="1"/>
  <c r="DY447" i="1"/>
  <c r="DX447" i="1"/>
  <c r="DW447" i="1"/>
  <c r="DV447" i="1"/>
  <c r="DC447" i="1"/>
  <c r="DB447" i="1"/>
  <c r="CV447" i="1" s="1"/>
  <c r="DA447" i="1"/>
  <c r="CU447" i="1" s="1"/>
  <c r="CZ447" i="1"/>
  <c r="CY447" i="1"/>
  <c r="CX447" i="1"/>
  <c r="CR447" i="1" s="1"/>
  <c r="CW447" i="1"/>
  <c r="CT447" i="1"/>
  <c r="CS447" i="1"/>
  <c r="CB447" i="1"/>
  <c r="CA447" i="1"/>
  <c r="BZ447" i="1"/>
  <c r="BY447" i="1"/>
  <c r="BX447" i="1"/>
  <c r="BW447" i="1"/>
  <c r="BV447" i="1"/>
  <c r="BU447" i="1"/>
  <c r="CC447" i="1" s="1"/>
  <c r="BT447" i="1"/>
  <c r="BS447" i="1"/>
  <c r="AS447" i="1"/>
  <c r="AN447" i="1"/>
  <c r="AM447" i="1"/>
  <c r="AL447" i="1"/>
  <c r="AK447" i="1"/>
  <c r="AJ447" i="1"/>
  <c r="AI447" i="1"/>
  <c r="BC447" i="1" s="1"/>
  <c r="O447" i="1"/>
  <c r="D447" i="1" s="1"/>
  <c r="F447" i="1"/>
  <c r="E447" i="1"/>
  <c r="EA446" i="1"/>
  <c r="DZ446" i="1"/>
  <c r="DY446" i="1"/>
  <c r="DX446" i="1"/>
  <c r="DW446" i="1"/>
  <c r="DV446" i="1"/>
  <c r="DC446" i="1"/>
  <c r="CW446" i="1" s="1"/>
  <c r="DB446" i="1"/>
  <c r="DA446" i="1"/>
  <c r="CZ446" i="1"/>
  <c r="CT446" i="1" s="1"/>
  <c r="CY446" i="1"/>
  <c r="CS446" i="1" s="1"/>
  <c r="CX446" i="1"/>
  <c r="CV446" i="1"/>
  <c r="CU446" i="1"/>
  <c r="CR446" i="1"/>
  <c r="BZ446" i="1"/>
  <c r="CA446" i="1" s="1"/>
  <c r="BY446" i="1"/>
  <c r="BX446" i="1"/>
  <c r="BW446" i="1"/>
  <c r="BV446" i="1"/>
  <c r="BU446" i="1"/>
  <c r="CC446" i="1" s="1"/>
  <c r="BT446" i="1"/>
  <c r="BS446" i="1"/>
  <c r="AS446" i="1"/>
  <c r="AN446" i="1"/>
  <c r="AM446" i="1"/>
  <c r="AL446" i="1"/>
  <c r="AK446" i="1"/>
  <c r="AJ446" i="1"/>
  <c r="AI446" i="1"/>
  <c r="BC446" i="1" s="1"/>
  <c r="O446" i="1"/>
  <c r="D446" i="1" s="1"/>
  <c r="F446" i="1"/>
  <c r="E446" i="1"/>
  <c r="EA445" i="1"/>
  <c r="DZ445" i="1"/>
  <c r="DY445" i="1"/>
  <c r="DX445" i="1"/>
  <c r="DW445" i="1"/>
  <c r="DV445" i="1"/>
  <c r="DC445" i="1"/>
  <c r="DB445" i="1"/>
  <c r="CV445" i="1" s="1"/>
  <c r="DA445" i="1"/>
  <c r="CU445" i="1" s="1"/>
  <c r="CZ445" i="1"/>
  <c r="CY445" i="1"/>
  <c r="CX445" i="1"/>
  <c r="CR445" i="1" s="1"/>
  <c r="CW445" i="1"/>
  <c r="CT445" i="1"/>
  <c r="CS445" i="1"/>
  <c r="CB445" i="1"/>
  <c r="CA445" i="1"/>
  <c r="BZ445" i="1"/>
  <c r="BY445" i="1"/>
  <c r="BX445" i="1"/>
  <c r="BW445" i="1"/>
  <c r="BV445" i="1"/>
  <c r="BU445" i="1"/>
  <c r="CC445" i="1" s="1"/>
  <c r="BT445" i="1"/>
  <c r="BS445" i="1"/>
  <c r="AS445" i="1"/>
  <c r="AN445" i="1"/>
  <c r="AM445" i="1"/>
  <c r="AL445" i="1"/>
  <c r="AK445" i="1"/>
  <c r="AJ445" i="1"/>
  <c r="AI445" i="1"/>
  <c r="BC445" i="1" s="1"/>
  <c r="O445" i="1"/>
  <c r="D445" i="1" s="1"/>
  <c r="F445" i="1"/>
  <c r="E445" i="1"/>
  <c r="EA444" i="1"/>
  <c r="DZ444" i="1"/>
  <c r="DY444" i="1"/>
  <c r="DX444" i="1"/>
  <c r="DW444" i="1"/>
  <c r="DV444" i="1"/>
  <c r="DC444" i="1"/>
  <c r="CW444" i="1" s="1"/>
  <c r="DB444" i="1"/>
  <c r="DA444" i="1"/>
  <c r="CZ444" i="1"/>
  <c r="CT444" i="1" s="1"/>
  <c r="CY444" i="1"/>
  <c r="CS444" i="1" s="1"/>
  <c r="CX444" i="1"/>
  <c r="CV444" i="1"/>
  <c r="CU444" i="1"/>
  <c r="CR444" i="1"/>
  <c r="BZ444" i="1"/>
  <c r="CA444" i="1" s="1"/>
  <c r="BY444" i="1"/>
  <c r="BX444" i="1"/>
  <c r="BW444" i="1"/>
  <c r="BV444" i="1"/>
  <c r="BU444" i="1"/>
  <c r="CC444" i="1" s="1"/>
  <c r="BT444" i="1"/>
  <c r="BS444" i="1"/>
  <c r="AS444" i="1"/>
  <c r="AN444" i="1"/>
  <c r="AM444" i="1"/>
  <c r="AL444" i="1"/>
  <c r="AK444" i="1"/>
  <c r="AJ444" i="1"/>
  <c r="AI444" i="1"/>
  <c r="BC444" i="1" s="1"/>
  <c r="O444" i="1"/>
  <c r="D444" i="1" s="1"/>
  <c r="F444" i="1"/>
  <c r="E444" i="1"/>
  <c r="EA443" i="1"/>
  <c r="DZ443" i="1"/>
  <c r="DY443" i="1"/>
  <c r="DX443" i="1"/>
  <c r="DW443" i="1"/>
  <c r="DV443" i="1"/>
  <c r="DC443" i="1"/>
  <c r="DB443" i="1"/>
  <c r="CV443" i="1" s="1"/>
  <c r="DA443" i="1"/>
  <c r="CU443" i="1" s="1"/>
  <c r="CZ443" i="1"/>
  <c r="CY443" i="1"/>
  <c r="CX443" i="1"/>
  <c r="CR443" i="1" s="1"/>
  <c r="CW443" i="1"/>
  <c r="CT443" i="1"/>
  <c r="CS443" i="1"/>
  <c r="CB443" i="1"/>
  <c r="CA443" i="1"/>
  <c r="BZ443" i="1"/>
  <c r="BY443" i="1"/>
  <c r="BX443" i="1"/>
  <c r="BW443" i="1"/>
  <c r="BV443" i="1"/>
  <c r="BU443" i="1"/>
  <c r="CC443" i="1" s="1"/>
  <c r="BT443" i="1"/>
  <c r="BS443" i="1"/>
  <c r="AS443" i="1"/>
  <c r="AN443" i="1"/>
  <c r="AM443" i="1"/>
  <c r="AL443" i="1"/>
  <c r="AK443" i="1"/>
  <c r="AJ443" i="1"/>
  <c r="AI443" i="1"/>
  <c r="BC443" i="1" s="1"/>
  <c r="O443" i="1"/>
  <c r="D443" i="1" s="1"/>
  <c r="F443" i="1"/>
  <c r="E443" i="1"/>
  <c r="EA442" i="1"/>
  <c r="DZ442" i="1"/>
  <c r="DY442" i="1"/>
  <c r="DX442" i="1"/>
  <c r="DW442" i="1"/>
  <c r="DV442" i="1"/>
  <c r="DC442" i="1"/>
  <c r="CW442" i="1" s="1"/>
  <c r="DB442" i="1"/>
  <c r="DA442" i="1"/>
  <c r="CZ442" i="1"/>
  <c r="CT442" i="1" s="1"/>
  <c r="CY442" i="1"/>
  <c r="CS442" i="1" s="1"/>
  <c r="CX442" i="1"/>
  <c r="CV442" i="1"/>
  <c r="CU442" i="1"/>
  <c r="CR442" i="1"/>
  <c r="BZ442" i="1"/>
  <c r="CA442" i="1" s="1"/>
  <c r="BY442" i="1"/>
  <c r="BX442" i="1"/>
  <c r="BW442" i="1"/>
  <c r="BV442" i="1"/>
  <c r="BU442" i="1"/>
  <c r="CC442" i="1" s="1"/>
  <c r="BT442" i="1"/>
  <c r="BS442" i="1"/>
  <c r="BC442" i="1"/>
  <c r="AS442" i="1"/>
  <c r="AN442" i="1"/>
  <c r="AM442" i="1"/>
  <c r="AL442" i="1"/>
  <c r="AK442" i="1"/>
  <c r="AJ442" i="1"/>
  <c r="AI442" i="1"/>
  <c r="O442" i="1"/>
  <c r="D442" i="1" s="1"/>
  <c r="F442" i="1"/>
  <c r="E442" i="1"/>
  <c r="EA441" i="1"/>
  <c r="DZ441" i="1"/>
  <c r="DY441" i="1"/>
  <c r="DX441" i="1"/>
  <c r="DW441" i="1"/>
  <c r="DV441" i="1"/>
  <c r="DC441" i="1"/>
  <c r="DB441" i="1"/>
  <c r="CV441" i="1" s="1"/>
  <c r="DA441" i="1"/>
  <c r="CU441" i="1" s="1"/>
  <c r="CZ441" i="1"/>
  <c r="CY441" i="1"/>
  <c r="CX441" i="1"/>
  <c r="CR441" i="1" s="1"/>
  <c r="CW441" i="1"/>
  <c r="CT441" i="1"/>
  <c r="CS441" i="1"/>
  <c r="CB441" i="1"/>
  <c r="CA441" i="1"/>
  <c r="BZ441" i="1"/>
  <c r="BY441" i="1"/>
  <c r="BX441" i="1"/>
  <c r="BW441" i="1"/>
  <c r="BV441" i="1"/>
  <c r="BU441" i="1"/>
  <c r="CC441" i="1" s="1"/>
  <c r="BT441" i="1"/>
  <c r="BS441" i="1"/>
  <c r="AS441" i="1"/>
  <c r="AN441" i="1"/>
  <c r="AM441" i="1"/>
  <c r="AL441" i="1"/>
  <c r="AK441" i="1"/>
  <c r="AJ441" i="1"/>
  <c r="AI441" i="1"/>
  <c r="BC441" i="1" s="1"/>
  <c r="O441" i="1"/>
  <c r="F441" i="1"/>
  <c r="E441" i="1"/>
  <c r="D441" i="1"/>
  <c r="EA440" i="1"/>
  <c r="DZ440" i="1"/>
  <c r="DY440" i="1"/>
  <c r="DX440" i="1"/>
  <c r="DW440" i="1"/>
  <c r="DV440" i="1"/>
  <c r="DC440" i="1"/>
  <c r="CW440" i="1" s="1"/>
  <c r="DB440" i="1"/>
  <c r="DA440" i="1"/>
  <c r="CZ440" i="1"/>
  <c r="CT440" i="1" s="1"/>
  <c r="CY440" i="1"/>
  <c r="CS440" i="1" s="1"/>
  <c r="CX440" i="1"/>
  <c r="CV440" i="1"/>
  <c r="CU440" i="1"/>
  <c r="CR440" i="1"/>
  <c r="BZ440" i="1"/>
  <c r="CA440" i="1" s="1"/>
  <c r="BY440" i="1"/>
  <c r="BX440" i="1"/>
  <c r="BW440" i="1"/>
  <c r="BV440" i="1"/>
  <c r="BU440" i="1"/>
  <c r="CC440" i="1" s="1"/>
  <c r="BT440" i="1"/>
  <c r="BS440" i="1"/>
  <c r="AS440" i="1"/>
  <c r="AN440" i="1"/>
  <c r="AM440" i="1"/>
  <c r="AL440" i="1"/>
  <c r="AK440" i="1"/>
  <c r="AJ440" i="1"/>
  <c r="AI440" i="1"/>
  <c r="BC440" i="1" s="1"/>
  <c r="O440" i="1"/>
  <c r="D440" i="1" s="1"/>
  <c r="F440" i="1"/>
  <c r="E440" i="1"/>
  <c r="EA439" i="1"/>
  <c r="DZ439" i="1"/>
  <c r="DY439" i="1"/>
  <c r="DX439" i="1"/>
  <c r="DW439" i="1"/>
  <c r="DV439" i="1"/>
  <c r="DC439" i="1"/>
  <c r="DB439" i="1"/>
  <c r="CV439" i="1" s="1"/>
  <c r="DA439" i="1"/>
  <c r="CU439" i="1" s="1"/>
  <c r="CZ439" i="1"/>
  <c r="CY439" i="1"/>
  <c r="CX439" i="1"/>
  <c r="CR439" i="1" s="1"/>
  <c r="CW439" i="1"/>
  <c r="CT439" i="1"/>
  <c r="CS439" i="1"/>
  <c r="CB439" i="1"/>
  <c r="CA439" i="1"/>
  <c r="BZ439" i="1"/>
  <c r="BY439" i="1"/>
  <c r="BX439" i="1"/>
  <c r="BW439" i="1"/>
  <c r="BV439" i="1"/>
  <c r="BU439" i="1"/>
  <c r="CC439" i="1" s="1"/>
  <c r="BT439" i="1"/>
  <c r="BS439" i="1"/>
  <c r="AS439" i="1"/>
  <c r="AN439" i="1"/>
  <c r="AM439" i="1"/>
  <c r="AL439" i="1"/>
  <c r="AK439" i="1"/>
  <c r="AJ439" i="1"/>
  <c r="AI439" i="1"/>
  <c r="BC439" i="1" s="1"/>
  <c r="O439" i="1"/>
  <c r="D439" i="1" s="1"/>
  <c r="F439" i="1"/>
  <c r="E439" i="1"/>
  <c r="EA438" i="1"/>
  <c r="DZ438" i="1"/>
  <c r="DY438" i="1"/>
  <c r="DX438" i="1"/>
  <c r="DW438" i="1"/>
  <c r="DV438" i="1"/>
  <c r="DC438" i="1"/>
  <c r="CW438" i="1" s="1"/>
  <c r="DB438" i="1"/>
  <c r="DA438" i="1"/>
  <c r="CZ438" i="1"/>
  <c r="CT438" i="1" s="1"/>
  <c r="CY438" i="1"/>
  <c r="CS438" i="1" s="1"/>
  <c r="CX438" i="1"/>
  <c r="CV438" i="1"/>
  <c r="CU438" i="1"/>
  <c r="CR438" i="1"/>
  <c r="BZ438" i="1"/>
  <c r="CA438" i="1" s="1"/>
  <c r="BY438" i="1"/>
  <c r="BX438" i="1"/>
  <c r="BW438" i="1"/>
  <c r="BV438" i="1"/>
  <c r="BU438" i="1"/>
  <c r="CC438" i="1" s="1"/>
  <c r="BT438" i="1"/>
  <c r="BS438" i="1"/>
  <c r="AS438" i="1"/>
  <c r="AN438" i="1"/>
  <c r="AM438" i="1"/>
  <c r="AL438" i="1"/>
  <c r="AK438" i="1"/>
  <c r="AJ438" i="1"/>
  <c r="AI438" i="1"/>
  <c r="BC438" i="1" s="1"/>
  <c r="O438" i="1"/>
  <c r="D438" i="1" s="1"/>
  <c r="F438" i="1"/>
  <c r="E438" i="1"/>
  <c r="EA437" i="1"/>
  <c r="DZ437" i="1"/>
  <c r="DY437" i="1"/>
  <c r="DX437" i="1"/>
  <c r="DW437" i="1"/>
  <c r="DV437" i="1"/>
  <c r="DC437" i="1"/>
  <c r="DB437" i="1"/>
  <c r="CV437" i="1" s="1"/>
  <c r="DA437" i="1"/>
  <c r="CU437" i="1" s="1"/>
  <c r="CZ437" i="1"/>
  <c r="CY437" i="1"/>
  <c r="CX437" i="1"/>
  <c r="CR437" i="1" s="1"/>
  <c r="CW437" i="1"/>
  <c r="CT437" i="1"/>
  <c r="CS437" i="1"/>
  <c r="CB437" i="1"/>
  <c r="CA437" i="1"/>
  <c r="BZ437" i="1"/>
  <c r="BY437" i="1"/>
  <c r="BX437" i="1"/>
  <c r="BW437" i="1"/>
  <c r="BV437" i="1"/>
  <c r="BU437" i="1"/>
  <c r="CC437" i="1" s="1"/>
  <c r="BT437" i="1"/>
  <c r="BS437" i="1"/>
  <c r="AS437" i="1"/>
  <c r="AN437" i="1"/>
  <c r="AM437" i="1"/>
  <c r="AL437" i="1"/>
  <c r="AK437" i="1"/>
  <c r="AJ437" i="1"/>
  <c r="AI437" i="1"/>
  <c r="BC437" i="1" s="1"/>
  <c r="O437" i="1"/>
  <c r="D437" i="1" s="1"/>
  <c r="F437" i="1"/>
  <c r="E437" i="1"/>
  <c r="EA436" i="1"/>
  <c r="DZ436" i="1"/>
  <c r="DY436" i="1"/>
  <c r="DX436" i="1"/>
  <c r="DW436" i="1"/>
  <c r="DV436" i="1"/>
  <c r="DC436" i="1"/>
  <c r="CW436" i="1" s="1"/>
  <c r="DB436" i="1"/>
  <c r="DA436" i="1"/>
  <c r="CZ436" i="1"/>
  <c r="CT436" i="1" s="1"/>
  <c r="CY436" i="1"/>
  <c r="CS436" i="1" s="1"/>
  <c r="CX436" i="1"/>
  <c r="CV436" i="1"/>
  <c r="CU436" i="1"/>
  <c r="CR436" i="1"/>
  <c r="BZ436" i="1"/>
  <c r="CA436" i="1" s="1"/>
  <c r="BY436" i="1"/>
  <c r="BX436" i="1"/>
  <c r="BW436" i="1"/>
  <c r="BV436" i="1"/>
  <c r="BU436" i="1"/>
  <c r="CC436" i="1" s="1"/>
  <c r="BT436" i="1"/>
  <c r="BS436" i="1"/>
  <c r="AS436" i="1"/>
  <c r="AN436" i="1"/>
  <c r="AM436" i="1"/>
  <c r="AL436" i="1"/>
  <c r="AK436" i="1"/>
  <c r="AJ436" i="1"/>
  <c r="AI436" i="1"/>
  <c r="BC436" i="1" s="1"/>
  <c r="O436" i="1"/>
  <c r="D436" i="1" s="1"/>
  <c r="F436" i="1"/>
  <c r="E436" i="1"/>
  <c r="EA435" i="1"/>
  <c r="DZ435" i="1"/>
  <c r="DY435" i="1"/>
  <c r="DX435" i="1"/>
  <c r="DW435" i="1"/>
  <c r="DV435" i="1"/>
  <c r="DC435" i="1"/>
  <c r="DB435" i="1"/>
  <c r="CV435" i="1" s="1"/>
  <c r="DA435" i="1"/>
  <c r="CU435" i="1" s="1"/>
  <c r="CZ435" i="1"/>
  <c r="CY435" i="1"/>
  <c r="CX435" i="1"/>
  <c r="CR435" i="1" s="1"/>
  <c r="CW435" i="1"/>
  <c r="CT435" i="1"/>
  <c r="CS435" i="1"/>
  <c r="CB435" i="1"/>
  <c r="CA435" i="1"/>
  <c r="BZ435" i="1"/>
  <c r="BY435" i="1"/>
  <c r="BX435" i="1"/>
  <c r="BW435" i="1"/>
  <c r="BV435" i="1"/>
  <c r="BU435" i="1"/>
  <c r="CC435" i="1" s="1"/>
  <c r="BT435" i="1"/>
  <c r="BS435" i="1"/>
  <c r="AS435" i="1"/>
  <c r="AN435" i="1"/>
  <c r="AM435" i="1"/>
  <c r="AL435" i="1"/>
  <c r="AK435" i="1"/>
  <c r="AJ435" i="1"/>
  <c r="AI435" i="1"/>
  <c r="BC435" i="1" s="1"/>
  <c r="O435" i="1"/>
  <c r="D435" i="1" s="1"/>
  <c r="F435" i="1"/>
  <c r="E435" i="1"/>
  <c r="EA434" i="1"/>
  <c r="DZ434" i="1"/>
  <c r="DY434" i="1"/>
  <c r="DX434" i="1"/>
  <c r="DW434" i="1"/>
  <c r="DV434" i="1"/>
  <c r="DC434" i="1"/>
  <c r="CW434" i="1" s="1"/>
  <c r="DB434" i="1"/>
  <c r="DA434" i="1"/>
  <c r="CZ434" i="1"/>
  <c r="CT434" i="1" s="1"/>
  <c r="CY434" i="1"/>
  <c r="CS434" i="1" s="1"/>
  <c r="CX434" i="1"/>
  <c r="CV434" i="1"/>
  <c r="CU434" i="1"/>
  <c r="CR434" i="1"/>
  <c r="BZ434" i="1"/>
  <c r="CA434" i="1" s="1"/>
  <c r="BY434" i="1"/>
  <c r="BX434" i="1"/>
  <c r="BW434" i="1"/>
  <c r="BV434" i="1"/>
  <c r="BU434" i="1"/>
  <c r="BT434" i="1"/>
  <c r="BS434" i="1"/>
  <c r="AS434" i="1"/>
  <c r="AN434" i="1"/>
  <c r="AM434" i="1"/>
  <c r="AL434" i="1"/>
  <c r="AK434" i="1"/>
  <c r="AJ434" i="1"/>
  <c r="AI434" i="1"/>
  <c r="BC434" i="1" s="1"/>
  <c r="O434" i="1"/>
  <c r="D434" i="1" s="1"/>
  <c r="F434" i="1"/>
  <c r="E434" i="1"/>
  <c r="EA433" i="1"/>
  <c r="DZ433" i="1"/>
  <c r="DY433" i="1"/>
  <c r="DX433" i="1"/>
  <c r="DW433" i="1"/>
  <c r="DV433" i="1"/>
  <c r="DC433" i="1"/>
  <c r="DB433" i="1"/>
  <c r="CV433" i="1" s="1"/>
  <c r="DA433" i="1"/>
  <c r="CU433" i="1" s="1"/>
  <c r="CZ433" i="1"/>
  <c r="CY433" i="1"/>
  <c r="CX433" i="1"/>
  <c r="CR433" i="1" s="1"/>
  <c r="CW433" i="1"/>
  <c r="CT433" i="1"/>
  <c r="CS433" i="1"/>
  <c r="CB433" i="1"/>
  <c r="CA433" i="1"/>
  <c r="BZ433" i="1"/>
  <c r="BY433" i="1"/>
  <c r="BX433" i="1"/>
  <c r="BW433" i="1"/>
  <c r="BV433" i="1"/>
  <c r="BU433" i="1"/>
  <c r="CC433" i="1" s="1"/>
  <c r="BT433" i="1"/>
  <c r="BS433" i="1"/>
  <c r="AS433" i="1"/>
  <c r="AN433" i="1"/>
  <c r="AM433" i="1"/>
  <c r="AL433" i="1"/>
  <c r="AK433" i="1"/>
  <c r="AJ433" i="1"/>
  <c r="AI433" i="1"/>
  <c r="BC433" i="1" s="1"/>
  <c r="O433" i="1"/>
  <c r="D433" i="1" s="1"/>
  <c r="F433" i="1"/>
  <c r="E433" i="1"/>
  <c r="EA432" i="1"/>
  <c r="DZ432" i="1"/>
  <c r="DY432" i="1"/>
  <c r="DX432" i="1"/>
  <c r="DW432" i="1"/>
  <c r="DV432" i="1"/>
  <c r="DC432" i="1"/>
  <c r="CW432" i="1" s="1"/>
  <c r="DB432" i="1"/>
  <c r="DA432" i="1"/>
  <c r="CZ432" i="1"/>
  <c r="CT432" i="1" s="1"/>
  <c r="CY432" i="1"/>
  <c r="CS432" i="1" s="1"/>
  <c r="CX432" i="1"/>
  <c r="CV432" i="1"/>
  <c r="CU432" i="1"/>
  <c r="CR432" i="1"/>
  <c r="BZ432" i="1"/>
  <c r="CA432" i="1" s="1"/>
  <c r="BY432" i="1"/>
  <c r="BX432" i="1"/>
  <c r="BW432" i="1"/>
  <c r="BV432" i="1"/>
  <c r="BU432" i="1"/>
  <c r="CB432" i="1" s="1"/>
  <c r="BT432" i="1"/>
  <c r="BS432" i="1"/>
  <c r="AS432" i="1"/>
  <c r="AN432" i="1"/>
  <c r="AM432" i="1"/>
  <c r="AL432" i="1"/>
  <c r="AK432" i="1"/>
  <c r="AJ432" i="1"/>
  <c r="AI432" i="1"/>
  <c r="O432" i="1"/>
  <c r="D432" i="1" s="1"/>
  <c r="F432" i="1"/>
  <c r="E432" i="1"/>
  <c r="EA431" i="1"/>
  <c r="DZ431" i="1"/>
  <c r="DY431" i="1"/>
  <c r="DX431" i="1"/>
  <c r="DW431" i="1"/>
  <c r="DV431" i="1"/>
  <c r="DC431" i="1"/>
  <c r="DB431" i="1"/>
  <c r="CV431" i="1" s="1"/>
  <c r="DA431" i="1"/>
  <c r="CU431" i="1" s="1"/>
  <c r="CZ431" i="1"/>
  <c r="CY431" i="1"/>
  <c r="CX431" i="1"/>
  <c r="CR431" i="1" s="1"/>
  <c r="CW431" i="1"/>
  <c r="CT431" i="1"/>
  <c r="CS431" i="1"/>
  <c r="CB431" i="1"/>
  <c r="CA431" i="1"/>
  <c r="BZ431" i="1"/>
  <c r="BY431" i="1"/>
  <c r="BX431" i="1"/>
  <c r="BW431" i="1"/>
  <c r="BV431" i="1"/>
  <c r="BU431" i="1"/>
  <c r="BT431" i="1"/>
  <c r="BS431" i="1"/>
  <c r="AS431" i="1"/>
  <c r="AN431" i="1"/>
  <c r="AM431" i="1"/>
  <c r="AL431" i="1"/>
  <c r="AK431" i="1"/>
  <c r="AJ431" i="1"/>
  <c r="AI431" i="1"/>
  <c r="BC431" i="1" s="1"/>
  <c r="O431" i="1"/>
  <c r="D431" i="1" s="1"/>
  <c r="F431" i="1"/>
  <c r="E431" i="1"/>
  <c r="EA430" i="1"/>
  <c r="DZ430" i="1"/>
  <c r="DY430" i="1"/>
  <c r="DX430" i="1"/>
  <c r="DW430" i="1"/>
  <c r="DV430" i="1"/>
  <c r="DC430" i="1"/>
  <c r="CW430" i="1" s="1"/>
  <c r="DB430" i="1"/>
  <c r="DA430" i="1"/>
  <c r="CZ430" i="1"/>
  <c r="CT430" i="1" s="1"/>
  <c r="CY430" i="1"/>
  <c r="CS430" i="1" s="1"/>
  <c r="CX430" i="1"/>
  <c r="CV430" i="1"/>
  <c r="CU430" i="1"/>
  <c r="CR430" i="1"/>
  <c r="BZ430" i="1"/>
  <c r="CA430" i="1" s="1"/>
  <c r="BY430" i="1"/>
  <c r="BX430" i="1"/>
  <c r="BW430" i="1"/>
  <c r="BV430" i="1"/>
  <c r="BU430" i="1"/>
  <c r="CB430" i="1" s="1"/>
  <c r="BT430" i="1"/>
  <c r="BS430" i="1"/>
  <c r="AS430" i="1"/>
  <c r="AN430" i="1"/>
  <c r="AM430" i="1"/>
  <c r="AL430" i="1"/>
  <c r="AK430" i="1"/>
  <c r="AJ430" i="1"/>
  <c r="AI430" i="1"/>
  <c r="O430" i="1"/>
  <c r="D430" i="1" s="1"/>
  <c r="F430" i="1"/>
  <c r="E430" i="1"/>
  <c r="EA429" i="1"/>
  <c r="DZ429" i="1"/>
  <c r="DY429" i="1"/>
  <c r="DX429" i="1"/>
  <c r="DW429" i="1"/>
  <c r="DV429" i="1"/>
  <c r="DC429" i="1"/>
  <c r="DB429" i="1"/>
  <c r="CV429" i="1" s="1"/>
  <c r="DA429" i="1"/>
  <c r="CU429" i="1" s="1"/>
  <c r="CZ429" i="1"/>
  <c r="CY429" i="1"/>
  <c r="CX429" i="1"/>
  <c r="CR429" i="1" s="1"/>
  <c r="CW429" i="1"/>
  <c r="CT429" i="1"/>
  <c r="CS429" i="1"/>
  <c r="CB429" i="1"/>
  <c r="CA429" i="1"/>
  <c r="BZ429" i="1"/>
  <c r="BY429" i="1"/>
  <c r="BX429" i="1"/>
  <c r="BW429" i="1"/>
  <c r="BV429" i="1"/>
  <c r="BU429" i="1"/>
  <c r="CC429" i="1" s="1"/>
  <c r="BT429" i="1"/>
  <c r="BS429" i="1"/>
  <c r="AS429" i="1"/>
  <c r="AN429" i="1"/>
  <c r="AM429" i="1"/>
  <c r="AL429" i="1"/>
  <c r="AK429" i="1"/>
  <c r="AJ429" i="1"/>
  <c r="AI429" i="1"/>
  <c r="BC429" i="1" s="1"/>
  <c r="O429" i="1"/>
  <c r="D429" i="1" s="1"/>
  <c r="F429" i="1"/>
  <c r="E429" i="1"/>
  <c r="EA428" i="1"/>
  <c r="DZ428" i="1"/>
  <c r="DY428" i="1"/>
  <c r="DX428" i="1"/>
  <c r="DW428" i="1"/>
  <c r="DV428" i="1"/>
  <c r="DC428" i="1"/>
  <c r="CW428" i="1" s="1"/>
  <c r="DB428" i="1"/>
  <c r="DA428" i="1"/>
  <c r="CZ428" i="1"/>
  <c r="CT428" i="1" s="1"/>
  <c r="CY428" i="1"/>
  <c r="CS428" i="1" s="1"/>
  <c r="CX428" i="1"/>
  <c r="CV428" i="1"/>
  <c r="CU428" i="1"/>
  <c r="CR428" i="1"/>
  <c r="BZ428" i="1"/>
  <c r="CA428" i="1" s="1"/>
  <c r="BY428" i="1"/>
  <c r="BX428" i="1"/>
  <c r="BW428" i="1"/>
  <c r="BV428" i="1"/>
  <c r="BU428" i="1"/>
  <c r="CB428" i="1" s="1"/>
  <c r="BT428" i="1"/>
  <c r="BS428" i="1"/>
  <c r="AS428" i="1"/>
  <c r="AN428" i="1"/>
  <c r="AM428" i="1"/>
  <c r="AL428" i="1"/>
  <c r="AK428" i="1"/>
  <c r="AJ428" i="1"/>
  <c r="AI428" i="1"/>
  <c r="O428" i="1"/>
  <c r="D428" i="1" s="1"/>
  <c r="F428" i="1"/>
  <c r="E428" i="1"/>
  <c r="EA427" i="1"/>
  <c r="DZ427" i="1"/>
  <c r="DY427" i="1"/>
  <c r="DX427" i="1"/>
  <c r="DW427" i="1"/>
  <c r="DV427" i="1"/>
  <c r="DC427" i="1"/>
  <c r="DB427" i="1"/>
  <c r="CV427" i="1" s="1"/>
  <c r="DA427" i="1"/>
  <c r="CU427" i="1" s="1"/>
  <c r="CZ427" i="1"/>
  <c r="CY427" i="1"/>
  <c r="CX427" i="1"/>
  <c r="CR427" i="1" s="1"/>
  <c r="CW427" i="1"/>
  <c r="CT427" i="1"/>
  <c r="CS427" i="1"/>
  <c r="CB427" i="1"/>
  <c r="CA427" i="1"/>
  <c r="BZ427" i="1"/>
  <c r="BY427" i="1"/>
  <c r="BX427" i="1"/>
  <c r="BW427" i="1"/>
  <c r="BV427" i="1"/>
  <c r="BU427" i="1"/>
  <c r="BT427" i="1"/>
  <c r="BS427" i="1"/>
  <c r="AS427" i="1"/>
  <c r="AN427" i="1"/>
  <c r="AM427" i="1"/>
  <c r="AL427" i="1"/>
  <c r="AK427" i="1"/>
  <c r="AJ427" i="1"/>
  <c r="AI427" i="1"/>
  <c r="BC427" i="1" s="1"/>
  <c r="O427" i="1"/>
  <c r="D427" i="1" s="1"/>
  <c r="F427" i="1"/>
  <c r="E427" i="1"/>
  <c r="EA426" i="1"/>
  <c r="DZ426" i="1"/>
  <c r="DY426" i="1"/>
  <c r="DX426" i="1"/>
  <c r="DW426" i="1"/>
  <c r="DV426" i="1"/>
  <c r="DC426" i="1"/>
  <c r="CW426" i="1" s="1"/>
  <c r="DB426" i="1"/>
  <c r="DA426" i="1"/>
  <c r="CZ426" i="1"/>
  <c r="CT426" i="1" s="1"/>
  <c r="CY426" i="1"/>
  <c r="CS426" i="1" s="1"/>
  <c r="CX426" i="1"/>
  <c r="CV426" i="1"/>
  <c r="CU426" i="1"/>
  <c r="CR426" i="1"/>
  <c r="BZ426" i="1"/>
  <c r="CA426" i="1" s="1"/>
  <c r="BY426" i="1"/>
  <c r="BX426" i="1"/>
  <c r="BW426" i="1"/>
  <c r="BV426" i="1"/>
  <c r="BU426" i="1"/>
  <c r="CB426" i="1" s="1"/>
  <c r="BT426" i="1"/>
  <c r="BS426" i="1"/>
  <c r="AS426" i="1"/>
  <c r="AN426" i="1"/>
  <c r="AM426" i="1"/>
  <c r="AL426" i="1"/>
  <c r="AK426" i="1"/>
  <c r="AJ426" i="1"/>
  <c r="AI426" i="1"/>
  <c r="O426" i="1"/>
  <c r="D426" i="1" s="1"/>
  <c r="F426" i="1"/>
  <c r="E426" i="1"/>
  <c r="EA425" i="1"/>
  <c r="DZ425" i="1"/>
  <c r="DY425" i="1"/>
  <c r="DX425" i="1"/>
  <c r="DW425" i="1"/>
  <c r="DV425" i="1"/>
  <c r="DC425" i="1"/>
  <c r="DB425" i="1"/>
  <c r="CV425" i="1" s="1"/>
  <c r="DA425" i="1"/>
  <c r="CU425" i="1" s="1"/>
  <c r="CZ425" i="1"/>
  <c r="CY425" i="1"/>
  <c r="CX425" i="1"/>
  <c r="CR425" i="1" s="1"/>
  <c r="CW425" i="1"/>
  <c r="CT425" i="1"/>
  <c r="CS425" i="1"/>
  <c r="CB425" i="1"/>
  <c r="CA425" i="1"/>
  <c r="BZ425" i="1"/>
  <c r="BY425" i="1"/>
  <c r="BX425" i="1"/>
  <c r="BW425" i="1"/>
  <c r="BV425" i="1"/>
  <c r="BU425" i="1"/>
  <c r="CC425" i="1" s="1"/>
  <c r="BT425" i="1"/>
  <c r="BS425" i="1"/>
  <c r="AS425" i="1"/>
  <c r="AN425" i="1"/>
  <c r="AM425" i="1"/>
  <c r="AL425" i="1"/>
  <c r="AK425" i="1"/>
  <c r="AJ425" i="1"/>
  <c r="AI425" i="1"/>
  <c r="BC425" i="1" s="1"/>
  <c r="O425" i="1"/>
  <c r="D425" i="1" s="1"/>
  <c r="F425" i="1"/>
  <c r="E425" i="1"/>
  <c r="EA424" i="1"/>
  <c r="DZ424" i="1"/>
  <c r="DY424" i="1"/>
  <c r="DX424" i="1"/>
  <c r="DW424" i="1"/>
  <c r="DV424" i="1"/>
  <c r="DC424" i="1"/>
  <c r="CW424" i="1" s="1"/>
  <c r="DB424" i="1"/>
  <c r="DA424" i="1"/>
  <c r="CZ424" i="1"/>
  <c r="CT424" i="1" s="1"/>
  <c r="CY424" i="1"/>
  <c r="CS424" i="1" s="1"/>
  <c r="CX424" i="1"/>
  <c r="CV424" i="1"/>
  <c r="CU424" i="1"/>
  <c r="CR424" i="1"/>
  <c r="BZ424" i="1"/>
  <c r="CA424" i="1" s="1"/>
  <c r="BY424" i="1"/>
  <c r="BX424" i="1"/>
  <c r="BW424" i="1"/>
  <c r="BV424" i="1"/>
  <c r="BU424" i="1"/>
  <c r="CB424" i="1" s="1"/>
  <c r="BT424" i="1"/>
  <c r="BS424" i="1"/>
  <c r="AS424" i="1"/>
  <c r="AN424" i="1"/>
  <c r="AM424" i="1"/>
  <c r="AL424" i="1"/>
  <c r="AK424" i="1"/>
  <c r="AJ424" i="1"/>
  <c r="AI424" i="1"/>
  <c r="O424" i="1"/>
  <c r="F424" i="1"/>
  <c r="E424" i="1"/>
  <c r="D424" i="1"/>
  <c r="EA423" i="1"/>
  <c r="DZ423" i="1"/>
  <c r="DY423" i="1"/>
  <c r="DX423" i="1"/>
  <c r="DW423" i="1"/>
  <c r="DV423" i="1"/>
  <c r="DC423" i="1"/>
  <c r="DB423" i="1"/>
  <c r="CV423" i="1" s="1"/>
  <c r="DA423" i="1"/>
  <c r="CU423" i="1" s="1"/>
  <c r="CZ423" i="1"/>
  <c r="CY423" i="1"/>
  <c r="CX423" i="1"/>
  <c r="CR423" i="1" s="1"/>
  <c r="CW423" i="1"/>
  <c r="CT423" i="1"/>
  <c r="CS423" i="1"/>
  <c r="CB423" i="1"/>
  <c r="CA423" i="1"/>
  <c r="BZ423" i="1"/>
  <c r="BY423" i="1"/>
  <c r="BX423" i="1"/>
  <c r="BW423" i="1"/>
  <c r="BV423" i="1"/>
  <c r="BU423" i="1"/>
  <c r="BT423" i="1"/>
  <c r="BS423" i="1"/>
  <c r="AS423" i="1"/>
  <c r="AN423" i="1"/>
  <c r="AM423" i="1"/>
  <c r="AL423" i="1"/>
  <c r="AK423" i="1"/>
  <c r="AJ423" i="1"/>
  <c r="AI423" i="1"/>
  <c r="BC423" i="1" s="1"/>
  <c r="O423" i="1"/>
  <c r="D423" i="1" s="1"/>
  <c r="F423" i="1"/>
  <c r="E423" i="1"/>
  <c r="EA422" i="1"/>
  <c r="DZ422" i="1"/>
  <c r="DY422" i="1"/>
  <c r="DX422" i="1"/>
  <c r="DW422" i="1"/>
  <c r="DV422" i="1"/>
  <c r="DC422" i="1"/>
  <c r="CW422" i="1" s="1"/>
  <c r="DB422" i="1"/>
  <c r="DA422" i="1"/>
  <c r="CZ422" i="1"/>
  <c r="CT422" i="1" s="1"/>
  <c r="CY422" i="1"/>
  <c r="CS422" i="1" s="1"/>
  <c r="CX422" i="1"/>
  <c r="CV422" i="1"/>
  <c r="CU422" i="1"/>
  <c r="CR422" i="1"/>
  <c r="BZ422" i="1"/>
  <c r="CA422" i="1" s="1"/>
  <c r="BY422" i="1"/>
  <c r="BX422" i="1"/>
  <c r="BW422" i="1"/>
  <c r="BV422" i="1"/>
  <c r="BU422" i="1"/>
  <c r="CB422" i="1" s="1"/>
  <c r="BT422" i="1"/>
  <c r="BS422" i="1"/>
  <c r="AS422" i="1"/>
  <c r="AN422" i="1"/>
  <c r="AM422" i="1"/>
  <c r="AL422" i="1"/>
  <c r="AK422" i="1"/>
  <c r="AJ422" i="1"/>
  <c r="AI422" i="1"/>
  <c r="O422" i="1"/>
  <c r="D422" i="1" s="1"/>
  <c r="F422" i="1"/>
  <c r="E422" i="1"/>
  <c r="EA421" i="1"/>
  <c r="DZ421" i="1"/>
  <c r="DY421" i="1"/>
  <c r="DX421" i="1"/>
  <c r="DW421" i="1"/>
  <c r="DV421" i="1"/>
  <c r="DC421" i="1"/>
  <c r="DB421" i="1"/>
  <c r="CV421" i="1" s="1"/>
  <c r="DA421" i="1"/>
  <c r="CU421" i="1" s="1"/>
  <c r="CZ421" i="1"/>
  <c r="CY421" i="1"/>
  <c r="CX421" i="1"/>
  <c r="CR421" i="1" s="1"/>
  <c r="CW421" i="1"/>
  <c r="CT421" i="1"/>
  <c r="CS421" i="1"/>
  <c r="CB421" i="1"/>
  <c r="CA421" i="1"/>
  <c r="BZ421" i="1"/>
  <c r="BY421" i="1"/>
  <c r="BX421" i="1"/>
  <c r="BW421" i="1"/>
  <c r="BV421" i="1"/>
  <c r="BU421" i="1"/>
  <c r="CC421" i="1" s="1"/>
  <c r="BT421" i="1"/>
  <c r="BS421" i="1"/>
  <c r="AS421" i="1"/>
  <c r="AN421" i="1"/>
  <c r="AM421" i="1"/>
  <c r="AL421" i="1"/>
  <c r="AK421" i="1"/>
  <c r="AJ421" i="1"/>
  <c r="AI421" i="1"/>
  <c r="BC421" i="1" s="1"/>
  <c r="O421" i="1"/>
  <c r="D421" i="1" s="1"/>
  <c r="F421" i="1"/>
  <c r="E421" i="1"/>
  <c r="EA420" i="1"/>
  <c r="DZ420" i="1"/>
  <c r="DY420" i="1"/>
  <c r="DX420" i="1"/>
  <c r="DW420" i="1"/>
  <c r="DV420" i="1"/>
  <c r="DC420" i="1"/>
  <c r="CW420" i="1" s="1"/>
  <c r="DB420" i="1"/>
  <c r="DA420" i="1"/>
  <c r="CZ420" i="1"/>
  <c r="CT420" i="1" s="1"/>
  <c r="CY420" i="1"/>
  <c r="CS420" i="1" s="1"/>
  <c r="CX420" i="1"/>
  <c r="CV420" i="1"/>
  <c r="CU420" i="1"/>
  <c r="CR420" i="1"/>
  <c r="BZ420" i="1"/>
  <c r="CA420" i="1" s="1"/>
  <c r="BY420" i="1"/>
  <c r="BX420" i="1"/>
  <c r="BW420" i="1"/>
  <c r="BV420" i="1"/>
  <c r="BU420" i="1"/>
  <c r="CC420" i="1" s="1"/>
  <c r="BT420" i="1"/>
  <c r="BS420" i="1"/>
  <c r="AS420" i="1"/>
  <c r="AN420" i="1"/>
  <c r="AM420" i="1"/>
  <c r="AL420" i="1"/>
  <c r="AK420" i="1"/>
  <c r="AJ420" i="1"/>
  <c r="AI420" i="1"/>
  <c r="O420" i="1"/>
  <c r="F420" i="1"/>
  <c r="E420" i="1"/>
  <c r="D420" i="1"/>
  <c r="EA419" i="1"/>
  <c r="DZ419" i="1"/>
  <c r="DY419" i="1"/>
  <c r="DX419" i="1"/>
  <c r="DW419" i="1"/>
  <c r="DV419" i="1"/>
  <c r="DC419" i="1"/>
  <c r="DB419" i="1"/>
  <c r="CV419" i="1" s="1"/>
  <c r="DA419" i="1"/>
  <c r="CU419" i="1" s="1"/>
  <c r="CZ419" i="1"/>
  <c r="CT419" i="1" s="1"/>
  <c r="CY419" i="1"/>
  <c r="CX419" i="1"/>
  <c r="CR419" i="1" s="1"/>
  <c r="CW419" i="1"/>
  <c r="CS419" i="1"/>
  <c r="BZ419" i="1"/>
  <c r="CA419" i="1" s="1"/>
  <c r="CB419" i="1" s="1"/>
  <c r="BY419" i="1"/>
  <c r="BX419" i="1"/>
  <c r="BW419" i="1"/>
  <c r="BV419" i="1"/>
  <c r="BU419" i="1"/>
  <c r="BT419" i="1"/>
  <c r="BS419" i="1"/>
  <c r="AS419" i="1"/>
  <c r="AN419" i="1"/>
  <c r="AM419" i="1"/>
  <c r="AL419" i="1"/>
  <c r="AK419" i="1"/>
  <c r="AJ419" i="1"/>
  <c r="AI419" i="1"/>
  <c r="BC419" i="1" s="1"/>
  <c r="O419" i="1"/>
  <c r="D419" i="1" s="1"/>
  <c r="F419" i="1"/>
  <c r="E419" i="1"/>
  <c r="EA418" i="1"/>
  <c r="DZ418" i="1"/>
  <c r="DY418" i="1"/>
  <c r="DX418" i="1"/>
  <c r="DW418" i="1"/>
  <c r="DV418" i="1"/>
  <c r="DC418" i="1"/>
  <c r="CW418" i="1" s="1"/>
  <c r="DB418" i="1"/>
  <c r="CV418" i="1" s="1"/>
  <c r="DA418" i="1"/>
  <c r="CZ418" i="1"/>
  <c r="CY418" i="1"/>
  <c r="CS418" i="1" s="1"/>
  <c r="CX418" i="1"/>
  <c r="CU418" i="1"/>
  <c r="CT418" i="1"/>
  <c r="CR418" i="1"/>
  <c r="BZ418" i="1"/>
  <c r="CA418" i="1" s="1"/>
  <c r="BY418" i="1"/>
  <c r="BX418" i="1"/>
  <c r="BW418" i="1"/>
  <c r="BV418" i="1"/>
  <c r="BU418" i="1"/>
  <c r="CC418" i="1" s="1"/>
  <c r="BT418" i="1"/>
  <c r="BS418" i="1"/>
  <c r="AS418" i="1"/>
  <c r="AN418" i="1"/>
  <c r="AM418" i="1"/>
  <c r="AL418" i="1"/>
  <c r="AK418" i="1"/>
  <c r="AJ418" i="1"/>
  <c r="AI418" i="1"/>
  <c r="O418" i="1"/>
  <c r="D418" i="1" s="1"/>
  <c r="F418" i="1"/>
  <c r="E418" i="1"/>
  <c r="EA417" i="1"/>
  <c r="DZ417" i="1"/>
  <c r="DY417" i="1"/>
  <c r="DX417" i="1"/>
  <c r="DW417" i="1"/>
  <c r="DV417" i="1"/>
  <c r="DC417" i="1"/>
  <c r="DB417" i="1"/>
  <c r="CV417" i="1" s="1"/>
  <c r="DA417" i="1"/>
  <c r="CU417" i="1" s="1"/>
  <c r="CZ417" i="1"/>
  <c r="CY417" i="1"/>
  <c r="CX417" i="1"/>
  <c r="CR417" i="1" s="1"/>
  <c r="CW417" i="1"/>
  <c r="CT417" i="1"/>
  <c r="CS417" i="1"/>
  <c r="CA417" i="1"/>
  <c r="CB417" i="1" s="1"/>
  <c r="BZ417" i="1"/>
  <c r="BY417" i="1"/>
  <c r="BX417" i="1"/>
  <c r="BW417" i="1"/>
  <c r="BV417" i="1"/>
  <c r="BU417" i="1"/>
  <c r="BT417" i="1"/>
  <c r="BS417" i="1"/>
  <c r="AS417" i="1"/>
  <c r="AN417" i="1"/>
  <c r="AM417" i="1"/>
  <c r="AL417" i="1"/>
  <c r="AK417" i="1"/>
  <c r="AJ417" i="1"/>
  <c r="AI417" i="1"/>
  <c r="BC417" i="1" s="1"/>
  <c r="O417" i="1"/>
  <c r="D417" i="1" s="1"/>
  <c r="F417" i="1"/>
  <c r="E417" i="1"/>
  <c r="EA416" i="1"/>
  <c r="DZ416" i="1"/>
  <c r="DY416" i="1"/>
  <c r="DX416" i="1"/>
  <c r="DW416" i="1"/>
  <c r="DV416" i="1"/>
  <c r="DC416" i="1"/>
  <c r="CW416" i="1" s="1"/>
  <c r="DB416" i="1"/>
  <c r="CV416" i="1" s="1"/>
  <c r="DA416" i="1"/>
  <c r="CZ416" i="1"/>
  <c r="CT416" i="1" s="1"/>
  <c r="CY416" i="1"/>
  <c r="CS416" i="1" s="1"/>
  <c r="CX416" i="1"/>
  <c r="CU416" i="1"/>
  <c r="CR416" i="1"/>
  <c r="CB416" i="1"/>
  <c r="BZ416" i="1"/>
  <c r="CA416" i="1" s="1"/>
  <c r="BY416" i="1"/>
  <c r="BX416" i="1"/>
  <c r="BW416" i="1"/>
  <c r="BV416" i="1"/>
  <c r="BU416" i="1"/>
  <c r="CC416" i="1" s="1"/>
  <c r="BT416" i="1"/>
  <c r="BS416" i="1"/>
  <c r="AS416" i="1"/>
  <c r="AN416" i="1"/>
  <c r="AM416" i="1"/>
  <c r="AL416" i="1"/>
  <c r="AK416" i="1"/>
  <c r="AJ416" i="1"/>
  <c r="AI416" i="1"/>
  <c r="O416" i="1"/>
  <c r="D416" i="1" s="1"/>
  <c r="F416" i="1"/>
  <c r="E416" i="1"/>
  <c r="EA415" i="1"/>
  <c r="DZ415" i="1"/>
  <c r="DY415" i="1"/>
  <c r="DX415" i="1"/>
  <c r="DW415" i="1"/>
  <c r="DV415" i="1"/>
  <c r="DC415" i="1"/>
  <c r="DB415" i="1"/>
  <c r="DA415" i="1"/>
  <c r="CU415" i="1" s="1"/>
  <c r="CZ415" i="1"/>
  <c r="CT415" i="1" s="1"/>
  <c r="CY415" i="1"/>
  <c r="CX415" i="1"/>
  <c r="CR415" i="1" s="1"/>
  <c r="CW415" i="1"/>
  <c r="CV415" i="1"/>
  <c r="CS415" i="1"/>
  <c r="BZ415" i="1"/>
  <c r="CA415" i="1" s="1"/>
  <c r="CB415" i="1" s="1"/>
  <c r="BY415" i="1"/>
  <c r="BX415" i="1"/>
  <c r="BW415" i="1"/>
  <c r="BV415" i="1"/>
  <c r="BU415" i="1"/>
  <c r="BT415" i="1"/>
  <c r="BS415" i="1"/>
  <c r="AS415" i="1"/>
  <c r="AN415" i="1"/>
  <c r="AM415" i="1"/>
  <c r="AL415" i="1"/>
  <c r="AK415" i="1"/>
  <c r="AJ415" i="1"/>
  <c r="AI415" i="1"/>
  <c r="BC415" i="1" s="1"/>
  <c r="O415" i="1"/>
  <c r="D415" i="1" s="1"/>
  <c r="F415" i="1"/>
  <c r="E415" i="1"/>
  <c r="EA414" i="1"/>
  <c r="DZ414" i="1"/>
  <c r="DY414" i="1"/>
  <c r="DX414" i="1"/>
  <c r="DW414" i="1"/>
  <c r="DV414" i="1"/>
  <c r="DC414" i="1"/>
  <c r="DB414" i="1"/>
  <c r="CV414" i="1" s="1"/>
  <c r="DA414" i="1"/>
  <c r="CU414" i="1" s="1"/>
  <c r="CZ414" i="1"/>
  <c r="CY414" i="1"/>
  <c r="CX414" i="1"/>
  <c r="CR414" i="1" s="1"/>
  <c r="CW414" i="1"/>
  <c r="CT414" i="1"/>
  <c r="CS414" i="1"/>
  <c r="BZ414" i="1"/>
  <c r="CA414" i="1" s="1"/>
  <c r="CB414" i="1" s="1"/>
  <c r="BY414" i="1"/>
  <c r="BX414" i="1"/>
  <c r="BW414" i="1"/>
  <c r="BV414" i="1"/>
  <c r="BU414" i="1"/>
  <c r="BT414" i="1"/>
  <c r="BS414" i="1"/>
  <c r="AS414" i="1"/>
  <c r="AN414" i="1"/>
  <c r="AM414" i="1"/>
  <c r="AL414" i="1"/>
  <c r="AK414" i="1"/>
  <c r="AJ414" i="1"/>
  <c r="AI414" i="1"/>
  <c r="BC414" i="1" s="1"/>
  <c r="O414" i="1"/>
  <c r="D414" i="1" s="1"/>
  <c r="F414" i="1"/>
  <c r="E414" i="1"/>
  <c r="EA413" i="1"/>
  <c r="DZ413" i="1"/>
  <c r="DY413" i="1"/>
  <c r="DX413" i="1"/>
  <c r="DW413" i="1"/>
  <c r="DV413" i="1"/>
  <c r="DC413" i="1"/>
  <c r="CW413" i="1" s="1"/>
  <c r="DB413" i="1"/>
  <c r="DA413" i="1"/>
  <c r="CZ413" i="1"/>
  <c r="CT413" i="1" s="1"/>
  <c r="CY413" i="1"/>
  <c r="CS413" i="1" s="1"/>
  <c r="CX413" i="1"/>
  <c r="CV413" i="1"/>
  <c r="CU413" i="1"/>
  <c r="CR413" i="1"/>
  <c r="BZ413" i="1"/>
  <c r="CA413" i="1" s="1"/>
  <c r="CB413" i="1" s="1"/>
  <c r="BY413" i="1"/>
  <c r="BX413" i="1"/>
  <c r="BW413" i="1"/>
  <c r="BV413" i="1"/>
  <c r="BU413" i="1"/>
  <c r="BT413" i="1"/>
  <c r="BS413" i="1"/>
  <c r="AS413" i="1"/>
  <c r="AN413" i="1"/>
  <c r="AM413" i="1"/>
  <c r="AL413" i="1"/>
  <c r="AK413" i="1"/>
  <c r="AJ413" i="1"/>
  <c r="AI413" i="1"/>
  <c r="BC413" i="1" s="1"/>
  <c r="O413" i="1"/>
  <c r="D413" i="1" s="1"/>
  <c r="F413" i="1"/>
  <c r="E413" i="1"/>
  <c r="EA412" i="1"/>
  <c r="DZ412" i="1"/>
  <c r="DY412" i="1"/>
  <c r="DX412" i="1"/>
  <c r="DW412" i="1"/>
  <c r="DV412" i="1"/>
  <c r="DC412" i="1"/>
  <c r="DB412" i="1"/>
  <c r="CV412" i="1" s="1"/>
  <c r="DA412" i="1"/>
  <c r="CU412" i="1" s="1"/>
  <c r="CZ412" i="1"/>
  <c r="CY412" i="1"/>
  <c r="CX412" i="1"/>
  <c r="CR412" i="1" s="1"/>
  <c r="CW412" i="1"/>
  <c r="CT412" i="1"/>
  <c r="CS412" i="1"/>
  <c r="BZ412" i="1"/>
  <c r="CA412" i="1" s="1"/>
  <c r="CB412" i="1" s="1"/>
  <c r="BY412" i="1"/>
  <c r="BX412" i="1"/>
  <c r="BW412" i="1"/>
  <c r="BV412" i="1"/>
  <c r="BU412" i="1"/>
  <c r="CC412" i="1" s="1"/>
  <c r="BT412" i="1"/>
  <c r="BS412" i="1"/>
  <c r="AS412" i="1"/>
  <c r="AN412" i="1"/>
  <c r="AM412" i="1"/>
  <c r="AL412" i="1"/>
  <c r="AK412" i="1"/>
  <c r="AJ412" i="1"/>
  <c r="AI412" i="1"/>
  <c r="BC412" i="1" s="1"/>
  <c r="O412" i="1"/>
  <c r="F412" i="1"/>
  <c r="E412" i="1"/>
  <c r="D412" i="1"/>
  <c r="EA411" i="1"/>
  <c r="DZ411" i="1"/>
  <c r="DY411" i="1"/>
  <c r="DX411" i="1"/>
  <c r="DW411" i="1"/>
  <c r="DV411" i="1"/>
  <c r="DC411" i="1"/>
  <c r="CW411" i="1" s="1"/>
  <c r="DB411" i="1"/>
  <c r="DA411" i="1"/>
  <c r="CZ411" i="1"/>
  <c r="CT411" i="1" s="1"/>
  <c r="CY411" i="1"/>
  <c r="CS411" i="1" s="1"/>
  <c r="CX411" i="1"/>
  <c r="CV411" i="1"/>
  <c r="CU411" i="1"/>
  <c r="CR411" i="1"/>
  <c r="BZ411" i="1"/>
  <c r="CA411" i="1" s="1"/>
  <c r="CB411" i="1" s="1"/>
  <c r="BY411" i="1"/>
  <c r="BX411" i="1"/>
  <c r="BW411" i="1"/>
  <c r="BV411" i="1"/>
  <c r="BU411" i="1"/>
  <c r="BT411" i="1"/>
  <c r="BS411" i="1"/>
  <c r="AS411" i="1"/>
  <c r="AN411" i="1"/>
  <c r="AM411" i="1"/>
  <c r="AL411" i="1"/>
  <c r="AK411" i="1"/>
  <c r="AJ411" i="1"/>
  <c r="AI411" i="1"/>
  <c r="BC411" i="1" s="1"/>
  <c r="O411" i="1"/>
  <c r="D411" i="1" s="1"/>
  <c r="F411" i="1"/>
  <c r="E411" i="1"/>
  <c r="EA410" i="1"/>
  <c r="DZ410" i="1"/>
  <c r="DY410" i="1"/>
  <c r="DX410" i="1"/>
  <c r="DW410" i="1"/>
  <c r="DV410" i="1"/>
  <c r="DC410" i="1"/>
  <c r="DB410" i="1"/>
  <c r="CV410" i="1" s="1"/>
  <c r="DA410" i="1"/>
  <c r="CU410" i="1" s="1"/>
  <c r="CZ410" i="1"/>
  <c r="CY410" i="1"/>
  <c r="CX410" i="1"/>
  <c r="CR410" i="1" s="1"/>
  <c r="CW410" i="1"/>
  <c r="CT410" i="1"/>
  <c r="CS410" i="1"/>
  <c r="BZ410" i="1"/>
  <c r="CA410" i="1" s="1"/>
  <c r="CB410" i="1" s="1"/>
  <c r="BY410" i="1"/>
  <c r="BX410" i="1"/>
  <c r="BW410" i="1"/>
  <c r="BV410" i="1"/>
  <c r="BU410" i="1"/>
  <c r="BT410" i="1"/>
  <c r="BS410" i="1"/>
  <c r="AS410" i="1"/>
  <c r="AN410" i="1"/>
  <c r="AM410" i="1"/>
  <c r="AL410" i="1"/>
  <c r="AK410" i="1"/>
  <c r="AJ410" i="1"/>
  <c r="AI410" i="1"/>
  <c r="BC410" i="1" s="1"/>
  <c r="O410" i="1"/>
  <c r="D410" i="1" s="1"/>
  <c r="F410" i="1"/>
  <c r="E410" i="1"/>
  <c r="EA409" i="1"/>
  <c r="DZ409" i="1"/>
  <c r="DY409" i="1"/>
  <c r="DX409" i="1"/>
  <c r="DW409" i="1"/>
  <c r="DV409" i="1"/>
  <c r="DC409" i="1"/>
  <c r="CW409" i="1" s="1"/>
  <c r="DB409" i="1"/>
  <c r="DA409" i="1"/>
  <c r="CZ409" i="1"/>
  <c r="CT409" i="1" s="1"/>
  <c r="CY409" i="1"/>
  <c r="CS409" i="1" s="1"/>
  <c r="CX409" i="1"/>
  <c r="CV409" i="1"/>
  <c r="CU409" i="1"/>
  <c r="CR409" i="1"/>
  <c r="BZ409" i="1"/>
  <c r="CA409" i="1" s="1"/>
  <c r="CB409" i="1" s="1"/>
  <c r="BY409" i="1"/>
  <c r="BX409" i="1"/>
  <c r="BW409" i="1"/>
  <c r="BV409" i="1"/>
  <c r="BU409" i="1"/>
  <c r="BT409" i="1"/>
  <c r="BS409" i="1"/>
  <c r="AS409" i="1"/>
  <c r="AN409" i="1"/>
  <c r="AM409" i="1"/>
  <c r="AL409" i="1"/>
  <c r="AK409" i="1"/>
  <c r="AJ409" i="1"/>
  <c r="AI409" i="1"/>
  <c r="BC409" i="1" s="1"/>
  <c r="O409" i="1"/>
  <c r="D409" i="1" s="1"/>
  <c r="F409" i="1"/>
  <c r="E409" i="1"/>
  <c r="EA408" i="1"/>
  <c r="DZ408" i="1"/>
  <c r="DY408" i="1"/>
  <c r="DX408" i="1"/>
  <c r="DW408" i="1"/>
  <c r="DV408" i="1"/>
  <c r="DC408" i="1"/>
  <c r="DB408" i="1"/>
  <c r="CV408" i="1" s="1"/>
  <c r="DA408" i="1"/>
  <c r="CU408" i="1" s="1"/>
  <c r="CZ408" i="1"/>
  <c r="CY408" i="1"/>
  <c r="CX408" i="1"/>
  <c r="CR408" i="1" s="1"/>
  <c r="CW408" i="1"/>
  <c r="CT408" i="1"/>
  <c r="CS408" i="1"/>
  <c r="BZ408" i="1"/>
  <c r="CA408" i="1" s="1"/>
  <c r="CB408" i="1" s="1"/>
  <c r="BY408" i="1"/>
  <c r="BX408" i="1"/>
  <c r="BW408" i="1"/>
  <c r="BV408" i="1"/>
  <c r="BU408" i="1"/>
  <c r="CC408" i="1" s="1"/>
  <c r="BT408" i="1"/>
  <c r="BS408" i="1"/>
  <c r="AS408" i="1"/>
  <c r="AN408" i="1"/>
  <c r="AM408" i="1"/>
  <c r="AL408" i="1"/>
  <c r="AK408" i="1"/>
  <c r="AJ408" i="1"/>
  <c r="AI408" i="1"/>
  <c r="BC408" i="1" s="1"/>
  <c r="O408" i="1"/>
  <c r="F408" i="1"/>
  <c r="E408" i="1"/>
  <c r="D408" i="1"/>
  <c r="EA407" i="1"/>
  <c r="DZ407" i="1"/>
  <c r="DY407" i="1"/>
  <c r="DX407" i="1"/>
  <c r="DW407" i="1"/>
  <c r="DV407" i="1"/>
  <c r="DC407" i="1"/>
  <c r="CW407" i="1" s="1"/>
  <c r="DB407" i="1"/>
  <c r="DA407" i="1"/>
  <c r="CZ407" i="1"/>
  <c r="CT407" i="1" s="1"/>
  <c r="CY407" i="1"/>
  <c r="CS407" i="1" s="1"/>
  <c r="CX407" i="1"/>
  <c r="CV407" i="1"/>
  <c r="CU407" i="1"/>
  <c r="CR407" i="1"/>
  <c r="BZ407" i="1"/>
  <c r="CA407" i="1" s="1"/>
  <c r="CB407" i="1" s="1"/>
  <c r="BY407" i="1"/>
  <c r="BX407" i="1"/>
  <c r="BW407" i="1"/>
  <c r="BV407" i="1"/>
  <c r="BU407" i="1"/>
  <c r="CC407" i="1" s="1"/>
  <c r="BT407" i="1"/>
  <c r="BS407" i="1"/>
  <c r="AS407" i="1"/>
  <c r="AN407" i="1"/>
  <c r="AM407" i="1"/>
  <c r="AL407" i="1"/>
  <c r="AK407" i="1"/>
  <c r="AJ407" i="1"/>
  <c r="AI407" i="1"/>
  <c r="BC407" i="1" s="1"/>
  <c r="O407" i="1"/>
  <c r="D407" i="1" s="1"/>
  <c r="F407" i="1"/>
  <c r="E407" i="1"/>
  <c r="EA406" i="1"/>
  <c r="DZ406" i="1"/>
  <c r="DY406" i="1"/>
  <c r="DX406" i="1"/>
  <c r="DW406" i="1"/>
  <c r="DV406" i="1"/>
  <c r="DC406" i="1"/>
  <c r="DB406" i="1"/>
  <c r="CV406" i="1" s="1"/>
  <c r="DA406" i="1"/>
  <c r="CU406" i="1" s="1"/>
  <c r="CZ406" i="1"/>
  <c r="CY406" i="1"/>
  <c r="CX406" i="1"/>
  <c r="CR406" i="1" s="1"/>
  <c r="CW406" i="1"/>
  <c r="CT406" i="1"/>
  <c r="CS406" i="1"/>
  <c r="BZ406" i="1"/>
  <c r="CA406" i="1" s="1"/>
  <c r="CB406" i="1" s="1"/>
  <c r="BY406" i="1"/>
  <c r="BX406" i="1"/>
  <c r="BW406" i="1"/>
  <c r="BV406" i="1"/>
  <c r="BU406" i="1"/>
  <c r="BT406" i="1"/>
  <c r="BS406" i="1"/>
  <c r="AS406" i="1"/>
  <c r="AN406" i="1"/>
  <c r="AM406" i="1"/>
  <c r="AL406" i="1"/>
  <c r="AK406" i="1"/>
  <c r="AJ406" i="1"/>
  <c r="AI406" i="1"/>
  <c r="BC406" i="1" s="1"/>
  <c r="O406" i="1"/>
  <c r="D406" i="1" s="1"/>
  <c r="F406" i="1"/>
  <c r="E406" i="1"/>
  <c r="EA405" i="1"/>
  <c r="DZ405" i="1"/>
  <c r="DY405" i="1"/>
  <c r="DX405" i="1"/>
  <c r="DW405" i="1"/>
  <c r="DV405" i="1"/>
  <c r="DC405" i="1"/>
  <c r="CW405" i="1" s="1"/>
  <c r="DB405" i="1"/>
  <c r="DA405" i="1"/>
  <c r="CZ405" i="1"/>
  <c r="CT405" i="1" s="1"/>
  <c r="CY405" i="1"/>
  <c r="CS405" i="1" s="1"/>
  <c r="CX405" i="1"/>
  <c r="CV405" i="1"/>
  <c r="CU405" i="1"/>
  <c r="CR405" i="1"/>
  <c r="BZ405" i="1"/>
  <c r="CA405" i="1" s="1"/>
  <c r="BY405" i="1"/>
  <c r="BX405" i="1"/>
  <c r="BW405" i="1"/>
  <c r="BV405" i="1"/>
  <c r="BU405" i="1"/>
  <c r="BT405" i="1"/>
  <c r="BS405" i="1"/>
  <c r="AS405" i="1"/>
  <c r="AN405" i="1"/>
  <c r="AM405" i="1"/>
  <c r="AL405" i="1"/>
  <c r="AK405" i="1"/>
  <c r="AJ405" i="1"/>
  <c r="AI405" i="1"/>
  <c r="BC405" i="1" s="1"/>
  <c r="O405" i="1"/>
  <c r="F405" i="1"/>
  <c r="E405" i="1"/>
  <c r="D405" i="1"/>
  <c r="EA404" i="1"/>
  <c r="DZ404" i="1"/>
  <c r="DY404" i="1"/>
  <c r="DX404" i="1"/>
  <c r="DW404" i="1"/>
  <c r="DV404" i="1"/>
  <c r="DC404" i="1"/>
  <c r="DB404" i="1"/>
  <c r="CV404" i="1" s="1"/>
  <c r="DA404" i="1"/>
  <c r="CU404" i="1" s="1"/>
  <c r="CZ404" i="1"/>
  <c r="CY404" i="1"/>
  <c r="CX404" i="1"/>
  <c r="CR404" i="1" s="1"/>
  <c r="CW404" i="1"/>
  <c r="CT404" i="1"/>
  <c r="CS404" i="1"/>
  <c r="CA404" i="1"/>
  <c r="CB404" i="1" s="1"/>
  <c r="BZ404" i="1"/>
  <c r="BY404" i="1"/>
  <c r="BX404" i="1"/>
  <c r="BW404" i="1"/>
  <c r="BV404" i="1"/>
  <c r="BU404" i="1"/>
  <c r="CC404" i="1" s="1"/>
  <c r="BT404" i="1"/>
  <c r="BS404" i="1"/>
  <c r="AS404" i="1"/>
  <c r="AN404" i="1"/>
  <c r="AM404" i="1"/>
  <c r="AL404" i="1"/>
  <c r="AK404" i="1"/>
  <c r="AJ404" i="1"/>
  <c r="AI404" i="1"/>
  <c r="BC404" i="1" s="1"/>
  <c r="O404" i="1"/>
  <c r="F404" i="1"/>
  <c r="E404" i="1"/>
  <c r="D404" i="1"/>
  <c r="EA403" i="1"/>
  <c r="DZ403" i="1"/>
  <c r="DY403" i="1"/>
  <c r="DX403" i="1"/>
  <c r="DW403" i="1"/>
  <c r="DV403" i="1"/>
  <c r="DC403" i="1"/>
  <c r="CW403" i="1" s="1"/>
  <c r="DB403" i="1"/>
  <c r="DA403" i="1"/>
  <c r="CZ403" i="1"/>
  <c r="CT403" i="1" s="1"/>
  <c r="CY403" i="1"/>
  <c r="CS403" i="1" s="1"/>
  <c r="CX403" i="1"/>
  <c r="CV403" i="1"/>
  <c r="CU403" i="1"/>
  <c r="CR403" i="1"/>
  <c r="BZ403" i="1"/>
  <c r="CA403" i="1" s="1"/>
  <c r="BY403" i="1"/>
  <c r="BX403" i="1"/>
  <c r="BW403" i="1"/>
  <c r="BV403" i="1"/>
  <c r="BU403" i="1"/>
  <c r="BT403" i="1"/>
  <c r="BS403" i="1"/>
  <c r="AS403" i="1"/>
  <c r="AN403" i="1"/>
  <c r="AM403" i="1"/>
  <c r="AL403" i="1"/>
  <c r="AK403" i="1"/>
  <c r="AJ403" i="1"/>
  <c r="AI403" i="1"/>
  <c r="BC403" i="1" s="1"/>
  <c r="O403" i="1"/>
  <c r="D403" i="1" s="1"/>
  <c r="F403" i="1"/>
  <c r="E403" i="1"/>
  <c r="EA402" i="1"/>
  <c r="DZ402" i="1"/>
  <c r="DY402" i="1"/>
  <c r="DX402" i="1"/>
  <c r="DW402" i="1"/>
  <c r="DV402" i="1"/>
  <c r="DC402" i="1"/>
  <c r="DB402" i="1"/>
  <c r="CV402" i="1" s="1"/>
  <c r="DA402" i="1"/>
  <c r="CU402" i="1" s="1"/>
  <c r="CZ402" i="1"/>
  <c r="CY402" i="1"/>
  <c r="CX402" i="1"/>
  <c r="CR402" i="1" s="1"/>
  <c r="CW402" i="1"/>
  <c r="CT402" i="1"/>
  <c r="CS402" i="1"/>
  <c r="CA402" i="1"/>
  <c r="CB402" i="1" s="1"/>
  <c r="BZ402" i="1"/>
  <c r="BY402" i="1"/>
  <c r="BX402" i="1"/>
  <c r="BW402" i="1"/>
  <c r="BV402" i="1"/>
  <c r="BU402" i="1"/>
  <c r="CC402" i="1" s="1"/>
  <c r="BT402" i="1"/>
  <c r="BS402" i="1"/>
  <c r="AS402" i="1"/>
  <c r="AN402" i="1"/>
  <c r="AM402" i="1"/>
  <c r="AL402" i="1"/>
  <c r="AK402" i="1"/>
  <c r="AJ402" i="1"/>
  <c r="AI402" i="1"/>
  <c r="BC402" i="1" s="1"/>
  <c r="O402" i="1"/>
  <c r="D402" i="1" s="1"/>
  <c r="F402" i="1"/>
  <c r="E402" i="1"/>
  <c r="EA401" i="1"/>
  <c r="DZ401" i="1"/>
  <c r="DY401" i="1"/>
  <c r="DX401" i="1"/>
  <c r="DW401" i="1"/>
  <c r="DV401" i="1"/>
  <c r="DC401" i="1"/>
  <c r="CW401" i="1" s="1"/>
  <c r="DB401" i="1"/>
  <c r="DA401" i="1"/>
  <c r="CZ401" i="1"/>
  <c r="CT401" i="1" s="1"/>
  <c r="CY401" i="1"/>
  <c r="CS401" i="1" s="1"/>
  <c r="CX401" i="1"/>
  <c r="CV401" i="1"/>
  <c r="CU401" i="1"/>
  <c r="CR401" i="1"/>
  <c r="BZ401" i="1"/>
  <c r="CA401" i="1" s="1"/>
  <c r="BY401" i="1"/>
  <c r="BX401" i="1"/>
  <c r="BW401" i="1"/>
  <c r="BV401" i="1"/>
  <c r="BU401" i="1"/>
  <c r="BT401" i="1"/>
  <c r="BS401" i="1"/>
  <c r="AS401" i="1"/>
  <c r="AN401" i="1"/>
  <c r="AM401" i="1"/>
  <c r="AL401" i="1"/>
  <c r="AK401" i="1"/>
  <c r="AJ401" i="1"/>
  <c r="AI401" i="1"/>
  <c r="BC401" i="1" s="1"/>
  <c r="O401" i="1"/>
  <c r="D401" i="1" s="1"/>
  <c r="F401" i="1"/>
  <c r="E401" i="1"/>
  <c r="EA400" i="1"/>
  <c r="DZ400" i="1"/>
  <c r="DY400" i="1"/>
  <c r="DX400" i="1"/>
  <c r="DW400" i="1"/>
  <c r="DV400" i="1"/>
  <c r="DC400" i="1"/>
  <c r="DB400" i="1"/>
  <c r="CV400" i="1" s="1"/>
  <c r="DA400" i="1"/>
  <c r="CU400" i="1" s="1"/>
  <c r="CZ400" i="1"/>
  <c r="CY400" i="1"/>
  <c r="CX400" i="1"/>
  <c r="CR400" i="1" s="1"/>
  <c r="CW400" i="1"/>
  <c r="CT400" i="1"/>
  <c r="CS400" i="1"/>
  <c r="CA400" i="1"/>
  <c r="CB400" i="1" s="1"/>
  <c r="BZ400" i="1"/>
  <c r="BY400" i="1"/>
  <c r="BX400" i="1"/>
  <c r="BW400" i="1"/>
  <c r="BV400" i="1"/>
  <c r="BU400" i="1"/>
  <c r="CC400" i="1" s="1"/>
  <c r="BT400" i="1"/>
  <c r="BS400" i="1"/>
  <c r="AS400" i="1"/>
  <c r="AN400" i="1"/>
  <c r="AM400" i="1"/>
  <c r="AL400" i="1"/>
  <c r="AK400" i="1"/>
  <c r="AJ400" i="1"/>
  <c r="AI400" i="1"/>
  <c r="BC400" i="1" s="1"/>
  <c r="O400" i="1"/>
  <c r="D400" i="1" s="1"/>
  <c r="F400" i="1"/>
  <c r="E400" i="1"/>
  <c r="EA399" i="1"/>
  <c r="DZ399" i="1"/>
  <c r="DY399" i="1"/>
  <c r="DX399" i="1"/>
  <c r="DW399" i="1"/>
  <c r="DV399" i="1"/>
  <c r="DC399" i="1"/>
  <c r="CW399" i="1" s="1"/>
  <c r="DB399" i="1"/>
  <c r="DA399" i="1"/>
  <c r="CZ399" i="1"/>
  <c r="CT399" i="1" s="1"/>
  <c r="CY399" i="1"/>
  <c r="CS399" i="1" s="1"/>
  <c r="CX399" i="1"/>
  <c r="CV399" i="1"/>
  <c r="CU399" i="1"/>
  <c r="CR399" i="1"/>
  <c r="BZ399" i="1"/>
  <c r="CA399" i="1" s="1"/>
  <c r="BY399" i="1"/>
  <c r="BX399" i="1"/>
  <c r="BW399" i="1"/>
  <c r="BV399" i="1"/>
  <c r="BU399" i="1"/>
  <c r="BT399" i="1"/>
  <c r="BS399" i="1"/>
  <c r="AS399" i="1"/>
  <c r="AN399" i="1"/>
  <c r="AM399" i="1"/>
  <c r="AL399" i="1"/>
  <c r="AK399" i="1"/>
  <c r="AJ399" i="1"/>
  <c r="AI399" i="1"/>
  <c r="BC399" i="1" s="1"/>
  <c r="O399" i="1"/>
  <c r="D399" i="1" s="1"/>
  <c r="F399" i="1"/>
  <c r="E399" i="1"/>
  <c r="EA398" i="1"/>
  <c r="DZ398" i="1"/>
  <c r="DY398" i="1"/>
  <c r="DX398" i="1"/>
  <c r="DW398" i="1"/>
  <c r="DV398" i="1"/>
  <c r="DC398" i="1"/>
  <c r="DB398" i="1"/>
  <c r="CV398" i="1" s="1"/>
  <c r="DA398" i="1"/>
  <c r="CU398" i="1" s="1"/>
  <c r="CZ398" i="1"/>
  <c r="CY398" i="1"/>
  <c r="CX398" i="1"/>
  <c r="CR398" i="1" s="1"/>
  <c r="CW398" i="1"/>
  <c r="CT398" i="1"/>
  <c r="CS398" i="1"/>
  <c r="CA398" i="1"/>
  <c r="CB398" i="1" s="1"/>
  <c r="BZ398" i="1"/>
  <c r="BY398" i="1"/>
  <c r="BX398" i="1"/>
  <c r="BW398" i="1"/>
  <c r="BV398" i="1"/>
  <c r="BU398" i="1"/>
  <c r="CC398" i="1" s="1"/>
  <c r="BT398" i="1"/>
  <c r="BS398" i="1"/>
  <c r="AS398" i="1"/>
  <c r="AN398" i="1"/>
  <c r="AM398" i="1"/>
  <c r="AL398" i="1"/>
  <c r="AK398" i="1"/>
  <c r="AJ398" i="1"/>
  <c r="AI398" i="1"/>
  <c r="BC398" i="1" s="1"/>
  <c r="O398" i="1"/>
  <c r="D398" i="1" s="1"/>
  <c r="F398" i="1"/>
  <c r="E398" i="1"/>
  <c r="EA397" i="1"/>
  <c r="DZ397" i="1"/>
  <c r="DY397" i="1"/>
  <c r="DX397" i="1"/>
  <c r="DW397" i="1"/>
  <c r="DV397" i="1"/>
  <c r="DC397" i="1"/>
  <c r="CW397" i="1" s="1"/>
  <c r="DB397" i="1"/>
  <c r="CV397" i="1" s="1"/>
  <c r="DA397" i="1"/>
  <c r="CZ397" i="1"/>
  <c r="CY397" i="1"/>
  <c r="CS397" i="1" s="1"/>
  <c r="CX397" i="1"/>
  <c r="CR397" i="1" s="1"/>
  <c r="CU397" i="1"/>
  <c r="CT397" i="1"/>
  <c r="BZ397" i="1"/>
  <c r="CA397" i="1" s="1"/>
  <c r="CB397" i="1" s="1"/>
  <c r="BY397" i="1"/>
  <c r="BX397" i="1"/>
  <c r="BW397" i="1"/>
  <c r="BV397" i="1"/>
  <c r="BU397" i="1"/>
  <c r="CC397" i="1" s="1"/>
  <c r="BT397" i="1"/>
  <c r="BS397" i="1"/>
  <c r="AS397" i="1"/>
  <c r="AN397" i="1"/>
  <c r="AM397" i="1"/>
  <c r="AL397" i="1"/>
  <c r="AK397" i="1"/>
  <c r="AJ397" i="1"/>
  <c r="AI397" i="1"/>
  <c r="BC397" i="1" s="1"/>
  <c r="O397" i="1"/>
  <c r="D397" i="1" s="1"/>
  <c r="F397" i="1"/>
  <c r="E397" i="1"/>
  <c r="EA396" i="1"/>
  <c r="DZ396" i="1"/>
  <c r="DY396" i="1"/>
  <c r="DX396" i="1"/>
  <c r="DW396" i="1"/>
  <c r="DV396" i="1"/>
  <c r="DC396" i="1"/>
  <c r="DB396" i="1"/>
  <c r="DA396" i="1"/>
  <c r="CU396" i="1" s="1"/>
  <c r="CZ396" i="1"/>
  <c r="CT396" i="1" s="1"/>
  <c r="CY396" i="1"/>
  <c r="CX396" i="1"/>
  <c r="CW396" i="1"/>
  <c r="CV396" i="1"/>
  <c r="CS396" i="1"/>
  <c r="CR396" i="1"/>
  <c r="BZ396" i="1"/>
  <c r="CA396" i="1" s="1"/>
  <c r="CB396" i="1" s="1"/>
  <c r="BY396" i="1"/>
  <c r="BX396" i="1"/>
  <c r="BW396" i="1"/>
  <c r="BV396" i="1"/>
  <c r="BU396" i="1"/>
  <c r="CC396" i="1" s="1"/>
  <c r="BT396" i="1"/>
  <c r="BS396" i="1"/>
  <c r="AS396" i="1"/>
  <c r="AN396" i="1"/>
  <c r="AM396" i="1"/>
  <c r="AL396" i="1"/>
  <c r="AK396" i="1"/>
  <c r="AJ396" i="1"/>
  <c r="AI396" i="1"/>
  <c r="BC396" i="1" s="1"/>
  <c r="O396" i="1"/>
  <c r="D396" i="1" s="1"/>
  <c r="F396" i="1"/>
  <c r="E396" i="1"/>
  <c r="EA395" i="1"/>
  <c r="DZ395" i="1"/>
  <c r="DY395" i="1"/>
  <c r="DX395" i="1"/>
  <c r="DW395" i="1"/>
  <c r="DV395" i="1"/>
  <c r="DC395" i="1"/>
  <c r="CW395" i="1" s="1"/>
  <c r="DB395" i="1"/>
  <c r="CV395" i="1" s="1"/>
  <c r="DA395" i="1"/>
  <c r="CZ395" i="1"/>
  <c r="CY395" i="1"/>
  <c r="CS395" i="1" s="1"/>
  <c r="CX395" i="1"/>
  <c r="CR395" i="1" s="1"/>
  <c r="CU395" i="1"/>
  <c r="CT395" i="1"/>
  <c r="BZ395" i="1"/>
  <c r="CA395" i="1" s="1"/>
  <c r="CB395" i="1" s="1"/>
  <c r="BY395" i="1"/>
  <c r="BX395" i="1"/>
  <c r="BW395" i="1"/>
  <c r="BV395" i="1"/>
  <c r="BU395" i="1"/>
  <c r="BT395" i="1"/>
  <c r="BS395" i="1"/>
  <c r="AS395" i="1"/>
  <c r="AN395" i="1"/>
  <c r="AM395" i="1"/>
  <c r="AL395" i="1"/>
  <c r="AK395" i="1"/>
  <c r="AJ395" i="1"/>
  <c r="AI395" i="1"/>
  <c r="BC395" i="1" s="1"/>
  <c r="O395" i="1"/>
  <c r="D395" i="1" s="1"/>
  <c r="F395" i="1"/>
  <c r="E395" i="1"/>
  <c r="EA394" i="1"/>
  <c r="DZ394" i="1"/>
  <c r="DY394" i="1"/>
  <c r="DX394" i="1"/>
  <c r="DW394" i="1"/>
  <c r="DV394" i="1"/>
  <c r="DC394" i="1"/>
  <c r="DB394" i="1"/>
  <c r="DA394" i="1"/>
  <c r="CU394" i="1" s="1"/>
  <c r="CZ394" i="1"/>
  <c r="CT394" i="1" s="1"/>
  <c r="CY394" i="1"/>
  <c r="CX394" i="1"/>
  <c r="CW394" i="1"/>
  <c r="CV394" i="1"/>
  <c r="CS394" i="1"/>
  <c r="CR394" i="1"/>
  <c r="BZ394" i="1"/>
  <c r="CA394" i="1" s="1"/>
  <c r="CB394" i="1" s="1"/>
  <c r="BY394" i="1"/>
  <c r="BX394" i="1"/>
  <c r="BW394" i="1"/>
  <c r="BV394" i="1"/>
  <c r="BU394" i="1"/>
  <c r="CC394" i="1" s="1"/>
  <c r="BT394" i="1"/>
  <c r="BS394" i="1"/>
  <c r="AS394" i="1"/>
  <c r="AN394" i="1"/>
  <c r="AM394" i="1"/>
  <c r="AL394" i="1"/>
  <c r="AK394" i="1"/>
  <c r="AJ394" i="1"/>
  <c r="AI394" i="1"/>
  <c r="BC394" i="1" s="1"/>
  <c r="O394" i="1"/>
  <c r="F394" i="1"/>
  <c r="E394" i="1"/>
  <c r="D394" i="1"/>
  <c r="EA393" i="1"/>
  <c r="DZ393" i="1"/>
  <c r="DY393" i="1"/>
  <c r="DX393" i="1"/>
  <c r="DW393" i="1"/>
  <c r="DV393" i="1"/>
  <c r="DC393" i="1"/>
  <c r="CW393" i="1" s="1"/>
  <c r="DB393" i="1"/>
  <c r="CV393" i="1" s="1"/>
  <c r="DA393" i="1"/>
  <c r="CZ393" i="1"/>
  <c r="CY393" i="1"/>
  <c r="CS393" i="1" s="1"/>
  <c r="CX393" i="1"/>
  <c r="CR393" i="1" s="1"/>
  <c r="CU393" i="1"/>
  <c r="CT393" i="1"/>
  <c r="BZ393" i="1"/>
  <c r="CA393" i="1" s="1"/>
  <c r="CB393" i="1" s="1"/>
  <c r="BY393" i="1"/>
  <c r="BX393" i="1"/>
  <c r="BW393" i="1"/>
  <c r="BV393" i="1"/>
  <c r="BU393" i="1"/>
  <c r="BT393" i="1"/>
  <c r="BS393" i="1"/>
  <c r="AS393" i="1"/>
  <c r="AN393" i="1"/>
  <c r="AM393" i="1"/>
  <c r="AL393" i="1"/>
  <c r="AK393" i="1"/>
  <c r="AJ393" i="1"/>
  <c r="AI393" i="1"/>
  <c r="BC393" i="1" s="1"/>
  <c r="O393" i="1"/>
  <c r="D393" i="1" s="1"/>
  <c r="F393" i="1"/>
  <c r="E393" i="1"/>
  <c r="EA392" i="1"/>
  <c r="DZ392" i="1"/>
  <c r="DY392" i="1"/>
  <c r="DX392" i="1"/>
  <c r="DW392" i="1"/>
  <c r="DV392" i="1"/>
  <c r="DC392" i="1"/>
  <c r="DB392" i="1"/>
  <c r="DA392" i="1"/>
  <c r="CU392" i="1" s="1"/>
  <c r="CZ392" i="1"/>
  <c r="CT392" i="1" s="1"/>
  <c r="CY392" i="1"/>
  <c r="CX392" i="1"/>
  <c r="CW392" i="1"/>
  <c r="CV392" i="1"/>
  <c r="CS392" i="1"/>
  <c r="CR392" i="1"/>
  <c r="BZ392" i="1"/>
  <c r="CA392" i="1" s="1"/>
  <c r="CB392" i="1" s="1"/>
  <c r="BY392" i="1"/>
  <c r="BX392" i="1"/>
  <c r="BW392" i="1"/>
  <c r="BV392" i="1"/>
  <c r="BU392" i="1"/>
  <c r="BT392" i="1"/>
  <c r="BS392" i="1"/>
  <c r="AS392" i="1"/>
  <c r="AN392" i="1"/>
  <c r="AM392" i="1"/>
  <c r="AL392" i="1"/>
  <c r="AK392" i="1"/>
  <c r="AJ392" i="1"/>
  <c r="AI392" i="1"/>
  <c r="BC392" i="1" s="1"/>
  <c r="O392" i="1"/>
  <c r="F392" i="1"/>
  <c r="E392" i="1"/>
  <c r="D392" i="1"/>
  <c r="EA391" i="1"/>
  <c r="DZ391" i="1"/>
  <c r="DY391" i="1"/>
  <c r="DX391" i="1"/>
  <c r="DW391" i="1"/>
  <c r="DV391" i="1"/>
  <c r="DC391" i="1"/>
  <c r="CW391" i="1" s="1"/>
  <c r="DB391" i="1"/>
  <c r="CV391" i="1" s="1"/>
  <c r="DA391" i="1"/>
  <c r="CZ391" i="1"/>
  <c r="CY391" i="1"/>
  <c r="CS391" i="1" s="1"/>
  <c r="CX391" i="1"/>
  <c r="CR391" i="1" s="1"/>
  <c r="CU391" i="1"/>
  <c r="CT391" i="1"/>
  <c r="BZ391" i="1"/>
  <c r="CA391" i="1" s="1"/>
  <c r="CB391" i="1" s="1"/>
  <c r="BY391" i="1"/>
  <c r="BX391" i="1"/>
  <c r="BW391" i="1"/>
  <c r="BV391" i="1"/>
  <c r="BU391" i="1"/>
  <c r="BT391" i="1"/>
  <c r="BS391" i="1"/>
  <c r="AS391" i="1"/>
  <c r="AN391" i="1"/>
  <c r="AM391" i="1"/>
  <c r="AL391" i="1"/>
  <c r="AK391" i="1"/>
  <c r="AJ391" i="1"/>
  <c r="AI391" i="1"/>
  <c r="BC391" i="1" s="1"/>
  <c r="O391" i="1"/>
  <c r="D391" i="1" s="1"/>
  <c r="F391" i="1"/>
  <c r="E391" i="1"/>
  <c r="EA390" i="1"/>
  <c r="DZ390" i="1"/>
  <c r="DY390" i="1"/>
  <c r="DX390" i="1"/>
  <c r="DW390" i="1"/>
  <c r="DV390" i="1"/>
  <c r="DC390" i="1"/>
  <c r="DB390" i="1"/>
  <c r="DA390" i="1"/>
  <c r="CU390" i="1" s="1"/>
  <c r="CZ390" i="1"/>
  <c r="CT390" i="1" s="1"/>
  <c r="CY390" i="1"/>
  <c r="CX390" i="1"/>
  <c r="CW390" i="1"/>
  <c r="CV390" i="1"/>
  <c r="CS390" i="1"/>
  <c r="CR390" i="1"/>
  <c r="BZ390" i="1"/>
  <c r="CA390" i="1" s="1"/>
  <c r="CB390" i="1" s="1"/>
  <c r="BY390" i="1"/>
  <c r="BX390" i="1"/>
  <c r="BW390" i="1"/>
  <c r="BV390" i="1"/>
  <c r="BU390" i="1"/>
  <c r="BT390" i="1"/>
  <c r="BS390" i="1"/>
  <c r="AS390" i="1"/>
  <c r="AN390" i="1"/>
  <c r="AM390" i="1"/>
  <c r="AL390" i="1"/>
  <c r="AK390" i="1"/>
  <c r="AJ390" i="1"/>
  <c r="AI390" i="1"/>
  <c r="BC390" i="1" s="1"/>
  <c r="O390" i="1"/>
  <c r="D390" i="1" s="1"/>
  <c r="F390" i="1"/>
  <c r="E390" i="1"/>
  <c r="EA389" i="1"/>
  <c r="DZ389" i="1"/>
  <c r="DY389" i="1"/>
  <c r="DX389" i="1"/>
  <c r="DW389" i="1"/>
  <c r="DV389" i="1"/>
  <c r="DC389" i="1"/>
  <c r="CW389" i="1" s="1"/>
  <c r="DB389" i="1"/>
  <c r="CV389" i="1" s="1"/>
  <c r="DA389" i="1"/>
  <c r="CZ389" i="1"/>
  <c r="CY389" i="1"/>
  <c r="CS389" i="1" s="1"/>
  <c r="CX389" i="1"/>
  <c r="CR389" i="1" s="1"/>
  <c r="CU389" i="1"/>
  <c r="CT389" i="1"/>
  <c r="BZ389" i="1"/>
  <c r="CA389" i="1" s="1"/>
  <c r="CB389" i="1" s="1"/>
  <c r="BY389" i="1"/>
  <c r="BX389" i="1"/>
  <c r="BW389" i="1"/>
  <c r="BV389" i="1"/>
  <c r="BU389" i="1"/>
  <c r="CC389" i="1" s="1"/>
  <c r="BT389" i="1"/>
  <c r="BS389" i="1"/>
  <c r="AS389" i="1"/>
  <c r="AN389" i="1"/>
  <c r="AM389" i="1"/>
  <c r="AL389" i="1"/>
  <c r="AK389" i="1"/>
  <c r="AJ389" i="1"/>
  <c r="AI389" i="1"/>
  <c r="BC389" i="1" s="1"/>
  <c r="O389" i="1"/>
  <c r="D389" i="1" s="1"/>
  <c r="F389" i="1"/>
  <c r="E389" i="1"/>
  <c r="EA388" i="1"/>
  <c r="DZ388" i="1"/>
  <c r="DY388" i="1"/>
  <c r="DX388" i="1"/>
  <c r="DW388" i="1"/>
  <c r="DV388" i="1"/>
  <c r="DC388" i="1"/>
  <c r="DB388" i="1"/>
  <c r="DA388" i="1"/>
  <c r="CU388" i="1" s="1"/>
  <c r="CZ388" i="1"/>
  <c r="CT388" i="1" s="1"/>
  <c r="CY388" i="1"/>
  <c r="CX388" i="1"/>
  <c r="CW388" i="1"/>
  <c r="CV388" i="1"/>
  <c r="CS388" i="1"/>
  <c r="CR388" i="1"/>
  <c r="BZ388" i="1"/>
  <c r="CA388" i="1" s="1"/>
  <c r="CB388" i="1" s="1"/>
  <c r="BY388" i="1"/>
  <c r="BX388" i="1"/>
  <c r="BW388" i="1"/>
  <c r="BV388" i="1"/>
  <c r="BU388" i="1"/>
  <c r="CC388" i="1" s="1"/>
  <c r="BT388" i="1"/>
  <c r="BS388" i="1"/>
  <c r="AS388" i="1"/>
  <c r="AN388" i="1"/>
  <c r="AM388" i="1"/>
  <c r="AL388" i="1"/>
  <c r="AK388" i="1"/>
  <c r="AJ388" i="1"/>
  <c r="AI388" i="1"/>
  <c r="BC388" i="1" s="1"/>
  <c r="O388" i="1"/>
  <c r="D388" i="1" s="1"/>
  <c r="F388" i="1"/>
  <c r="E388" i="1"/>
  <c r="EA387" i="1"/>
  <c r="DZ387" i="1"/>
  <c r="DY387" i="1"/>
  <c r="DX387" i="1"/>
  <c r="DW387" i="1"/>
  <c r="DV387" i="1"/>
  <c r="DC387" i="1"/>
  <c r="CW387" i="1" s="1"/>
  <c r="DB387" i="1"/>
  <c r="CV387" i="1" s="1"/>
  <c r="DA387" i="1"/>
  <c r="CZ387" i="1"/>
  <c r="CY387" i="1"/>
  <c r="CS387" i="1" s="1"/>
  <c r="CX387" i="1"/>
  <c r="CR387" i="1" s="1"/>
  <c r="CU387" i="1"/>
  <c r="CT387" i="1"/>
  <c r="BZ387" i="1"/>
  <c r="CA387" i="1" s="1"/>
  <c r="BY387" i="1"/>
  <c r="BX387" i="1"/>
  <c r="BW387" i="1"/>
  <c r="BV387" i="1"/>
  <c r="BU387" i="1"/>
  <c r="BT387" i="1"/>
  <c r="BS387" i="1"/>
  <c r="AS387" i="1"/>
  <c r="AN387" i="1"/>
  <c r="AM387" i="1"/>
  <c r="AL387" i="1"/>
  <c r="AK387" i="1"/>
  <c r="AJ387" i="1"/>
  <c r="AI387" i="1"/>
  <c r="BC387" i="1" s="1"/>
  <c r="O387" i="1"/>
  <c r="D387" i="1" s="1"/>
  <c r="F387" i="1"/>
  <c r="E387" i="1"/>
  <c r="EA386" i="1"/>
  <c r="DZ386" i="1"/>
  <c r="DY386" i="1"/>
  <c r="DX386" i="1"/>
  <c r="DW386" i="1"/>
  <c r="DV386" i="1"/>
  <c r="DC386" i="1"/>
  <c r="DB386" i="1"/>
  <c r="DA386" i="1"/>
  <c r="CU386" i="1" s="1"/>
  <c r="CZ386" i="1"/>
  <c r="CT386" i="1" s="1"/>
  <c r="CY386" i="1"/>
  <c r="CX386" i="1"/>
  <c r="CW386" i="1"/>
  <c r="CV386" i="1"/>
  <c r="CS386" i="1"/>
  <c r="CR386" i="1"/>
  <c r="CA386" i="1"/>
  <c r="CB386" i="1" s="1"/>
  <c r="BZ386" i="1"/>
  <c r="BY386" i="1"/>
  <c r="BX386" i="1"/>
  <c r="BW386" i="1"/>
  <c r="BV386" i="1"/>
  <c r="BU386" i="1"/>
  <c r="CC386" i="1" s="1"/>
  <c r="BT386" i="1"/>
  <c r="BS386" i="1"/>
  <c r="AS386" i="1"/>
  <c r="AN386" i="1"/>
  <c r="AM386" i="1"/>
  <c r="AL386" i="1"/>
  <c r="AK386" i="1"/>
  <c r="AJ386" i="1"/>
  <c r="AI386" i="1"/>
  <c r="BC386" i="1" s="1"/>
  <c r="O386" i="1"/>
  <c r="D386" i="1" s="1"/>
  <c r="F386" i="1"/>
  <c r="E386" i="1"/>
  <c r="EA385" i="1"/>
  <c r="DZ385" i="1"/>
  <c r="DY385" i="1"/>
  <c r="DX385" i="1"/>
  <c r="DW385" i="1"/>
  <c r="DV385" i="1"/>
  <c r="DC385" i="1"/>
  <c r="CW385" i="1" s="1"/>
  <c r="DB385" i="1"/>
  <c r="CV385" i="1" s="1"/>
  <c r="DA385" i="1"/>
  <c r="CZ385" i="1"/>
  <c r="CY385" i="1"/>
  <c r="CS385" i="1" s="1"/>
  <c r="CX385" i="1"/>
  <c r="CR385" i="1" s="1"/>
  <c r="CU385" i="1"/>
  <c r="CT385" i="1"/>
  <c r="BZ385" i="1"/>
  <c r="CA385" i="1" s="1"/>
  <c r="BY385" i="1"/>
  <c r="BX385" i="1"/>
  <c r="BW385" i="1"/>
  <c r="BV385" i="1"/>
  <c r="BU385" i="1"/>
  <c r="CC385" i="1" s="1"/>
  <c r="BT385" i="1"/>
  <c r="BS385" i="1"/>
  <c r="AS385" i="1"/>
  <c r="AN385" i="1"/>
  <c r="AM385" i="1"/>
  <c r="AL385" i="1"/>
  <c r="AK385" i="1"/>
  <c r="AJ385" i="1"/>
  <c r="AI385" i="1"/>
  <c r="BC385" i="1" s="1"/>
  <c r="O385" i="1"/>
  <c r="D385" i="1" s="1"/>
  <c r="F385" i="1"/>
  <c r="E385" i="1"/>
  <c r="EA384" i="1"/>
  <c r="DZ384" i="1"/>
  <c r="DY384" i="1"/>
  <c r="DX384" i="1"/>
  <c r="DW384" i="1"/>
  <c r="DV384" i="1"/>
  <c r="DC384" i="1"/>
  <c r="DB384" i="1"/>
  <c r="DA384" i="1"/>
  <c r="CU384" i="1" s="1"/>
  <c r="CZ384" i="1"/>
  <c r="CT384" i="1" s="1"/>
  <c r="CY384" i="1"/>
  <c r="CX384" i="1"/>
  <c r="CW384" i="1"/>
  <c r="CV384" i="1"/>
  <c r="CS384" i="1"/>
  <c r="CR384" i="1"/>
  <c r="CA384" i="1"/>
  <c r="CB384" i="1" s="1"/>
  <c r="BZ384" i="1"/>
  <c r="BY384" i="1"/>
  <c r="BX384" i="1"/>
  <c r="BW384" i="1"/>
  <c r="BV384" i="1"/>
  <c r="BU384" i="1"/>
  <c r="CC384" i="1" s="1"/>
  <c r="BT384" i="1"/>
  <c r="BS384" i="1"/>
  <c r="AS384" i="1"/>
  <c r="AN384" i="1"/>
  <c r="AM384" i="1"/>
  <c r="AL384" i="1"/>
  <c r="AK384" i="1"/>
  <c r="AJ384" i="1"/>
  <c r="AI384" i="1"/>
  <c r="BC384" i="1" s="1"/>
  <c r="O384" i="1"/>
  <c r="D384" i="1" s="1"/>
  <c r="F384" i="1"/>
  <c r="E384" i="1"/>
  <c r="EA383" i="1"/>
  <c r="DZ383" i="1"/>
  <c r="DY383" i="1"/>
  <c r="DX383" i="1"/>
  <c r="DW383" i="1"/>
  <c r="DV383" i="1"/>
  <c r="DC383" i="1"/>
  <c r="CW383" i="1" s="1"/>
  <c r="DB383" i="1"/>
  <c r="CV383" i="1" s="1"/>
  <c r="DA383" i="1"/>
  <c r="CZ383" i="1"/>
  <c r="CY383" i="1"/>
  <c r="CS383" i="1" s="1"/>
  <c r="CX383" i="1"/>
  <c r="CR383" i="1" s="1"/>
  <c r="CU383" i="1"/>
  <c r="CT383" i="1"/>
  <c r="BZ383" i="1"/>
  <c r="CA383" i="1" s="1"/>
  <c r="BY383" i="1"/>
  <c r="BX383" i="1"/>
  <c r="BW383" i="1"/>
  <c r="BV383" i="1"/>
  <c r="BU383" i="1"/>
  <c r="BT383" i="1"/>
  <c r="BS383" i="1"/>
  <c r="AS383" i="1"/>
  <c r="AN383" i="1"/>
  <c r="AM383" i="1"/>
  <c r="AL383" i="1"/>
  <c r="AK383" i="1"/>
  <c r="AJ383" i="1"/>
  <c r="AI383" i="1"/>
  <c r="BC383" i="1" s="1"/>
  <c r="O383" i="1"/>
  <c r="D383" i="1" s="1"/>
  <c r="F383" i="1"/>
  <c r="E383" i="1"/>
  <c r="EA382" i="1"/>
  <c r="DZ382" i="1"/>
  <c r="DY382" i="1"/>
  <c r="DX382" i="1"/>
  <c r="DW382" i="1"/>
  <c r="DV382" i="1"/>
  <c r="DC382" i="1"/>
  <c r="DB382" i="1"/>
  <c r="DA382" i="1"/>
  <c r="CU382" i="1" s="1"/>
  <c r="CZ382" i="1"/>
  <c r="CT382" i="1" s="1"/>
  <c r="CY382" i="1"/>
  <c r="CX382" i="1"/>
  <c r="CW382" i="1"/>
  <c r="CV382" i="1"/>
  <c r="CS382" i="1"/>
  <c r="CR382" i="1"/>
  <c r="CA382" i="1"/>
  <c r="CB382" i="1" s="1"/>
  <c r="BZ382" i="1"/>
  <c r="BY382" i="1"/>
  <c r="BX382" i="1"/>
  <c r="BW382" i="1"/>
  <c r="BV382" i="1"/>
  <c r="BU382" i="1"/>
  <c r="CC382" i="1" s="1"/>
  <c r="BT382" i="1"/>
  <c r="BS382" i="1"/>
  <c r="AS382" i="1"/>
  <c r="AN382" i="1"/>
  <c r="AM382" i="1"/>
  <c r="AL382" i="1"/>
  <c r="AK382" i="1"/>
  <c r="AJ382" i="1"/>
  <c r="AI382" i="1"/>
  <c r="BC382" i="1" s="1"/>
  <c r="O382" i="1"/>
  <c r="D382" i="1" s="1"/>
  <c r="F382" i="1"/>
  <c r="E382" i="1"/>
  <c r="EA381" i="1"/>
  <c r="DZ381" i="1"/>
  <c r="DY381" i="1"/>
  <c r="DX381" i="1"/>
  <c r="DW381" i="1"/>
  <c r="DV381" i="1"/>
  <c r="DC381" i="1"/>
  <c r="CW381" i="1" s="1"/>
  <c r="DB381" i="1"/>
  <c r="CV381" i="1" s="1"/>
  <c r="DA381" i="1"/>
  <c r="CZ381" i="1"/>
  <c r="CY381" i="1"/>
  <c r="CS381" i="1" s="1"/>
  <c r="CX381" i="1"/>
  <c r="CR381" i="1" s="1"/>
  <c r="CU381" i="1"/>
  <c r="CT381" i="1"/>
  <c r="BZ381" i="1"/>
  <c r="CA381" i="1" s="1"/>
  <c r="BY381" i="1"/>
  <c r="BX381" i="1"/>
  <c r="BW381" i="1"/>
  <c r="BV381" i="1"/>
  <c r="BU381" i="1"/>
  <c r="CC381" i="1" s="1"/>
  <c r="BT381" i="1"/>
  <c r="BS381" i="1"/>
  <c r="AS381" i="1"/>
  <c r="AN381" i="1"/>
  <c r="AM381" i="1"/>
  <c r="AL381" i="1"/>
  <c r="AK381" i="1"/>
  <c r="AJ381" i="1"/>
  <c r="AI381" i="1"/>
  <c r="BC381" i="1" s="1"/>
  <c r="O381" i="1"/>
  <c r="D381" i="1" s="1"/>
  <c r="F381" i="1"/>
  <c r="E381" i="1"/>
  <c r="EA380" i="1"/>
  <c r="DZ380" i="1"/>
  <c r="DY380" i="1"/>
  <c r="DX380" i="1"/>
  <c r="DW380" i="1"/>
  <c r="DV380" i="1"/>
  <c r="DC380" i="1"/>
  <c r="DB380" i="1"/>
  <c r="DA380" i="1"/>
  <c r="CU380" i="1" s="1"/>
  <c r="CZ380" i="1"/>
  <c r="CT380" i="1" s="1"/>
  <c r="CY380" i="1"/>
  <c r="CX380" i="1"/>
  <c r="CW380" i="1"/>
  <c r="CV380" i="1"/>
  <c r="CS380" i="1"/>
  <c r="CR380" i="1"/>
  <c r="CA380" i="1"/>
  <c r="CB380" i="1" s="1"/>
  <c r="BZ380" i="1"/>
  <c r="BY380" i="1"/>
  <c r="BX380" i="1"/>
  <c r="BW380" i="1"/>
  <c r="BV380" i="1"/>
  <c r="BU380" i="1"/>
  <c r="CC380" i="1" s="1"/>
  <c r="BT380" i="1"/>
  <c r="BS380" i="1"/>
  <c r="AS380" i="1"/>
  <c r="AN380" i="1"/>
  <c r="AM380" i="1"/>
  <c r="AL380" i="1"/>
  <c r="AK380" i="1"/>
  <c r="AJ380" i="1"/>
  <c r="AI380" i="1"/>
  <c r="BC380" i="1" s="1"/>
  <c r="O380" i="1"/>
  <c r="D380" i="1" s="1"/>
  <c r="F380" i="1"/>
  <c r="E380" i="1"/>
  <c r="EA379" i="1"/>
  <c r="DZ379" i="1"/>
  <c r="DY379" i="1"/>
  <c r="DX379" i="1"/>
  <c r="DW379" i="1"/>
  <c r="DV379" i="1"/>
  <c r="DC379" i="1"/>
  <c r="CW379" i="1" s="1"/>
  <c r="DB379" i="1"/>
  <c r="CV379" i="1" s="1"/>
  <c r="DA379" i="1"/>
  <c r="CZ379" i="1"/>
  <c r="CY379" i="1"/>
  <c r="CS379" i="1" s="1"/>
  <c r="CX379" i="1"/>
  <c r="CR379" i="1" s="1"/>
  <c r="CU379" i="1"/>
  <c r="CT379" i="1"/>
  <c r="BZ379" i="1"/>
  <c r="CA379" i="1" s="1"/>
  <c r="BY379" i="1"/>
  <c r="BX379" i="1"/>
  <c r="BW379" i="1"/>
  <c r="BV379" i="1"/>
  <c r="BU379" i="1"/>
  <c r="BT379" i="1"/>
  <c r="BS379" i="1"/>
  <c r="AS379" i="1"/>
  <c r="AN379" i="1"/>
  <c r="AM379" i="1"/>
  <c r="AL379" i="1"/>
  <c r="AK379" i="1"/>
  <c r="AJ379" i="1"/>
  <c r="AI379" i="1"/>
  <c r="BC379" i="1" s="1"/>
  <c r="O379" i="1"/>
  <c r="D379" i="1" s="1"/>
  <c r="F379" i="1"/>
  <c r="E379" i="1"/>
  <c r="EA378" i="1"/>
  <c r="DZ378" i="1"/>
  <c r="DY378" i="1"/>
  <c r="DX378" i="1"/>
  <c r="DW378" i="1"/>
  <c r="DV378" i="1"/>
  <c r="DC378" i="1"/>
  <c r="DB378" i="1"/>
  <c r="DA378" i="1"/>
  <c r="CU378" i="1" s="1"/>
  <c r="CZ378" i="1"/>
  <c r="CT378" i="1" s="1"/>
  <c r="CY378" i="1"/>
  <c r="CX378" i="1"/>
  <c r="CW378" i="1"/>
  <c r="CV378" i="1"/>
  <c r="CS378" i="1"/>
  <c r="CR378" i="1"/>
  <c r="BZ378" i="1"/>
  <c r="CA378" i="1" s="1"/>
  <c r="CB378" i="1" s="1"/>
  <c r="BY378" i="1"/>
  <c r="BX378" i="1"/>
  <c r="BW378" i="1"/>
  <c r="BV378" i="1"/>
  <c r="BU378" i="1"/>
  <c r="CC378" i="1" s="1"/>
  <c r="BT378" i="1"/>
  <c r="BS378" i="1"/>
  <c r="AS378" i="1"/>
  <c r="AN378" i="1"/>
  <c r="AM378" i="1"/>
  <c r="AL378" i="1"/>
  <c r="AK378" i="1"/>
  <c r="AJ378" i="1"/>
  <c r="AI378" i="1"/>
  <c r="BC378" i="1" s="1"/>
  <c r="O378" i="1"/>
  <c r="D378" i="1" s="1"/>
  <c r="F378" i="1"/>
  <c r="E378" i="1"/>
  <c r="EA377" i="1"/>
  <c r="DZ377" i="1"/>
  <c r="DY377" i="1"/>
  <c r="DX377" i="1"/>
  <c r="DW377" i="1"/>
  <c r="DV377" i="1"/>
  <c r="DC377" i="1"/>
  <c r="CW377" i="1" s="1"/>
  <c r="DB377" i="1"/>
  <c r="CV377" i="1" s="1"/>
  <c r="DA377" i="1"/>
  <c r="CZ377" i="1"/>
  <c r="CY377" i="1"/>
  <c r="CS377" i="1" s="1"/>
  <c r="CX377" i="1"/>
  <c r="CR377" i="1" s="1"/>
  <c r="CU377" i="1"/>
  <c r="CT377" i="1"/>
  <c r="BZ377" i="1"/>
  <c r="CA377" i="1" s="1"/>
  <c r="CB377" i="1" s="1"/>
  <c r="BY377" i="1"/>
  <c r="BX377" i="1"/>
  <c r="BW377" i="1"/>
  <c r="BV377" i="1"/>
  <c r="BU377" i="1"/>
  <c r="BT377" i="1"/>
  <c r="BS377" i="1"/>
  <c r="AS377" i="1"/>
  <c r="AN377" i="1"/>
  <c r="AM377" i="1"/>
  <c r="AL377" i="1"/>
  <c r="AK377" i="1"/>
  <c r="AJ377" i="1"/>
  <c r="AI377" i="1"/>
  <c r="BC377" i="1" s="1"/>
  <c r="O377" i="1"/>
  <c r="F377" i="1"/>
  <c r="E377" i="1"/>
  <c r="D377" i="1"/>
  <c r="EA376" i="1"/>
  <c r="DZ376" i="1"/>
  <c r="DY376" i="1"/>
  <c r="DX376" i="1"/>
  <c r="DW376" i="1"/>
  <c r="DV376" i="1"/>
  <c r="DC376" i="1"/>
  <c r="DB376" i="1"/>
  <c r="DA376" i="1"/>
  <c r="CU376" i="1" s="1"/>
  <c r="CZ376" i="1"/>
  <c r="CT376" i="1" s="1"/>
  <c r="CY376" i="1"/>
  <c r="CX376" i="1"/>
  <c r="CW376" i="1"/>
  <c r="CV376" i="1"/>
  <c r="CS376" i="1"/>
  <c r="CR376" i="1"/>
  <c r="BZ376" i="1"/>
  <c r="CA376" i="1" s="1"/>
  <c r="CB376" i="1" s="1"/>
  <c r="BY376" i="1"/>
  <c r="BX376" i="1"/>
  <c r="BW376" i="1"/>
  <c r="BV376" i="1"/>
  <c r="BU376" i="1"/>
  <c r="BT376" i="1"/>
  <c r="BS376" i="1"/>
  <c r="AS376" i="1"/>
  <c r="AN376" i="1"/>
  <c r="AM376" i="1"/>
  <c r="AL376" i="1"/>
  <c r="AK376" i="1"/>
  <c r="AJ376" i="1"/>
  <c r="AI376" i="1"/>
  <c r="BC376" i="1" s="1"/>
  <c r="O376" i="1"/>
  <c r="D376" i="1" s="1"/>
  <c r="F376" i="1"/>
  <c r="E376" i="1"/>
  <c r="EA375" i="1"/>
  <c r="DZ375" i="1"/>
  <c r="DY375" i="1"/>
  <c r="DX375" i="1"/>
  <c r="DW375" i="1"/>
  <c r="DV375" i="1"/>
  <c r="DC375" i="1"/>
  <c r="CW375" i="1" s="1"/>
  <c r="DB375" i="1"/>
  <c r="CV375" i="1" s="1"/>
  <c r="DA375" i="1"/>
  <c r="CZ375" i="1"/>
  <c r="CY375" i="1"/>
  <c r="CS375" i="1" s="1"/>
  <c r="CX375" i="1"/>
  <c r="CR375" i="1" s="1"/>
  <c r="CU375" i="1"/>
  <c r="CT375" i="1"/>
  <c r="BZ375" i="1"/>
  <c r="CA375" i="1" s="1"/>
  <c r="CB375" i="1" s="1"/>
  <c r="BY375" i="1"/>
  <c r="BX375" i="1"/>
  <c r="BW375" i="1"/>
  <c r="BV375" i="1"/>
  <c r="BU375" i="1"/>
  <c r="BT375" i="1"/>
  <c r="BS375" i="1"/>
  <c r="AS375" i="1"/>
  <c r="AN375" i="1"/>
  <c r="AM375" i="1"/>
  <c r="AL375" i="1"/>
  <c r="AK375" i="1"/>
  <c r="AJ375" i="1"/>
  <c r="AI375" i="1"/>
  <c r="BC375" i="1" s="1"/>
  <c r="O375" i="1"/>
  <c r="D375" i="1" s="1"/>
  <c r="F375" i="1"/>
  <c r="E375" i="1"/>
  <c r="EA374" i="1"/>
  <c r="DZ374" i="1"/>
  <c r="DY374" i="1"/>
  <c r="DX374" i="1"/>
  <c r="DW374" i="1"/>
  <c r="DV374" i="1"/>
  <c r="DC374" i="1"/>
  <c r="DB374" i="1"/>
  <c r="DA374" i="1"/>
  <c r="CU374" i="1" s="1"/>
  <c r="CZ374" i="1"/>
  <c r="CT374" i="1" s="1"/>
  <c r="CY374" i="1"/>
  <c r="CX374" i="1"/>
  <c r="CW374" i="1"/>
  <c r="CV374" i="1"/>
  <c r="CS374" i="1"/>
  <c r="CR374" i="1"/>
  <c r="BZ374" i="1"/>
  <c r="CA374" i="1" s="1"/>
  <c r="CB374" i="1" s="1"/>
  <c r="BY374" i="1"/>
  <c r="BX374" i="1"/>
  <c r="BW374" i="1"/>
  <c r="BV374" i="1"/>
  <c r="BU374" i="1"/>
  <c r="BT374" i="1"/>
  <c r="BS374" i="1"/>
  <c r="BC374" i="1"/>
  <c r="AS374" i="1"/>
  <c r="AN374" i="1"/>
  <c r="AM374" i="1"/>
  <c r="AL374" i="1"/>
  <c r="AK374" i="1"/>
  <c r="AJ374" i="1"/>
  <c r="AI374" i="1"/>
  <c r="O374" i="1"/>
  <c r="D374" i="1" s="1"/>
  <c r="F374" i="1"/>
  <c r="E374" i="1"/>
  <c r="EA373" i="1"/>
  <c r="DZ373" i="1"/>
  <c r="DY373" i="1"/>
  <c r="DX373" i="1"/>
  <c r="DW373" i="1"/>
  <c r="DV373" i="1"/>
  <c r="DC373" i="1"/>
  <c r="CW373" i="1" s="1"/>
  <c r="DB373" i="1"/>
  <c r="CV373" i="1" s="1"/>
  <c r="DA373" i="1"/>
  <c r="CZ373" i="1"/>
  <c r="CY373" i="1"/>
  <c r="CS373" i="1" s="1"/>
  <c r="CX373" i="1"/>
  <c r="CR373" i="1" s="1"/>
  <c r="CU373" i="1"/>
  <c r="CT373" i="1"/>
  <c r="BZ373" i="1"/>
  <c r="CA373" i="1" s="1"/>
  <c r="CB373" i="1" s="1"/>
  <c r="BY373" i="1"/>
  <c r="BX373" i="1"/>
  <c r="BW373" i="1"/>
  <c r="BV373" i="1"/>
  <c r="BU373" i="1"/>
  <c r="CC373" i="1" s="1"/>
  <c r="BT373" i="1"/>
  <c r="BS373" i="1"/>
  <c r="AS373" i="1"/>
  <c r="AN373" i="1"/>
  <c r="AM373" i="1"/>
  <c r="AL373" i="1"/>
  <c r="AK373" i="1"/>
  <c r="AJ373" i="1"/>
  <c r="AI373" i="1"/>
  <c r="BC373" i="1" s="1"/>
  <c r="O373" i="1"/>
  <c r="D373" i="1" s="1"/>
  <c r="F373" i="1"/>
  <c r="E373" i="1"/>
  <c r="EA372" i="1"/>
  <c r="DZ372" i="1"/>
  <c r="DY372" i="1"/>
  <c r="DX372" i="1"/>
  <c r="DW372" i="1"/>
  <c r="DV372" i="1"/>
  <c r="DC372" i="1"/>
  <c r="DB372" i="1"/>
  <c r="DA372" i="1"/>
  <c r="CU372" i="1" s="1"/>
  <c r="CZ372" i="1"/>
  <c r="CT372" i="1" s="1"/>
  <c r="CY372" i="1"/>
  <c r="CX372" i="1"/>
  <c r="CW372" i="1"/>
  <c r="CV372" i="1"/>
  <c r="CS372" i="1"/>
  <c r="CR372" i="1"/>
  <c r="BZ372" i="1"/>
  <c r="CA372" i="1" s="1"/>
  <c r="CB372" i="1" s="1"/>
  <c r="BY372" i="1"/>
  <c r="BX372" i="1"/>
  <c r="BW372" i="1"/>
  <c r="BV372" i="1"/>
  <c r="BU372" i="1"/>
  <c r="BT372" i="1"/>
  <c r="BS372" i="1"/>
  <c r="AS372" i="1"/>
  <c r="AN372" i="1"/>
  <c r="AM372" i="1"/>
  <c r="AL372" i="1"/>
  <c r="AK372" i="1"/>
  <c r="AJ372" i="1"/>
  <c r="AI372" i="1"/>
  <c r="BC372" i="1" s="1"/>
  <c r="O372" i="1"/>
  <c r="D372" i="1" s="1"/>
  <c r="F372" i="1"/>
  <c r="E372" i="1"/>
  <c r="EA371" i="1"/>
  <c r="DZ371" i="1"/>
  <c r="DY371" i="1"/>
  <c r="DX371" i="1"/>
  <c r="DW371" i="1"/>
  <c r="DV371" i="1"/>
  <c r="DC371" i="1"/>
  <c r="CW371" i="1" s="1"/>
  <c r="DB371" i="1"/>
  <c r="CV371" i="1" s="1"/>
  <c r="DA371" i="1"/>
  <c r="CZ371" i="1"/>
  <c r="CY371" i="1"/>
  <c r="CS371" i="1" s="1"/>
  <c r="CX371" i="1"/>
  <c r="CR371" i="1" s="1"/>
  <c r="CU371" i="1"/>
  <c r="CT371" i="1"/>
  <c r="BZ371" i="1"/>
  <c r="CA371" i="1" s="1"/>
  <c r="CB371" i="1" s="1"/>
  <c r="BY371" i="1"/>
  <c r="BX371" i="1"/>
  <c r="BW371" i="1"/>
  <c r="BV371" i="1"/>
  <c r="BU371" i="1"/>
  <c r="BT371" i="1"/>
  <c r="BS371" i="1"/>
  <c r="AS371" i="1"/>
  <c r="AN371" i="1"/>
  <c r="AM371" i="1"/>
  <c r="AL371" i="1"/>
  <c r="AK371" i="1"/>
  <c r="AJ371" i="1"/>
  <c r="AI371" i="1"/>
  <c r="BC371" i="1" s="1"/>
  <c r="O371" i="1"/>
  <c r="D371" i="1" s="1"/>
  <c r="F371" i="1"/>
  <c r="E371" i="1"/>
  <c r="EA370" i="1"/>
  <c r="DZ370" i="1"/>
  <c r="DY370" i="1"/>
  <c r="DX370" i="1"/>
  <c r="DW370" i="1"/>
  <c r="DV370" i="1"/>
  <c r="DC370" i="1"/>
  <c r="DB370" i="1"/>
  <c r="DA370" i="1"/>
  <c r="CU370" i="1" s="1"/>
  <c r="CZ370" i="1"/>
  <c r="CT370" i="1" s="1"/>
  <c r="CY370" i="1"/>
  <c r="CX370" i="1"/>
  <c r="CW370" i="1"/>
  <c r="CV370" i="1"/>
  <c r="CS370" i="1"/>
  <c r="CR370" i="1"/>
  <c r="BZ370" i="1"/>
  <c r="CA370" i="1" s="1"/>
  <c r="CB370" i="1" s="1"/>
  <c r="BY370" i="1"/>
  <c r="BX370" i="1"/>
  <c r="BW370" i="1"/>
  <c r="BV370" i="1"/>
  <c r="BU370" i="1"/>
  <c r="CC370" i="1" s="1"/>
  <c r="BT370" i="1"/>
  <c r="BS370" i="1"/>
  <c r="AS370" i="1"/>
  <c r="AN370" i="1"/>
  <c r="AM370" i="1"/>
  <c r="AL370" i="1"/>
  <c r="AK370" i="1"/>
  <c r="AJ370" i="1"/>
  <c r="AI370" i="1"/>
  <c r="BC370" i="1" s="1"/>
  <c r="O370" i="1"/>
  <c r="D370" i="1" s="1"/>
  <c r="F370" i="1"/>
  <c r="E370" i="1"/>
  <c r="EA369" i="1"/>
  <c r="DZ369" i="1"/>
  <c r="DY369" i="1"/>
  <c r="DX369" i="1"/>
  <c r="DW369" i="1"/>
  <c r="DV369" i="1"/>
  <c r="DC369" i="1"/>
  <c r="CW369" i="1" s="1"/>
  <c r="DB369" i="1"/>
  <c r="CV369" i="1" s="1"/>
  <c r="DA369" i="1"/>
  <c r="CZ369" i="1"/>
  <c r="CY369" i="1"/>
  <c r="CS369" i="1" s="1"/>
  <c r="CX369" i="1"/>
  <c r="CR369" i="1" s="1"/>
  <c r="CU369" i="1"/>
  <c r="CT369" i="1"/>
  <c r="BZ369" i="1"/>
  <c r="CA369" i="1" s="1"/>
  <c r="CB369" i="1" s="1"/>
  <c r="BY369" i="1"/>
  <c r="BX369" i="1"/>
  <c r="BW369" i="1"/>
  <c r="BV369" i="1"/>
  <c r="BU369" i="1"/>
  <c r="BT369" i="1"/>
  <c r="BS369" i="1"/>
  <c r="AS369" i="1"/>
  <c r="AN369" i="1"/>
  <c r="AM369" i="1"/>
  <c r="AL369" i="1"/>
  <c r="AK369" i="1"/>
  <c r="AJ369" i="1"/>
  <c r="AI369" i="1"/>
  <c r="BC369" i="1" s="1"/>
  <c r="O369" i="1"/>
  <c r="D369" i="1" s="1"/>
  <c r="F369" i="1"/>
  <c r="E369" i="1"/>
  <c r="EA368" i="1"/>
  <c r="DZ368" i="1"/>
  <c r="DY368" i="1"/>
  <c r="DX368" i="1"/>
  <c r="DW368" i="1"/>
  <c r="DV368" i="1"/>
  <c r="DC368" i="1"/>
  <c r="DB368" i="1"/>
  <c r="DA368" i="1"/>
  <c r="CU368" i="1" s="1"/>
  <c r="CZ368" i="1"/>
  <c r="CT368" i="1" s="1"/>
  <c r="CY368" i="1"/>
  <c r="CX368" i="1"/>
  <c r="CW368" i="1"/>
  <c r="CV368" i="1"/>
  <c r="CS368" i="1"/>
  <c r="CR368" i="1"/>
  <c r="BZ368" i="1"/>
  <c r="CA368" i="1" s="1"/>
  <c r="CB368" i="1" s="1"/>
  <c r="BY368" i="1"/>
  <c r="BX368" i="1"/>
  <c r="BW368" i="1"/>
  <c r="BV368" i="1"/>
  <c r="BU368" i="1"/>
  <c r="BT368" i="1"/>
  <c r="BS368" i="1"/>
  <c r="AS368" i="1"/>
  <c r="AN368" i="1"/>
  <c r="AM368" i="1"/>
  <c r="AL368" i="1"/>
  <c r="AK368" i="1"/>
  <c r="AJ368" i="1"/>
  <c r="AI368" i="1"/>
  <c r="BC368" i="1" s="1"/>
  <c r="O368" i="1"/>
  <c r="D368" i="1" s="1"/>
  <c r="F368" i="1"/>
  <c r="E368" i="1"/>
  <c r="EA367" i="1"/>
  <c r="DZ367" i="1"/>
  <c r="DY367" i="1"/>
  <c r="DX367" i="1"/>
  <c r="DW367" i="1"/>
  <c r="DV367" i="1"/>
  <c r="DC367" i="1"/>
  <c r="CW367" i="1" s="1"/>
  <c r="DB367" i="1"/>
  <c r="CV367" i="1" s="1"/>
  <c r="DA367" i="1"/>
  <c r="CZ367" i="1"/>
  <c r="CY367" i="1"/>
  <c r="CS367" i="1" s="1"/>
  <c r="CX367" i="1"/>
  <c r="CR367" i="1" s="1"/>
  <c r="CU367" i="1"/>
  <c r="CT367" i="1"/>
  <c r="BZ367" i="1"/>
  <c r="CA367" i="1" s="1"/>
  <c r="CB367" i="1" s="1"/>
  <c r="BY367" i="1"/>
  <c r="BX367" i="1"/>
  <c r="BW367" i="1"/>
  <c r="BV367" i="1"/>
  <c r="BU367" i="1"/>
  <c r="BT367" i="1"/>
  <c r="BS367" i="1"/>
  <c r="AS367" i="1"/>
  <c r="AN367" i="1"/>
  <c r="AM367" i="1"/>
  <c r="AL367" i="1"/>
  <c r="AK367" i="1"/>
  <c r="AJ367" i="1"/>
  <c r="AI367" i="1"/>
  <c r="BC367" i="1" s="1"/>
  <c r="O367" i="1"/>
  <c r="D367" i="1" s="1"/>
  <c r="F367" i="1"/>
  <c r="E367" i="1"/>
  <c r="EA366" i="1"/>
  <c r="DZ366" i="1"/>
  <c r="DY366" i="1"/>
  <c r="DX366" i="1"/>
  <c r="DW366" i="1"/>
  <c r="DV366" i="1"/>
  <c r="DC366" i="1"/>
  <c r="DB366" i="1"/>
  <c r="DA366" i="1"/>
  <c r="CU366" i="1" s="1"/>
  <c r="CZ366" i="1"/>
  <c r="CT366" i="1" s="1"/>
  <c r="CY366" i="1"/>
  <c r="CX366" i="1"/>
  <c r="CW366" i="1"/>
  <c r="CV366" i="1"/>
  <c r="CS366" i="1"/>
  <c r="CR366" i="1"/>
  <c r="BZ366" i="1"/>
  <c r="CA366" i="1" s="1"/>
  <c r="BY366" i="1"/>
  <c r="BX366" i="1"/>
  <c r="BW366" i="1"/>
  <c r="BV366" i="1"/>
  <c r="BU366" i="1"/>
  <c r="BT366" i="1"/>
  <c r="BS366" i="1"/>
  <c r="AS366" i="1"/>
  <c r="AN366" i="1"/>
  <c r="AM366" i="1"/>
  <c r="AL366" i="1"/>
  <c r="AK366" i="1"/>
  <c r="AJ366" i="1"/>
  <c r="AI366" i="1"/>
  <c r="BC366" i="1" s="1"/>
  <c r="O366" i="1"/>
  <c r="D366" i="1" s="1"/>
  <c r="F366" i="1"/>
  <c r="E366" i="1"/>
  <c r="EA365" i="1"/>
  <c r="DZ365" i="1"/>
  <c r="DY365" i="1"/>
  <c r="DX365" i="1"/>
  <c r="DW365" i="1"/>
  <c r="DV365" i="1"/>
  <c r="DC365" i="1"/>
  <c r="CW365" i="1" s="1"/>
  <c r="DB365" i="1"/>
  <c r="CV365" i="1" s="1"/>
  <c r="DA365" i="1"/>
  <c r="CZ365" i="1"/>
  <c r="CY365" i="1"/>
  <c r="CS365" i="1" s="1"/>
  <c r="CX365" i="1"/>
  <c r="CR365" i="1" s="1"/>
  <c r="CU365" i="1"/>
  <c r="CT365" i="1"/>
  <c r="CB365" i="1"/>
  <c r="CA365" i="1"/>
  <c r="BZ365" i="1"/>
  <c r="BY365" i="1"/>
  <c r="BX365" i="1"/>
  <c r="BW365" i="1"/>
  <c r="BV365" i="1"/>
  <c r="BU365" i="1"/>
  <c r="CC365" i="1" s="1"/>
  <c r="BT365" i="1"/>
  <c r="BS365" i="1"/>
  <c r="AS365" i="1"/>
  <c r="AN365" i="1"/>
  <c r="AM365" i="1"/>
  <c r="AL365" i="1"/>
  <c r="AK365" i="1"/>
  <c r="AJ365" i="1"/>
  <c r="AI365" i="1"/>
  <c r="BC365" i="1" s="1"/>
  <c r="O365" i="1"/>
  <c r="D365" i="1" s="1"/>
  <c r="F365" i="1"/>
  <c r="E365" i="1"/>
  <c r="EA364" i="1"/>
  <c r="DZ364" i="1"/>
  <c r="DY364" i="1"/>
  <c r="DX364" i="1"/>
  <c r="DW364" i="1"/>
  <c r="DV364" i="1"/>
  <c r="DC364" i="1"/>
  <c r="DB364" i="1"/>
  <c r="DA364" i="1"/>
  <c r="CU364" i="1" s="1"/>
  <c r="CZ364" i="1"/>
  <c r="CT364" i="1" s="1"/>
  <c r="CY364" i="1"/>
  <c r="CX364" i="1"/>
  <c r="CW364" i="1"/>
  <c r="CV364" i="1"/>
  <c r="CS364" i="1"/>
  <c r="CR364" i="1"/>
  <c r="BZ364" i="1"/>
  <c r="CA364" i="1" s="1"/>
  <c r="CB364" i="1" s="1"/>
  <c r="BY364" i="1"/>
  <c r="BX364" i="1"/>
  <c r="BW364" i="1"/>
  <c r="BV364" i="1"/>
  <c r="BU364" i="1"/>
  <c r="BT364" i="1"/>
  <c r="BS364" i="1"/>
  <c r="AS364" i="1"/>
  <c r="AN364" i="1"/>
  <c r="AM364" i="1"/>
  <c r="AL364" i="1"/>
  <c r="AK364" i="1"/>
  <c r="AJ364" i="1"/>
  <c r="AI364" i="1"/>
  <c r="BC364" i="1" s="1"/>
  <c r="O364" i="1"/>
  <c r="D364" i="1" s="1"/>
  <c r="F364" i="1"/>
  <c r="E364" i="1"/>
  <c r="EA363" i="1"/>
  <c r="DZ363" i="1"/>
  <c r="DY363" i="1"/>
  <c r="DX363" i="1"/>
  <c r="DW363" i="1"/>
  <c r="DV363" i="1"/>
  <c r="DC363" i="1"/>
  <c r="CW363" i="1" s="1"/>
  <c r="DB363" i="1"/>
  <c r="CV363" i="1" s="1"/>
  <c r="DA363" i="1"/>
  <c r="CZ363" i="1"/>
  <c r="CY363" i="1"/>
  <c r="CS363" i="1" s="1"/>
  <c r="CX363" i="1"/>
  <c r="CR363" i="1" s="1"/>
  <c r="CU363" i="1"/>
  <c r="CT363" i="1"/>
  <c r="BZ363" i="1"/>
  <c r="CA363" i="1" s="1"/>
  <c r="CB363" i="1" s="1"/>
  <c r="BY363" i="1"/>
  <c r="BX363" i="1"/>
  <c r="BW363" i="1"/>
  <c r="BV363" i="1"/>
  <c r="BU363" i="1"/>
  <c r="CC363" i="1" s="1"/>
  <c r="BT363" i="1"/>
  <c r="BS363" i="1"/>
  <c r="AS363" i="1"/>
  <c r="AN363" i="1"/>
  <c r="AM363" i="1"/>
  <c r="AL363" i="1"/>
  <c r="AK363" i="1"/>
  <c r="AJ363" i="1"/>
  <c r="AI363" i="1"/>
  <c r="BC363" i="1" s="1"/>
  <c r="O363" i="1"/>
  <c r="D363" i="1" s="1"/>
  <c r="F363" i="1"/>
  <c r="E363" i="1"/>
  <c r="EA362" i="1"/>
  <c r="DZ362" i="1"/>
  <c r="DY362" i="1"/>
  <c r="DX362" i="1"/>
  <c r="DW362" i="1"/>
  <c r="DV362" i="1"/>
  <c r="DC362" i="1"/>
  <c r="DB362" i="1"/>
  <c r="DA362" i="1"/>
  <c r="CU362" i="1" s="1"/>
  <c r="CZ362" i="1"/>
  <c r="CT362" i="1" s="1"/>
  <c r="CY362" i="1"/>
  <c r="CX362" i="1"/>
  <c r="CW362" i="1"/>
  <c r="CV362" i="1"/>
  <c r="CS362" i="1"/>
  <c r="CR362" i="1"/>
  <c r="BZ362" i="1"/>
  <c r="CA362" i="1" s="1"/>
  <c r="CB362" i="1" s="1"/>
  <c r="BY362" i="1"/>
  <c r="BX362" i="1"/>
  <c r="BW362" i="1"/>
  <c r="BV362" i="1"/>
  <c r="BU362" i="1"/>
  <c r="BT362" i="1"/>
  <c r="BS362" i="1"/>
  <c r="AS362" i="1"/>
  <c r="AN362" i="1"/>
  <c r="AM362" i="1"/>
  <c r="AL362" i="1"/>
  <c r="AK362" i="1"/>
  <c r="AJ362" i="1"/>
  <c r="AI362" i="1"/>
  <c r="BC362" i="1" s="1"/>
  <c r="O362" i="1"/>
  <c r="D362" i="1" s="1"/>
  <c r="F362" i="1"/>
  <c r="E362" i="1"/>
  <c r="EA361" i="1"/>
  <c r="DZ361" i="1"/>
  <c r="DY361" i="1"/>
  <c r="DX361" i="1"/>
  <c r="DW361" i="1"/>
  <c r="DV361" i="1"/>
  <c r="DC361" i="1"/>
  <c r="CW361" i="1" s="1"/>
  <c r="DB361" i="1"/>
  <c r="CV361" i="1" s="1"/>
  <c r="DA361" i="1"/>
  <c r="CZ361" i="1"/>
  <c r="CY361" i="1"/>
  <c r="CS361" i="1" s="1"/>
  <c r="CX361" i="1"/>
  <c r="CR361" i="1" s="1"/>
  <c r="CU361" i="1"/>
  <c r="CT361" i="1"/>
  <c r="BZ361" i="1"/>
  <c r="CA361" i="1" s="1"/>
  <c r="CB361" i="1" s="1"/>
  <c r="BY361" i="1"/>
  <c r="BX361" i="1"/>
  <c r="BW361" i="1"/>
  <c r="BV361" i="1"/>
  <c r="BU361" i="1"/>
  <c r="CC361" i="1" s="1"/>
  <c r="BT361" i="1"/>
  <c r="BS361" i="1"/>
  <c r="AS361" i="1"/>
  <c r="AN361" i="1"/>
  <c r="AM361" i="1"/>
  <c r="AL361" i="1"/>
  <c r="AK361" i="1"/>
  <c r="AJ361" i="1"/>
  <c r="AI361" i="1"/>
  <c r="BC361" i="1" s="1"/>
  <c r="O361" i="1"/>
  <c r="D361" i="1" s="1"/>
  <c r="F361" i="1"/>
  <c r="E361" i="1"/>
  <c r="EA360" i="1"/>
  <c r="DZ360" i="1"/>
  <c r="DY360" i="1"/>
  <c r="DX360" i="1"/>
  <c r="DW360" i="1"/>
  <c r="DV360" i="1"/>
  <c r="DC360" i="1"/>
  <c r="DB360" i="1"/>
  <c r="DA360" i="1"/>
  <c r="CU360" i="1" s="1"/>
  <c r="CZ360" i="1"/>
  <c r="CT360" i="1" s="1"/>
  <c r="CY360" i="1"/>
  <c r="CX360" i="1"/>
  <c r="CW360" i="1"/>
  <c r="CV360" i="1"/>
  <c r="CS360" i="1"/>
  <c r="CR360" i="1"/>
  <c r="BZ360" i="1"/>
  <c r="CA360" i="1" s="1"/>
  <c r="CB360" i="1" s="1"/>
  <c r="BY360" i="1"/>
  <c r="BX360" i="1"/>
  <c r="BW360" i="1"/>
  <c r="BV360" i="1"/>
  <c r="BU360" i="1"/>
  <c r="CC360" i="1" s="1"/>
  <c r="BT360" i="1"/>
  <c r="BS360" i="1"/>
  <c r="BC360" i="1"/>
  <c r="AS360" i="1"/>
  <c r="AN360" i="1"/>
  <c r="AM360" i="1"/>
  <c r="AL360" i="1"/>
  <c r="AK360" i="1"/>
  <c r="AJ360" i="1"/>
  <c r="AI360" i="1"/>
  <c r="O360" i="1"/>
  <c r="D360" i="1" s="1"/>
  <c r="F360" i="1"/>
  <c r="E360" i="1"/>
  <c r="EA359" i="1"/>
  <c r="DZ359" i="1"/>
  <c r="DY359" i="1"/>
  <c r="DX359" i="1"/>
  <c r="DW359" i="1"/>
  <c r="DV359" i="1"/>
  <c r="DC359" i="1"/>
  <c r="CW359" i="1" s="1"/>
  <c r="DB359" i="1"/>
  <c r="CV359" i="1" s="1"/>
  <c r="DA359" i="1"/>
  <c r="CZ359" i="1"/>
  <c r="CY359" i="1"/>
  <c r="CS359" i="1" s="1"/>
  <c r="CX359" i="1"/>
  <c r="CR359" i="1" s="1"/>
  <c r="CU359" i="1"/>
  <c r="CT359" i="1"/>
  <c r="BZ359" i="1"/>
  <c r="CA359" i="1" s="1"/>
  <c r="CB359" i="1" s="1"/>
  <c r="BY359" i="1"/>
  <c r="BX359" i="1"/>
  <c r="BW359" i="1"/>
  <c r="BV359" i="1"/>
  <c r="BU359" i="1"/>
  <c r="BT359" i="1"/>
  <c r="BS359" i="1"/>
  <c r="AS359" i="1"/>
  <c r="AN359" i="1"/>
  <c r="AM359" i="1"/>
  <c r="AL359" i="1"/>
  <c r="AK359" i="1"/>
  <c r="AJ359" i="1"/>
  <c r="AI359" i="1"/>
  <c r="BC359" i="1" s="1"/>
  <c r="O359" i="1"/>
  <c r="D359" i="1" s="1"/>
  <c r="F359" i="1"/>
  <c r="E359" i="1"/>
  <c r="EA358" i="1"/>
  <c r="DZ358" i="1"/>
  <c r="DY358" i="1"/>
  <c r="DX358" i="1"/>
  <c r="DW358" i="1"/>
  <c r="DV358" i="1"/>
  <c r="DC358" i="1"/>
  <c r="DB358" i="1"/>
  <c r="DA358" i="1"/>
  <c r="CU358" i="1" s="1"/>
  <c r="CZ358" i="1"/>
  <c r="CT358" i="1" s="1"/>
  <c r="CY358" i="1"/>
  <c r="CX358" i="1"/>
  <c r="CW358" i="1"/>
  <c r="CV358" i="1"/>
  <c r="CS358" i="1"/>
  <c r="CR358" i="1"/>
  <c r="BZ358" i="1"/>
  <c r="CA358" i="1" s="1"/>
  <c r="CB358" i="1" s="1"/>
  <c r="BY358" i="1"/>
  <c r="BX358" i="1"/>
  <c r="BW358" i="1"/>
  <c r="BV358" i="1"/>
  <c r="BU358" i="1"/>
  <c r="CC358" i="1" s="1"/>
  <c r="BT358" i="1"/>
  <c r="BS358" i="1"/>
  <c r="AS358" i="1"/>
  <c r="AN358" i="1"/>
  <c r="AM358" i="1"/>
  <c r="AL358" i="1"/>
  <c r="AK358" i="1"/>
  <c r="AJ358" i="1"/>
  <c r="AI358" i="1"/>
  <c r="BC358" i="1" s="1"/>
  <c r="O358" i="1"/>
  <c r="F358" i="1"/>
  <c r="E358" i="1"/>
  <c r="D358" i="1"/>
  <c r="EA357" i="1"/>
  <c r="DZ357" i="1"/>
  <c r="DY357" i="1"/>
  <c r="DX357" i="1"/>
  <c r="DW357" i="1"/>
  <c r="DV357" i="1"/>
  <c r="DC357" i="1"/>
  <c r="CW357" i="1" s="1"/>
  <c r="DB357" i="1"/>
  <c r="CV357" i="1" s="1"/>
  <c r="DA357" i="1"/>
  <c r="CZ357" i="1"/>
  <c r="CY357" i="1"/>
  <c r="CS357" i="1" s="1"/>
  <c r="CX357" i="1"/>
  <c r="CR357" i="1" s="1"/>
  <c r="CU357" i="1"/>
  <c r="CT357" i="1"/>
  <c r="BZ357" i="1"/>
  <c r="CA357" i="1" s="1"/>
  <c r="CB357" i="1" s="1"/>
  <c r="BY357" i="1"/>
  <c r="BX357" i="1"/>
  <c r="BW357" i="1"/>
  <c r="BV357" i="1"/>
  <c r="BU357" i="1"/>
  <c r="BT357" i="1"/>
  <c r="BS357" i="1"/>
  <c r="AS357" i="1"/>
  <c r="AN357" i="1"/>
  <c r="AM357" i="1"/>
  <c r="AL357" i="1"/>
  <c r="AK357" i="1"/>
  <c r="AJ357" i="1"/>
  <c r="AI357" i="1"/>
  <c r="BC357" i="1" s="1"/>
  <c r="O357" i="1"/>
  <c r="D357" i="1" s="1"/>
  <c r="F357" i="1"/>
  <c r="E357" i="1"/>
  <c r="EA356" i="1"/>
  <c r="DZ356" i="1"/>
  <c r="DY356" i="1"/>
  <c r="DX356" i="1"/>
  <c r="DW356" i="1"/>
  <c r="DV356" i="1"/>
  <c r="DC356" i="1"/>
  <c r="DB356" i="1"/>
  <c r="DA356" i="1"/>
  <c r="CU356" i="1" s="1"/>
  <c r="CZ356" i="1"/>
  <c r="CT356" i="1" s="1"/>
  <c r="CY356" i="1"/>
  <c r="CX356" i="1"/>
  <c r="CW356" i="1"/>
  <c r="CV356" i="1"/>
  <c r="CS356" i="1"/>
  <c r="CR356" i="1"/>
  <c r="BZ356" i="1"/>
  <c r="CA356" i="1" s="1"/>
  <c r="CB356" i="1" s="1"/>
  <c r="BY356" i="1"/>
  <c r="BX356" i="1"/>
  <c r="BW356" i="1"/>
  <c r="BV356" i="1"/>
  <c r="BU356" i="1"/>
  <c r="BT356" i="1"/>
  <c r="BS356" i="1"/>
  <c r="AS356" i="1"/>
  <c r="AN356" i="1"/>
  <c r="AM356" i="1"/>
  <c r="AL356" i="1"/>
  <c r="AK356" i="1"/>
  <c r="AJ356" i="1"/>
  <c r="AI356" i="1"/>
  <c r="BC356" i="1" s="1"/>
  <c r="O356" i="1"/>
  <c r="F356" i="1"/>
  <c r="E356" i="1"/>
  <c r="D356" i="1"/>
  <c r="EA355" i="1"/>
  <c r="DZ355" i="1"/>
  <c r="DY355" i="1"/>
  <c r="DX355" i="1"/>
  <c r="DW355" i="1"/>
  <c r="DV355" i="1"/>
  <c r="DC355" i="1"/>
  <c r="CW355" i="1" s="1"/>
  <c r="DB355" i="1"/>
  <c r="CV355" i="1" s="1"/>
  <c r="DA355" i="1"/>
  <c r="CZ355" i="1"/>
  <c r="CY355" i="1"/>
  <c r="CS355" i="1" s="1"/>
  <c r="CX355" i="1"/>
  <c r="CR355" i="1" s="1"/>
  <c r="CU355" i="1"/>
  <c r="CT355" i="1"/>
  <c r="BZ355" i="1"/>
  <c r="CA355" i="1" s="1"/>
  <c r="CB355" i="1" s="1"/>
  <c r="BY355" i="1"/>
  <c r="BX355" i="1"/>
  <c r="BW355" i="1"/>
  <c r="BV355" i="1"/>
  <c r="BU355" i="1"/>
  <c r="CC355" i="1" s="1"/>
  <c r="BT355" i="1"/>
  <c r="BS355" i="1"/>
  <c r="BA355" i="1"/>
  <c r="BA356" i="1" s="1"/>
  <c r="BA357" i="1" s="1"/>
  <c r="BA358" i="1" s="1"/>
  <c r="BA359" i="1" s="1"/>
  <c r="BA360" i="1" s="1"/>
  <c r="BA361" i="1" s="1"/>
  <c r="BA362" i="1" s="1"/>
  <c r="BA363" i="1" s="1"/>
  <c r="BA364" i="1" s="1"/>
  <c r="BA365" i="1" s="1"/>
  <c r="BA366" i="1" s="1"/>
  <c r="BA367" i="1" s="1"/>
  <c r="BA368" i="1" s="1"/>
  <c r="BA369" i="1" s="1"/>
  <c r="BA370" i="1" s="1"/>
  <c r="BA371" i="1" s="1"/>
  <c r="BA372" i="1" s="1"/>
  <c r="BA373" i="1" s="1"/>
  <c r="BA374" i="1" s="1"/>
  <c r="BA375" i="1" s="1"/>
  <c r="BA376" i="1" s="1"/>
  <c r="BA377" i="1" s="1"/>
  <c r="BA378" i="1" s="1"/>
  <c r="BA379" i="1" s="1"/>
  <c r="BA380" i="1" s="1"/>
  <c r="BA381" i="1" s="1"/>
  <c r="BA382" i="1" s="1"/>
  <c r="BA383" i="1" s="1"/>
  <c r="BA384" i="1" s="1"/>
  <c r="BA385" i="1" s="1"/>
  <c r="BA386" i="1" s="1"/>
  <c r="BA387" i="1" s="1"/>
  <c r="BA388" i="1" s="1"/>
  <c r="BA389" i="1" s="1"/>
  <c r="BA390" i="1" s="1"/>
  <c r="BA391" i="1" s="1"/>
  <c r="BA392" i="1" s="1"/>
  <c r="BA393" i="1" s="1"/>
  <c r="BA394" i="1" s="1"/>
  <c r="BA395" i="1" s="1"/>
  <c r="BA396" i="1" s="1"/>
  <c r="BA397" i="1" s="1"/>
  <c r="BA398" i="1" s="1"/>
  <c r="BA399" i="1" s="1"/>
  <c r="BA400" i="1" s="1"/>
  <c r="BA401" i="1" s="1"/>
  <c r="BA402" i="1" s="1"/>
  <c r="BA403" i="1" s="1"/>
  <c r="BA404" i="1" s="1"/>
  <c r="BA405" i="1" s="1"/>
  <c r="BA406" i="1" s="1"/>
  <c r="BA407" i="1" s="1"/>
  <c r="BA408" i="1" s="1"/>
  <c r="BA409" i="1" s="1"/>
  <c r="BA410" i="1" s="1"/>
  <c r="BA411" i="1" s="1"/>
  <c r="BA412" i="1" s="1"/>
  <c r="BA413" i="1" s="1"/>
  <c r="BA414" i="1" s="1"/>
  <c r="BA415" i="1" s="1"/>
  <c r="BA416" i="1" s="1"/>
  <c r="BA417" i="1" s="1"/>
  <c r="BA418" i="1" s="1"/>
  <c r="BA419" i="1" s="1"/>
  <c r="BA420" i="1" s="1"/>
  <c r="BA421" i="1" s="1"/>
  <c r="BA422" i="1" s="1"/>
  <c r="BA423" i="1" s="1"/>
  <c r="BA424" i="1" s="1"/>
  <c r="BA425" i="1" s="1"/>
  <c r="BA426" i="1" s="1"/>
  <c r="BA427" i="1" s="1"/>
  <c r="BA428" i="1" s="1"/>
  <c r="BA429" i="1" s="1"/>
  <c r="BA430" i="1" s="1"/>
  <c r="BA431" i="1" s="1"/>
  <c r="BA432" i="1" s="1"/>
  <c r="BA433" i="1" s="1"/>
  <c r="BA434" i="1" s="1"/>
  <c r="BA435" i="1" s="1"/>
  <c r="BA436" i="1" s="1"/>
  <c r="BA437" i="1" s="1"/>
  <c r="BA438" i="1" s="1"/>
  <c r="BA439" i="1" s="1"/>
  <c r="BA440" i="1" s="1"/>
  <c r="BA441" i="1" s="1"/>
  <c r="BA442" i="1" s="1"/>
  <c r="BA443" i="1" s="1"/>
  <c r="BA444" i="1" s="1"/>
  <c r="BA445" i="1" s="1"/>
  <c r="BA446" i="1" s="1"/>
  <c r="BA447" i="1" s="1"/>
  <c r="BA448" i="1" s="1"/>
  <c r="BA449" i="1" s="1"/>
  <c r="BA450" i="1" s="1"/>
  <c r="BA451" i="1" s="1"/>
  <c r="BA452" i="1" s="1"/>
  <c r="AS355" i="1"/>
  <c r="AN355" i="1"/>
  <c r="AM355" i="1"/>
  <c r="AL355" i="1"/>
  <c r="AK355" i="1"/>
  <c r="AJ355" i="1"/>
  <c r="AI355" i="1"/>
  <c r="BC355" i="1" s="1"/>
  <c r="O355" i="1"/>
  <c r="D355" i="1" s="1"/>
  <c r="F355" i="1"/>
  <c r="E355" i="1"/>
  <c r="EA354" i="1"/>
  <c r="DZ354" i="1"/>
  <c r="DY354" i="1"/>
  <c r="DX354" i="1"/>
  <c r="DW354" i="1"/>
  <c r="DV354" i="1"/>
  <c r="DC354" i="1"/>
  <c r="DB354" i="1"/>
  <c r="DA354" i="1"/>
  <c r="CU354" i="1" s="1"/>
  <c r="CZ354" i="1"/>
  <c r="CT354" i="1" s="1"/>
  <c r="CY354" i="1"/>
  <c r="CX354" i="1"/>
  <c r="CW354" i="1"/>
  <c r="CV354" i="1"/>
  <c r="CS354" i="1"/>
  <c r="CR354" i="1"/>
  <c r="BZ354" i="1"/>
  <c r="CA354" i="1" s="1"/>
  <c r="CB354" i="1" s="1"/>
  <c r="BY354" i="1"/>
  <c r="BX354" i="1"/>
  <c r="BW354" i="1"/>
  <c r="BV354" i="1"/>
  <c r="BU354" i="1"/>
  <c r="BT354" i="1"/>
  <c r="BS354" i="1"/>
  <c r="BA354" i="1"/>
  <c r="AS354" i="1"/>
  <c r="AN354" i="1"/>
  <c r="AM354" i="1"/>
  <c r="AL354" i="1"/>
  <c r="AK354" i="1"/>
  <c r="AJ354" i="1"/>
  <c r="AI354" i="1"/>
  <c r="BC354" i="1" s="1"/>
  <c r="O354" i="1"/>
  <c r="D354" i="1" s="1"/>
  <c r="F354" i="1"/>
  <c r="E354" i="1"/>
  <c r="EA353" i="1"/>
  <c r="DZ353" i="1"/>
  <c r="DY353" i="1"/>
  <c r="DX353" i="1"/>
  <c r="DW353" i="1"/>
  <c r="DV353" i="1"/>
  <c r="DC353" i="1"/>
  <c r="CW353" i="1" s="1"/>
  <c r="DB353" i="1"/>
  <c r="CV353" i="1" s="1"/>
  <c r="DA353" i="1"/>
  <c r="CZ353" i="1"/>
  <c r="CY353" i="1"/>
  <c r="CS353" i="1" s="1"/>
  <c r="CX353" i="1"/>
  <c r="CR353" i="1" s="1"/>
  <c r="CU353" i="1"/>
  <c r="CT353" i="1"/>
  <c r="BZ353" i="1"/>
  <c r="CA353" i="1" s="1"/>
  <c r="CB353" i="1" s="1"/>
  <c r="BY353" i="1"/>
  <c r="BX353" i="1"/>
  <c r="BW353" i="1"/>
  <c r="BV353" i="1"/>
  <c r="BU353" i="1"/>
  <c r="BT353" i="1"/>
  <c r="BS353" i="1"/>
  <c r="AS353" i="1"/>
  <c r="AN353" i="1"/>
  <c r="AM353" i="1"/>
  <c r="AL353" i="1"/>
  <c r="AK353" i="1"/>
  <c r="AJ353" i="1"/>
  <c r="AI353" i="1"/>
  <c r="BC353" i="1" s="1"/>
  <c r="O353" i="1"/>
  <c r="F353" i="1"/>
  <c r="E353" i="1"/>
  <c r="D353" i="1"/>
  <c r="EA352" i="1"/>
  <c r="DZ352" i="1"/>
  <c r="DY352" i="1"/>
  <c r="DX352" i="1"/>
  <c r="DW352" i="1"/>
  <c r="DV352" i="1"/>
  <c r="DC352" i="1"/>
  <c r="CW352" i="1" s="1"/>
  <c r="DB352" i="1"/>
  <c r="DA352" i="1"/>
  <c r="CZ352" i="1"/>
  <c r="CT352" i="1" s="1"/>
  <c r="CY352" i="1"/>
  <c r="CS352" i="1" s="1"/>
  <c r="CX352" i="1"/>
  <c r="CV352" i="1"/>
  <c r="CU352" i="1"/>
  <c r="CR352" i="1"/>
  <c r="BZ352" i="1"/>
  <c r="CA352" i="1" s="1"/>
  <c r="BY352" i="1"/>
  <c r="BX352" i="1"/>
  <c r="BW352" i="1"/>
  <c r="BV352" i="1"/>
  <c r="BU352" i="1"/>
  <c r="CC352" i="1" s="1"/>
  <c r="BT352" i="1"/>
  <c r="BS352" i="1"/>
  <c r="AS352" i="1"/>
  <c r="AN352" i="1"/>
  <c r="AM352" i="1"/>
  <c r="AL352" i="1"/>
  <c r="AK352" i="1"/>
  <c r="AJ352" i="1"/>
  <c r="AI352" i="1"/>
  <c r="O352" i="1"/>
  <c r="D352" i="1" s="1"/>
  <c r="F352" i="1"/>
  <c r="E352" i="1"/>
  <c r="EA351" i="1"/>
  <c r="DZ351" i="1"/>
  <c r="DY351" i="1"/>
  <c r="DX351" i="1"/>
  <c r="DW351" i="1"/>
  <c r="DV351" i="1"/>
  <c r="DC351" i="1"/>
  <c r="DB351" i="1"/>
  <c r="CV351" i="1" s="1"/>
  <c r="DA351" i="1"/>
  <c r="CU351" i="1" s="1"/>
  <c r="CZ351" i="1"/>
  <c r="CY351" i="1"/>
  <c r="CX351" i="1"/>
  <c r="CR351" i="1" s="1"/>
  <c r="CW351" i="1"/>
  <c r="CT351" i="1"/>
  <c r="CS351" i="1"/>
  <c r="CA351" i="1"/>
  <c r="CB351" i="1" s="1"/>
  <c r="BZ351" i="1"/>
  <c r="BY351" i="1"/>
  <c r="BX351" i="1"/>
  <c r="BW351" i="1"/>
  <c r="BV351" i="1"/>
  <c r="BU351" i="1"/>
  <c r="CC351" i="1" s="1"/>
  <c r="BT351" i="1"/>
  <c r="BS351" i="1"/>
  <c r="AS351" i="1"/>
  <c r="AN351" i="1"/>
  <c r="AM351" i="1"/>
  <c r="AL351" i="1"/>
  <c r="AK351" i="1"/>
  <c r="AJ351" i="1"/>
  <c r="AI351" i="1"/>
  <c r="BC351" i="1" s="1"/>
  <c r="O351" i="1"/>
  <c r="D351" i="1" s="1"/>
  <c r="F351" i="1"/>
  <c r="E351" i="1"/>
  <c r="EA350" i="1"/>
  <c r="DZ350" i="1"/>
  <c r="DY350" i="1"/>
  <c r="DX350" i="1"/>
  <c r="DW350" i="1"/>
  <c r="DV350" i="1"/>
  <c r="DC350" i="1"/>
  <c r="CW350" i="1" s="1"/>
  <c r="DB350" i="1"/>
  <c r="DA350" i="1"/>
  <c r="CZ350" i="1"/>
  <c r="CT350" i="1" s="1"/>
  <c r="CY350" i="1"/>
  <c r="CS350" i="1" s="1"/>
  <c r="CX350" i="1"/>
  <c r="CV350" i="1"/>
  <c r="CU350" i="1"/>
  <c r="CR350" i="1"/>
  <c r="BZ350" i="1"/>
  <c r="CA350" i="1" s="1"/>
  <c r="BY350" i="1"/>
  <c r="BX350" i="1"/>
  <c r="BW350" i="1"/>
  <c r="BV350" i="1"/>
  <c r="BU350" i="1"/>
  <c r="BT350" i="1"/>
  <c r="BS350" i="1"/>
  <c r="AS350" i="1"/>
  <c r="AN350" i="1"/>
  <c r="AM350" i="1"/>
  <c r="AL350" i="1"/>
  <c r="AK350" i="1"/>
  <c r="AJ350" i="1"/>
  <c r="AI350" i="1"/>
  <c r="O350" i="1"/>
  <c r="D350" i="1" s="1"/>
  <c r="F350" i="1"/>
  <c r="E350" i="1"/>
  <c r="EA349" i="1"/>
  <c r="DZ349" i="1"/>
  <c r="DY349" i="1"/>
  <c r="DX349" i="1"/>
  <c r="DW349" i="1"/>
  <c r="DV349" i="1"/>
  <c r="DC349" i="1"/>
  <c r="DB349" i="1"/>
  <c r="CV349" i="1" s="1"/>
  <c r="DA349" i="1"/>
  <c r="CU349" i="1" s="1"/>
  <c r="CZ349" i="1"/>
  <c r="CY349" i="1"/>
  <c r="CX349" i="1"/>
  <c r="CR349" i="1" s="1"/>
  <c r="CW349" i="1"/>
  <c r="CT349" i="1"/>
  <c r="CS349" i="1"/>
  <c r="CA349" i="1"/>
  <c r="CB349" i="1" s="1"/>
  <c r="BZ349" i="1"/>
  <c r="BY349" i="1"/>
  <c r="BX349" i="1"/>
  <c r="BW349" i="1"/>
  <c r="BV349" i="1"/>
  <c r="BU349" i="1"/>
  <c r="CC349" i="1" s="1"/>
  <c r="BT349" i="1"/>
  <c r="BS349" i="1"/>
  <c r="AS349" i="1"/>
  <c r="AN349" i="1"/>
  <c r="AM349" i="1"/>
  <c r="AL349" i="1"/>
  <c r="AK349" i="1"/>
  <c r="AJ349" i="1"/>
  <c r="AI349" i="1"/>
  <c r="BC349" i="1" s="1"/>
  <c r="O349" i="1"/>
  <c r="D349" i="1" s="1"/>
  <c r="F349" i="1"/>
  <c r="E349" i="1"/>
  <c r="EA348" i="1"/>
  <c r="DZ348" i="1"/>
  <c r="DY348" i="1"/>
  <c r="DX348" i="1"/>
  <c r="DW348" i="1"/>
  <c r="DV348" i="1"/>
  <c r="DC348" i="1"/>
  <c r="CW348" i="1" s="1"/>
  <c r="DB348" i="1"/>
  <c r="DA348" i="1"/>
  <c r="CZ348" i="1"/>
  <c r="CT348" i="1" s="1"/>
  <c r="CY348" i="1"/>
  <c r="CS348" i="1" s="1"/>
  <c r="CX348" i="1"/>
  <c r="CV348" i="1"/>
  <c r="CU348" i="1"/>
  <c r="CR348" i="1"/>
  <c r="BZ348" i="1"/>
  <c r="CA348" i="1" s="1"/>
  <c r="BY348" i="1"/>
  <c r="BX348" i="1"/>
  <c r="BW348" i="1"/>
  <c r="BV348" i="1"/>
  <c r="BU348" i="1"/>
  <c r="CC348" i="1" s="1"/>
  <c r="BT348" i="1"/>
  <c r="BS348" i="1"/>
  <c r="AS348" i="1"/>
  <c r="AN348" i="1"/>
  <c r="AM348" i="1"/>
  <c r="AL348" i="1"/>
  <c r="AK348" i="1"/>
  <c r="AJ348" i="1"/>
  <c r="AI348" i="1"/>
  <c r="O348" i="1"/>
  <c r="D348" i="1" s="1"/>
  <c r="F348" i="1"/>
  <c r="E348" i="1"/>
  <c r="EA347" i="1"/>
  <c r="DZ347" i="1"/>
  <c r="DY347" i="1"/>
  <c r="DX347" i="1"/>
  <c r="DW347" i="1"/>
  <c r="DV347" i="1"/>
  <c r="DC347" i="1"/>
  <c r="DB347" i="1"/>
  <c r="CV347" i="1" s="1"/>
  <c r="DA347" i="1"/>
  <c r="CU347" i="1" s="1"/>
  <c r="CZ347" i="1"/>
  <c r="CY347" i="1"/>
  <c r="CX347" i="1"/>
  <c r="CR347" i="1" s="1"/>
  <c r="CW347" i="1"/>
  <c r="CT347" i="1"/>
  <c r="CS347" i="1"/>
  <c r="CA347" i="1"/>
  <c r="CB347" i="1" s="1"/>
  <c r="BZ347" i="1"/>
  <c r="BY347" i="1"/>
  <c r="BX347" i="1"/>
  <c r="BW347" i="1"/>
  <c r="BV347" i="1"/>
  <c r="BU347" i="1"/>
  <c r="CC347" i="1" s="1"/>
  <c r="BT347" i="1"/>
  <c r="BS347" i="1"/>
  <c r="AS347" i="1"/>
  <c r="AN347" i="1"/>
  <c r="AM347" i="1"/>
  <c r="AL347" i="1"/>
  <c r="AK347" i="1"/>
  <c r="AJ347" i="1"/>
  <c r="AI347" i="1"/>
  <c r="BC347" i="1" s="1"/>
  <c r="O347" i="1"/>
  <c r="D347" i="1" s="1"/>
  <c r="F347" i="1"/>
  <c r="E347" i="1"/>
  <c r="EA346" i="1"/>
  <c r="DZ346" i="1"/>
  <c r="DY346" i="1"/>
  <c r="DX346" i="1"/>
  <c r="DW346" i="1"/>
  <c r="DV346" i="1"/>
  <c r="DC346" i="1"/>
  <c r="CW346" i="1" s="1"/>
  <c r="DB346" i="1"/>
  <c r="DA346" i="1"/>
  <c r="CZ346" i="1"/>
  <c r="CT346" i="1" s="1"/>
  <c r="CY346" i="1"/>
  <c r="CS346" i="1" s="1"/>
  <c r="CX346" i="1"/>
  <c r="CV346" i="1"/>
  <c r="CU346" i="1"/>
  <c r="CR346" i="1"/>
  <c r="BZ346" i="1"/>
  <c r="CA346" i="1" s="1"/>
  <c r="BY346" i="1"/>
  <c r="BX346" i="1"/>
  <c r="BW346" i="1"/>
  <c r="BV346" i="1"/>
  <c r="BU346" i="1"/>
  <c r="BT346" i="1"/>
  <c r="BS346" i="1"/>
  <c r="AS346" i="1"/>
  <c r="AN346" i="1"/>
  <c r="AM346" i="1"/>
  <c r="AL346" i="1"/>
  <c r="AK346" i="1"/>
  <c r="AJ346" i="1"/>
  <c r="AI346" i="1"/>
  <c r="O346" i="1"/>
  <c r="D346" i="1" s="1"/>
  <c r="F346" i="1"/>
  <c r="E346" i="1"/>
  <c r="EA345" i="1"/>
  <c r="DZ345" i="1"/>
  <c r="DY345" i="1"/>
  <c r="DX345" i="1"/>
  <c r="DW345" i="1"/>
  <c r="DV345" i="1"/>
  <c r="DC345" i="1"/>
  <c r="DB345" i="1"/>
  <c r="CV345" i="1" s="1"/>
  <c r="DA345" i="1"/>
  <c r="CU345" i="1" s="1"/>
  <c r="CZ345" i="1"/>
  <c r="CY345" i="1"/>
  <c r="CX345" i="1"/>
  <c r="CR345" i="1" s="1"/>
  <c r="CW345" i="1"/>
  <c r="CT345" i="1"/>
  <c r="CS345" i="1"/>
  <c r="CA345" i="1"/>
  <c r="CB345" i="1" s="1"/>
  <c r="BZ345" i="1"/>
  <c r="BY345" i="1"/>
  <c r="BX345" i="1"/>
  <c r="BW345" i="1"/>
  <c r="BV345" i="1"/>
  <c r="BU345" i="1"/>
  <c r="CC345" i="1" s="1"/>
  <c r="BT345" i="1"/>
  <c r="BS345" i="1"/>
  <c r="AS345" i="1"/>
  <c r="AN345" i="1"/>
  <c r="AM345" i="1"/>
  <c r="AL345" i="1"/>
  <c r="AK345" i="1"/>
  <c r="AJ345" i="1"/>
  <c r="AI345" i="1"/>
  <c r="BC345" i="1" s="1"/>
  <c r="O345" i="1"/>
  <c r="D345" i="1" s="1"/>
  <c r="F345" i="1"/>
  <c r="E345" i="1"/>
  <c r="EA344" i="1"/>
  <c r="DZ344" i="1"/>
  <c r="DY344" i="1"/>
  <c r="DX344" i="1"/>
  <c r="DW344" i="1"/>
  <c r="DV344" i="1"/>
  <c r="DC344" i="1"/>
  <c r="CW344" i="1" s="1"/>
  <c r="DB344" i="1"/>
  <c r="DA344" i="1"/>
  <c r="CZ344" i="1"/>
  <c r="CT344" i="1" s="1"/>
  <c r="CY344" i="1"/>
  <c r="CS344" i="1" s="1"/>
  <c r="CX344" i="1"/>
  <c r="CV344" i="1"/>
  <c r="CU344" i="1"/>
  <c r="CR344" i="1"/>
  <c r="BZ344" i="1"/>
  <c r="CA344" i="1" s="1"/>
  <c r="BY344" i="1"/>
  <c r="BX344" i="1"/>
  <c r="BW344" i="1"/>
  <c r="BV344" i="1"/>
  <c r="BU344" i="1"/>
  <c r="CC344" i="1" s="1"/>
  <c r="BT344" i="1"/>
  <c r="BS344" i="1"/>
  <c r="AS344" i="1"/>
  <c r="AN344" i="1"/>
  <c r="AM344" i="1"/>
  <c r="AL344" i="1"/>
  <c r="AK344" i="1"/>
  <c r="AJ344" i="1"/>
  <c r="AI344" i="1"/>
  <c r="O344" i="1"/>
  <c r="D344" i="1" s="1"/>
  <c r="F344" i="1"/>
  <c r="E344" i="1"/>
  <c r="EA343" i="1"/>
  <c r="DZ343" i="1"/>
  <c r="DY343" i="1"/>
  <c r="DX343" i="1"/>
  <c r="DW343" i="1"/>
  <c r="DV343" i="1"/>
  <c r="DC343" i="1"/>
  <c r="DB343" i="1"/>
  <c r="CV343" i="1" s="1"/>
  <c r="DA343" i="1"/>
  <c r="CU343" i="1" s="1"/>
  <c r="CZ343" i="1"/>
  <c r="CY343" i="1"/>
  <c r="CX343" i="1"/>
  <c r="CR343" i="1" s="1"/>
  <c r="CW343" i="1"/>
  <c r="CT343" i="1"/>
  <c r="CS343" i="1"/>
  <c r="CA343" i="1"/>
  <c r="CB343" i="1" s="1"/>
  <c r="BZ343" i="1"/>
  <c r="BY343" i="1"/>
  <c r="BX343" i="1"/>
  <c r="BW343" i="1"/>
  <c r="BV343" i="1"/>
  <c r="BU343" i="1"/>
  <c r="CC343" i="1" s="1"/>
  <c r="BT343" i="1"/>
  <c r="BS343" i="1"/>
  <c r="AS343" i="1"/>
  <c r="AN343" i="1"/>
  <c r="AM343" i="1"/>
  <c r="AL343" i="1"/>
  <c r="AK343" i="1"/>
  <c r="AJ343" i="1"/>
  <c r="AI343" i="1"/>
  <c r="BC343" i="1" s="1"/>
  <c r="O343" i="1"/>
  <c r="D343" i="1" s="1"/>
  <c r="F343" i="1"/>
  <c r="E343" i="1"/>
  <c r="EA342" i="1"/>
  <c r="DZ342" i="1"/>
  <c r="DY342" i="1"/>
  <c r="DX342" i="1"/>
  <c r="DW342" i="1"/>
  <c r="DV342" i="1"/>
  <c r="DC342" i="1"/>
  <c r="CW342" i="1" s="1"/>
  <c r="DB342" i="1"/>
  <c r="DA342" i="1"/>
  <c r="CZ342" i="1"/>
  <c r="CT342" i="1" s="1"/>
  <c r="CY342" i="1"/>
  <c r="CS342" i="1" s="1"/>
  <c r="CX342" i="1"/>
  <c r="CV342" i="1"/>
  <c r="CU342" i="1"/>
  <c r="CR342" i="1"/>
  <c r="BZ342" i="1"/>
  <c r="CA342" i="1" s="1"/>
  <c r="BY342" i="1"/>
  <c r="BX342" i="1"/>
  <c r="BW342" i="1"/>
  <c r="BV342" i="1"/>
  <c r="BU342" i="1"/>
  <c r="BT342" i="1"/>
  <c r="BS342" i="1"/>
  <c r="AS342" i="1"/>
  <c r="AN342" i="1"/>
  <c r="AM342" i="1"/>
  <c r="AL342" i="1"/>
  <c r="AK342" i="1"/>
  <c r="AJ342" i="1"/>
  <c r="AI342" i="1"/>
  <c r="O342" i="1"/>
  <c r="D342" i="1" s="1"/>
  <c r="F342" i="1"/>
  <c r="E342" i="1"/>
  <c r="EA341" i="1"/>
  <c r="DZ341" i="1"/>
  <c r="DY341" i="1"/>
  <c r="DX341" i="1"/>
  <c r="DW341" i="1"/>
  <c r="DV341" i="1"/>
  <c r="DC341" i="1"/>
  <c r="DB341" i="1"/>
  <c r="CV341" i="1" s="1"/>
  <c r="DA341" i="1"/>
  <c r="CU341" i="1" s="1"/>
  <c r="CZ341" i="1"/>
  <c r="CY341" i="1"/>
  <c r="CX341" i="1"/>
  <c r="CR341" i="1" s="1"/>
  <c r="CW341" i="1"/>
  <c r="CT341" i="1"/>
  <c r="CS341" i="1"/>
  <c r="CA341" i="1"/>
  <c r="CB341" i="1" s="1"/>
  <c r="BZ341" i="1"/>
  <c r="BY341" i="1"/>
  <c r="BX341" i="1"/>
  <c r="BW341" i="1"/>
  <c r="BV341" i="1"/>
  <c r="BU341" i="1"/>
  <c r="CC341" i="1" s="1"/>
  <c r="BT341" i="1"/>
  <c r="BS341" i="1"/>
  <c r="AS341" i="1"/>
  <c r="AN341" i="1"/>
  <c r="AM341" i="1"/>
  <c r="AL341" i="1"/>
  <c r="AK341" i="1"/>
  <c r="AJ341" i="1"/>
  <c r="AI341" i="1"/>
  <c r="BC341" i="1" s="1"/>
  <c r="O341" i="1"/>
  <c r="D341" i="1" s="1"/>
  <c r="F341" i="1"/>
  <c r="E341" i="1"/>
  <c r="EA340" i="1"/>
  <c r="DZ340" i="1"/>
  <c r="DY340" i="1"/>
  <c r="DX340" i="1"/>
  <c r="DW340" i="1"/>
  <c r="DV340" i="1"/>
  <c r="DC340" i="1"/>
  <c r="CW340" i="1" s="1"/>
  <c r="DB340" i="1"/>
  <c r="DA340" i="1"/>
  <c r="CZ340" i="1"/>
  <c r="CT340" i="1" s="1"/>
  <c r="CY340" i="1"/>
  <c r="CS340" i="1" s="1"/>
  <c r="CX340" i="1"/>
  <c r="CV340" i="1"/>
  <c r="CU340" i="1"/>
  <c r="CR340" i="1"/>
  <c r="BZ340" i="1"/>
  <c r="CA340" i="1" s="1"/>
  <c r="BY340" i="1"/>
  <c r="BX340" i="1"/>
  <c r="BW340" i="1"/>
  <c r="BV340" i="1"/>
  <c r="BU340" i="1"/>
  <c r="CC340" i="1" s="1"/>
  <c r="BT340" i="1"/>
  <c r="BS340" i="1"/>
  <c r="AS340" i="1"/>
  <c r="AN340" i="1"/>
  <c r="AM340" i="1"/>
  <c r="AL340" i="1"/>
  <c r="AK340" i="1"/>
  <c r="AJ340" i="1"/>
  <c r="AI340" i="1"/>
  <c r="O340" i="1"/>
  <c r="D340" i="1" s="1"/>
  <c r="F340" i="1"/>
  <c r="E340" i="1"/>
  <c r="EA339" i="1"/>
  <c r="DZ339" i="1"/>
  <c r="DY339" i="1"/>
  <c r="DX339" i="1"/>
  <c r="DW339" i="1"/>
  <c r="DV339" i="1"/>
  <c r="DC339" i="1"/>
  <c r="DB339" i="1"/>
  <c r="CV339" i="1" s="1"/>
  <c r="DA339" i="1"/>
  <c r="CU339" i="1" s="1"/>
  <c r="CZ339" i="1"/>
  <c r="CY339" i="1"/>
  <c r="CX339" i="1"/>
  <c r="CR339" i="1" s="1"/>
  <c r="CW339" i="1"/>
  <c r="CT339" i="1"/>
  <c r="CS339" i="1"/>
  <c r="CA339" i="1"/>
  <c r="CB339" i="1" s="1"/>
  <c r="BZ339" i="1"/>
  <c r="BY339" i="1"/>
  <c r="BX339" i="1"/>
  <c r="BW339" i="1"/>
  <c r="BV339" i="1"/>
  <c r="BU339" i="1"/>
  <c r="CC339" i="1" s="1"/>
  <c r="BT339" i="1"/>
  <c r="BS339" i="1"/>
  <c r="AS339" i="1"/>
  <c r="AN339" i="1"/>
  <c r="AM339" i="1"/>
  <c r="AL339" i="1"/>
  <c r="AK339" i="1"/>
  <c r="AJ339" i="1"/>
  <c r="AI339" i="1"/>
  <c r="BC339" i="1" s="1"/>
  <c r="O339" i="1"/>
  <c r="D339" i="1" s="1"/>
  <c r="F339" i="1"/>
  <c r="E339" i="1"/>
  <c r="EA338" i="1"/>
  <c r="DZ338" i="1"/>
  <c r="DY338" i="1"/>
  <c r="DX338" i="1"/>
  <c r="DW338" i="1"/>
  <c r="DV338" i="1"/>
  <c r="DC338" i="1"/>
  <c r="CW338" i="1" s="1"/>
  <c r="DB338" i="1"/>
  <c r="DA338" i="1"/>
  <c r="CZ338" i="1"/>
  <c r="CT338" i="1" s="1"/>
  <c r="CY338" i="1"/>
  <c r="CS338" i="1" s="1"/>
  <c r="CX338" i="1"/>
  <c r="CV338" i="1"/>
  <c r="CU338" i="1"/>
  <c r="CR338" i="1"/>
  <c r="BZ338" i="1"/>
  <c r="CA338" i="1" s="1"/>
  <c r="BY338" i="1"/>
  <c r="BX338" i="1"/>
  <c r="BW338" i="1"/>
  <c r="BV338" i="1"/>
  <c r="BU338" i="1"/>
  <c r="BT338" i="1"/>
  <c r="BS338" i="1"/>
  <c r="AS338" i="1"/>
  <c r="AN338" i="1"/>
  <c r="AM338" i="1"/>
  <c r="AL338" i="1"/>
  <c r="AK338" i="1"/>
  <c r="AJ338" i="1"/>
  <c r="AI338" i="1"/>
  <c r="O338" i="1"/>
  <c r="D338" i="1" s="1"/>
  <c r="F338" i="1"/>
  <c r="E338" i="1"/>
  <c r="EA337" i="1"/>
  <c r="DZ337" i="1"/>
  <c r="DY337" i="1"/>
  <c r="DX337" i="1"/>
  <c r="DW337" i="1"/>
  <c r="DV337" i="1"/>
  <c r="DC337" i="1"/>
  <c r="DB337" i="1"/>
  <c r="CV337" i="1" s="1"/>
  <c r="DA337" i="1"/>
  <c r="CU337" i="1" s="1"/>
  <c r="CZ337" i="1"/>
  <c r="CY337" i="1"/>
  <c r="CX337" i="1"/>
  <c r="CR337" i="1" s="1"/>
  <c r="CW337" i="1"/>
  <c r="CT337" i="1"/>
  <c r="CS337" i="1"/>
  <c r="CA337" i="1"/>
  <c r="CB337" i="1" s="1"/>
  <c r="BZ337" i="1"/>
  <c r="BY337" i="1"/>
  <c r="BX337" i="1"/>
  <c r="BW337" i="1"/>
  <c r="BV337" i="1"/>
  <c r="BU337" i="1"/>
  <c r="CC337" i="1" s="1"/>
  <c r="BT337" i="1"/>
  <c r="BS337" i="1"/>
  <c r="AS337" i="1"/>
  <c r="AN337" i="1"/>
  <c r="AM337" i="1"/>
  <c r="AL337" i="1"/>
  <c r="AK337" i="1"/>
  <c r="AJ337" i="1"/>
  <c r="AI337" i="1"/>
  <c r="BC337" i="1" s="1"/>
  <c r="O337" i="1"/>
  <c r="D337" i="1" s="1"/>
  <c r="F337" i="1"/>
  <c r="E337" i="1"/>
  <c r="EA336" i="1"/>
  <c r="DZ336" i="1"/>
  <c r="DY336" i="1"/>
  <c r="DX336" i="1"/>
  <c r="DW336" i="1"/>
  <c r="DV336" i="1"/>
  <c r="DC336" i="1"/>
  <c r="CW336" i="1" s="1"/>
  <c r="DB336" i="1"/>
  <c r="DA336" i="1"/>
  <c r="CZ336" i="1"/>
  <c r="CT336" i="1" s="1"/>
  <c r="CY336" i="1"/>
  <c r="CS336" i="1" s="1"/>
  <c r="CX336" i="1"/>
  <c r="CV336" i="1"/>
  <c r="CU336" i="1"/>
  <c r="CR336" i="1"/>
  <c r="BZ336" i="1"/>
  <c r="CA336" i="1" s="1"/>
  <c r="BY336" i="1"/>
  <c r="BX336" i="1"/>
  <c r="BW336" i="1"/>
  <c r="BV336" i="1"/>
  <c r="BU336" i="1"/>
  <c r="CC336" i="1" s="1"/>
  <c r="BT336" i="1"/>
  <c r="BS336" i="1"/>
  <c r="AS336" i="1"/>
  <c r="AN336" i="1"/>
  <c r="AM336" i="1"/>
  <c r="AL336" i="1"/>
  <c r="AK336" i="1"/>
  <c r="AJ336" i="1"/>
  <c r="AI336" i="1"/>
  <c r="O336" i="1"/>
  <c r="D336" i="1" s="1"/>
  <c r="F336" i="1"/>
  <c r="E336" i="1"/>
  <c r="EA335" i="1"/>
  <c r="DZ335" i="1"/>
  <c r="DY335" i="1"/>
  <c r="DX335" i="1"/>
  <c r="DW335" i="1"/>
  <c r="DV335" i="1"/>
  <c r="DC335" i="1"/>
  <c r="DB335" i="1"/>
  <c r="CV335" i="1" s="1"/>
  <c r="DA335" i="1"/>
  <c r="CU335" i="1" s="1"/>
  <c r="CZ335" i="1"/>
  <c r="CY335" i="1"/>
  <c r="CX335" i="1"/>
  <c r="CR335" i="1" s="1"/>
  <c r="CW335" i="1"/>
  <c r="CT335" i="1"/>
  <c r="CS335" i="1"/>
  <c r="CA335" i="1"/>
  <c r="CB335" i="1" s="1"/>
  <c r="BZ335" i="1"/>
  <c r="BY335" i="1"/>
  <c r="BX335" i="1"/>
  <c r="BW335" i="1"/>
  <c r="BV335" i="1"/>
  <c r="BU335" i="1"/>
  <c r="CC335" i="1" s="1"/>
  <c r="BT335" i="1"/>
  <c r="BS335" i="1"/>
  <c r="AS335" i="1"/>
  <c r="AN335" i="1"/>
  <c r="AM335" i="1"/>
  <c r="AL335" i="1"/>
  <c r="AK335" i="1"/>
  <c r="AJ335" i="1"/>
  <c r="AI335" i="1"/>
  <c r="BC335" i="1" s="1"/>
  <c r="O335" i="1"/>
  <c r="D335" i="1" s="1"/>
  <c r="F335" i="1"/>
  <c r="E335" i="1"/>
  <c r="EA334" i="1"/>
  <c r="DZ334" i="1"/>
  <c r="DY334" i="1"/>
  <c r="DX334" i="1"/>
  <c r="DW334" i="1"/>
  <c r="DV334" i="1"/>
  <c r="DC334" i="1"/>
  <c r="CW334" i="1" s="1"/>
  <c r="DB334" i="1"/>
  <c r="DA334" i="1"/>
  <c r="CZ334" i="1"/>
  <c r="CT334" i="1" s="1"/>
  <c r="CY334" i="1"/>
  <c r="CS334" i="1" s="1"/>
  <c r="CX334" i="1"/>
  <c r="CV334" i="1"/>
  <c r="CU334" i="1"/>
  <c r="CR334" i="1"/>
  <c r="BZ334" i="1"/>
  <c r="CA334" i="1" s="1"/>
  <c r="BY334" i="1"/>
  <c r="BX334" i="1"/>
  <c r="BW334" i="1"/>
  <c r="BV334" i="1"/>
  <c r="BU334" i="1"/>
  <c r="BT334" i="1"/>
  <c r="BS334" i="1"/>
  <c r="AS334" i="1"/>
  <c r="AN334" i="1"/>
  <c r="AM334" i="1"/>
  <c r="AL334" i="1"/>
  <c r="AK334" i="1"/>
  <c r="AJ334" i="1"/>
  <c r="AI334" i="1"/>
  <c r="O334" i="1"/>
  <c r="D334" i="1" s="1"/>
  <c r="F334" i="1"/>
  <c r="E334" i="1"/>
  <c r="EA333" i="1"/>
  <c r="DZ333" i="1"/>
  <c r="DY333" i="1"/>
  <c r="DX333" i="1"/>
  <c r="DW333" i="1"/>
  <c r="DV333" i="1"/>
  <c r="DC333" i="1"/>
  <c r="DB333" i="1"/>
  <c r="CV333" i="1" s="1"/>
  <c r="DA333" i="1"/>
  <c r="CU333" i="1" s="1"/>
  <c r="CZ333" i="1"/>
  <c r="CY333" i="1"/>
  <c r="CX333" i="1"/>
  <c r="CR333" i="1" s="1"/>
  <c r="CW333" i="1"/>
  <c r="CT333" i="1"/>
  <c r="CS333" i="1"/>
  <c r="CA333" i="1"/>
  <c r="CB333" i="1" s="1"/>
  <c r="BZ333" i="1"/>
  <c r="BY333" i="1"/>
  <c r="BX333" i="1"/>
  <c r="BW333" i="1"/>
  <c r="BV333" i="1"/>
  <c r="BU333" i="1"/>
  <c r="CC333" i="1" s="1"/>
  <c r="BT333" i="1"/>
  <c r="BS333" i="1"/>
  <c r="AS333" i="1"/>
  <c r="AN333" i="1"/>
  <c r="AM333" i="1"/>
  <c r="AL333" i="1"/>
  <c r="AK333" i="1"/>
  <c r="AJ333" i="1"/>
  <c r="AI333" i="1"/>
  <c r="BC333" i="1" s="1"/>
  <c r="O333" i="1"/>
  <c r="D333" i="1" s="1"/>
  <c r="F333" i="1"/>
  <c r="E333" i="1"/>
  <c r="EA332" i="1"/>
  <c r="DZ332" i="1"/>
  <c r="DY332" i="1"/>
  <c r="DX332" i="1"/>
  <c r="DW332" i="1"/>
  <c r="DV332" i="1"/>
  <c r="DC332" i="1"/>
  <c r="CW332" i="1" s="1"/>
  <c r="DB332" i="1"/>
  <c r="DA332" i="1"/>
  <c r="CZ332" i="1"/>
  <c r="CT332" i="1" s="1"/>
  <c r="CY332" i="1"/>
  <c r="CS332" i="1" s="1"/>
  <c r="CX332" i="1"/>
  <c r="CV332" i="1"/>
  <c r="CU332" i="1"/>
  <c r="CR332" i="1"/>
  <c r="BZ332" i="1"/>
  <c r="CA332" i="1" s="1"/>
  <c r="BY332" i="1"/>
  <c r="BX332" i="1"/>
  <c r="BW332" i="1"/>
  <c r="BV332" i="1"/>
  <c r="BU332" i="1"/>
  <c r="CC332" i="1" s="1"/>
  <c r="BT332" i="1"/>
  <c r="BS332" i="1"/>
  <c r="AS332" i="1"/>
  <c r="AN332" i="1"/>
  <c r="AM332" i="1"/>
  <c r="AL332" i="1"/>
  <c r="AK332" i="1"/>
  <c r="AJ332" i="1"/>
  <c r="AI332" i="1"/>
  <c r="O332" i="1"/>
  <c r="D332" i="1" s="1"/>
  <c r="F332" i="1"/>
  <c r="E332" i="1"/>
  <c r="EA331" i="1"/>
  <c r="DZ331" i="1"/>
  <c r="DY331" i="1"/>
  <c r="DX331" i="1"/>
  <c r="DW331" i="1"/>
  <c r="DV331" i="1"/>
  <c r="DC331" i="1"/>
  <c r="DB331" i="1"/>
  <c r="CV331" i="1" s="1"/>
  <c r="DA331" i="1"/>
  <c r="CU331" i="1" s="1"/>
  <c r="CZ331" i="1"/>
  <c r="CY331" i="1"/>
  <c r="CX331" i="1"/>
  <c r="CR331" i="1" s="1"/>
  <c r="CW331" i="1"/>
  <c r="CT331" i="1"/>
  <c r="CS331" i="1"/>
  <c r="CA331" i="1"/>
  <c r="CB331" i="1" s="1"/>
  <c r="BZ331" i="1"/>
  <c r="BY331" i="1"/>
  <c r="BX331" i="1"/>
  <c r="BW331" i="1"/>
  <c r="BV331" i="1"/>
  <c r="BU331" i="1"/>
  <c r="CC331" i="1" s="1"/>
  <c r="BT331" i="1"/>
  <c r="BS331" i="1"/>
  <c r="AS331" i="1"/>
  <c r="AN331" i="1"/>
  <c r="AM331" i="1"/>
  <c r="AL331" i="1"/>
  <c r="AK331" i="1"/>
  <c r="AJ331" i="1"/>
  <c r="AI331" i="1"/>
  <c r="BC331" i="1" s="1"/>
  <c r="O331" i="1"/>
  <c r="D331" i="1" s="1"/>
  <c r="F331" i="1"/>
  <c r="E331" i="1"/>
  <c r="EA330" i="1"/>
  <c r="DZ330" i="1"/>
  <c r="DY330" i="1"/>
  <c r="DX330" i="1"/>
  <c r="DW330" i="1"/>
  <c r="DV330" i="1"/>
  <c r="DC330" i="1"/>
  <c r="CW330" i="1" s="1"/>
  <c r="DB330" i="1"/>
  <c r="DA330" i="1"/>
  <c r="CZ330" i="1"/>
  <c r="CT330" i="1" s="1"/>
  <c r="CY330" i="1"/>
  <c r="CS330" i="1" s="1"/>
  <c r="CX330" i="1"/>
  <c r="CV330" i="1"/>
  <c r="CU330" i="1"/>
  <c r="CR330" i="1"/>
  <c r="BZ330" i="1"/>
  <c r="CA330" i="1" s="1"/>
  <c r="BY330" i="1"/>
  <c r="BX330" i="1"/>
  <c r="BW330" i="1"/>
  <c r="BV330" i="1"/>
  <c r="BU330" i="1"/>
  <c r="BT330" i="1"/>
  <c r="BS330" i="1"/>
  <c r="AS330" i="1"/>
  <c r="AN330" i="1"/>
  <c r="AM330" i="1"/>
  <c r="AL330" i="1"/>
  <c r="AK330" i="1"/>
  <c r="AJ330" i="1"/>
  <c r="AI330" i="1"/>
  <c r="O330" i="1"/>
  <c r="D330" i="1" s="1"/>
  <c r="F330" i="1"/>
  <c r="E330" i="1"/>
  <c r="EA329" i="1"/>
  <c r="DZ329" i="1"/>
  <c r="DY329" i="1"/>
  <c r="DX329" i="1"/>
  <c r="DW329" i="1"/>
  <c r="DV329" i="1"/>
  <c r="DC329" i="1"/>
  <c r="DB329" i="1"/>
  <c r="CV329" i="1" s="1"/>
  <c r="DA329" i="1"/>
  <c r="CU329" i="1" s="1"/>
  <c r="CZ329" i="1"/>
  <c r="CY329" i="1"/>
  <c r="CX329" i="1"/>
  <c r="CR329" i="1" s="1"/>
  <c r="CW329" i="1"/>
  <c r="CT329" i="1"/>
  <c r="CS329" i="1"/>
  <c r="CA329" i="1"/>
  <c r="CB329" i="1" s="1"/>
  <c r="BZ329" i="1"/>
  <c r="BY329" i="1"/>
  <c r="BX329" i="1"/>
  <c r="BW329" i="1"/>
  <c r="BV329" i="1"/>
  <c r="BU329" i="1"/>
  <c r="CC329" i="1" s="1"/>
  <c r="BT329" i="1"/>
  <c r="BS329" i="1"/>
  <c r="AS329" i="1"/>
  <c r="AN329" i="1"/>
  <c r="AM329" i="1"/>
  <c r="AL329" i="1"/>
  <c r="AK329" i="1"/>
  <c r="AJ329" i="1"/>
  <c r="AI329" i="1"/>
  <c r="BC329" i="1" s="1"/>
  <c r="O329" i="1"/>
  <c r="D329" i="1" s="1"/>
  <c r="F329" i="1"/>
  <c r="E329" i="1"/>
  <c r="EA328" i="1"/>
  <c r="DZ328" i="1"/>
  <c r="DY328" i="1"/>
  <c r="DX328" i="1"/>
  <c r="DW328" i="1"/>
  <c r="DV328" i="1"/>
  <c r="DC328" i="1"/>
  <c r="CW328" i="1" s="1"/>
  <c r="DB328" i="1"/>
  <c r="DA328" i="1"/>
  <c r="CZ328" i="1"/>
  <c r="CT328" i="1" s="1"/>
  <c r="CY328" i="1"/>
  <c r="CS328" i="1" s="1"/>
  <c r="CX328" i="1"/>
  <c r="CV328" i="1"/>
  <c r="CU328" i="1"/>
  <c r="CR328" i="1"/>
  <c r="BZ328" i="1"/>
  <c r="CA328" i="1" s="1"/>
  <c r="BY328" i="1"/>
  <c r="BX328" i="1"/>
  <c r="BW328" i="1"/>
  <c r="BV328" i="1"/>
  <c r="BU328" i="1"/>
  <c r="CC328" i="1" s="1"/>
  <c r="BT328" i="1"/>
  <c r="BS328" i="1"/>
  <c r="AS328" i="1"/>
  <c r="AN328" i="1"/>
  <c r="AM328" i="1"/>
  <c r="AL328" i="1"/>
  <c r="AK328" i="1"/>
  <c r="AJ328" i="1"/>
  <c r="AI328" i="1"/>
  <c r="O328" i="1"/>
  <c r="D328" i="1" s="1"/>
  <c r="F328" i="1"/>
  <c r="E328" i="1"/>
  <c r="EA327" i="1"/>
  <c r="DZ327" i="1"/>
  <c r="DY327" i="1"/>
  <c r="DX327" i="1"/>
  <c r="DW327" i="1"/>
  <c r="DV327" i="1"/>
  <c r="DC327" i="1"/>
  <c r="DB327" i="1"/>
  <c r="CV327" i="1" s="1"/>
  <c r="DA327" i="1"/>
  <c r="CU327" i="1" s="1"/>
  <c r="CZ327" i="1"/>
  <c r="CY327" i="1"/>
  <c r="CX327" i="1"/>
  <c r="CR327" i="1" s="1"/>
  <c r="CW327" i="1"/>
  <c r="CT327" i="1"/>
  <c r="CS327" i="1"/>
  <c r="CA327" i="1"/>
  <c r="CB327" i="1" s="1"/>
  <c r="BZ327" i="1"/>
  <c r="BY327" i="1"/>
  <c r="BX327" i="1"/>
  <c r="BW327" i="1"/>
  <c r="BV327" i="1"/>
  <c r="BU327" i="1"/>
  <c r="CC327" i="1" s="1"/>
  <c r="BT327" i="1"/>
  <c r="BS327" i="1"/>
  <c r="AS327" i="1"/>
  <c r="AN327" i="1"/>
  <c r="AM327" i="1"/>
  <c r="AL327" i="1"/>
  <c r="AK327" i="1"/>
  <c r="AJ327" i="1"/>
  <c r="AI327" i="1"/>
  <c r="BC327" i="1" s="1"/>
  <c r="O327" i="1"/>
  <c r="D327" i="1" s="1"/>
  <c r="F327" i="1"/>
  <c r="E327" i="1"/>
  <c r="EA326" i="1"/>
  <c r="DZ326" i="1"/>
  <c r="DY326" i="1"/>
  <c r="DX326" i="1"/>
  <c r="DW326" i="1"/>
  <c r="DV326" i="1"/>
  <c r="DC326" i="1"/>
  <c r="CW326" i="1" s="1"/>
  <c r="DB326" i="1"/>
  <c r="DA326" i="1"/>
  <c r="CZ326" i="1"/>
  <c r="CT326" i="1" s="1"/>
  <c r="CY326" i="1"/>
  <c r="CS326" i="1" s="1"/>
  <c r="CX326" i="1"/>
  <c r="CV326" i="1"/>
  <c r="CU326" i="1"/>
  <c r="CR326" i="1"/>
  <c r="BZ326" i="1"/>
  <c r="CA326" i="1" s="1"/>
  <c r="BY326" i="1"/>
  <c r="BX326" i="1"/>
  <c r="BW326" i="1"/>
  <c r="BV326" i="1"/>
  <c r="BU326" i="1"/>
  <c r="BT326" i="1"/>
  <c r="BS326" i="1"/>
  <c r="AS326" i="1"/>
  <c r="AN326" i="1"/>
  <c r="AM326" i="1"/>
  <c r="AL326" i="1"/>
  <c r="AK326" i="1"/>
  <c r="AJ326" i="1"/>
  <c r="AI326" i="1"/>
  <c r="O326" i="1"/>
  <c r="F326" i="1"/>
  <c r="E326" i="1"/>
  <c r="D326" i="1"/>
  <c r="EA325" i="1"/>
  <c r="DZ325" i="1"/>
  <c r="DY325" i="1"/>
  <c r="DX325" i="1"/>
  <c r="DW325" i="1"/>
  <c r="DV325" i="1"/>
  <c r="DC325" i="1"/>
  <c r="DB325" i="1"/>
  <c r="CV325" i="1" s="1"/>
  <c r="DA325" i="1"/>
  <c r="CU325" i="1" s="1"/>
  <c r="CZ325" i="1"/>
  <c r="CY325" i="1"/>
  <c r="CX325" i="1"/>
  <c r="CR325" i="1" s="1"/>
  <c r="CW325" i="1"/>
  <c r="CT325" i="1"/>
  <c r="CS325" i="1"/>
  <c r="CA325" i="1"/>
  <c r="CB325" i="1" s="1"/>
  <c r="BZ325" i="1"/>
  <c r="BY325" i="1"/>
  <c r="BX325" i="1"/>
  <c r="BW325" i="1"/>
  <c r="BV325" i="1"/>
  <c r="BU325" i="1"/>
  <c r="CC325" i="1" s="1"/>
  <c r="BT325" i="1"/>
  <c r="BS325" i="1"/>
  <c r="AS325" i="1"/>
  <c r="AN325" i="1"/>
  <c r="AM325" i="1"/>
  <c r="AL325" i="1"/>
  <c r="AK325" i="1"/>
  <c r="AJ325" i="1"/>
  <c r="AI325" i="1"/>
  <c r="BC325" i="1" s="1"/>
  <c r="O325" i="1"/>
  <c r="D325" i="1" s="1"/>
  <c r="F325" i="1"/>
  <c r="E325" i="1"/>
  <c r="EA324" i="1"/>
  <c r="DZ324" i="1"/>
  <c r="DY324" i="1"/>
  <c r="DX324" i="1"/>
  <c r="DW324" i="1"/>
  <c r="DV324" i="1"/>
  <c r="DC324" i="1"/>
  <c r="CW324" i="1" s="1"/>
  <c r="DB324" i="1"/>
  <c r="DA324" i="1"/>
  <c r="CZ324" i="1"/>
  <c r="CT324" i="1" s="1"/>
  <c r="CY324" i="1"/>
  <c r="CS324" i="1" s="1"/>
  <c r="CX324" i="1"/>
  <c r="CV324" i="1"/>
  <c r="CU324" i="1"/>
  <c r="CR324" i="1"/>
  <c r="BZ324" i="1"/>
  <c r="CA324" i="1" s="1"/>
  <c r="BY324" i="1"/>
  <c r="BX324" i="1"/>
  <c r="BW324" i="1"/>
  <c r="BV324" i="1"/>
  <c r="BU324" i="1"/>
  <c r="CC324" i="1" s="1"/>
  <c r="BT324" i="1"/>
  <c r="BS324" i="1"/>
  <c r="AS324" i="1"/>
  <c r="AN324" i="1"/>
  <c r="AM324" i="1"/>
  <c r="AL324" i="1"/>
  <c r="AK324" i="1"/>
  <c r="AJ324" i="1"/>
  <c r="AI324" i="1"/>
  <c r="O324" i="1"/>
  <c r="F324" i="1"/>
  <c r="E324" i="1"/>
  <c r="D324" i="1"/>
  <c r="EA323" i="1"/>
  <c r="DZ323" i="1"/>
  <c r="DY323" i="1"/>
  <c r="DX323" i="1"/>
  <c r="DW323" i="1"/>
  <c r="DV323" i="1"/>
  <c r="DC323" i="1"/>
  <c r="DB323" i="1"/>
  <c r="CV323" i="1" s="1"/>
  <c r="DA323" i="1"/>
  <c r="CU323" i="1" s="1"/>
  <c r="CZ323" i="1"/>
  <c r="CY323" i="1"/>
  <c r="CX323" i="1"/>
  <c r="CR323" i="1" s="1"/>
  <c r="CW323" i="1"/>
  <c r="CT323" i="1"/>
  <c r="CS323" i="1"/>
  <c r="CA323" i="1"/>
  <c r="BZ323" i="1"/>
  <c r="BY323" i="1"/>
  <c r="BX323" i="1"/>
  <c r="BW323" i="1"/>
  <c r="BV323" i="1"/>
  <c r="BU323" i="1"/>
  <c r="CC323" i="1" s="1"/>
  <c r="BT323" i="1"/>
  <c r="BS323" i="1"/>
  <c r="AS323" i="1"/>
  <c r="AN323" i="1"/>
  <c r="AM323" i="1"/>
  <c r="AL323" i="1"/>
  <c r="AK323" i="1"/>
  <c r="AJ323" i="1"/>
  <c r="AI323" i="1"/>
  <c r="BC323" i="1" s="1"/>
  <c r="O323" i="1"/>
  <c r="D323" i="1" s="1"/>
  <c r="F323" i="1"/>
  <c r="E323" i="1"/>
  <c r="EA322" i="1"/>
  <c r="DZ322" i="1"/>
  <c r="DY322" i="1"/>
  <c r="DX322" i="1"/>
  <c r="DW322" i="1"/>
  <c r="DV322" i="1"/>
  <c r="DC322" i="1"/>
  <c r="CW322" i="1" s="1"/>
  <c r="DB322" i="1"/>
  <c r="DA322" i="1"/>
  <c r="CZ322" i="1"/>
  <c r="CT322" i="1" s="1"/>
  <c r="CY322" i="1"/>
  <c r="CS322" i="1" s="1"/>
  <c r="CX322" i="1"/>
  <c r="CV322" i="1"/>
  <c r="CU322" i="1"/>
  <c r="CR322" i="1"/>
  <c r="BZ322" i="1"/>
  <c r="CA322" i="1" s="1"/>
  <c r="BY322" i="1"/>
  <c r="BX322" i="1"/>
  <c r="BW322" i="1"/>
  <c r="BV322" i="1"/>
  <c r="BU322" i="1"/>
  <c r="CB322" i="1" s="1"/>
  <c r="BT322" i="1"/>
  <c r="BS322" i="1"/>
  <c r="AS322" i="1"/>
  <c r="AN322" i="1"/>
  <c r="AM322" i="1"/>
  <c r="AL322" i="1"/>
  <c r="AK322" i="1"/>
  <c r="AJ322" i="1"/>
  <c r="AI322" i="1"/>
  <c r="O322" i="1"/>
  <c r="D322" i="1" s="1"/>
  <c r="F322" i="1"/>
  <c r="E322" i="1"/>
  <c r="EA321" i="1"/>
  <c r="DZ321" i="1"/>
  <c r="DY321" i="1"/>
  <c r="DX321" i="1"/>
  <c r="DW321" i="1"/>
  <c r="DV321" i="1"/>
  <c r="DC321" i="1"/>
  <c r="DB321" i="1"/>
  <c r="CV321" i="1" s="1"/>
  <c r="DA321" i="1"/>
  <c r="CU321" i="1" s="1"/>
  <c r="CZ321" i="1"/>
  <c r="CY321" i="1"/>
  <c r="CX321" i="1"/>
  <c r="CR321" i="1" s="1"/>
  <c r="CW321" i="1"/>
  <c r="CT321" i="1"/>
  <c r="CS321" i="1"/>
  <c r="CA321" i="1"/>
  <c r="BZ321" i="1"/>
  <c r="BY321" i="1"/>
  <c r="BX321" i="1"/>
  <c r="BW321" i="1"/>
  <c r="BV321" i="1"/>
  <c r="BU321" i="1"/>
  <c r="BT321" i="1"/>
  <c r="BS321" i="1"/>
  <c r="AS321" i="1"/>
  <c r="AN321" i="1"/>
  <c r="AM321" i="1"/>
  <c r="AL321" i="1"/>
  <c r="AK321" i="1"/>
  <c r="AJ321" i="1"/>
  <c r="AI321" i="1"/>
  <c r="BC321" i="1" s="1"/>
  <c r="O321" i="1"/>
  <c r="D321" i="1" s="1"/>
  <c r="F321" i="1"/>
  <c r="E321" i="1"/>
  <c r="EA320" i="1"/>
  <c r="DZ320" i="1"/>
  <c r="DY320" i="1"/>
  <c r="DX320" i="1"/>
  <c r="DW320" i="1"/>
  <c r="DV320" i="1"/>
  <c r="DC320" i="1"/>
  <c r="CW320" i="1" s="1"/>
  <c r="DB320" i="1"/>
  <c r="DA320" i="1"/>
  <c r="CZ320" i="1"/>
  <c r="CT320" i="1" s="1"/>
  <c r="CY320" i="1"/>
  <c r="CS320" i="1" s="1"/>
  <c r="CX320" i="1"/>
  <c r="CV320" i="1"/>
  <c r="CU320" i="1"/>
  <c r="CR320" i="1"/>
  <c r="BZ320" i="1"/>
  <c r="CA320" i="1" s="1"/>
  <c r="BY320" i="1"/>
  <c r="BX320" i="1"/>
  <c r="BW320" i="1"/>
  <c r="BV320" i="1"/>
  <c r="BU320" i="1"/>
  <c r="CC320" i="1" s="1"/>
  <c r="BT320" i="1"/>
  <c r="BS320" i="1"/>
  <c r="AS320" i="1"/>
  <c r="AN320" i="1"/>
  <c r="AM320" i="1"/>
  <c r="AL320" i="1"/>
  <c r="AK320" i="1"/>
  <c r="AJ320" i="1"/>
  <c r="AI320" i="1"/>
  <c r="O320" i="1"/>
  <c r="D320" i="1" s="1"/>
  <c r="F320" i="1"/>
  <c r="E320" i="1"/>
  <c r="EA319" i="1"/>
  <c r="DZ319" i="1"/>
  <c r="DY319" i="1"/>
  <c r="DX319" i="1"/>
  <c r="DW319" i="1"/>
  <c r="DV319" i="1"/>
  <c r="DC319" i="1"/>
  <c r="DB319" i="1"/>
  <c r="CV319" i="1" s="1"/>
  <c r="DA319" i="1"/>
  <c r="CU319" i="1" s="1"/>
  <c r="CZ319" i="1"/>
  <c r="CY319" i="1"/>
  <c r="CX319" i="1"/>
  <c r="CR319" i="1" s="1"/>
  <c r="CW319" i="1"/>
  <c r="CT319" i="1"/>
  <c r="CS319" i="1"/>
  <c r="CA319" i="1"/>
  <c r="CB319" i="1" s="1"/>
  <c r="BZ319" i="1"/>
  <c r="BY319" i="1"/>
  <c r="BX319" i="1"/>
  <c r="BW319" i="1"/>
  <c r="BV319" i="1"/>
  <c r="BU319" i="1"/>
  <c r="BT319" i="1"/>
  <c r="BS319" i="1"/>
  <c r="AS319" i="1"/>
  <c r="AN319" i="1"/>
  <c r="AM319" i="1"/>
  <c r="AL319" i="1"/>
  <c r="AK319" i="1"/>
  <c r="AJ319" i="1"/>
  <c r="AI319" i="1"/>
  <c r="BC319" i="1" s="1"/>
  <c r="O319" i="1"/>
  <c r="D319" i="1" s="1"/>
  <c r="F319" i="1"/>
  <c r="E319" i="1"/>
  <c r="EA318" i="1"/>
  <c r="DZ318" i="1"/>
  <c r="DY318" i="1"/>
  <c r="DX318" i="1"/>
  <c r="DW318" i="1"/>
  <c r="DV318" i="1"/>
  <c r="DC318" i="1"/>
  <c r="CW318" i="1" s="1"/>
  <c r="DB318" i="1"/>
  <c r="DA318" i="1"/>
  <c r="CZ318" i="1"/>
  <c r="CT318" i="1" s="1"/>
  <c r="CY318" i="1"/>
  <c r="CS318" i="1" s="1"/>
  <c r="CX318" i="1"/>
  <c r="CV318" i="1"/>
  <c r="CU318" i="1"/>
  <c r="CR318" i="1"/>
  <c r="CC318" i="1"/>
  <c r="BZ318" i="1"/>
  <c r="CA318" i="1" s="1"/>
  <c r="BY318" i="1"/>
  <c r="BX318" i="1"/>
  <c r="BW318" i="1"/>
  <c r="BV318" i="1"/>
  <c r="BU318" i="1"/>
  <c r="BT318" i="1"/>
  <c r="BS318" i="1"/>
  <c r="AS318" i="1"/>
  <c r="AN318" i="1"/>
  <c r="AM318" i="1"/>
  <c r="AL318" i="1"/>
  <c r="AK318" i="1"/>
  <c r="AJ318" i="1"/>
  <c r="AI318" i="1"/>
  <c r="O318" i="1"/>
  <c r="D318" i="1" s="1"/>
  <c r="F318" i="1"/>
  <c r="E318" i="1"/>
  <c r="EA317" i="1"/>
  <c r="DZ317" i="1"/>
  <c r="DY317" i="1"/>
  <c r="DX317" i="1"/>
  <c r="DW317" i="1"/>
  <c r="DV317" i="1"/>
  <c r="DC317" i="1"/>
  <c r="DB317" i="1"/>
  <c r="CV317" i="1" s="1"/>
  <c r="DA317" i="1"/>
  <c r="CU317" i="1" s="1"/>
  <c r="CZ317" i="1"/>
  <c r="CY317" i="1"/>
  <c r="CX317" i="1"/>
  <c r="CR317" i="1" s="1"/>
  <c r="CW317" i="1"/>
  <c r="CT317" i="1"/>
  <c r="CS317" i="1"/>
  <c r="CB317" i="1"/>
  <c r="CA317" i="1"/>
  <c r="BZ317" i="1"/>
  <c r="BY317" i="1"/>
  <c r="BX317" i="1"/>
  <c r="BW317" i="1"/>
  <c r="BV317" i="1"/>
  <c r="BU317" i="1"/>
  <c r="CC317" i="1" s="1"/>
  <c r="BT317" i="1"/>
  <c r="BS317" i="1"/>
  <c r="AS317" i="1"/>
  <c r="AN317" i="1"/>
  <c r="AM317" i="1"/>
  <c r="AL317" i="1"/>
  <c r="AK317" i="1"/>
  <c r="AJ317" i="1"/>
  <c r="AI317" i="1"/>
  <c r="BC317" i="1" s="1"/>
  <c r="O317" i="1"/>
  <c r="D317" i="1" s="1"/>
  <c r="F317" i="1"/>
  <c r="E317" i="1"/>
  <c r="EA316" i="1"/>
  <c r="DZ316" i="1"/>
  <c r="DY316" i="1"/>
  <c r="DX316" i="1"/>
  <c r="DW316" i="1"/>
  <c r="DV316" i="1"/>
  <c r="DC316" i="1"/>
  <c r="CW316" i="1" s="1"/>
  <c r="DB316" i="1"/>
  <c r="DA316" i="1"/>
  <c r="CZ316" i="1"/>
  <c r="CT316" i="1" s="1"/>
  <c r="CY316" i="1"/>
  <c r="CS316" i="1" s="1"/>
  <c r="CX316" i="1"/>
  <c r="CV316" i="1"/>
  <c r="CU316" i="1"/>
  <c r="CR316" i="1"/>
  <c r="BZ316" i="1"/>
  <c r="CA316" i="1" s="1"/>
  <c r="BY316" i="1"/>
  <c r="BX316" i="1"/>
  <c r="BW316" i="1"/>
  <c r="BV316" i="1"/>
  <c r="BU316" i="1"/>
  <c r="CB316" i="1" s="1"/>
  <c r="BT316" i="1"/>
  <c r="BS316" i="1"/>
  <c r="AS316" i="1"/>
  <c r="AN316" i="1"/>
  <c r="AM316" i="1"/>
  <c r="AL316" i="1"/>
  <c r="AK316" i="1"/>
  <c r="AJ316" i="1"/>
  <c r="AI316" i="1"/>
  <c r="O316" i="1"/>
  <c r="D316" i="1" s="1"/>
  <c r="F316" i="1"/>
  <c r="E316" i="1"/>
  <c r="EA315" i="1"/>
  <c r="DZ315" i="1"/>
  <c r="DY315" i="1"/>
  <c r="DX315" i="1"/>
  <c r="DW315" i="1"/>
  <c r="DV315" i="1"/>
  <c r="DC315" i="1"/>
  <c r="DB315" i="1"/>
  <c r="CV315" i="1" s="1"/>
  <c r="DA315" i="1"/>
  <c r="CU315" i="1" s="1"/>
  <c r="CZ315" i="1"/>
  <c r="CY315" i="1"/>
  <c r="CX315" i="1"/>
  <c r="CR315" i="1" s="1"/>
  <c r="CW315" i="1"/>
  <c r="CT315" i="1"/>
  <c r="CS315" i="1"/>
  <c r="CA315" i="1"/>
  <c r="CB315" i="1" s="1"/>
  <c r="BZ315" i="1"/>
  <c r="BY315" i="1"/>
  <c r="BX315" i="1"/>
  <c r="BW315" i="1"/>
  <c r="BV315" i="1"/>
  <c r="BU315" i="1"/>
  <c r="BT315" i="1"/>
  <c r="BS315" i="1"/>
  <c r="AS315" i="1"/>
  <c r="AN315" i="1"/>
  <c r="AM315" i="1"/>
  <c r="AL315" i="1"/>
  <c r="AK315" i="1"/>
  <c r="AJ315" i="1"/>
  <c r="AI315" i="1"/>
  <c r="BC315" i="1" s="1"/>
  <c r="O315" i="1"/>
  <c r="F315" i="1"/>
  <c r="E315" i="1"/>
  <c r="D315" i="1"/>
  <c r="EA314" i="1"/>
  <c r="DZ314" i="1"/>
  <c r="DY314" i="1"/>
  <c r="DX314" i="1"/>
  <c r="DW314" i="1"/>
  <c r="DV314" i="1"/>
  <c r="DC314" i="1"/>
  <c r="CW314" i="1" s="1"/>
  <c r="DB314" i="1"/>
  <c r="DA314" i="1"/>
  <c r="CZ314" i="1"/>
  <c r="CT314" i="1" s="1"/>
  <c r="CY314" i="1"/>
  <c r="CS314" i="1" s="1"/>
  <c r="CX314" i="1"/>
  <c r="CV314" i="1"/>
  <c r="CU314" i="1"/>
  <c r="CR314" i="1"/>
  <c r="CC314" i="1"/>
  <c r="BZ314" i="1"/>
  <c r="CA314" i="1" s="1"/>
  <c r="BY314" i="1"/>
  <c r="BX314" i="1"/>
  <c r="BW314" i="1"/>
  <c r="BV314" i="1"/>
  <c r="BU314" i="1"/>
  <c r="BT314" i="1"/>
  <c r="BS314" i="1"/>
  <c r="AS314" i="1"/>
  <c r="AN314" i="1"/>
  <c r="AM314" i="1"/>
  <c r="AL314" i="1"/>
  <c r="AK314" i="1"/>
  <c r="AJ314" i="1"/>
  <c r="AI314" i="1"/>
  <c r="O314" i="1"/>
  <c r="D314" i="1" s="1"/>
  <c r="F314" i="1"/>
  <c r="E314" i="1"/>
  <c r="EA313" i="1"/>
  <c r="DZ313" i="1"/>
  <c r="DY313" i="1"/>
  <c r="DX313" i="1"/>
  <c r="DW313" i="1"/>
  <c r="DV313" i="1"/>
  <c r="DC313" i="1"/>
  <c r="DB313" i="1"/>
  <c r="CV313" i="1" s="1"/>
  <c r="DA313" i="1"/>
  <c r="CU313" i="1" s="1"/>
  <c r="CZ313" i="1"/>
  <c r="CY313" i="1"/>
  <c r="CX313" i="1"/>
  <c r="CR313" i="1" s="1"/>
  <c r="CW313" i="1"/>
  <c r="CT313" i="1"/>
  <c r="CS313" i="1"/>
  <c r="CB313" i="1"/>
  <c r="CA313" i="1"/>
  <c r="BZ313" i="1"/>
  <c r="BY313" i="1"/>
  <c r="BX313" i="1"/>
  <c r="BW313" i="1"/>
  <c r="BV313" i="1"/>
  <c r="BU313" i="1"/>
  <c r="CC313" i="1" s="1"/>
  <c r="BT313" i="1"/>
  <c r="BS313" i="1"/>
  <c r="AS313" i="1"/>
  <c r="AN313" i="1"/>
  <c r="AM313" i="1"/>
  <c r="AL313" i="1"/>
  <c r="AK313" i="1"/>
  <c r="AJ313" i="1"/>
  <c r="AI313" i="1"/>
  <c r="BC313" i="1" s="1"/>
  <c r="O313" i="1"/>
  <c r="D313" i="1" s="1"/>
  <c r="F313" i="1"/>
  <c r="E313" i="1"/>
  <c r="EA312" i="1"/>
  <c r="DZ312" i="1"/>
  <c r="DY312" i="1"/>
  <c r="DX312" i="1"/>
  <c r="DW312" i="1"/>
  <c r="DV312" i="1"/>
  <c r="DC312" i="1"/>
  <c r="CW312" i="1" s="1"/>
  <c r="DB312" i="1"/>
  <c r="DA312" i="1"/>
  <c r="CZ312" i="1"/>
  <c r="CT312" i="1" s="1"/>
  <c r="CY312" i="1"/>
  <c r="CS312" i="1" s="1"/>
  <c r="CX312" i="1"/>
  <c r="CV312" i="1"/>
  <c r="CU312" i="1"/>
  <c r="CR312" i="1"/>
  <c r="BZ312" i="1"/>
  <c r="CA312" i="1" s="1"/>
  <c r="BY312" i="1"/>
  <c r="BX312" i="1"/>
  <c r="BW312" i="1"/>
  <c r="BV312" i="1"/>
  <c r="BU312" i="1"/>
  <c r="CB312" i="1" s="1"/>
  <c r="BT312" i="1"/>
  <c r="BS312" i="1"/>
  <c r="AS312" i="1"/>
  <c r="AN312" i="1"/>
  <c r="AM312" i="1"/>
  <c r="AL312" i="1"/>
  <c r="AK312" i="1"/>
  <c r="AJ312" i="1"/>
  <c r="AI312" i="1"/>
  <c r="O312" i="1"/>
  <c r="D312" i="1" s="1"/>
  <c r="F312" i="1"/>
  <c r="E312" i="1"/>
  <c r="EA311" i="1"/>
  <c r="DZ311" i="1"/>
  <c r="DY311" i="1"/>
  <c r="DX311" i="1"/>
  <c r="DW311" i="1"/>
  <c r="DV311" i="1"/>
  <c r="DC311" i="1"/>
  <c r="DB311" i="1"/>
  <c r="CV311" i="1" s="1"/>
  <c r="DA311" i="1"/>
  <c r="CU311" i="1" s="1"/>
  <c r="CZ311" i="1"/>
  <c r="CY311" i="1"/>
  <c r="CX311" i="1"/>
  <c r="CR311" i="1" s="1"/>
  <c r="CW311" i="1"/>
  <c r="CT311" i="1"/>
  <c r="CS311" i="1"/>
  <c r="CA311" i="1"/>
  <c r="CB311" i="1" s="1"/>
  <c r="BZ311" i="1"/>
  <c r="BY311" i="1"/>
  <c r="BX311" i="1"/>
  <c r="BW311" i="1"/>
  <c r="BV311" i="1"/>
  <c r="BU311" i="1"/>
  <c r="BT311" i="1"/>
  <c r="BS311" i="1"/>
  <c r="AS311" i="1"/>
  <c r="AN311" i="1"/>
  <c r="AM311" i="1"/>
  <c r="AL311" i="1"/>
  <c r="AK311" i="1"/>
  <c r="AJ311" i="1"/>
  <c r="AI311" i="1"/>
  <c r="BC311" i="1" s="1"/>
  <c r="O311" i="1"/>
  <c r="D311" i="1" s="1"/>
  <c r="F311" i="1"/>
  <c r="E311" i="1"/>
  <c r="EA310" i="1"/>
  <c r="DZ310" i="1"/>
  <c r="DY310" i="1"/>
  <c r="DX310" i="1"/>
  <c r="DW310" i="1"/>
  <c r="DV310" i="1"/>
  <c r="DC310" i="1"/>
  <c r="CW310" i="1" s="1"/>
  <c r="DB310" i="1"/>
  <c r="DA310" i="1"/>
  <c r="CZ310" i="1"/>
  <c r="CT310" i="1" s="1"/>
  <c r="CY310" i="1"/>
  <c r="CS310" i="1" s="1"/>
  <c r="CX310" i="1"/>
  <c r="CV310" i="1"/>
  <c r="CU310" i="1"/>
  <c r="CR310" i="1"/>
  <c r="CC310" i="1"/>
  <c r="BZ310" i="1"/>
  <c r="CA310" i="1" s="1"/>
  <c r="BY310" i="1"/>
  <c r="BX310" i="1"/>
  <c r="BW310" i="1"/>
  <c r="BV310" i="1"/>
  <c r="BU310" i="1"/>
  <c r="BT310" i="1"/>
  <c r="BS310" i="1"/>
  <c r="AS310" i="1"/>
  <c r="AN310" i="1"/>
  <c r="AM310" i="1"/>
  <c r="AL310" i="1"/>
  <c r="AK310" i="1"/>
  <c r="AJ310" i="1"/>
  <c r="AI310" i="1"/>
  <c r="O310" i="1"/>
  <c r="D310" i="1" s="1"/>
  <c r="F310" i="1"/>
  <c r="E310" i="1"/>
  <c r="EA309" i="1"/>
  <c r="DZ309" i="1"/>
  <c r="DY309" i="1"/>
  <c r="DX309" i="1"/>
  <c r="DW309" i="1"/>
  <c r="DV309" i="1"/>
  <c r="DC309" i="1"/>
  <c r="DB309" i="1"/>
  <c r="CV309" i="1" s="1"/>
  <c r="DA309" i="1"/>
  <c r="CU309" i="1" s="1"/>
  <c r="CZ309" i="1"/>
  <c r="CY309" i="1"/>
  <c r="CX309" i="1"/>
  <c r="CR309" i="1" s="1"/>
  <c r="CW309" i="1"/>
  <c r="CT309" i="1"/>
  <c r="CS309" i="1"/>
  <c r="CB309" i="1"/>
  <c r="CA309" i="1"/>
  <c r="BZ309" i="1"/>
  <c r="BY309" i="1"/>
  <c r="BX309" i="1"/>
  <c r="BW309" i="1"/>
  <c r="BV309" i="1"/>
  <c r="BU309" i="1"/>
  <c r="CC309" i="1" s="1"/>
  <c r="BT309" i="1"/>
  <c r="BS309" i="1"/>
  <c r="AS309" i="1"/>
  <c r="AN309" i="1"/>
  <c r="AM309" i="1"/>
  <c r="AL309" i="1"/>
  <c r="AK309" i="1"/>
  <c r="AJ309" i="1"/>
  <c r="AI309" i="1"/>
  <c r="BC309" i="1" s="1"/>
  <c r="O309" i="1"/>
  <c r="D309" i="1" s="1"/>
  <c r="F309" i="1"/>
  <c r="E309" i="1"/>
  <c r="EA308" i="1"/>
  <c r="DZ308" i="1"/>
  <c r="DY308" i="1"/>
  <c r="DX308" i="1"/>
  <c r="DW308" i="1"/>
  <c r="DV308" i="1"/>
  <c r="DC308" i="1"/>
  <c r="CW308" i="1" s="1"/>
  <c r="DB308" i="1"/>
  <c r="DA308" i="1"/>
  <c r="CZ308" i="1"/>
  <c r="CT308" i="1" s="1"/>
  <c r="CY308" i="1"/>
  <c r="CS308" i="1" s="1"/>
  <c r="CX308" i="1"/>
  <c r="CV308" i="1"/>
  <c r="CU308" i="1"/>
  <c r="CR308" i="1"/>
  <c r="BZ308" i="1"/>
  <c r="CA308" i="1" s="1"/>
  <c r="BY308" i="1"/>
  <c r="BX308" i="1"/>
  <c r="BW308" i="1"/>
  <c r="BV308" i="1"/>
  <c r="BU308" i="1"/>
  <c r="CB308" i="1" s="1"/>
  <c r="BT308" i="1"/>
  <c r="BS308" i="1"/>
  <c r="AS308" i="1"/>
  <c r="AN308" i="1"/>
  <c r="AM308" i="1"/>
  <c r="AL308" i="1"/>
  <c r="AK308" i="1"/>
  <c r="AJ308" i="1"/>
  <c r="AI308" i="1"/>
  <c r="O308" i="1"/>
  <c r="F308" i="1"/>
  <c r="E308" i="1"/>
  <c r="D308" i="1"/>
  <c r="EA307" i="1"/>
  <c r="DZ307" i="1"/>
  <c r="DY307" i="1"/>
  <c r="DX307" i="1"/>
  <c r="DW307" i="1"/>
  <c r="DV307" i="1"/>
  <c r="DC307" i="1"/>
  <c r="DB307" i="1"/>
  <c r="CV307" i="1" s="1"/>
  <c r="DA307" i="1"/>
  <c r="CU307" i="1" s="1"/>
  <c r="CZ307" i="1"/>
  <c r="CY307" i="1"/>
  <c r="CX307" i="1"/>
  <c r="CR307" i="1" s="1"/>
  <c r="CW307" i="1"/>
  <c r="CT307" i="1"/>
  <c r="CS307" i="1"/>
  <c r="CA307" i="1"/>
  <c r="CB307" i="1" s="1"/>
  <c r="BZ307" i="1"/>
  <c r="BY307" i="1"/>
  <c r="BX307" i="1"/>
  <c r="BW307" i="1"/>
  <c r="BV307" i="1"/>
  <c r="BU307" i="1"/>
  <c r="BT307" i="1"/>
  <c r="BS307" i="1"/>
  <c r="AS307" i="1"/>
  <c r="AN307" i="1"/>
  <c r="AM307" i="1"/>
  <c r="AL307" i="1"/>
  <c r="AK307" i="1"/>
  <c r="AJ307" i="1"/>
  <c r="AI307" i="1"/>
  <c r="BC307" i="1" s="1"/>
  <c r="O307" i="1"/>
  <c r="D307" i="1" s="1"/>
  <c r="F307" i="1"/>
  <c r="E307" i="1"/>
  <c r="EA306" i="1"/>
  <c r="DZ306" i="1"/>
  <c r="DY306" i="1"/>
  <c r="DX306" i="1"/>
  <c r="DW306" i="1"/>
  <c r="DV306" i="1"/>
  <c r="DC306" i="1"/>
  <c r="CW306" i="1" s="1"/>
  <c r="DB306" i="1"/>
  <c r="DA306" i="1"/>
  <c r="CZ306" i="1"/>
  <c r="CT306" i="1" s="1"/>
  <c r="CY306" i="1"/>
  <c r="CS306" i="1" s="1"/>
  <c r="CX306" i="1"/>
  <c r="CV306" i="1"/>
  <c r="CU306" i="1"/>
  <c r="CR306" i="1"/>
  <c r="CC306" i="1"/>
  <c r="BZ306" i="1"/>
  <c r="CA306" i="1" s="1"/>
  <c r="BY306" i="1"/>
  <c r="BX306" i="1"/>
  <c r="BW306" i="1"/>
  <c r="BV306" i="1"/>
  <c r="BU306" i="1"/>
  <c r="BT306" i="1"/>
  <c r="BS306" i="1"/>
  <c r="AS306" i="1"/>
  <c r="AN306" i="1"/>
  <c r="AM306" i="1"/>
  <c r="AL306" i="1"/>
  <c r="AK306" i="1"/>
  <c r="AJ306" i="1"/>
  <c r="AI306" i="1"/>
  <c r="O306" i="1"/>
  <c r="D306" i="1" s="1"/>
  <c r="F306" i="1"/>
  <c r="E306" i="1"/>
  <c r="EA305" i="1"/>
  <c r="DZ305" i="1"/>
  <c r="DY305" i="1"/>
  <c r="DX305" i="1"/>
  <c r="DW305" i="1"/>
  <c r="DV305" i="1"/>
  <c r="DC305" i="1"/>
  <c r="DB305" i="1"/>
  <c r="CV305" i="1" s="1"/>
  <c r="DA305" i="1"/>
  <c r="CU305" i="1" s="1"/>
  <c r="CZ305" i="1"/>
  <c r="CY305" i="1"/>
  <c r="CX305" i="1"/>
  <c r="CR305" i="1" s="1"/>
  <c r="CW305" i="1"/>
  <c r="CT305" i="1"/>
  <c r="CS305" i="1"/>
  <c r="CB305" i="1"/>
  <c r="CA305" i="1"/>
  <c r="BZ305" i="1"/>
  <c r="BY305" i="1"/>
  <c r="BX305" i="1"/>
  <c r="BW305" i="1"/>
  <c r="BV305" i="1"/>
  <c r="BU305" i="1"/>
  <c r="CC305" i="1" s="1"/>
  <c r="BT305" i="1"/>
  <c r="BS305" i="1"/>
  <c r="AS305" i="1"/>
  <c r="AN305" i="1"/>
  <c r="AM305" i="1"/>
  <c r="AL305" i="1"/>
  <c r="AK305" i="1"/>
  <c r="AJ305" i="1"/>
  <c r="AI305" i="1"/>
  <c r="BC305" i="1" s="1"/>
  <c r="O305" i="1"/>
  <c r="F305" i="1"/>
  <c r="E305" i="1"/>
  <c r="D305" i="1"/>
  <c r="EA304" i="1"/>
  <c r="DZ304" i="1"/>
  <c r="DY304" i="1"/>
  <c r="DX304" i="1"/>
  <c r="DW304" i="1"/>
  <c r="DV304" i="1"/>
  <c r="DC304" i="1"/>
  <c r="CW304" i="1" s="1"/>
  <c r="DB304" i="1"/>
  <c r="DA304" i="1"/>
  <c r="CZ304" i="1"/>
  <c r="CT304" i="1" s="1"/>
  <c r="CY304" i="1"/>
  <c r="CS304" i="1" s="1"/>
  <c r="CX304" i="1"/>
  <c r="CV304" i="1"/>
  <c r="CU304" i="1"/>
  <c r="CR304" i="1"/>
  <c r="BZ304" i="1"/>
  <c r="CA304" i="1" s="1"/>
  <c r="BY304" i="1"/>
  <c r="BX304" i="1"/>
  <c r="BW304" i="1"/>
  <c r="BV304" i="1"/>
  <c r="BU304" i="1"/>
  <c r="CB304" i="1" s="1"/>
  <c r="BT304" i="1"/>
  <c r="BS304" i="1"/>
  <c r="AS304" i="1"/>
  <c r="AN304" i="1"/>
  <c r="AM304" i="1"/>
  <c r="AL304" i="1"/>
  <c r="AK304" i="1"/>
  <c r="AJ304" i="1"/>
  <c r="AI304" i="1"/>
  <c r="O304" i="1"/>
  <c r="D304" i="1" s="1"/>
  <c r="F304" i="1"/>
  <c r="E304" i="1"/>
  <c r="EA303" i="1"/>
  <c r="DZ303" i="1"/>
  <c r="DY303" i="1"/>
  <c r="DX303" i="1"/>
  <c r="DW303" i="1"/>
  <c r="DV303" i="1"/>
  <c r="DC303" i="1"/>
  <c r="DB303" i="1"/>
  <c r="CV303" i="1" s="1"/>
  <c r="DA303" i="1"/>
  <c r="CU303" i="1" s="1"/>
  <c r="CZ303" i="1"/>
  <c r="CY303" i="1"/>
  <c r="CX303" i="1"/>
  <c r="CR303" i="1" s="1"/>
  <c r="CW303" i="1"/>
  <c r="CT303" i="1"/>
  <c r="CS303" i="1"/>
  <c r="CA303" i="1"/>
  <c r="CB303" i="1" s="1"/>
  <c r="BZ303" i="1"/>
  <c r="BY303" i="1"/>
  <c r="BX303" i="1"/>
  <c r="BW303" i="1"/>
  <c r="BV303" i="1"/>
  <c r="BU303" i="1"/>
  <c r="BT303" i="1"/>
  <c r="BS303" i="1"/>
  <c r="BC303" i="1"/>
  <c r="AS303" i="1"/>
  <c r="AN303" i="1"/>
  <c r="AM303" i="1"/>
  <c r="AL303" i="1"/>
  <c r="AK303" i="1"/>
  <c r="AJ303" i="1"/>
  <c r="AI303" i="1"/>
  <c r="O303" i="1"/>
  <c r="D303" i="1" s="1"/>
  <c r="F303" i="1"/>
  <c r="E303" i="1"/>
  <c r="EA302" i="1"/>
  <c r="DZ302" i="1"/>
  <c r="DY302" i="1"/>
  <c r="DX302" i="1"/>
  <c r="DW302" i="1"/>
  <c r="DV302" i="1"/>
  <c r="DC302" i="1"/>
  <c r="CW302" i="1" s="1"/>
  <c r="DB302" i="1"/>
  <c r="DA302" i="1"/>
  <c r="CZ302" i="1"/>
  <c r="CT302" i="1" s="1"/>
  <c r="CY302" i="1"/>
  <c r="CS302" i="1" s="1"/>
  <c r="CX302" i="1"/>
  <c r="CV302" i="1"/>
  <c r="CU302" i="1"/>
  <c r="CR302" i="1"/>
  <c r="CC302" i="1"/>
  <c r="BZ302" i="1"/>
  <c r="CA302" i="1" s="1"/>
  <c r="BY302" i="1"/>
  <c r="BX302" i="1"/>
  <c r="BW302" i="1"/>
  <c r="BV302" i="1"/>
  <c r="BU302" i="1"/>
  <c r="CB302" i="1" s="1"/>
  <c r="BT302" i="1"/>
  <c r="BS302" i="1"/>
  <c r="AS302" i="1"/>
  <c r="AN302" i="1"/>
  <c r="AM302" i="1"/>
  <c r="AL302" i="1"/>
  <c r="AK302" i="1"/>
  <c r="AJ302" i="1"/>
  <c r="AI302" i="1"/>
  <c r="O302" i="1"/>
  <c r="F302" i="1"/>
  <c r="E302" i="1"/>
  <c r="D302" i="1"/>
  <c r="EA301" i="1"/>
  <c r="DZ301" i="1"/>
  <c r="DY301" i="1"/>
  <c r="DX301" i="1"/>
  <c r="DW301" i="1"/>
  <c r="DV301" i="1"/>
  <c r="DC301" i="1"/>
  <c r="DB301" i="1"/>
  <c r="CV301" i="1" s="1"/>
  <c r="DA301" i="1"/>
  <c r="CU301" i="1" s="1"/>
  <c r="CZ301" i="1"/>
  <c r="CY301" i="1"/>
  <c r="CX301" i="1"/>
  <c r="CR301" i="1" s="1"/>
  <c r="CW301" i="1"/>
  <c r="CT301" i="1"/>
  <c r="CS301" i="1"/>
  <c r="CB301" i="1"/>
  <c r="CA301" i="1"/>
  <c r="BZ301" i="1"/>
  <c r="BY301" i="1"/>
  <c r="BX301" i="1"/>
  <c r="BW301" i="1"/>
  <c r="BV301" i="1"/>
  <c r="BU301" i="1"/>
  <c r="CC301" i="1" s="1"/>
  <c r="BT301" i="1"/>
  <c r="BS301" i="1"/>
  <c r="AS301" i="1"/>
  <c r="AN301" i="1"/>
  <c r="AM301" i="1"/>
  <c r="AL301" i="1"/>
  <c r="AK301" i="1"/>
  <c r="AJ301" i="1"/>
  <c r="AI301" i="1"/>
  <c r="BC301" i="1" s="1"/>
  <c r="O301" i="1"/>
  <c r="D301" i="1" s="1"/>
  <c r="F301" i="1"/>
  <c r="E301" i="1"/>
  <c r="EA300" i="1"/>
  <c r="DZ300" i="1"/>
  <c r="DY300" i="1"/>
  <c r="DX300" i="1"/>
  <c r="DW300" i="1"/>
  <c r="DV300" i="1"/>
  <c r="DC300" i="1"/>
  <c r="CW300" i="1" s="1"/>
  <c r="DB300" i="1"/>
  <c r="DA300" i="1"/>
  <c r="CZ300" i="1"/>
  <c r="CT300" i="1" s="1"/>
  <c r="CY300" i="1"/>
  <c r="CS300" i="1" s="1"/>
  <c r="CX300" i="1"/>
  <c r="CV300" i="1"/>
  <c r="CU300" i="1"/>
  <c r="CR300" i="1"/>
  <c r="BZ300" i="1"/>
  <c r="CA300" i="1" s="1"/>
  <c r="BY300" i="1"/>
  <c r="BX300" i="1"/>
  <c r="BW300" i="1"/>
  <c r="BV300" i="1"/>
  <c r="BU300" i="1"/>
  <c r="CB300" i="1" s="1"/>
  <c r="BT300" i="1"/>
  <c r="BS300" i="1"/>
  <c r="AS300" i="1"/>
  <c r="AN300" i="1"/>
  <c r="AM300" i="1"/>
  <c r="AL300" i="1"/>
  <c r="AK300" i="1"/>
  <c r="AJ300" i="1"/>
  <c r="AI300" i="1"/>
  <c r="O300" i="1"/>
  <c r="D300" i="1" s="1"/>
  <c r="F300" i="1"/>
  <c r="E300" i="1"/>
  <c r="EA299" i="1"/>
  <c r="DZ299" i="1"/>
  <c r="DY299" i="1"/>
  <c r="DX299" i="1"/>
  <c r="DW299" i="1"/>
  <c r="DV299" i="1"/>
  <c r="DC299" i="1"/>
  <c r="DB299" i="1"/>
  <c r="CV299" i="1" s="1"/>
  <c r="DA299" i="1"/>
  <c r="CU299" i="1" s="1"/>
  <c r="CZ299" i="1"/>
  <c r="CY299" i="1"/>
  <c r="CX299" i="1"/>
  <c r="CR299" i="1" s="1"/>
  <c r="CW299" i="1"/>
  <c r="CT299" i="1"/>
  <c r="CS299" i="1"/>
  <c r="CA299" i="1"/>
  <c r="CB299" i="1" s="1"/>
  <c r="BZ299" i="1"/>
  <c r="BY299" i="1"/>
  <c r="BX299" i="1"/>
  <c r="BW299" i="1"/>
  <c r="BV299" i="1"/>
  <c r="BU299" i="1"/>
  <c r="BT299" i="1"/>
  <c r="BS299" i="1"/>
  <c r="AS299" i="1"/>
  <c r="AN299" i="1"/>
  <c r="AM299" i="1"/>
  <c r="AL299" i="1"/>
  <c r="AK299" i="1"/>
  <c r="AJ299" i="1"/>
  <c r="AI299" i="1"/>
  <c r="BC299" i="1" s="1"/>
  <c r="O299" i="1"/>
  <c r="D299" i="1" s="1"/>
  <c r="F299" i="1"/>
  <c r="E299" i="1"/>
  <c r="EA298" i="1"/>
  <c r="DZ298" i="1"/>
  <c r="DY298" i="1"/>
  <c r="DX298" i="1"/>
  <c r="DW298" i="1"/>
  <c r="DV298" i="1"/>
  <c r="DC298" i="1"/>
  <c r="CW298" i="1" s="1"/>
  <c r="DB298" i="1"/>
  <c r="DA298" i="1"/>
  <c r="CZ298" i="1"/>
  <c r="CT298" i="1" s="1"/>
  <c r="CY298" i="1"/>
  <c r="CS298" i="1" s="1"/>
  <c r="CX298" i="1"/>
  <c r="CV298" i="1"/>
  <c r="CU298" i="1"/>
  <c r="CR298" i="1"/>
  <c r="CC298" i="1"/>
  <c r="BZ298" i="1"/>
  <c r="CA298" i="1" s="1"/>
  <c r="BY298" i="1"/>
  <c r="BX298" i="1"/>
  <c r="BW298" i="1"/>
  <c r="BV298" i="1"/>
  <c r="BU298" i="1"/>
  <c r="BT298" i="1"/>
  <c r="BS298" i="1"/>
  <c r="AS298" i="1"/>
  <c r="AN298" i="1"/>
  <c r="AM298" i="1"/>
  <c r="AL298" i="1"/>
  <c r="AK298" i="1"/>
  <c r="AJ298" i="1"/>
  <c r="AI298" i="1"/>
  <c r="O298" i="1"/>
  <c r="D298" i="1" s="1"/>
  <c r="F298" i="1"/>
  <c r="E298" i="1"/>
  <c r="EA297" i="1"/>
  <c r="DZ297" i="1"/>
  <c r="DY297" i="1"/>
  <c r="DX297" i="1"/>
  <c r="DW297" i="1"/>
  <c r="DV297" i="1"/>
  <c r="DC297" i="1"/>
  <c r="DB297" i="1"/>
  <c r="CV297" i="1" s="1"/>
  <c r="DA297" i="1"/>
  <c r="CU297" i="1" s="1"/>
  <c r="CZ297" i="1"/>
  <c r="CY297" i="1"/>
  <c r="CX297" i="1"/>
  <c r="CR297" i="1" s="1"/>
  <c r="CW297" i="1"/>
  <c r="CT297" i="1"/>
  <c r="CS297" i="1"/>
  <c r="CB297" i="1"/>
  <c r="CA297" i="1"/>
  <c r="BZ297" i="1"/>
  <c r="BY297" i="1"/>
  <c r="BX297" i="1"/>
  <c r="BW297" i="1"/>
  <c r="BV297" i="1"/>
  <c r="BU297" i="1"/>
  <c r="CC297" i="1" s="1"/>
  <c r="BT297" i="1"/>
  <c r="BS297" i="1"/>
  <c r="AS297" i="1"/>
  <c r="AN297" i="1"/>
  <c r="AM297" i="1"/>
  <c r="AL297" i="1"/>
  <c r="AK297" i="1"/>
  <c r="AJ297" i="1"/>
  <c r="AI297" i="1"/>
  <c r="BC297" i="1" s="1"/>
  <c r="O297" i="1"/>
  <c r="D297" i="1" s="1"/>
  <c r="F297" i="1"/>
  <c r="E297" i="1"/>
  <c r="EA296" i="1"/>
  <c r="DZ296" i="1"/>
  <c r="DY296" i="1"/>
  <c r="DX296" i="1"/>
  <c r="DW296" i="1"/>
  <c r="DV296" i="1"/>
  <c r="DC296" i="1"/>
  <c r="CW296" i="1" s="1"/>
  <c r="DB296" i="1"/>
  <c r="DA296" i="1"/>
  <c r="CZ296" i="1"/>
  <c r="CT296" i="1" s="1"/>
  <c r="CY296" i="1"/>
  <c r="CS296" i="1" s="1"/>
  <c r="CX296" i="1"/>
  <c r="CV296" i="1"/>
  <c r="CU296" i="1"/>
  <c r="CR296" i="1"/>
  <c r="CC296" i="1"/>
  <c r="CB296" i="1"/>
  <c r="BZ296" i="1"/>
  <c r="CA296" i="1" s="1"/>
  <c r="BY296" i="1"/>
  <c r="BX296" i="1"/>
  <c r="BW296" i="1"/>
  <c r="BV296" i="1"/>
  <c r="BU296" i="1"/>
  <c r="BT296" i="1"/>
  <c r="BS296" i="1"/>
  <c r="AS296" i="1"/>
  <c r="AN296" i="1"/>
  <c r="AM296" i="1"/>
  <c r="AL296" i="1"/>
  <c r="AK296" i="1"/>
  <c r="AJ296" i="1"/>
  <c r="AI296" i="1"/>
  <c r="O296" i="1"/>
  <c r="D296" i="1" s="1"/>
  <c r="F296" i="1"/>
  <c r="E296" i="1"/>
  <c r="EA295" i="1"/>
  <c r="DZ295" i="1"/>
  <c r="DY295" i="1"/>
  <c r="DX295" i="1"/>
  <c r="DW295" i="1"/>
  <c r="DV295" i="1"/>
  <c r="DC295" i="1"/>
  <c r="DB295" i="1"/>
  <c r="DA295" i="1"/>
  <c r="CU295" i="1" s="1"/>
  <c r="CZ295" i="1"/>
  <c r="CT295" i="1" s="1"/>
  <c r="CY295" i="1"/>
  <c r="CX295" i="1"/>
  <c r="CW295" i="1"/>
  <c r="CV295" i="1"/>
  <c r="CS295" i="1"/>
  <c r="CR295" i="1"/>
  <c r="CB295" i="1"/>
  <c r="CA295" i="1"/>
  <c r="BZ295" i="1"/>
  <c r="BY295" i="1"/>
  <c r="BX295" i="1"/>
  <c r="BW295" i="1"/>
  <c r="BV295" i="1"/>
  <c r="BU295" i="1"/>
  <c r="CC295" i="1" s="1"/>
  <c r="BT295" i="1"/>
  <c r="BS295" i="1"/>
  <c r="AS295" i="1"/>
  <c r="AN295" i="1"/>
  <c r="AM295" i="1"/>
  <c r="AL295" i="1"/>
  <c r="AK295" i="1"/>
  <c r="AJ295" i="1"/>
  <c r="AI295" i="1"/>
  <c r="BC295" i="1" s="1"/>
  <c r="O295" i="1"/>
  <c r="D295" i="1" s="1"/>
  <c r="F295" i="1"/>
  <c r="E295" i="1"/>
  <c r="EA294" i="1"/>
  <c r="DZ294" i="1"/>
  <c r="DY294" i="1"/>
  <c r="DX294" i="1"/>
  <c r="DW294" i="1"/>
  <c r="DV294" i="1"/>
  <c r="DC294" i="1"/>
  <c r="CW294" i="1" s="1"/>
  <c r="DB294" i="1"/>
  <c r="DA294" i="1"/>
  <c r="CZ294" i="1"/>
  <c r="CT294" i="1" s="1"/>
  <c r="CY294" i="1"/>
  <c r="CS294" i="1" s="1"/>
  <c r="CX294" i="1"/>
  <c r="CV294" i="1"/>
  <c r="CU294" i="1"/>
  <c r="CR294" i="1"/>
  <c r="BZ294" i="1"/>
  <c r="CA294" i="1" s="1"/>
  <c r="BY294" i="1"/>
  <c r="BX294" i="1"/>
  <c r="BW294" i="1"/>
  <c r="BV294" i="1"/>
  <c r="BU294" i="1"/>
  <c r="CC294" i="1" s="1"/>
  <c r="BT294" i="1"/>
  <c r="BS294" i="1"/>
  <c r="AS294" i="1"/>
  <c r="AN294" i="1"/>
  <c r="AM294" i="1"/>
  <c r="AL294" i="1"/>
  <c r="AK294" i="1"/>
  <c r="AJ294" i="1"/>
  <c r="AI294" i="1"/>
  <c r="O294" i="1"/>
  <c r="D294" i="1" s="1"/>
  <c r="F294" i="1"/>
  <c r="E294" i="1"/>
  <c r="EA293" i="1"/>
  <c r="DZ293" i="1"/>
  <c r="DY293" i="1"/>
  <c r="DX293" i="1"/>
  <c r="DW293" i="1"/>
  <c r="DV293" i="1"/>
  <c r="DC293" i="1"/>
  <c r="DB293" i="1"/>
  <c r="CV293" i="1" s="1"/>
  <c r="DA293" i="1"/>
  <c r="CU293" i="1" s="1"/>
  <c r="CZ293" i="1"/>
  <c r="CT293" i="1" s="1"/>
  <c r="CY293" i="1"/>
  <c r="CX293" i="1"/>
  <c r="CR293" i="1" s="1"/>
  <c r="CW293" i="1"/>
  <c r="CS293" i="1"/>
  <c r="BZ293" i="1"/>
  <c r="CA293" i="1" s="1"/>
  <c r="CB293" i="1" s="1"/>
  <c r="BY293" i="1"/>
  <c r="BX293" i="1"/>
  <c r="BW293" i="1"/>
  <c r="BV293" i="1"/>
  <c r="BU293" i="1"/>
  <c r="BT293" i="1"/>
  <c r="BS293" i="1"/>
  <c r="AS293" i="1"/>
  <c r="AN293" i="1"/>
  <c r="AM293" i="1"/>
  <c r="AL293" i="1"/>
  <c r="AK293" i="1"/>
  <c r="AJ293" i="1"/>
  <c r="AI293" i="1"/>
  <c r="BC293" i="1" s="1"/>
  <c r="O293" i="1"/>
  <c r="D293" i="1" s="1"/>
  <c r="F293" i="1"/>
  <c r="E293" i="1"/>
  <c r="EA292" i="1"/>
  <c r="DZ292" i="1"/>
  <c r="DY292" i="1"/>
  <c r="DX292" i="1"/>
  <c r="DW292" i="1"/>
  <c r="DV292" i="1"/>
  <c r="DC292" i="1"/>
  <c r="CW292" i="1" s="1"/>
  <c r="DB292" i="1"/>
  <c r="CV292" i="1" s="1"/>
  <c r="DA292" i="1"/>
  <c r="CZ292" i="1"/>
  <c r="CY292" i="1"/>
  <c r="CS292" i="1" s="1"/>
  <c r="CX292" i="1"/>
  <c r="CU292" i="1"/>
  <c r="CT292" i="1"/>
  <c r="CR292" i="1"/>
  <c r="BZ292" i="1"/>
  <c r="CA292" i="1" s="1"/>
  <c r="BY292" i="1"/>
  <c r="BX292" i="1"/>
  <c r="BW292" i="1"/>
  <c r="BV292" i="1"/>
  <c r="BU292" i="1"/>
  <c r="CC292" i="1" s="1"/>
  <c r="BT292" i="1"/>
  <c r="BS292" i="1"/>
  <c r="AS292" i="1"/>
  <c r="AN292" i="1"/>
  <c r="AM292" i="1"/>
  <c r="AL292" i="1"/>
  <c r="AK292" i="1"/>
  <c r="AJ292" i="1"/>
  <c r="AI292" i="1"/>
  <c r="O292" i="1"/>
  <c r="D292" i="1" s="1"/>
  <c r="F292" i="1"/>
  <c r="E292" i="1"/>
  <c r="EA291" i="1"/>
  <c r="DZ291" i="1"/>
  <c r="DY291" i="1"/>
  <c r="DX291" i="1"/>
  <c r="DW291" i="1"/>
  <c r="DV291" i="1"/>
  <c r="DC291" i="1"/>
  <c r="DB291" i="1"/>
  <c r="CV291" i="1" s="1"/>
  <c r="DA291" i="1"/>
  <c r="CU291" i="1" s="1"/>
  <c r="CZ291" i="1"/>
  <c r="CY291" i="1"/>
  <c r="CX291" i="1"/>
  <c r="CR291" i="1" s="1"/>
  <c r="CW291" i="1"/>
  <c r="CT291" i="1"/>
  <c r="CS291" i="1"/>
  <c r="BZ291" i="1"/>
  <c r="CA291" i="1" s="1"/>
  <c r="CB291" i="1" s="1"/>
  <c r="BY291" i="1"/>
  <c r="BX291" i="1"/>
  <c r="BW291" i="1"/>
  <c r="BV291" i="1"/>
  <c r="BU291" i="1"/>
  <c r="BT291" i="1"/>
  <c r="BS291" i="1"/>
  <c r="AS291" i="1"/>
  <c r="AN291" i="1"/>
  <c r="AM291" i="1"/>
  <c r="AL291" i="1"/>
  <c r="AK291" i="1"/>
  <c r="AJ291" i="1"/>
  <c r="AI291" i="1"/>
  <c r="BC291" i="1" s="1"/>
  <c r="O291" i="1"/>
  <c r="D291" i="1" s="1"/>
  <c r="F291" i="1"/>
  <c r="E291" i="1"/>
  <c r="EA290" i="1"/>
  <c r="DZ290" i="1"/>
  <c r="DY290" i="1"/>
  <c r="DX290" i="1"/>
  <c r="DW290" i="1"/>
  <c r="DV290" i="1"/>
  <c r="DC290" i="1"/>
  <c r="CW290" i="1" s="1"/>
  <c r="DB290" i="1"/>
  <c r="CV290" i="1" s="1"/>
  <c r="DA290" i="1"/>
  <c r="CZ290" i="1"/>
  <c r="CY290" i="1"/>
  <c r="CS290" i="1" s="1"/>
  <c r="CX290" i="1"/>
  <c r="CU290" i="1"/>
  <c r="CT290" i="1"/>
  <c r="CR290" i="1"/>
  <c r="BZ290" i="1"/>
  <c r="CA290" i="1" s="1"/>
  <c r="CB290" i="1" s="1"/>
  <c r="BY290" i="1"/>
  <c r="BX290" i="1"/>
  <c r="BW290" i="1"/>
  <c r="BV290" i="1"/>
  <c r="BU290" i="1"/>
  <c r="CC290" i="1" s="1"/>
  <c r="BT290" i="1"/>
  <c r="BS290" i="1"/>
  <c r="AS290" i="1"/>
  <c r="AN290" i="1"/>
  <c r="AM290" i="1"/>
  <c r="AL290" i="1"/>
  <c r="AK290" i="1"/>
  <c r="AJ290" i="1"/>
  <c r="AI290" i="1"/>
  <c r="O290" i="1"/>
  <c r="D290" i="1" s="1"/>
  <c r="F290" i="1"/>
  <c r="E290" i="1"/>
  <c r="EA289" i="1"/>
  <c r="DZ289" i="1"/>
  <c r="DY289" i="1"/>
  <c r="DX289" i="1"/>
  <c r="DW289" i="1"/>
  <c r="DV289" i="1"/>
  <c r="DC289" i="1"/>
  <c r="DB289" i="1"/>
  <c r="DA289" i="1"/>
  <c r="CU289" i="1" s="1"/>
  <c r="CZ289" i="1"/>
  <c r="CY289" i="1"/>
  <c r="CX289" i="1"/>
  <c r="CR289" i="1" s="1"/>
  <c r="CW289" i="1"/>
  <c r="CV289" i="1"/>
  <c r="CT289" i="1"/>
  <c r="CS289" i="1"/>
  <c r="CA289" i="1"/>
  <c r="CB289" i="1" s="1"/>
  <c r="BZ289" i="1"/>
  <c r="BY289" i="1"/>
  <c r="BX289" i="1"/>
  <c r="BW289" i="1"/>
  <c r="BV289" i="1"/>
  <c r="BU289" i="1"/>
  <c r="BT289" i="1"/>
  <c r="BS289" i="1"/>
  <c r="AS289" i="1"/>
  <c r="AN289" i="1"/>
  <c r="AM289" i="1"/>
  <c r="AL289" i="1"/>
  <c r="AK289" i="1"/>
  <c r="AJ289" i="1"/>
  <c r="AI289" i="1"/>
  <c r="BC289" i="1" s="1"/>
  <c r="O289" i="1"/>
  <c r="D289" i="1" s="1"/>
  <c r="F289" i="1"/>
  <c r="E289" i="1"/>
  <c r="EA288" i="1"/>
  <c r="DZ288" i="1"/>
  <c r="DY288" i="1"/>
  <c r="DX288" i="1"/>
  <c r="DW288" i="1"/>
  <c r="DV288" i="1"/>
  <c r="DC288" i="1"/>
  <c r="CW288" i="1" s="1"/>
  <c r="DB288" i="1"/>
  <c r="DA288" i="1"/>
  <c r="CZ288" i="1"/>
  <c r="CT288" i="1" s="1"/>
  <c r="CY288" i="1"/>
  <c r="CS288" i="1" s="1"/>
  <c r="CX288" i="1"/>
  <c r="CV288" i="1"/>
  <c r="CU288" i="1"/>
  <c r="CR288" i="1"/>
  <c r="CC288" i="1"/>
  <c r="CB288" i="1"/>
  <c r="BZ288" i="1"/>
  <c r="CA288" i="1" s="1"/>
  <c r="BY288" i="1"/>
  <c r="BX288" i="1"/>
  <c r="BW288" i="1"/>
  <c r="BV288" i="1"/>
  <c r="BU288" i="1"/>
  <c r="BT288" i="1"/>
  <c r="BS288" i="1"/>
  <c r="AS288" i="1"/>
  <c r="AN288" i="1"/>
  <c r="AM288" i="1"/>
  <c r="AL288" i="1"/>
  <c r="AK288" i="1"/>
  <c r="AJ288" i="1"/>
  <c r="AI288" i="1"/>
  <c r="O288" i="1"/>
  <c r="D288" i="1" s="1"/>
  <c r="F288" i="1"/>
  <c r="E288" i="1"/>
  <c r="EA287" i="1"/>
  <c r="DZ287" i="1"/>
  <c r="DY287" i="1"/>
  <c r="DX287" i="1"/>
  <c r="DW287" i="1"/>
  <c r="DV287" i="1"/>
  <c r="DC287" i="1"/>
  <c r="DB287" i="1"/>
  <c r="DA287" i="1"/>
  <c r="CU287" i="1" s="1"/>
  <c r="CZ287" i="1"/>
  <c r="CT287" i="1" s="1"/>
  <c r="CY287" i="1"/>
  <c r="CX287" i="1"/>
  <c r="CW287" i="1"/>
  <c r="CV287" i="1"/>
  <c r="CS287" i="1"/>
  <c r="CR287" i="1"/>
  <c r="CB287" i="1"/>
  <c r="CA287" i="1"/>
  <c r="BZ287" i="1"/>
  <c r="BY287" i="1"/>
  <c r="BX287" i="1"/>
  <c r="BW287" i="1"/>
  <c r="BV287" i="1"/>
  <c r="BU287" i="1"/>
  <c r="CC287" i="1" s="1"/>
  <c r="BT287" i="1"/>
  <c r="BS287" i="1"/>
  <c r="AS287" i="1"/>
  <c r="AN287" i="1"/>
  <c r="AM287" i="1"/>
  <c r="AL287" i="1"/>
  <c r="AK287" i="1"/>
  <c r="AJ287" i="1"/>
  <c r="AI287" i="1"/>
  <c r="BC287" i="1" s="1"/>
  <c r="O287" i="1"/>
  <c r="D287" i="1" s="1"/>
  <c r="F287" i="1"/>
  <c r="E287" i="1"/>
  <c r="EA286" i="1"/>
  <c r="DZ286" i="1"/>
  <c r="DY286" i="1"/>
  <c r="DX286" i="1"/>
  <c r="DW286" i="1"/>
  <c r="DV286" i="1"/>
  <c r="DC286" i="1"/>
  <c r="CW286" i="1" s="1"/>
  <c r="DB286" i="1"/>
  <c r="DA286" i="1"/>
  <c r="CZ286" i="1"/>
  <c r="CT286" i="1" s="1"/>
  <c r="CY286" i="1"/>
  <c r="CS286" i="1" s="1"/>
  <c r="CX286" i="1"/>
  <c r="CV286" i="1"/>
  <c r="CU286" i="1"/>
  <c r="CR286" i="1"/>
  <c r="BZ286" i="1"/>
  <c r="CA286" i="1" s="1"/>
  <c r="BY286" i="1"/>
  <c r="BX286" i="1"/>
  <c r="BW286" i="1"/>
  <c r="BV286" i="1"/>
  <c r="BU286" i="1"/>
  <c r="CC286" i="1" s="1"/>
  <c r="BT286" i="1"/>
  <c r="BS286" i="1"/>
  <c r="AS286" i="1"/>
  <c r="AN286" i="1"/>
  <c r="AM286" i="1"/>
  <c r="AL286" i="1"/>
  <c r="AK286" i="1"/>
  <c r="AJ286" i="1"/>
  <c r="AI286" i="1"/>
  <c r="O286" i="1"/>
  <c r="D286" i="1" s="1"/>
  <c r="F286" i="1"/>
  <c r="E286" i="1"/>
  <c r="EA285" i="1"/>
  <c r="DZ285" i="1"/>
  <c r="DY285" i="1"/>
  <c r="DX285" i="1"/>
  <c r="DW285" i="1"/>
  <c r="DV285" i="1"/>
  <c r="DC285" i="1"/>
  <c r="DB285" i="1"/>
  <c r="CV285" i="1" s="1"/>
  <c r="DA285" i="1"/>
  <c r="CU285" i="1" s="1"/>
  <c r="CZ285" i="1"/>
  <c r="CT285" i="1" s="1"/>
  <c r="CY285" i="1"/>
  <c r="CX285" i="1"/>
  <c r="CR285" i="1" s="1"/>
  <c r="CW285" i="1"/>
  <c r="CS285" i="1"/>
  <c r="BZ285" i="1"/>
  <c r="CA285" i="1" s="1"/>
  <c r="CB285" i="1" s="1"/>
  <c r="BY285" i="1"/>
  <c r="BX285" i="1"/>
  <c r="BW285" i="1"/>
  <c r="BV285" i="1"/>
  <c r="BU285" i="1"/>
  <c r="BT285" i="1"/>
  <c r="BS285" i="1"/>
  <c r="AS285" i="1"/>
  <c r="AN285" i="1"/>
  <c r="AM285" i="1"/>
  <c r="AL285" i="1"/>
  <c r="AK285" i="1"/>
  <c r="AJ285" i="1"/>
  <c r="AI285" i="1"/>
  <c r="BC285" i="1" s="1"/>
  <c r="O285" i="1"/>
  <c r="F285" i="1"/>
  <c r="E285" i="1"/>
  <c r="D285" i="1"/>
  <c r="EA284" i="1"/>
  <c r="DZ284" i="1"/>
  <c r="DY284" i="1"/>
  <c r="DX284" i="1"/>
  <c r="DW284" i="1"/>
  <c r="DV284" i="1"/>
  <c r="DC284" i="1"/>
  <c r="CW284" i="1" s="1"/>
  <c r="DB284" i="1"/>
  <c r="CV284" i="1" s="1"/>
  <c r="DA284" i="1"/>
  <c r="CZ284" i="1"/>
  <c r="CY284" i="1"/>
  <c r="CS284" i="1" s="1"/>
  <c r="CX284" i="1"/>
  <c r="CU284" i="1"/>
  <c r="CT284" i="1"/>
  <c r="CR284" i="1"/>
  <c r="BZ284" i="1"/>
  <c r="CA284" i="1" s="1"/>
  <c r="BY284" i="1"/>
  <c r="BX284" i="1"/>
  <c r="BW284" i="1"/>
  <c r="BV284" i="1"/>
  <c r="BU284" i="1"/>
  <c r="CC284" i="1" s="1"/>
  <c r="BT284" i="1"/>
  <c r="BS284" i="1"/>
  <c r="AS284" i="1"/>
  <c r="AN284" i="1"/>
  <c r="AM284" i="1"/>
  <c r="AL284" i="1"/>
  <c r="AK284" i="1"/>
  <c r="AJ284" i="1"/>
  <c r="AI284" i="1"/>
  <c r="O284" i="1"/>
  <c r="D284" i="1" s="1"/>
  <c r="F284" i="1"/>
  <c r="E284" i="1"/>
  <c r="EA283" i="1"/>
  <c r="DZ283" i="1"/>
  <c r="DY283" i="1"/>
  <c r="DX283" i="1"/>
  <c r="DW283" i="1"/>
  <c r="DV283" i="1"/>
  <c r="DC283" i="1"/>
  <c r="DB283" i="1"/>
  <c r="CV283" i="1" s="1"/>
  <c r="DA283" i="1"/>
  <c r="CU283" i="1" s="1"/>
  <c r="CZ283" i="1"/>
  <c r="CY283" i="1"/>
  <c r="CX283" i="1"/>
  <c r="CR283" i="1" s="1"/>
  <c r="CW283" i="1"/>
  <c r="CT283" i="1"/>
  <c r="CS283" i="1"/>
  <c r="BZ283" i="1"/>
  <c r="CA283" i="1" s="1"/>
  <c r="CB283" i="1" s="1"/>
  <c r="BY283" i="1"/>
  <c r="BX283" i="1"/>
  <c r="BW283" i="1"/>
  <c r="BV283" i="1"/>
  <c r="BU283" i="1"/>
  <c r="BT283" i="1"/>
  <c r="BS283" i="1"/>
  <c r="AS283" i="1"/>
  <c r="AN283" i="1"/>
  <c r="AM283" i="1"/>
  <c r="AL283" i="1"/>
  <c r="AK283" i="1"/>
  <c r="AJ283" i="1"/>
  <c r="AI283" i="1"/>
  <c r="BC283" i="1" s="1"/>
  <c r="O283" i="1"/>
  <c r="D283" i="1" s="1"/>
  <c r="F283" i="1"/>
  <c r="E283" i="1"/>
  <c r="EA282" i="1"/>
  <c r="DZ282" i="1"/>
  <c r="DY282" i="1"/>
  <c r="DX282" i="1"/>
  <c r="DW282" i="1"/>
  <c r="DV282" i="1"/>
  <c r="DC282" i="1"/>
  <c r="CW282" i="1" s="1"/>
  <c r="DB282" i="1"/>
  <c r="CV282" i="1" s="1"/>
  <c r="DA282" i="1"/>
  <c r="CZ282" i="1"/>
  <c r="CY282" i="1"/>
  <c r="CS282" i="1" s="1"/>
  <c r="CX282" i="1"/>
  <c r="CU282" i="1"/>
  <c r="CT282" i="1"/>
  <c r="CR282" i="1"/>
  <c r="BZ282" i="1"/>
  <c r="CA282" i="1" s="1"/>
  <c r="CB282" i="1" s="1"/>
  <c r="BY282" i="1"/>
  <c r="BX282" i="1"/>
  <c r="BW282" i="1"/>
  <c r="BV282" i="1"/>
  <c r="BU282" i="1"/>
  <c r="CC282" i="1" s="1"/>
  <c r="BT282" i="1"/>
  <c r="BS282" i="1"/>
  <c r="AS282" i="1"/>
  <c r="AN282" i="1"/>
  <c r="AM282" i="1"/>
  <c r="AL282" i="1"/>
  <c r="AK282" i="1"/>
  <c r="AJ282" i="1"/>
  <c r="AI282" i="1"/>
  <c r="BC282" i="1" s="1"/>
  <c r="O282" i="1"/>
  <c r="F282" i="1"/>
  <c r="E282" i="1"/>
  <c r="D282" i="1"/>
  <c r="EA281" i="1"/>
  <c r="DZ281" i="1"/>
  <c r="DY281" i="1"/>
  <c r="DX281" i="1"/>
  <c r="DW281" i="1"/>
  <c r="DV281" i="1"/>
  <c r="DC281" i="1"/>
  <c r="CW281" i="1" s="1"/>
  <c r="DB281" i="1"/>
  <c r="CV281" i="1" s="1"/>
  <c r="DA281" i="1"/>
  <c r="CZ281" i="1"/>
  <c r="CY281" i="1"/>
  <c r="CS281" i="1" s="1"/>
  <c r="CX281" i="1"/>
  <c r="CR281" i="1" s="1"/>
  <c r="CU281" i="1"/>
  <c r="CT281" i="1"/>
  <c r="CB281" i="1"/>
  <c r="CA281" i="1"/>
  <c r="BZ281" i="1"/>
  <c r="BY281" i="1"/>
  <c r="BX281" i="1"/>
  <c r="BW281" i="1"/>
  <c r="BV281" i="1"/>
  <c r="BU281" i="1"/>
  <c r="CC281" i="1" s="1"/>
  <c r="BT281" i="1"/>
  <c r="BS281" i="1"/>
  <c r="AS281" i="1"/>
  <c r="AN281" i="1"/>
  <c r="AM281" i="1"/>
  <c r="AL281" i="1"/>
  <c r="AK281" i="1"/>
  <c r="AJ281" i="1"/>
  <c r="AI281" i="1"/>
  <c r="O281" i="1"/>
  <c r="D281" i="1" s="1"/>
  <c r="F281" i="1"/>
  <c r="E281" i="1"/>
  <c r="EA280" i="1"/>
  <c r="DZ280" i="1"/>
  <c r="DY280" i="1"/>
  <c r="DX280" i="1"/>
  <c r="DW280" i="1"/>
  <c r="DV280" i="1"/>
  <c r="DC280" i="1"/>
  <c r="DB280" i="1"/>
  <c r="DA280" i="1"/>
  <c r="CU280" i="1" s="1"/>
  <c r="CZ280" i="1"/>
  <c r="CT280" i="1" s="1"/>
  <c r="CY280" i="1"/>
  <c r="CX280" i="1"/>
  <c r="CW280" i="1"/>
  <c r="CV280" i="1"/>
  <c r="CS280" i="1"/>
  <c r="CR280" i="1"/>
  <c r="BZ280" i="1"/>
  <c r="CA280" i="1" s="1"/>
  <c r="BY280" i="1"/>
  <c r="BX280" i="1"/>
  <c r="BW280" i="1"/>
  <c r="BV280" i="1"/>
  <c r="BU280" i="1"/>
  <c r="CC280" i="1" s="1"/>
  <c r="BT280" i="1"/>
  <c r="BS280" i="1"/>
  <c r="BC280" i="1"/>
  <c r="AS280" i="1"/>
  <c r="AN280" i="1"/>
  <c r="AM280" i="1"/>
  <c r="AL280" i="1"/>
  <c r="AK280" i="1"/>
  <c r="AJ280" i="1"/>
  <c r="AI280" i="1"/>
  <c r="O280" i="1"/>
  <c r="D280" i="1" s="1"/>
  <c r="F280" i="1"/>
  <c r="E280" i="1"/>
  <c r="EA279" i="1"/>
  <c r="DZ279" i="1"/>
  <c r="DY279" i="1"/>
  <c r="DX279" i="1"/>
  <c r="DW279" i="1"/>
  <c r="DV279" i="1"/>
  <c r="DC279" i="1"/>
  <c r="CW279" i="1" s="1"/>
  <c r="DB279" i="1"/>
  <c r="CV279" i="1" s="1"/>
  <c r="DA279" i="1"/>
  <c r="CZ279" i="1"/>
  <c r="CY279" i="1"/>
  <c r="CS279" i="1" s="1"/>
  <c r="CX279" i="1"/>
  <c r="CR279" i="1" s="1"/>
  <c r="CU279" i="1"/>
  <c r="CT279" i="1"/>
  <c r="CB279" i="1"/>
  <c r="CA279" i="1"/>
  <c r="BZ279" i="1"/>
  <c r="BY279" i="1"/>
  <c r="BX279" i="1"/>
  <c r="BW279" i="1"/>
  <c r="BV279" i="1"/>
  <c r="BU279" i="1"/>
  <c r="CC279" i="1" s="1"/>
  <c r="BT279" i="1"/>
  <c r="BS279" i="1"/>
  <c r="AS279" i="1"/>
  <c r="AN279" i="1"/>
  <c r="AM279" i="1"/>
  <c r="AL279" i="1"/>
  <c r="AK279" i="1"/>
  <c r="AJ279" i="1"/>
  <c r="AI279" i="1"/>
  <c r="O279" i="1"/>
  <c r="D279" i="1" s="1"/>
  <c r="F279" i="1"/>
  <c r="E279" i="1"/>
  <c r="EA278" i="1"/>
  <c r="DZ278" i="1"/>
  <c r="DY278" i="1"/>
  <c r="DX278" i="1"/>
  <c r="DW278" i="1"/>
  <c r="DV278" i="1"/>
  <c r="DC278" i="1"/>
  <c r="DB278" i="1"/>
  <c r="DA278" i="1"/>
  <c r="CU278" i="1" s="1"/>
  <c r="CZ278" i="1"/>
  <c r="CT278" i="1" s="1"/>
  <c r="CY278" i="1"/>
  <c r="CX278" i="1"/>
  <c r="CW278" i="1"/>
  <c r="CV278" i="1"/>
  <c r="CS278" i="1"/>
  <c r="CR278" i="1"/>
  <c r="BZ278" i="1"/>
  <c r="CA278" i="1" s="1"/>
  <c r="BY278" i="1"/>
  <c r="BX278" i="1"/>
  <c r="BW278" i="1"/>
  <c r="BV278" i="1"/>
  <c r="BU278" i="1"/>
  <c r="CC278" i="1" s="1"/>
  <c r="BT278" i="1"/>
  <c r="BS278" i="1"/>
  <c r="AS278" i="1"/>
  <c r="AN278" i="1"/>
  <c r="AM278" i="1"/>
  <c r="AL278" i="1"/>
  <c r="AK278" i="1"/>
  <c r="AJ278" i="1"/>
  <c r="AI278" i="1"/>
  <c r="BC278" i="1" s="1"/>
  <c r="O278" i="1"/>
  <c r="D278" i="1" s="1"/>
  <c r="F278" i="1"/>
  <c r="E278" i="1"/>
  <c r="EA277" i="1"/>
  <c r="DZ277" i="1"/>
  <c r="DY277" i="1"/>
  <c r="DX277" i="1"/>
  <c r="DW277" i="1"/>
  <c r="DV277" i="1"/>
  <c r="DC277" i="1"/>
  <c r="CW277" i="1" s="1"/>
  <c r="DB277" i="1"/>
  <c r="CV277" i="1" s="1"/>
  <c r="DA277" i="1"/>
  <c r="CZ277" i="1"/>
  <c r="CY277" i="1"/>
  <c r="CS277" i="1" s="1"/>
  <c r="CX277" i="1"/>
  <c r="CR277" i="1" s="1"/>
  <c r="CU277" i="1"/>
  <c r="CT277" i="1"/>
  <c r="CB277" i="1"/>
  <c r="CA277" i="1"/>
  <c r="BZ277" i="1"/>
  <c r="BY277" i="1"/>
  <c r="BX277" i="1"/>
  <c r="BW277" i="1"/>
  <c r="BV277" i="1"/>
  <c r="BU277" i="1"/>
  <c r="CC277" i="1" s="1"/>
  <c r="BT277" i="1"/>
  <c r="BS277" i="1"/>
  <c r="AS277" i="1"/>
  <c r="AN277" i="1"/>
  <c r="AM277" i="1"/>
  <c r="AL277" i="1"/>
  <c r="AK277" i="1"/>
  <c r="AJ277" i="1"/>
  <c r="AI277" i="1"/>
  <c r="O277" i="1"/>
  <c r="D277" i="1" s="1"/>
  <c r="F277" i="1"/>
  <c r="E277" i="1"/>
  <c r="EA276" i="1"/>
  <c r="DZ276" i="1"/>
  <c r="DY276" i="1"/>
  <c r="DX276" i="1"/>
  <c r="DW276" i="1"/>
  <c r="DV276" i="1"/>
  <c r="DC276" i="1"/>
  <c r="DB276" i="1"/>
  <c r="DA276" i="1"/>
  <c r="CU276" i="1" s="1"/>
  <c r="CZ276" i="1"/>
  <c r="CT276" i="1" s="1"/>
  <c r="CY276" i="1"/>
  <c r="CX276" i="1"/>
  <c r="CW276" i="1"/>
  <c r="CV276" i="1"/>
  <c r="CS276" i="1"/>
  <c r="CR276" i="1"/>
  <c r="BZ276" i="1"/>
  <c r="CA276" i="1" s="1"/>
  <c r="BY276" i="1"/>
  <c r="BX276" i="1"/>
  <c r="BW276" i="1"/>
  <c r="BV276" i="1"/>
  <c r="BU276" i="1"/>
  <c r="BT276" i="1"/>
  <c r="BS276" i="1"/>
  <c r="AS276" i="1"/>
  <c r="AN276" i="1"/>
  <c r="AM276" i="1"/>
  <c r="AL276" i="1"/>
  <c r="AK276" i="1"/>
  <c r="AJ276" i="1"/>
  <c r="AI276" i="1"/>
  <c r="BC276" i="1" s="1"/>
  <c r="O276" i="1"/>
  <c r="D276" i="1" s="1"/>
  <c r="F276" i="1"/>
  <c r="E276" i="1"/>
  <c r="EA275" i="1"/>
  <c r="DZ275" i="1"/>
  <c r="DY275" i="1"/>
  <c r="DX275" i="1"/>
  <c r="DW275" i="1"/>
  <c r="DV275" i="1"/>
  <c r="DC275" i="1"/>
  <c r="CW275" i="1" s="1"/>
  <c r="DB275" i="1"/>
  <c r="CV275" i="1" s="1"/>
  <c r="DA275" i="1"/>
  <c r="CZ275" i="1"/>
  <c r="CY275" i="1"/>
  <c r="CS275" i="1" s="1"/>
  <c r="CX275" i="1"/>
  <c r="CR275" i="1" s="1"/>
  <c r="CU275" i="1"/>
  <c r="CT275" i="1"/>
  <c r="CB275" i="1"/>
  <c r="CA275" i="1"/>
  <c r="BZ275" i="1"/>
  <c r="BY275" i="1"/>
  <c r="BX275" i="1"/>
  <c r="BW275" i="1"/>
  <c r="BV275" i="1"/>
  <c r="BU275" i="1"/>
  <c r="CC275" i="1" s="1"/>
  <c r="BT275" i="1"/>
  <c r="BS275" i="1"/>
  <c r="AS275" i="1"/>
  <c r="AN275" i="1"/>
  <c r="AM275" i="1"/>
  <c r="AL275" i="1"/>
  <c r="AK275" i="1"/>
  <c r="AJ275" i="1"/>
  <c r="AI275" i="1"/>
  <c r="O275" i="1"/>
  <c r="D275" i="1" s="1"/>
  <c r="F275" i="1"/>
  <c r="E275" i="1"/>
  <c r="EA274" i="1"/>
  <c r="DZ274" i="1"/>
  <c r="DY274" i="1"/>
  <c r="DX274" i="1"/>
  <c r="DW274" i="1"/>
  <c r="DV274" i="1"/>
  <c r="DC274" i="1"/>
  <c r="DB274" i="1"/>
  <c r="DA274" i="1"/>
  <c r="CU274" i="1" s="1"/>
  <c r="CZ274" i="1"/>
  <c r="CT274" i="1" s="1"/>
  <c r="CY274" i="1"/>
  <c r="CX274" i="1"/>
  <c r="CW274" i="1"/>
  <c r="CV274" i="1"/>
  <c r="CS274" i="1"/>
  <c r="CR274" i="1"/>
  <c r="BZ274" i="1"/>
  <c r="CA274" i="1" s="1"/>
  <c r="BY274" i="1"/>
  <c r="BX274" i="1"/>
  <c r="BW274" i="1"/>
  <c r="BV274" i="1"/>
  <c r="BU274" i="1"/>
  <c r="CC274" i="1" s="1"/>
  <c r="BT274" i="1"/>
  <c r="BS274" i="1"/>
  <c r="AS274" i="1"/>
  <c r="AN274" i="1"/>
  <c r="AM274" i="1"/>
  <c r="AL274" i="1"/>
  <c r="AK274" i="1"/>
  <c r="AJ274" i="1"/>
  <c r="AI274" i="1"/>
  <c r="BC274" i="1" s="1"/>
  <c r="O274" i="1"/>
  <c r="D274" i="1" s="1"/>
  <c r="F274" i="1"/>
  <c r="E274" i="1"/>
  <c r="EA273" i="1"/>
  <c r="DZ273" i="1"/>
  <c r="DY273" i="1"/>
  <c r="DX273" i="1"/>
  <c r="DW273" i="1"/>
  <c r="DV273" i="1"/>
  <c r="DC273" i="1"/>
  <c r="CW273" i="1" s="1"/>
  <c r="DB273" i="1"/>
  <c r="CV273" i="1" s="1"/>
  <c r="DA273" i="1"/>
  <c r="CZ273" i="1"/>
  <c r="CY273" i="1"/>
  <c r="CS273" i="1" s="1"/>
  <c r="CX273" i="1"/>
  <c r="CR273" i="1" s="1"/>
  <c r="CU273" i="1"/>
  <c r="CT273" i="1"/>
  <c r="CB273" i="1"/>
  <c r="CA273" i="1"/>
  <c r="BZ273" i="1"/>
  <c r="BY273" i="1"/>
  <c r="BX273" i="1"/>
  <c r="BW273" i="1"/>
  <c r="BV273" i="1"/>
  <c r="BU273" i="1"/>
  <c r="CC273" i="1" s="1"/>
  <c r="BT273" i="1"/>
  <c r="BS273" i="1"/>
  <c r="AS273" i="1"/>
  <c r="AN273" i="1"/>
  <c r="AM273" i="1"/>
  <c r="AL273" i="1"/>
  <c r="AK273" i="1"/>
  <c r="AJ273" i="1"/>
  <c r="AI273" i="1"/>
  <c r="O273" i="1"/>
  <c r="F273" i="1"/>
  <c r="E273" i="1"/>
  <c r="D273" i="1"/>
  <c r="EA272" i="1"/>
  <c r="DZ272" i="1"/>
  <c r="DY272" i="1"/>
  <c r="DX272" i="1"/>
  <c r="DW272" i="1"/>
  <c r="DV272" i="1"/>
  <c r="DC272" i="1"/>
  <c r="DB272" i="1"/>
  <c r="DA272" i="1"/>
  <c r="CU272" i="1" s="1"/>
  <c r="CZ272" i="1"/>
  <c r="CT272" i="1" s="1"/>
  <c r="CY272" i="1"/>
  <c r="CX272" i="1"/>
  <c r="CW272" i="1"/>
  <c r="CV272" i="1"/>
  <c r="CS272" i="1"/>
  <c r="CR272" i="1"/>
  <c r="BZ272" i="1"/>
  <c r="CA272" i="1" s="1"/>
  <c r="BY272" i="1"/>
  <c r="BX272" i="1"/>
  <c r="BW272" i="1"/>
  <c r="BV272" i="1"/>
  <c r="BU272" i="1"/>
  <c r="CC272" i="1" s="1"/>
  <c r="BT272" i="1"/>
  <c r="BS272" i="1"/>
  <c r="AS272" i="1"/>
  <c r="AN272" i="1"/>
  <c r="AM272" i="1"/>
  <c r="AL272" i="1"/>
  <c r="AK272" i="1"/>
  <c r="AJ272" i="1"/>
  <c r="AI272" i="1"/>
  <c r="BC272" i="1" s="1"/>
  <c r="O272" i="1"/>
  <c r="F272" i="1"/>
  <c r="E272" i="1"/>
  <c r="D272" i="1"/>
  <c r="EA271" i="1"/>
  <c r="DZ271" i="1"/>
  <c r="DY271" i="1"/>
  <c r="DX271" i="1"/>
  <c r="DW271" i="1"/>
  <c r="DV271" i="1"/>
  <c r="DC271" i="1"/>
  <c r="CW271" i="1" s="1"/>
  <c r="DB271" i="1"/>
  <c r="CV271" i="1" s="1"/>
  <c r="DA271" i="1"/>
  <c r="CZ271" i="1"/>
  <c r="CY271" i="1"/>
  <c r="CS271" i="1" s="1"/>
  <c r="CX271" i="1"/>
  <c r="CR271" i="1" s="1"/>
  <c r="CU271" i="1"/>
  <c r="CT271" i="1"/>
  <c r="CB271" i="1"/>
  <c r="CA271" i="1"/>
  <c r="BZ271" i="1"/>
  <c r="BY271" i="1"/>
  <c r="BX271" i="1"/>
  <c r="BW271" i="1"/>
  <c r="BV271" i="1"/>
  <c r="BU271" i="1"/>
  <c r="CC271" i="1" s="1"/>
  <c r="BT271" i="1"/>
  <c r="BS271" i="1"/>
  <c r="AS271" i="1"/>
  <c r="AN271" i="1"/>
  <c r="AM271" i="1"/>
  <c r="AL271" i="1"/>
  <c r="AK271" i="1"/>
  <c r="AJ271" i="1"/>
  <c r="AI271" i="1"/>
  <c r="O271" i="1"/>
  <c r="D271" i="1" s="1"/>
  <c r="F271" i="1"/>
  <c r="E271" i="1"/>
  <c r="EA270" i="1"/>
  <c r="DZ270" i="1"/>
  <c r="DY270" i="1"/>
  <c r="DX270" i="1"/>
  <c r="DW270" i="1"/>
  <c r="DV270" i="1"/>
  <c r="DC270" i="1"/>
  <c r="DB270" i="1"/>
  <c r="DA270" i="1"/>
  <c r="CU270" i="1" s="1"/>
  <c r="CZ270" i="1"/>
  <c r="CT270" i="1" s="1"/>
  <c r="CY270" i="1"/>
  <c r="CX270" i="1"/>
  <c r="CW270" i="1"/>
  <c r="CV270" i="1"/>
  <c r="CS270" i="1"/>
  <c r="CR270" i="1"/>
  <c r="BZ270" i="1"/>
  <c r="CA270" i="1" s="1"/>
  <c r="BY270" i="1"/>
  <c r="BX270" i="1"/>
  <c r="BW270" i="1"/>
  <c r="BV270" i="1"/>
  <c r="BU270" i="1"/>
  <c r="CC270" i="1" s="1"/>
  <c r="BT270" i="1"/>
  <c r="BS270" i="1"/>
  <c r="BC270" i="1"/>
  <c r="AS270" i="1"/>
  <c r="AN270" i="1"/>
  <c r="AM270" i="1"/>
  <c r="AL270" i="1"/>
  <c r="AK270" i="1"/>
  <c r="AJ270" i="1"/>
  <c r="AI270" i="1"/>
  <c r="O270" i="1"/>
  <c r="D270" i="1" s="1"/>
  <c r="F270" i="1"/>
  <c r="E270" i="1"/>
  <c r="EA269" i="1"/>
  <c r="DZ269" i="1"/>
  <c r="DY269" i="1"/>
  <c r="DX269" i="1"/>
  <c r="DW269" i="1"/>
  <c r="DV269" i="1"/>
  <c r="DC269" i="1"/>
  <c r="CW269" i="1" s="1"/>
  <c r="DB269" i="1"/>
  <c r="CV269" i="1" s="1"/>
  <c r="DA269" i="1"/>
  <c r="CZ269" i="1"/>
  <c r="CY269" i="1"/>
  <c r="CS269" i="1" s="1"/>
  <c r="CX269" i="1"/>
  <c r="CR269" i="1" s="1"/>
  <c r="CU269" i="1"/>
  <c r="CT269" i="1"/>
  <c r="CB269" i="1"/>
  <c r="CA269" i="1"/>
  <c r="BZ269" i="1"/>
  <c r="BY269" i="1"/>
  <c r="BX269" i="1"/>
  <c r="BW269" i="1"/>
  <c r="BV269" i="1"/>
  <c r="BU269" i="1"/>
  <c r="CC269" i="1" s="1"/>
  <c r="BT269" i="1"/>
  <c r="BS269" i="1"/>
  <c r="AS269" i="1"/>
  <c r="AN269" i="1"/>
  <c r="AM269" i="1"/>
  <c r="AL269" i="1"/>
  <c r="AK269" i="1"/>
  <c r="AJ269" i="1"/>
  <c r="AI269" i="1"/>
  <c r="O269" i="1"/>
  <c r="D269" i="1" s="1"/>
  <c r="F269" i="1"/>
  <c r="E269" i="1"/>
  <c r="EA268" i="1"/>
  <c r="DZ268" i="1"/>
  <c r="DY268" i="1"/>
  <c r="DX268" i="1"/>
  <c r="DW268" i="1"/>
  <c r="DV268" i="1"/>
  <c r="DC268" i="1"/>
  <c r="DB268" i="1"/>
  <c r="DA268" i="1"/>
  <c r="CU268" i="1" s="1"/>
  <c r="CZ268" i="1"/>
  <c r="CT268" i="1" s="1"/>
  <c r="CY268" i="1"/>
  <c r="CX268" i="1"/>
  <c r="CW268" i="1"/>
  <c r="CV268" i="1"/>
  <c r="CS268" i="1"/>
  <c r="CR268" i="1"/>
  <c r="BZ268" i="1"/>
  <c r="CA268" i="1" s="1"/>
  <c r="BY268" i="1"/>
  <c r="BX268" i="1"/>
  <c r="BW268" i="1"/>
  <c r="BV268" i="1"/>
  <c r="BU268" i="1"/>
  <c r="BT268" i="1"/>
  <c r="BS268" i="1"/>
  <c r="BC268" i="1"/>
  <c r="AS268" i="1"/>
  <c r="AN268" i="1"/>
  <c r="AM268" i="1"/>
  <c r="AL268" i="1"/>
  <c r="AK268" i="1"/>
  <c r="AJ268" i="1"/>
  <c r="AI268" i="1"/>
  <c r="O268" i="1"/>
  <c r="D268" i="1" s="1"/>
  <c r="F268" i="1"/>
  <c r="E268" i="1"/>
  <c r="EA267" i="1"/>
  <c r="DZ267" i="1"/>
  <c r="DY267" i="1"/>
  <c r="DX267" i="1"/>
  <c r="DW267" i="1"/>
  <c r="DV267" i="1"/>
  <c r="DC267" i="1"/>
  <c r="CW267" i="1" s="1"/>
  <c r="DB267" i="1"/>
  <c r="CV267" i="1" s="1"/>
  <c r="DA267" i="1"/>
  <c r="CZ267" i="1"/>
  <c r="CY267" i="1"/>
  <c r="CS267" i="1" s="1"/>
  <c r="CX267" i="1"/>
  <c r="CR267" i="1" s="1"/>
  <c r="CU267" i="1"/>
  <c r="CT267" i="1"/>
  <c r="CB267" i="1"/>
  <c r="CA267" i="1"/>
  <c r="BZ267" i="1"/>
  <c r="BY267" i="1"/>
  <c r="BX267" i="1"/>
  <c r="BW267" i="1"/>
  <c r="BV267" i="1"/>
  <c r="BU267" i="1"/>
  <c r="CC267" i="1" s="1"/>
  <c r="BT267" i="1"/>
  <c r="BS267" i="1"/>
  <c r="AS267" i="1"/>
  <c r="AN267" i="1"/>
  <c r="AM267" i="1"/>
  <c r="AL267" i="1"/>
  <c r="AK267" i="1"/>
  <c r="AJ267" i="1"/>
  <c r="AI267" i="1"/>
  <c r="O267" i="1"/>
  <c r="F267" i="1"/>
  <c r="E267" i="1"/>
  <c r="D267" i="1"/>
  <c r="EA266" i="1"/>
  <c r="DZ266" i="1"/>
  <c r="DY266" i="1"/>
  <c r="DX266" i="1"/>
  <c r="DW266" i="1"/>
  <c r="DV266" i="1"/>
  <c r="DC266" i="1"/>
  <c r="DB266" i="1"/>
  <c r="DA266" i="1"/>
  <c r="CU266" i="1" s="1"/>
  <c r="CZ266" i="1"/>
  <c r="CT266" i="1" s="1"/>
  <c r="CY266" i="1"/>
  <c r="CX266" i="1"/>
  <c r="CW266" i="1"/>
  <c r="CV266" i="1"/>
  <c r="CS266" i="1"/>
  <c r="CR266" i="1"/>
  <c r="BZ266" i="1"/>
  <c r="CA266" i="1" s="1"/>
  <c r="BY266" i="1"/>
  <c r="BX266" i="1"/>
  <c r="BW266" i="1"/>
  <c r="BV266" i="1"/>
  <c r="BU266" i="1"/>
  <c r="CC266" i="1" s="1"/>
  <c r="BT266" i="1"/>
  <c r="BS266" i="1"/>
  <c r="AS266" i="1"/>
  <c r="AN266" i="1"/>
  <c r="AM266" i="1"/>
  <c r="AL266" i="1"/>
  <c r="AK266" i="1"/>
  <c r="AJ266" i="1"/>
  <c r="AI266" i="1"/>
  <c r="BC266" i="1" s="1"/>
  <c r="O266" i="1"/>
  <c r="F266" i="1"/>
  <c r="E266" i="1"/>
  <c r="D266" i="1"/>
  <c r="EA265" i="1"/>
  <c r="DZ265" i="1"/>
  <c r="DY265" i="1"/>
  <c r="DX265" i="1"/>
  <c r="DW265" i="1"/>
  <c r="DV265" i="1"/>
  <c r="DC265" i="1"/>
  <c r="CW265" i="1" s="1"/>
  <c r="DB265" i="1"/>
  <c r="CV265" i="1" s="1"/>
  <c r="DA265" i="1"/>
  <c r="CZ265" i="1"/>
  <c r="CY265" i="1"/>
  <c r="CS265" i="1" s="1"/>
  <c r="CX265" i="1"/>
  <c r="CR265" i="1" s="1"/>
  <c r="CU265" i="1"/>
  <c r="CT265" i="1"/>
  <c r="CB265" i="1"/>
  <c r="CA265" i="1"/>
  <c r="BZ265" i="1"/>
  <c r="BY265" i="1"/>
  <c r="BX265" i="1"/>
  <c r="BW265" i="1"/>
  <c r="BV265" i="1"/>
  <c r="BU265" i="1"/>
  <c r="CC265" i="1" s="1"/>
  <c r="BT265" i="1"/>
  <c r="BS265" i="1"/>
  <c r="AS265" i="1"/>
  <c r="AN265" i="1"/>
  <c r="AM265" i="1"/>
  <c r="AL265" i="1"/>
  <c r="AK265" i="1"/>
  <c r="AJ265" i="1"/>
  <c r="AI265" i="1"/>
  <c r="O265" i="1"/>
  <c r="D265" i="1" s="1"/>
  <c r="F265" i="1"/>
  <c r="E265" i="1"/>
  <c r="EA264" i="1"/>
  <c r="DZ264" i="1"/>
  <c r="DY264" i="1"/>
  <c r="DX264" i="1"/>
  <c r="DW264" i="1"/>
  <c r="DV264" i="1"/>
  <c r="DC264" i="1"/>
  <c r="DB264" i="1"/>
  <c r="DA264" i="1"/>
  <c r="CU264" i="1" s="1"/>
  <c r="CZ264" i="1"/>
  <c r="CT264" i="1" s="1"/>
  <c r="CY264" i="1"/>
  <c r="CX264" i="1"/>
  <c r="CW264" i="1"/>
  <c r="CV264" i="1"/>
  <c r="CS264" i="1"/>
  <c r="CR264" i="1"/>
  <c r="BZ264" i="1"/>
  <c r="CA264" i="1" s="1"/>
  <c r="BY264" i="1"/>
  <c r="BX264" i="1"/>
  <c r="BW264" i="1"/>
  <c r="BV264" i="1"/>
  <c r="BU264" i="1"/>
  <c r="CC264" i="1" s="1"/>
  <c r="BT264" i="1"/>
  <c r="BS264" i="1"/>
  <c r="AS264" i="1"/>
  <c r="AN264" i="1"/>
  <c r="AM264" i="1"/>
  <c r="AL264" i="1"/>
  <c r="AK264" i="1"/>
  <c r="AJ264" i="1"/>
  <c r="AI264" i="1"/>
  <c r="BC264" i="1" s="1"/>
  <c r="O264" i="1"/>
  <c r="D264" i="1" s="1"/>
  <c r="F264" i="1"/>
  <c r="E264" i="1"/>
  <c r="EA263" i="1"/>
  <c r="DZ263" i="1"/>
  <c r="DY263" i="1"/>
  <c r="DX263" i="1"/>
  <c r="DW263" i="1"/>
  <c r="DV263" i="1"/>
  <c r="DC263" i="1"/>
  <c r="CW263" i="1" s="1"/>
  <c r="DB263" i="1"/>
  <c r="CV263" i="1" s="1"/>
  <c r="DA263" i="1"/>
  <c r="CZ263" i="1"/>
  <c r="CY263" i="1"/>
  <c r="CS263" i="1" s="1"/>
  <c r="CX263" i="1"/>
  <c r="CR263" i="1" s="1"/>
  <c r="CU263" i="1"/>
  <c r="CT263" i="1"/>
  <c r="CB263" i="1"/>
  <c r="CA263" i="1"/>
  <c r="BZ263" i="1"/>
  <c r="BY263" i="1"/>
  <c r="BX263" i="1"/>
  <c r="BW263" i="1"/>
  <c r="BV263" i="1"/>
  <c r="BU263" i="1"/>
  <c r="CC263" i="1" s="1"/>
  <c r="BT263" i="1"/>
  <c r="BS263" i="1"/>
  <c r="AS263" i="1"/>
  <c r="AN263" i="1"/>
  <c r="AM263" i="1"/>
  <c r="AL263" i="1"/>
  <c r="AK263" i="1"/>
  <c r="AJ263" i="1"/>
  <c r="AI263" i="1"/>
  <c r="O263" i="1"/>
  <c r="D263" i="1" s="1"/>
  <c r="F263" i="1"/>
  <c r="E263" i="1"/>
  <c r="EA262" i="1"/>
  <c r="DZ262" i="1"/>
  <c r="DY262" i="1"/>
  <c r="DX262" i="1"/>
  <c r="DW262" i="1"/>
  <c r="DV262" i="1"/>
  <c r="DC262" i="1"/>
  <c r="DB262" i="1"/>
  <c r="DA262" i="1"/>
  <c r="CU262" i="1" s="1"/>
  <c r="CZ262" i="1"/>
  <c r="CT262" i="1" s="1"/>
  <c r="CY262" i="1"/>
  <c r="CX262" i="1"/>
  <c r="CW262" i="1"/>
  <c r="CV262" i="1"/>
  <c r="CS262" i="1"/>
  <c r="CR262" i="1"/>
  <c r="BZ262" i="1"/>
  <c r="CA262" i="1" s="1"/>
  <c r="BY262" i="1"/>
  <c r="BX262" i="1"/>
  <c r="BW262" i="1"/>
  <c r="BV262" i="1"/>
  <c r="BU262" i="1"/>
  <c r="CC262" i="1" s="1"/>
  <c r="BT262" i="1"/>
  <c r="BS262" i="1"/>
  <c r="AS262" i="1"/>
  <c r="AN262" i="1"/>
  <c r="AM262" i="1"/>
  <c r="AL262" i="1"/>
  <c r="AK262" i="1"/>
  <c r="AJ262" i="1"/>
  <c r="AI262" i="1"/>
  <c r="BC262" i="1" s="1"/>
  <c r="O262" i="1"/>
  <c r="D262" i="1" s="1"/>
  <c r="F262" i="1"/>
  <c r="E262" i="1"/>
  <c r="EA261" i="1"/>
  <c r="DZ261" i="1"/>
  <c r="DY261" i="1"/>
  <c r="DX261" i="1"/>
  <c r="DW261" i="1"/>
  <c r="DV261" i="1"/>
  <c r="DC261" i="1"/>
  <c r="CW261" i="1" s="1"/>
  <c r="DB261" i="1"/>
  <c r="CV261" i="1" s="1"/>
  <c r="DA261" i="1"/>
  <c r="CZ261" i="1"/>
  <c r="CY261" i="1"/>
  <c r="CS261" i="1" s="1"/>
  <c r="CX261" i="1"/>
  <c r="CR261" i="1" s="1"/>
  <c r="CU261" i="1"/>
  <c r="CT261" i="1"/>
  <c r="CB261" i="1"/>
  <c r="CA261" i="1"/>
  <c r="BZ261" i="1"/>
  <c r="BY261" i="1"/>
  <c r="BX261" i="1"/>
  <c r="BW261" i="1"/>
  <c r="BV261" i="1"/>
  <c r="BU261" i="1"/>
  <c r="CC261" i="1" s="1"/>
  <c r="BT261" i="1"/>
  <c r="BS261" i="1"/>
  <c r="AS261" i="1"/>
  <c r="AN261" i="1"/>
  <c r="AM261" i="1"/>
  <c r="AL261" i="1"/>
  <c r="AK261" i="1"/>
  <c r="AJ261" i="1"/>
  <c r="AI261" i="1"/>
  <c r="O261" i="1"/>
  <c r="D261" i="1" s="1"/>
  <c r="F261" i="1"/>
  <c r="E261" i="1"/>
  <c r="EA260" i="1"/>
  <c r="DZ260" i="1"/>
  <c r="DY260" i="1"/>
  <c r="DX260" i="1"/>
  <c r="DW260" i="1"/>
  <c r="DV260" i="1"/>
  <c r="DC260" i="1"/>
  <c r="DB260" i="1"/>
  <c r="DA260" i="1"/>
  <c r="CZ260" i="1"/>
  <c r="CT260" i="1" s="1"/>
  <c r="CY260" i="1"/>
  <c r="CX260" i="1"/>
  <c r="CW260" i="1"/>
  <c r="CV260" i="1"/>
  <c r="CU260" i="1"/>
  <c r="CS260" i="1"/>
  <c r="CR260" i="1"/>
  <c r="BZ260" i="1"/>
  <c r="CA260" i="1" s="1"/>
  <c r="BY260" i="1"/>
  <c r="BX260" i="1"/>
  <c r="BW260" i="1"/>
  <c r="BV260" i="1"/>
  <c r="BU260" i="1"/>
  <c r="CC260" i="1" s="1"/>
  <c r="BT260" i="1"/>
  <c r="BS260" i="1"/>
  <c r="BC260" i="1"/>
  <c r="AS260" i="1"/>
  <c r="AN260" i="1"/>
  <c r="AM260" i="1"/>
  <c r="AL260" i="1"/>
  <c r="AK260" i="1"/>
  <c r="AJ260" i="1"/>
  <c r="AI260" i="1"/>
  <c r="O260" i="1"/>
  <c r="D260" i="1" s="1"/>
  <c r="F260" i="1"/>
  <c r="E260" i="1"/>
  <c r="EA259" i="1"/>
  <c r="DZ259" i="1"/>
  <c r="DY259" i="1"/>
  <c r="DX259" i="1"/>
  <c r="DW259" i="1"/>
  <c r="DV259" i="1"/>
  <c r="DC259" i="1"/>
  <c r="CW259" i="1" s="1"/>
  <c r="DB259" i="1"/>
  <c r="CV259" i="1" s="1"/>
  <c r="DA259" i="1"/>
  <c r="CZ259" i="1"/>
  <c r="CY259" i="1"/>
  <c r="CX259" i="1"/>
  <c r="CR259" i="1" s="1"/>
  <c r="CU259" i="1"/>
  <c r="CT259" i="1"/>
  <c r="CS259" i="1"/>
  <c r="CB259" i="1"/>
  <c r="CA259" i="1"/>
  <c r="BZ259" i="1"/>
  <c r="BY259" i="1"/>
  <c r="BX259" i="1"/>
  <c r="BW259" i="1"/>
  <c r="BV259" i="1"/>
  <c r="BU259" i="1"/>
  <c r="CC259" i="1" s="1"/>
  <c r="BT259" i="1"/>
  <c r="BS259" i="1"/>
  <c r="AS259" i="1"/>
  <c r="AN259" i="1"/>
  <c r="AM259" i="1"/>
  <c r="AL259" i="1"/>
  <c r="AK259" i="1"/>
  <c r="AJ259" i="1"/>
  <c r="AI259" i="1"/>
  <c r="BC259" i="1" s="1"/>
  <c r="O259" i="1"/>
  <c r="D259" i="1" s="1"/>
  <c r="F259" i="1"/>
  <c r="E259" i="1"/>
  <c r="EA258" i="1"/>
  <c r="DZ258" i="1"/>
  <c r="DY258" i="1"/>
  <c r="DX258" i="1"/>
  <c r="DW258" i="1"/>
  <c r="DV258" i="1"/>
  <c r="DC258" i="1"/>
  <c r="CW258" i="1" s="1"/>
  <c r="DB258" i="1"/>
  <c r="DA258" i="1"/>
  <c r="CZ258" i="1"/>
  <c r="CT258" i="1" s="1"/>
  <c r="CY258" i="1"/>
  <c r="CS258" i="1" s="1"/>
  <c r="CX258" i="1"/>
  <c r="CV258" i="1"/>
  <c r="CU258" i="1"/>
  <c r="CR258" i="1"/>
  <c r="BZ258" i="1"/>
  <c r="CA258" i="1" s="1"/>
  <c r="BY258" i="1"/>
  <c r="BX258" i="1"/>
  <c r="BW258" i="1"/>
  <c r="BV258" i="1"/>
  <c r="BU258" i="1"/>
  <c r="BT258" i="1"/>
  <c r="BS258" i="1"/>
  <c r="AS258" i="1"/>
  <c r="AN258" i="1"/>
  <c r="AM258" i="1"/>
  <c r="AL258" i="1"/>
  <c r="AK258" i="1"/>
  <c r="AJ258" i="1"/>
  <c r="AI258" i="1"/>
  <c r="BC258" i="1" s="1"/>
  <c r="O258" i="1"/>
  <c r="D258" i="1" s="1"/>
  <c r="F258" i="1"/>
  <c r="E258" i="1"/>
  <c r="EA257" i="1"/>
  <c r="DZ257" i="1"/>
  <c r="DY257" i="1"/>
  <c r="DX257" i="1"/>
  <c r="DW257" i="1"/>
  <c r="DV257" i="1"/>
  <c r="DC257" i="1"/>
  <c r="DB257" i="1"/>
  <c r="CV257" i="1" s="1"/>
  <c r="DA257" i="1"/>
  <c r="CU257" i="1" s="1"/>
  <c r="CZ257" i="1"/>
  <c r="CY257" i="1"/>
  <c r="CX257" i="1"/>
  <c r="CR257" i="1" s="1"/>
  <c r="CW257" i="1"/>
  <c r="CT257" i="1"/>
  <c r="CS257" i="1"/>
  <c r="CB257" i="1"/>
  <c r="CA257" i="1"/>
  <c r="BZ257" i="1"/>
  <c r="BY257" i="1"/>
  <c r="BX257" i="1"/>
  <c r="BW257" i="1"/>
  <c r="BV257" i="1"/>
  <c r="BU257" i="1"/>
  <c r="CC257" i="1" s="1"/>
  <c r="BT257" i="1"/>
  <c r="BS257" i="1"/>
  <c r="AS257" i="1"/>
  <c r="AN257" i="1"/>
  <c r="AM257" i="1"/>
  <c r="AL257" i="1"/>
  <c r="AK257" i="1"/>
  <c r="AJ257" i="1"/>
  <c r="AI257" i="1"/>
  <c r="BC257" i="1" s="1"/>
  <c r="O257" i="1"/>
  <c r="D257" i="1" s="1"/>
  <c r="F257" i="1"/>
  <c r="E257" i="1"/>
  <c r="EA256" i="1"/>
  <c r="DZ256" i="1"/>
  <c r="DY256" i="1"/>
  <c r="DX256" i="1"/>
  <c r="DW256" i="1"/>
  <c r="DV256" i="1"/>
  <c r="DC256" i="1"/>
  <c r="CW256" i="1" s="1"/>
  <c r="DB256" i="1"/>
  <c r="DA256" i="1"/>
  <c r="CZ256" i="1"/>
  <c r="CT256" i="1" s="1"/>
  <c r="CY256" i="1"/>
  <c r="CS256" i="1" s="1"/>
  <c r="CX256" i="1"/>
  <c r="CV256" i="1"/>
  <c r="CU256" i="1"/>
  <c r="CR256" i="1"/>
  <c r="BZ256" i="1"/>
  <c r="CA256" i="1" s="1"/>
  <c r="BY256" i="1"/>
  <c r="BX256" i="1"/>
  <c r="BW256" i="1"/>
  <c r="BV256" i="1"/>
  <c r="BU256" i="1"/>
  <c r="BT256" i="1"/>
  <c r="BS256" i="1"/>
  <c r="AS256" i="1"/>
  <c r="AN256" i="1"/>
  <c r="AM256" i="1"/>
  <c r="AL256" i="1"/>
  <c r="AK256" i="1"/>
  <c r="AJ256" i="1"/>
  <c r="AI256" i="1"/>
  <c r="BC256" i="1" s="1"/>
  <c r="O256" i="1"/>
  <c r="D256" i="1" s="1"/>
  <c r="F256" i="1"/>
  <c r="E256" i="1"/>
  <c r="EA255" i="1"/>
  <c r="DZ255" i="1"/>
  <c r="DY255" i="1"/>
  <c r="DX255" i="1"/>
  <c r="DW255" i="1"/>
  <c r="DV255" i="1"/>
  <c r="DC255" i="1"/>
  <c r="DB255" i="1"/>
  <c r="CV255" i="1" s="1"/>
  <c r="DA255" i="1"/>
  <c r="CU255" i="1" s="1"/>
  <c r="CZ255" i="1"/>
  <c r="CY255" i="1"/>
  <c r="CX255" i="1"/>
  <c r="CR255" i="1" s="1"/>
  <c r="CW255" i="1"/>
  <c r="CT255" i="1"/>
  <c r="CS255" i="1"/>
  <c r="CB255" i="1"/>
  <c r="CA255" i="1"/>
  <c r="BZ255" i="1"/>
  <c r="BY255" i="1"/>
  <c r="BX255" i="1"/>
  <c r="BW255" i="1"/>
  <c r="BV255" i="1"/>
  <c r="BU255" i="1"/>
  <c r="CC255" i="1" s="1"/>
  <c r="BT255" i="1"/>
  <c r="BS255" i="1"/>
  <c r="AS255" i="1"/>
  <c r="AN255" i="1"/>
  <c r="AM255" i="1"/>
  <c r="AL255" i="1"/>
  <c r="AK255" i="1"/>
  <c r="AJ255" i="1"/>
  <c r="AI255" i="1"/>
  <c r="BC255" i="1" s="1"/>
  <c r="O255" i="1"/>
  <c r="D255" i="1" s="1"/>
  <c r="F255" i="1"/>
  <c r="E255" i="1"/>
  <c r="EA254" i="1"/>
  <c r="DZ254" i="1"/>
  <c r="DY254" i="1"/>
  <c r="DX254" i="1"/>
  <c r="DW254" i="1"/>
  <c r="DV254" i="1"/>
  <c r="DC254" i="1"/>
  <c r="CW254" i="1" s="1"/>
  <c r="DB254" i="1"/>
  <c r="DA254" i="1"/>
  <c r="CZ254" i="1"/>
  <c r="CT254" i="1" s="1"/>
  <c r="CY254" i="1"/>
  <c r="CS254" i="1" s="1"/>
  <c r="CX254" i="1"/>
  <c r="CV254" i="1"/>
  <c r="CU254" i="1"/>
  <c r="CR254" i="1"/>
  <c r="BZ254" i="1"/>
  <c r="CA254" i="1" s="1"/>
  <c r="BY254" i="1"/>
  <c r="BX254" i="1"/>
  <c r="BW254" i="1"/>
  <c r="BV254" i="1"/>
  <c r="BU254" i="1"/>
  <c r="CC254" i="1" s="1"/>
  <c r="BT254" i="1"/>
  <c r="BS254" i="1"/>
  <c r="BA254" i="1"/>
  <c r="BA255" i="1" s="1"/>
  <c r="BA256" i="1" s="1"/>
  <c r="BA257" i="1" s="1"/>
  <c r="BA258" i="1" s="1"/>
  <c r="BA259" i="1" s="1"/>
  <c r="BA260" i="1" s="1"/>
  <c r="BA261" i="1" s="1"/>
  <c r="BA262" i="1" s="1"/>
  <c r="BA263" i="1" s="1"/>
  <c r="BA264" i="1" s="1"/>
  <c r="BA265" i="1" s="1"/>
  <c r="BA266" i="1" s="1"/>
  <c r="BA267" i="1" s="1"/>
  <c r="BA268" i="1" s="1"/>
  <c r="BA269" i="1" s="1"/>
  <c r="BA270" i="1" s="1"/>
  <c r="BA271" i="1" s="1"/>
  <c r="BA272" i="1" s="1"/>
  <c r="BA273" i="1" s="1"/>
  <c r="BA274" i="1" s="1"/>
  <c r="BA275" i="1" s="1"/>
  <c r="BA276" i="1" s="1"/>
  <c r="BA277" i="1" s="1"/>
  <c r="BA278" i="1" s="1"/>
  <c r="BA279" i="1" s="1"/>
  <c r="BA280" i="1" s="1"/>
  <c r="BA281" i="1" s="1"/>
  <c r="BA282" i="1" s="1"/>
  <c r="BA283" i="1" s="1"/>
  <c r="BA284" i="1" s="1"/>
  <c r="BA285" i="1" s="1"/>
  <c r="BA286" i="1" s="1"/>
  <c r="BA287" i="1" s="1"/>
  <c r="BA288" i="1" s="1"/>
  <c r="BA289" i="1" s="1"/>
  <c r="BA290" i="1" s="1"/>
  <c r="BA291" i="1" s="1"/>
  <c r="BA292" i="1" s="1"/>
  <c r="BA293" i="1" s="1"/>
  <c r="BA294" i="1" s="1"/>
  <c r="BA295" i="1" s="1"/>
  <c r="BA296" i="1" s="1"/>
  <c r="BA297" i="1" s="1"/>
  <c r="BA298" i="1" s="1"/>
  <c r="BA299" i="1" s="1"/>
  <c r="BA300" i="1" s="1"/>
  <c r="BA301" i="1" s="1"/>
  <c r="BA302" i="1" s="1"/>
  <c r="BA303" i="1" s="1"/>
  <c r="BA304" i="1" s="1"/>
  <c r="BA305" i="1" s="1"/>
  <c r="BA306" i="1" s="1"/>
  <c r="BA307" i="1" s="1"/>
  <c r="BA308" i="1" s="1"/>
  <c r="BA309" i="1" s="1"/>
  <c r="BA310" i="1" s="1"/>
  <c r="BA311" i="1" s="1"/>
  <c r="BA312" i="1" s="1"/>
  <c r="BA313" i="1" s="1"/>
  <c r="BA314" i="1" s="1"/>
  <c r="BA315" i="1" s="1"/>
  <c r="BA316" i="1" s="1"/>
  <c r="BA317" i="1" s="1"/>
  <c r="BA318" i="1" s="1"/>
  <c r="BA319" i="1" s="1"/>
  <c r="BA320" i="1" s="1"/>
  <c r="BA321" i="1" s="1"/>
  <c r="BA322" i="1" s="1"/>
  <c r="BA323" i="1" s="1"/>
  <c r="BA324" i="1" s="1"/>
  <c r="BA325" i="1" s="1"/>
  <c r="BA326" i="1" s="1"/>
  <c r="BA327" i="1" s="1"/>
  <c r="BA328" i="1" s="1"/>
  <c r="BA329" i="1" s="1"/>
  <c r="BA330" i="1" s="1"/>
  <c r="BA331" i="1" s="1"/>
  <c r="BA332" i="1" s="1"/>
  <c r="BA333" i="1" s="1"/>
  <c r="BA334" i="1" s="1"/>
  <c r="BA335" i="1" s="1"/>
  <c r="BA336" i="1" s="1"/>
  <c r="BA337" i="1" s="1"/>
  <c r="BA338" i="1" s="1"/>
  <c r="BA339" i="1" s="1"/>
  <c r="BA340" i="1" s="1"/>
  <c r="BA341" i="1" s="1"/>
  <c r="BA342" i="1" s="1"/>
  <c r="BA343" i="1" s="1"/>
  <c r="BA344" i="1" s="1"/>
  <c r="BA345" i="1" s="1"/>
  <c r="BA346" i="1" s="1"/>
  <c r="BA347" i="1" s="1"/>
  <c r="BA348" i="1" s="1"/>
  <c r="BA349" i="1" s="1"/>
  <c r="BA350" i="1" s="1"/>
  <c r="BA351" i="1" s="1"/>
  <c r="BA352" i="1" s="1"/>
  <c r="AS254" i="1"/>
  <c r="AN254" i="1"/>
  <c r="AM254" i="1"/>
  <c r="AL254" i="1"/>
  <c r="AK254" i="1"/>
  <c r="AJ254" i="1"/>
  <c r="AI254" i="1"/>
  <c r="BC254" i="1" s="1"/>
  <c r="O254" i="1"/>
  <c r="D254" i="1" s="1"/>
  <c r="F254" i="1"/>
  <c r="E254" i="1"/>
  <c r="EA253" i="1"/>
  <c r="DZ253" i="1"/>
  <c r="DY253" i="1"/>
  <c r="DX253" i="1"/>
  <c r="DW253" i="1"/>
  <c r="DV253" i="1"/>
  <c r="DC253" i="1"/>
  <c r="DB253" i="1"/>
  <c r="CV253" i="1" s="1"/>
  <c r="DA253" i="1"/>
  <c r="CU253" i="1" s="1"/>
  <c r="CZ253" i="1"/>
  <c r="CY253" i="1"/>
  <c r="CX253" i="1"/>
  <c r="CR253" i="1" s="1"/>
  <c r="CW253" i="1"/>
  <c r="CT253" i="1"/>
  <c r="CS253" i="1"/>
  <c r="CB253" i="1"/>
  <c r="CA253" i="1"/>
  <c r="BZ253" i="1"/>
  <c r="BY253" i="1"/>
  <c r="BX253" i="1"/>
  <c r="BW253" i="1"/>
  <c r="BV253" i="1"/>
  <c r="BU253" i="1"/>
  <c r="CC253" i="1" s="1"/>
  <c r="BT253" i="1"/>
  <c r="BS253" i="1"/>
  <c r="AS253" i="1"/>
  <c r="AN253" i="1"/>
  <c r="AM253" i="1"/>
  <c r="AL253" i="1"/>
  <c r="AK253" i="1"/>
  <c r="AJ253" i="1"/>
  <c r="AI253" i="1"/>
  <c r="BC253" i="1" s="1"/>
  <c r="O253" i="1"/>
  <c r="D253" i="1" s="1"/>
  <c r="F253" i="1"/>
  <c r="E253" i="1"/>
  <c r="EA252" i="1"/>
  <c r="DZ252" i="1"/>
  <c r="DY252" i="1"/>
  <c r="DX252" i="1"/>
  <c r="DW252" i="1"/>
  <c r="DV252" i="1"/>
  <c r="DC252" i="1"/>
  <c r="CW252" i="1" s="1"/>
  <c r="DB252" i="1"/>
  <c r="CV252" i="1" s="1"/>
  <c r="DA252" i="1"/>
  <c r="CZ252" i="1"/>
  <c r="CY252" i="1"/>
  <c r="CS252" i="1" s="1"/>
  <c r="CX252" i="1"/>
  <c r="CR252" i="1" s="1"/>
  <c r="CU252" i="1"/>
  <c r="CT252" i="1"/>
  <c r="BZ252" i="1"/>
  <c r="CA252" i="1" s="1"/>
  <c r="BY252" i="1"/>
  <c r="BX252" i="1"/>
  <c r="BW252" i="1"/>
  <c r="BV252" i="1"/>
  <c r="BU252" i="1"/>
  <c r="CC252" i="1" s="1"/>
  <c r="BT252" i="1"/>
  <c r="BS252" i="1"/>
  <c r="AS252" i="1"/>
  <c r="AN252" i="1"/>
  <c r="AM252" i="1"/>
  <c r="AL252" i="1"/>
  <c r="AK252" i="1"/>
  <c r="AJ252" i="1"/>
  <c r="AI252" i="1"/>
  <c r="O252" i="1"/>
  <c r="D252" i="1" s="1"/>
  <c r="F252" i="1"/>
  <c r="E252" i="1"/>
  <c r="EA251" i="1"/>
  <c r="DZ251" i="1"/>
  <c r="DY251" i="1"/>
  <c r="DX251" i="1"/>
  <c r="DW251" i="1"/>
  <c r="DV251" i="1"/>
  <c r="DC251" i="1"/>
  <c r="DB251" i="1"/>
  <c r="DA251" i="1"/>
  <c r="CU251" i="1" s="1"/>
  <c r="CZ251" i="1"/>
  <c r="CT251" i="1" s="1"/>
  <c r="CY251" i="1"/>
  <c r="CX251" i="1"/>
  <c r="CW251" i="1"/>
  <c r="CV251" i="1"/>
  <c r="CS251" i="1"/>
  <c r="CR251" i="1"/>
  <c r="CA251" i="1"/>
  <c r="CB251" i="1" s="1"/>
  <c r="BZ251" i="1"/>
  <c r="BY251" i="1"/>
  <c r="BX251" i="1"/>
  <c r="BW251" i="1"/>
  <c r="BV251" i="1"/>
  <c r="BU251" i="1"/>
  <c r="CC251" i="1" s="1"/>
  <c r="BT251" i="1"/>
  <c r="BS251" i="1"/>
  <c r="AS251" i="1"/>
  <c r="AN251" i="1"/>
  <c r="AM251" i="1"/>
  <c r="AL251" i="1"/>
  <c r="AK251" i="1"/>
  <c r="AJ251" i="1"/>
  <c r="AI251" i="1"/>
  <c r="BC251" i="1" s="1"/>
  <c r="O251" i="1"/>
  <c r="D251" i="1" s="1"/>
  <c r="F251" i="1"/>
  <c r="E251" i="1"/>
  <c r="EA250" i="1"/>
  <c r="DZ250" i="1"/>
  <c r="DY250" i="1"/>
  <c r="DX250" i="1"/>
  <c r="DW250" i="1"/>
  <c r="DV250" i="1"/>
  <c r="DC250" i="1"/>
  <c r="CW250" i="1" s="1"/>
  <c r="DB250" i="1"/>
  <c r="CV250" i="1" s="1"/>
  <c r="DA250" i="1"/>
  <c r="CZ250" i="1"/>
  <c r="CY250" i="1"/>
  <c r="CS250" i="1" s="1"/>
  <c r="CX250" i="1"/>
  <c r="CR250" i="1" s="1"/>
  <c r="CU250" i="1"/>
  <c r="CT250" i="1"/>
  <c r="BZ250" i="1"/>
  <c r="CA250" i="1" s="1"/>
  <c r="BY250" i="1"/>
  <c r="BX250" i="1"/>
  <c r="BW250" i="1"/>
  <c r="BV250" i="1"/>
  <c r="BU250" i="1"/>
  <c r="BT250" i="1"/>
  <c r="BS250" i="1"/>
  <c r="AS250" i="1"/>
  <c r="AN250" i="1"/>
  <c r="AM250" i="1"/>
  <c r="AL250" i="1"/>
  <c r="AK250" i="1"/>
  <c r="AJ250" i="1"/>
  <c r="AI250" i="1"/>
  <c r="O250" i="1"/>
  <c r="D250" i="1" s="1"/>
  <c r="F250" i="1"/>
  <c r="E250" i="1"/>
  <c r="EA249" i="1"/>
  <c r="DZ249" i="1"/>
  <c r="DY249" i="1"/>
  <c r="DX249" i="1"/>
  <c r="DW249" i="1"/>
  <c r="DV249" i="1"/>
  <c r="DC249" i="1"/>
  <c r="DB249" i="1"/>
  <c r="DA249" i="1"/>
  <c r="CU249" i="1" s="1"/>
  <c r="CZ249" i="1"/>
  <c r="CT249" i="1" s="1"/>
  <c r="CY249" i="1"/>
  <c r="CX249" i="1"/>
  <c r="CW249" i="1"/>
  <c r="CV249" i="1"/>
  <c r="CS249" i="1"/>
  <c r="CR249" i="1"/>
  <c r="CA249" i="1"/>
  <c r="CB249" i="1" s="1"/>
  <c r="BZ249" i="1"/>
  <c r="BY249" i="1"/>
  <c r="BX249" i="1"/>
  <c r="BW249" i="1"/>
  <c r="BV249" i="1"/>
  <c r="BU249" i="1"/>
  <c r="CC249" i="1" s="1"/>
  <c r="BT249" i="1"/>
  <c r="BS249" i="1"/>
  <c r="AS249" i="1"/>
  <c r="AN249" i="1"/>
  <c r="AM249" i="1"/>
  <c r="AL249" i="1"/>
  <c r="AK249" i="1"/>
  <c r="AJ249" i="1"/>
  <c r="AI249" i="1"/>
  <c r="BC249" i="1" s="1"/>
  <c r="O249" i="1"/>
  <c r="D249" i="1" s="1"/>
  <c r="F249" i="1"/>
  <c r="E249" i="1"/>
  <c r="EA248" i="1"/>
  <c r="DZ248" i="1"/>
  <c r="DY248" i="1"/>
  <c r="DX248" i="1"/>
  <c r="DW248" i="1"/>
  <c r="DV248" i="1"/>
  <c r="DC248" i="1"/>
  <c r="CW248" i="1" s="1"/>
  <c r="DB248" i="1"/>
  <c r="CV248" i="1" s="1"/>
  <c r="DA248" i="1"/>
  <c r="CZ248" i="1"/>
  <c r="CY248" i="1"/>
  <c r="CS248" i="1" s="1"/>
  <c r="CX248" i="1"/>
  <c r="CR248" i="1" s="1"/>
  <c r="CU248" i="1"/>
  <c r="CT248" i="1"/>
  <c r="BZ248" i="1"/>
  <c r="CA248" i="1" s="1"/>
  <c r="BY248" i="1"/>
  <c r="BX248" i="1"/>
  <c r="BW248" i="1"/>
  <c r="BV248" i="1"/>
  <c r="BU248" i="1"/>
  <c r="CC248" i="1" s="1"/>
  <c r="BT248" i="1"/>
  <c r="BS248" i="1"/>
  <c r="AS248" i="1"/>
  <c r="AN248" i="1"/>
  <c r="AM248" i="1"/>
  <c r="AL248" i="1"/>
  <c r="AK248" i="1"/>
  <c r="AJ248" i="1"/>
  <c r="AI248" i="1"/>
  <c r="O248" i="1"/>
  <c r="D248" i="1" s="1"/>
  <c r="F248" i="1"/>
  <c r="E248" i="1"/>
  <c r="EA247" i="1"/>
  <c r="DZ247" i="1"/>
  <c r="DY247" i="1"/>
  <c r="DX247" i="1"/>
  <c r="DW247" i="1"/>
  <c r="DV247" i="1"/>
  <c r="DC247" i="1"/>
  <c r="DB247" i="1"/>
  <c r="DA247" i="1"/>
  <c r="CU247" i="1" s="1"/>
  <c r="CZ247" i="1"/>
  <c r="CT247" i="1" s="1"/>
  <c r="CY247" i="1"/>
  <c r="CX247" i="1"/>
  <c r="CW247" i="1"/>
  <c r="CV247" i="1"/>
  <c r="CS247" i="1"/>
  <c r="CR247" i="1"/>
  <c r="CA247" i="1"/>
  <c r="CB247" i="1" s="1"/>
  <c r="BZ247" i="1"/>
  <c r="BY247" i="1"/>
  <c r="BX247" i="1"/>
  <c r="BW247" i="1"/>
  <c r="BV247" i="1"/>
  <c r="BU247" i="1"/>
  <c r="CC247" i="1" s="1"/>
  <c r="BT247" i="1"/>
  <c r="BS247" i="1"/>
  <c r="BC247" i="1"/>
  <c r="AS247" i="1"/>
  <c r="AN247" i="1"/>
  <c r="AM247" i="1"/>
  <c r="AL247" i="1"/>
  <c r="AK247" i="1"/>
  <c r="AJ247" i="1"/>
  <c r="AI247" i="1"/>
  <c r="O247" i="1"/>
  <c r="D247" i="1" s="1"/>
  <c r="F247" i="1"/>
  <c r="E247" i="1"/>
  <c r="EA246" i="1"/>
  <c r="DZ246" i="1"/>
  <c r="DY246" i="1"/>
  <c r="DX246" i="1"/>
  <c r="DW246" i="1"/>
  <c r="DV246" i="1"/>
  <c r="DC246" i="1"/>
  <c r="CW246" i="1" s="1"/>
  <c r="DB246" i="1"/>
  <c r="CV246" i="1" s="1"/>
  <c r="DA246" i="1"/>
  <c r="CZ246" i="1"/>
  <c r="CY246" i="1"/>
  <c r="CS246" i="1" s="1"/>
  <c r="CX246" i="1"/>
  <c r="CR246" i="1" s="1"/>
  <c r="CU246" i="1"/>
  <c r="CT246" i="1"/>
  <c r="BZ246" i="1"/>
  <c r="CA246" i="1" s="1"/>
  <c r="BY246" i="1"/>
  <c r="BX246" i="1"/>
  <c r="BW246" i="1"/>
  <c r="BV246" i="1"/>
  <c r="BU246" i="1"/>
  <c r="BT246" i="1"/>
  <c r="BS246" i="1"/>
  <c r="AS246" i="1"/>
  <c r="AN246" i="1"/>
  <c r="AM246" i="1"/>
  <c r="AL246" i="1"/>
  <c r="AK246" i="1"/>
  <c r="AJ246" i="1"/>
  <c r="AI246" i="1"/>
  <c r="O246" i="1"/>
  <c r="D246" i="1" s="1"/>
  <c r="F246" i="1"/>
  <c r="E246" i="1"/>
  <c r="EA245" i="1"/>
  <c r="DZ245" i="1"/>
  <c r="DY245" i="1"/>
  <c r="DX245" i="1"/>
  <c r="DW245" i="1"/>
  <c r="DV245" i="1"/>
  <c r="DC245" i="1"/>
  <c r="DB245" i="1"/>
  <c r="DA245" i="1"/>
  <c r="CU245" i="1" s="1"/>
  <c r="CZ245" i="1"/>
  <c r="CT245" i="1" s="1"/>
  <c r="CY245" i="1"/>
  <c r="CX245" i="1"/>
  <c r="CW245" i="1"/>
  <c r="CV245" i="1"/>
  <c r="CS245" i="1"/>
  <c r="CR245" i="1"/>
  <c r="CA245" i="1"/>
  <c r="CB245" i="1" s="1"/>
  <c r="BZ245" i="1"/>
  <c r="BY245" i="1"/>
  <c r="BX245" i="1"/>
  <c r="BW245" i="1"/>
  <c r="BV245" i="1"/>
  <c r="BU245" i="1"/>
  <c r="CC245" i="1" s="1"/>
  <c r="BT245" i="1"/>
  <c r="BS245" i="1"/>
  <c r="AS245" i="1"/>
  <c r="AN245" i="1"/>
  <c r="AM245" i="1"/>
  <c r="AL245" i="1"/>
  <c r="AK245" i="1"/>
  <c r="AJ245" i="1"/>
  <c r="AI245" i="1"/>
  <c r="BC245" i="1" s="1"/>
  <c r="O245" i="1"/>
  <c r="D245" i="1" s="1"/>
  <c r="F245" i="1"/>
  <c r="E245" i="1"/>
  <c r="EA244" i="1"/>
  <c r="DZ244" i="1"/>
  <c r="DY244" i="1"/>
  <c r="DX244" i="1"/>
  <c r="DW244" i="1"/>
  <c r="DV244" i="1"/>
  <c r="DC244" i="1"/>
  <c r="CW244" i="1" s="1"/>
  <c r="DB244" i="1"/>
  <c r="CV244" i="1" s="1"/>
  <c r="DA244" i="1"/>
  <c r="CZ244" i="1"/>
  <c r="CY244" i="1"/>
  <c r="CS244" i="1" s="1"/>
  <c r="CX244" i="1"/>
  <c r="CR244" i="1" s="1"/>
  <c r="CU244" i="1"/>
  <c r="CT244" i="1"/>
  <c r="BZ244" i="1"/>
  <c r="CA244" i="1" s="1"/>
  <c r="BY244" i="1"/>
  <c r="BX244" i="1"/>
  <c r="BW244" i="1"/>
  <c r="BV244" i="1"/>
  <c r="BU244" i="1"/>
  <c r="CC244" i="1" s="1"/>
  <c r="BT244" i="1"/>
  <c r="BS244" i="1"/>
  <c r="AS244" i="1"/>
  <c r="AN244" i="1"/>
  <c r="AM244" i="1"/>
  <c r="AL244" i="1"/>
  <c r="AK244" i="1"/>
  <c r="AJ244" i="1"/>
  <c r="AI244" i="1"/>
  <c r="O244" i="1"/>
  <c r="D244" i="1" s="1"/>
  <c r="F244" i="1"/>
  <c r="E244" i="1"/>
  <c r="EA243" i="1"/>
  <c r="DZ243" i="1"/>
  <c r="DY243" i="1"/>
  <c r="DX243" i="1"/>
  <c r="DW243" i="1"/>
  <c r="DV243" i="1"/>
  <c r="DC243" i="1"/>
  <c r="DB243" i="1"/>
  <c r="DA243" i="1"/>
  <c r="CU243" i="1" s="1"/>
  <c r="CZ243" i="1"/>
  <c r="CT243" i="1" s="1"/>
  <c r="CY243" i="1"/>
  <c r="CX243" i="1"/>
  <c r="CW243" i="1"/>
  <c r="CV243" i="1"/>
  <c r="CS243" i="1"/>
  <c r="CR243" i="1"/>
  <c r="CA243" i="1"/>
  <c r="CB243" i="1" s="1"/>
  <c r="BZ243" i="1"/>
  <c r="BY243" i="1"/>
  <c r="BX243" i="1"/>
  <c r="BW243" i="1"/>
  <c r="BV243" i="1"/>
  <c r="BU243" i="1"/>
  <c r="CC243" i="1" s="1"/>
  <c r="BT243" i="1"/>
  <c r="BS243" i="1"/>
  <c r="BC243" i="1"/>
  <c r="AS243" i="1"/>
  <c r="AN243" i="1"/>
  <c r="AM243" i="1"/>
  <c r="AL243" i="1"/>
  <c r="AK243" i="1"/>
  <c r="AJ243" i="1"/>
  <c r="AI243" i="1"/>
  <c r="O243" i="1"/>
  <c r="D243" i="1" s="1"/>
  <c r="F243" i="1"/>
  <c r="E243" i="1"/>
  <c r="EA242" i="1"/>
  <c r="DZ242" i="1"/>
  <c r="DY242" i="1"/>
  <c r="DX242" i="1"/>
  <c r="DW242" i="1"/>
  <c r="DV242" i="1"/>
  <c r="DC242" i="1"/>
  <c r="CW242" i="1" s="1"/>
  <c r="DB242" i="1"/>
  <c r="CV242" i="1" s="1"/>
  <c r="DA242" i="1"/>
  <c r="CZ242" i="1"/>
  <c r="CY242" i="1"/>
  <c r="CS242" i="1" s="1"/>
  <c r="CX242" i="1"/>
  <c r="CR242" i="1" s="1"/>
  <c r="CU242" i="1"/>
  <c r="CT242" i="1"/>
  <c r="BZ242" i="1"/>
  <c r="CA242" i="1" s="1"/>
  <c r="BY242" i="1"/>
  <c r="BX242" i="1"/>
  <c r="BW242" i="1"/>
  <c r="BV242" i="1"/>
  <c r="BU242" i="1"/>
  <c r="BT242" i="1"/>
  <c r="BS242" i="1"/>
  <c r="AS242" i="1"/>
  <c r="AN242" i="1"/>
  <c r="AM242" i="1"/>
  <c r="AL242" i="1"/>
  <c r="AK242" i="1"/>
  <c r="AJ242" i="1"/>
  <c r="AI242" i="1"/>
  <c r="O242" i="1"/>
  <c r="D242" i="1" s="1"/>
  <c r="F242" i="1"/>
  <c r="E242" i="1"/>
  <c r="EA241" i="1"/>
  <c r="DZ241" i="1"/>
  <c r="DY241" i="1"/>
  <c r="DX241" i="1"/>
  <c r="DW241" i="1"/>
  <c r="DV241" i="1"/>
  <c r="DC241" i="1"/>
  <c r="DB241" i="1"/>
  <c r="DA241" i="1"/>
  <c r="CU241" i="1" s="1"/>
  <c r="CZ241" i="1"/>
  <c r="CT241" i="1" s="1"/>
  <c r="CY241" i="1"/>
  <c r="CX241" i="1"/>
  <c r="CW241" i="1"/>
  <c r="CV241" i="1"/>
  <c r="CS241" i="1"/>
  <c r="CR241" i="1"/>
  <c r="CA241" i="1"/>
  <c r="CB241" i="1" s="1"/>
  <c r="BZ241" i="1"/>
  <c r="BY241" i="1"/>
  <c r="BX241" i="1"/>
  <c r="BW241" i="1"/>
  <c r="BV241" i="1"/>
  <c r="BU241" i="1"/>
  <c r="CC241" i="1" s="1"/>
  <c r="BT241" i="1"/>
  <c r="BS241" i="1"/>
  <c r="AS241" i="1"/>
  <c r="AN241" i="1"/>
  <c r="AM241" i="1"/>
  <c r="AL241" i="1"/>
  <c r="AK241" i="1"/>
  <c r="AJ241" i="1"/>
  <c r="AI241" i="1"/>
  <c r="BC241" i="1" s="1"/>
  <c r="O241" i="1"/>
  <c r="D241" i="1" s="1"/>
  <c r="F241" i="1"/>
  <c r="E241" i="1"/>
  <c r="EA240" i="1"/>
  <c r="DZ240" i="1"/>
  <c r="DY240" i="1"/>
  <c r="DX240" i="1"/>
  <c r="DW240" i="1"/>
  <c r="DV240" i="1"/>
  <c r="DC240" i="1"/>
  <c r="CW240" i="1" s="1"/>
  <c r="DB240" i="1"/>
  <c r="CV240" i="1" s="1"/>
  <c r="DA240" i="1"/>
  <c r="CZ240" i="1"/>
  <c r="CY240" i="1"/>
  <c r="CS240" i="1" s="1"/>
  <c r="CX240" i="1"/>
  <c r="CR240" i="1" s="1"/>
  <c r="CU240" i="1"/>
  <c r="CT240" i="1"/>
  <c r="BZ240" i="1"/>
  <c r="CA240" i="1" s="1"/>
  <c r="BY240" i="1"/>
  <c r="BX240" i="1"/>
  <c r="BW240" i="1"/>
  <c r="BV240" i="1"/>
  <c r="BU240" i="1"/>
  <c r="CC240" i="1" s="1"/>
  <c r="BT240" i="1"/>
  <c r="BS240" i="1"/>
  <c r="AS240" i="1"/>
  <c r="AN240" i="1"/>
  <c r="AM240" i="1"/>
  <c r="AL240" i="1"/>
  <c r="AK240" i="1"/>
  <c r="AJ240" i="1"/>
  <c r="AI240" i="1"/>
  <c r="O240" i="1"/>
  <c r="D240" i="1" s="1"/>
  <c r="F240" i="1"/>
  <c r="E240" i="1"/>
  <c r="EA239" i="1"/>
  <c r="DZ239" i="1"/>
  <c r="DY239" i="1"/>
  <c r="DX239" i="1"/>
  <c r="DW239" i="1"/>
  <c r="DV239" i="1"/>
  <c r="DC239" i="1"/>
  <c r="DB239" i="1"/>
  <c r="DA239" i="1"/>
  <c r="CU239" i="1" s="1"/>
  <c r="CZ239" i="1"/>
  <c r="CT239" i="1" s="1"/>
  <c r="CY239" i="1"/>
  <c r="CX239" i="1"/>
  <c r="CW239" i="1"/>
  <c r="CV239" i="1"/>
  <c r="CS239" i="1"/>
  <c r="CR239" i="1"/>
  <c r="CA239" i="1"/>
  <c r="CB239" i="1" s="1"/>
  <c r="BZ239" i="1"/>
  <c r="BY239" i="1"/>
  <c r="BX239" i="1"/>
  <c r="BW239" i="1"/>
  <c r="BV239" i="1"/>
  <c r="BU239" i="1"/>
  <c r="CC239" i="1" s="1"/>
  <c r="BT239" i="1"/>
  <c r="BS239" i="1"/>
  <c r="AS239" i="1"/>
  <c r="AN239" i="1"/>
  <c r="AM239" i="1"/>
  <c r="AL239" i="1"/>
  <c r="AK239" i="1"/>
  <c r="AJ239" i="1"/>
  <c r="AI239" i="1"/>
  <c r="BC239" i="1" s="1"/>
  <c r="O239" i="1"/>
  <c r="D239" i="1" s="1"/>
  <c r="F239" i="1"/>
  <c r="E239" i="1"/>
  <c r="EA238" i="1"/>
  <c r="DZ238" i="1"/>
  <c r="DY238" i="1"/>
  <c r="DX238" i="1"/>
  <c r="DW238" i="1"/>
  <c r="DV238" i="1"/>
  <c r="DC238" i="1"/>
  <c r="CW238" i="1" s="1"/>
  <c r="DB238" i="1"/>
  <c r="CV238" i="1" s="1"/>
  <c r="DA238" i="1"/>
  <c r="CZ238" i="1"/>
  <c r="CY238" i="1"/>
  <c r="CS238" i="1" s="1"/>
  <c r="CX238" i="1"/>
  <c r="CR238" i="1" s="1"/>
  <c r="CU238" i="1"/>
  <c r="CT238" i="1"/>
  <c r="BZ238" i="1"/>
  <c r="CA238" i="1" s="1"/>
  <c r="BY238" i="1"/>
  <c r="BX238" i="1"/>
  <c r="BW238" i="1"/>
  <c r="BV238" i="1"/>
  <c r="BU238" i="1"/>
  <c r="BT238" i="1"/>
  <c r="BS238" i="1"/>
  <c r="AS238" i="1"/>
  <c r="AN238" i="1"/>
  <c r="AM238" i="1"/>
  <c r="AL238" i="1"/>
  <c r="AK238" i="1"/>
  <c r="AJ238" i="1"/>
  <c r="AI238" i="1"/>
  <c r="O238" i="1"/>
  <c r="F238" i="1"/>
  <c r="E238" i="1"/>
  <c r="D238" i="1"/>
  <c r="EA237" i="1"/>
  <c r="DZ237" i="1"/>
  <c r="DY237" i="1"/>
  <c r="DX237" i="1"/>
  <c r="DW237" i="1"/>
  <c r="DV237" i="1"/>
  <c r="DC237" i="1"/>
  <c r="DB237" i="1"/>
  <c r="DA237" i="1"/>
  <c r="CU237" i="1" s="1"/>
  <c r="CZ237" i="1"/>
  <c r="CT237" i="1" s="1"/>
  <c r="CY237" i="1"/>
  <c r="CX237" i="1"/>
  <c r="CW237" i="1"/>
  <c r="CV237" i="1"/>
  <c r="CS237" i="1"/>
  <c r="CR237" i="1"/>
  <c r="CA237" i="1"/>
  <c r="CB237" i="1" s="1"/>
  <c r="BZ237" i="1"/>
  <c r="BY237" i="1"/>
  <c r="BX237" i="1"/>
  <c r="BW237" i="1"/>
  <c r="BV237" i="1"/>
  <c r="BU237" i="1"/>
  <c r="CC237" i="1" s="1"/>
  <c r="BT237" i="1"/>
  <c r="BS237" i="1"/>
  <c r="AS237" i="1"/>
  <c r="AN237" i="1"/>
  <c r="AM237" i="1"/>
  <c r="AL237" i="1"/>
  <c r="AK237" i="1"/>
  <c r="AJ237" i="1"/>
  <c r="AI237" i="1"/>
  <c r="BC237" i="1" s="1"/>
  <c r="O237" i="1"/>
  <c r="F237" i="1"/>
  <c r="E237" i="1"/>
  <c r="D237" i="1"/>
  <c r="EA236" i="1"/>
  <c r="DZ236" i="1"/>
  <c r="DY236" i="1"/>
  <c r="DX236" i="1"/>
  <c r="DW236" i="1"/>
  <c r="DV236" i="1"/>
  <c r="DC236" i="1"/>
  <c r="CW236" i="1" s="1"/>
  <c r="DB236" i="1"/>
  <c r="CV236" i="1" s="1"/>
  <c r="DA236" i="1"/>
  <c r="CZ236" i="1"/>
  <c r="CY236" i="1"/>
  <c r="CS236" i="1" s="1"/>
  <c r="CX236" i="1"/>
  <c r="CR236" i="1" s="1"/>
  <c r="CU236" i="1"/>
  <c r="CT236" i="1"/>
  <c r="BZ236" i="1"/>
  <c r="CA236" i="1" s="1"/>
  <c r="BY236" i="1"/>
  <c r="BX236" i="1"/>
  <c r="BW236" i="1"/>
  <c r="BV236" i="1"/>
  <c r="BU236" i="1"/>
  <c r="CC236" i="1" s="1"/>
  <c r="BT236" i="1"/>
  <c r="BS236" i="1"/>
  <c r="AS236" i="1"/>
  <c r="AN236" i="1"/>
  <c r="AM236" i="1"/>
  <c r="AL236" i="1"/>
  <c r="AK236" i="1"/>
  <c r="AJ236" i="1"/>
  <c r="AI236" i="1"/>
  <c r="O236" i="1"/>
  <c r="D236" i="1" s="1"/>
  <c r="F236" i="1"/>
  <c r="E236" i="1"/>
  <c r="EA235" i="1"/>
  <c r="DZ235" i="1"/>
  <c r="DY235" i="1"/>
  <c r="DX235" i="1"/>
  <c r="DW235" i="1"/>
  <c r="DV235" i="1"/>
  <c r="DC235" i="1"/>
  <c r="DB235" i="1"/>
  <c r="DA235" i="1"/>
  <c r="CU235" i="1" s="1"/>
  <c r="CZ235" i="1"/>
  <c r="CT235" i="1" s="1"/>
  <c r="CY235" i="1"/>
  <c r="CX235" i="1"/>
  <c r="CW235" i="1"/>
  <c r="CV235" i="1"/>
  <c r="CS235" i="1"/>
  <c r="CR235" i="1"/>
  <c r="CA235" i="1"/>
  <c r="CB235" i="1" s="1"/>
  <c r="BZ235" i="1"/>
  <c r="BY235" i="1"/>
  <c r="BX235" i="1"/>
  <c r="BW235" i="1"/>
  <c r="BV235" i="1"/>
  <c r="BU235" i="1"/>
  <c r="CC235" i="1" s="1"/>
  <c r="BT235" i="1"/>
  <c r="BS235" i="1"/>
  <c r="AS235" i="1"/>
  <c r="AN235" i="1"/>
  <c r="AM235" i="1"/>
  <c r="AL235" i="1"/>
  <c r="AK235" i="1"/>
  <c r="AJ235" i="1"/>
  <c r="AI235" i="1"/>
  <c r="BC235" i="1" s="1"/>
  <c r="O235" i="1"/>
  <c r="D235" i="1" s="1"/>
  <c r="F235" i="1"/>
  <c r="E235" i="1"/>
  <c r="EG234" i="1"/>
  <c r="EA234" i="1"/>
  <c r="DZ234" i="1"/>
  <c r="DY234" i="1"/>
  <c r="DX234" i="1"/>
  <c r="DW234" i="1"/>
  <c r="DV234" i="1"/>
  <c r="DC234" i="1"/>
  <c r="CW234" i="1" s="1"/>
  <c r="DB234" i="1"/>
  <c r="DA234" i="1"/>
  <c r="CZ234" i="1"/>
  <c r="CT234" i="1" s="1"/>
  <c r="CY234" i="1"/>
  <c r="CS234" i="1" s="1"/>
  <c r="CX234" i="1"/>
  <c r="CV234" i="1"/>
  <c r="CU234" i="1"/>
  <c r="CR234" i="1"/>
  <c r="BZ234" i="1"/>
  <c r="CA234" i="1" s="1"/>
  <c r="BY234" i="1"/>
  <c r="BX234" i="1"/>
  <c r="BW234" i="1"/>
  <c r="BV234" i="1"/>
  <c r="BU234" i="1"/>
  <c r="CC234" i="1" s="1"/>
  <c r="BT234" i="1"/>
  <c r="BS234" i="1"/>
  <c r="AS234" i="1"/>
  <c r="AN234" i="1"/>
  <c r="AM234" i="1"/>
  <c r="AL234" i="1"/>
  <c r="AK234" i="1"/>
  <c r="AJ234" i="1"/>
  <c r="AI234" i="1"/>
  <c r="BC234" i="1" s="1"/>
  <c r="O234" i="1"/>
  <c r="D234" i="1" s="1"/>
  <c r="F234" i="1"/>
  <c r="E234" i="1"/>
  <c r="EG233" i="1"/>
  <c r="EA233" i="1"/>
  <c r="DZ233" i="1"/>
  <c r="DY233" i="1"/>
  <c r="DX233" i="1"/>
  <c r="DW233" i="1"/>
  <c r="DV233" i="1"/>
  <c r="DC233" i="1"/>
  <c r="CW233" i="1" s="1"/>
  <c r="DB233" i="1"/>
  <c r="CV233" i="1" s="1"/>
  <c r="DA233" i="1"/>
  <c r="CZ233" i="1"/>
  <c r="CY233" i="1"/>
  <c r="CS233" i="1" s="1"/>
  <c r="CX233" i="1"/>
  <c r="CR233" i="1" s="1"/>
  <c r="CU233" i="1"/>
  <c r="CT233" i="1"/>
  <c r="BZ233" i="1"/>
  <c r="CA233" i="1" s="1"/>
  <c r="BY233" i="1"/>
  <c r="BX233" i="1"/>
  <c r="BW233" i="1"/>
  <c r="BV233" i="1"/>
  <c r="BU233" i="1"/>
  <c r="BT233" i="1"/>
  <c r="BS233" i="1"/>
  <c r="AS233" i="1"/>
  <c r="AN233" i="1"/>
  <c r="AM233" i="1"/>
  <c r="AL233" i="1"/>
  <c r="AK233" i="1"/>
  <c r="AJ233" i="1"/>
  <c r="AI233" i="1"/>
  <c r="O233" i="1"/>
  <c r="D233" i="1" s="1"/>
  <c r="F233" i="1"/>
  <c r="E233" i="1"/>
  <c r="EG232" i="1"/>
  <c r="EA232" i="1"/>
  <c r="DZ232" i="1"/>
  <c r="DY232" i="1"/>
  <c r="DX232" i="1"/>
  <c r="DW232" i="1"/>
  <c r="DV232" i="1"/>
  <c r="DC232" i="1"/>
  <c r="DB232" i="1"/>
  <c r="CV232" i="1" s="1"/>
  <c r="DA232" i="1"/>
  <c r="CU232" i="1" s="1"/>
  <c r="CZ232" i="1"/>
  <c r="CY232" i="1"/>
  <c r="CX232" i="1"/>
  <c r="CR232" i="1" s="1"/>
  <c r="CW232" i="1"/>
  <c r="CT232" i="1"/>
  <c r="CS232" i="1"/>
  <c r="CA232" i="1"/>
  <c r="CB232" i="1" s="1"/>
  <c r="BZ232" i="1"/>
  <c r="BY232" i="1"/>
  <c r="BX232" i="1"/>
  <c r="BW232" i="1"/>
  <c r="BV232" i="1"/>
  <c r="BU232" i="1"/>
  <c r="CC232" i="1" s="1"/>
  <c r="BT232" i="1"/>
  <c r="BS232" i="1"/>
  <c r="AS232" i="1"/>
  <c r="AN232" i="1"/>
  <c r="AM232" i="1"/>
  <c r="AL232" i="1"/>
  <c r="AK232" i="1"/>
  <c r="AJ232" i="1"/>
  <c r="AI232" i="1"/>
  <c r="BC232" i="1" s="1"/>
  <c r="O232" i="1"/>
  <c r="D232" i="1" s="1"/>
  <c r="F232" i="1"/>
  <c r="E232" i="1"/>
  <c r="EG231" i="1"/>
  <c r="EA231" i="1"/>
  <c r="DZ231" i="1"/>
  <c r="DY231" i="1"/>
  <c r="DX231" i="1"/>
  <c r="DW231" i="1"/>
  <c r="DV231" i="1"/>
  <c r="DC231" i="1"/>
  <c r="DB231" i="1"/>
  <c r="DA231" i="1"/>
  <c r="CU231" i="1" s="1"/>
  <c r="CZ231" i="1"/>
  <c r="CT231" i="1" s="1"/>
  <c r="CY231" i="1"/>
  <c r="CX231" i="1"/>
  <c r="CW231" i="1"/>
  <c r="CV231" i="1"/>
  <c r="CS231" i="1"/>
  <c r="CR231" i="1"/>
  <c r="BZ231" i="1"/>
  <c r="CA231" i="1" s="1"/>
  <c r="CB231" i="1" s="1"/>
  <c r="BY231" i="1"/>
  <c r="BX231" i="1"/>
  <c r="BW231" i="1"/>
  <c r="BV231" i="1"/>
  <c r="BU231" i="1"/>
  <c r="BT231" i="1"/>
  <c r="BS231" i="1"/>
  <c r="AS231" i="1"/>
  <c r="AN231" i="1"/>
  <c r="AM231" i="1"/>
  <c r="AL231" i="1"/>
  <c r="AK231" i="1"/>
  <c r="AJ231" i="1"/>
  <c r="AI231" i="1"/>
  <c r="BC231" i="1" s="1"/>
  <c r="O231" i="1"/>
  <c r="D231" i="1" s="1"/>
  <c r="F231" i="1"/>
  <c r="E231" i="1"/>
  <c r="EG230" i="1"/>
  <c r="EA230" i="1"/>
  <c r="DZ230" i="1"/>
  <c r="DY230" i="1"/>
  <c r="DX230" i="1"/>
  <c r="DW230" i="1"/>
  <c r="DV230" i="1"/>
  <c r="DC230" i="1"/>
  <c r="CW230" i="1" s="1"/>
  <c r="DB230" i="1"/>
  <c r="DA230" i="1"/>
  <c r="CZ230" i="1"/>
  <c r="CT230" i="1" s="1"/>
  <c r="CY230" i="1"/>
  <c r="CS230" i="1" s="1"/>
  <c r="CX230" i="1"/>
  <c r="CV230" i="1"/>
  <c r="CU230" i="1"/>
  <c r="CR230" i="1"/>
  <c r="BZ230" i="1"/>
  <c r="CA230" i="1" s="1"/>
  <c r="BY230" i="1"/>
  <c r="BX230" i="1"/>
  <c r="BW230" i="1"/>
  <c r="BV230" i="1"/>
  <c r="BU230" i="1"/>
  <c r="BT230" i="1"/>
  <c r="BS230" i="1"/>
  <c r="AS230" i="1"/>
  <c r="AN230" i="1"/>
  <c r="AM230" i="1"/>
  <c r="AL230" i="1"/>
  <c r="AK230" i="1"/>
  <c r="AJ230" i="1"/>
  <c r="AI230" i="1"/>
  <c r="BC230" i="1" s="1"/>
  <c r="O230" i="1"/>
  <c r="D230" i="1" s="1"/>
  <c r="F230" i="1"/>
  <c r="E230" i="1"/>
  <c r="EG229" i="1"/>
  <c r="EA229" i="1"/>
  <c r="DZ229" i="1"/>
  <c r="DY229" i="1"/>
  <c r="DX229" i="1"/>
  <c r="DW229" i="1"/>
  <c r="DV229" i="1"/>
  <c r="DC229" i="1"/>
  <c r="CW229" i="1" s="1"/>
  <c r="DB229" i="1"/>
  <c r="CV229" i="1" s="1"/>
  <c r="DA229" i="1"/>
  <c r="CZ229" i="1"/>
  <c r="CY229" i="1"/>
  <c r="CS229" i="1" s="1"/>
  <c r="CX229" i="1"/>
  <c r="CR229" i="1" s="1"/>
  <c r="CU229" i="1"/>
  <c r="CT229" i="1"/>
  <c r="BZ229" i="1"/>
  <c r="CA229" i="1" s="1"/>
  <c r="CB229" i="1" s="1"/>
  <c r="BY229" i="1"/>
  <c r="BX229" i="1"/>
  <c r="BW229" i="1"/>
  <c r="BV229" i="1"/>
  <c r="BU229" i="1"/>
  <c r="CC229" i="1" s="1"/>
  <c r="BT229" i="1"/>
  <c r="BS229" i="1"/>
  <c r="AS229" i="1"/>
  <c r="AN229" i="1"/>
  <c r="AM229" i="1"/>
  <c r="AL229" i="1"/>
  <c r="AK229" i="1"/>
  <c r="AJ229" i="1"/>
  <c r="AI229" i="1"/>
  <c r="O229" i="1"/>
  <c r="D229" i="1" s="1"/>
  <c r="F229" i="1"/>
  <c r="E229" i="1"/>
  <c r="EG228" i="1"/>
  <c r="EA228" i="1"/>
  <c r="DZ228" i="1"/>
  <c r="DY228" i="1"/>
  <c r="DX228" i="1"/>
  <c r="DW228" i="1"/>
  <c r="DV228" i="1"/>
  <c r="DC228" i="1"/>
  <c r="DB228" i="1"/>
  <c r="CV228" i="1" s="1"/>
  <c r="DA228" i="1"/>
  <c r="CU228" i="1" s="1"/>
  <c r="CZ228" i="1"/>
  <c r="CY228" i="1"/>
  <c r="CX228" i="1"/>
  <c r="CR228" i="1" s="1"/>
  <c r="CW228" i="1"/>
  <c r="CT228" i="1"/>
  <c r="CS228" i="1"/>
  <c r="CA228" i="1"/>
  <c r="CB228" i="1" s="1"/>
  <c r="BZ228" i="1"/>
  <c r="BY228" i="1"/>
  <c r="BX228" i="1"/>
  <c r="BW228" i="1"/>
  <c r="BV228" i="1"/>
  <c r="BU228" i="1"/>
  <c r="CC228" i="1" s="1"/>
  <c r="BT228" i="1"/>
  <c r="BS228" i="1"/>
  <c r="AS228" i="1"/>
  <c r="AN228" i="1"/>
  <c r="AM228" i="1"/>
  <c r="AL228" i="1"/>
  <c r="AK228" i="1"/>
  <c r="AJ228" i="1"/>
  <c r="AI228" i="1"/>
  <c r="BC228" i="1" s="1"/>
  <c r="O228" i="1"/>
  <c r="D228" i="1" s="1"/>
  <c r="F228" i="1"/>
  <c r="E228" i="1"/>
  <c r="EG227" i="1"/>
  <c r="EA227" i="1"/>
  <c r="DZ227" i="1"/>
  <c r="DY227" i="1"/>
  <c r="DX227" i="1"/>
  <c r="DW227" i="1"/>
  <c r="DV227" i="1"/>
  <c r="DC227" i="1"/>
  <c r="DB227" i="1"/>
  <c r="DA227" i="1"/>
  <c r="CU227" i="1" s="1"/>
  <c r="CZ227" i="1"/>
  <c r="CT227" i="1" s="1"/>
  <c r="CY227" i="1"/>
  <c r="CX227" i="1"/>
  <c r="CW227" i="1"/>
  <c r="CV227" i="1"/>
  <c r="CS227" i="1"/>
  <c r="CR227" i="1"/>
  <c r="BZ227" i="1"/>
  <c r="CA227" i="1" s="1"/>
  <c r="CB227" i="1" s="1"/>
  <c r="BY227" i="1"/>
  <c r="BX227" i="1"/>
  <c r="BW227" i="1"/>
  <c r="BV227" i="1"/>
  <c r="BU227" i="1"/>
  <c r="CC227" i="1" s="1"/>
  <c r="BT227" i="1"/>
  <c r="BS227" i="1"/>
  <c r="AS227" i="1"/>
  <c r="AN227" i="1"/>
  <c r="AM227" i="1"/>
  <c r="AL227" i="1"/>
  <c r="AK227" i="1"/>
  <c r="AJ227" i="1"/>
  <c r="AI227" i="1"/>
  <c r="BC227" i="1" s="1"/>
  <c r="O227" i="1"/>
  <c r="D227" i="1" s="1"/>
  <c r="F227" i="1"/>
  <c r="E227" i="1"/>
  <c r="EG226" i="1"/>
  <c r="EA226" i="1"/>
  <c r="DZ226" i="1"/>
  <c r="DY226" i="1"/>
  <c r="DX226" i="1"/>
  <c r="DW226" i="1"/>
  <c r="DV226" i="1"/>
  <c r="DC226" i="1"/>
  <c r="CW226" i="1" s="1"/>
  <c r="DB226" i="1"/>
  <c r="DA226" i="1"/>
  <c r="CZ226" i="1"/>
  <c r="CT226" i="1" s="1"/>
  <c r="CY226" i="1"/>
  <c r="CS226" i="1" s="1"/>
  <c r="CX226" i="1"/>
  <c r="CV226" i="1"/>
  <c r="CU226" i="1"/>
  <c r="CR226" i="1"/>
  <c r="BZ226" i="1"/>
  <c r="CA226" i="1" s="1"/>
  <c r="BY226" i="1"/>
  <c r="BX226" i="1"/>
  <c r="BW226" i="1"/>
  <c r="BV226" i="1"/>
  <c r="BU226" i="1"/>
  <c r="CC226" i="1" s="1"/>
  <c r="BT226" i="1"/>
  <c r="BS226" i="1"/>
  <c r="AS226" i="1"/>
  <c r="AN226" i="1"/>
  <c r="AM226" i="1"/>
  <c r="AL226" i="1"/>
  <c r="AK226" i="1"/>
  <c r="AJ226" i="1"/>
  <c r="AI226" i="1"/>
  <c r="BC226" i="1" s="1"/>
  <c r="O226" i="1"/>
  <c r="D226" i="1" s="1"/>
  <c r="F226" i="1"/>
  <c r="E226" i="1"/>
  <c r="EG225" i="1"/>
  <c r="EA225" i="1"/>
  <c r="DZ225" i="1"/>
  <c r="DY225" i="1"/>
  <c r="DX225" i="1"/>
  <c r="DW225" i="1"/>
  <c r="DV225" i="1"/>
  <c r="DC225" i="1"/>
  <c r="CW225" i="1" s="1"/>
  <c r="DB225" i="1"/>
  <c r="CV225" i="1" s="1"/>
  <c r="DA225" i="1"/>
  <c r="CZ225" i="1"/>
  <c r="CY225" i="1"/>
  <c r="CS225" i="1" s="1"/>
  <c r="CX225" i="1"/>
  <c r="CR225" i="1" s="1"/>
  <c r="CU225" i="1"/>
  <c r="CT225" i="1"/>
  <c r="BZ225" i="1"/>
  <c r="CA225" i="1" s="1"/>
  <c r="CB225" i="1" s="1"/>
  <c r="BY225" i="1"/>
  <c r="BX225" i="1"/>
  <c r="BW225" i="1"/>
  <c r="BV225" i="1"/>
  <c r="BU225" i="1"/>
  <c r="BT225" i="1"/>
  <c r="BS225" i="1"/>
  <c r="AS225" i="1"/>
  <c r="AN225" i="1"/>
  <c r="AM225" i="1"/>
  <c r="AL225" i="1"/>
  <c r="AK225" i="1"/>
  <c r="AJ225" i="1"/>
  <c r="AI225" i="1"/>
  <c r="O225" i="1"/>
  <c r="D225" i="1" s="1"/>
  <c r="F225" i="1"/>
  <c r="E225" i="1"/>
  <c r="EG224" i="1"/>
  <c r="EA224" i="1"/>
  <c r="DZ224" i="1"/>
  <c r="DY224" i="1"/>
  <c r="DX224" i="1"/>
  <c r="DW224" i="1"/>
  <c r="DV224" i="1"/>
  <c r="DC224" i="1"/>
  <c r="DB224" i="1"/>
  <c r="CV224" i="1" s="1"/>
  <c r="DA224" i="1"/>
  <c r="CU224" i="1" s="1"/>
  <c r="CZ224" i="1"/>
  <c r="CY224" i="1"/>
  <c r="CX224" i="1"/>
  <c r="CR224" i="1" s="1"/>
  <c r="CW224" i="1"/>
  <c r="CT224" i="1"/>
  <c r="CS224" i="1"/>
  <c r="CA224" i="1"/>
  <c r="CB224" i="1" s="1"/>
  <c r="BZ224" i="1"/>
  <c r="BY224" i="1"/>
  <c r="BX224" i="1"/>
  <c r="BW224" i="1"/>
  <c r="BV224" i="1"/>
  <c r="BU224" i="1"/>
  <c r="CC224" i="1" s="1"/>
  <c r="BT224" i="1"/>
  <c r="BS224" i="1"/>
  <c r="AS224" i="1"/>
  <c r="AN224" i="1"/>
  <c r="AM224" i="1"/>
  <c r="AL224" i="1"/>
  <c r="AK224" i="1"/>
  <c r="AJ224" i="1"/>
  <c r="AI224" i="1"/>
  <c r="BC224" i="1" s="1"/>
  <c r="O224" i="1"/>
  <c r="F224" i="1"/>
  <c r="E224" i="1"/>
  <c r="D224" i="1"/>
  <c r="EG223" i="1"/>
  <c r="EA223" i="1"/>
  <c r="DZ223" i="1"/>
  <c r="DY223" i="1"/>
  <c r="DX223" i="1"/>
  <c r="DW223" i="1"/>
  <c r="DV223" i="1"/>
  <c r="DC223" i="1"/>
  <c r="DB223" i="1"/>
  <c r="DA223" i="1"/>
  <c r="CU223" i="1" s="1"/>
  <c r="CZ223" i="1"/>
  <c r="CT223" i="1" s="1"/>
  <c r="CY223" i="1"/>
  <c r="CX223" i="1"/>
  <c r="CW223" i="1"/>
  <c r="CV223" i="1"/>
  <c r="CS223" i="1"/>
  <c r="CR223" i="1"/>
  <c r="BZ223" i="1"/>
  <c r="CA223" i="1" s="1"/>
  <c r="CB223" i="1" s="1"/>
  <c r="BY223" i="1"/>
  <c r="BX223" i="1"/>
  <c r="BW223" i="1"/>
  <c r="BV223" i="1"/>
  <c r="BU223" i="1"/>
  <c r="BT223" i="1"/>
  <c r="BS223" i="1"/>
  <c r="AS223" i="1"/>
  <c r="AN223" i="1"/>
  <c r="AM223" i="1"/>
  <c r="AL223" i="1"/>
  <c r="AK223" i="1"/>
  <c r="AJ223" i="1"/>
  <c r="AI223" i="1"/>
  <c r="BC223" i="1" s="1"/>
  <c r="O223" i="1"/>
  <c r="D223" i="1" s="1"/>
  <c r="F223" i="1"/>
  <c r="E223" i="1"/>
  <c r="EG222" i="1"/>
  <c r="EA222" i="1"/>
  <c r="DZ222" i="1"/>
  <c r="DY222" i="1"/>
  <c r="DX222" i="1"/>
  <c r="DW222" i="1"/>
  <c r="DV222" i="1"/>
  <c r="DC222" i="1"/>
  <c r="CW222" i="1" s="1"/>
  <c r="DB222" i="1"/>
  <c r="DA222" i="1"/>
  <c r="CZ222" i="1"/>
  <c r="CT222" i="1" s="1"/>
  <c r="CY222" i="1"/>
  <c r="CS222" i="1" s="1"/>
  <c r="CX222" i="1"/>
  <c r="CV222" i="1"/>
  <c r="CU222" i="1"/>
  <c r="CR222" i="1"/>
  <c r="BZ222" i="1"/>
  <c r="CA222" i="1" s="1"/>
  <c r="BY222" i="1"/>
  <c r="BX222" i="1"/>
  <c r="BW222" i="1"/>
  <c r="BV222" i="1"/>
  <c r="BU222" i="1"/>
  <c r="BT222" i="1"/>
  <c r="BS222" i="1"/>
  <c r="AS222" i="1"/>
  <c r="AN222" i="1"/>
  <c r="AM222" i="1"/>
  <c r="AL222" i="1"/>
  <c r="AK222" i="1"/>
  <c r="AJ222" i="1"/>
  <c r="AI222" i="1"/>
  <c r="BC222" i="1" s="1"/>
  <c r="O222" i="1"/>
  <c r="D222" i="1" s="1"/>
  <c r="F222" i="1"/>
  <c r="E222" i="1"/>
  <c r="EG221" i="1"/>
  <c r="EA221" i="1"/>
  <c r="DZ221" i="1"/>
  <c r="DY221" i="1"/>
  <c r="DX221" i="1"/>
  <c r="DW221" i="1"/>
  <c r="DV221" i="1"/>
  <c r="DC221" i="1"/>
  <c r="CW221" i="1" s="1"/>
  <c r="DB221" i="1"/>
  <c r="CV221" i="1" s="1"/>
  <c r="DA221" i="1"/>
  <c r="CZ221" i="1"/>
  <c r="CY221" i="1"/>
  <c r="CS221" i="1" s="1"/>
  <c r="CX221" i="1"/>
  <c r="CR221" i="1" s="1"/>
  <c r="CU221" i="1"/>
  <c r="CT221" i="1"/>
  <c r="BZ221" i="1"/>
  <c r="CA221" i="1" s="1"/>
  <c r="CB221" i="1" s="1"/>
  <c r="BY221" i="1"/>
  <c r="BX221" i="1"/>
  <c r="BW221" i="1"/>
  <c r="BV221" i="1"/>
  <c r="BU221" i="1"/>
  <c r="CC221" i="1" s="1"/>
  <c r="BT221" i="1"/>
  <c r="BS221" i="1"/>
  <c r="AS221" i="1"/>
  <c r="AN221" i="1"/>
  <c r="AM221" i="1"/>
  <c r="AL221" i="1"/>
  <c r="AK221" i="1"/>
  <c r="AJ221" i="1"/>
  <c r="AI221" i="1"/>
  <c r="O221" i="1"/>
  <c r="D221" i="1" s="1"/>
  <c r="F221" i="1"/>
  <c r="E221" i="1"/>
  <c r="EG220" i="1"/>
  <c r="EA220" i="1"/>
  <c r="DZ220" i="1"/>
  <c r="DY220" i="1"/>
  <c r="DX220" i="1"/>
  <c r="DW220" i="1"/>
  <c r="DV220" i="1"/>
  <c r="DC220" i="1"/>
  <c r="DB220" i="1"/>
  <c r="CV220" i="1" s="1"/>
  <c r="DA220" i="1"/>
  <c r="CU220" i="1" s="1"/>
  <c r="CZ220" i="1"/>
  <c r="CY220" i="1"/>
  <c r="CX220" i="1"/>
  <c r="CR220" i="1" s="1"/>
  <c r="CW220" i="1"/>
  <c r="CT220" i="1"/>
  <c r="CS220" i="1"/>
  <c r="CA220" i="1"/>
  <c r="CB220" i="1" s="1"/>
  <c r="BZ220" i="1"/>
  <c r="BY220" i="1"/>
  <c r="BX220" i="1"/>
  <c r="BW220" i="1"/>
  <c r="BV220" i="1"/>
  <c r="BU220" i="1"/>
  <c r="CC220" i="1" s="1"/>
  <c r="BT220" i="1"/>
  <c r="BS220" i="1"/>
  <c r="AS220" i="1"/>
  <c r="AN220" i="1"/>
  <c r="AM220" i="1"/>
  <c r="AL220" i="1"/>
  <c r="AK220" i="1"/>
  <c r="AJ220" i="1"/>
  <c r="AI220" i="1"/>
  <c r="BC220" i="1" s="1"/>
  <c r="O220" i="1"/>
  <c r="D220" i="1" s="1"/>
  <c r="F220" i="1"/>
  <c r="E220" i="1"/>
  <c r="EG219" i="1"/>
  <c r="EA219" i="1"/>
  <c r="DZ219" i="1"/>
  <c r="DY219" i="1"/>
  <c r="DX219" i="1"/>
  <c r="DW219" i="1"/>
  <c r="DV219" i="1"/>
  <c r="DC219" i="1"/>
  <c r="DB219" i="1"/>
  <c r="DA219" i="1"/>
  <c r="CU219" i="1" s="1"/>
  <c r="CZ219" i="1"/>
  <c r="CT219" i="1" s="1"/>
  <c r="CY219" i="1"/>
  <c r="CX219" i="1"/>
  <c r="CW219" i="1"/>
  <c r="CV219" i="1"/>
  <c r="CS219" i="1"/>
  <c r="CR219" i="1"/>
  <c r="BZ219" i="1"/>
  <c r="CA219" i="1" s="1"/>
  <c r="CB219" i="1" s="1"/>
  <c r="BY219" i="1"/>
  <c r="BX219" i="1"/>
  <c r="BW219" i="1"/>
  <c r="BV219" i="1"/>
  <c r="BU219" i="1"/>
  <c r="CC219" i="1" s="1"/>
  <c r="BT219" i="1"/>
  <c r="BS219" i="1"/>
  <c r="AS219" i="1"/>
  <c r="AN219" i="1"/>
  <c r="AM219" i="1"/>
  <c r="AL219" i="1"/>
  <c r="AK219" i="1"/>
  <c r="AJ219" i="1"/>
  <c r="AI219" i="1"/>
  <c r="BC219" i="1" s="1"/>
  <c r="O219" i="1"/>
  <c r="D219" i="1" s="1"/>
  <c r="F219" i="1"/>
  <c r="E219" i="1"/>
  <c r="EG218" i="1"/>
  <c r="EA218" i="1"/>
  <c r="DZ218" i="1"/>
  <c r="DY218" i="1"/>
  <c r="DX218" i="1"/>
  <c r="DW218" i="1"/>
  <c r="DV218" i="1"/>
  <c r="DC218" i="1"/>
  <c r="CW218" i="1" s="1"/>
  <c r="DB218" i="1"/>
  <c r="DA218" i="1"/>
  <c r="CZ218" i="1"/>
  <c r="CT218" i="1" s="1"/>
  <c r="CY218" i="1"/>
  <c r="CS218" i="1" s="1"/>
  <c r="CX218" i="1"/>
  <c r="CV218" i="1"/>
  <c r="CU218" i="1"/>
  <c r="CR218" i="1"/>
  <c r="BZ218" i="1"/>
  <c r="CA218" i="1" s="1"/>
  <c r="BY218" i="1"/>
  <c r="BX218" i="1"/>
  <c r="BW218" i="1"/>
  <c r="BV218" i="1"/>
  <c r="BU218" i="1"/>
  <c r="CC218" i="1" s="1"/>
  <c r="BT218" i="1"/>
  <c r="BS218" i="1"/>
  <c r="AS218" i="1"/>
  <c r="AN218" i="1"/>
  <c r="AM218" i="1"/>
  <c r="AL218" i="1"/>
  <c r="AK218" i="1"/>
  <c r="AJ218" i="1"/>
  <c r="AI218" i="1"/>
  <c r="BC218" i="1" s="1"/>
  <c r="O218" i="1"/>
  <c r="D218" i="1" s="1"/>
  <c r="F218" i="1"/>
  <c r="E218" i="1"/>
  <c r="EG217" i="1"/>
  <c r="EA217" i="1"/>
  <c r="DZ217" i="1"/>
  <c r="DY217" i="1"/>
  <c r="DX217" i="1"/>
  <c r="DW217" i="1"/>
  <c r="DV217" i="1"/>
  <c r="DC217" i="1"/>
  <c r="CW217" i="1" s="1"/>
  <c r="DB217" i="1"/>
  <c r="CV217" i="1" s="1"/>
  <c r="DA217" i="1"/>
  <c r="CZ217" i="1"/>
  <c r="CY217" i="1"/>
  <c r="CS217" i="1" s="1"/>
  <c r="CX217" i="1"/>
  <c r="CR217" i="1" s="1"/>
  <c r="CU217" i="1"/>
  <c r="CT217" i="1"/>
  <c r="BZ217" i="1"/>
  <c r="CA217" i="1" s="1"/>
  <c r="CB217" i="1" s="1"/>
  <c r="BY217" i="1"/>
  <c r="BX217" i="1"/>
  <c r="BW217" i="1"/>
  <c r="BV217" i="1"/>
  <c r="BU217" i="1"/>
  <c r="BT217" i="1"/>
  <c r="BS217" i="1"/>
  <c r="AS217" i="1"/>
  <c r="AN217" i="1"/>
  <c r="AM217" i="1"/>
  <c r="AL217" i="1"/>
  <c r="AK217" i="1"/>
  <c r="AJ217" i="1"/>
  <c r="AI217" i="1"/>
  <c r="O217" i="1"/>
  <c r="D217" i="1" s="1"/>
  <c r="F217" i="1"/>
  <c r="E217" i="1"/>
  <c r="EG216" i="1"/>
  <c r="EA216" i="1"/>
  <c r="DZ216" i="1"/>
  <c r="DY216" i="1"/>
  <c r="DX216" i="1"/>
  <c r="DW216" i="1"/>
  <c r="DV216" i="1"/>
  <c r="DC216" i="1"/>
  <c r="DB216" i="1"/>
  <c r="CV216" i="1" s="1"/>
  <c r="DA216" i="1"/>
  <c r="CU216" i="1" s="1"/>
  <c r="CZ216" i="1"/>
  <c r="CY216" i="1"/>
  <c r="CX216" i="1"/>
  <c r="CR216" i="1" s="1"/>
  <c r="CW216" i="1"/>
  <c r="CT216" i="1"/>
  <c r="CS216" i="1"/>
  <c r="CA216" i="1"/>
  <c r="CB216" i="1" s="1"/>
  <c r="BZ216" i="1"/>
  <c r="BY216" i="1"/>
  <c r="BX216" i="1"/>
  <c r="BW216" i="1"/>
  <c r="BV216" i="1"/>
  <c r="BU216" i="1"/>
  <c r="CC216" i="1" s="1"/>
  <c r="BT216" i="1"/>
  <c r="BS216" i="1"/>
  <c r="AS216" i="1"/>
  <c r="AN216" i="1"/>
  <c r="AM216" i="1"/>
  <c r="AL216" i="1"/>
  <c r="AK216" i="1"/>
  <c r="AJ216" i="1"/>
  <c r="AI216" i="1"/>
  <c r="BC216" i="1" s="1"/>
  <c r="O216" i="1"/>
  <c r="D216" i="1" s="1"/>
  <c r="F216" i="1"/>
  <c r="E216" i="1"/>
  <c r="EG215" i="1"/>
  <c r="EA215" i="1"/>
  <c r="DZ215" i="1"/>
  <c r="DY215" i="1"/>
  <c r="DX215" i="1"/>
  <c r="DW215" i="1"/>
  <c r="DV215" i="1"/>
  <c r="DC215" i="1"/>
  <c r="DB215" i="1"/>
  <c r="DA215" i="1"/>
  <c r="CU215" i="1" s="1"/>
  <c r="CZ215" i="1"/>
  <c r="CT215" i="1" s="1"/>
  <c r="CY215" i="1"/>
  <c r="CX215" i="1"/>
  <c r="CW215" i="1"/>
  <c r="CV215" i="1"/>
  <c r="CS215" i="1"/>
  <c r="CR215" i="1"/>
  <c r="BZ215" i="1"/>
  <c r="CA215" i="1" s="1"/>
  <c r="CB215" i="1" s="1"/>
  <c r="BY215" i="1"/>
  <c r="BX215" i="1"/>
  <c r="BW215" i="1"/>
  <c r="BV215" i="1"/>
  <c r="BU215" i="1"/>
  <c r="BT215" i="1"/>
  <c r="BS215" i="1"/>
  <c r="AS215" i="1"/>
  <c r="AN215" i="1"/>
  <c r="AM215" i="1"/>
  <c r="AL215" i="1"/>
  <c r="AK215" i="1"/>
  <c r="AJ215" i="1"/>
  <c r="AI215" i="1"/>
  <c r="BC215" i="1" s="1"/>
  <c r="O215" i="1"/>
  <c r="D215" i="1" s="1"/>
  <c r="F215" i="1"/>
  <c r="E215" i="1"/>
  <c r="EG214" i="1"/>
  <c r="EA214" i="1"/>
  <c r="DZ214" i="1"/>
  <c r="DY214" i="1"/>
  <c r="DX214" i="1"/>
  <c r="DW214" i="1"/>
  <c r="DV214" i="1"/>
  <c r="DC214" i="1"/>
  <c r="CW214" i="1" s="1"/>
  <c r="DB214" i="1"/>
  <c r="DA214" i="1"/>
  <c r="CZ214" i="1"/>
  <c r="CT214" i="1" s="1"/>
  <c r="CY214" i="1"/>
  <c r="CS214" i="1" s="1"/>
  <c r="CX214" i="1"/>
  <c r="CV214" i="1"/>
  <c r="CU214" i="1"/>
  <c r="CR214" i="1"/>
  <c r="BZ214" i="1"/>
  <c r="CA214" i="1" s="1"/>
  <c r="BY214" i="1"/>
  <c r="BX214" i="1"/>
  <c r="BW214" i="1"/>
  <c r="BV214" i="1"/>
  <c r="BU214" i="1"/>
  <c r="BT214" i="1"/>
  <c r="BS214" i="1"/>
  <c r="AS214" i="1"/>
  <c r="AN214" i="1"/>
  <c r="AM214" i="1"/>
  <c r="AL214" i="1"/>
  <c r="AK214" i="1"/>
  <c r="AJ214" i="1"/>
  <c r="AI214" i="1"/>
  <c r="BC214" i="1" s="1"/>
  <c r="O214" i="1"/>
  <c r="D214" i="1" s="1"/>
  <c r="F214" i="1"/>
  <c r="E214" i="1"/>
  <c r="EG213" i="1"/>
  <c r="EA213" i="1"/>
  <c r="DZ213" i="1"/>
  <c r="DY213" i="1"/>
  <c r="DX213" i="1"/>
  <c r="DW213" i="1"/>
  <c r="DV213" i="1"/>
  <c r="DC213" i="1"/>
  <c r="CW213" i="1" s="1"/>
  <c r="DB213" i="1"/>
  <c r="CV213" i="1" s="1"/>
  <c r="DA213" i="1"/>
  <c r="CZ213" i="1"/>
  <c r="CY213" i="1"/>
  <c r="CS213" i="1" s="1"/>
  <c r="CX213" i="1"/>
  <c r="CR213" i="1" s="1"/>
  <c r="CU213" i="1"/>
  <c r="CT213" i="1"/>
  <c r="BZ213" i="1"/>
  <c r="CA213" i="1" s="1"/>
  <c r="CB213" i="1" s="1"/>
  <c r="BY213" i="1"/>
  <c r="BX213" i="1"/>
  <c r="BW213" i="1"/>
  <c r="BV213" i="1"/>
  <c r="BU213" i="1"/>
  <c r="CC213" i="1" s="1"/>
  <c r="BT213" i="1"/>
  <c r="BS213" i="1"/>
  <c r="AS213" i="1"/>
  <c r="AN213" i="1"/>
  <c r="AM213" i="1"/>
  <c r="AL213" i="1"/>
  <c r="AK213" i="1"/>
  <c r="AJ213" i="1"/>
  <c r="AI213" i="1"/>
  <c r="O213" i="1"/>
  <c r="D213" i="1" s="1"/>
  <c r="F213" i="1"/>
  <c r="E213" i="1"/>
  <c r="EG212" i="1"/>
  <c r="EA212" i="1"/>
  <c r="DZ212" i="1"/>
  <c r="DY212" i="1"/>
  <c r="DX212" i="1"/>
  <c r="DW212" i="1"/>
  <c r="DV212" i="1"/>
  <c r="DC212" i="1"/>
  <c r="DB212" i="1"/>
  <c r="CV212" i="1" s="1"/>
  <c r="DA212" i="1"/>
  <c r="CU212" i="1" s="1"/>
  <c r="CZ212" i="1"/>
  <c r="CY212" i="1"/>
  <c r="CX212" i="1"/>
  <c r="CR212" i="1" s="1"/>
  <c r="CW212" i="1"/>
  <c r="CT212" i="1"/>
  <c r="CS212" i="1"/>
  <c r="CA212" i="1"/>
  <c r="CB212" i="1" s="1"/>
  <c r="BZ212" i="1"/>
  <c r="BY212" i="1"/>
  <c r="BX212" i="1"/>
  <c r="BW212" i="1"/>
  <c r="BV212" i="1"/>
  <c r="BU212" i="1"/>
  <c r="CC212" i="1" s="1"/>
  <c r="BT212" i="1"/>
  <c r="BS212" i="1"/>
  <c r="AS212" i="1"/>
  <c r="AN212" i="1"/>
  <c r="AM212" i="1"/>
  <c r="AL212" i="1"/>
  <c r="AK212" i="1"/>
  <c r="AJ212" i="1"/>
  <c r="AI212" i="1"/>
  <c r="BC212" i="1" s="1"/>
  <c r="O212" i="1"/>
  <c r="D212" i="1" s="1"/>
  <c r="F212" i="1"/>
  <c r="E212" i="1"/>
  <c r="EG211" i="1"/>
  <c r="EA211" i="1"/>
  <c r="DZ211" i="1"/>
  <c r="DY211" i="1"/>
  <c r="DX211" i="1"/>
  <c r="DW211" i="1"/>
  <c r="DV211" i="1"/>
  <c r="DC211" i="1"/>
  <c r="DB211" i="1"/>
  <c r="DA211" i="1"/>
  <c r="CU211" i="1" s="1"/>
  <c r="CZ211" i="1"/>
  <c r="CT211" i="1" s="1"/>
  <c r="CY211" i="1"/>
  <c r="CX211" i="1"/>
  <c r="CW211" i="1"/>
  <c r="CV211" i="1"/>
  <c r="CS211" i="1"/>
  <c r="CR211" i="1"/>
  <c r="BZ211" i="1"/>
  <c r="CA211" i="1" s="1"/>
  <c r="CB211" i="1" s="1"/>
  <c r="BY211" i="1"/>
  <c r="BX211" i="1"/>
  <c r="BW211" i="1"/>
  <c r="BV211" i="1"/>
  <c r="BU211" i="1"/>
  <c r="CC211" i="1" s="1"/>
  <c r="BT211" i="1"/>
  <c r="BS211" i="1"/>
  <c r="AS211" i="1"/>
  <c r="AN211" i="1"/>
  <c r="AM211" i="1"/>
  <c r="AL211" i="1"/>
  <c r="AK211" i="1"/>
  <c r="AJ211" i="1"/>
  <c r="AI211" i="1"/>
  <c r="BC211" i="1" s="1"/>
  <c r="O211" i="1"/>
  <c r="D211" i="1" s="1"/>
  <c r="F211" i="1"/>
  <c r="E211" i="1"/>
  <c r="EG210" i="1"/>
  <c r="EA210" i="1"/>
  <c r="DZ210" i="1"/>
  <c r="DY210" i="1"/>
  <c r="DX210" i="1"/>
  <c r="DW210" i="1"/>
  <c r="DV210" i="1"/>
  <c r="DC210" i="1"/>
  <c r="CW210" i="1" s="1"/>
  <c r="DB210" i="1"/>
  <c r="DA210" i="1"/>
  <c r="CZ210" i="1"/>
  <c r="CT210" i="1" s="1"/>
  <c r="CY210" i="1"/>
  <c r="CS210" i="1" s="1"/>
  <c r="CX210" i="1"/>
  <c r="CV210" i="1"/>
  <c r="CU210" i="1"/>
  <c r="CR210" i="1"/>
  <c r="BZ210" i="1"/>
  <c r="CA210" i="1" s="1"/>
  <c r="BY210" i="1"/>
  <c r="BX210" i="1"/>
  <c r="BW210" i="1"/>
  <c r="BV210" i="1"/>
  <c r="BU210" i="1"/>
  <c r="CC210" i="1" s="1"/>
  <c r="BT210" i="1"/>
  <c r="BS210" i="1"/>
  <c r="AS210" i="1"/>
  <c r="AN210" i="1"/>
  <c r="AM210" i="1"/>
  <c r="AL210" i="1"/>
  <c r="AK210" i="1"/>
  <c r="AJ210" i="1"/>
  <c r="AI210" i="1"/>
  <c r="BC210" i="1" s="1"/>
  <c r="O210" i="1"/>
  <c r="D210" i="1" s="1"/>
  <c r="F210" i="1"/>
  <c r="E210" i="1"/>
  <c r="EG209" i="1"/>
  <c r="EA209" i="1"/>
  <c r="DZ209" i="1"/>
  <c r="DY209" i="1"/>
  <c r="DX209" i="1"/>
  <c r="DW209" i="1"/>
  <c r="DV209" i="1"/>
  <c r="DC209" i="1"/>
  <c r="CW209" i="1" s="1"/>
  <c r="DB209" i="1"/>
  <c r="CV209" i="1" s="1"/>
  <c r="DA209" i="1"/>
  <c r="CZ209" i="1"/>
  <c r="CY209" i="1"/>
  <c r="CS209" i="1" s="1"/>
  <c r="CX209" i="1"/>
  <c r="CR209" i="1" s="1"/>
  <c r="CU209" i="1"/>
  <c r="CT209" i="1"/>
  <c r="BZ209" i="1"/>
  <c r="CA209" i="1" s="1"/>
  <c r="CB209" i="1" s="1"/>
  <c r="BY209" i="1"/>
  <c r="BX209" i="1"/>
  <c r="BW209" i="1"/>
  <c r="BV209" i="1"/>
  <c r="BU209" i="1"/>
  <c r="BT209" i="1"/>
  <c r="BS209" i="1"/>
  <c r="AS209" i="1"/>
  <c r="AN209" i="1"/>
  <c r="AM209" i="1"/>
  <c r="AL209" i="1"/>
  <c r="AK209" i="1"/>
  <c r="AJ209" i="1"/>
  <c r="AI209" i="1"/>
  <c r="O209" i="1"/>
  <c r="D209" i="1" s="1"/>
  <c r="F209" i="1"/>
  <c r="E209" i="1"/>
  <c r="EG208" i="1"/>
  <c r="EA208" i="1"/>
  <c r="DZ208" i="1"/>
  <c r="DY208" i="1"/>
  <c r="DX208" i="1"/>
  <c r="DW208" i="1"/>
  <c r="DV208" i="1"/>
  <c r="DC208" i="1"/>
  <c r="DB208" i="1"/>
  <c r="CV208" i="1" s="1"/>
  <c r="DA208" i="1"/>
  <c r="CU208" i="1" s="1"/>
  <c r="CZ208" i="1"/>
  <c r="CY208" i="1"/>
  <c r="CX208" i="1"/>
  <c r="CR208" i="1" s="1"/>
  <c r="CW208" i="1"/>
  <c r="CT208" i="1"/>
  <c r="CS208" i="1"/>
  <c r="CA208" i="1"/>
  <c r="CB208" i="1" s="1"/>
  <c r="BZ208" i="1"/>
  <c r="BY208" i="1"/>
  <c r="BX208" i="1"/>
  <c r="BW208" i="1"/>
  <c r="BV208" i="1"/>
  <c r="BU208" i="1"/>
  <c r="CC208" i="1" s="1"/>
  <c r="BT208" i="1"/>
  <c r="BS208" i="1"/>
  <c r="AS208" i="1"/>
  <c r="AN208" i="1"/>
  <c r="AM208" i="1"/>
  <c r="AL208" i="1"/>
  <c r="AK208" i="1"/>
  <c r="AJ208" i="1"/>
  <c r="AI208" i="1"/>
  <c r="BC208" i="1" s="1"/>
  <c r="O208" i="1"/>
  <c r="D208" i="1" s="1"/>
  <c r="F208" i="1"/>
  <c r="E208" i="1"/>
  <c r="EG207" i="1"/>
  <c r="EA207" i="1"/>
  <c r="DZ207" i="1"/>
  <c r="DY207" i="1"/>
  <c r="DX207" i="1"/>
  <c r="DW207" i="1"/>
  <c r="DV207" i="1"/>
  <c r="DC207" i="1"/>
  <c r="DB207" i="1"/>
  <c r="DA207" i="1"/>
  <c r="CU207" i="1" s="1"/>
  <c r="CZ207" i="1"/>
  <c r="CT207" i="1" s="1"/>
  <c r="CY207" i="1"/>
  <c r="CX207" i="1"/>
  <c r="CW207" i="1"/>
  <c r="CV207" i="1"/>
  <c r="CS207" i="1"/>
  <c r="CR207" i="1"/>
  <c r="BZ207" i="1"/>
  <c r="CA207" i="1" s="1"/>
  <c r="CB207" i="1" s="1"/>
  <c r="BY207" i="1"/>
  <c r="BX207" i="1"/>
  <c r="BW207" i="1"/>
  <c r="BV207" i="1"/>
  <c r="BU207" i="1"/>
  <c r="BT207" i="1"/>
  <c r="BS207" i="1"/>
  <c r="BC207" i="1"/>
  <c r="AS207" i="1"/>
  <c r="AN207" i="1"/>
  <c r="AM207" i="1"/>
  <c r="AL207" i="1"/>
  <c r="AK207" i="1"/>
  <c r="AJ207" i="1"/>
  <c r="AI207" i="1"/>
  <c r="O207" i="1"/>
  <c r="D207" i="1" s="1"/>
  <c r="F207" i="1"/>
  <c r="E207" i="1"/>
  <c r="EG206" i="1"/>
  <c r="EA206" i="1"/>
  <c r="DZ206" i="1"/>
  <c r="DY206" i="1"/>
  <c r="DX206" i="1"/>
  <c r="DW206" i="1"/>
  <c r="DV206" i="1"/>
  <c r="DC206" i="1"/>
  <c r="CW206" i="1" s="1"/>
  <c r="DB206" i="1"/>
  <c r="DA206" i="1"/>
  <c r="CZ206" i="1"/>
  <c r="CT206" i="1" s="1"/>
  <c r="CY206" i="1"/>
  <c r="CS206" i="1" s="1"/>
  <c r="CX206" i="1"/>
  <c r="CV206" i="1"/>
  <c r="CU206" i="1"/>
  <c r="CR206" i="1"/>
  <c r="BZ206" i="1"/>
  <c r="CA206" i="1" s="1"/>
  <c r="BY206" i="1"/>
  <c r="BX206" i="1"/>
  <c r="BW206" i="1"/>
  <c r="BV206" i="1"/>
  <c r="BU206" i="1"/>
  <c r="BT206" i="1"/>
  <c r="BS206" i="1"/>
  <c r="AS206" i="1"/>
  <c r="AN206" i="1"/>
  <c r="AM206" i="1"/>
  <c r="AL206" i="1"/>
  <c r="AK206" i="1"/>
  <c r="AJ206" i="1"/>
  <c r="AI206" i="1"/>
  <c r="BC206" i="1" s="1"/>
  <c r="O206" i="1"/>
  <c r="F206" i="1"/>
  <c r="E206" i="1"/>
  <c r="D206" i="1"/>
  <c r="EG205" i="1"/>
  <c r="EA205" i="1"/>
  <c r="DZ205" i="1"/>
  <c r="DY205" i="1"/>
  <c r="DX205" i="1"/>
  <c r="DW205" i="1"/>
  <c r="DV205" i="1"/>
  <c r="DC205" i="1"/>
  <c r="CW205" i="1" s="1"/>
  <c r="DB205" i="1"/>
  <c r="CV205" i="1" s="1"/>
  <c r="DA205" i="1"/>
  <c r="CZ205" i="1"/>
  <c r="CY205" i="1"/>
  <c r="CS205" i="1" s="1"/>
  <c r="CX205" i="1"/>
  <c r="CR205" i="1" s="1"/>
  <c r="CU205" i="1"/>
  <c r="CT205" i="1"/>
  <c r="BZ205" i="1"/>
  <c r="CA205" i="1" s="1"/>
  <c r="CB205" i="1" s="1"/>
  <c r="BY205" i="1"/>
  <c r="BX205" i="1"/>
  <c r="BW205" i="1"/>
  <c r="BV205" i="1"/>
  <c r="BU205" i="1"/>
  <c r="CC205" i="1" s="1"/>
  <c r="BT205" i="1"/>
  <c r="BS205" i="1"/>
  <c r="AS205" i="1"/>
  <c r="AN205" i="1"/>
  <c r="AM205" i="1"/>
  <c r="AL205" i="1"/>
  <c r="AK205" i="1"/>
  <c r="AJ205" i="1"/>
  <c r="AI205" i="1"/>
  <c r="O205" i="1"/>
  <c r="D205" i="1" s="1"/>
  <c r="F205" i="1"/>
  <c r="E205" i="1"/>
  <c r="EG204" i="1"/>
  <c r="EA204" i="1"/>
  <c r="DZ204" i="1"/>
  <c r="DY204" i="1"/>
  <c r="DX204" i="1"/>
  <c r="DW204" i="1"/>
  <c r="DV204" i="1"/>
  <c r="DC204" i="1"/>
  <c r="DB204" i="1"/>
  <c r="CV204" i="1" s="1"/>
  <c r="DA204" i="1"/>
  <c r="CU204" i="1" s="1"/>
  <c r="CZ204" i="1"/>
  <c r="CY204" i="1"/>
  <c r="CX204" i="1"/>
  <c r="CR204" i="1" s="1"/>
  <c r="CW204" i="1"/>
  <c r="CT204" i="1"/>
  <c r="CS204" i="1"/>
  <c r="CA204" i="1"/>
  <c r="CB204" i="1" s="1"/>
  <c r="BZ204" i="1"/>
  <c r="BY204" i="1"/>
  <c r="BX204" i="1"/>
  <c r="BW204" i="1"/>
  <c r="BV204" i="1"/>
  <c r="BU204" i="1"/>
  <c r="CC204" i="1" s="1"/>
  <c r="BT204" i="1"/>
  <c r="BS204" i="1"/>
  <c r="AS204" i="1"/>
  <c r="AN204" i="1"/>
  <c r="AM204" i="1"/>
  <c r="AL204" i="1"/>
  <c r="AK204" i="1"/>
  <c r="AJ204" i="1"/>
  <c r="AI204" i="1"/>
  <c r="BC204" i="1" s="1"/>
  <c r="O204" i="1"/>
  <c r="D204" i="1" s="1"/>
  <c r="F204" i="1"/>
  <c r="E204" i="1"/>
  <c r="EG203" i="1"/>
  <c r="EA203" i="1"/>
  <c r="DZ203" i="1"/>
  <c r="DY203" i="1"/>
  <c r="DX203" i="1"/>
  <c r="DW203" i="1"/>
  <c r="DV203" i="1"/>
  <c r="DC203" i="1"/>
  <c r="DB203" i="1"/>
  <c r="DA203" i="1"/>
  <c r="CU203" i="1" s="1"/>
  <c r="CZ203" i="1"/>
  <c r="CT203" i="1" s="1"/>
  <c r="CY203" i="1"/>
  <c r="CX203" i="1"/>
  <c r="CW203" i="1"/>
  <c r="CV203" i="1"/>
  <c r="CS203" i="1"/>
  <c r="CR203" i="1"/>
  <c r="BZ203" i="1"/>
  <c r="CA203" i="1" s="1"/>
  <c r="CB203" i="1" s="1"/>
  <c r="BY203" i="1"/>
  <c r="BX203" i="1"/>
  <c r="BW203" i="1"/>
  <c r="BV203" i="1"/>
  <c r="BU203" i="1"/>
  <c r="CC203" i="1" s="1"/>
  <c r="BT203" i="1"/>
  <c r="BS203" i="1"/>
  <c r="BC203" i="1"/>
  <c r="AS203" i="1"/>
  <c r="AN203" i="1"/>
  <c r="AM203" i="1"/>
  <c r="AL203" i="1"/>
  <c r="AK203" i="1"/>
  <c r="AJ203" i="1"/>
  <c r="AI203" i="1"/>
  <c r="O203" i="1"/>
  <c r="D203" i="1" s="1"/>
  <c r="F203" i="1"/>
  <c r="E203" i="1"/>
  <c r="EG202" i="1"/>
  <c r="EA202" i="1"/>
  <c r="DZ202" i="1"/>
  <c r="DY202" i="1"/>
  <c r="DX202" i="1"/>
  <c r="DW202" i="1"/>
  <c r="DV202" i="1"/>
  <c r="DC202" i="1"/>
  <c r="CW202" i="1" s="1"/>
  <c r="DB202" i="1"/>
  <c r="DA202" i="1"/>
  <c r="CZ202" i="1"/>
  <c r="CT202" i="1" s="1"/>
  <c r="CY202" i="1"/>
  <c r="CS202" i="1" s="1"/>
  <c r="CX202" i="1"/>
  <c r="CV202" i="1"/>
  <c r="CU202" i="1"/>
  <c r="CR202" i="1"/>
  <c r="BZ202" i="1"/>
  <c r="CA202" i="1" s="1"/>
  <c r="BY202" i="1"/>
  <c r="BX202" i="1"/>
  <c r="BW202" i="1"/>
  <c r="BV202" i="1"/>
  <c r="BU202" i="1"/>
  <c r="CC202" i="1" s="1"/>
  <c r="BT202" i="1"/>
  <c r="BS202" i="1"/>
  <c r="AS202" i="1"/>
  <c r="AN202" i="1"/>
  <c r="AM202" i="1"/>
  <c r="AL202" i="1"/>
  <c r="AK202" i="1"/>
  <c r="AJ202" i="1"/>
  <c r="AI202" i="1"/>
  <c r="BC202" i="1" s="1"/>
  <c r="O202" i="1"/>
  <c r="D202" i="1" s="1"/>
  <c r="F202" i="1"/>
  <c r="E202" i="1"/>
  <c r="EA201" i="1"/>
  <c r="DZ201" i="1"/>
  <c r="DY201" i="1"/>
  <c r="DX201" i="1"/>
  <c r="DW201" i="1"/>
  <c r="DV201" i="1"/>
  <c r="DC201" i="1"/>
  <c r="DB201" i="1"/>
  <c r="CV201" i="1" s="1"/>
  <c r="DA201" i="1"/>
  <c r="CU201" i="1" s="1"/>
  <c r="CZ201" i="1"/>
  <c r="CY201" i="1"/>
  <c r="CX201" i="1"/>
  <c r="CR201" i="1" s="1"/>
  <c r="CW201" i="1"/>
  <c r="CT201" i="1"/>
  <c r="CS201" i="1"/>
  <c r="CA201" i="1"/>
  <c r="CB201" i="1" s="1"/>
  <c r="BZ201" i="1"/>
  <c r="BY201" i="1"/>
  <c r="BX201" i="1"/>
  <c r="BW201" i="1"/>
  <c r="BV201" i="1"/>
  <c r="BU201" i="1"/>
  <c r="CC201" i="1" s="1"/>
  <c r="BT201" i="1"/>
  <c r="BS201" i="1"/>
  <c r="AS201" i="1"/>
  <c r="AN201" i="1"/>
  <c r="AM201" i="1"/>
  <c r="AL201" i="1"/>
  <c r="AK201" i="1"/>
  <c r="AJ201" i="1"/>
  <c r="AI201" i="1"/>
  <c r="BC201" i="1" s="1"/>
  <c r="O201" i="1"/>
  <c r="D201" i="1" s="1"/>
  <c r="F201" i="1"/>
  <c r="E201" i="1"/>
  <c r="EA200" i="1"/>
  <c r="DZ200" i="1"/>
  <c r="DY200" i="1"/>
  <c r="DX200" i="1"/>
  <c r="DW200" i="1"/>
  <c r="DV200" i="1"/>
  <c r="DC200" i="1"/>
  <c r="CW200" i="1" s="1"/>
  <c r="DB200" i="1"/>
  <c r="DA200" i="1"/>
  <c r="CZ200" i="1"/>
  <c r="CT200" i="1" s="1"/>
  <c r="CY200" i="1"/>
  <c r="CS200" i="1" s="1"/>
  <c r="CX200" i="1"/>
  <c r="CV200" i="1"/>
  <c r="CU200" i="1"/>
  <c r="CR200" i="1"/>
  <c r="BZ200" i="1"/>
  <c r="CA200" i="1" s="1"/>
  <c r="BY200" i="1"/>
  <c r="BX200" i="1"/>
  <c r="BW200" i="1"/>
  <c r="BV200" i="1"/>
  <c r="BU200" i="1"/>
  <c r="BT200" i="1"/>
  <c r="BS200" i="1"/>
  <c r="AS200" i="1"/>
  <c r="AN200" i="1"/>
  <c r="AM200" i="1"/>
  <c r="AL200" i="1"/>
  <c r="AK200" i="1"/>
  <c r="AJ200" i="1"/>
  <c r="AI200" i="1"/>
  <c r="BC200" i="1" s="1"/>
  <c r="O200" i="1"/>
  <c r="D200" i="1" s="1"/>
  <c r="F200" i="1"/>
  <c r="E200" i="1"/>
  <c r="EA199" i="1"/>
  <c r="DZ199" i="1"/>
  <c r="DY199" i="1"/>
  <c r="DX199" i="1"/>
  <c r="DW199" i="1"/>
  <c r="DV199" i="1"/>
  <c r="DC199" i="1"/>
  <c r="DB199" i="1"/>
  <c r="CV199" i="1" s="1"/>
  <c r="DA199" i="1"/>
  <c r="CU199" i="1" s="1"/>
  <c r="CZ199" i="1"/>
  <c r="CY199" i="1"/>
  <c r="CX199" i="1"/>
  <c r="CR199" i="1" s="1"/>
  <c r="CW199" i="1"/>
  <c r="CT199" i="1"/>
  <c r="CS199" i="1"/>
  <c r="CA199" i="1"/>
  <c r="BZ199" i="1"/>
  <c r="BY199" i="1"/>
  <c r="BX199" i="1"/>
  <c r="BW199" i="1"/>
  <c r="BV199" i="1"/>
  <c r="BU199" i="1"/>
  <c r="CC199" i="1" s="1"/>
  <c r="BT199" i="1"/>
  <c r="BS199" i="1"/>
  <c r="AS199" i="1"/>
  <c r="AN199" i="1"/>
  <c r="AM199" i="1"/>
  <c r="AL199" i="1"/>
  <c r="AK199" i="1"/>
  <c r="AJ199" i="1"/>
  <c r="AI199" i="1"/>
  <c r="BC199" i="1" s="1"/>
  <c r="O199" i="1"/>
  <c r="D199" i="1" s="1"/>
  <c r="F199" i="1"/>
  <c r="E199" i="1"/>
  <c r="EA198" i="1"/>
  <c r="DZ198" i="1"/>
  <c r="DY198" i="1"/>
  <c r="DX198" i="1"/>
  <c r="DW198" i="1"/>
  <c r="DV198" i="1"/>
  <c r="DC198" i="1"/>
  <c r="CW198" i="1" s="1"/>
  <c r="DB198" i="1"/>
  <c r="DA198" i="1"/>
  <c r="CZ198" i="1"/>
  <c r="CT198" i="1" s="1"/>
  <c r="CY198" i="1"/>
  <c r="CS198" i="1" s="1"/>
  <c r="CX198" i="1"/>
  <c r="CV198" i="1"/>
  <c r="CU198" i="1"/>
  <c r="CR198" i="1"/>
  <c r="CC198" i="1"/>
  <c r="BZ198" i="1"/>
  <c r="CA198" i="1" s="1"/>
  <c r="BY198" i="1"/>
  <c r="BX198" i="1"/>
  <c r="BW198" i="1"/>
  <c r="BV198" i="1"/>
  <c r="BU198" i="1"/>
  <c r="BT198" i="1"/>
  <c r="BS198" i="1"/>
  <c r="AS198" i="1"/>
  <c r="AN198" i="1"/>
  <c r="AM198" i="1"/>
  <c r="AL198" i="1"/>
  <c r="AK198" i="1"/>
  <c r="AJ198" i="1"/>
  <c r="AI198" i="1"/>
  <c r="O198" i="1"/>
  <c r="D198" i="1" s="1"/>
  <c r="F198" i="1"/>
  <c r="E198" i="1"/>
  <c r="EA197" i="1"/>
  <c r="DZ197" i="1"/>
  <c r="DY197" i="1"/>
  <c r="DX197" i="1"/>
  <c r="DW197" i="1"/>
  <c r="DV197" i="1"/>
  <c r="DC197" i="1"/>
  <c r="DB197" i="1"/>
  <c r="CV197" i="1" s="1"/>
  <c r="DA197" i="1"/>
  <c r="CU197" i="1" s="1"/>
  <c r="CZ197" i="1"/>
  <c r="CY197" i="1"/>
  <c r="CX197" i="1"/>
  <c r="CR197" i="1" s="1"/>
  <c r="CW197" i="1"/>
  <c r="CT197" i="1"/>
  <c r="CS197" i="1"/>
  <c r="CA197" i="1"/>
  <c r="CB197" i="1" s="1"/>
  <c r="BZ197" i="1"/>
  <c r="BY197" i="1"/>
  <c r="BX197" i="1"/>
  <c r="BW197" i="1"/>
  <c r="BV197" i="1"/>
  <c r="BU197" i="1"/>
  <c r="BT197" i="1"/>
  <c r="BS197" i="1"/>
  <c r="AS197" i="1"/>
  <c r="AN197" i="1"/>
  <c r="AM197" i="1"/>
  <c r="AL197" i="1"/>
  <c r="AK197" i="1"/>
  <c r="AJ197" i="1"/>
  <c r="AI197" i="1"/>
  <c r="BC197" i="1" s="1"/>
  <c r="O197" i="1"/>
  <c r="D197" i="1" s="1"/>
  <c r="F197" i="1"/>
  <c r="E197" i="1"/>
  <c r="EA196" i="1"/>
  <c r="DZ196" i="1"/>
  <c r="DY196" i="1"/>
  <c r="DX196" i="1"/>
  <c r="DW196" i="1"/>
  <c r="DV196" i="1"/>
  <c r="DC196" i="1"/>
  <c r="CW196" i="1" s="1"/>
  <c r="DB196" i="1"/>
  <c r="DA196" i="1"/>
  <c r="CZ196" i="1"/>
  <c r="CT196" i="1" s="1"/>
  <c r="CY196" i="1"/>
  <c r="CS196" i="1" s="1"/>
  <c r="CX196" i="1"/>
  <c r="CV196" i="1"/>
  <c r="CU196" i="1"/>
  <c r="CR196" i="1"/>
  <c r="BZ196" i="1"/>
  <c r="CA196" i="1" s="1"/>
  <c r="CC196" i="1" s="1"/>
  <c r="BY196" i="1"/>
  <c r="BX196" i="1"/>
  <c r="BW196" i="1"/>
  <c r="BV196" i="1"/>
  <c r="BU196" i="1"/>
  <c r="BT196" i="1"/>
  <c r="BS196" i="1"/>
  <c r="AS196" i="1"/>
  <c r="AN196" i="1"/>
  <c r="AM196" i="1"/>
  <c r="AL196" i="1"/>
  <c r="AK196" i="1"/>
  <c r="AJ196" i="1"/>
  <c r="AI196" i="1"/>
  <c r="O196" i="1"/>
  <c r="D196" i="1" s="1"/>
  <c r="F196" i="1"/>
  <c r="E196" i="1"/>
  <c r="EA195" i="1"/>
  <c r="DZ195" i="1"/>
  <c r="DY195" i="1"/>
  <c r="DX195" i="1"/>
  <c r="DW195" i="1"/>
  <c r="DV195" i="1"/>
  <c r="DC195" i="1"/>
  <c r="DB195" i="1"/>
  <c r="CV195" i="1" s="1"/>
  <c r="DA195" i="1"/>
  <c r="CU195" i="1" s="1"/>
  <c r="CZ195" i="1"/>
  <c r="CY195" i="1"/>
  <c r="CX195" i="1"/>
  <c r="CR195" i="1" s="1"/>
  <c r="CW195" i="1"/>
  <c r="CT195" i="1"/>
  <c r="CS195" i="1"/>
  <c r="CB195" i="1"/>
  <c r="CA195" i="1"/>
  <c r="BZ195" i="1"/>
  <c r="BY195" i="1"/>
  <c r="BX195" i="1"/>
  <c r="BW195" i="1"/>
  <c r="BV195" i="1"/>
  <c r="BU195" i="1"/>
  <c r="BT195" i="1"/>
  <c r="BS195" i="1"/>
  <c r="AS195" i="1"/>
  <c r="AN195" i="1"/>
  <c r="AM195" i="1"/>
  <c r="AL195" i="1"/>
  <c r="AK195" i="1"/>
  <c r="AJ195" i="1"/>
  <c r="AI195" i="1"/>
  <c r="BC195" i="1" s="1"/>
  <c r="O195" i="1"/>
  <c r="D195" i="1" s="1"/>
  <c r="F195" i="1"/>
  <c r="E195" i="1"/>
  <c r="EA194" i="1"/>
  <c r="DZ194" i="1"/>
  <c r="DY194" i="1"/>
  <c r="DX194" i="1"/>
  <c r="DW194" i="1"/>
  <c r="DV194" i="1"/>
  <c r="DC194" i="1"/>
  <c r="CW194" i="1" s="1"/>
  <c r="DB194" i="1"/>
  <c r="DA194" i="1"/>
  <c r="CZ194" i="1"/>
  <c r="CT194" i="1" s="1"/>
  <c r="CY194" i="1"/>
  <c r="CS194" i="1" s="1"/>
  <c r="CX194" i="1"/>
  <c r="CV194" i="1"/>
  <c r="CU194" i="1"/>
  <c r="CR194" i="1"/>
  <c r="CC194" i="1"/>
  <c r="BZ194" i="1"/>
  <c r="CA194" i="1" s="1"/>
  <c r="BY194" i="1"/>
  <c r="BX194" i="1"/>
  <c r="BW194" i="1"/>
  <c r="BV194" i="1"/>
  <c r="BU194" i="1"/>
  <c r="CB194" i="1" s="1"/>
  <c r="BT194" i="1"/>
  <c r="BS194" i="1"/>
  <c r="AS194" i="1"/>
  <c r="AN194" i="1"/>
  <c r="AM194" i="1"/>
  <c r="AL194" i="1"/>
  <c r="AK194" i="1"/>
  <c r="AJ194" i="1"/>
  <c r="AI194" i="1"/>
  <c r="O194" i="1"/>
  <c r="D194" i="1" s="1"/>
  <c r="F194" i="1"/>
  <c r="E194" i="1"/>
  <c r="EA193" i="1"/>
  <c r="DZ193" i="1"/>
  <c r="DY193" i="1"/>
  <c r="DX193" i="1"/>
  <c r="DW193" i="1"/>
  <c r="DV193" i="1"/>
  <c r="DC193" i="1"/>
  <c r="DB193" i="1"/>
  <c r="CV193" i="1" s="1"/>
  <c r="DA193" i="1"/>
  <c r="CU193" i="1" s="1"/>
  <c r="CZ193" i="1"/>
  <c r="CY193" i="1"/>
  <c r="CX193" i="1"/>
  <c r="CR193" i="1" s="1"/>
  <c r="CW193" i="1"/>
  <c r="CT193" i="1"/>
  <c r="CS193" i="1"/>
  <c r="CB193" i="1"/>
  <c r="CA193" i="1"/>
  <c r="BZ193" i="1"/>
  <c r="BY193" i="1"/>
  <c r="BX193" i="1"/>
  <c r="BW193" i="1"/>
  <c r="BV193" i="1"/>
  <c r="BU193" i="1"/>
  <c r="CC193" i="1" s="1"/>
  <c r="BT193" i="1"/>
  <c r="BS193" i="1"/>
  <c r="AS193" i="1"/>
  <c r="AN193" i="1"/>
  <c r="AM193" i="1"/>
  <c r="AL193" i="1"/>
  <c r="AK193" i="1"/>
  <c r="AJ193" i="1"/>
  <c r="AI193" i="1"/>
  <c r="BC193" i="1" s="1"/>
  <c r="O193" i="1"/>
  <c r="D193" i="1" s="1"/>
  <c r="F193" i="1"/>
  <c r="E193" i="1"/>
  <c r="EA192" i="1"/>
  <c r="DZ192" i="1"/>
  <c r="DY192" i="1"/>
  <c r="DX192" i="1"/>
  <c r="DW192" i="1"/>
  <c r="DV192" i="1"/>
  <c r="DC192" i="1"/>
  <c r="CW192" i="1" s="1"/>
  <c r="DB192" i="1"/>
  <c r="DA192" i="1"/>
  <c r="CZ192" i="1"/>
  <c r="CT192" i="1" s="1"/>
  <c r="CY192" i="1"/>
  <c r="CS192" i="1" s="1"/>
  <c r="CX192" i="1"/>
  <c r="CV192" i="1"/>
  <c r="CU192" i="1"/>
  <c r="CR192" i="1"/>
  <c r="BZ192" i="1"/>
  <c r="CA192" i="1" s="1"/>
  <c r="BY192" i="1"/>
  <c r="BX192" i="1"/>
  <c r="BW192" i="1"/>
  <c r="BV192" i="1"/>
  <c r="BU192" i="1"/>
  <c r="CB192" i="1" s="1"/>
  <c r="BT192" i="1"/>
  <c r="BS192" i="1"/>
  <c r="AS192" i="1"/>
  <c r="AN192" i="1"/>
  <c r="AM192" i="1"/>
  <c r="AL192" i="1"/>
  <c r="AK192" i="1"/>
  <c r="AJ192" i="1"/>
  <c r="AI192" i="1"/>
  <c r="O192" i="1"/>
  <c r="D192" i="1" s="1"/>
  <c r="F192" i="1"/>
  <c r="E192" i="1"/>
  <c r="EA191" i="1"/>
  <c r="DZ191" i="1"/>
  <c r="DY191" i="1"/>
  <c r="DX191" i="1"/>
  <c r="DW191" i="1"/>
  <c r="DV191" i="1"/>
  <c r="DC191" i="1"/>
  <c r="DB191" i="1"/>
  <c r="CV191" i="1" s="1"/>
  <c r="DA191" i="1"/>
  <c r="CU191" i="1" s="1"/>
  <c r="CZ191" i="1"/>
  <c r="CY191" i="1"/>
  <c r="CX191" i="1"/>
  <c r="CR191" i="1" s="1"/>
  <c r="CW191" i="1"/>
  <c r="CT191" i="1"/>
  <c r="CS191" i="1"/>
  <c r="CB191" i="1"/>
  <c r="CA191" i="1"/>
  <c r="BZ191" i="1"/>
  <c r="BY191" i="1"/>
  <c r="BX191" i="1"/>
  <c r="BW191" i="1"/>
  <c r="BV191" i="1"/>
  <c r="BU191" i="1"/>
  <c r="CC191" i="1" s="1"/>
  <c r="BT191" i="1"/>
  <c r="BS191" i="1"/>
  <c r="AS191" i="1"/>
  <c r="AN191" i="1"/>
  <c r="AM191" i="1"/>
  <c r="AL191" i="1"/>
  <c r="AK191" i="1"/>
  <c r="AJ191" i="1"/>
  <c r="AI191" i="1"/>
  <c r="BC191" i="1" s="1"/>
  <c r="O191" i="1"/>
  <c r="D191" i="1" s="1"/>
  <c r="F191" i="1"/>
  <c r="E191" i="1"/>
  <c r="EA190" i="1"/>
  <c r="DZ190" i="1"/>
  <c r="DY190" i="1"/>
  <c r="DX190" i="1"/>
  <c r="DW190" i="1"/>
  <c r="DV190" i="1"/>
  <c r="DC190" i="1"/>
  <c r="CW190" i="1" s="1"/>
  <c r="DB190" i="1"/>
  <c r="DA190" i="1"/>
  <c r="CZ190" i="1"/>
  <c r="CT190" i="1" s="1"/>
  <c r="CY190" i="1"/>
  <c r="CS190" i="1" s="1"/>
  <c r="CX190" i="1"/>
  <c r="CV190" i="1"/>
  <c r="CU190" i="1"/>
  <c r="CR190" i="1"/>
  <c r="BZ190" i="1"/>
  <c r="CA190" i="1" s="1"/>
  <c r="BY190" i="1"/>
  <c r="BX190" i="1"/>
  <c r="BW190" i="1"/>
  <c r="BV190" i="1"/>
  <c r="BU190" i="1"/>
  <c r="CB190" i="1" s="1"/>
  <c r="BT190" i="1"/>
  <c r="BS190" i="1"/>
  <c r="AS190" i="1"/>
  <c r="AN190" i="1"/>
  <c r="AM190" i="1"/>
  <c r="AL190" i="1"/>
  <c r="AK190" i="1"/>
  <c r="AJ190" i="1"/>
  <c r="AI190" i="1"/>
  <c r="O190" i="1"/>
  <c r="D190" i="1" s="1"/>
  <c r="F190" i="1"/>
  <c r="E190" i="1"/>
  <c r="EA189" i="1"/>
  <c r="DZ189" i="1"/>
  <c r="DY189" i="1"/>
  <c r="DX189" i="1"/>
  <c r="DW189" i="1"/>
  <c r="DV189" i="1"/>
  <c r="DC189" i="1"/>
  <c r="DB189" i="1"/>
  <c r="CV189" i="1" s="1"/>
  <c r="DA189" i="1"/>
  <c r="CU189" i="1" s="1"/>
  <c r="CZ189" i="1"/>
  <c r="CY189" i="1"/>
  <c r="CX189" i="1"/>
  <c r="CR189" i="1" s="1"/>
  <c r="CW189" i="1"/>
  <c r="CT189" i="1"/>
  <c r="CS189" i="1"/>
  <c r="CA189" i="1"/>
  <c r="CB189" i="1" s="1"/>
  <c r="BZ189" i="1"/>
  <c r="BY189" i="1"/>
  <c r="BX189" i="1"/>
  <c r="BW189" i="1"/>
  <c r="BV189" i="1"/>
  <c r="BU189" i="1"/>
  <c r="BT189" i="1"/>
  <c r="BS189" i="1"/>
  <c r="AS189" i="1"/>
  <c r="AN189" i="1"/>
  <c r="AM189" i="1"/>
  <c r="AL189" i="1"/>
  <c r="AK189" i="1"/>
  <c r="AJ189" i="1"/>
  <c r="AI189" i="1"/>
  <c r="BC189" i="1" s="1"/>
  <c r="O189" i="1"/>
  <c r="D189" i="1" s="1"/>
  <c r="F189" i="1"/>
  <c r="E189" i="1"/>
  <c r="EA188" i="1"/>
  <c r="DZ188" i="1"/>
  <c r="DY188" i="1"/>
  <c r="DX188" i="1"/>
  <c r="DW188" i="1"/>
  <c r="DV188" i="1"/>
  <c r="DC188" i="1"/>
  <c r="CW188" i="1" s="1"/>
  <c r="DB188" i="1"/>
  <c r="DA188" i="1"/>
  <c r="CZ188" i="1"/>
  <c r="CT188" i="1" s="1"/>
  <c r="CY188" i="1"/>
  <c r="CS188" i="1" s="1"/>
  <c r="CX188" i="1"/>
  <c r="CV188" i="1"/>
  <c r="CU188" i="1"/>
  <c r="CR188" i="1"/>
  <c r="BZ188" i="1"/>
  <c r="CA188" i="1" s="1"/>
  <c r="BY188" i="1"/>
  <c r="BX188" i="1"/>
  <c r="BW188" i="1"/>
  <c r="BV188" i="1"/>
  <c r="BU188" i="1"/>
  <c r="BT188" i="1"/>
  <c r="BS188" i="1"/>
  <c r="AS188" i="1"/>
  <c r="AN188" i="1"/>
  <c r="AM188" i="1"/>
  <c r="AL188" i="1"/>
  <c r="AK188" i="1"/>
  <c r="AJ188" i="1"/>
  <c r="AI188" i="1"/>
  <c r="O188" i="1"/>
  <c r="D188" i="1" s="1"/>
  <c r="F188" i="1"/>
  <c r="E188" i="1"/>
  <c r="EA187" i="1"/>
  <c r="DZ187" i="1"/>
  <c r="DY187" i="1"/>
  <c r="DX187" i="1"/>
  <c r="DW187" i="1"/>
  <c r="DV187" i="1"/>
  <c r="DC187" i="1"/>
  <c r="DB187" i="1"/>
  <c r="CV187" i="1" s="1"/>
  <c r="DA187" i="1"/>
  <c r="CU187" i="1" s="1"/>
  <c r="CZ187" i="1"/>
  <c r="CY187" i="1"/>
  <c r="CX187" i="1"/>
  <c r="CR187" i="1" s="1"/>
  <c r="CW187" i="1"/>
  <c r="CT187" i="1"/>
  <c r="CS187" i="1"/>
  <c r="CA187" i="1"/>
  <c r="CB187" i="1" s="1"/>
  <c r="BZ187" i="1"/>
  <c r="BY187" i="1"/>
  <c r="BX187" i="1"/>
  <c r="BW187" i="1"/>
  <c r="BV187" i="1"/>
  <c r="BU187" i="1"/>
  <c r="BT187" i="1"/>
  <c r="BS187" i="1"/>
  <c r="AS187" i="1"/>
  <c r="AN187" i="1"/>
  <c r="AM187" i="1"/>
  <c r="AL187" i="1"/>
  <c r="AK187" i="1"/>
  <c r="AJ187" i="1"/>
  <c r="AI187" i="1"/>
  <c r="BC187" i="1" s="1"/>
  <c r="O187" i="1"/>
  <c r="D187" i="1" s="1"/>
  <c r="F187" i="1"/>
  <c r="E187" i="1"/>
  <c r="EA186" i="1"/>
  <c r="DZ186" i="1"/>
  <c r="DY186" i="1"/>
  <c r="DX186" i="1"/>
  <c r="DW186" i="1"/>
  <c r="DV186" i="1"/>
  <c r="DC186" i="1"/>
  <c r="CW186" i="1" s="1"/>
  <c r="DB186" i="1"/>
  <c r="DA186" i="1"/>
  <c r="CZ186" i="1"/>
  <c r="CT186" i="1" s="1"/>
  <c r="CY186" i="1"/>
  <c r="CS186" i="1" s="1"/>
  <c r="CX186" i="1"/>
  <c r="CV186" i="1"/>
  <c r="CU186" i="1"/>
  <c r="CR186" i="1"/>
  <c r="CC186" i="1"/>
  <c r="BZ186" i="1"/>
  <c r="CA186" i="1" s="1"/>
  <c r="BY186" i="1"/>
  <c r="BX186" i="1"/>
  <c r="BW186" i="1"/>
  <c r="BV186" i="1"/>
  <c r="BU186" i="1"/>
  <c r="CB186" i="1" s="1"/>
  <c r="BT186" i="1"/>
  <c r="BS186" i="1"/>
  <c r="AS186" i="1"/>
  <c r="AN186" i="1"/>
  <c r="AM186" i="1"/>
  <c r="AL186" i="1"/>
  <c r="AK186" i="1"/>
  <c r="AJ186" i="1"/>
  <c r="AI186" i="1"/>
  <c r="O186" i="1"/>
  <c r="D186" i="1" s="1"/>
  <c r="F186" i="1"/>
  <c r="E186" i="1"/>
  <c r="EA185" i="1"/>
  <c r="DZ185" i="1"/>
  <c r="DY185" i="1"/>
  <c r="DX185" i="1"/>
  <c r="DW185" i="1"/>
  <c r="DV185" i="1"/>
  <c r="DC185" i="1"/>
  <c r="DB185" i="1"/>
  <c r="CV185" i="1" s="1"/>
  <c r="DA185" i="1"/>
  <c r="CU185" i="1" s="1"/>
  <c r="CZ185" i="1"/>
  <c r="CY185" i="1"/>
  <c r="CX185" i="1"/>
  <c r="CR185" i="1" s="1"/>
  <c r="CW185" i="1"/>
  <c r="CT185" i="1"/>
  <c r="CS185" i="1"/>
  <c r="CB185" i="1"/>
  <c r="CA185" i="1"/>
  <c r="BZ185" i="1"/>
  <c r="BY185" i="1"/>
  <c r="BX185" i="1"/>
  <c r="BW185" i="1"/>
  <c r="BV185" i="1"/>
  <c r="BU185" i="1"/>
  <c r="CC185" i="1" s="1"/>
  <c r="BT185" i="1"/>
  <c r="BS185" i="1"/>
  <c r="AS185" i="1"/>
  <c r="AN185" i="1"/>
  <c r="AM185" i="1"/>
  <c r="AL185" i="1"/>
  <c r="AK185" i="1"/>
  <c r="AJ185" i="1"/>
  <c r="AI185" i="1"/>
  <c r="BC185" i="1" s="1"/>
  <c r="O185" i="1"/>
  <c r="D185" i="1" s="1"/>
  <c r="F185" i="1"/>
  <c r="E185" i="1"/>
  <c r="EA184" i="1"/>
  <c r="DZ184" i="1"/>
  <c r="DY184" i="1"/>
  <c r="DX184" i="1"/>
  <c r="DW184" i="1"/>
  <c r="DV184" i="1"/>
  <c r="DC184" i="1"/>
  <c r="CW184" i="1" s="1"/>
  <c r="DB184" i="1"/>
  <c r="DA184" i="1"/>
  <c r="CZ184" i="1"/>
  <c r="CT184" i="1" s="1"/>
  <c r="CY184" i="1"/>
  <c r="CS184" i="1" s="1"/>
  <c r="CX184" i="1"/>
  <c r="CV184" i="1"/>
  <c r="CU184" i="1"/>
  <c r="CR184" i="1"/>
  <c r="BZ184" i="1"/>
  <c r="CA184" i="1" s="1"/>
  <c r="BY184" i="1"/>
  <c r="BX184" i="1"/>
  <c r="BW184" i="1"/>
  <c r="BV184" i="1"/>
  <c r="BU184" i="1"/>
  <c r="CB184" i="1" s="1"/>
  <c r="BT184" i="1"/>
  <c r="BS184" i="1"/>
  <c r="AS184" i="1"/>
  <c r="AN184" i="1"/>
  <c r="AM184" i="1"/>
  <c r="AL184" i="1"/>
  <c r="AK184" i="1"/>
  <c r="AJ184" i="1"/>
  <c r="AI184" i="1"/>
  <c r="O184" i="1"/>
  <c r="D184" i="1" s="1"/>
  <c r="F184" i="1"/>
  <c r="E184" i="1"/>
  <c r="EA183" i="1"/>
  <c r="DZ183" i="1"/>
  <c r="DY183" i="1"/>
  <c r="DX183" i="1"/>
  <c r="DW183" i="1"/>
  <c r="DV183" i="1"/>
  <c r="DC183" i="1"/>
  <c r="DB183" i="1"/>
  <c r="CV183" i="1" s="1"/>
  <c r="DA183" i="1"/>
  <c r="CU183" i="1" s="1"/>
  <c r="CZ183" i="1"/>
  <c r="CY183" i="1"/>
  <c r="CX183" i="1"/>
  <c r="CR183" i="1" s="1"/>
  <c r="CW183" i="1"/>
  <c r="CT183" i="1"/>
  <c r="CS183" i="1"/>
  <c r="CB183" i="1"/>
  <c r="CA183" i="1"/>
  <c r="BZ183" i="1"/>
  <c r="BY183" i="1"/>
  <c r="BX183" i="1"/>
  <c r="BW183" i="1"/>
  <c r="BV183" i="1"/>
  <c r="BU183" i="1"/>
  <c r="CC183" i="1" s="1"/>
  <c r="BT183" i="1"/>
  <c r="BS183" i="1"/>
  <c r="AS183" i="1"/>
  <c r="AN183" i="1"/>
  <c r="AM183" i="1"/>
  <c r="AL183" i="1"/>
  <c r="AK183" i="1"/>
  <c r="AJ183" i="1"/>
  <c r="AI183" i="1"/>
  <c r="BC183" i="1" s="1"/>
  <c r="O183" i="1"/>
  <c r="D183" i="1" s="1"/>
  <c r="F183" i="1"/>
  <c r="E183" i="1"/>
  <c r="EA182" i="1"/>
  <c r="DZ182" i="1"/>
  <c r="DY182" i="1"/>
  <c r="DX182" i="1"/>
  <c r="DW182" i="1"/>
  <c r="DV182" i="1"/>
  <c r="DC182" i="1"/>
  <c r="CW182" i="1" s="1"/>
  <c r="DB182" i="1"/>
  <c r="DA182" i="1"/>
  <c r="CZ182" i="1"/>
  <c r="CT182" i="1" s="1"/>
  <c r="CY182" i="1"/>
  <c r="CS182" i="1" s="1"/>
  <c r="CX182" i="1"/>
  <c r="CV182" i="1"/>
  <c r="CU182" i="1"/>
  <c r="CR182" i="1"/>
  <c r="BZ182" i="1"/>
  <c r="CA182" i="1" s="1"/>
  <c r="BY182" i="1"/>
  <c r="BX182" i="1"/>
  <c r="BW182" i="1"/>
  <c r="BV182" i="1"/>
  <c r="BU182" i="1"/>
  <c r="CB182" i="1" s="1"/>
  <c r="BT182" i="1"/>
  <c r="BS182" i="1"/>
  <c r="AS182" i="1"/>
  <c r="AN182" i="1"/>
  <c r="AM182" i="1"/>
  <c r="AL182" i="1"/>
  <c r="AK182" i="1"/>
  <c r="AJ182" i="1"/>
  <c r="AI182" i="1"/>
  <c r="O182" i="1"/>
  <c r="D182" i="1" s="1"/>
  <c r="F182" i="1"/>
  <c r="E182" i="1"/>
  <c r="EA181" i="1"/>
  <c r="DZ181" i="1"/>
  <c r="DY181" i="1"/>
  <c r="DX181" i="1"/>
  <c r="DW181" i="1"/>
  <c r="DV181" i="1"/>
  <c r="DC181" i="1"/>
  <c r="DB181" i="1"/>
  <c r="CV181" i="1" s="1"/>
  <c r="DA181" i="1"/>
  <c r="CU181" i="1" s="1"/>
  <c r="CZ181" i="1"/>
  <c r="CY181" i="1"/>
  <c r="CX181" i="1"/>
  <c r="CR181" i="1" s="1"/>
  <c r="CW181" i="1"/>
  <c r="CT181" i="1"/>
  <c r="CS181" i="1"/>
  <c r="CA181" i="1"/>
  <c r="CB181" i="1" s="1"/>
  <c r="BZ181" i="1"/>
  <c r="BY181" i="1"/>
  <c r="BX181" i="1"/>
  <c r="BW181" i="1"/>
  <c r="BV181" i="1"/>
  <c r="BU181" i="1"/>
  <c r="BT181" i="1"/>
  <c r="BS181" i="1"/>
  <c r="AS181" i="1"/>
  <c r="AN181" i="1"/>
  <c r="AM181" i="1"/>
  <c r="AL181" i="1"/>
  <c r="AK181" i="1"/>
  <c r="AJ181" i="1"/>
  <c r="AI181" i="1"/>
  <c r="BC181" i="1" s="1"/>
  <c r="O181" i="1"/>
  <c r="D181" i="1" s="1"/>
  <c r="F181" i="1"/>
  <c r="E181" i="1"/>
  <c r="EA180" i="1"/>
  <c r="DZ180" i="1"/>
  <c r="DY180" i="1"/>
  <c r="DX180" i="1"/>
  <c r="DW180" i="1"/>
  <c r="DV180" i="1"/>
  <c r="DC180" i="1"/>
  <c r="CW180" i="1" s="1"/>
  <c r="DB180" i="1"/>
  <c r="DA180" i="1"/>
  <c r="CZ180" i="1"/>
  <c r="CT180" i="1" s="1"/>
  <c r="CY180" i="1"/>
  <c r="CS180" i="1" s="1"/>
  <c r="CX180" i="1"/>
  <c r="CV180" i="1"/>
  <c r="CU180" i="1"/>
  <c r="CR180" i="1"/>
  <c r="BZ180" i="1"/>
  <c r="CA180" i="1" s="1"/>
  <c r="BY180" i="1"/>
  <c r="BX180" i="1"/>
  <c r="BW180" i="1"/>
  <c r="BV180" i="1"/>
  <c r="BU180" i="1"/>
  <c r="CB180" i="1" s="1"/>
  <c r="BT180" i="1"/>
  <c r="BS180" i="1"/>
  <c r="AS180" i="1"/>
  <c r="AN180" i="1"/>
  <c r="AM180" i="1"/>
  <c r="AL180" i="1"/>
  <c r="AK180" i="1"/>
  <c r="AJ180" i="1"/>
  <c r="AI180" i="1"/>
  <c r="O180" i="1"/>
  <c r="D180" i="1" s="1"/>
  <c r="F180" i="1"/>
  <c r="E180" i="1"/>
  <c r="EA179" i="1"/>
  <c r="DZ179" i="1"/>
  <c r="DY179" i="1"/>
  <c r="DX179" i="1"/>
  <c r="DW179" i="1"/>
  <c r="DV179" i="1"/>
  <c r="DC179" i="1"/>
  <c r="DB179" i="1"/>
  <c r="CV179" i="1" s="1"/>
  <c r="DA179" i="1"/>
  <c r="CU179" i="1" s="1"/>
  <c r="CZ179" i="1"/>
  <c r="CY179" i="1"/>
  <c r="CX179" i="1"/>
  <c r="CR179" i="1" s="1"/>
  <c r="CW179" i="1"/>
  <c r="CT179" i="1"/>
  <c r="CS179" i="1"/>
  <c r="CA179" i="1"/>
  <c r="CB179" i="1" s="1"/>
  <c r="BZ179" i="1"/>
  <c r="BY179" i="1"/>
  <c r="BX179" i="1"/>
  <c r="BW179" i="1"/>
  <c r="BV179" i="1"/>
  <c r="BU179" i="1"/>
  <c r="BT179" i="1"/>
  <c r="BS179" i="1"/>
  <c r="AS179" i="1"/>
  <c r="AN179" i="1"/>
  <c r="AM179" i="1"/>
  <c r="AL179" i="1"/>
  <c r="AK179" i="1"/>
  <c r="AJ179" i="1"/>
  <c r="AI179" i="1"/>
  <c r="BC179" i="1" s="1"/>
  <c r="O179" i="1"/>
  <c r="D179" i="1" s="1"/>
  <c r="F179" i="1"/>
  <c r="E179" i="1"/>
  <c r="EA178" i="1"/>
  <c r="DZ178" i="1"/>
  <c r="DY178" i="1"/>
  <c r="DX178" i="1"/>
  <c r="DW178" i="1"/>
  <c r="DV178" i="1"/>
  <c r="DC178" i="1"/>
  <c r="CW178" i="1" s="1"/>
  <c r="DB178" i="1"/>
  <c r="DA178" i="1"/>
  <c r="CZ178" i="1"/>
  <c r="CT178" i="1" s="1"/>
  <c r="CY178" i="1"/>
  <c r="CS178" i="1" s="1"/>
  <c r="CX178" i="1"/>
  <c r="CV178" i="1"/>
  <c r="CU178" i="1"/>
  <c r="CR178" i="1"/>
  <c r="BZ178" i="1"/>
  <c r="CA178" i="1" s="1"/>
  <c r="BY178" i="1"/>
  <c r="BX178" i="1"/>
  <c r="BW178" i="1"/>
  <c r="BV178" i="1"/>
  <c r="BU178" i="1"/>
  <c r="CB178" i="1" s="1"/>
  <c r="BT178" i="1"/>
  <c r="BS178" i="1"/>
  <c r="AS178" i="1"/>
  <c r="AN178" i="1"/>
  <c r="AM178" i="1"/>
  <c r="AL178" i="1"/>
  <c r="AK178" i="1"/>
  <c r="AJ178" i="1"/>
  <c r="AI178" i="1"/>
  <c r="O178" i="1"/>
  <c r="D178" i="1" s="1"/>
  <c r="F178" i="1"/>
  <c r="E178" i="1"/>
  <c r="EA177" i="1"/>
  <c r="DZ177" i="1"/>
  <c r="DY177" i="1"/>
  <c r="DX177" i="1"/>
  <c r="DW177" i="1"/>
  <c r="DV177" i="1"/>
  <c r="DC177" i="1"/>
  <c r="DB177" i="1"/>
  <c r="CV177" i="1" s="1"/>
  <c r="DA177" i="1"/>
  <c r="CU177" i="1" s="1"/>
  <c r="CZ177" i="1"/>
  <c r="CY177" i="1"/>
  <c r="CX177" i="1"/>
  <c r="CR177" i="1" s="1"/>
  <c r="CW177" i="1"/>
  <c r="CT177" i="1"/>
  <c r="CS177" i="1"/>
  <c r="CB177" i="1"/>
  <c r="CA177" i="1"/>
  <c r="BZ177" i="1"/>
  <c r="BY177" i="1"/>
  <c r="BX177" i="1"/>
  <c r="BW177" i="1"/>
  <c r="BV177" i="1"/>
  <c r="BU177" i="1"/>
  <c r="CC177" i="1" s="1"/>
  <c r="BT177" i="1"/>
  <c r="BS177" i="1"/>
  <c r="AS177" i="1"/>
  <c r="AN177" i="1"/>
  <c r="AM177" i="1"/>
  <c r="AL177" i="1"/>
  <c r="AK177" i="1"/>
  <c r="AJ177" i="1"/>
  <c r="AI177" i="1"/>
  <c r="BC177" i="1" s="1"/>
  <c r="O177" i="1"/>
  <c r="D177" i="1" s="1"/>
  <c r="F177" i="1"/>
  <c r="E177" i="1"/>
  <c r="EA176" i="1"/>
  <c r="DZ176" i="1"/>
  <c r="DY176" i="1"/>
  <c r="DX176" i="1"/>
  <c r="DW176" i="1"/>
  <c r="DV176" i="1"/>
  <c r="DC176" i="1"/>
  <c r="CW176" i="1" s="1"/>
  <c r="DB176" i="1"/>
  <c r="DA176" i="1"/>
  <c r="CZ176" i="1"/>
  <c r="CT176" i="1" s="1"/>
  <c r="CY176" i="1"/>
  <c r="CS176" i="1" s="1"/>
  <c r="CX176" i="1"/>
  <c r="CV176" i="1"/>
  <c r="CU176" i="1"/>
  <c r="CR176" i="1"/>
  <c r="CC176" i="1"/>
  <c r="CA176" i="1"/>
  <c r="BZ176" i="1"/>
  <c r="BY176" i="1"/>
  <c r="BX176" i="1"/>
  <c r="BW176" i="1"/>
  <c r="BV176" i="1"/>
  <c r="BU176" i="1"/>
  <c r="BT176" i="1"/>
  <c r="BS176" i="1"/>
  <c r="AS176" i="1"/>
  <c r="AN176" i="1"/>
  <c r="AM176" i="1"/>
  <c r="AL176" i="1"/>
  <c r="AK176" i="1"/>
  <c r="AJ176" i="1"/>
  <c r="AI176" i="1"/>
  <c r="BC176" i="1" s="1"/>
  <c r="O176" i="1"/>
  <c r="D176" i="1" s="1"/>
  <c r="F176" i="1"/>
  <c r="E176" i="1"/>
  <c r="EA175" i="1"/>
  <c r="DZ175" i="1"/>
  <c r="DY175" i="1"/>
  <c r="DX175" i="1"/>
  <c r="DW175" i="1"/>
  <c r="DV175" i="1"/>
  <c r="DC175" i="1"/>
  <c r="DB175" i="1"/>
  <c r="CV175" i="1" s="1"/>
  <c r="DA175" i="1"/>
  <c r="CU175" i="1" s="1"/>
  <c r="CZ175" i="1"/>
  <c r="CY175" i="1"/>
  <c r="CX175" i="1"/>
  <c r="CR175" i="1" s="1"/>
  <c r="CW175" i="1"/>
  <c r="CT175" i="1"/>
  <c r="CS175" i="1"/>
  <c r="CA175" i="1"/>
  <c r="BZ175" i="1"/>
  <c r="BY175" i="1"/>
  <c r="BX175" i="1"/>
  <c r="BW175" i="1"/>
  <c r="BV175" i="1"/>
  <c r="BU175" i="1"/>
  <c r="CC175" i="1" s="1"/>
  <c r="BT175" i="1"/>
  <c r="BS175" i="1"/>
  <c r="AS175" i="1"/>
  <c r="AN175" i="1"/>
  <c r="AM175" i="1"/>
  <c r="AL175" i="1"/>
  <c r="AK175" i="1"/>
  <c r="AJ175" i="1"/>
  <c r="AI175" i="1"/>
  <c r="BC175" i="1" s="1"/>
  <c r="O175" i="1"/>
  <c r="D175" i="1" s="1"/>
  <c r="F175" i="1"/>
  <c r="E175" i="1"/>
  <c r="EA174" i="1"/>
  <c r="DZ174" i="1"/>
  <c r="DY174" i="1"/>
  <c r="DX174" i="1"/>
  <c r="DW174" i="1"/>
  <c r="DV174" i="1"/>
  <c r="DC174" i="1"/>
  <c r="CW174" i="1" s="1"/>
  <c r="DB174" i="1"/>
  <c r="DA174" i="1"/>
  <c r="CZ174" i="1"/>
  <c r="CT174" i="1" s="1"/>
  <c r="CY174" i="1"/>
  <c r="CS174" i="1" s="1"/>
  <c r="CX174" i="1"/>
  <c r="CV174" i="1"/>
  <c r="CU174" i="1"/>
  <c r="CR174" i="1"/>
  <c r="CC174" i="1"/>
  <c r="CA174" i="1"/>
  <c r="BZ174" i="1"/>
  <c r="BY174" i="1"/>
  <c r="BX174" i="1"/>
  <c r="BW174" i="1"/>
  <c r="BV174" i="1"/>
  <c r="BU174" i="1"/>
  <c r="BT174" i="1"/>
  <c r="BS174" i="1"/>
  <c r="AS174" i="1"/>
  <c r="AN174" i="1"/>
  <c r="AM174" i="1"/>
  <c r="AL174" i="1"/>
  <c r="AK174" i="1"/>
  <c r="AJ174" i="1"/>
  <c r="AI174" i="1"/>
  <c r="BC174" i="1" s="1"/>
  <c r="O174" i="1"/>
  <c r="D174" i="1" s="1"/>
  <c r="F174" i="1"/>
  <c r="E174" i="1"/>
  <c r="EA173" i="1"/>
  <c r="DZ173" i="1"/>
  <c r="DY173" i="1"/>
  <c r="DX173" i="1"/>
  <c r="DW173" i="1"/>
  <c r="DV173" i="1"/>
  <c r="DC173" i="1"/>
  <c r="DB173" i="1"/>
  <c r="CV173" i="1" s="1"/>
  <c r="DA173" i="1"/>
  <c r="CU173" i="1" s="1"/>
  <c r="CZ173" i="1"/>
  <c r="CY173" i="1"/>
  <c r="CX173" i="1"/>
  <c r="CR173" i="1" s="1"/>
  <c r="CW173" i="1"/>
  <c r="CT173" i="1"/>
  <c r="CS173" i="1"/>
  <c r="CA173" i="1"/>
  <c r="BZ173" i="1"/>
  <c r="BY173" i="1"/>
  <c r="BX173" i="1"/>
  <c r="BW173" i="1"/>
  <c r="BV173" i="1"/>
  <c r="BU173" i="1"/>
  <c r="CC173" i="1" s="1"/>
  <c r="BT173" i="1"/>
  <c r="BS173" i="1"/>
  <c r="AS173" i="1"/>
  <c r="AN173" i="1"/>
  <c r="AM173" i="1"/>
  <c r="AL173" i="1"/>
  <c r="AK173" i="1"/>
  <c r="AJ173" i="1"/>
  <c r="AI173" i="1"/>
  <c r="BC173" i="1" s="1"/>
  <c r="O173" i="1"/>
  <c r="D173" i="1" s="1"/>
  <c r="F173" i="1"/>
  <c r="E173" i="1"/>
  <c r="EA172" i="1"/>
  <c r="DZ172" i="1"/>
  <c r="DY172" i="1"/>
  <c r="DX172" i="1"/>
  <c r="DW172" i="1"/>
  <c r="DV172" i="1"/>
  <c r="DC172" i="1"/>
  <c r="CW172" i="1" s="1"/>
  <c r="DB172" i="1"/>
  <c r="DA172" i="1"/>
  <c r="CZ172" i="1"/>
  <c r="CT172" i="1" s="1"/>
  <c r="CY172" i="1"/>
  <c r="CS172" i="1" s="1"/>
  <c r="CX172" i="1"/>
  <c r="CV172" i="1"/>
  <c r="CU172" i="1"/>
  <c r="CR172" i="1"/>
  <c r="CC172" i="1"/>
  <c r="CA172" i="1"/>
  <c r="BZ172" i="1"/>
  <c r="BY172" i="1"/>
  <c r="BX172" i="1"/>
  <c r="BW172" i="1"/>
  <c r="BV172" i="1"/>
  <c r="BU172" i="1"/>
  <c r="BT172" i="1"/>
  <c r="BS172" i="1"/>
  <c r="AS172" i="1"/>
  <c r="AN172" i="1"/>
  <c r="AM172" i="1"/>
  <c r="AL172" i="1"/>
  <c r="AK172" i="1"/>
  <c r="AJ172" i="1"/>
  <c r="AI172" i="1"/>
  <c r="BC172" i="1" s="1"/>
  <c r="O172" i="1"/>
  <c r="D172" i="1" s="1"/>
  <c r="F172" i="1"/>
  <c r="E172" i="1"/>
  <c r="EA171" i="1"/>
  <c r="DZ171" i="1"/>
  <c r="DY171" i="1"/>
  <c r="DX171" i="1"/>
  <c r="DW171" i="1"/>
  <c r="DV171" i="1"/>
  <c r="DC171" i="1"/>
  <c r="DB171" i="1"/>
  <c r="CV171" i="1" s="1"/>
  <c r="DA171" i="1"/>
  <c r="CU171" i="1" s="1"/>
  <c r="CZ171" i="1"/>
  <c r="CY171" i="1"/>
  <c r="CX171" i="1"/>
  <c r="CR171" i="1" s="1"/>
  <c r="CW171" i="1"/>
  <c r="CT171" i="1"/>
  <c r="CS171" i="1"/>
  <c r="CB171" i="1"/>
  <c r="CA171" i="1"/>
  <c r="BZ171" i="1"/>
  <c r="BY171" i="1"/>
  <c r="BX171" i="1"/>
  <c r="BW171" i="1"/>
  <c r="BV171" i="1"/>
  <c r="BU171" i="1"/>
  <c r="CC171" i="1" s="1"/>
  <c r="BT171" i="1"/>
  <c r="BS171" i="1"/>
  <c r="AS171" i="1"/>
  <c r="AN171" i="1"/>
  <c r="AM171" i="1"/>
  <c r="AL171" i="1"/>
  <c r="AK171" i="1"/>
  <c r="AJ171" i="1"/>
  <c r="AI171" i="1"/>
  <c r="BC171" i="1" s="1"/>
  <c r="O171" i="1"/>
  <c r="F171" i="1"/>
  <c r="E171" i="1"/>
  <c r="D171" i="1"/>
  <c r="EA170" i="1"/>
  <c r="DZ170" i="1"/>
  <c r="DY170" i="1"/>
  <c r="DX170" i="1"/>
  <c r="DW170" i="1"/>
  <c r="DV170" i="1"/>
  <c r="DC170" i="1"/>
  <c r="CW170" i="1" s="1"/>
  <c r="DB170" i="1"/>
  <c r="DA170" i="1"/>
  <c r="CZ170" i="1"/>
  <c r="CT170" i="1" s="1"/>
  <c r="CY170" i="1"/>
  <c r="CS170" i="1" s="1"/>
  <c r="CX170" i="1"/>
  <c r="CV170" i="1"/>
  <c r="CU170" i="1"/>
  <c r="CR170" i="1"/>
  <c r="BZ170" i="1"/>
  <c r="CA170" i="1" s="1"/>
  <c r="BY170" i="1"/>
  <c r="BX170" i="1"/>
  <c r="BW170" i="1"/>
  <c r="BV170" i="1"/>
  <c r="BU170" i="1"/>
  <c r="BT170" i="1"/>
  <c r="BS170" i="1"/>
  <c r="AS170" i="1"/>
  <c r="AN170" i="1"/>
  <c r="AM170" i="1"/>
  <c r="AL170" i="1"/>
  <c r="AK170" i="1"/>
  <c r="AJ170" i="1"/>
  <c r="AI170" i="1"/>
  <c r="BC170" i="1" s="1"/>
  <c r="O170" i="1"/>
  <c r="D170" i="1" s="1"/>
  <c r="F170" i="1"/>
  <c r="E170" i="1"/>
  <c r="EA169" i="1"/>
  <c r="DZ169" i="1"/>
  <c r="DY169" i="1"/>
  <c r="DX169" i="1"/>
  <c r="DW169" i="1"/>
  <c r="DV169" i="1"/>
  <c r="DC169" i="1"/>
  <c r="DB169" i="1"/>
  <c r="CV169" i="1" s="1"/>
  <c r="DA169" i="1"/>
  <c r="CU169" i="1" s="1"/>
  <c r="CZ169" i="1"/>
  <c r="CY169" i="1"/>
  <c r="CX169" i="1"/>
  <c r="CR169" i="1" s="1"/>
  <c r="CW169" i="1"/>
  <c r="CT169" i="1"/>
  <c r="CS169" i="1"/>
  <c r="CB169" i="1"/>
  <c r="CA169" i="1"/>
  <c r="BZ169" i="1"/>
  <c r="BY169" i="1"/>
  <c r="BX169" i="1"/>
  <c r="BW169" i="1"/>
  <c r="BV169" i="1"/>
  <c r="BU169" i="1"/>
  <c r="CC169" i="1" s="1"/>
  <c r="BT169" i="1"/>
  <c r="BS169" i="1"/>
  <c r="AS169" i="1"/>
  <c r="AN169" i="1"/>
  <c r="AM169" i="1"/>
  <c r="AL169" i="1"/>
  <c r="AK169" i="1"/>
  <c r="AJ169" i="1"/>
  <c r="AI169" i="1"/>
  <c r="BC169" i="1" s="1"/>
  <c r="O169" i="1"/>
  <c r="D169" i="1" s="1"/>
  <c r="F169" i="1"/>
  <c r="E169" i="1"/>
  <c r="EA168" i="1"/>
  <c r="DZ168" i="1"/>
  <c r="DY168" i="1"/>
  <c r="DX168" i="1"/>
  <c r="DW168" i="1"/>
  <c r="DV168" i="1"/>
  <c r="DC168" i="1"/>
  <c r="CW168" i="1" s="1"/>
  <c r="DB168" i="1"/>
  <c r="DA168" i="1"/>
  <c r="CZ168" i="1"/>
  <c r="CT168" i="1" s="1"/>
  <c r="CY168" i="1"/>
  <c r="CS168" i="1" s="1"/>
  <c r="CX168" i="1"/>
  <c r="CV168" i="1"/>
  <c r="CU168" i="1"/>
  <c r="CR168" i="1"/>
  <c r="BZ168" i="1"/>
  <c r="CA168" i="1" s="1"/>
  <c r="BY168" i="1"/>
  <c r="BX168" i="1"/>
  <c r="BW168" i="1"/>
  <c r="BV168" i="1"/>
  <c r="BU168" i="1"/>
  <c r="CC168" i="1" s="1"/>
  <c r="BT168" i="1"/>
  <c r="BS168" i="1"/>
  <c r="AS168" i="1"/>
  <c r="AN168" i="1"/>
  <c r="AM168" i="1"/>
  <c r="AL168" i="1"/>
  <c r="AK168" i="1"/>
  <c r="AJ168" i="1"/>
  <c r="AI168" i="1"/>
  <c r="BC168" i="1" s="1"/>
  <c r="O168" i="1"/>
  <c r="D168" i="1" s="1"/>
  <c r="F168" i="1"/>
  <c r="E168" i="1"/>
  <c r="EA167" i="1"/>
  <c r="DZ167" i="1"/>
  <c r="DY167" i="1"/>
  <c r="DX167" i="1"/>
  <c r="DW167" i="1"/>
  <c r="DV167" i="1"/>
  <c r="DC167" i="1"/>
  <c r="DB167" i="1"/>
  <c r="CV167" i="1" s="1"/>
  <c r="DA167" i="1"/>
  <c r="CU167" i="1" s="1"/>
  <c r="CZ167" i="1"/>
  <c r="CY167" i="1"/>
  <c r="CX167" i="1"/>
  <c r="CR167" i="1" s="1"/>
  <c r="CW167" i="1"/>
  <c r="CT167" i="1"/>
  <c r="CS167" i="1"/>
  <c r="CB167" i="1"/>
  <c r="CA167" i="1"/>
  <c r="BZ167" i="1"/>
  <c r="BY167" i="1"/>
  <c r="BX167" i="1"/>
  <c r="BW167" i="1"/>
  <c r="BV167" i="1"/>
  <c r="BU167" i="1"/>
  <c r="CC167" i="1" s="1"/>
  <c r="BT167" i="1"/>
  <c r="BS167" i="1"/>
  <c r="AS167" i="1"/>
  <c r="AN167" i="1"/>
  <c r="AM167" i="1"/>
  <c r="AL167" i="1"/>
  <c r="AK167" i="1"/>
  <c r="AJ167" i="1"/>
  <c r="AI167" i="1"/>
  <c r="BC167" i="1" s="1"/>
  <c r="O167" i="1"/>
  <c r="D167" i="1" s="1"/>
  <c r="F167" i="1"/>
  <c r="E167" i="1"/>
  <c r="EA166" i="1"/>
  <c r="DZ166" i="1"/>
  <c r="DY166" i="1"/>
  <c r="DX166" i="1"/>
  <c r="DW166" i="1"/>
  <c r="DV166" i="1"/>
  <c r="DC166" i="1"/>
  <c r="CW166" i="1" s="1"/>
  <c r="DB166" i="1"/>
  <c r="DA166" i="1"/>
  <c r="CZ166" i="1"/>
  <c r="CT166" i="1" s="1"/>
  <c r="CY166" i="1"/>
  <c r="CS166" i="1" s="1"/>
  <c r="CX166" i="1"/>
  <c r="CV166" i="1"/>
  <c r="CU166" i="1"/>
  <c r="CR166" i="1"/>
  <c r="BZ166" i="1"/>
  <c r="CA166" i="1" s="1"/>
  <c r="BY166" i="1"/>
  <c r="BX166" i="1"/>
  <c r="BW166" i="1"/>
  <c r="BV166" i="1"/>
  <c r="BU166" i="1"/>
  <c r="BT166" i="1"/>
  <c r="BS166" i="1"/>
  <c r="AS166" i="1"/>
  <c r="AN166" i="1"/>
  <c r="AM166" i="1"/>
  <c r="AL166" i="1"/>
  <c r="AK166" i="1"/>
  <c r="AJ166" i="1"/>
  <c r="AI166" i="1"/>
  <c r="BC166" i="1" s="1"/>
  <c r="O166" i="1"/>
  <c r="D166" i="1" s="1"/>
  <c r="F166" i="1"/>
  <c r="E166" i="1"/>
  <c r="EA165" i="1"/>
  <c r="DZ165" i="1"/>
  <c r="DY165" i="1"/>
  <c r="DX165" i="1"/>
  <c r="DW165" i="1"/>
  <c r="DV165" i="1"/>
  <c r="DC165" i="1"/>
  <c r="DB165" i="1"/>
  <c r="CV165" i="1" s="1"/>
  <c r="DA165" i="1"/>
  <c r="CU165" i="1" s="1"/>
  <c r="CZ165" i="1"/>
  <c r="CY165" i="1"/>
  <c r="CX165" i="1"/>
  <c r="CR165" i="1" s="1"/>
  <c r="CW165" i="1"/>
  <c r="CT165" i="1"/>
  <c r="CS165" i="1"/>
  <c r="CB165" i="1"/>
  <c r="CA165" i="1"/>
  <c r="BZ165" i="1"/>
  <c r="BY165" i="1"/>
  <c r="BX165" i="1"/>
  <c r="BW165" i="1"/>
  <c r="BV165" i="1"/>
  <c r="BU165" i="1"/>
  <c r="CC165" i="1" s="1"/>
  <c r="BT165" i="1"/>
  <c r="BS165" i="1"/>
  <c r="AS165" i="1"/>
  <c r="AN165" i="1"/>
  <c r="AM165" i="1"/>
  <c r="AL165" i="1"/>
  <c r="AK165" i="1"/>
  <c r="AJ165" i="1"/>
  <c r="AI165" i="1"/>
  <c r="BC165" i="1" s="1"/>
  <c r="O165" i="1"/>
  <c r="D165" i="1" s="1"/>
  <c r="F165" i="1"/>
  <c r="E165" i="1"/>
  <c r="EA164" i="1"/>
  <c r="DZ164" i="1"/>
  <c r="DY164" i="1"/>
  <c r="DX164" i="1"/>
  <c r="DW164" i="1"/>
  <c r="DV164" i="1"/>
  <c r="DC164" i="1"/>
  <c r="CW164" i="1" s="1"/>
  <c r="DB164" i="1"/>
  <c r="DA164" i="1"/>
  <c r="CZ164" i="1"/>
  <c r="CT164" i="1" s="1"/>
  <c r="CY164" i="1"/>
  <c r="CS164" i="1" s="1"/>
  <c r="CX164" i="1"/>
  <c r="CV164" i="1"/>
  <c r="CU164" i="1"/>
  <c r="CR164" i="1"/>
  <c r="BZ164" i="1"/>
  <c r="CA164" i="1" s="1"/>
  <c r="BY164" i="1"/>
  <c r="BX164" i="1"/>
  <c r="BW164" i="1"/>
  <c r="BV164" i="1"/>
  <c r="BU164" i="1"/>
  <c r="CC164" i="1" s="1"/>
  <c r="BT164" i="1"/>
  <c r="BS164" i="1"/>
  <c r="AS164" i="1"/>
  <c r="AN164" i="1"/>
  <c r="AM164" i="1"/>
  <c r="AL164" i="1"/>
  <c r="AK164" i="1"/>
  <c r="AJ164" i="1"/>
  <c r="AI164" i="1"/>
  <c r="BC164" i="1" s="1"/>
  <c r="O164" i="1"/>
  <c r="D164" i="1" s="1"/>
  <c r="F164" i="1"/>
  <c r="E164" i="1"/>
  <c r="EA163" i="1"/>
  <c r="DZ163" i="1"/>
  <c r="DY163" i="1"/>
  <c r="DX163" i="1"/>
  <c r="DW163" i="1"/>
  <c r="DV163" i="1"/>
  <c r="DC163" i="1"/>
  <c r="DB163" i="1"/>
  <c r="CV163" i="1" s="1"/>
  <c r="DA163" i="1"/>
  <c r="CU163" i="1" s="1"/>
  <c r="CZ163" i="1"/>
  <c r="CY163" i="1"/>
  <c r="CX163" i="1"/>
  <c r="CR163" i="1" s="1"/>
  <c r="CW163" i="1"/>
  <c r="CT163" i="1"/>
  <c r="CS163" i="1"/>
  <c r="CB163" i="1"/>
  <c r="CA163" i="1"/>
  <c r="BZ163" i="1"/>
  <c r="BY163" i="1"/>
  <c r="BX163" i="1"/>
  <c r="BW163" i="1"/>
  <c r="BV163" i="1"/>
  <c r="BU163" i="1"/>
  <c r="CC163" i="1" s="1"/>
  <c r="BT163" i="1"/>
  <c r="BS163" i="1"/>
  <c r="AS163" i="1"/>
  <c r="AN163" i="1"/>
  <c r="AM163" i="1"/>
  <c r="AL163" i="1"/>
  <c r="AK163" i="1"/>
  <c r="AJ163" i="1"/>
  <c r="AI163" i="1"/>
  <c r="BC163" i="1" s="1"/>
  <c r="O163" i="1"/>
  <c r="D163" i="1" s="1"/>
  <c r="F163" i="1"/>
  <c r="E163" i="1"/>
  <c r="EA162" i="1"/>
  <c r="DZ162" i="1"/>
  <c r="DY162" i="1"/>
  <c r="DX162" i="1"/>
  <c r="DW162" i="1"/>
  <c r="DV162" i="1"/>
  <c r="DC162" i="1"/>
  <c r="CW162" i="1" s="1"/>
  <c r="DB162" i="1"/>
  <c r="DA162" i="1"/>
  <c r="CZ162" i="1"/>
  <c r="CT162" i="1" s="1"/>
  <c r="CY162" i="1"/>
  <c r="CS162" i="1" s="1"/>
  <c r="CX162" i="1"/>
  <c r="CV162" i="1"/>
  <c r="CU162" i="1"/>
  <c r="CR162" i="1"/>
  <c r="BZ162" i="1"/>
  <c r="CA162" i="1" s="1"/>
  <c r="BY162" i="1"/>
  <c r="BX162" i="1"/>
  <c r="BW162" i="1"/>
  <c r="BV162" i="1"/>
  <c r="BU162" i="1"/>
  <c r="BT162" i="1"/>
  <c r="BS162" i="1"/>
  <c r="AS162" i="1"/>
  <c r="AN162" i="1"/>
  <c r="AM162" i="1"/>
  <c r="AL162" i="1"/>
  <c r="AK162" i="1"/>
  <c r="AJ162" i="1"/>
  <c r="AI162" i="1"/>
  <c r="BC162" i="1" s="1"/>
  <c r="O162" i="1"/>
  <c r="D162" i="1" s="1"/>
  <c r="F162" i="1"/>
  <c r="E162" i="1"/>
  <c r="EA161" i="1"/>
  <c r="DZ161" i="1"/>
  <c r="DY161" i="1"/>
  <c r="DX161" i="1"/>
  <c r="DW161" i="1"/>
  <c r="DV161" i="1"/>
  <c r="DC161" i="1"/>
  <c r="DB161" i="1"/>
  <c r="CV161" i="1" s="1"/>
  <c r="DA161" i="1"/>
  <c r="CU161" i="1" s="1"/>
  <c r="CZ161" i="1"/>
  <c r="CY161" i="1"/>
  <c r="CX161" i="1"/>
  <c r="CR161" i="1" s="1"/>
  <c r="CW161" i="1"/>
  <c r="CT161" i="1"/>
  <c r="CS161" i="1"/>
  <c r="CB161" i="1"/>
  <c r="CA161" i="1"/>
  <c r="BZ161" i="1"/>
  <c r="BY161" i="1"/>
  <c r="BX161" i="1"/>
  <c r="BW161" i="1"/>
  <c r="BV161" i="1"/>
  <c r="BU161" i="1"/>
  <c r="CC161" i="1" s="1"/>
  <c r="BT161" i="1"/>
  <c r="BS161" i="1"/>
  <c r="AS161" i="1"/>
  <c r="AN161" i="1"/>
  <c r="AM161" i="1"/>
  <c r="AL161" i="1"/>
  <c r="AK161" i="1"/>
  <c r="AJ161" i="1"/>
  <c r="AI161" i="1"/>
  <c r="BC161" i="1" s="1"/>
  <c r="O161" i="1"/>
  <c r="D161" i="1" s="1"/>
  <c r="F161" i="1"/>
  <c r="E161" i="1"/>
  <c r="EA160" i="1"/>
  <c r="DZ160" i="1"/>
  <c r="DY160" i="1"/>
  <c r="DX160" i="1"/>
  <c r="DW160" i="1"/>
  <c r="DV160" i="1"/>
  <c r="DC160" i="1"/>
  <c r="CW160" i="1" s="1"/>
  <c r="DB160" i="1"/>
  <c r="DA160" i="1"/>
  <c r="CZ160" i="1"/>
  <c r="CT160" i="1" s="1"/>
  <c r="CY160" i="1"/>
  <c r="CS160" i="1" s="1"/>
  <c r="CX160" i="1"/>
  <c r="CV160" i="1"/>
  <c r="CU160" i="1"/>
  <c r="CR160" i="1"/>
  <c r="BZ160" i="1"/>
  <c r="CA160" i="1" s="1"/>
  <c r="BY160" i="1"/>
  <c r="BX160" i="1"/>
  <c r="BW160" i="1"/>
  <c r="BV160" i="1"/>
  <c r="BU160" i="1"/>
  <c r="CC160" i="1" s="1"/>
  <c r="BT160" i="1"/>
  <c r="BS160" i="1"/>
  <c r="AS160" i="1"/>
  <c r="AN160" i="1"/>
  <c r="AM160" i="1"/>
  <c r="AL160" i="1"/>
  <c r="AK160" i="1"/>
  <c r="AJ160" i="1"/>
  <c r="AI160" i="1"/>
  <c r="BC160" i="1" s="1"/>
  <c r="O160" i="1"/>
  <c r="D160" i="1" s="1"/>
  <c r="F160" i="1"/>
  <c r="E160" i="1"/>
  <c r="EA159" i="1"/>
  <c r="DZ159" i="1"/>
  <c r="DY159" i="1"/>
  <c r="DX159" i="1"/>
  <c r="DW159" i="1"/>
  <c r="DV159" i="1"/>
  <c r="DC159" i="1"/>
  <c r="DB159" i="1"/>
  <c r="CV159" i="1" s="1"/>
  <c r="DA159" i="1"/>
  <c r="CU159" i="1" s="1"/>
  <c r="CZ159" i="1"/>
  <c r="CY159" i="1"/>
  <c r="CX159" i="1"/>
  <c r="CR159" i="1" s="1"/>
  <c r="CW159" i="1"/>
  <c r="CT159" i="1"/>
  <c r="CS159" i="1"/>
  <c r="CB159" i="1"/>
  <c r="CA159" i="1"/>
  <c r="BZ159" i="1"/>
  <c r="BY159" i="1"/>
  <c r="BX159" i="1"/>
  <c r="BW159" i="1"/>
  <c r="BV159" i="1"/>
  <c r="BU159" i="1"/>
  <c r="CC159" i="1" s="1"/>
  <c r="BT159" i="1"/>
  <c r="BS159" i="1"/>
  <c r="AS159" i="1"/>
  <c r="AN159" i="1"/>
  <c r="AM159" i="1"/>
  <c r="AL159" i="1"/>
  <c r="AK159" i="1"/>
  <c r="AJ159" i="1"/>
  <c r="AI159" i="1"/>
  <c r="BC159" i="1" s="1"/>
  <c r="O159" i="1"/>
  <c r="D159" i="1" s="1"/>
  <c r="F159" i="1"/>
  <c r="E159" i="1"/>
  <c r="EA158" i="1"/>
  <c r="DZ158" i="1"/>
  <c r="DY158" i="1"/>
  <c r="DX158" i="1"/>
  <c r="DW158" i="1"/>
  <c r="DV158" i="1"/>
  <c r="DC158" i="1"/>
  <c r="CW158" i="1" s="1"/>
  <c r="DB158" i="1"/>
  <c r="DA158" i="1"/>
  <c r="CZ158" i="1"/>
  <c r="CT158" i="1" s="1"/>
  <c r="CY158" i="1"/>
  <c r="CS158" i="1" s="1"/>
  <c r="CX158" i="1"/>
  <c r="CV158" i="1"/>
  <c r="CU158" i="1"/>
  <c r="CR158" i="1"/>
  <c r="BZ158" i="1"/>
  <c r="CA158" i="1" s="1"/>
  <c r="BY158" i="1"/>
  <c r="BX158" i="1"/>
  <c r="BW158" i="1"/>
  <c r="BV158" i="1"/>
  <c r="BU158" i="1"/>
  <c r="BT158" i="1"/>
  <c r="BS158" i="1"/>
  <c r="BC158" i="1"/>
  <c r="AS158" i="1"/>
  <c r="AN158" i="1"/>
  <c r="AM158" i="1"/>
  <c r="AL158" i="1"/>
  <c r="AK158" i="1"/>
  <c r="AJ158" i="1"/>
  <c r="AI158" i="1"/>
  <c r="O158" i="1"/>
  <c r="D158" i="1" s="1"/>
  <c r="F158" i="1"/>
  <c r="E158" i="1"/>
  <c r="EA157" i="1"/>
  <c r="DZ157" i="1"/>
  <c r="DY157" i="1"/>
  <c r="DX157" i="1"/>
  <c r="DW157" i="1"/>
  <c r="DV157" i="1"/>
  <c r="DC157" i="1"/>
  <c r="DB157" i="1"/>
  <c r="CV157" i="1" s="1"/>
  <c r="DA157" i="1"/>
  <c r="CU157" i="1" s="1"/>
  <c r="CZ157" i="1"/>
  <c r="CY157" i="1"/>
  <c r="CX157" i="1"/>
  <c r="CR157" i="1" s="1"/>
  <c r="CW157" i="1"/>
  <c r="CT157" i="1"/>
  <c r="CS157" i="1"/>
  <c r="CB157" i="1"/>
  <c r="CA157" i="1"/>
  <c r="BZ157" i="1"/>
  <c r="BY157" i="1"/>
  <c r="BX157" i="1"/>
  <c r="BW157" i="1"/>
  <c r="BV157" i="1"/>
  <c r="BU157" i="1"/>
  <c r="CC157" i="1" s="1"/>
  <c r="BT157" i="1"/>
  <c r="BS157" i="1"/>
  <c r="AS157" i="1"/>
  <c r="AN157" i="1"/>
  <c r="AM157" i="1"/>
  <c r="AL157" i="1"/>
  <c r="AK157" i="1"/>
  <c r="AJ157" i="1"/>
  <c r="AI157" i="1"/>
  <c r="BC157" i="1" s="1"/>
  <c r="O157" i="1"/>
  <c r="D157" i="1" s="1"/>
  <c r="F157" i="1"/>
  <c r="E157" i="1"/>
  <c r="EA156" i="1"/>
  <c r="DZ156" i="1"/>
  <c r="DY156" i="1"/>
  <c r="DX156" i="1"/>
  <c r="DW156" i="1"/>
  <c r="DV156" i="1"/>
  <c r="DC156" i="1"/>
  <c r="CW156" i="1" s="1"/>
  <c r="DB156" i="1"/>
  <c r="DA156" i="1"/>
  <c r="CZ156" i="1"/>
  <c r="CT156" i="1" s="1"/>
  <c r="CY156" i="1"/>
  <c r="CS156" i="1" s="1"/>
  <c r="CX156" i="1"/>
  <c r="CV156" i="1"/>
  <c r="CU156" i="1"/>
  <c r="CR156" i="1"/>
  <c r="BZ156" i="1"/>
  <c r="CA156" i="1" s="1"/>
  <c r="BY156" i="1"/>
  <c r="BX156" i="1"/>
  <c r="BW156" i="1"/>
  <c r="BV156" i="1"/>
  <c r="BU156" i="1"/>
  <c r="CC156" i="1" s="1"/>
  <c r="BT156" i="1"/>
  <c r="BS156" i="1"/>
  <c r="AS156" i="1"/>
  <c r="AN156" i="1"/>
  <c r="AM156" i="1"/>
  <c r="AL156" i="1"/>
  <c r="AK156" i="1"/>
  <c r="AJ156" i="1"/>
  <c r="AI156" i="1"/>
  <c r="BC156" i="1" s="1"/>
  <c r="O156" i="1"/>
  <c r="D156" i="1" s="1"/>
  <c r="F156" i="1"/>
  <c r="E156" i="1"/>
  <c r="EA155" i="1"/>
  <c r="DZ155" i="1"/>
  <c r="DY155" i="1"/>
  <c r="DX155" i="1"/>
  <c r="DW155" i="1"/>
  <c r="DV155" i="1"/>
  <c r="DC155" i="1"/>
  <c r="DB155" i="1"/>
  <c r="CV155" i="1" s="1"/>
  <c r="DA155" i="1"/>
  <c r="CU155" i="1" s="1"/>
  <c r="CZ155" i="1"/>
  <c r="CY155" i="1"/>
  <c r="CX155" i="1"/>
  <c r="CR155" i="1" s="1"/>
  <c r="CW155" i="1"/>
  <c r="CT155" i="1"/>
  <c r="CS155" i="1"/>
  <c r="CB155" i="1"/>
  <c r="CA155" i="1"/>
  <c r="BZ155" i="1"/>
  <c r="BY155" i="1"/>
  <c r="BX155" i="1"/>
  <c r="BW155" i="1"/>
  <c r="BV155" i="1"/>
  <c r="BU155" i="1"/>
  <c r="CC155" i="1" s="1"/>
  <c r="BT155" i="1"/>
  <c r="BS155" i="1"/>
  <c r="AS155" i="1"/>
  <c r="AN155" i="1"/>
  <c r="AM155" i="1"/>
  <c r="AL155" i="1"/>
  <c r="AK155" i="1"/>
  <c r="AJ155" i="1"/>
  <c r="AI155" i="1"/>
  <c r="BC155" i="1" s="1"/>
  <c r="O155" i="1"/>
  <c r="D155" i="1" s="1"/>
  <c r="F155" i="1"/>
  <c r="E155" i="1"/>
  <c r="EA154" i="1"/>
  <c r="DZ154" i="1"/>
  <c r="DY154" i="1"/>
  <c r="DX154" i="1"/>
  <c r="DW154" i="1"/>
  <c r="DV154" i="1"/>
  <c r="DC154" i="1"/>
  <c r="CW154" i="1" s="1"/>
  <c r="DB154" i="1"/>
  <c r="DA154" i="1"/>
  <c r="CZ154" i="1"/>
  <c r="CT154" i="1" s="1"/>
  <c r="CY154" i="1"/>
  <c r="CS154" i="1" s="1"/>
  <c r="CX154" i="1"/>
  <c r="CV154" i="1"/>
  <c r="CU154" i="1"/>
  <c r="CR154" i="1"/>
  <c r="BZ154" i="1"/>
  <c r="CA154" i="1" s="1"/>
  <c r="BY154" i="1"/>
  <c r="BX154" i="1"/>
  <c r="BW154" i="1"/>
  <c r="BV154" i="1"/>
  <c r="BU154" i="1"/>
  <c r="BT154" i="1"/>
  <c r="BS154" i="1"/>
  <c r="BA154" i="1"/>
  <c r="BA155" i="1" s="1"/>
  <c r="BA156" i="1" s="1"/>
  <c r="BA157" i="1" s="1"/>
  <c r="BA158" i="1" s="1"/>
  <c r="BA159" i="1" s="1"/>
  <c r="BA160" i="1" s="1"/>
  <c r="BA161" i="1" s="1"/>
  <c r="BA162" i="1" s="1"/>
  <c r="BA163" i="1" s="1"/>
  <c r="BA164" i="1" s="1"/>
  <c r="BA165" i="1" s="1"/>
  <c r="BA166" i="1" s="1"/>
  <c r="BA167" i="1" s="1"/>
  <c r="BA168" i="1" s="1"/>
  <c r="BA169" i="1" s="1"/>
  <c r="BA170" i="1" s="1"/>
  <c r="BA171" i="1" s="1"/>
  <c r="BA172" i="1" s="1"/>
  <c r="BA173" i="1" s="1"/>
  <c r="BA174" i="1" s="1"/>
  <c r="BA175" i="1" s="1"/>
  <c r="BA176" i="1" s="1"/>
  <c r="BA177" i="1" s="1"/>
  <c r="BA178" i="1" s="1"/>
  <c r="BA179" i="1" s="1"/>
  <c r="BA180" i="1" s="1"/>
  <c r="BA181" i="1" s="1"/>
  <c r="BA182" i="1" s="1"/>
  <c r="BA183" i="1" s="1"/>
  <c r="BA184" i="1" s="1"/>
  <c r="BA185" i="1" s="1"/>
  <c r="BA186" i="1" s="1"/>
  <c r="BA187" i="1" s="1"/>
  <c r="BA188" i="1" s="1"/>
  <c r="BA189" i="1" s="1"/>
  <c r="BA190" i="1" s="1"/>
  <c r="BA191" i="1" s="1"/>
  <c r="BA192" i="1" s="1"/>
  <c r="BA193" i="1" s="1"/>
  <c r="BA194" i="1" s="1"/>
  <c r="BA195" i="1" s="1"/>
  <c r="BA196" i="1" s="1"/>
  <c r="BA197" i="1" s="1"/>
  <c r="BA198" i="1" s="1"/>
  <c r="BA199" i="1" s="1"/>
  <c r="BA200" i="1" s="1"/>
  <c r="BA201" i="1" s="1"/>
  <c r="BA202" i="1" s="1"/>
  <c r="BA203" i="1" s="1"/>
  <c r="BA204" i="1" s="1"/>
  <c r="BA205" i="1" s="1"/>
  <c r="BA206" i="1" s="1"/>
  <c r="BA207" i="1" s="1"/>
  <c r="BA208" i="1" s="1"/>
  <c r="BA209" i="1" s="1"/>
  <c r="BA210" i="1" s="1"/>
  <c r="BA211" i="1" s="1"/>
  <c r="BA212" i="1" s="1"/>
  <c r="BA213" i="1" s="1"/>
  <c r="BA214" i="1" s="1"/>
  <c r="BA215" i="1" s="1"/>
  <c r="BA216" i="1" s="1"/>
  <c r="BA217" i="1" s="1"/>
  <c r="BA218" i="1" s="1"/>
  <c r="BA219" i="1" s="1"/>
  <c r="BA220" i="1" s="1"/>
  <c r="BA221" i="1" s="1"/>
  <c r="BA222" i="1" s="1"/>
  <c r="BA223" i="1" s="1"/>
  <c r="BA224" i="1" s="1"/>
  <c r="BA225" i="1" s="1"/>
  <c r="BA226" i="1" s="1"/>
  <c r="BA227" i="1" s="1"/>
  <c r="BA228" i="1" s="1"/>
  <c r="BA229" i="1" s="1"/>
  <c r="BA230" i="1" s="1"/>
  <c r="BA231" i="1" s="1"/>
  <c r="BA232" i="1" s="1"/>
  <c r="BA233" i="1" s="1"/>
  <c r="BA234" i="1" s="1"/>
  <c r="BA235" i="1" s="1"/>
  <c r="BA236" i="1" s="1"/>
  <c r="BA237" i="1" s="1"/>
  <c r="BA238" i="1" s="1"/>
  <c r="BA239" i="1" s="1"/>
  <c r="BA240" i="1" s="1"/>
  <c r="BA241" i="1" s="1"/>
  <c r="BA242" i="1" s="1"/>
  <c r="BA243" i="1" s="1"/>
  <c r="BA244" i="1" s="1"/>
  <c r="BA245" i="1" s="1"/>
  <c r="BA246" i="1" s="1"/>
  <c r="BA247" i="1" s="1"/>
  <c r="BA248" i="1" s="1"/>
  <c r="BA249" i="1" s="1"/>
  <c r="BA250" i="1" s="1"/>
  <c r="BA251" i="1" s="1"/>
  <c r="BA252" i="1" s="1"/>
  <c r="AS154" i="1"/>
  <c r="AN154" i="1"/>
  <c r="AM154" i="1"/>
  <c r="AL154" i="1"/>
  <c r="AK154" i="1"/>
  <c r="AJ154" i="1"/>
  <c r="AI154" i="1"/>
  <c r="BC154" i="1" s="1"/>
  <c r="O154" i="1"/>
  <c r="D154" i="1" s="1"/>
  <c r="F154" i="1"/>
  <c r="E154" i="1"/>
  <c r="EA153" i="1"/>
  <c r="DZ153" i="1"/>
  <c r="DY153" i="1"/>
  <c r="DX153" i="1"/>
  <c r="DW153" i="1"/>
  <c r="DV153" i="1"/>
  <c r="DC153" i="1"/>
  <c r="DB153" i="1"/>
  <c r="CV153" i="1" s="1"/>
  <c r="DA153" i="1"/>
  <c r="CU153" i="1" s="1"/>
  <c r="CZ153" i="1"/>
  <c r="CY153" i="1"/>
  <c r="CX153" i="1"/>
  <c r="CR153" i="1" s="1"/>
  <c r="CW153" i="1"/>
  <c r="CT153" i="1"/>
  <c r="CS153" i="1"/>
  <c r="CB153" i="1"/>
  <c r="CA153" i="1"/>
  <c r="BZ153" i="1"/>
  <c r="BY153" i="1"/>
  <c r="BX153" i="1"/>
  <c r="BW153" i="1"/>
  <c r="BV153" i="1"/>
  <c r="BU153" i="1"/>
  <c r="CC153" i="1" s="1"/>
  <c r="BT153" i="1"/>
  <c r="BS153" i="1"/>
  <c r="AS153" i="1"/>
  <c r="AN153" i="1"/>
  <c r="AM153" i="1"/>
  <c r="AL153" i="1"/>
  <c r="AK153" i="1"/>
  <c r="AJ153" i="1"/>
  <c r="AI153" i="1"/>
  <c r="BC153" i="1" s="1"/>
  <c r="O153" i="1"/>
  <c r="D153" i="1" s="1"/>
  <c r="F153" i="1"/>
  <c r="E153" i="1"/>
  <c r="EA152" i="1"/>
  <c r="DZ152" i="1"/>
  <c r="DY152" i="1"/>
  <c r="DX152" i="1"/>
  <c r="DW152" i="1"/>
  <c r="DV152" i="1"/>
  <c r="DC152" i="1"/>
  <c r="CW152" i="1" s="1"/>
  <c r="DB152" i="1"/>
  <c r="CV152" i="1" s="1"/>
  <c r="DA152" i="1"/>
  <c r="CZ152" i="1"/>
  <c r="CY152" i="1"/>
  <c r="CS152" i="1" s="1"/>
  <c r="CX152" i="1"/>
  <c r="CR152" i="1" s="1"/>
  <c r="CU152" i="1"/>
  <c r="CT152" i="1"/>
  <c r="BZ152" i="1"/>
  <c r="CA152" i="1" s="1"/>
  <c r="BY152" i="1"/>
  <c r="BX152" i="1"/>
  <c r="BW152" i="1"/>
  <c r="BV152" i="1"/>
  <c r="BU152" i="1"/>
  <c r="CC152" i="1" s="1"/>
  <c r="BT152" i="1"/>
  <c r="BS152" i="1"/>
  <c r="AS152" i="1"/>
  <c r="AN152" i="1"/>
  <c r="AM152" i="1"/>
  <c r="AL152" i="1"/>
  <c r="AK152" i="1"/>
  <c r="AJ152" i="1"/>
  <c r="AI152" i="1"/>
  <c r="BC152" i="1" s="1"/>
  <c r="O152" i="1"/>
  <c r="D152" i="1" s="1"/>
  <c r="F152" i="1"/>
  <c r="E152" i="1"/>
  <c r="EA151" i="1"/>
  <c r="DZ151" i="1"/>
  <c r="DY151" i="1"/>
  <c r="DX151" i="1"/>
  <c r="DW151" i="1"/>
  <c r="DV151" i="1"/>
  <c r="DC151" i="1"/>
  <c r="DB151" i="1"/>
  <c r="DA151" i="1"/>
  <c r="CU151" i="1" s="1"/>
  <c r="CZ151" i="1"/>
  <c r="CT151" i="1" s="1"/>
  <c r="CY151" i="1"/>
  <c r="CX151" i="1"/>
  <c r="CW151" i="1"/>
  <c r="CV151" i="1"/>
  <c r="CS151" i="1"/>
  <c r="CR151" i="1"/>
  <c r="CA151" i="1"/>
  <c r="CB151" i="1" s="1"/>
  <c r="BZ151" i="1"/>
  <c r="BY151" i="1"/>
  <c r="BX151" i="1"/>
  <c r="BW151" i="1"/>
  <c r="BV151" i="1"/>
  <c r="BU151" i="1"/>
  <c r="CC151" i="1" s="1"/>
  <c r="BT151" i="1"/>
  <c r="BS151" i="1"/>
  <c r="AS151" i="1"/>
  <c r="AN151" i="1"/>
  <c r="AM151" i="1"/>
  <c r="AL151" i="1"/>
  <c r="AK151" i="1"/>
  <c r="AJ151" i="1"/>
  <c r="AI151" i="1"/>
  <c r="BC151" i="1" s="1"/>
  <c r="O151" i="1"/>
  <c r="D151" i="1" s="1"/>
  <c r="F151" i="1"/>
  <c r="E151" i="1"/>
  <c r="EA150" i="1"/>
  <c r="DZ150" i="1"/>
  <c r="DY150" i="1"/>
  <c r="DX150" i="1"/>
  <c r="DW150" i="1"/>
  <c r="DV150" i="1"/>
  <c r="DC150" i="1"/>
  <c r="CW150" i="1" s="1"/>
  <c r="DB150" i="1"/>
  <c r="CV150" i="1" s="1"/>
  <c r="DA150" i="1"/>
  <c r="CZ150" i="1"/>
  <c r="CY150" i="1"/>
  <c r="CS150" i="1" s="1"/>
  <c r="CX150" i="1"/>
  <c r="CR150" i="1" s="1"/>
  <c r="CU150" i="1"/>
  <c r="CT150" i="1"/>
  <c r="BZ150" i="1"/>
  <c r="CA150" i="1" s="1"/>
  <c r="BY150" i="1"/>
  <c r="BX150" i="1"/>
  <c r="BW150" i="1"/>
  <c r="BV150" i="1"/>
  <c r="BU150" i="1"/>
  <c r="BT150" i="1"/>
  <c r="BS150" i="1"/>
  <c r="BA150" i="1"/>
  <c r="BA151" i="1" s="1"/>
  <c r="BA152" i="1" s="1"/>
  <c r="AS150" i="1"/>
  <c r="AN150" i="1"/>
  <c r="AM150" i="1"/>
  <c r="AL150" i="1"/>
  <c r="AK150" i="1"/>
  <c r="AJ150" i="1"/>
  <c r="AI150" i="1"/>
  <c r="BC150" i="1" s="1"/>
  <c r="O150" i="1"/>
  <c r="F150" i="1"/>
  <c r="E150" i="1"/>
  <c r="D150" i="1"/>
  <c r="EA149" i="1"/>
  <c r="DZ149" i="1"/>
  <c r="DY149" i="1"/>
  <c r="DX149" i="1"/>
  <c r="DW149" i="1"/>
  <c r="DV149" i="1"/>
  <c r="DC149" i="1"/>
  <c r="DB149" i="1"/>
  <c r="DA149" i="1"/>
  <c r="CU149" i="1" s="1"/>
  <c r="CZ149" i="1"/>
  <c r="CT149" i="1" s="1"/>
  <c r="CY149" i="1"/>
  <c r="CX149" i="1"/>
  <c r="CW149" i="1"/>
  <c r="CV149" i="1"/>
  <c r="CS149" i="1"/>
  <c r="CR149" i="1"/>
  <c r="CA149" i="1"/>
  <c r="CB149" i="1" s="1"/>
  <c r="BZ149" i="1"/>
  <c r="BY149" i="1"/>
  <c r="BX149" i="1"/>
  <c r="BW149" i="1"/>
  <c r="BV149" i="1"/>
  <c r="BU149" i="1"/>
  <c r="CC149" i="1" s="1"/>
  <c r="BT149" i="1"/>
  <c r="BS149" i="1"/>
  <c r="AS149" i="1"/>
  <c r="AN149" i="1"/>
  <c r="AM149" i="1"/>
  <c r="AL149" i="1"/>
  <c r="AK149" i="1"/>
  <c r="AJ149" i="1"/>
  <c r="AI149" i="1"/>
  <c r="O149" i="1"/>
  <c r="F149" i="1"/>
  <c r="E149" i="1"/>
  <c r="D149" i="1"/>
  <c r="EA148" i="1"/>
  <c r="DZ148" i="1"/>
  <c r="DY148" i="1"/>
  <c r="DX148" i="1"/>
  <c r="DW148" i="1"/>
  <c r="DV148" i="1"/>
  <c r="DC148" i="1"/>
  <c r="DB148" i="1"/>
  <c r="CV148" i="1" s="1"/>
  <c r="DA148" i="1"/>
  <c r="CU148" i="1" s="1"/>
  <c r="CZ148" i="1"/>
  <c r="CY148" i="1"/>
  <c r="CX148" i="1"/>
  <c r="CR148" i="1" s="1"/>
  <c r="CW148" i="1"/>
  <c r="CT148" i="1"/>
  <c r="CS148" i="1"/>
  <c r="CB148" i="1"/>
  <c r="CA148" i="1"/>
  <c r="BZ148" i="1"/>
  <c r="BY148" i="1"/>
  <c r="BX148" i="1"/>
  <c r="BW148" i="1"/>
  <c r="BV148" i="1"/>
  <c r="BU148" i="1"/>
  <c r="CC148" i="1" s="1"/>
  <c r="BT148" i="1"/>
  <c r="BS148" i="1"/>
  <c r="AS148" i="1"/>
  <c r="AN148" i="1"/>
  <c r="AM148" i="1"/>
  <c r="AL148" i="1"/>
  <c r="AK148" i="1"/>
  <c r="AJ148" i="1"/>
  <c r="AI148" i="1"/>
  <c r="BC148" i="1" s="1"/>
  <c r="O148" i="1"/>
  <c r="F148" i="1"/>
  <c r="E148" i="1"/>
  <c r="D148" i="1"/>
  <c r="EA147" i="1"/>
  <c r="DZ147" i="1"/>
  <c r="DY147" i="1"/>
  <c r="DX147" i="1"/>
  <c r="DW147" i="1"/>
  <c r="DV147" i="1"/>
  <c r="DC147" i="1"/>
  <c r="CW147" i="1" s="1"/>
  <c r="DB147" i="1"/>
  <c r="CV147" i="1" s="1"/>
  <c r="DA147" i="1"/>
  <c r="CZ147" i="1"/>
  <c r="CY147" i="1"/>
  <c r="CS147" i="1" s="1"/>
  <c r="CX147" i="1"/>
  <c r="CR147" i="1" s="1"/>
  <c r="CU147" i="1"/>
  <c r="CT147" i="1"/>
  <c r="BZ147" i="1"/>
  <c r="CA147" i="1" s="1"/>
  <c r="BY147" i="1"/>
  <c r="BX147" i="1"/>
  <c r="BW147" i="1"/>
  <c r="BV147" i="1"/>
  <c r="BU147" i="1"/>
  <c r="CC147" i="1" s="1"/>
  <c r="BT147" i="1"/>
  <c r="BS147" i="1"/>
  <c r="AS147" i="1"/>
  <c r="AN147" i="1"/>
  <c r="AM147" i="1"/>
  <c r="AL147" i="1"/>
  <c r="AK147" i="1"/>
  <c r="AJ147" i="1"/>
  <c r="AI147" i="1"/>
  <c r="BC147" i="1" s="1"/>
  <c r="O147" i="1"/>
  <c r="D147" i="1" s="1"/>
  <c r="F147" i="1"/>
  <c r="E147" i="1"/>
  <c r="EA146" i="1"/>
  <c r="DZ146" i="1"/>
  <c r="DY146" i="1"/>
  <c r="DX146" i="1"/>
  <c r="DW146" i="1"/>
  <c r="DV146" i="1"/>
  <c r="DC146" i="1"/>
  <c r="CW146" i="1" s="1"/>
  <c r="DB146" i="1"/>
  <c r="DA146" i="1"/>
  <c r="CZ146" i="1"/>
  <c r="CT146" i="1" s="1"/>
  <c r="CY146" i="1"/>
  <c r="CS146" i="1" s="1"/>
  <c r="CX146" i="1"/>
  <c r="CV146" i="1"/>
  <c r="CU146" i="1"/>
  <c r="CR146" i="1"/>
  <c r="BZ146" i="1"/>
  <c r="CA146" i="1" s="1"/>
  <c r="BY146" i="1"/>
  <c r="BX146" i="1"/>
  <c r="BW146" i="1"/>
  <c r="BV146" i="1"/>
  <c r="BU146" i="1"/>
  <c r="BT146" i="1"/>
  <c r="BS146" i="1"/>
  <c r="AS146" i="1"/>
  <c r="AN146" i="1"/>
  <c r="AM146" i="1"/>
  <c r="AL146" i="1"/>
  <c r="AK146" i="1"/>
  <c r="AJ146" i="1"/>
  <c r="AI146" i="1"/>
  <c r="O146" i="1"/>
  <c r="D146" i="1" s="1"/>
  <c r="F146" i="1"/>
  <c r="E146" i="1"/>
  <c r="EA145" i="1"/>
  <c r="DZ145" i="1"/>
  <c r="DY145" i="1"/>
  <c r="DX145" i="1"/>
  <c r="DW145" i="1"/>
  <c r="DV145" i="1"/>
  <c r="DC145" i="1"/>
  <c r="DB145" i="1"/>
  <c r="CV145" i="1" s="1"/>
  <c r="DA145" i="1"/>
  <c r="CU145" i="1" s="1"/>
  <c r="CZ145" i="1"/>
  <c r="CY145" i="1"/>
  <c r="CX145" i="1"/>
  <c r="CR145" i="1" s="1"/>
  <c r="CW145" i="1"/>
  <c r="CT145" i="1"/>
  <c r="CS145" i="1"/>
  <c r="CA145" i="1"/>
  <c r="CB145" i="1" s="1"/>
  <c r="BZ145" i="1"/>
  <c r="BY145" i="1"/>
  <c r="BX145" i="1"/>
  <c r="BW145" i="1"/>
  <c r="BV145" i="1"/>
  <c r="BU145" i="1"/>
  <c r="CC145" i="1" s="1"/>
  <c r="BT145" i="1"/>
  <c r="BS145" i="1"/>
  <c r="AS145" i="1"/>
  <c r="AN145" i="1"/>
  <c r="AM145" i="1"/>
  <c r="AL145" i="1"/>
  <c r="AK145" i="1"/>
  <c r="AJ145" i="1"/>
  <c r="AI145" i="1"/>
  <c r="BC145" i="1" s="1"/>
  <c r="O145" i="1"/>
  <c r="D145" i="1" s="1"/>
  <c r="F145" i="1"/>
  <c r="E145" i="1"/>
  <c r="EA144" i="1"/>
  <c r="DZ144" i="1"/>
  <c r="DY144" i="1"/>
  <c r="DX144" i="1"/>
  <c r="DW144" i="1"/>
  <c r="DV144" i="1"/>
  <c r="DC144" i="1"/>
  <c r="CW144" i="1" s="1"/>
  <c r="DB144" i="1"/>
  <c r="DA144" i="1"/>
  <c r="CZ144" i="1"/>
  <c r="CT144" i="1" s="1"/>
  <c r="CY144" i="1"/>
  <c r="CS144" i="1" s="1"/>
  <c r="CX144" i="1"/>
  <c r="CV144" i="1"/>
  <c r="CU144" i="1"/>
  <c r="CR144" i="1"/>
  <c r="BZ144" i="1"/>
  <c r="CA144" i="1" s="1"/>
  <c r="BY144" i="1"/>
  <c r="BX144" i="1"/>
  <c r="BW144" i="1"/>
  <c r="BV144" i="1"/>
  <c r="BU144" i="1"/>
  <c r="BT144" i="1"/>
  <c r="BS144" i="1"/>
  <c r="AS144" i="1"/>
  <c r="AN144" i="1"/>
  <c r="AM144" i="1"/>
  <c r="AL144" i="1"/>
  <c r="AK144" i="1"/>
  <c r="AJ144" i="1"/>
  <c r="AI144" i="1"/>
  <c r="BC144" i="1" s="1"/>
  <c r="O144" i="1"/>
  <c r="D144" i="1" s="1"/>
  <c r="F144" i="1"/>
  <c r="E144" i="1"/>
  <c r="EA143" i="1"/>
  <c r="DZ143" i="1"/>
  <c r="DY143" i="1"/>
  <c r="DX143" i="1"/>
  <c r="DW143" i="1"/>
  <c r="DV143" i="1"/>
  <c r="DC143" i="1"/>
  <c r="DB143" i="1"/>
  <c r="CV143" i="1" s="1"/>
  <c r="DA143" i="1"/>
  <c r="CU143" i="1" s="1"/>
  <c r="CZ143" i="1"/>
  <c r="CY143" i="1"/>
  <c r="CX143" i="1"/>
  <c r="CR143" i="1" s="1"/>
  <c r="CW143" i="1"/>
  <c r="CT143" i="1"/>
  <c r="CS143" i="1"/>
  <c r="CB143" i="1"/>
  <c r="CA143" i="1"/>
  <c r="BZ143" i="1"/>
  <c r="BY143" i="1"/>
  <c r="BX143" i="1"/>
  <c r="BW143" i="1"/>
  <c r="BV143" i="1"/>
  <c r="BU143" i="1"/>
  <c r="CC143" i="1" s="1"/>
  <c r="BT143" i="1"/>
  <c r="BS143" i="1"/>
  <c r="AS143" i="1"/>
  <c r="AN143" i="1"/>
  <c r="AM143" i="1"/>
  <c r="AL143" i="1"/>
  <c r="AK143" i="1"/>
  <c r="AJ143" i="1"/>
  <c r="AI143" i="1"/>
  <c r="BC143" i="1" s="1"/>
  <c r="O143" i="1"/>
  <c r="D143" i="1" s="1"/>
  <c r="F143" i="1"/>
  <c r="E143" i="1"/>
  <c r="EA142" i="1"/>
  <c r="DZ142" i="1"/>
  <c r="DY142" i="1"/>
  <c r="DX142" i="1"/>
  <c r="DW142" i="1"/>
  <c r="DV142" i="1"/>
  <c r="DC142" i="1"/>
  <c r="CW142" i="1" s="1"/>
  <c r="DB142" i="1"/>
  <c r="DA142" i="1"/>
  <c r="CZ142" i="1"/>
  <c r="CT142" i="1" s="1"/>
  <c r="CY142" i="1"/>
  <c r="CS142" i="1" s="1"/>
  <c r="CX142" i="1"/>
  <c r="CV142" i="1"/>
  <c r="CU142" i="1"/>
  <c r="CR142" i="1"/>
  <c r="BZ142" i="1"/>
  <c r="CA142" i="1" s="1"/>
  <c r="BY142" i="1"/>
  <c r="BX142" i="1"/>
  <c r="BW142" i="1"/>
  <c r="BV142" i="1"/>
  <c r="BU142" i="1"/>
  <c r="BT142" i="1"/>
  <c r="BS142" i="1"/>
  <c r="AS142" i="1"/>
  <c r="AN142" i="1"/>
  <c r="AM142" i="1"/>
  <c r="AL142" i="1"/>
  <c r="AK142" i="1"/>
  <c r="AJ142" i="1"/>
  <c r="AI142" i="1"/>
  <c r="BC142" i="1" s="1"/>
  <c r="O142" i="1"/>
  <c r="D142" i="1" s="1"/>
  <c r="F142" i="1"/>
  <c r="E142" i="1"/>
  <c r="EA141" i="1"/>
  <c r="DZ141" i="1"/>
  <c r="DY141" i="1"/>
  <c r="DX141" i="1"/>
  <c r="DW141" i="1"/>
  <c r="DV141" i="1"/>
  <c r="DC141" i="1"/>
  <c r="DB141" i="1"/>
  <c r="CV141" i="1" s="1"/>
  <c r="DA141" i="1"/>
  <c r="CU141" i="1" s="1"/>
  <c r="CZ141" i="1"/>
  <c r="CY141" i="1"/>
  <c r="CX141" i="1"/>
  <c r="CR141" i="1" s="1"/>
  <c r="CW141" i="1"/>
  <c r="CT141" i="1"/>
  <c r="CS141" i="1"/>
  <c r="CB141" i="1"/>
  <c r="CA141" i="1"/>
  <c r="BZ141" i="1"/>
  <c r="BY141" i="1"/>
  <c r="BX141" i="1"/>
  <c r="BW141" i="1"/>
  <c r="BV141" i="1"/>
  <c r="BU141" i="1"/>
  <c r="CC141" i="1" s="1"/>
  <c r="BT141" i="1"/>
  <c r="BS141" i="1"/>
  <c r="AS141" i="1"/>
  <c r="AN141" i="1"/>
  <c r="AM141" i="1"/>
  <c r="AL141" i="1"/>
  <c r="AK141" i="1"/>
  <c r="AJ141" i="1"/>
  <c r="AI141" i="1"/>
  <c r="BC141" i="1" s="1"/>
  <c r="O141" i="1"/>
  <c r="D141" i="1" s="1"/>
  <c r="F141" i="1"/>
  <c r="E141" i="1"/>
  <c r="EA140" i="1"/>
  <c r="DZ140" i="1"/>
  <c r="DY140" i="1"/>
  <c r="DX140" i="1"/>
  <c r="DW140" i="1"/>
  <c r="DV140" i="1"/>
  <c r="DC140" i="1"/>
  <c r="CW140" i="1" s="1"/>
  <c r="DB140" i="1"/>
  <c r="DA140" i="1"/>
  <c r="CZ140" i="1"/>
  <c r="CT140" i="1" s="1"/>
  <c r="CY140" i="1"/>
  <c r="CS140" i="1" s="1"/>
  <c r="CX140" i="1"/>
  <c r="CV140" i="1"/>
  <c r="CU140" i="1"/>
  <c r="CR140" i="1"/>
  <c r="BZ140" i="1"/>
  <c r="CA140" i="1" s="1"/>
  <c r="BY140" i="1"/>
  <c r="BX140" i="1"/>
  <c r="BW140" i="1"/>
  <c r="BV140" i="1"/>
  <c r="BU140" i="1"/>
  <c r="BT140" i="1"/>
  <c r="BS140" i="1"/>
  <c r="AS140" i="1"/>
  <c r="AN140" i="1"/>
  <c r="AM140" i="1"/>
  <c r="AL140" i="1"/>
  <c r="AK140" i="1"/>
  <c r="AJ140" i="1"/>
  <c r="AI140" i="1"/>
  <c r="BC140" i="1" s="1"/>
  <c r="O140" i="1"/>
  <c r="D140" i="1" s="1"/>
  <c r="F140" i="1"/>
  <c r="E140" i="1"/>
  <c r="EA139" i="1"/>
  <c r="DZ139" i="1"/>
  <c r="DY139" i="1"/>
  <c r="DX139" i="1"/>
  <c r="DW139" i="1"/>
  <c r="DV139" i="1"/>
  <c r="DC139" i="1"/>
  <c r="DB139" i="1"/>
  <c r="CV139" i="1" s="1"/>
  <c r="DA139" i="1"/>
  <c r="CU139" i="1" s="1"/>
  <c r="CZ139" i="1"/>
  <c r="CY139" i="1"/>
  <c r="CX139" i="1"/>
  <c r="CR139" i="1" s="1"/>
  <c r="CW139" i="1"/>
  <c r="CT139" i="1"/>
  <c r="CS139" i="1"/>
  <c r="CB139" i="1"/>
  <c r="CA139" i="1"/>
  <c r="BZ139" i="1"/>
  <c r="BY139" i="1"/>
  <c r="BX139" i="1"/>
  <c r="BW139" i="1"/>
  <c r="BV139" i="1"/>
  <c r="BU139" i="1"/>
  <c r="CC139" i="1" s="1"/>
  <c r="BT139" i="1"/>
  <c r="BS139" i="1"/>
  <c r="AS139" i="1"/>
  <c r="AN139" i="1"/>
  <c r="AM139" i="1"/>
  <c r="AL139" i="1"/>
  <c r="AK139" i="1"/>
  <c r="AJ139" i="1"/>
  <c r="AI139" i="1"/>
  <c r="BC139" i="1" s="1"/>
  <c r="O139" i="1"/>
  <c r="F139" i="1"/>
  <c r="E139" i="1"/>
  <c r="D139" i="1"/>
  <c r="EA138" i="1"/>
  <c r="DZ138" i="1"/>
  <c r="DY138" i="1"/>
  <c r="DX138" i="1"/>
  <c r="DW138" i="1"/>
  <c r="DV138" i="1"/>
  <c r="DC138" i="1"/>
  <c r="CW138" i="1" s="1"/>
  <c r="DB138" i="1"/>
  <c r="DA138" i="1"/>
  <c r="CZ138" i="1"/>
  <c r="CT138" i="1" s="1"/>
  <c r="CY138" i="1"/>
  <c r="CS138" i="1" s="1"/>
  <c r="CX138" i="1"/>
  <c r="CV138" i="1"/>
  <c r="CU138" i="1"/>
  <c r="CR138" i="1"/>
  <c r="BZ138" i="1"/>
  <c r="CA138" i="1" s="1"/>
  <c r="BY138" i="1"/>
  <c r="BX138" i="1"/>
  <c r="BW138" i="1"/>
  <c r="BV138" i="1"/>
  <c r="BU138" i="1"/>
  <c r="BT138" i="1"/>
  <c r="BS138" i="1"/>
  <c r="AS138" i="1"/>
  <c r="AN138" i="1"/>
  <c r="AM138" i="1"/>
  <c r="AL138" i="1"/>
  <c r="AK138" i="1"/>
  <c r="AJ138" i="1"/>
  <c r="AI138" i="1"/>
  <c r="BC138" i="1" s="1"/>
  <c r="O138" i="1"/>
  <c r="D138" i="1" s="1"/>
  <c r="F138" i="1"/>
  <c r="E138" i="1"/>
  <c r="EA137" i="1"/>
  <c r="DZ137" i="1"/>
  <c r="DY137" i="1"/>
  <c r="DX137" i="1"/>
  <c r="DW137" i="1"/>
  <c r="DV137" i="1"/>
  <c r="DC137" i="1"/>
  <c r="DB137" i="1"/>
  <c r="CV137" i="1" s="1"/>
  <c r="DA137" i="1"/>
  <c r="CU137" i="1" s="1"/>
  <c r="CZ137" i="1"/>
  <c r="CY137" i="1"/>
  <c r="CX137" i="1"/>
  <c r="CR137" i="1" s="1"/>
  <c r="CW137" i="1"/>
  <c r="CT137" i="1"/>
  <c r="CS137" i="1"/>
  <c r="CB137" i="1"/>
  <c r="CA137" i="1"/>
  <c r="BZ137" i="1"/>
  <c r="BY137" i="1"/>
  <c r="BX137" i="1"/>
  <c r="BW137" i="1"/>
  <c r="BV137" i="1"/>
  <c r="BU137" i="1"/>
  <c r="CC137" i="1" s="1"/>
  <c r="BT137" i="1"/>
  <c r="BS137" i="1"/>
  <c r="AS137" i="1"/>
  <c r="AN137" i="1"/>
  <c r="AM137" i="1"/>
  <c r="AL137" i="1"/>
  <c r="AK137" i="1"/>
  <c r="AJ137" i="1"/>
  <c r="AI137" i="1"/>
  <c r="BC137" i="1" s="1"/>
  <c r="O137" i="1"/>
  <c r="D137" i="1" s="1"/>
  <c r="F137" i="1"/>
  <c r="E137" i="1"/>
  <c r="EA136" i="1"/>
  <c r="DZ136" i="1"/>
  <c r="DY136" i="1"/>
  <c r="DX136" i="1"/>
  <c r="DW136" i="1"/>
  <c r="DV136" i="1"/>
  <c r="DC136" i="1"/>
  <c r="CW136" i="1" s="1"/>
  <c r="DB136" i="1"/>
  <c r="DA136" i="1"/>
  <c r="CZ136" i="1"/>
  <c r="CT136" i="1" s="1"/>
  <c r="CY136" i="1"/>
  <c r="CS136" i="1" s="1"/>
  <c r="CX136" i="1"/>
  <c r="CV136" i="1"/>
  <c r="CU136" i="1"/>
  <c r="CR136" i="1"/>
  <c r="BZ136" i="1"/>
  <c r="CA136" i="1" s="1"/>
  <c r="BY136" i="1"/>
  <c r="BX136" i="1"/>
  <c r="BW136" i="1"/>
  <c r="BV136" i="1"/>
  <c r="BU136" i="1"/>
  <c r="CC136" i="1" s="1"/>
  <c r="BT136" i="1"/>
  <c r="BS136" i="1"/>
  <c r="AS136" i="1"/>
  <c r="AN136" i="1"/>
  <c r="AM136" i="1"/>
  <c r="AL136" i="1"/>
  <c r="AK136" i="1"/>
  <c r="AJ136" i="1"/>
  <c r="AI136" i="1"/>
  <c r="BC136" i="1" s="1"/>
  <c r="O136" i="1"/>
  <c r="D136" i="1" s="1"/>
  <c r="F136" i="1"/>
  <c r="E136" i="1"/>
  <c r="EA135" i="1"/>
  <c r="DZ135" i="1"/>
  <c r="DY135" i="1"/>
  <c r="DX135" i="1"/>
  <c r="DW135" i="1"/>
  <c r="DV135" i="1"/>
  <c r="DC135" i="1"/>
  <c r="DB135" i="1"/>
  <c r="CV135" i="1" s="1"/>
  <c r="DA135" i="1"/>
  <c r="CU135" i="1" s="1"/>
  <c r="CZ135" i="1"/>
  <c r="CY135" i="1"/>
  <c r="CX135" i="1"/>
  <c r="CR135" i="1" s="1"/>
  <c r="CW135" i="1"/>
  <c r="CT135" i="1"/>
  <c r="CS135" i="1"/>
  <c r="CB135" i="1"/>
  <c r="CA135" i="1"/>
  <c r="BZ135" i="1"/>
  <c r="BY135" i="1"/>
  <c r="BX135" i="1"/>
  <c r="BW135" i="1"/>
  <c r="BV135" i="1"/>
  <c r="BU135" i="1"/>
  <c r="CC135" i="1" s="1"/>
  <c r="BT135" i="1"/>
  <c r="BS135" i="1"/>
  <c r="AS135" i="1"/>
  <c r="AN135" i="1"/>
  <c r="AM135" i="1"/>
  <c r="AL135" i="1"/>
  <c r="AK135" i="1"/>
  <c r="AJ135" i="1"/>
  <c r="AI135" i="1"/>
  <c r="BC135" i="1" s="1"/>
  <c r="O135" i="1"/>
  <c r="F135" i="1"/>
  <c r="E135" i="1"/>
  <c r="D135" i="1"/>
  <c r="EA134" i="1"/>
  <c r="DZ134" i="1"/>
  <c r="DY134" i="1"/>
  <c r="DX134" i="1"/>
  <c r="DW134" i="1"/>
  <c r="DV134" i="1"/>
  <c r="DC134" i="1"/>
  <c r="CW134" i="1" s="1"/>
  <c r="DB134" i="1"/>
  <c r="DA134" i="1"/>
  <c r="CZ134" i="1"/>
  <c r="CT134" i="1" s="1"/>
  <c r="CY134" i="1"/>
  <c r="CS134" i="1" s="1"/>
  <c r="CX134" i="1"/>
  <c r="CV134" i="1"/>
  <c r="CU134" i="1"/>
  <c r="CR134" i="1"/>
  <c r="BZ134" i="1"/>
  <c r="CA134" i="1" s="1"/>
  <c r="BY134" i="1"/>
  <c r="BX134" i="1"/>
  <c r="BW134" i="1"/>
  <c r="BV134" i="1"/>
  <c r="BU134" i="1"/>
  <c r="CC134" i="1" s="1"/>
  <c r="BT134" i="1"/>
  <c r="BS134" i="1"/>
  <c r="AS134" i="1"/>
  <c r="AN134" i="1"/>
  <c r="AM134" i="1"/>
  <c r="AL134" i="1"/>
  <c r="AK134" i="1"/>
  <c r="AJ134" i="1"/>
  <c r="AI134" i="1"/>
  <c r="BC134" i="1" s="1"/>
  <c r="O134" i="1"/>
  <c r="D134" i="1" s="1"/>
  <c r="F134" i="1"/>
  <c r="E134" i="1"/>
  <c r="EA133" i="1"/>
  <c r="DZ133" i="1"/>
  <c r="DY133" i="1"/>
  <c r="DX133" i="1"/>
  <c r="DW133" i="1"/>
  <c r="DV133" i="1"/>
  <c r="DC133" i="1"/>
  <c r="DB133" i="1"/>
  <c r="CV133" i="1" s="1"/>
  <c r="DA133" i="1"/>
  <c r="CU133" i="1" s="1"/>
  <c r="CZ133" i="1"/>
  <c r="CY133" i="1"/>
  <c r="CX133" i="1"/>
  <c r="CR133" i="1" s="1"/>
  <c r="CW133" i="1"/>
  <c r="CT133" i="1"/>
  <c r="CS133" i="1"/>
  <c r="CB133" i="1"/>
  <c r="CA133" i="1"/>
  <c r="BZ133" i="1"/>
  <c r="BY133" i="1"/>
  <c r="BX133" i="1"/>
  <c r="BW133" i="1"/>
  <c r="BV133" i="1"/>
  <c r="BU133" i="1"/>
  <c r="CC133" i="1" s="1"/>
  <c r="BT133" i="1"/>
  <c r="BS133" i="1"/>
  <c r="AS133" i="1"/>
  <c r="AN133" i="1"/>
  <c r="AM133" i="1"/>
  <c r="AL133" i="1"/>
  <c r="AK133" i="1"/>
  <c r="AJ133" i="1"/>
  <c r="AI133" i="1"/>
  <c r="BC133" i="1" s="1"/>
  <c r="O133" i="1"/>
  <c r="D133" i="1" s="1"/>
  <c r="F133" i="1"/>
  <c r="E133" i="1"/>
  <c r="EA132" i="1"/>
  <c r="DZ132" i="1"/>
  <c r="DY132" i="1"/>
  <c r="DX132" i="1"/>
  <c r="DW132" i="1"/>
  <c r="DV132" i="1"/>
  <c r="DC132" i="1"/>
  <c r="CW132" i="1" s="1"/>
  <c r="DB132" i="1"/>
  <c r="DA132" i="1"/>
  <c r="CZ132" i="1"/>
  <c r="CT132" i="1" s="1"/>
  <c r="CY132" i="1"/>
  <c r="CS132" i="1" s="1"/>
  <c r="CX132" i="1"/>
  <c r="CV132" i="1"/>
  <c r="CU132" i="1"/>
  <c r="CR132" i="1"/>
  <c r="BZ132" i="1"/>
  <c r="CA132" i="1" s="1"/>
  <c r="BY132" i="1"/>
  <c r="BX132" i="1"/>
  <c r="BW132" i="1"/>
  <c r="BV132" i="1"/>
  <c r="BU132" i="1"/>
  <c r="CC132" i="1" s="1"/>
  <c r="BT132" i="1"/>
  <c r="BS132" i="1"/>
  <c r="AS132" i="1"/>
  <c r="AN132" i="1"/>
  <c r="AM132" i="1"/>
  <c r="AL132" i="1"/>
  <c r="AK132" i="1"/>
  <c r="AJ132" i="1"/>
  <c r="AI132" i="1"/>
  <c r="BC132" i="1" s="1"/>
  <c r="O132" i="1"/>
  <c r="D132" i="1" s="1"/>
  <c r="F132" i="1"/>
  <c r="E132" i="1"/>
  <c r="EA131" i="1"/>
  <c r="DZ131" i="1"/>
  <c r="DY131" i="1"/>
  <c r="DX131" i="1"/>
  <c r="DW131" i="1"/>
  <c r="DV131" i="1"/>
  <c r="DC131" i="1"/>
  <c r="DB131" i="1"/>
  <c r="CV131" i="1" s="1"/>
  <c r="DA131" i="1"/>
  <c r="CU131" i="1" s="1"/>
  <c r="CZ131" i="1"/>
  <c r="CY131" i="1"/>
  <c r="CX131" i="1"/>
  <c r="CR131" i="1" s="1"/>
  <c r="CW131" i="1"/>
  <c r="CT131" i="1"/>
  <c r="CS131" i="1"/>
  <c r="CB131" i="1"/>
  <c r="CA131" i="1"/>
  <c r="BZ131" i="1"/>
  <c r="BY131" i="1"/>
  <c r="BX131" i="1"/>
  <c r="BW131" i="1"/>
  <c r="BV131" i="1"/>
  <c r="BU131" i="1"/>
  <c r="CC131" i="1" s="1"/>
  <c r="BT131" i="1"/>
  <c r="BS131" i="1"/>
  <c r="AS131" i="1"/>
  <c r="AN131" i="1"/>
  <c r="AM131" i="1"/>
  <c r="AL131" i="1"/>
  <c r="AK131" i="1"/>
  <c r="AJ131" i="1"/>
  <c r="AI131" i="1"/>
  <c r="BC131" i="1" s="1"/>
  <c r="O131" i="1"/>
  <c r="D131" i="1" s="1"/>
  <c r="F131" i="1"/>
  <c r="E131" i="1"/>
  <c r="EA130" i="1"/>
  <c r="DZ130" i="1"/>
  <c r="DY130" i="1"/>
  <c r="DX130" i="1"/>
  <c r="DW130" i="1"/>
  <c r="DV130" i="1"/>
  <c r="DC130" i="1"/>
  <c r="CW130" i="1" s="1"/>
  <c r="DB130" i="1"/>
  <c r="DA130" i="1"/>
  <c r="CZ130" i="1"/>
  <c r="CT130" i="1" s="1"/>
  <c r="CY130" i="1"/>
  <c r="CS130" i="1" s="1"/>
  <c r="CX130" i="1"/>
  <c r="CV130" i="1"/>
  <c r="CU130" i="1"/>
  <c r="CR130" i="1"/>
  <c r="BZ130" i="1"/>
  <c r="CA130" i="1" s="1"/>
  <c r="BY130" i="1"/>
  <c r="BX130" i="1"/>
  <c r="BW130" i="1"/>
  <c r="BV130" i="1"/>
  <c r="BU130" i="1"/>
  <c r="CC130" i="1" s="1"/>
  <c r="BT130" i="1"/>
  <c r="BS130" i="1"/>
  <c r="AS130" i="1"/>
  <c r="AN130" i="1"/>
  <c r="AM130" i="1"/>
  <c r="AL130" i="1"/>
  <c r="AK130" i="1"/>
  <c r="AJ130" i="1"/>
  <c r="AI130" i="1"/>
  <c r="BC130" i="1" s="1"/>
  <c r="O130" i="1"/>
  <c r="D130" i="1" s="1"/>
  <c r="F130" i="1"/>
  <c r="E130" i="1"/>
  <c r="EA129" i="1"/>
  <c r="DZ129" i="1"/>
  <c r="DY129" i="1"/>
  <c r="DX129" i="1"/>
  <c r="DW129" i="1"/>
  <c r="DV129" i="1"/>
  <c r="DC129" i="1"/>
  <c r="DB129" i="1"/>
  <c r="CV129" i="1" s="1"/>
  <c r="DA129" i="1"/>
  <c r="CU129" i="1" s="1"/>
  <c r="CZ129" i="1"/>
  <c r="CY129" i="1"/>
  <c r="CX129" i="1"/>
  <c r="CR129" i="1" s="1"/>
  <c r="CW129" i="1"/>
  <c r="CT129" i="1"/>
  <c r="CS129" i="1"/>
  <c r="CB129" i="1"/>
  <c r="CA129" i="1"/>
  <c r="BZ129" i="1"/>
  <c r="BY129" i="1"/>
  <c r="BX129" i="1"/>
  <c r="BW129" i="1"/>
  <c r="BV129" i="1"/>
  <c r="BU129" i="1"/>
  <c r="CC129" i="1" s="1"/>
  <c r="BT129" i="1"/>
  <c r="BS129" i="1"/>
  <c r="AS129" i="1"/>
  <c r="AN129" i="1"/>
  <c r="AM129" i="1"/>
  <c r="AL129" i="1"/>
  <c r="AK129" i="1"/>
  <c r="AJ129" i="1"/>
  <c r="AI129" i="1"/>
  <c r="BC129" i="1" s="1"/>
  <c r="O129" i="1"/>
  <c r="D129" i="1" s="1"/>
  <c r="F129" i="1"/>
  <c r="E129" i="1"/>
  <c r="EA128" i="1"/>
  <c r="DZ128" i="1"/>
  <c r="DY128" i="1"/>
  <c r="DX128" i="1"/>
  <c r="DW128" i="1"/>
  <c r="DV128" i="1"/>
  <c r="DC128" i="1"/>
  <c r="CW128" i="1" s="1"/>
  <c r="DB128" i="1"/>
  <c r="DA128" i="1"/>
  <c r="CZ128" i="1"/>
  <c r="CT128" i="1" s="1"/>
  <c r="CY128" i="1"/>
  <c r="CS128" i="1" s="1"/>
  <c r="CX128" i="1"/>
  <c r="CV128" i="1"/>
  <c r="CU128" i="1"/>
  <c r="CR128" i="1"/>
  <c r="BZ128" i="1"/>
  <c r="CA128" i="1" s="1"/>
  <c r="BY128" i="1"/>
  <c r="BX128" i="1"/>
  <c r="BW128" i="1"/>
  <c r="BV128" i="1"/>
  <c r="BU128" i="1"/>
  <c r="CC128" i="1" s="1"/>
  <c r="BT128" i="1"/>
  <c r="BS128" i="1"/>
  <c r="AS128" i="1"/>
  <c r="AN128" i="1"/>
  <c r="AM128" i="1"/>
  <c r="AL128" i="1"/>
  <c r="AK128" i="1"/>
  <c r="AJ128" i="1"/>
  <c r="AI128" i="1"/>
  <c r="BC128" i="1" s="1"/>
  <c r="O128" i="1"/>
  <c r="D128" i="1" s="1"/>
  <c r="F128" i="1"/>
  <c r="E128" i="1"/>
  <c r="EA127" i="1"/>
  <c r="DZ127" i="1"/>
  <c r="DY127" i="1"/>
  <c r="DX127" i="1"/>
  <c r="DW127" i="1"/>
  <c r="DV127" i="1"/>
  <c r="DC127" i="1"/>
  <c r="DB127" i="1"/>
  <c r="CV127" i="1" s="1"/>
  <c r="DA127" i="1"/>
  <c r="CU127" i="1" s="1"/>
  <c r="CZ127" i="1"/>
  <c r="CY127" i="1"/>
  <c r="CX127" i="1"/>
  <c r="CR127" i="1" s="1"/>
  <c r="CW127" i="1"/>
  <c r="CT127" i="1"/>
  <c r="CS127" i="1"/>
  <c r="CB127" i="1"/>
  <c r="CA127" i="1"/>
  <c r="BZ127" i="1"/>
  <c r="BY127" i="1"/>
  <c r="BX127" i="1"/>
  <c r="BW127" i="1"/>
  <c r="BV127" i="1"/>
  <c r="BU127" i="1"/>
  <c r="CC127" i="1" s="1"/>
  <c r="BT127" i="1"/>
  <c r="BS127" i="1"/>
  <c r="AS127" i="1"/>
  <c r="AN127" i="1"/>
  <c r="AM127" i="1"/>
  <c r="AL127" i="1"/>
  <c r="AK127" i="1"/>
  <c r="AJ127" i="1"/>
  <c r="AI127" i="1"/>
  <c r="BC127" i="1" s="1"/>
  <c r="O127" i="1"/>
  <c r="F127" i="1"/>
  <c r="E127" i="1"/>
  <c r="D127" i="1"/>
  <c r="EA126" i="1"/>
  <c r="DZ126" i="1"/>
  <c r="DY126" i="1"/>
  <c r="DX126" i="1"/>
  <c r="DW126" i="1"/>
  <c r="DV126" i="1"/>
  <c r="DC126" i="1"/>
  <c r="CW126" i="1" s="1"/>
  <c r="DB126" i="1"/>
  <c r="DA126" i="1"/>
  <c r="CZ126" i="1"/>
  <c r="CT126" i="1" s="1"/>
  <c r="CY126" i="1"/>
  <c r="CS126" i="1" s="1"/>
  <c r="CX126" i="1"/>
  <c r="CV126" i="1"/>
  <c r="CU126" i="1"/>
  <c r="CR126" i="1"/>
  <c r="BZ126" i="1"/>
  <c r="CA126" i="1" s="1"/>
  <c r="BY126" i="1"/>
  <c r="BX126" i="1"/>
  <c r="BW126" i="1"/>
  <c r="BV126" i="1"/>
  <c r="BU126" i="1"/>
  <c r="CC126" i="1" s="1"/>
  <c r="BT126" i="1"/>
  <c r="BS126" i="1"/>
  <c r="AS126" i="1"/>
  <c r="AN126" i="1"/>
  <c r="AM126" i="1"/>
  <c r="AL126" i="1"/>
  <c r="AK126" i="1"/>
  <c r="AJ126" i="1"/>
  <c r="AI126" i="1"/>
  <c r="BC126" i="1" s="1"/>
  <c r="O126" i="1"/>
  <c r="D126" i="1" s="1"/>
  <c r="F126" i="1"/>
  <c r="E126" i="1"/>
  <c r="EA125" i="1"/>
  <c r="DZ125" i="1"/>
  <c r="DY125" i="1"/>
  <c r="DX125" i="1"/>
  <c r="DW125" i="1"/>
  <c r="DV125" i="1"/>
  <c r="DC125" i="1"/>
  <c r="DB125" i="1"/>
  <c r="CV125" i="1" s="1"/>
  <c r="DA125" i="1"/>
  <c r="CU125" i="1" s="1"/>
  <c r="CZ125" i="1"/>
  <c r="CY125" i="1"/>
  <c r="CX125" i="1"/>
  <c r="CR125" i="1" s="1"/>
  <c r="CW125" i="1"/>
  <c r="CT125" i="1"/>
  <c r="CS125" i="1"/>
  <c r="CB125" i="1"/>
  <c r="CA125" i="1"/>
  <c r="BZ125" i="1"/>
  <c r="BY125" i="1"/>
  <c r="BX125" i="1"/>
  <c r="BW125" i="1"/>
  <c r="BV125" i="1"/>
  <c r="BU125" i="1"/>
  <c r="CC125" i="1" s="1"/>
  <c r="BT125" i="1"/>
  <c r="BS125" i="1"/>
  <c r="AS125" i="1"/>
  <c r="AN125" i="1"/>
  <c r="AM125" i="1"/>
  <c r="AL125" i="1"/>
  <c r="AK125" i="1"/>
  <c r="AJ125" i="1"/>
  <c r="AI125" i="1"/>
  <c r="BC125" i="1" s="1"/>
  <c r="O125" i="1"/>
  <c r="D125" i="1" s="1"/>
  <c r="F125" i="1"/>
  <c r="E125" i="1"/>
  <c r="EA124" i="1"/>
  <c r="DZ124" i="1"/>
  <c r="DY124" i="1"/>
  <c r="DX124" i="1"/>
  <c r="DW124" i="1"/>
  <c r="DV124" i="1"/>
  <c r="DC124" i="1"/>
  <c r="CW124" i="1" s="1"/>
  <c r="DB124" i="1"/>
  <c r="DA124" i="1"/>
  <c r="CZ124" i="1"/>
  <c r="CT124" i="1" s="1"/>
  <c r="CY124" i="1"/>
  <c r="CS124" i="1" s="1"/>
  <c r="CX124" i="1"/>
  <c r="CV124" i="1"/>
  <c r="CU124" i="1"/>
  <c r="CR124" i="1"/>
  <c r="BZ124" i="1"/>
  <c r="CA124" i="1" s="1"/>
  <c r="BY124" i="1"/>
  <c r="BX124" i="1"/>
  <c r="BW124" i="1"/>
  <c r="BV124" i="1"/>
  <c r="BU124" i="1"/>
  <c r="CC124" i="1" s="1"/>
  <c r="BT124" i="1"/>
  <c r="BS124" i="1"/>
  <c r="AS124" i="1"/>
  <c r="AN124" i="1"/>
  <c r="AM124" i="1"/>
  <c r="AL124" i="1"/>
  <c r="AK124" i="1"/>
  <c r="AJ124" i="1"/>
  <c r="AI124" i="1"/>
  <c r="BC124" i="1" s="1"/>
  <c r="O124" i="1"/>
  <c r="D124" i="1" s="1"/>
  <c r="F124" i="1"/>
  <c r="E124" i="1"/>
  <c r="EA123" i="1"/>
  <c r="DZ123" i="1"/>
  <c r="DY123" i="1"/>
  <c r="DX123" i="1"/>
  <c r="DW123" i="1"/>
  <c r="DV123" i="1"/>
  <c r="DC123" i="1"/>
  <c r="DB123" i="1"/>
  <c r="CV123" i="1" s="1"/>
  <c r="DA123" i="1"/>
  <c r="CU123" i="1" s="1"/>
  <c r="CZ123" i="1"/>
  <c r="CY123" i="1"/>
  <c r="CX123" i="1"/>
  <c r="CR123" i="1" s="1"/>
  <c r="CW123" i="1"/>
  <c r="CT123" i="1"/>
  <c r="CS123" i="1"/>
  <c r="CB123" i="1"/>
  <c r="CA123" i="1"/>
  <c r="BZ123" i="1"/>
  <c r="BY123" i="1"/>
  <c r="BX123" i="1"/>
  <c r="BW123" i="1"/>
  <c r="BV123" i="1"/>
  <c r="BU123" i="1"/>
  <c r="CC123" i="1" s="1"/>
  <c r="BT123" i="1"/>
  <c r="BS123" i="1"/>
  <c r="AS123" i="1"/>
  <c r="AN123" i="1"/>
  <c r="AM123" i="1"/>
  <c r="AL123" i="1"/>
  <c r="AK123" i="1"/>
  <c r="AJ123" i="1"/>
  <c r="AI123" i="1"/>
  <c r="BC123" i="1" s="1"/>
  <c r="O123" i="1"/>
  <c r="D123" i="1" s="1"/>
  <c r="F123" i="1"/>
  <c r="E123" i="1"/>
  <c r="EA122" i="1"/>
  <c r="DZ122" i="1"/>
  <c r="DY122" i="1"/>
  <c r="DX122" i="1"/>
  <c r="DW122" i="1"/>
  <c r="DV122" i="1"/>
  <c r="DC122" i="1"/>
  <c r="CW122" i="1" s="1"/>
  <c r="DB122" i="1"/>
  <c r="DA122" i="1"/>
  <c r="CZ122" i="1"/>
  <c r="CT122" i="1" s="1"/>
  <c r="CY122" i="1"/>
  <c r="CS122" i="1" s="1"/>
  <c r="CX122" i="1"/>
  <c r="CV122" i="1"/>
  <c r="CU122" i="1"/>
  <c r="CR122" i="1"/>
  <c r="BZ122" i="1"/>
  <c r="CA122" i="1" s="1"/>
  <c r="BY122" i="1"/>
  <c r="BX122" i="1"/>
  <c r="BW122" i="1"/>
  <c r="BV122" i="1"/>
  <c r="BU122" i="1"/>
  <c r="CC122" i="1" s="1"/>
  <c r="BT122" i="1"/>
  <c r="BS122" i="1"/>
  <c r="BC122" i="1"/>
  <c r="AS122" i="1"/>
  <c r="AN122" i="1"/>
  <c r="AM122" i="1"/>
  <c r="AL122" i="1"/>
  <c r="AK122" i="1"/>
  <c r="AJ122" i="1"/>
  <c r="AI122" i="1"/>
  <c r="O122" i="1"/>
  <c r="D122" i="1" s="1"/>
  <c r="F122" i="1"/>
  <c r="E122" i="1"/>
  <c r="EA121" i="1"/>
  <c r="DZ121" i="1"/>
  <c r="DY121" i="1"/>
  <c r="DX121" i="1"/>
  <c r="DW121" i="1"/>
  <c r="DV121" i="1"/>
  <c r="DC121" i="1"/>
  <c r="DB121" i="1"/>
  <c r="CV121" i="1" s="1"/>
  <c r="DA121" i="1"/>
  <c r="CU121" i="1" s="1"/>
  <c r="CZ121" i="1"/>
  <c r="CY121" i="1"/>
  <c r="CX121" i="1"/>
  <c r="CR121" i="1" s="1"/>
  <c r="CW121" i="1"/>
  <c r="CT121" i="1"/>
  <c r="CS121" i="1"/>
  <c r="CB121" i="1"/>
  <c r="CA121" i="1"/>
  <c r="BZ121" i="1"/>
  <c r="BY121" i="1"/>
  <c r="BX121" i="1"/>
  <c r="BW121" i="1"/>
  <c r="BV121" i="1"/>
  <c r="BU121" i="1"/>
  <c r="CC121" i="1" s="1"/>
  <c r="BT121" i="1"/>
  <c r="BS121" i="1"/>
  <c r="BC121" i="1"/>
  <c r="AS121" i="1"/>
  <c r="AN121" i="1"/>
  <c r="AM121" i="1"/>
  <c r="AL121" i="1"/>
  <c r="AK121" i="1"/>
  <c r="AJ121" i="1"/>
  <c r="AI121" i="1"/>
  <c r="O121" i="1"/>
  <c r="D121" i="1" s="1"/>
  <c r="F121" i="1"/>
  <c r="E121" i="1"/>
  <c r="EA120" i="1"/>
  <c r="DZ120" i="1"/>
  <c r="DY120" i="1"/>
  <c r="DX120" i="1"/>
  <c r="DW120" i="1"/>
  <c r="DV120" i="1"/>
  <c r="DC120" i="1"/>
  <c r="CW120" i="1" s="1"/>
  <c r="DB120" i="1"/>
  <c r="DA120" i="1"/>
  <c r="CZ120" i="1"/>
  <c r="CT120" i="1" s="1"/>
  <c r="CY120" i="1"/>
  <c r="CS120" i="1" s="1"/>
  <c r="CX120" i="1"/>
  <c r="CV120" i="1"/>
  <c r="CU120" i="1"/>
  <c r="CR120" i="1"/>
  <c r="BZ120" i="1"/>
  <c r="CA120" i="1" s="1"/>
  <c r="BY120" i="1"/>
  <c r="BX120" i="1"/>
  <c r="BW120" i="1"/>
  <c r="BV120" i="1"/>
  <c r="BU120" i="1"/>
  <c r="CC120" i="1" s="1"/>
  <c r="BT120" i="1"/>
  <c r="BS120" i="1"/>
  <c r="AS120" i="1"/>
  <c r="AN120" i="1"/>
  <c r="AM120" i="1"/>
  <c r="AL120" i="1"/>
  <c r="AK120" i="1"/>
  <c r="AJ120" i="1"/>
  <c r="AI120" i="1"/>
  <c r="BC120" i="1" s="1"/>
  <c r="O120" i="1"/>
  <c r="D120" i="1" s="1"/>
  <c r="F120" i="1"/>
  <c r="E120" i="1"/>
  <c r="EA119" i="1"/>
  <c r="DZ119" i="1"/>
  <c r="DY119" i="1"/>
  <c r="DX119" i="1"/>
  <c r="DW119" i="1"/>
  <c r="DV119" i="1"/>
  <c r="DC119" i="1"/>
  <c r="DB119" i="1"/>
  <c r="CV119" i="1" s="1"/>
  <c r="DA119" i="1"/>
  <c r="CU119" i="1" s="1"/>
  <c r="CZ119" i="1"/>
  <c r="CY119" i="1"/>
  <c r="CX119" i="1"/>
  <c r="CR119" i="1" s="1"/>
  <c r="CW119" i="1"/>
  <c r="CT119" i="1"/>
  <c r="CS119" i="1"/>
  <c r="CB119" i="1"/>
  <c r="CA119" i="1"/>
  <c r="BZ119" i="1"/>
  <c r="BY119" i="1"/>
  <c r="BX119" i="1"/>
  <c r="BW119" i="1"/>
  <c r="BV119" i="1"/>
  <c r="BU119" i="1"/>
  <c r="CC119" i="1" s="1"/>
  <c r="BT119" i="1"/>
  <c r="BS119" i="1"/>
  <c r="AS119" i="1"/>
  <c r="AN119" i="1"/>
  <c r="AM119" i="1"/>
  <c r="AL119" i="1"/>
  <c r="AK119" i="1"/>
  <c r="AJ119" i="1"/>
  <c r="AI119" i="1"/>
  <c r="BC119" i="1" s="1"/>
  <c r="O119" i="1"/>
  <c r="D119" i="1" s="1"/>
  <c r="F119" i="1"/>
  <c r="E119" i="1"/>
  <c r="EA118" i="1"/>
  <c r="DZ118" i="1"/>
  <c r="DY118" i="1"/>
  <c r="DX118" i="1"/>
  <c r="DW118" i="1"/>
  <c r="DV118" i="1"/>
  <c r="DC118" i="1"/>
  <c r="CW118" i="1" s="1"/>
  <c r="DB118" i="1"/>
  <c r="DA118" i="1"/>
  <c r="CZ118" i="1"/>
  <c r="CT118" i="1" s="1"/>
  <c r="CY118" i="1"/>
  <c r="CS118" i="1" s="1"/>
  <c r="CX118" i="1"/>
  <c r="CV118" i="1"/>
  <c r="CU118" i="1"/>
  <c r="CR118" i="1"/>
  <c r="BZ118" i="1"/>
  <c r="CA118" i="1" s="1"/>
  <c r="BY118" i="1"/>
  <c r="BX118" i="1"/>
  <c r="BW118" i="1"/>
  <c r="BV118" i="1"/>
  <c r="BU118" i="1"/>
  <c r="CC118" i="1" s="1"/>
  <c r="BT118" i="1"/>
  <c r="BS118" i="1"/>
  <c r="AS118" i="1"/>
  <c r="AN118" i="1"/>
  <c r="AM118" i="1"/>
  <c r="AL118" i="1"/>
  <c r="AK118" i="1"/>
  <c r="AJ118" i="1"/>
  <c r="AI118" i="1"/>
  <c r="BC118" i="1" s="1"/>
  <c r="O118" i="1"/>
  <c r="D118" i="1" s="1"/>
  <c r="F118" i="1"/>
  <c r="E118" i="1"/>
  <c r="EA117" i="1"/>
  <c r="DZ117" i="1"/>
  <c r="DY117" i="1"/>
  <c r="DX117" i="1"/>
  <c r="DW117" i="1"/>
  <c r="DV117" i="1"/>
  <c r="DC117" i="1"/>
  <c r="DB117" i="1"/>
  <c r="CV117" i="1" s="1"/>
  <c r="DA117" i="1"/>
  <c r="CU117" i="1" s="1"/>
  <c r="CZ117" i="1"/>
  <c r="CY117" i="1"/>
  <c r="CX117" i="1"/>
  <c r="CR117" i="1" s="1"/>
  <c r="CW117" i="1"/>
  <c r="CT117" i="1"/>
  <c r="CS117" i="1"/>
  <c r="CB117" i="1"/>
  <c r="CA117" i="1"/>
  <c r="BZ117" i="1"/>
  <c r="BY117" i="1"/>
  <c r="BX117" i="1"/>
  <c r="BW117" i="1"/>
  <c r="BV117" i="1"/>
  <c r="BU117" i="1"/>
  <c r="CC117" i="1" s="1"/>
  <c r="BT117" i="1"/>
  <c r="BS117" i="1"/>
  <c r="AS117" i="1"/>
  <c r="AN117" i="1"/>
  <c r="AM117" i="1"/>
  <c r="AL117" i="1"/>
  <c r="AK117" i="1"/>
  <c r="AJ117" i="1"/>
  <c r="AI117" i="1"/>
  <c r="BC117" i="1" s="1"/>
  <c r="O117" i="1"/>
  <c r="F117" i="1"/>
  <c r="E117" i="1"/>
  <c r="D117" i="1"/>
  <c r="EA116" i="1"/>
  <c r="DZ116" i="1"/>
  <c r="DY116" i="1"/>
  <c r="DX116" i="1"/>
  <c r="DW116" i="1"/>
  <c r="DV116" i="1"/>
  <c r="DC116" i="1"/>
  <c r="CW116" i="1" s="1"/>
  <c r="DB116" i="1"/>
  <c r="DA116" i="1"/>
  <c r="CZ116" i="1"/>
  <c r="CT116" i="1" s="1"/>
  <c r="CY116" i="1"/>
  <c r="CS116" i="1" s="1"/>
  <c r="CX116" i="1"/>
  <c r="CV116" i="1"/>
  <c r="CU116" i="1"/>
  <c r="CR116" i="1"/>
  <c r="BZ116" i="1"/>
  <c r="CA116" i="1" s="1"/>
  <c r="BY116" i="1"/>
  <c r="BX116" i="1"/>
  <c r="BW116" i="1"/>
  <c r="BV116" i="1"/>
  <c r="BU116" i="1"/>
  <c r="CC116" i="1" s="1"/>
  <c r="BT116" i="1"/>
  <c r="BS116" i="1"/>
  <c r="AS116" i="1"/>
  <c r="AN116" i="1"/>
  <c r="AM116" i="1"/>
  <c r="AL116" i="1"/>
  <c r="AK116" i="1"/>
  <c r="AJ116" i="1"/>
  <c r="AI116" i="1"/>
  <c r="BC116" i="1" s="1"/>
  <c r="O116" i="1"/>
  <c r="D116" i="1" s="1"/>
  <c r="F116" i="1"/>
  <c r="E116" i="1"/>
  <c r="EA115" i="1"/>
  <c r="DZ115" i="1"/>
  <c r="DY115" i="1"/>
  <c r="DX115" i="1"/>
  <c r="DW115" i="1"/>
  <c r="DV115" i="1"/>
  <c r="DC115" i="1"/>
  <c r="DB115" i="1"/>
  <c r="CV115" i="1" s="1"/>
  <c r="DA115" i="1"/>
  <c r="CU115" i="1" s="1"/>
  <c r="CZ115" i="1"/>
  <c r="CY115" i="1"/>
  <c r="CX115" i="1"/>
  <c r="CR115" i="1" s="1"/>
  <c r="CW115" i="1"/>
  <c r="CT115" i="1"/>
  <c r="CS115" i="1"/>
  <c r="CB115" i="1"/>
  <c r="CA115" i="1"/>
  <c r="BZ115" i="1"/>
  <c r="BY115" i="1"/>
  <c r="BX115" i="1"/>
  <c r="BW115" i="1"/>
  <c r="BV115" i="1"/>
  <c r="BU115" i="1"/>
  <c r="CC115" i="1" s="1"/>
  <c r="BT115" i="1"/>
  <c r="BS115" i="1"/>
  <c r="AS115" i="1"/>
  <c r="AN115" i="1"/>
  <c r="AM115" i="1"/>
  <c r="AL115" i="1"/>
  <c r="AK115" i="1"/>
  <c r="AJ115" i="1"/>
  <c r="AI115" i="1"/>
  <c r="BC115" i="1" s="1"/>
  <c r="O115" i="1"/>
  <c r="D115" i="1" s="1"/>
  <c r="F115" i="1"/>
  <c r="E115" i="1"/>
  <c r="EA114" i="1"/>
  <c r="DZ114" i="1"/>
  <c r="DY114" i="1"/>
  <c r="DX114" i="1"/>
  <c r="DW114" i="1"/>
  <c r="DV114" i="1"/>
  <c r="DC114" i="1"/>
  <c r="CW114" i="1" s="1"/>
  <c r="DB114" i="1"/>
  <c r="DA114" i="1"/>
  <c r="CZ114" i="1"/>
  <c r="CT114" i="1" s="1"/>
  <c r="CY114" i="1"/>
  <c r="CS114" i="1" s="1"/>
  <c r="CX114" i="1"/>
  <c r="CV114" i="1"/>
  <c r="CU114" i="1"/>
  <c r="CR114" i="1"/>
  <c r="BZ114" i="1"/>
  <c r="CA114" i="1" s="1"/>
  <c r="BY114" i="1"/>
  <c r="BX114" i="1"/>
  <c r="BW114" i="1"/>
  <c r="BV114" i="1"/>
  <c r="BU114" i="1"/>
  <c r="CC114" i="1" s="1"/>
  <c r="BT114" i="1"/>
  <c r="BS114" i="1"/>
  <c r="BC114" i="1"/>
  <c r="AS114" i="1"/>
  <c r="AN114" i="1"/>
  <c r="AM114" i="1"/>
  <c r="AL114" i="1"/>
  <c r="AK114" i="1"/>
  <c r="AJ114" i="1"/>
  <c r="AI114" i="1"/>
  <c r="O114" i="1"/>
  <c r="D114" i="1" s="1"/>
  <c r="F114" i="1"/>
  <c r="E114" i="1"/>
  <c r="EA113" i="1"/>
  <c r="DZ113" i="1"/>
  <c r="DY113" i="1"/>
  <c r="DX113" i="1"/>
  <c r="DW113" i="1"/>
  <c r="DV113" i="1"/>
  <c r="DC113" i="1"/>
  <c r="DB113" i="1"/>
  <c r="CV113" i="1" s="1"/>
  <c r="DA113" i="1"/>
  <c r="CU113" i="1" s="1"/>
  <c r="CZ113" i="1"/>
  <c r="CY113" i="1"/>
  <c r="CX113" i="1"/>
  <c r="CR113" i="1" s="1"/>
  <c r="CW113" i="1"/>
  <c r="CT113" i="1"/>
  <c r="CS113" i="1"/>
  <c r="CB113" i="1"/>
  <c r="CA113" i="1"/>
  <c r="BZ113" i="1"/>
  <c r="BY113" i="1"/>
  <c r="BX113" i="1"/>
  <c r="BW113" i="1"/>
  <c r="BV113" i="1"/>
  <c r="BU113" i="1"/>
  <c r="CC113" i="1" s="1"/>
  <c r="BT113" i="1"/>
  <c r="BS113" i="1"/>
  <c r="BC113" i="1"/>
  <c r="AS113" i="1"/>
  <c r="AN113" i="1"/>
  <c r="AM113" i="1"/>
  <c r="AL113" i="1"/>
  <c r="AK113" i="1"/>
  <c r="AJ113" i="1"/>
  <c r="AI113" i="1"/>
  <c r="O113" i="1"/>
  <c r="D113" i="1" s="1"/>
  <c r="F113" i="1"/>
  <c r="E113" i="1"/>
  <c r="EA112" i="1"/>
  <c r="DZ112" i="1"/>
  <c r="DY112" i="1"/>
  <c r="DX112" i="1"/>
  <c r="DW112" i="1"/>
  <c r="DV112" i="1"/>
  <c r="DC112" i="1"/>
  <c r="CW112" i="1" s="1"/>
  <c r="DB112" i="1"/>
  <c r="DA112" i="1"/>
  <c r="CZ112" i="1"/>
  <c r="CT112" i="1" s="1"/>
  <c r="CY112" i="1"/>
  <c r="CS112" i="1" s="1"/>
  <c r="CX112" i="1"/>
  <c r="CV112" i="1"/>
  <c r="CU112" i="1"/>
  <c r="CR112" i="1"/>
  <c r="BZ112" i="1"/>
  <c r="CA112" i="1" s="1"/>
  <c r="BY112" i="1"/>
  <c r="BX112" i="1"/>
  <c r="BW112" i="1"/>
  <c r="BV112" i="1"/>
  <c r="BU112" i="1"/>
  <c r="CC112" i="1" s="1"/>
  <c r="BT112" i="1"/>
  <c r="BS112" i="1"/>
  <c r="AS112" i="1"/>
  <c r="AN112" i="1"/>
  <c r="AM112" i="1"/>
  <c r="AL112" i="1"/>
  <c r="AK112" i="1"/>
  <c r="AJ112" i="1"/>
  <c r="AI112" i="1"/>
  <c r="BC112" i="1" s="1"/>
  <c r="O112" i="1"/>
  <c r="D112" i="1" s="1"/>
  <c r="F112" i="1"/>
  <c r="E112" i="1"/>
  <c r="EA111" i="1"/>
  <c r="DZ111" i="1"/>
  <c r="DY111" i="1"/>
  <c r="DX111" i="1"/>
  <c r="DW111" i="1"/>
  <c r="DV111" i="1"/>
  <c r="DC111" i="1"/>
  <c r="DB111" i="1"/>
  <c r="CV111" i="1" s="1"/>
  <c r="DA111" i="1"/>
  <c r="CU111" i="1" s="1"/>
  <c r="CZ111" i="1"/>
  <c r="CY111" i="1"/>
  <c r="CX111" i="1"/>
  <c r="CR111" i="1" s="1"/>
  <c r="CW111" i="1"/>
  <c r="CT111" i="1"/>
  <c r="CS111" i="1"/>
  <c r="CB111" i="1"/>
  <c r="CA111" i="1"/>
  <c r="BZ111" i="1"/>
  <c r="BY111" i="1"/>
  <c r="BX111" i="1"/>
  <c r="BW111" i="1"/>
  <c r="BV111" i="1"/>
  <c r="BU111" i="1"/>
  <c r="CC111" i="1" s="1"/>
  <c r="BT111" i="1"/>
  <c r="BS111" i="1"/>
  <c r="AS111" i="1"/>
  <c r="AN111" i="1"/>
  <c r="AM111" i="1"/>
  <c r="AL111" i="1"/>
  <c r="AK111" i="1"/>
  <c r="AJ111" i="1"/>
  <c r="AI111" i="1"/>
  <c r="BC111" i="1" s="1"/>
  <c r="O111" i="1"/>
  <c r="D111" i="1" s="1"/>
  <c r="F111" i="1"/>
  <c r="E111" i="1"/>
  <c r="EA110" i="1"/>
  <c r="DZ110" i="1"/>
  <c r="DY110" i="1"/>
  <c r="DX110" i="1"/>
  <c r="DW110" i="1"/>
  <c r="DV110" i="1"/>
  <c r="DC110" i="1"/>
  <c r="CW110" i="1" s="1"/>
  <c r="DB110" i="1"/>
  <c r="DA110" i="1"/>
  <c r="CZ110" i="1"/>
  <c r="CT110" i="1" s="1"/>
  <c r="CY110" i="1"/>
  <c r="CS110" i="1" s="1"/>
  <c r="CX110" i="1"/>
  <c r="CV110" i="1"/>
  <c r="CU110" i="1"/>
  <c r="CR110" i="1"/>
  <c r="BZ110" i="1"/>
  <c r="CA110" i="1" s="1"/>
  <c r="BY110" i="1"/>
  <c r="BX110" i="1"/>
  <c r="BW110" i="1"/>
  <c r="BV110" i="1"/>
  <c r="BU110" i="1"/>
  <c r="CC110" i="1" s="1"/>
  <c r="BT110" i="1"/>
  <c r="BS110" i="1"/>
  <c r="BC110" i="1"/>
  <c r="AS110" i="1"/>
  <c r="AN110" i="1"/>
  <c r="AM110" i="1"/>
  <c r="AL110" i="1"/>
  <c r="AK110" i="1"/>
  <c r="AJ110" i="1"/>
  <c r="AI110" i="1"/>
  <c r="O110" i="1"/>
  <c r="D110" i="1" s="1"/>
  <c r="F110" i="1"/>
  <c r="E110" i="1"/>
  <c r="EA109" i="1"/>
  <c r="DZ109" i="1"/>
  <c r="DY109" i="1"/>
  <c r="DX109" i="1"/>
  <c r="DW109" i="1"/>
  <c r="DV109" i="1"/>
  <c r="DC109" i="1"/>
  <c r="DB109" i="1"/>
  <c r="CV109" i="1" s="1"/>
  <c r="DA109" i="1"/>
  <c r="CU109" i="1" s="1"/>
  <c r="CZ109" i="1"/>
  <c r="CY109" i="1"/>
  <c r="CX109" i="1"/>
  <c r="CR109" i="1" s="1"/>
  <c r="CW109" i="1"/>
  <c r="CT109" i="1"/>
  <c r="CS109" i="1"/>
  <c r="CB109" i="1"/>
  <c r="CA109" i="1"/>
  <c r="BZ109" i="1"/>
  <c r="BY109" i="1"/>
  <c r="BX109" i="1"/>
  <c r="BW109" i="1"/>
  <c r="BV109" i="1"/>
  <c r="BU109" i="1"/>
  <c r="CC109" i="1" s="1"/>
  <c r="BT109" i="1"/>
  <c r="BS109" i="1"/>
  <c r="AS109" i="1"/>
  <c r="AN109" i="1"/>
  <c r="AM109" i="1"/>
  <c r="AL109" i="1"/>
  <c r="AK109" i="1"/>
  <c r="AJ109" i="1"/>
  <c r="AI109" i="1"/>
  <c r="BC109" i="1" s="1"/>
  <c r="O109" i="1"/>
  <c r="F109" i="1"/>
  <c r="E109" i="1"/>
  <c r="D109" i="1"/>
  <c r="EA108" i="1"/>
  <c r="DZ108" i="1"/>
  <c r="DY108" i="1"/>
  <c r="DX108" i="1"/>
  <c r="DW108" i="1"/>
  <c r="DV108" i="1"/>
  <c r="DC108" i="1"/>
  <c r="CW108" i="1" s="1"/>
  <c r="DB108" i="1"/>
  <c r="DA108" i="1"/>
  <c r="CZ108" i="1"/>
  <c r="CT108" i="1" s="1"/>
  <c r="CY108" i="1"/>
  <c r="CS108" i="1" s="1"/>
  <c r="CX108" i="1"/>
  <c r="CV108" i="1"/>
  <c r="CU108" i="1"/>
  <c r="CR108" i="1"/>
  <c r="BZ108" i="1"/>
  <c r="CA108" i="1" s="1"/>
  <c r="BY108" i="1"/>
  <c r="BX108" i="1"/>
  <c r="BW108" i="1"/>
  <c r="BV108" i="1"/>
  <c r="BU108" i="1"/>
  <c r="CC108" i="1" s="1"/>
  <c r="BT108" i="1"/>
  <c r="BS108" i="1"/>
  <c r="AS108" i="1"/>
  <c r="AN108" i="1"/>
  <c r="AM108" i="1"/>
  <c r="AL108" i="1"/>
  <c r="AK108" i="1"/>
  <c r="AJ108" i="1"/>
  <c r="AI108" i="1"/>
  <c r="BC108" i="1" s="1"/>
  <c r="O108" i="1"/>
  <c r="D108" i="1" s="1"/>
  <c r="F108" i="1"/>
  <c r="E108" i="1"/>
  <c r="EA107" i="1"/>
  <c r="DZ107" i="1"/>
  <c r="DY107" i="1"/>
  <c r="DX107" i="1"/>
  <c r="DW107" i="1"/>
  <c r="DV107" i="1"/>
  <c r="DC107" i="1"/>
  <c r="DB107" i="1"/>
  <c r="CV107" i="1" s="1"/>
  <c r="DA107" i="1"/>
  <c r="CU107" i="1" s="1"/>
  <c r="CZ107" i="1"/>
  <c r="CY107" i="1"/>
  <c r="CX107" i="1"/>
  <c r="CR107" i="1" s="1"/>
  <c r="CW107" i="1"/>
  <c r="CT107" i="1"/>
  <c r="CS107" i="1"/>
  <c r="CB107" i="1"/>
  <c r="CA107" i="1"/>
  <c r="BZ107" i="1"/>
  <c r="BY107" i="1"/>
  <c r="BX107" i="1"/>
  <c r="BW107" i="1"/>
  <c r="BV107" i="1"/>
  <c r="BU107" i="1"/>
  <c r="CC107" i="1" s="1"/>
  <c r="BT107" i="1"/>
  <c r="BS107" i="1"/>
  <c r="AS107" i="1"/>
  <c r="AN107" i="1"/>
  <c r="AM107" i="1"/>
  <c r="AL107" i="1"/>
  <c r="AK107" i="1"/>
  <c r="AJ107" i="1"/>
  <c r="AI107" i="1"/>
  <c r="BC107" i="1" s="1"/>
  <c r="O107" i="1"/>
  <c r="D107" i="1" s="1"/>
  <c r="F107" i="1"/>
  <c r="E107" i="1"/>
  <c r="EA106" i="1"/>
  <c r="DZ106" i="1"/>
  <c r="DY106" i="1"/>
  <c r="DX106" i="1"/>
  <c r="DW106" i="1"/>
  <c r="DV106" i="1"/>
  <c r="DC106" i="1"/>
  <c r="CW106" i="1" s="1"/>
  <c r="DB106" i="1"/>
  <c r="DA106" i="1"/>
  <c r="CZ106" i="1"/>
  <c r="CT106" i="1" s="1"/>
  <c r="CY106" i="1"/>
  <c r="CS106" i="1" s="1"/>
  <c r="CX106" i="1"/>
  <c r="CV106" i="1"/>
  <c r="CU106" i="1"/>
  <c r="CR106" i="1"/>
  <c r="BZ106" i="1"/>
  <c r="CA106" i="1" s="1"/>
  <c r="BY106" i="1"/>
  <c r="BX106" i="1"/>
  <c r="BW106" i="1"/>
  <c r="BV106" i="1"/>
  <c r="BU106" i="1"/>
  <c r="CC106" i="1" s="1"/>
  <c r="BT106" i="1"/>
  <c r="BS106" i="1"/>
  <c r="AS106" i="1"/>
  <c r="AN106" i="1"/>
  <c r="AM106" i="1"/>
  <c r="AL106" i="1"/>
  <c r="AK106" i="1"/>
  <c r="AJ106" i="1"/>
  <c r="AI106" i="1"/>
  <c r="BC106" i="1" s="1"/>
  <c r="O106" i="1"/>
  <c r="D106" i="1" s="1"/>
  <c r="F106" i="1"/>
  <c r="E106" i="1"/>
  <c r="EA105" i="1"/>
  <c r="DZ105" i="1"/>
  <c r="DY105" i="1"/>
  <c r="DX105" i="1"/>
  <c r="DW105" i="1"/>
  <c r="DV105" i="1"/>
  <c r="DC105" i="1"/>
  <c r="DB105" i="1"/>
  <c r="CV105" i="1" s="1"/>
  <c r="DA105" i="1"/>
  <c r="CU105" i="1" s="1"/>
  <c r="CZ105" i="1"/>
  <c r="CY105" i="1"/>
  <c r="CX105" i="1"/>
  <c r="CR105" i="1" s="1"/>
  <c r="CW105" i="1"/>
  <c r="CT105" i="1"/>
  <c r="CS105" i="1"/>
  <c r="CB105" i="1"/>
  <c r="CA105" i="1"/>
  <c r="BZ105" i="1"/>
  <c r="BY105" i="1"/>
  <c r="BX105" i="1"/>
  <c r="BW105" i="1"/>
  <c r="BV105" i="1"/>
  <c r="BU105" i="1"/>
  <c r="CC105" i="1" s="1"/>
  <c r="BT105" i="1"/>
  <c r="BS105" i="1"/>
  <c r="AS105" i="1"/>
  <c r="AN105" i="1"/>
  <c r="AM105" i="1"/>
  <c r="AL105" i="1"/>
  <c r="AK105" i="1"/>
  <c r="AJ105" i="1"/>
  <c r="AI105" i="1"/>
  <c r="BC105" i="1" s="1"/>
  <c r="O105" i="1"/>
  <c r="D105" i="1" s="1"/>
  <c r="F105" i="1"/>
  <c r="E105" i="1"/>
  <c r="EA104" i="1"/>
  <c r="DZ104" i="1"/>
  <c r="DY104" i="1"/>
  <c r="DX104" i="1"/>
  <c r="DW104" i="1"/>
  <c r="DV104" i="1"/>
  <c r="DC104" i="1"/>
  <c r="CW104" i="1" s="1"/>
  <c r="DB104" i="1"/>
  <c r="DA104" i="1"/>
  <c r="CZ104" i="1"/>
  <c r="CT104" i="1" s="1"/>
  <c r="CY104" i="1"/>
  <c r="CS104" i="1" s="1"/>
  <c r="CX104" i="1"/>
  <c r="CV104" i="1"/>
  <c r="CU104" i="1"/>
  <c r="CR104" i="1"/>
  <c r="BZ104" i="1"/>
  <c r="CA104" i="1" s="1"/>
  <c r="BY104" i="1"/>
  <c r="BX104" i="1"/>
  <c r="BW104" i="1"/>
  <c r="BV104" i="1"/>
  <c r="BU104" i="1"/>
  <c r="CC104" i="1" s="1"/>
  <c r="BT104" i="1"/>
  <c r="BS104" i="1"/>
  <c r="AS104" i="1"/>
  <c r="AN104" i="1"/>
  <c r="AM104" i="1"/>
  <c r="AL104" i="1"/>
  <c r="AK104" i="1"/>
  <c r="AJ104" i="1"/>
  <c r="AI104" i="1"/>
  <c r="BC104" i="1" s="1"/>
  <c r="O104" i="1"/>
  <c r="D104" i="1" s="1"/>
  <c r="F104" i="1"/>
  <c r="E104" i="1"/>
  <c r="EA103" i="1"/>
  <c r="DZ103" i="1"/>
  <c r="DY103" i="1"/>
  <c r="DX103" i="1"/>
  <c r="DW103" i="1"/>
  <c r="DV103" i="1"/>
  <c r="DC103" i="1"/>
  <c r="DB103" i="1"/>
  <c r="CV103" i="1" s="1"/>
  <c r="DA103" i="1"/>
  <c r="CU103" i="1" s="1"/>
  <c r="CZ103" i="1"/>
  <c r="CY103" i="1"/>
  <c r="CX103" i="1"/>
  <c r="CR103" i="1" s="1"/>
  <c r="CW103" i="1"/>
  <c r="CT103" i="1"/>
  <c r="CS103" i="1"/>
  <c r="CB103" i="1"/>
  <c r="CA103" i="1"/>
  <c r="BZ103" i="1"/>
  <c r="BY103" i="1"/>
  <c r="BX103" i="1"/>
  <c r="BW103" i="1"/>
  <c r="BV103" i="1"/>
  <c r="BU103" i="1"/>
  <c r="CC103" i="1" s="1"/>
  <c r="BT103" i="1"/>
  <c r="BS103" i="1"/>
  <c r="AS103" i="1"/>
  <c r="AN103" i="1"/>
  <c r="AM103" i="1"/>
  <c r="AL103" i="1"/>
  <c r="AK103" i="1"/>
  <c r="AJ103" i="1"/>
  <c r="AI103" i="1"/>
  <c r="BC103" i="1" s="1"/>
  <c r="O103" i="1"/>
  <c r="F103" i="1"/>
  <c r="E103" i="1"/>
  <c r="D103" i="1"/>
  <c r="EA102" i="1"/>
  <c r="DZ102" i="1"/>
  <c r="DY102" i="1"/>
  <c r="DX102" i="1"/>
  <c r="DW102" i="1"/>
  <c r="DV102" i="1"/>
  <c r="DC102" i="1"/>
  <c r="CW102" i="1" s="1"/>
  <c r="DB102" i="1"/>
  <c r="DA102" i="1"/>
  <c r="CZ102" i="1"/>
  <c r="CT102" i="1" s="1"/>
  <c r="CY102" i="1"/>
  <c r="CS102" i="1" s="1"/>
  <c r="CX102" i="1"/>
  <c r="CV102" i="1"/>
  <c r="CU102" i="1"/>
  <c r="CR102" i="1"/>
  <c r="BZ102" i="1"/>
  <c r="CA102" i="1" s="1"/>
  <c r="BY102" i="1"/>
  <c r="BX102" i="1"/>
  <c r="BW102" i="1"/>
  <c r="BV102" i="1"/>
  <c r="BU102" i="1"/>
  <c r="CC102" i="1" s="1"/>
  <c r="BT102" i="1"/>
  <c r="BS102" i="1"/>
  <c r="BC102" i="1"/>
  <c r="AS102" i="1"/>
  <c r="AN102" i="1"/>
  <c r="AM102" i="1"/>
  <c r="AL102" i="1"/>
  <c r="AK102" i="1"/>
  <c r="AJ102" i="1"/>
  <c r="AI102" i="1"/>
  <c r="O102" i="1"/>
  <c r="D102" i="1" s="1"/>
  <c r="F102" i="1"/>
  <c r="E102" i="1"/>
  <c r="EA101" i="1"/>
  <c r="DZ101" i="1"/>
  <c r="DY101" i="1"/>
  <c r="DX101" i="1"/>
  <c r="DW101" i="1"/>
  <c r="DV101" i="1"/>
  <c r="DC101" i="1"/>
  <c r="DB101" i="1"/>
  <c r="CV101" i="1" s="1"/>
  <c r="DA101" i="1"/>
  <c r="CU101" i="1" s="1"/>
  <c r="CZ101" i="1"/>
  <c r="CY101" i="1"/>
  <c r="CX101" i="1"/>
  <c r="CR101" i="1" s="1"/>
  <c r="CW101" i="1"/>
  <c r="CT101" i="1"/>
  <c r="CS101" i="1"/>
  <c r="CB101" i="1"/>
  <c r="CA101" i="1"/>
  <c r="BZ101" i="1"/>
  <c r="BY101" i="1"/>
  <c r="BX101" i="1"/>
  <c r="BW101" i="1"/>
  <c r="BV101" i="1"/>
  <c r="BU101" i="1"/>
  <c r="CC101" i="1" s="1"/>
  <c r="BT101" i="1"/>
  <c r="BS101" i="1"/>
  <c r="BC101" i="1"/>
  <c r="AS101" i="1"/>
  <c r="AN101" i="1"/>
  <c r="AM101" i="1"/>
  <c r="AL101" i="1"/>
  <c r="AK101" i="1"/>
  <c r="AJ101" i="1"/>
  <c r="AI101" i="1"/>
  <c r="O101" i="1"/>
  <c r="D101" i="1" s="1"/>
  <c r="F101" i="1"/>
  <c r="E101" i="1"/>
  <c r="EA100" i="1"/>
  <c r="DZ100" i="1"/>
  <c r="DY100" i="1"/>
  <c r="DX100" i="1"/>
  <c r="DW100" i="1"/>
  <c r="DV100" i="1"/>
  <c r="DC100" i="1"/>
  <c r="CW100" i="1" s="1"/>
  <c r="DB100" i="1"/>
  <c r="DA100" i="1"/>
  <c r="CZ100" i="1"/>
  <c r="CT100" i="1" s="1"/>
  <c r="CY100" i="1"/>
  <c r="CS100" i="1" s="1"/>
  <c r="CX100" i="1"/>
  <c r="CV100" i="1"/>
  <c r="CU100" i="1"/>
  <c r="CR100" i="1"/>
  <c r="BZ100" i="1"/>
  <c r="CA100" i="1" s="1"/>
  <c r="BY100" i="1"/>
  <c r="BX100" i="1"/>
  <c r="BW100" i="1"/>
  <c r="BV100" i="1"/>
  <c r="BU100" i="1"/>
  <c r="BT100" i="1"/>
  <c r="BS100" i="1"/>
  <c r="AS100" i="1"/>
  <c r="AN100" i="1"/>
  <c r="AM100" i="1"/>
  <c r="AL100" i="1"/>
  <c r="AK100" i="1"/>
  <c r="AJ100" i="1"/>
  <c r="AI100" i="1"/>
  <c r="BC100" i="1" s="1"/>
  <c r="O100" i="1"/>
  <c r="D100" i="1" s="1"/>
  <c r="F100" i="1"/>
  <c r="E100" i="1"/>
  <c r="EA99" i="1"/>
  <c r="DZ99" i="1"/>
  <c r="DY99" i="1"/>
  <c r="DX99" i="1"/>
  <c r="DW99" i="1"/>
  <c r="DV99" i="1"/>
  <c r="DC99" i="1"/>
  <c r="DB99" i="1"/>
  <c r="CV99" i="1" s="1"/>
  <c r="DA99" i="1"/>
  <c r="CU99" i="1" s="1"/>
  <c r="CZ99" i="1"/>
  <c r="CY99" i="1"/>
  <c r="CX99" i="1"/>
  <c r="CR99" i="1" s="1"/>
  <c r="CW99" i="1"/>
  <c r="CT99" i="1"/>
  <c r="CS99" i="1"/>
  <c r="CB99" i="1"/>
  <c r="CA99" i="1"/>
  <c r="BZ99" i="1"/>
  <c r="BY99" i="1"/>
  <c r="BX99" i="1"/>
  <c r="BW99" i="1"/>
  <c r="BV99" i="1"/>
  <c r="BU99" i="1"/>
  <c r="CC99" i="1" s="1"/>
  <c r="BT99" i="1"/>
  <c r="BS99" i="1"/>
  <c r="AS99" i="1"/>
  <c r="AN99" i="1"/>
  <c r="AM99" i="1"/>
  <c r="AL99" i="1"/>
  <c r="AK99" i="1"/>
  <c r="AJ99" i="1"/>
  <c r="AI99" i="1"/>
  <c r="BC99" i="1" s="1"/>
  <c r="O99" i="1"/>
  <c r="D99" i="1" s="1"/>
  <c r="F99" i="1"/>
  <c r="E99" i="1"/>
  <c r="EA98" i="1"/>
  <c r="DZ98" i="1"/>
  <c r="DY98" i="1"/>
  <c r="DX98" i="1"/>
  <c r="DW98" i="1"/>
  <c r="DV98" i="1"/>
  <c r="DC98" i="1"/>
  <c r="CW98" i="1" s="1"/>
  <c r="DB98" i="1"/>
  <c r="DA98" i="1"/>
  <c r="CZ98" i="1"/>
  <c r="CT98" i="1" s="1"/>
  <c r="CY98" i="1"/>
  <c r="CS98" i="1" s="1"/>
  <c r="CX98" i="1"/>
  <c r="CV98" i="1"/>
  <c r="CU98" i="1"/>
  <c r="CR98" i="1"/>
  <c r="BZ98" i="1"/>
  <c r="CA98" i="1" s="1"/>
  <c r="BY98" i="1"/>
  <c r="BX98" i="1"/>
  <c r="BW98" i="1"/>
  <c r="BV98" i="1"/>
  <c r="BU98" i="1"/>
  <c r="CC98" i="1" s="1"/>
  <c r="BT98" i="1"/>
  <c r="BS98" i="1"/>
  <c r="AS98" i="1"/>
  <c r="AN98" i="1"/>
  <c r="AM98" i="1"/>
  <c r="AL98" i="1"/>
  <c r="AK98" i="1"/>
  <c r="AJ98" i="1"/>
  <c r="AI98" i="1"/>
  <c r="BC98" i="1" s="1"/>
  <c r="O98" i="1"/>
  <c r="D98" i="1" s="1"/>
  <c r="F98" i="1"/>
  <c r="E98" i="1"/>
  <c r="EA97" i="1"/>
  <c r="DZ97" i="1"/>
  <c r="DY97" i="1"/>
  <c r="DX97" i="1"/>
  <c r="DW97" i="1"/>
  <c r="DV97" i="1"/>
  <c r="DC97" i="1"/>
  <c r="DB97" i="1"/>
  <c r="CV97" i="1" s="1"/>
  <c r="DA97" i="1"/>
  <c r="CU97" i="1" s="1"/>
  <c r="CZ97" i="1"/>
  <c r="CY97" i="1"/>
  <c r="CX97" i="1"/>
  <c r="CR97" i="1" s="1"/>
  <c r="CW97" i="1"/>
  <c r="CT97" i="1"/>
  <c r="CS97" i="1"/>
  <c r="CB97" i="1"/>
  <c r="CA97" i="1"/>
  <c r="BZ97" i="1"/>
  <c r="BY97" i="1"/>
  <c r="BX97" i="1"/>
  <c r="BW97" i="1"/>
  <c r="BV97" i="1"/>
  <c r="BU97" i="1"/>
  <c r="CC97" i="1" s="1"/>
  <c r="BT97" i="1"/>
  <c r="BS97" i="1"/>
  <c r="AS97" i="1"/>
  <c r="AN97" i="1"/>
  <c r="AM97" i="1"/>
  <c r="AL97" i="1"/>
  <c r="AK97" i="1"/>
  <c r="AJ97" i="1"/>
  <c r="AI97" i="1"/>
  <c r="BC97" i="1" s="1"/>
  <c r="O97" i="1"/>
  <c r="D97" i="1" s="1"/>
  <c r="F97" i="1"/>
  <c r="E97" i="1"/>
  <c r="EA96" i="1"/>
  <c r="DZ96" i="1"/>
  <c r="DY96" i="1"/>
  <c r="DX96" i="1"/>
  <c r="DW96" i="1"/>
  <c r="DV96" i="1"/>
  <c r="DC96" i="1"/>
  <c r="CW96" i="1" s="1"/>
  <c r="DB96" i="1"/>
  <c r="DA96" i="1"/>
  <c r="CZ96" i="1"/>
  <c r="CT96" i="1" s="1"/>
  <c r="CY96" i="1"/>
  <c r="CS96" i="1" s="1"/>
  <c r="CX96" i="1"/>
  <c r="CV96" i="1"/>
  <c r="CU96" i="1"/>
  <c r="CR96" i="1"/>
  <c r="BZ96" i="1"/>
  <c r="CA96" i="1" s="1"/>
  <c r="BY96" i="1"/>
  <c r="BX96" i="1"/>
  <c r="BW96" i="1"/>
  <c r="BV96" i="1"/>
  <c r="BU96" i="1"/>
  <c r="BT96" i="1"/>
  <c r="BS96" i="1"/>
  <c r="AS96" i="1"/>
  <c r="AN96" i="1"/>
  <c r="AM96" i="1"/>
  <c r="AL96" i="1"/>
  <c r="AK96" i="1"/>
  <c r="AJ96" i="1"/>
  <c r="AI96" i="1"/>
  <c r="BC96" i="1" s="1"/>
  <c r="O96" i="1"/>
  <c r="D96" i="1" s="1"/>
  <c r="F96" i="1"/>
  <c r="E96" i="1"/>
  <c r="EA95" i="1"/>
  <c r="DZ95" i="1"/>
  <c r="DY95" i="1"/>
  <c r="DX95" i="1"/>
  <c r="DW95" i="1"/>
  <c r="DV95" i="1"/>
  <c r="DC95" i="1"/>
  <c r="DB95" i="1"/>
  <c r="CV95" i="1" s="1"/>
  <c r="DA95" i="1"/>
  <c r="CU95" i="1" s="1"/>
  <c r="CZ95" i="1"/>
  <c r="CY95" i="1"/>
  <c r="CX95" i="1"/>
  <c r="CR95" i="1" s="1"/>
  <c r="CW95" i="1"/>
  <c r="CT95" i="1"/>
  <c r="CS95" i="1"/>
  <c r="CB95" i="1"/>
  <c r="CA95" i="1"/>
  <c r="BZ95" i="1"/>
  <c r="BY95" i="1"/>
  <c r="BX95" i="1"/>
  <c r="BW95" i="1"/>
  <c r="BV95" i="1"/>
  <c r="BU95" i="1"/>
  <c r="CC95" i="1" s="1"/>
  <c r="BT95" i="1"/>
  <c r="BS95" i="1"/>
  <c r="AS95" i="1"/>
  <c r="AN95" i="1"/>
  <c r="AM95" i="1"/>
  <c r="AL95" i="1"/>
  <c r="AK95" i="1"/>
  <c r="AJ95" i="1"/>
  <c r="AI95" i="1"/>
  <c r="BC95" i="1" s="1"/>
  <c r="O95" i="1"/>
  <c r="D95" i="1" s="1"/>
  <c r="F95" i="1"/>
  <c r="E95" i="1"/>
  <c r="EA94" i="1"/>
  <c r="DZ94" i="1"/>
  <c r="DY94" i="1"/>
  <c r="DX94" i="1"/>
  <c r="DW94" i="1"/>
  <c r="DV94" i="1"/>
  <c r="DC94" i="1"/>
  <c r="CW94" i="1" s="1"/>
  <c r="DB94" i="1"/>
  <c r="DA94" i="1"/>
  <c r="CZ94" i="1"/>
  <c r="CT94" i="1" s="1"/>
  <c r="CY94" i="1"/>
  <c r="CS94" i="1" s="1"/>
  <c r="CX94" i="1"/>
  <c r="CV94" i="1"/>
  <c r="CU94" i="1"/>
  <c r="CR94" i="1"/>
  <c r="BZ94" i="1"/>
  <c r="CA94" i="1" s="1"/>
  <c r="BY94" i="1"/>
  <c r="BX94" i="1"/>
  <c r="BW94" i="1"/>
  <c r="BV94" i="1"/>
  <c r="BU94" i="1"/>
  <c r="CC94" i="1" s="1"/>
  <c r="BT94" i="1"/>
  <c r="BS94" i="1"/>
  <c r="AS94" i="1"/>
  <c r="AN94" i="1"/>
  <c r="AM94" i="1"/>
  <c r="AL94" i="1"/>
  <c r="AK94" i="1"/>
  <c r="AJ94" i="1"/>
  <c r="AI94" i="1"/>
  <c r="BC94" i="1" s="1"/>
  <c r="O94" i="1"/>
  <c r="D94" i="1" s="1"/>
  <c r="F94" i="1"/>
  <c r="E94" i="1"/>
  <c r="EA93" i="1"/>
  <c r="DZ93" i="1"/>
  <c r="DY93" i="1"/>
  <c r="DX93" i="1"/>
  <c r="DW93" i="1"/>
  <c r="DV93" i="1"/>
  <c r="DC93" i="1"/>
  <c r="DB93" i="1"/>
  <c r="CV93" i="1" s="1"/>
  <c r="DA93" i="1"/>
  <c r="CU93" i="1" s="1"/>
  <c r="CZ93" i="1"/>
  <c r="CY93" i="1"/>
  <c r="CX93" i="1"/>
  <c r="CR93" i="1" s="1"/>
  <c r="CW93" i="1"/>
  <c r="CT93" i="1"/>
  <c r="CS93" i="1"/>
  <c r="CB93" i="1"/>
  <c r="CA93" i="1"/>
  <c r="BZ93" i="1"/>
  <c r="BY93" i="1"/>
  <c r="BX93" i="1"/>
  <c r="BW93" i="1"/>
  <c r="BV93" i="1"/>
  <c r="BU93" i="1"/>
  <c r="CC93" i="1" s="1"/>
  <c r="BT93" i="1"/>
  <c r="BS93" i="1"/>
  <c r="AS93" i="1"/>
  <c r="AN93" i="1"/>
  <c r="AM93" i="1"/>
  <c r="AL93" i="1"/>
  <c r="AK93" i="1"/>
  <c r="AJ93" i="1"/>
  <c r="AI93" i="1"/>
  <c r="BC93" i="1" s="1"/>
  <c r="O93" i="1"/>
  <c r="F93" i="1"/>
  <c r="E93" i="1"/>
  <c r="D93" i="1"/>
  <c r="EA92" i="1"/>
  <c r="DZ92" i="1"/>
  <c r="DY92" i="1"/>
  <c r="DX92" i="1"/>
  <c r="DW92" i="1"/>
  <c r="DV92" i="1"/>
  <c r="DC92" i="1"/>
  <c r="CW92" i="1" s="1"/>
  <c r="DB92" i="1"/>
  <c r="DA92" i="1"/>
  <c r="CZ92" i="1"/>
  <c r="CT92" i="1" s="1"/>
  <c r="CY92" i="1"/>
  <c r="CS92" i="1" s="1"/>
  <c r="CX92" i="1"/>
  <c r="CV92" i="1"/>
  <c r="CU92" i="1"/>
  <c r="CR92" i="1"/>
  <c r="BZ92" i="1"/>
  <c r="CA92" i="1" s="1"/>
  <c r="BY92" i="1"/>
  <c r="BX92" i="1"/>
  <c r="BW92" i="1"/>
  <c r="BV92" i="1"/>
  <c r="BU92" i="1"/>
  <c r="BT92" i="1"/>
  <c r="BS92" i="1"/>
  <c r="BC92" i="1"/>
  <c r="AS92" i="1"/>
  <c r="AN92" i="1"/>
  <c r="AM92" i="1"/>
  <c r="AL92" i="1"/>
  <c r="AK92" i="1"/>
  <c r="AJ92" i="1"/>
  <c r="AI92" i="1"/>
  <c r="O92" i="1"/>
  <c r="D92" i="1" s="1"/>
  <c r="F92" i="1"/>
  <c r="E92" i="1"/>
  <c r="EA91" i="1"/>
  <c r="DZ91" i="1"/>
  <c r="DY91" i="1"/>
  <c r="DX91" i="1"/>
  <c r="DW91" i="1"/>
  <c r="DV91" i="1"/>
  <c r="DC91" i="1"/>
  <c r="DB91" i="1"/>
  <c r="CV91" i="1" s="1"/>
  <c r="DA91" i="1"/>
  <c r="CU91" i="1" s="1"/>
  <c r="CZ91" i="1"/>
  <c r="CY91" i="1"/>
  <c r="CX91" i="1"/>
  <c r="CR91" i="1" s="1"/>
  <c r="CW91" i="1"/>
  <c r="CT91" i="1"/>
  <c r="CS91" i="1"/>
  <c r="CB91" i="1"/>
  <c r="CA91" i="1"/>
  <c r="BZ91" i="1"/>
  <c r="BY91" i="1"/>
  <c r="BX91" i="1"/>
  <c r="BW91" i="1"/>
  <c r="BV91" i="1"/>
  <c r="BU91" i="1"/>
  <c r="CC91" i="1" s="1"/>
  <c r="BT91" i="1"/>
  <c r="BS91" i="1"/>
  <c r="AS91" i="1"/>
  <c r="AN91" i="1"/>
  <c r="AM91" i="1"/>
  <c r="AL91" i="1"/>
  <c r="AK91" i="1"/>
  <c r="AJ91" i="1"/>
  <c r="AI91" i="1"/>
  <c r="BC91" i="1" s="1"/>
  <c r="O91" i="1"/>
  <c r="D91" i="1" s="1"/>
  <c r="F91" i="1"/>
  <c r="E91" i="1"/>
  <c r="EA90" i="1"/>
  <c r="DZ90" i="1"/>
  <c r="DY90" i="1"/>
  <c r="DX90" i="1"/>
  <c r="DW90" i="1"/>
  <c r="DV90" i="1"/>
  <c r="DC90" i="1"/>
  <c r="CW90" i="1" s="1"/>
  <c r="DB90" i="1"/>
  <c r="DA90" i="1"/>
  <c r="CZ90" i="1"/>
  <c r="CT90" i="1" s="1"/>
  <c r="CY90" i="1"/>
  <c r="CS90" i="1" s="1"/>
  <c r="CX90" i="1"/>
  <c r="CV90" i="1"/>
  <c r="CU90" i="1"/>
  <c r="CR90" i="1"/>
  <c r="BZ90" i="1"/>
  <c r="CA90" i="1" s="1"/>
  <c r="BY90" i="1"/>
  <c r="BX90" i="1"/>
  <c r="BW90" i="1"/>
  <c r="BV90" i="1"/>
  <c r="BU90" i="1"/>
  <c r="CC90" i="1" s="1"/>
  <c r="BT90" i="1"/>
  <c r="BS90" i="1"/>
  <c r="AS90" i="1"/>
  <c r="AN90" i="1"/>
  <c r="AM90" i="1"/>
  <c r="AL90" i="1"/>
  <c r="AK90" i="1"/>
  <c r="AJ90" i="1"/>
  <c r="AI90" i="1"/>
  <c r="BC90" i="1" s="1"/>
  <c r="O90" i="1"/>
  <c r="D90" i="1" s="1"/>
  <c r="F90" i="1"/>
  <c r="E90" i="1"/>
  <c r="EA89" i="1"/>
  <c r="DZ89" i="1"/>
  <c r="DY89" i="1"/>
  <c r="DX89" i="1"/>
  <c r="DW89" i="1"/>
  <c r="DV89" i="1"/>
  <c r="DC89" i="1"/>
  <c r="DB89" i="1"/>
  <c r="CV89" i="1" s="1"/>
  <c r="DA89" i="1"/>
  <c r="CU89" i="1" s="1"/>
  <c r="CZ89" i="1"/>
  <c r="CY89" i="1"/>
  <c r="CX89" i="1"/>
  <c r="CR89" i="1" s="1"/>
  <c r="CW89" i="1"/>
  <c r="CT89" i="1"/>
  <c r="CS89" i="1"/>
  <c r="CB89" i="1"/>
  <c r="CA89" i="1"/>
  <c r="BZ89" i="1"/>
  <c r="BY89" i="1"/>
  <c r="BX89" i="1"/>
  <c r="BW89" i="1"/>
  <c r="BV89" i="1"/>
  <c r="BU89" i="1"/>
  <c r="CC89" i="1" s="1"/>
  <c r="BT89" i="1"/>
  <c r="BS89" i="1"/>
  <c r="AS89" i="1"/>
  <c r="AN89" i="1"/>
  <c r="AM89" i="1"/>
  <c r="AL89" i="1"/>
  <c r="AK89" i="1"/>
  <c r="AJ89" i="1"/>
  <c r="AI89" i="1"/>
  <c r="BC89" i="1" s="1"/>
  <c r="O89" i="1"/>
  <c r="D89" i="1" s="1"/>
  <c r="F89" i="1"/>
  <c r="E89" i="1"/>
  <c r="EA88" i="1"/>
  <c r="DZ88" i="1"/>
  <c r="DY88" i="1"/>
  <c r="DX88" i="1"/>
  <c r="DW88" i="1"/>
  <c r="DV88" i="1"/>
  <c r="DC88" i="1"/>
  <c r="CW88" i="1" s="1"/>
  <c r="DB88" i="1"/>
  <c r="DA88" i="1"/>
  <c r="CZ88" i="1"/>
  <c r="CT88" i="1" s="1"/>
  <c r="CY88" i="1"/>
  <c r="CS88" i="1" s="1"/>
  <c r="CX88" i="1"/>
  <c r="CV88" i="1"/>
  <c r="CU88" i="1"/>
  <c r="CR88" i="1"/>
  <c r="BZ88" i="1"/>
  <c r="CA88" i="1" s="1"/>
  <c r="BY88" i="1"/>
  <c r="BX88" i="1"/>
  <c r="BW88" i="1"/>
  <c r="BV88" i="1"/>
  <c r="BU88" i="1"/>
  <c r="BT88" i="1"/>
  <c r="BS88" i="1"/>
  <c r="AS88" i="1"/>
  <c r="AN88" i="1"/>
  <c r="AM88" i="1"/>
  <c r="AL88" i="1"/>
  <c r="AK88" i="1"/>
  <c r="AJ88" i="1"/>
  <c r="AI88" i="1"/>
  <c r="BC88" i="1" s="1"/>
  <c r="O88" i="1"/>
  <c r="D88" i="1" s="1"/>
  <c r="F88" i="1"/>
  <c r="E88" i="1"/>
  <c r="EA87" i="1"/>
  <c r="DZ87" i="1"/>
  <c r="DY87" i="1"/>
  <c r="DX87" i="1"/>
  <c r="DW87" i="1"/>
  <c r="DV87" i="1"/>
  <c r="DC87" i="1"/>
  <c r="DB87" i="1"/>
  <c r="CV87" i="1" s="1"/>
  <c r="DA87" i="1"/>
  <c r="CU87" i="1" s="1"/>
  <c r="CZ87" i="1"/>
  <c r="CY87" i="1"/>
  <c r="CX87" i="1"/>
  <c r="CR87" i="1" s="1"/>
  <c r="CW87" i="1"/>
  <c r="CT87" i="1"/>
  <c r="CS87" i="1"/>
  <c r="CB87" i="1"/>
  <c r="CA87" i="1"/>
  <c r="BZ87" i="1"/>
  <c r="BY87" i="1"/>
  <c r="BX87" i="1"/>
  <c r="BW87" i="1"/>
  <c r="BV87" i="1"/>
  <c r="BU87" i="1"/>
  <c r="BT87" i="1"/>
  <c r="BS87" i="1"/>
  <c r="AS87" i="1"/>
  <c r="AN87" i="1"/>
  <c r="AM87" i="1"/>
  <c r="AL87" i="1"/>
  <c r="AK87" i="1"/>
  <c r="AJ87" i="1"/>
  <c r="AI87" i="1"/>
  <c r="BC87" i="1" s="1"/>
  <c r="O87" i="1"/>
  <c r="D87" i="1" s="1"/>
  <c r="F87" i="1"/>
  <c r="E87" i="1"/>
  <c r="EA86" i="1"/>
  <c r="DZ86" i="1"/>
  <c r="DY86" i="1"/>
  <c r="DX86" i="1"/>
  <c r="DW86" i="1"/>
  <c r="DV86" i="1"/>
  <c r="DC86" i="1"/>
  <c r="CW86" i="1" s="1"/>
  <c r="DB86" i="1"/>
  <c r="DA86" i="1"/>
  <c r="CZ86" i="1"/>
  <c r="CT86" i="1" s="1"/>
  <c r="CY86" i="1"/>
  <c r="CS86" i="1" s="1"/>
  <c r="CX86" i="1"/>
  <c r="CV86" i="1"/>
  <c r="CU86" i="1"/>
  <c r="CR86" i="1"/>
  <c r="CC86" i="1"/>
  <c r="BZ86" i="1"/>
  <c r="CA86" i="1" s="1"/>
  <c r="BY86" i="1"/>
  <c r="BX86" i="1"/>
  <c r="BW86" i="1"/>
  <c r="BV86" i="1"/>
  <c r="BU86" i="1"/>
  <c r="CB86" i="1" s="1"/>
  <c r="BT86" i="1"/>
  <c r="BS86" i="1"/>
  <c r="AS86" i="1"/>
  <c r="AN86" i="1"/>
  <c r="AM86" i="1"/>
  <c r="AL86" i="1"/>
  <c r="AK86" i="1"/>
  <c r="AJ86" i="1"/>
  <c r="AI86" i="1"/>
  <c r="O86" i="1"/>
  <c r="D86" i="1" s="1"/>
  <c r="F86" i="1"/>
  <c r="E86" i="1"/>
  <c r="EA85" i="1"/>
  <c r="DZ85" i="1"/>
  <c r="DY85" i="1"/>
  <c r="DX85" i="1"/>
  <c r="DW85" i="1"/>
  <c r="DV85" i="1"/>
  <c r="DC85" i="1"/>
  <c r="DB85" i="1"/>
  <c r="CV85" i="1" s="1"/>
  <c r="DA85" i="1"/>
  <c r="CU85" i="1" s="1"/>
  <c r="CZ85" i="1"/>
  <c r="CY85" i="1"/>
  <c r="CX85" i="1"/>
  <c r="CR85" i="1" s="1"/>
  <c r="CW85" i="1"/>
  <c r="CT85" i="1"/>
  <c r="CS85" i="1"/>
  <c r="CB85" i="1"/>
  <c r="CA85" i="1"/>
  <c r="BZ85" i="1"/>
  <c r="BY85" i="1"/>
  <c r="BX85" i="1"/>
  <c r="BW85" i="1"/>
  <c r="BV85" i="1"/>
  <c r="BU85" i="1"/>
  <c r="CC85" i="1" s="1"/>
  <c r="BT85" i="1"/>
  <c r="BS85" i="1"/>
  <c r="AS85" i="1"/>
  <c r="AN85" i="1"/>
  <c r="AM85" i="1"/>
  <c r="AL85" i="1"/>
  <c r="AK85" i="1"/>
  <c r="AJ85" i="1"/>
  <c r="AI85" i="1"/>
  <c r="BC85" i="1" s="1"/>
  <c r="O85" i="1"/>
  <c r="D85" i="1" s="1"/>
  <c r="F85" i="1"/>
  <c r="E85" i="1"/>
  <c r="EA84" i="1"/>
  <c r="DZ84" i="1"/>
  <c r="DY84" i="1"/>
  <c r="DX84" i="1"/>
  <c r="DW84" i="1"/>
  <c r="DV84" i="1"/>
  <c r="DC84" i="1"/>
  <c r="CW84" i="1" s="1"/>
  <c r="DB84" i="1"/>
  <c r="DA84" i="1"/>
  <c r="CZ84" i="1"/>
  <c r="CT84" i="1" s="1"/>
  <c r="CY84" i="1"/>
  <c r="CS84" i="1" s="1"/>
  <c r="CX84" i="1"/>
  <c r="CV84" i="1"/>
  <c r="CU84" i="1"/>
  <c r="CR84" i="1"/>
  <c r="BZ84" i="1"/>
  <c r="CA84" i="1" s="1"/>
  <c r="BY84" i="1"/>
  <c r="BX84" i="1"/>
  <c r="BW84" i="1"/>
  <c r="BV84" i="1"/>
  <c r="BU84" i="1"/>
  <c r="CB84" i="1" s="1"/>
  <c r="BT84" i="1"/>
  <c r="BS84" i="1"/>
  <c r="BA84" i="1"/>
  <c r="BA85" i="1" s="1"/>
  <c r="BA86" i="1" s="1"/>
  <c r="BA87" i="1" s="1"/>
  <c r="BA88" i="1" s="1"/>
  <c r="BA89" i="1" s="1"/>
  <c r="BA90" i="1" s="1"/>
  <c r="BA91" i="1" s="1"/>
  <c r="BA92" i="1" s="1"/>
  <c r="BA93" i="1" s="1"/>
  <c r="BA94" i="1" s="1"/>
  <c r="BA95" i="1" s="1"/>
  <c r="BA96" i="1" s="1"/>
  <c r="BA97" i="1" s="1"/>
  <c r="BA98" i="1" s="1"/>
  <c r="BA99" i="1" s="1"/>
  <c r="BA100" i="1" s="1"/>
  <c r="BA101" i="1" s="1"/>
  <c r="BA102" i="1" s="1"/>
  <c r="BA103" i="1" s="1"/>
  <c r="BA104" i="1" s="1"/>
  <c r="BA105" i="1" s="1"/>
  <c r="BA106" i="1" s="1"/>
  <c r="BA107" i="1" s="1"/>
  <c r="BA108" i="1" s="1"/>
  <c r="BA109" i="1" s="1"/>
  <c r="BA110" i="1" s="1"/>
  <c r="BA111" i="1" s="1"/>
  <c r="BA112" i="1" s="1"/>
  <c r="BA113" i="1" s="1"/>
  <c r="BA114" i="1" s="1"/>
  <c r="BA115" i="1" s="1"/>
  <c r="BA116" i="1" s="1"/>
  <c r="BA117" i="1" s="1"/>
  <c r="BA118" i="1" s="1"/>
  <c r="BA119" i="1" s="1"/>
  <c r="BA120" i="1" s="1"/>
  <c r="BA121" i="1" s="1"/>
  <c r="BA122" i="1" s="1"/>
  <c r="BA123" i="1" s="1"/>
  <c r="BA124" i="1" s="1"/>
  <c r="BA125" i="1" s="1"/>
  <c r="BA126" i="1" s="1"/>
  <c r="BA127" i="1" s="1"/>
  <c r="BA128" i="1" s="1"/>
  <c r="BA129" i="1" s="1"/>
  <c r="BA130" i="1" s="1"/>
  <c r="BA131" i="1" s="1"/>
  <c r="BA132" i="1" s="1"/>
  <c r="BA133" i="1" s="1"/>
  <c r="BA134" i="1" s="1"/>
  <c r="BA135" i="1" s="1"/>
  <c r="BA136" i="1" s="1"/>
  <c r="BA137" i="1" s="1"/>
  <c r="BA138" i="1" s="1"/>
  <c r="BA139" i="1" s="1"/>
  <c r="BA140" i="1" s="1"/>
  <c r="BA141" i="1" s="1"/>
  <c r="BA142" i="1" s="1"/>
  <c r="BA143" i="1" s="1"/>
  <c r="BA144" i="1" s="1"/>
  <c r="BA145" i="1" s="1"/>
  <c r="BA146" i="1" s="1"/>
  <c r="AS84" i="1"/>
  <c r="AN84" i="1"/>
  <c r="AM84" i="1"/>
  <c r="AL84" i="1"/>
  <c r="AK84" i="1"/>
  <c r="AJ84" i="1"/>
  <c r="AI84" i="1"/>
  <c r="O84" i="1"/>
  <c r="D84" i="1" s="1"/>
  <c r="F84" i="1"/>
  <c r="E84" i="1"/>
  <c r="EA83" i="1"/>
  <c r="DZ83" i="1"/>
  <c r="DY83" i="1"/>
  <c r="DX83" i="1"/>
  <c r="DW83" i="1"/>
  <c r="DV83" i="1"/>
  <c r="DC83" i="1"/>
  <c r="DB83" i="1"/>
  <c r="CV83" i="1" s="1"/>
  <c r="DA83" i="1"/>
  <c r="CU83" i="1" s="1"/>
  <c r="CZ83" i="1"/>
  <c r="CY83" i="1"/>
  <c r="CX83" i="1"/>
  <c r="CR83" i="1" s="1"/>
  <c r="CW83" i="1"/>
  <c r="CT83" i="1"/>
  <c r="CS83" i="1"/>
  <c r="CB83" i="1"/>
  <c r="CA83" i="1"/>
  <c r="BZ83" i="1"/>
  <c r="BY83" i="1"/>
  <c r="BX83" i="1"/>
  <c r="BW83" i="1"/>
  <c r="BV83" i="1"/>
  <c r="BU83" i="1"/>
  <c r="BT83" i="1"/>
  <c r="BS83" i="1"/>
  <c r="AS83" i="1"/>
  <c r="AN83" i="1"/>
  <c r="AM83" i="1"/>
  <c r="AL83" i="1"/>
  <c r="AK83" i="1"/>
  <c r="AJ83" i="1"/>
  <c r="AI83" i="1"/>
  <c r="BC83" i="1" s="1"/>
  <c r="O83" i="1"/>
  <c r="D83" i="1" s="1"/>
  <c r="F83" i="1"/>
  <c r="E83" i="1"/>
  <c r="EA82" i="1"/>
  <c r="DZ82" i="1"/>
  <c r="DY82" i="1"/>
  <c r="DX82" i="1"/>
  <c r="DW82" i="1"/>
  <c r="DV82" i="1"/>
  <c r="DC82" i="1"/>
  <c r="CW82" i="1" s="1"/>
  <c r="DB82" i="1"/>
  <c r="CV82" i="1" s="1"/>
  <c r="DA82" i="1"/>
  <c r="CZ82" i="1"/>
  <c r="CY82" i="1"/>
  <c r="CS82" i="1" s="1"/>
  <c r="CX82" i="1"/>
  <c r="CR82" i="1" s="1"/>
  <c r="CU82" i="1"/>
  <c r="CT82" i="1"/>
  <c r="CB82" i="1"/>
  <c r="CA82" i="1"/>
  <c r="BZ82" i="1"/>
  <c r="BY82" i="1"/>
  <c r="BX82" i="1"/>
  <c r="BW82" i="1"/>
  <c r="BV82" i="1"/>
  <c r="BU82" i="1"/>
  <c r="CC82" i="1" s="1"/>
  <c r="BT82" i="1"/>
  <c r="BS82" i="1"/>
  <c r="AS82" i="1"/>
  <c r="AN82" i="1"/>
  <c r="AM82" i="1"/>
  <c r="AL82" i="1"/>
  <c r="AK82" i="1"/>
  <c r="AJ82" i="1"/>
  <c r="AI82" i="1"/>
  <c r="O82" i="1"/>
  <c r="D82" i="1" s="1"/>
  <c r="F82" i="1"/>
  <c r="E82" i="1"/>
  <c r="EA81" i="1"/>
  <c r="DZ81" i="1"/>
  <c r="DY81" i="1"/>
  <c r="DX81" i="1"/>
  <c r="DW81" i="1"/>
  <c r="DV81" i="1"/>
  <c r="DC81" i="1"/>
  <c r="DB81" i="1"/>
  <c r="DA81" i="1"/>
  <c r="CU81" i="1" s="1"/>
  <c r="CZ81" i="1"/>
  <c r="CT81" i="1" s="1"/>
  <c r="CY81" i="1"/>
  <c r="CX81" i="1"/>
  <c r="CW81" i="1"/>
  <c r="CV81" i="1"/>
  <c r="CS81" i="1"/>
  <c r="CR81" i="1"/>
  <c r="CA81" i="1"/>
  <c r="BZ81" i="1"/>
  <c r="BY81" i="1"/>
  <c r="BX81" i="1"/>
  <c r="BW81" i="1"/>
  <c r="BV81" i="1"/>
  <c r="BU81" i="1"/>
  <c r="BT81" i="1"/>
  <c r="BS81" i="1"/>
  <c r="AS81" i="1"/>
  <c r="AN81" i="1"/>
  <c r="AM81" i="1"/>
  <c r="AL81" i="1"/>
  <c r="AK81" i="1"/>
  <c r="AJ81" i="1"/>
  <c r="AI81" i="1"/>
  <c r="BC81" i="1" s="1"/>
  <c r="O81" i="1"/>
  <c r="D81" i="1" s="1"/>
  <c r="F81" i="1"/>
  <c r="E81" i="1"/>
  <c r="EA80" i="1"/>
  <c r="DZ80" i="1"/>
  <c r="DY80" i="1"/>
  <c r="DX80" i="1"/>
  <c r="DW80" i="1"/>
  <c r="DV80" i="1"/>
  <c r="DC80" i="1"/>
  <c r="CW80" i="1" s="1"/>
  <c r="DB80" i="1"/>
  <c r="CV80" i="1" s="1"/>
  <c r="DA80" i="1"/>
  <c r="CZ80" i="1"/>
  <c r="CY80" i="1"/>
  <c r="CS80" i="1" s="1"/>
  <c r="CX80" i="1"/>
  <c r="CR80" i="1" s="1"/>
  <c r="CU80" i="1"/>
  <c r="CT80" i="1"/>
  <c r="CB80" i="1"/>
  <c r="CA80" i="1"/>
  <c r="BZ80" i="1"/>
  <c r="BY80" i="1"/>
  <c r="BX80" i="1"/>
  <c r="BW80" i="1"/>
  <c r="BV80" i="1"/>
  <c r="BU80" i="1"/>
  <c r="CC80" i="1" s="1"/>
  <c r="BT80" i="1"/>
  <c r="BS80" i="1"/>
  <c r="AS80" i="1"/>
  <c r="AN80" i="1"/>
  <c r="AM80" i="1"/>
  <c r="AL80" i="1"/>
  <c r="AK80" i="1"/>
  <c r="AJ80" i="1"/>
  <c r="AI80" i="1"/>
  <c r="O80" i="1"/>
  <c r="D80" i="1" s="1"/>
  <c r="F80" i="1"/>
  <c r="E80" i="1"/>
  <c r="EA79" i="1"/>
  <c r="DZ79" i="1"/>
  <c r="DY79" i="1"/>
  <c r="DX79" i="1"/>
  <c r="DW79" i="1"/>
  <c r="DV79" i="1"/>
  <c r="DC79" i="1"/>
  <c r="DB79" i="1"/>
  <c r="DA79" i="1"/>
  <c r="CU79" i="1" s="1"/>
  <c r="CZ79" i="1"/>
  <c r="CT79" i="1" s="1"/>
  <c r="CY79" i="1"/>
  <c r="CX79" i="1"/>
  <c r="CW79" i="1"/>
  <c r="CV79" i="1"/>
  <c r="CS79" i="1"/>
  <c r="CR79" i="1"/>
  <c r="CA79" i="1"/>
  <c r="BZ79" i="1"/>
  <c r="BY79" i="1"/>
  <c r="BX79" i="1"/>
  <c r="BW79" i="1"/>
  <c r="BV79" i="1"/>
  <c r="BU79" i="1"/>
  <c r="CB79" i="1" s="1"/>
  <c r="BT79" i="1"/>
  <c r="BS79" i="1"/>
  <c r="BC79" i="1"/>
  <c r="AS79" i="1"/>
  <c r="AN79" i="1"/>
  <c r="AM79" i="1"/>
  <c r="AL79" i="1"/>
  <c r="AK79" i="1"/>
  <c r="AJ79" i="1"/>
  <c r="AI79" i="1"/>
  <c r="O79" i="1"/>
  <c r="D79" i="1" s="1"/>
  <c r="F79" i="1"/>
  <c r="E79" i="1"/>
  <c r="EA78" i="1"/>
  <c r="DZ78" i="1"/>
  <c r="DY78" i="1"/>
  <c r="DX78" i="1"/>
  <c r="DW78" i="1"/>
  <c r="DV78" i="1"/>
  <c r="DC78" i="1"/>
  <c r="CW78" i="1" s="1"/>
  <c r="DB78" i="1"/>
  <c r="CV78" i="1" s="1"/>
  <c r="DA78" i="1"/>
  <c r="CZ78" i="1"/>
  <c r="CY78" i="1"/>
  <c r="CS78" i="1" s="1"/>
  <c r="CX78" i="1"/>
  <c r="CR78" i="1" s="1"/>
  <c r="CU78" i="1"/>
  <c r="CT78" i="1"/>
  <c r="CB78" i="1"/>
  <c r="CA78" i="1"/>
  <c r="BZ78" i="1"/>
  <c r="BY78" i="1"/>
  <c r="BX78" i="1"/>
  <c r="BW78" i="1"/>
  <c r="BV78" i="1"/>
  <c r="BU78" i="1"/>
  <c r="CC78" i="1" s="1"/>
  <c r="BT78" i="1"/>
  <c r="BS78" i="1"/>
  <c r="AS78" i="1"/>
  <c r="AN78" i="1"/>
  <c r="AM78" i="1"/>
  <c r="AL78" i="1"/>
  <c r="AK78" i="1"/>
  <c r="AJ78" i="1"/>
  <c r="AI78" i="1"/>
  <c r="O78" i="1"/>
  <c r="F78" i="1"/>
  <c r="E78" i="1"/>
  <c r="D78" i="1"/>
  <c r="EA77" i="1"/>
  <c r="DZ77" i="1"/>
  <c r="DY77" i="1"/>
  <c r="DX77" i="1"/>
  <c r="DW77" i="1"/>
  <c r="DV77" i="1"/>
  <c r="DC77" i="1"/>
  <c r="DB77" i="1"/>
  <c r="DA77" i="1"/>
  <c r="CU77" i="1" s="1"/>
  <c r="CZ77" i="1"/>
  <c r="CT77" i="1" s="1"/>
  <c r="CY77" i="1"/>
  <c r="CX77" i="1"/>
  <c r="CW77" i="1"/>
  <c r="CV77" i="1"/>
  <c r="CS77" i="1"/>
  <c r="CR77" i="1"/>
  <c r="CA77" i="1"/>
  <c r="BZ77" i="1"/>
  <c r="BY77" i="1"/>
  <c r="BX77" i="1"/>
  <c r="BW77" i="1"/>
  <c r="BV77" i="1"/>
  <c r="BU77" i="1"/>
  <c r="BT77" i="1"/>
  <c r="BS77" i="1"/>
  <c r="BC77" i="1"/>
  <c r="AS77" i="1"/>
  <c r="AN77" i="1"/>
  <c r="AM77" i="1"/>
  <c r="AL77" i="1"/>
  <c r="AK77" i="1"/>
  <c r="AJ77" i="1"/>
  <c r="AI77" i="1"/>
  <c r="O77" i="1"/>
  <c r="D77" i="1" s="1"/>
  <c r="F77" i="1"/>
  <c r="E77" i="1"/>
  <c r="EA76" i="1"/>
  <c r="DZ76" i="1"/>
  <c r="DY76" i="1"/>
  <c r="DX76" i="1"/>
  <c r="DW76" i="1"/>
  <c r="DV76" i="1"/>
  <c r="DC76" i="1"/>
  <c r="CW76" i="1" s="1"/>
  <c r="DB76" i="1"/>
  <c r="CV76" i="1" s="1"/>
  <c r="DA76" i="1"/>
  <c r="CZ76" i="1"/>
  <c r="CY76" i="1"/>
  <c r="CS76" i="1" s="1"/>
  <c r="CX76" i="1"/>
  <c r="CR76" i="1" s="1"/>
  <c r="CU76" i="1"/>
  <c r="CT76" i="1"/>
  <c r="CB76" i="1"/>
  <c r="CA76" i="1"/>
  <c r="BZ76" i="1"/>
  <c r="BY76" i="1"/>
  <c r="BX76" i="1"/>
  <c r="BW76" i="1"/>
  <c r="BV76" i="1"/>
  <c r="BU76" i="1"/>
  <c r="CC76" i="1" s="1"/>
  <c r="BT76" i="1"/>
  <c r="BS76" i="1"/>
  <c r="AS76" i="1"/>
  <c r="AN76" i="1"/>
  <c r="AM76" i="1"/>
  <c r="AL76" i="1"/>
  <c r="AK76" i="1"/>
  <c r="AJ76" i="1"/>
  <c r="AI76" i="1"/>
  <c r="O76" i="1"/>
  <c r="F76" i="1"/>
  <c r="E76" i="1"/>
  <c r="D76" i="1"/>
  <c r="EA75" i="1"/>
  <c r="DZ75" i="1"/>
  <c r="DY75" i="1"/>
  <c r="DX75" i="1"/>
  <c r="DW75" i="1"/>
  <c r="DV75" i="1"/>
  <c r="DC75" i="1"/>
  <c r="DB75" i="1"/>
  <c r="DA75" i="1"/>
  <c r="CU75" i="1" s="1"/>
  <c r="CZ75" i="1"/>
  <c r="CT75" i="1" s="1"/>
  <c r="CY75" i="1"/>
  <c r="CX75" i="1"/>
  <c r="CW75" i="1"/>
  <c r="CV75" i="1"/>
  <c r="CS75" i="1"/>
  <c r="CR75" i="1"/>
  <c r="CA75" i="1"/>
  <c r="BZ75" i="1"/>
  <c r="BY75" i="1"/>
  <c r="BX75" i="1"/>
  <c r="BW75" i="1"/>
  <c r="BV75" i="1"/>
  <c r="BU75" i="1"/>
  <c r="CB75" i="1" s="1"/>
  <c r="BT75" i="1"/>
  <c r="BS75" i="1"/>
  <c r="AS75" i="1"/>
  <c r="AN75" i="1"/>
  <c r="AM75" i="1"/>
  <c r="AL75" i="1"/>
  <c r="AK75" i="1"/>
  <c r="AJ75" i="1"/>
  <c r="AI75" i="1"/>
  <c r="BC75" i="1" s="1"/>
  <c r="O75" i="1"/>
  <c r="D75" i="1" s="1"/>
  <c r="F75" i="1"/>
  <c r="E75" i="1"/>
  <c r="EA74" i="1"/>
  <c r="DZ74" i="1"/>
  <c r="DY74" i="1"/>
  <c r="DX74" i="1"/>
  <c r="DW74" i="1"/>
  <c r="DV74" i="1"/>
  <c r="DC74" i="1"/>
  <c r="CW74" i="1" s="1"/>
  <c r="DB74" i="1"/>
  <c r="CV74" i="1" s="1"/>
  <c r="DA74" i="1"/>
  <c r="CZ74" i="1"/>
  <c r="CY74" i="1"/>
  <c r="CS74" i="1" s="1"/>
  <c r="CX74" i="1"/>
  <c r="CR74" i="1" s="1"/>
  <c r="CU74" i="1"/>
  <c r="CT74" i="1"/>
  <c r="CB74" i="1"/>
  <c r="CA74" i="1"/>
  <c r="BZ74" i="1"/>
  <c r="BY74" i="1"/>
  <c r="BX74" i="1"/>
  <c r="BW74" i="1"/>
  <c r="BV74" i="1"/>
  <c r="BU74" i="1"/>
  <c r="CC74" i="1" s="1"/>
  <c r="BT74" i="1"/>
  <c r="BS74" i="1"/>
  <c r="AS74" i="1"/>
  <c r="AN74" i="1"/>
  <c r="AM74" i="1"/>
  <c r="AL74" i="1"/>
  <c r="AK74" i="1"/>
  <c r="AJ74" i="1"/>
  <c r="AI74" i="1"/>
  <c r="O74" i="1"/>
  <c r="D74" i="1" s="1"/>
  <c r="F74" i="1"/>
  <c r="E74" i="1"/>
  <c r="EA73" i="1"/>
  <c r="DZ73" i="1"/>
  <c r="DY73" i="1"/>
  <c r="DX73" i="1"/>
  <c r="DW73" i="1"/>
  <c r="DV73" i="1"/>
  <c r="DC73" i="1"/>
  <c r="DB73" i="1"/>
  <c r="DA73" i="1"/>
  <c r="CU73" i="1" s="1"/>
  <c r="CZ73" i="1"/>
  <c r="CT73" i="1" s="1"/>
  <c r="CY73" i="1"/>
  <c r="CX73" i="1"/>
  <c r="CW73" i="1"/>
  <c r="CV73" i="1"/>
  <c r="CS73" i="1"/>
  <c r="CR73" i="1"/>
  <c r="CA73" i="1"/>
  <c r="BZ73" i="1"/>
  <c r="BY73" i="1"/>
  <c r="BX73" i="1"/>
  <c r="BW73" i="1"/>
  <c r="BV73" i="1"/>
  <c r="BU73" i="1"/>
  <c r="BT73" i="1"/>
  <c r="BS73" i="1"/>
  <c r="AS73" i="1"/>
  <c r="AN73" i="1"/>
  <c r="AM73" i="1"/>
  <c r="AL73" i="1"/>
  <c r="AK73" i="1"/>
  <c r="AJ73" i="1"/>
  <c r="AI73" i="1"/>
  <c r="BC73" i="1" s="1"/>
  <c r="O73" i="1"/>
  <c r="D73" i="1" s="1"/>
  <c r="F73" i="1"/>
  <c r="E73" i="1"/>
  <c r="EA72" i="1"/>
  <c r="DZ72" i="1"/>
  <c r="DY72" i="1"/>
  <c r="DX72" i="1"/>
  <c r="DW72" i="1"/>
  <c r="DV72" i="1"/>
  <c r="DC72" i="1"/>
  <c r="CW72" i="1" s="1"/>
  <c r="DB72" i="1"/>
  <c r="CV72" i="1" s="1"/>
  <c r="DA72" i="1"/>
  <c r="CZ72" i="1"/>
  <c r="CY72" i="1"/>
  <c r="CS72" i="1" s="1"/>
  <c r="CX72" i="1"/>
  <c r="CR72" i="1" s="1"/>
  <c r="CU72" i="1"/>
  <c r="CT72" i="1"/>
  <c r="CB72" i="1"/>
  <c r="CA72" i="1"/>
  <c r="BZ72" i="1"/>
  <c r="BY72" i="1"/>
  <c r="BX72" i="1"/>
  <c r="BW72" i="1"/>
  <c r="BV72" i="1"/>
  <c r="BU72" i="1"/>
  <c r="CC72" i="1" s="1"/>
  <c r="BT72" i="1"/>
  <c r="BS72" i="1"/>
  <c r="AS72" i="1"/>
  <c r="AN72" i="1"/>
  <c r="AM72" i="1"/>
  <c r="AL72" i="1"/>
  <c r="AK72" i="1"/>
  <c r="AJ72" i="1"/>
  <c r="AI72" i="1"/>
  <c r="O72" i="1"/>
  <c r="D72" i="1" s="1"/>
  <c r="F72" i="1"/>
  <c r="E72" i="1"/>
  <c r="EA71" i="1"/>
  <c r="DZ71" i="1"/>
  <c r="DY71" i="1"/>
  <c r="DX71" i="1"/>
  <c r="DW71" i="1"/>
  <c r="DV71" i="1"/>
  <c r="DC71" i="1"/>
  <c r="DB71" i="1"/>
  <c r="DA71" i="1"/>
  <c r="CU71" i="1" s="1"/>
  <c r="CZ71" i="1"/>
  <c r="CT71" i="1" s="1"/>
  <c r="CY71" i="1"/>
  <c r="CX71" i="1"/>
  <c r="CW71" i="1"/>
  <c r="CV71" i="1"/>
  <c r="CS71" i="1"/>
  <c r="CR71" i="1"/>
  <c r="CA71" i="1"/>
  <c r="BZ71" i="1"/>
  <c r="BY71" i="1"/>
  <c r="BX71" i="1"/>
  <c r="BW71" i="1"/>
  <c r="BV71" i="1"/>
  <c r="BU71" i="1"/>
  <c r="CB71" i="1" s="1"/>
  <c r="BT71" i="1"/>
  <c r="BS71" i="1"/>
  <c r="AS71" i="1"/>
  <c r="AN71" i="1"/>
  <c r="AM71" i="1"/>
  <c r="AL71" i="1"/>
  <c r="AK71" i="1"/>
  <c r="AJ71" i="1"/>
  <c r="AI71" i="1"/>
  <c r="BC71" i="1" s="1"/>
  <c r="O71" i="1"/>
  <c r="D71" i="1" s="1"/>
  <c r="F71" i="1"/>
  <c r="E71" i="1"/>
  <c r="EA70" i="1"/>
  <c r="DZ70" i="1"/>
  <c r="DY70" i="1"/>
  <c r="DX70" i="1"/>
  <c r="DW70" i="1"/>
  <c r="DV70" i="1"/>
  <c r="DC70" i="1"/>
  <c r="CW70" i="1" s="1"/>
  <c r="DB70" i="1"/>
  <c r="CV70" i="1" s="1"/>
  <c r="DA70" i="1"/>
  <c r="CZ70" i="1"/>
  <c r="CY70" i="1"/>
  <c r="CS70" i="1" s="1"/>
  <c r="CX70" i="1"/>
  <c r="CR70" i="1" s="1"/>
  <c r="CU70" i="1"/>
  <c r="CT70" i="1"/>
  <c r="CB70" i="1"/>
  <c r="CA70" i="1"/>
  <c r="BZ70" i="1"/>
  <c r="BY70" i="1"/>
  <c r="BX70" i="1"/>
  <c r="BW70" i="1"/>
  <c r="BV70" i="1"/>
  <c r="BU70" i="1"/>
  <c r="CC70" i="1" s="1"/>
  <c r="BT70" i="1"/>
  <c r="BS70" i="1"/>
  <c r="AS70" i="1"/>
  <c r="AN70" i="1"/>
  <c r="AM70" i="1"/>
  <c r="AL70" i="1"/>
  <c r="AK70" i="1"/>
  <c r="AJ70" i="1"/>
  <c r="AI70" i="1"/>
  <c r="O70" i="1"/>
  <c r="D70" i="1" s="1"/>
  <c r="F70" i="1"/>
  <c r="E70" i="1"/>
  <c r="EA69" i="1"/>
  <c r="DZ69" i="1"/>
  <c r="DY69" i="1"/>
  <c r="DX69" i="1"/>
  <c r="DW69" i="1"/>
  <c r="DV69" i="1"/>
  <c r="DC69" i="1"/>
  <c r="DB69" i="1"/>
  <c r="DA69" i="1"/>
  <c r="CU69" i="1" s="1"/>
  <c r="CZ69" i="1"/>
  <c r="CT69" i="1" s="1"/>
  <c r="CY69" i="1"/>
  <c r="CX69" i="1"/>
  <c r="CW69" i="1"/>
  <c r="CV69" i="1"/>
  <c r="CS69" i="1"/>
  <c r="CR69" i="1"/>
  <c r="CA69" i="1"/>
  <c r="BZ69" i="1"/>
  <c r="BY69" i="1"/>
  <c r="BX69" i="1"/>
  <c r="BW69" i="1"/>
  <c r="BV69" i="1"/>
  <c r="BU69" i="1"/>
  <c r="BT69" i="1"/>
  <c r="BS69" i="1"/>
  <c r="BC69" i="1"/>
  <c r="AS69" i="1"/>
  <c r="AN69" i="1"/>
  <c r="AM69" i="1"/>
  <c r="AL69" i="1"/>
  <c r="AK69" i="1"/>
  <c r="AJ69" i="1"/>
  <c r="AI69" i="1"/>
  <c r="O69" i="1"/>
  <c r="D69" i="1" s="1"/>
  <c r="F69" i="1"/>
  <c r="E69" i="1"/>
  <c r="EA68" i="1"/>
  <c r="DZ68" i="1"/>
  <c r="DY68" i="1"/>
  <c r="DX68" i="1"/>
  <c r="DW68" i="1"/>
  <c r="DV68" i="1"/>
  <c r="DC68" i="1"/>
  <c r="CW68" i="1" s="1"/>
  <c r="DB68" i="1"/>
  <c r="CV68" i="1" s="1"/>
  <c r="DA68" i="1"/>
  <c r="CZ68" i="1"/>
  <c r="CY68" i="1"/>
  <c r="CS68" i="1" s="1"/>
  <c r="CX68" i="1"/>
  <c r="CR68" i="1" s="1"/>
  <c r="CU68" i="1"/>
  <c r="CT68" i="1"/>
  <c r="CB68" i="1"/>
  <c r="CA68" i="1"/>
  <c r="BZ68" i="1"/>
  <c r="BY68" i="1"/>
  <c r="BX68" i="1"/>
  <c r="BW68" i="1"/>
  <c r="BV68" i="1"/>
  <c r="BU68" i="1"/>
  <c r="CC68" i="1" s="1"/>
  <c r="BT68" i="1"/>
  <c r="BS68" i="1"/>
  <c r="AS68" i="1"/>
  <c r="AN68" i="1"/>
  <c r="AM68" i="1"/>
  <c r="AL68" i="1"/>
  <c r="AK68" i="1"/>
  <c r="AJ68" i="1"/>
  <c r="AI68" i="1"/>
  <c r="O68" i="1"/>
  <c r="F68" i="1"/>
  <c r="E68" i="1"/>
  <c r="D68" i="1"/>
  <c r="EA67" i="1"/>
  <c r="DZ67" i="1"/>
  <c r="DY67" i="1"/>
  <c r="DX67" i="1"/>
  <c r="DW67" i="1"/>
  <c r="DV67" i="1"/>
  <c r="DC67" i="1"/>
  <c r="DB67" i="1"/>
  <c r="DA67" i="1"/>
  <c r="CU67" i="1" s="1"/>
  <c r="CZ67" i="1"/>
  <c r="CT67" i="1" s="1"/>
  <c r="CY67" i="1"/>
  <c r="CX67" i="1"/>
  <c r="CW67" i="1"/>
  <c r="CV67" i="1"/>
  <c r="CS67" i="1"/>
  <c r="CR67" i="1"/>
  <c r="CA67" i="1"/>
  <c r="BZ67" i="1"/>
  <c r="BY67" i="1"/>
  <c r="BX67" i="1"/>
  <c r="BW67" i="1"/>
  <c r="BV67" i="1"/>
  <c r="BU67" i="1"/>
  <c r="CB67" i="1" s="1"/>
  <c r="BT67" i="1"/>
  <c r="BS67" i="1"/>
  <c r="AS67" i="1"/>
  <c r="AN67" i="1"/>
  <c r="AM67" i="1"/>
  <c r="AL67" i="1"/>
  <c r="AK67" i="1"/>
  <c r="AJ67" i="1"/>
  <c r="AI67" i="1"/>
  <c r="BC67" i="1" s="1"/>
  <c r="O67" i="1"/>
  <c r="D67" i="1" s="1"/>
  <c r="F67" i="1"/>
  <c r="E67" i="1"/>
  <c r="EA66" i="1"/>
  <c r="DZ66" i="1"/>
  <c r="DY66" i="1"/>
  <c r="DX66" i="1"/>
  <c r="DW66" i="1"/>
  <c r="DV66" i="1"/>
  <c r="DC66" i="1"/>
  <c r="CW66" i="1" s="1"/>
  <c r="DB66" i="1"/>
  <c r="CV66" i="1" s="1"/>
  <c r="DA66" i="1"/>
  <c r="CZ66" i="1"/>
  <c r="CY66" i="1"/>
  <c r="CS66" i="1" s="1"/>
  <c r="CX66" i="1"/>
  <c r="CR66" i="1" s="1"/>
  <c r="CU66" i="1"/>
  <c r="CT66" i="1"/>
  <c r="CB66" i="1"/>
  <c r="CA66" i="1"/>
  <c r="BZ66" i="1"/>
  <c r="BY66" i="1"/>
  <c r="BX66" i="1"/>
  <c r="BW66" i="1"/>
  <c r="BV66" i="1"/>
  <c r="BU66" i="1"/>
  <c r="CC66" i="1" s="1"/>
  <c r="BT66" i="1"/>
  <c r="BS66" i="1"/>
  <c r="AS66" i="1"/>
  <c r="AN66" i="1"/>
  <c r="AM66" i="1"/>
  <c r="AL66" i="1"/>
  <c r="AK66" i="1"/>
  <c r="AJ66" i="1"/>
  <c r="AI66" i="1"/>
  <c r="O66" i="1"/>
  <c r="D66" i="1" s="1"/>
  <c r="F66" i="1"/>
  <c r="E66" i="1"/>
  <c r="EA65" i="1"/>
  <c r="DZ65" i="1"/>
  <c r="DY65" i="1"/>
  <c r="DX65" i="1"/>
  <c r="DW65" i="1"/>
  <c r="DV65" i="1"/>
  <c r="DC65" i="1"/>
  <c r="DB65" i="1"/>
  <c r="DA65" i="1"/>
  <c r="CU65" i="1" s="1"/>
  <c r="CZ65" i="1"/>
  <c r="CT65" i="1" s="1"/>
  <c r="CY65" i="1"/>
  <c r="CX65" i="1"/>
  <c r="CW65" i="1"/>
  <c r="CV65" i="1"/>
  <c r="CS65" i="1"/>
  <c r="CR65" i="1"/>
  <c r="CA65" i="1"/>
  <c r="BZ65" i="1"/>
  <c r="BY65" i="1"/>
  <c r="BX65" i="1"/>
  <c r="BW65" i="1"/>
  <c r="BV65" i="1"/>
  <c r="BU65" i="1"/>
  <c r="BT65" i="1"/>
  <c r="BS65" i="1"/>
  <c r="AS65" i="1"/>
  <c r="AN65" i="1"/>
  <c r="AM65" i="1"/>
  <c r="AL65" i="1"/>
  <c r="AK65" i="1"/>
  <c r="AJ65" i="1"/>
  <c r="AI65" i="1"/>
  <c r="BC65" i="1" s="1"/>
  <c r="O65" i="1"/>
  <c r="D65" i="1" s="1"/>
  <c r="F65" i="1"/>
  <c r="E65" i="1"/>
  <c r="EA64" i="1"/>
  <c r="DZ64" i="1"/>
  <c r="DY64" i="1"/>
  <c r="DX64" i="1"/>
  <c r="DW64" i="1"/>
  <c r="DV64" i="1"/>
  <c r="DC64" i="1"/>
  <c r="CW64" i="1" s="1"/>
  <c r="DB64" i="1"/>
  <c r="CV64" i="1" s="1"/>
  <c r="DA64" i="1"/>
  <c r="CZ64" i="1"/>
  <c r="CY64" i="1"/>
  <c r="CS64" i="1" s="1"/>
  <c r="CX64" i="1"/>
  <c r="CR64" i="1" s="1"/>
  <c r="CU64" i="1"/>
  <c r="CT64" i="1"/>
  <c r="CB64" i="1"/>
  <c r="CA64" i="1"/>
  <c r="BZ64" i="1"/>
  <c r="BY64" i="1"/>
  <c r="BX64" i="1"/>
  <c r="BW64" i="1"/>
  <c r="BV64" i="1"/>
  <c r="BU64" i="1"/>
  <c r="CC64" i="1" s="1"/>
  <c r="BT64" i="1"/>
  <c r="BS64" i="1"/>
  <c r="AS64" i="1"/>
  <c r="AN64" i="1"/>
  <c r="AM64" i="1"/>
  <c r="AL64" i="1"/>
  <c r="AK64" i="1"/>
  <c r="AJ64" i="1"/>
  <c r="AI64" i="1"/>
  <c r="O64" i="1"/>
  <c r="D64" i="1" s="1"/>
  <c r="F64" i="1"/>
  <c r="E64" i="1"/>
  <c r="EA63" i="1"/>
  <c r="DZ63" i="1"/>
  <c r="DY63" i="1"/>
  <c r="DX63" i="1"/>
  <c r="DW63" i="1"/>
  <c r="DV63" i="1"/>
  <c r="DC63" i="1"/>
  <c r="DB63" i="1"/>
  <c r="DA63" i="1"/>
  <c r="CU63" i="1" s="1"/>
  <c r="CZ63" i="1"/>
  <c r="CT63" i="1" s="1"/>
  <c r="CY63" i="1"/>
  <c r="CX63" i="1"/>
  <c r="CW63" i="1"/>
  <c r="CV63" i="1"/>
  <c r="CS63" i="1"/>
  <c r="CR63" i="1"/>
  <c r="CA63" i="1"/>
  <c r="BZ63" i="1"/>
  <c r="BY63" i="1"/>
  <c r="BX63" i="1"/>
  <c r="BW63" i="1"/>
  <c r="BV63" i="1"/>
  <c r="BU63" i="1"/>
  <c r="CB63" i="1" s="1"/>
  <c r="BT63" i="1"/>
  <c r="BS63" i="1"/>
  <c r="AS63" i="1"/>
  <c r="AN63" i="1"/>
  <c r="AM63" i="1"/>
  <c r="AL63" i="1"/>
  <c r="AK63" i="1"/>
  <c r="AJ63" i="1"/>
  <c r="AI63" i="1"/>
  <c r="BC63" i="1" s="1"/>
  <c r="O63" i="1"/>
  <c r="D63" i="1" s="1"/>
  <c r="F63" i="1"/>
  <c r="E63" i="1"/>
  <c r="EA62" i="1"/>
  <c r="DZ62" i="1"/>
  <c r="DY62" i="1"/>
  <c r="DX62" i="1"/>
  <c r="DW62" i="1"/>
  <c r="DV62" i="1"/>
  <c r="DC62" i="1"/>
  <c r="CW62" i="1" s="1"/>
  <c r="DB62" i="1"/>
  <c r="CV62" i="1" s="1"/>
  <c r="DA62" i="1"/>
  <c r="CZ62" i="1"/>
  <c r="CY62" i="1"/>
  <c r="CS62" i="1" s="1"/>
  <c r="CX62" i="1"/>
  <c r="CR62" i="1" s="1"/>
  <c r="CU62" i="1"/>
  <c r="CT62" i="1"/>
  <c r="CB62" i="1"/>
  <c r="CA62" i="1"/>
  <c r="BZ62" i="1"/>
  <c r="BY62" i="1"/>
  <c r="BX62" i="1"/>
  <c r="BW62" i="1"/>
  <c r="BV62" i="1"/>
  <c r="BU62" i="1"/>
  <c r="CC62" i="1" s="1"/>
  <c r="BT62" i="1"/>
  <c r="BS62" i="1"/>
  <c r="AS62" i="1"/>
  <c r="AN62" i="1"/>
  <c r="AM62" i="1"/>
  <c r="AL62" i="1"/>
  <c r="AK62" i="1"/>
  <c r="AJ62" i="1"/>
  <c r="AI62" i="1"/>
  <c r="O62" i="1"/>
  <c r="F62" i="1"/>
  <c r="E62" i="1"/>
  <c r="D62" i="1"/>
  <c r="EA61" i="1"/>
  <c r="DZ61" i="1"/>
  <c r="DY61" i="1"/>
  <c r="DX61" i="1"/>
  <c r="DW61" i="1"/>
  <c r="DV61" i="1"/>
  <c r="DC61" i="1"/>
  <c r="DB61" i="1"/>
  <c r="DA61" i="1"/>
  <c r="CU61" i="1" s="1"/>
  <c r="CZ61" i="1"/>
  <c r="CT61" i="1" s="1"/>
  <c r="CY61" i="1"/>
  <c r="CX61" i="1"/>
  <c r="CW61" i="1"/>
  <c r="CV61" i="1"/>
  <c r="CS61" i="1"/>
  <c r="CR61" i="1"/>
  <c r="CA61" i="1"/>
  <c r="BZ61" i="1"/>
  <c r="BY61" i="1"/>
  <c r="BX61" i="1"/>
  <c r="BW61" i="1"/>
  <c r="BV61" i="1"/>
  <c r="BU61" i="1"/>
  <c r="BT61" i="1"/>
  <c r="BS61" i="1"/>
  <c r="BC61" i="1"/>
  <c r="AS61" i="1"/>
  <c r="AN61" i="1"/>
  <c r="AM61" i="1"/>
  <c r="AL61" i="1"/>
  <c r="AK61" i="1"/>
  <c r="AJ61" i="1"/>
  <c r="AI61" i="1"/>
  <c r="O61" i="1"/>
  <c r="D61" i="1" s="1"/>
  <c r="F61" i="1"/>
  <c r="E61" i="1"/>
  <c r="EA60" i="1"/>
  <c r="DZ60" i="1"/>
  <c r="DY60" i="1"/>
  <c r="DX60" i="1"/>
  <c r="DW60" i="1"/>
  <c r="DV60" i="1"/>
  <c r="DC60" i="1"/>
  <c r="CW60" i="1" s="1"/>
  <c r="DB60" i="1"/>
  <c r="CV60" i="1" s="1"/>
  <c r="DA60" i="1"/>
  <c r="CZ60" i="1"/>
  <c r="CY60" i="1"/>
  <c r="CS60" i="1" s="1"/>
  <c r="CX60" i="1"/>
  <c r="CR60" i="1" s="1"/>
  <c r="CU60" i="1"/>
  <c r="CT60" i="1"/>
  <c r="CB60" i="1"/>
  <c r="CA60" i="1"/>
  <c r="BZ60" i="1"/>
  <c r="BY60" i="1"/>
  <c r="BX60" i="1"/>
  <c r="BW60" i="1"/>
  <c r="BV60" i="1"/>
  <c r="BU60" i="1"/>
  <c r="CC60" i="1" s="1"/>
  <c r="BT60" i="1"/>
  <c r="BS60" i="1"/>
  <c r="AS60" i="1"/>
  <c r="AN60" i="1"/>
  <c r="AM60" i="1"/>
  <c r="AL60" i="1"/>
  <c r="AK60" i="1"/>
  <c r="AJ60" i="1"/>
  <c r="AI60" i="1"/>
  <c r="O60" i="1"/>
  <c r="D60" i="1" s="1"/>
  <c r="F60" i="1"/>
  <c r="E60" i="1"/>
  <c r="EA59" i="1"/>
  <c r="DZ59" i="1"/>
  <c r="DY59" i="1"/>
  <c r="DX59" i="1"/>
  <c r="DW59" i="1"/>
  <c r="DV59" i="1"/>
  <c r="DC59" i="1"/>
  <c r="DB59" i="1"/>
  <c r="DA59" i="1"/>
  <c r="CU59" i="1" s="1"/>
  <c r="CZ59" i="1"/>
  <c r="CT59" i="1" s="1"/>
  <c r="CY59" i="1"/>
  <c r="CX59" i="1"/>
  <c r="CW59" i="1"/>
  <c r="CV59" i="1"/>
  <c r="CS59" i="1"/>
  <c r="CR59" i="1"/>
  <c r="CA59" i="1"/>
  <c r="BZ59" i="1"/>
  <c r="BY59" i="1"/>
  <c r="BX59" i="1"/>
  <c r="BW59" i="1"/>
  <c r="BV59" i="1"/>
  <c r="BU59" i="1"/>
  <c r="CB59" i="1" s="1"/>
  <c r="BT59" i="1"/>
  <c r="BS59" i="1"/>
  <c r="AS59" i="1"/>
  <c r="AN59" i="1"/>
  <c r="AM59" i="1"/>
  <c r="AL59" i="1"/>
  <c r="AK59" i="1"/>
  <c r="AJ59" i="1"/>
  <c r="AI59" i="1"/>
  <c r="BC59" i="1" s="1"/>
  <c r="O59" i="1"/>
  <c r="D59" i="1" s="1"/>
  <c r="F59" i="1"/>
  <c r="E59" i="1"/>
  <c r="EA58" i="1"/>
  <c r="DZ58" i="1"/>
  <c r="DY58" i="1"/>
  <c r="DX58" i="1"/>
  <c r="DW58" i="1"/>
  <c r="DV58" i="1"/>
  <c r="DC58" i="1"/>
  <c r="CW58" i="1" s="1"/>
  <c r="DB58" i="1"/>
  <c r="CV58" i="1" s="1"/>
  <c r="DA58" i="1"/>
  <c r="CZ58" i="1"/>
  <c r="CY58" i="1"/>
  <c r="CS58" i="1" s="1"/>
  <c r="CX58" i="1"/>
  <c r="CR58" i="1" s="1"/>
  <c r="CU58" i="1"/>
  <c r="CT58" i="1"/>
  <c r="CB58" i="1"/>
  <c r="CA58" i="1"/>
  <c r="BZ58" i="1"/>
  <c r="BY58" i="1"/>
  <c r="BX58" i="1"/>
  <c r="BW58" i="1"/>
  <c r="BV58" i="1"/>
  <c r="BU58" i="1"/>
  <c r="CC58" i="1" s="1"/>
  <c r="BT58" i="1"/>
  <c r="BS58" i="1"/>
  <c r="AS58" i="1"/>
  <c r="AN58" i="1"/>
  <c r="AM58" i="1"/>
  <c r="AL58" i="1"/>
  <c r="AK58" i="1"/>
  <c r="AJ58" i="1"/>
  <c r="AI58" i="1"/>
  <c r="O58" i="1"/>
  <c r="D58" i="1" s="1"/>
  <c r="F58" i="1"/>
  <c r="E58" i="1"/>
  <c r="EA57" i="1"/>
  <c r="DZ57" i="1"/>
  <c r="DY57" i="1"/>
  <c r="DX57" i="1"/>
  <c r="DW57" i="1"/>
  <c r="DV57" i="1"/>
  <c r="DC57" i="1"/>
  <c r="DB57" i="1"/>
  <c r="DA57" i="1"/>
  <c r="CU57" i="1" s="1"/>
  <c r="CZ57" i="1"/>
  <c r="CT57" i="1" s="1"/>
  <c r="CY57" i="1"/>
  <c r="CX57" i="1"/>
  <c r="CW57" i="1"/>
  <c r="CV57" i="1"/>
  <c r="CS57" i="1"/>
  <c r="CR57" i="1"/>
  <c r="CA57" i="1"/>
  <c r="BZ57" i="1"/>
  <c r="BY57" i="1"/>
  <c r="BX57" i="1"/>
  <c r="BW57" i="1"/>
  <c r="BV57" i="1"/>
  <c r="BU57" i="1"/>
  <c r="BT57" i="1"/>
  <c r="BS57" i="1"/>
  <c r="AS57" i="1"/>
  <c r="AN57" i="1"/>
  <c r="AM57" i="1"/>
  <c r="AL57" i="1"/>
  <c r="AK57" i="1"/>
  <c r="AJ57" i="1"/>
  <c r="AI57" i="1"/>
  <c r="BC57" i="1" s="1"/>
  <c r="O57" i="1"/>
  <c r="D57" i="1" s="1"/>
  <c r="F57" i="1"/>
  <c r="E57" i="1"/>
  <c r="EA56" i="1"/>
  <c r="DZ56" i="1"/>
  <c r="DY56" i="1"/>
  <c r="DX56" i="1"/>
  <c r="DW56" i="1"/>
  <c r="DV56" i="1"/>
  <c r="DC56" i="1"/>
  <c r="CW56" i="1" s="1"/>
  <c r="DB56" i="1"/>
  <c r="CV56" i="1" s="1"/>
  <c r="DA56" i="1"/>
  <c r="CZ56" i="1"/>
  <c r="CY56" i="1"/>
  <c r="CS56" i="1" s="1"/>
  <c r="CX56" i="1"/>
  <c r="CR56" i="1" s="1"/>
  <c r="CU56" i="1"/>
  <c r="CT56" i="1"/>
  <c r="CB56" i="1"/>
  <c r="CA56" i="1"/>
  <c r="BZ56" i="1"/>
  <c r="BY56" i="1"/>
  <c r="BX56" i="1"/>
  <c r="BW56" i="1"/>
  <c r="BV56" i="1"/>
  <c r="BU56" i="1"/>
  <c r="CC56" i="1" s="1"/>
  <c r="BT56" i="1"/>
  <c r="BS56" i="1"/>
  <c r="AS56" i="1"/>
  <c r="AN56" i="1"/>
  <c r="AM56" i="1"/>
  <c r="AL56" i="1"/>
  <c r="AK56" i="1"/>
  <c r="AJ56" i="1"/>
  <c r="AI56" i="1"/>
  <c r="O56" i="1"/>
  <c r="D56" i="1" s="1"/>
  <c r="F56" i="1"/>
  <c r="E56" i="1"/>
  <c r="EA55" i="1"/>
  <c r="DZ55" i="1"/>
  <c r="DY55" i="1"/>
  <c r="DX55" i="1"/>
  <c r="DW55" i="1"/>
  <c r="DV55" i="1"/>
  <c r="DC55" i="1"/>
  <c r="DB55" i="1"/>
  <c r="DA55" i="1"/>
  <c r="CU55" i="1" s="1"/>
  <c r="CZ55" i="1"/>
  <c r="CT55" i="1" s="1"/>
  <c r="CY55" i="1"/>
  <c r="CX55" i="1"/>
  <c r="CW55" i="1"/>
  <c r="CV55" i="1"/>
  <c r="CS55" i="1"/>
  <c r="CR55" i="1"/>
  <c r="CA55" i="1"/>
  <c r="BZ55" i="1"/>
  <c r="BY55" i="1"/>
  <c r="BX55" i="1"/>
  <c r="BW55" i="1"/>
  <c r="BV55" i="1"/>
  <c r="BU55" i="1"/>
  <c r="CB55" i="1" s="1"/>
  <c r="BT55" i="1"/>
  <c r="BS55" i="1"/>
  <c r="AS55" i="1"/>
  <c r="AN55" i="1"/>
  <c r="AM55" i="1"/>
  <c r="AL55" i="1"/>
  <c r="AK55" i="1"/>
  <c r="AJ55" i="1"/>
  <c r="AI55" i="1"/>
  <c r="BC55" i="1" s="1"/>
  <c r="O55" i="1"/>
  <c r="D55" i="1" s="1"/>
  <c r="F55" i="1"/>
  <c r="E55" i="1"/>
  <c r="EA54" i="1"/>
  <c r="DZ54" i="1"/>
  <c r="DY54" i="1"/>
  <c r="DX54" i="1"/>
  <c r="DW54" i="1"/>
  <c r="DV54" i="1"/>
  <c r="DC54" i="1"/>
  <c r="CW54" i="1" s="1"/>
  <c r="DB54" i="1"/>
  <c r="CV54" i="1" s="1"/>
  <c r="DA54" i="1"/>
  <c r="CZ54" i="1"/>
  <c r="CY54" i="1"/>
  <c r="CS54" i="1" s="1"/>
  <c r="CX54" i="1"/>
  <c r="CR54" i="1" s="1"/>
  <c r="CU54" i="1"/>
  <c r="CT54" i="1"/>
  <c r="CB54" i="1"/>
  <c r="CA54" i="1"/>
  <c r="BZ54" i="1"/>
  <c r="BY54" i="1"/>
  <c r="BX54" i="1"/>
  <c r="BW54" i="1"/>
  <c r="BV54" i="1"/>
  <c r="BU54" i="1"/>
  <c r="CC54" i="1" s="1"/>
  <c r="BT54" i="1"/>
  <c r="BS54" i="1"/>
  <c r="AS54" i="1"/>
  <c r="AN54" i="1"/>
  <c r="AM54" i="1"/>
  <c r="AL54" i="1"/>
  <c r="AK54" i="1"/>
  <c r="AJ54" i="1"/>
  <c r="AI54" i="1"/>
  <c r="F54" i="1"/>
  <c r="E54" i="1"/>
  <c r="D54" i="1"/>
  <c r="EA53" i="1"/>
  <c r="DZ53" i="1"/>
  <c r="DY53" i="1"/>
  <c r="DX53" i="1"/>
  <c r="DW53" i="1"/>
  <c r="DV53" i="1"/>
  <c r="DC53" i="1"/>
  <c r="DB53" i="1"/>
  <c r="DA53" i="1"/>
  <c r="CU53" i="1" s="1"/>
  <c r="CZ53" i="1"/>
  <c r="CT53" i="1" s="1"/>
  <c r="CY53" i="1"/>
  <c r="CX53" i="1"/>
  <c r="CW53" i="1"/>
  <c r="CV53" i="1"/>
  <c r="CS53" i="1"/>
  <c r="CR53" i="1"/>
  <c r="CA53" i="1"/>
  <c r="BZ53" i="1"/>
  <c r="BY53" i="1"/>
  <c r="BX53" i="1"/>
  <c r="BW53" i="1"/>
  <c r="BV53" i="1"/>
  <c r="BU53" i="1"/>
  <c r="BT53" i="1"/>
  <c r="BS53" i="1"/>
  <c r="AS53" i="1"/>
  <c r="AN53" i="1"/>
  <c r="AM53" i="1"/>
  <c r="AL53" i="1"/>
  <c r="AK53" i="1"/>
  <c r="AJ53" i="1"/>
  <c r="AI53" i="1"/>
  <c r="BC53" i="1" s="1"/>
  <c r="D53" i="1"/>
  <c r="F53" i="1"/>
  <c r="E53" i="1"/>
  <c r="EA52" i="1"/>
  <c r="DZ52" i="1"/>
  <c r="DY52" i="1"/>
  <c r="DX52" i="1"/>
  <c r="DW52" i="1"/>
  <c r="DV52" i="1"/>
  <c r="DC52" i="1"/>
  <c r="CW52" i="1" s="1"/>
  <c r="DB52" i="1"/>
  <c r="CV52" i="1" s="1"/>
  <c r="DA52" i="1"/>
  <c r="CZ52" i="1"/>
  <c r="CY52" i="1"/>
  <c r="CS52" i="1" s="1"/>
  <c r="CX52" i="1"/>
  <c r="CR52" i="1" s="1"/>
  <c r="CU52" i="1"/>
  <c r="CT52" i="1"/>
  <c r="CB52" i="1"/>
  <c r="CA52" i="1"/>
  <c r="BZ52" i="1"/>
  <c r="BY52" i="1"/>
  <c r="BX52" i="1"/>
  <c r="BW52" i="1"/>
  <c r="BV52" i="1"/>
  <c r="BU52" i="1"/>
  <c r="CC52" i="1" s="1"/>
  <c r="BT52" i="1"/>
  <c r="BS52" i="1"/>
  <c r="AS52" i="1"/>
  <c r="AN52" i="1"/>
  <c r="AM52" i="1"/>
  <c r="AL52" i="1"/>
  <c r="AK52" i="1"/>
  <c r="AJ52" i="1"/>
  <c r="AI52" i="1"/>
  <c r="F52" i="1"/>
  <c r="E52" i="1"/>
  <c r="D52" i="1"/>
  <c r="EA51" i="1"/>
  <c r="DZ51" i="1"/>
  <c r="DY51" i="1"/>
  <c r="DX51" i="1"/>
  <c r="DW51" i="1"/>
  <c r="DV51" i="1"/>
  <c r="DC51" i="1"/>
  <c r="DB51" i="1"/>
  <c r="DA51" i="1"/>
  <c r="CU51" i="1" s="1"/>
  <c r="CZ51" i="1"/>
  <c r="CT51" i="1" s="1"/>
  <c r="CY51" i="1"/>
  <c r="CX51" i="1"/>
  <c r="CW51" i="1"/>
  <c r="CV51" i="1"/>
  <c r="CS51" i="1"/>
  <c r="CR51" i="1"/>
  <c r="CA51" i="1"/>
  <c r="BZ51" i="1"/>
  <c r="BY51" i="1"/>
  <c r="BX51" i="1"/>
  <c r="BW51" i="1"/>
  <c r="BV51" i="1"/>
  <c r="BU51" i="1"/>
  <c r="CB51" i="1" s="1"/>
  <c r="BT51" i="1"/>
  <c r="BS51" i="1"/>
  <c r="AS51" i="1"/>
  <c r="AN51" i="1"/>
  <c r="AM51" i="1"/>
  <c r="AL51" i="1"/>
  <c r="AK51" i="1"/>
  <c r="AJ51" i="1"/>
  <c r="AI51" i="1"/>
  <c r="BC51" i="1" s="1"/>
  <c r="D51" i="1"/>
  <c r="F51" i="1"/>
  <c r="E51" i="1"/>
  <c r="EA50" i="1"/>
  <c r="DZ50" i="1"/>
  <c r="DY50" i="1"/>
  <c r="DX50" i="1"/>
  <c r="DW50" i="1"/>
  <c r="DV50" i="1"/>
  <c r="DC50" i="1"/>
  <c r="CW50" i="1" s="1"/>
  <c r="DB50" i="1"/>
  <c r="CV50" i="1" s="1"/>
  <c r="DA50" i="1"/>
  <c r="CZ50" i="1"/>
  <c r="CY50" i="1"/>
  <c r="CS50" i="1" s="1"/>
  <c r="CX50" i="1"/>
  <c r="CR50" i="1" s="1"/>
  <c r="CU50" i="1"/>
  <c r="CT50" i="1"/>
  <c r="CB50" i="1"/>
  <c r="CA50" i="1"/>
  <c r="BZ50" i="1"/>
  <c r="BY50" i="1"/>
  <c r="BX50" i="1"/>
  <c r="BW50" i="1"/>
  <c r="BV50" i="1"/>
  <c r="BU50" i="1"/>
  <c r="CC50" i="1" s="1"/>
  <c r="BT50" i="1"/>
  <c r="BS50" i="1"/>
  <c r="AS50" i="1"/>
  <c r="AN50" i="1"/>
  <c r="AM50" i="1"/>
  <c r="AL50" i="1"/>
  <c r="AK50" i="1"/>
  <c r="AJ50" i="1"/>
  <c r="AI50" i="1"/>
  <c r="F50" i="1"/>
  <c r="E50" i="1"/>
  <c r="D50" i="1"/>
  <c r="EA49" i="1"/>
  <c r="DZ49" i="1"/>
  <c r="DY49" i="1"/>
  <c r="DX49" i="1"/>
  <c r="DW49" i="1"/>
  <c r="DV49" i="1"/>
  <c r="DC49" i="1"/>
  <c r="DB49" i="1"/>
  <c r="DA49" i="1"/>
  <c r="CU49" i="1" s="1"/>
  <c r="CZ49" i="1"/>
  <c r="CT49" i="1" s="1"/>
  <c r="CY49" i="1"/>
  <c r="CX49" i="1"/>
  <c r="CW49" i="1"/>
  <c r="CV49" i="1"/>
  <c r="CS49" i="1"/>
  <c r="CR49" i="1"/>
  <c r="CA49" i="1"/>
  <c r="BZ49" i="1"/>
  <c r="BY49" i="1"/>
  <c r="BX49" i="1"/>
  <c r="BW49" i="1"/>
  <c r="BV49" i="1"/>
  <c r="BU49" i="1"/>
  <c r="BT49" i="1"/>
  <c r="BS49" i="1"/>
  <c r="AS49" i="1"/>
  <c r="AN49" i="1"/>
  <c r="AM49" i="1"/>
  <c r="AL49" i="1"/>
  <c r="AK49" i="1"/>
  <c r="AJ49" i="1"/>
  <c r="AI49" i="1"/>
  <c r="BC49" i="1" s="1"/>
  <c r="D49" i="1"/>
  <c r="F49" i="1"/>
  <c r="E49" i="1"/>
  <c r="EA48" i="1"/>
  <c r="DZ48" i="1"/>
  <c r="DY48" i="1"/>
  <c r="DX48" i="1"/>
  <c r="DW48" i="1"/>
  <c r="DV48" i="1"/>
  <c r="DC48" i="1"/>
  <c r="CW48" i="1" s="1"/>
  <c r="DB48" i="1"/>
  <c r="CV48" i="1" s="1"/>
  <c r="DA48" i="1"/>
  <c r="CZ48" i="1"/>
  <c r="CY48" i="1"/>
  <c r="CS48" i="1" s="1"/>
  <c r="CX48" i="1"/>
  <c r="CR48" i="1" s="1"/>
  <c r="CU48" i="1"/>
  <c r="CT48" i="1"/>
  <c r="CB48" i="1"/>
  <c r="CA48" i="1"/>
  <c r="BZ48" i="1"/>
  <c r="BY48" i="1"/>
  <c r="BX48" i="1"/>
  <c r="BW48" i="1"/>
  <c r="BV48" i="1"/>
  <c r="BU48" i="1"/>
  <c r="CC48" i="1" s="1"/>
  <c r="BT48" i="1"/>
  <c r="BS48" i="1"/>
  <c r="AS48" i="1"/>
  <c r="AN48" i="1"/>
  <c r="AM48" i="1"/>
  <c r="AL48" i="1"/>
  <c r="AK48" i="1"/>
  <c r="AJ48" i="1"/>
  <c r="AI48" i="1"/>
  <c r="D48" i="1"/>
  <c r="F48" i="1"/>
  <c r="E48" i="1"/>
  <c r="EA47" i="1"/>
  <c r="DZ47" i="1"/>
  <c r="DY47" i="1"/>
  <c r="DX47" i="1"/>
  <c r="DW47" i="1"/>
  <c r="DV47" i="1"/>
  <c r="DC47" i="1"/>
  <c r="DB47" i="1"/>
  <c r="DA47" i="1"/>
  <c r="CU47" i="1" s="1"/>
  <c r="CZ47" i="1"/>
  <c r="CT47" i="1" s="1"/>
  <c r="CY47" i="1"/>
  <c r="CX47" i="1"/>
  <c r="CW47" i="1"/>
  <c r="CV47" i="1"/>
  <c r="CS47" i="1"/>
  <c r="CR47" i="1"/>
  <c r="CA47" i="1"/>
  <c r="BZ47" i="1"/>
  <c r="BY47" i="1"/>
  <c r="BX47" i="1"/>
  <c r="BW47" i="1"/>
  <c r="BV47" i="1"/>
  <c r="BU47" i="1"/>
  <c r="CB47" i="1" s="1"/>
  <c r="BT47" i="1"/>
  <c r="BS47" i="1"/>
  <c r="AS47" i="1"/>
  <c r="AN47" i="1"/>
  <c r="AM47" i="1"/>
  <c r="AL47" i="1"/>
  <c r="AK47" i="1"/>
  <c r="AJ47" i="1"/>
  <c r="AI47" i="1"/>
  <c r="BC47" i="1" s="1"/>
  <c r="D47" i="1"/>
  <c r="F47" i="1"/>
  <c r="E47" i="1"/>
  <c r="EA46" i="1"/>
  <c r="DZ46" i="1"/>
  <c r="DY46" i="1"/>
  <c r="DX46" i="1"/>
  <c r="DW46" i="1"/>
  <c r="DV46" i="1"/>
  <c r="DC46" i="1"/>
  <c r="CW46" i="1" s="1"/>
  <c r="DB46" i="1"/>
  <c r="CV46" i="1" s="1"/>
  <c r="DA46" i="1"/>
  <c r="CZ46" i="1"/>
  <c r="CY46" i="1"/>
  <c r="CS46" i="1" s="1"/>
  <c r="CX46" i="1"/>
  <c r="CR46" i="1" s="1"/>
  <c r="CU46" i="1"/>
  <c r="CT46" i="1"/>
  <c r="CB46" i="1"/>
  <c r="CA46" i="1"/>
  <c r="BZ46" i="1"/>
  <c r="BY46" i="1"/>
  <c r="BX46" i="1"/>
  <c r="BW46" i="1"/>
  <c r="BV46" i="1"/>
  <c r="BU46" i="1"/>
  <c r="CC46" i="1" s="1"/>
  <c r="BT46" i="1"/>
  <c r="BS46" i="1"/>
  <c r="AS46" i="1"/>
  <c r="AN46" i="1"/>
  <c r="AM46" i="1"/>
  <c r="AL46" i="1"/>
  <c r="AK46" i="1"/>
  <c r="AJ46" i="1"/>
  <c r="AI46" i="1"/>
  <c r="F46" i="1"/>
  <c r="E46" i="1"/>
  <c r="D46" i="1"/>
  <c r="EA45" i="1"/>
  <c r="DZ45" i="1"/>
  <c r="DY45" i="1"/>
  <c r="DX45" i="1"/>
  <c r="DW45" i="1"/>
  <c r="DV45" i="1"/>
  <c r="DC45" i="1"/>
  <c r="DB45" i="1"/>
  <c r="DA45" i="1"/>
  <c r="CU45" i="1" s="1"/>
  <c r="CZ45" i="1"/>
  <c r="CT45" i="1" s="1"/>
  <c r="CY45" i="1"/>
  <c r="CX45" i="1"/>
  <c r="CW45" i="1"/>
  <c r="CV45" i="1"/>
  <c r="CS45" i="1"/>
  <c r="CR45" i="1"/>
  <c r="CA45" i="1"/>
  <c r="BZ45" i="1"/>
  <c r="BY45" i="1"/>
  <c r="BX45" i="1"/>
  <c r="BW45" i="1"/>
  <c r="BV45" i="1"/>
  <c r="BU45" i="1"/>
  <c r="BT45" i="1"/>
  <c r="BS45" i="1"/>
  <c r="BC45" i="1"/>
  <c r="AS45" i="1"/>
  <c r="AN45" i="1"/>
  <c r="AM45" i="1"/>
  <c r="AL45" i="1"/>
  <c r="AK45" i="1"/>
  <c r="AJ45" i="1"/>
  <c r="AI45" i="1"/>
  <c r="D45" i="1"/>
  <c r="F45" i="1"/>
  <c r="E45" i="1"/>
  <c r="EA44" i="1"/>
  <c r="DZ44" i="1"/>
  <c r="DY44" i="1"/>
  <c r="DX44" i="1"/>
  <c r="DW44" i="1"/>
  <c r="DV44" i="1"/>
  <c r="DC44" i="1"/>
  <c r="CW44" i="1" s="1"/>
  <c r="DB44" i="1"/>
  <c r="CV44" i="1" s="1"/>
  <c r="DA44" i="1"/>
  <c r="CZ44" i="1"/>
  <c r="CY44" i="1"/>
  <c r="CS44" i="1" s="1"/>
  <c r="CX44" i="1"/>
  <c r="CR44" i="1" s="1"/>
  <c r="CU44" i="1"/>
  <c r="CT44" i="1"/>
  <c r="CB44" i="1"/>
  <c r="CA44" i="1"/>
  <c r="BZ44" i="1"/>
  <c r="BY44" i="1"/>
  <c r="BX44" i="1"/>
  <c r="BW44" i="1"/>
  <c r="BV44" i="1"/>
  <c r="BU44" i="1"/>
  <c r="CC44" i="1" s="1"/>
  <c r="BT44" i="1"/>
  <c r="BS44" i="1"/>
  <c r="BA44" i="1"/>
  <c r="BA45" i="1" s="1"/>
  <c r="BA46" i="1" s="1"/>
  <c r="BA47" i="1" s="1"/>
  <c r="BA48" i="1" s="1"/>
  <c r="BA49" i="1" s="1"/>
  <c r="BA50" i="1" s="1"/>
  <c r="BA51" i="1" s="1"/>
  <c r="BA52" i="1" s="1"/>
  <c r="BA53" i="1" s="1"/>
  <c r="BA54" i="1" s="1"/>
  <c r="BA55" i="1" s="1"/>
  <c r="BA56" i="1" s="1"/>
  <c r="BA57" i="1" s="1"/>
  <c r="BA58" i="1" s="1"/>
  <c r="BA59" i="1" s="1"/>
  <c r="BA60" i="1" s="1"/>
  <c r="BA61" i="1" s="1"/>
  <c r="BA62" i="1" s="1"/>
  <c r="BA63" i="1" s="1"/>
  <c r="BA64" i="1" s="1"/>
  <c r="BA65" i="1" s="1"/>
  <c r="BA66" i="1" s="1"/>
  <c r="BA67" i="1" s="1"/>
  <c r="BA68" i="1" s="1"/>
  <c r="BA69" i="1" s="1"/>
  <c r="BA70" i="1" s="1"/>
  <c r="BA71" i="1" s="1"/>
  <c r="BA72" i="1" s="1"/>
  <c r="BA73" i="1" s="1"/>
  <c r="BA74" i="1" s="1"/>
  <c r="BA75" i="1" s="1"/>
  <c r="BA76" i="1" s="1"/>
  <c r="BA77" i="1" s="1"/>
  <c r="BA78" i="1" s="1"/>
  <c r="BA79" i="1" s="1"/>
  <c r="BA80" i="1" s="1"/>
  <c r="BA81" i="1" s="1"/>
  <c r="BA82" i="1" s="1"/>
  <c r="AS44" i="1"/>
  <c r="AN44" i="1"/>
  <c r="AM44" i="1"/>
  <c r="AL44" i="1"/>
  <c r="AK44" i="1"/>
  <c r="AJ44" i="1"/>
  <c r="AI44" i="1"/>
  <c r="D44" i="1"/>
  <c r="F44" i="1"/>
  <c r="E44" i="1"/>
  <c r="EA43" i="1"/>
  <c r="DZ43" i="1"/>
  <c r="DY43" i="1"/>
  <c r="DX43" i="1"/>
  <c r="DW43" i="1"/>
  <c r="DV43" i="1"/>
  <c r="DC43" i="1"/>
  <c r="DB43" i="1"/>
  <c r="DA43" i="1"/>
  <c r="CU43" i="1" s="1"/>
  <c r="CZ43" i="1"/>
  <c r="CT43" i="1" s="1"/>
  <c r="CY43" i="1"/>
  <c r="CX43" i="1"/>
  <c r="CW43" i="1"/>
  <c r="CV43" i="1"/>
  <c r="CS43" i="1"/>
  <c r="CR43" i="1"/>
  <c r="CA43" i="1"/>
  <c r="BZ43" i="1"/>
  <c r="BY43" i="1"/>
  <c r="BX43" i="1"/>
  <c r="BW43" i="1"/>
  <c r="BV43" i="1"/>
  <c r="BU43" i="1"/>
  <c r="CB43" i="1" s="1"/>
  <c r="BT43" i="1"/>
  <c r="BS43" i="1"/>
  <c r="AS43" i="1"/>
  <c r="AN43" i="1"/>
  <c r="AM43" i="1"/>
  <c r="AL43" i="1"/>
  <c r="AK43" i="1"/>
  <c r="AJ43" i="1"/>
  <c r="AI43" i="1"/>
  <c r="BC43" i="1" s="1"/>
  <c r="D43" i="1"/>
  <c r="F43" i="1"/>
  <c r="E43" i="1"/>
  <c r="EA42" i="1"/>
  <c r="DZ42" i="1"/>
  <c r="DY42" i="1"/>
  <c r="DX42" i="1"/>
  <c r="DW42" i="1"/>
  <c r="DV42" i="1"/>
  <c r="DC42" i="1"/>
  <c r="DB42" i="1"/>
  <c r="DA42" i="1"/>
  <c r="CU42" i="1" s="1"/>
  <c r="CZ42" i="1"/>
  <c r="CY42" i="1"/>
  <c r="CX42" i="1"/>
  <c r="CW42" i="1"/>
  <c r="CV42" i="1"/>
  <c r="CT42" i="1"/>
  <c r="CS42" i="1"/>
  <c r="CR42" i="1"/>
  <c r="CA42" i="1"/>
  <c r="CB42" i="1" s="1"/>
  <c r="BZ42" i="1"/>
  <c r="BY42" i="1"/>
  <c r="BX42" i="1"/>
  <c r="BW42" i="1"/>
  <c r="BV42" i="1"/>
  <c r="BU42" i="1"/>
  <c r="BT42" i="1"/>
  <c r="BS42" i="1"/>
  <c r="AS42" i="1"/>
  <c r="AN42" i="1"/>
  <c r="AH42" i="1" s="1"/>
  <c r="AM42" i="1"/>
  <c r="AL42" i="1"/>
  <c r="AK42" i="1"/>
  <c r="AJ42" i="1"/>
  <c r="AD42" i="1" s="1"/>
  <c r="AI42" i="1"/>
  <c r="BC42" i="1" s="1"/>
  <c r="F42" i="1"/>
  <c r="E42" i="1"/>
  <c r="D42" i="1"/>
  <c r="EA41" i="1"/>
  <c r="DZ41" i="1"/>
  <c r="DY41" i="1"/>
  <c r="DX41" i="1"/>
  <c r="DW41" i="1"/>
  <c r="DV41" i="1"/>
  <c r="DC41" i="1"/>
  <c r="CW41" i="1" s="1"/>
  <c r="DB41" i="1"/>
  <c r="CV41" i="1" s="1"/>
  <c r="DA41" i="1"/>
  <c r="CZ41" i="1"/>
  <c r="CT41" i="1" s="1"/>
  <c r="CY41" i="1"/>
  <c r="CS41" i="1" s="1"/>
  <c r="CX41" i="1"/>
  <c r="CU41" i="1"/>
  <c r="CR41" i="1"/>
  <c r="CB41" i="1"/>
  <c r="BZ41" i="1"/>
  <c r="CA41" i="1" s="1"/>
  <c r="BY41" i="1"/>
  <c r="BX41" i="1"/>
  <c r="BW41" i="1"/>
  <c r="BV41" i="1"/>
  <c r="BU41" i="1"/>
  <c r="CC41" i="1" s="1"/>
  <c r="BT41" i="1"/>
  <c r="BS41" i="1"/>
  <c r="AS41" i="1"/>
  <c r="AN41" i="1"/>
  <c r="AH41" i="1" s="1"/>
  <c r="AM41" i="1"/>
  <c r="AL41" i="1"/>
  <c r="AF41" i="1" s="1"/>
  <c r="AK41" i="1"/>
  <c r="AJ41" i="1"/>
  <c r="AD41" i="1" s="1"/>
  <c r="AI41" i="1"/>
  <c r="D41" i="1"/>
  <c r="F41" i="1"/>
  <c r="E41" i="1"/>
  <c r="EA40" i="1"/>
  <c r="DZ40" i="1"/>
  <c r="DY40" i="1"/>
  <c r="DX40" i="1"/>
  <c r="DW40" i="1"/>
  <c r="DV40" i="1"/>
  <c r="DC40" i="1"/>
  <c r="DB40" i="1"/>
  <c r="DA40" i="1"/>
  <c r="CU40" i="1" s="1"/>
  <c r="CZ40" i="1"/>
  <c r="CT40" i="1" s="1"/>
  <c r="CY40" i="1"/>
  <c r="CX40" i="1"/>
  <c r="CR40" i="1" s="1"/>
  <c r="CW40" i="1"/>
  <c r="CV40" i="1"/>
  <c r="CS40" i="1"/>
  <c r="BZ40" i="1"/>
  <c r="CA40" i="1" s="1"/>
  <c r="CB40" i="1" s="1"/>
  <c r="BY40" i="1"/>
  <c r="BX40" i="1"/>
  <c r="BW40" i="1"/>
  <c r="BV40" i="1"/>
  <c r="BU40" i="1"/>
  <c r="BT40" i="1"/>
  <c r="BS40" i="1"/>
  <c r="AS40" i="1"/>
  <c r="AN40" i="1"/>
  <c r="AM40" i="1"/>
  <c r="AL40" i="1"/>
  <c r="AF40" i="1" s="1"/>
  <c r="AK40" i="1"/>
  <c r="AJ40" i="1"/>
  <c r="AI40" i="1"/>
  <c r="BC40" i="1" s="1"/>
  <c r="D40" i="1"/>
  <c r="F40" i="1"/>
  <c r="E40" i="1"/>
  <c r="EA39" i="1"/>
  <c r="DZ39" i="1"/>
  <c r="DY39" i="1"/>
  <c r="DX39" i="1"/>
  <c r="DW39" i="1"/>
  <c r="DV39" i="1"/>
  <c r="DC39" i="1"/>
  <c r="CW39" i="1" s="1"/>
  <c r="DB39" i="1"/>
  <c r="DA39" i="1"/>
  <c r="CZ39" i="1"/>
  <c r="CY39" i="1"/>
  <c r="CS39" i="1" s="1"/>
  <c r="CX39" i="1"/>
  <c r="CV39" i="1"/>
  <c r="CU39" i="1"/>
  <c r="CT39" i="1"/>
  <c r="CR39" i="1"/>
  <c r="CC39" i="1"/>
  <c r="BZ39" i="1"/>
  <c r="CA39" i="1" s="1"/>
  <c r="BY39" i="1"/>
  <c r="BX39" i="1"/>
  <c r="BW39" i="1"/>
  <c r="BV39" i="1"/>
  <c r="BU39" i="1"/>
  <c r="CB39" i="1" s="1"/>
  <c r="BT39" i="1"/>
  <c r="BS39" i="1"/>
  <c r="AS39" i="1"/>
  <c r="AN39" i="1"/>
  <c r="AM39" i="1"/>
  <c r="AL39" i="1"/>
  <c r="AK39" i="1"/>
  <c r="AJ39" i="1"/>
  <c r="AI39" i="1"/>
  <c r="D39" i="1"/>
  <c r="F39" i="1"/>
  <c r="E39" i="1"/>
  <c r="EA38" i="1"/>
  <c r="DZ38" i="1"/>
  <c r="DY38" i="1"/>
  <c r="DX38" i="1"/>
  <c r="DW38" i="1"/>
  <c r="DV38" i="1"/>
  <c r="DC38" i="1"/>
  <c r="DB38" i="1"/>
  <c r="CV38" i="1" s="1"/>
  <c r="DA38" i="1"/>
  <c r="CU38" i="1" s="1"/>
  <c r="CZ38" i="1"/>
  <c r="CY38" i="1"/>
  <c r="CX38" i="1"/>
  <c r="CW38" i="1"/>
  <c r="CT38" i="1"/>
  <c r="CS38" i="1"/>
  <c r="CR38" i="1"/>
  <c r="CA38" i="1"/>
  <c r="CB38" i="1" s="1"/>
  <c r="BZ38" i="1"/>
  <c r="BY38" i="1"/>
  <c r="BX38" i="1"/>
  <c r="BW38" i="1"/>
  <c r="BV38" i="1"/>
  <c r="BU38" i="1"/>
  <c r="CC38" i="1" s="1"/>
  <c r="BT38" i="1"/>
  <c r="BS38" i="1"/>
  <c r="AS38" i="1"/>
  <c r="AN38" i="1"/>
  <c r="AM38" i="1"/>
  <c r="AL38" i="1"/>
  <c r="AF38" i="1" s="1"/>
  <c r="AK38" i="1"/>
  <c r="AJ38" i="1"/>
  <c r="AD38" i="1" s="1"/>
  <c r="AI38" i="1"/>
  <c r="BC38" i="1" s="1"/>
  <c r="D38" i="1"/>
  <c r="F38" i="1"/>
  <c r="E38" i="1"/>
  <c r="EA37" i="1"/>
  <c r="DZ37" i="1"/>
  <c r="DY37" i="1"/>
  <c r="DX37" i="1"/>
  <c r="DW37" i="1"/>
  <c r="DV37" i="1"/>
  <c r="DC37" i="1"/>
  <c r="CW37" i="1" s="1"/>
  <c r="DB37" i="1"/>
  <c r="CV37" i="1" s="1"/>
  <c r="DA37" i="1"/>
  <c r="CZ37" i="1"/>
  <c r="CT37" i="1" s="1"/>
  <c r="CY37" i="1"/>
  <c r="CS37" i="1" s="1"/>
  <c r="CX37" i="1"/>
  <c r="CR37" i="1" s="1"/>
  <c r="CU37" i="1"/>
  <c r="BZ37" i="1"/>
  <c r="CA37" i="1" s="1"/>
  <c r="BY37" i="1"/>
  <c r="BX37" i="1"/>
  <c r="BW37" i="1"/>
  <c r="BV37" i="1"/>
  <c r="BU37" i="1"/>
  <c r="CC37" i="1" s="1"/>
  <c r="BT37" i="1"/>
  <c r="BS37" i="1"/>
  <c r="AS37" i="1"/>
  <c r="AN37" i="1"/>
  <c r="AM37" i="1"/>
  <c r="AL37" i="1"/>
  <c r="AF37" i="1" s="1"/>
  <c r="AK37" i="1"/>
  <c r="AJ37" i="1"/>
  <c r="AD37" i="1" s="1"/>
  <c r="AI37" i="1"/>
  <c r="D37" i="1"/>
  <c r="F37" i="1"/>
  <c r="E37" i="1"/>
  <c r="EG36" i="1"/>
  <c r="EA36" i="1"/>
  <c r="DZ36" i="1"/>
  <c r="DY36" i="1"/>
  <c r="DX36" i="1"/>
  <c r="DW36" i="1"/>
  <c r="DV36" i="1"/>
  <c r="DC36" i="1"/>
  <c r="CW36" i="1" s="1"/>
  <c r="DB36" i="1"/>
  <c r="CV36" i="1" s="1"/>
  <c r="DA36" i="1"/>
  <c r="CU36" i="1" s="1"/>
  <c r="CZ36" i="1"/>
  <c r="CY36" i="1"/>
  <c r="CS36" i="1" s="1"/>
  <c r="CX36" i="1"/>
  <c r="CR36" i="1" s="1"/>
  <c r="CT36" i="1"/>
  <c r="CA36" i="1"/>
  <c r="BZ36" i="1"/>
  <c r="BY36" i="1"/>
  <c r="BX36" i="1"/>
  <c r="BW36" i="1"/>
  <c r="BV36" i="1"/>
  <c r="BU36" i="1"/>
  <c r="CC36" i="1" s="1"/>
  <c r="BT36" i="1"/>
  <c r="BS36" i="1"/>
  <c r="AS36" i="1"/>
  <c r="AN36" i="1"/>
  <c r="AM36" i="1"/>
  <c r="AL36" i="1"/>
  <c r="AK36" i="1"/>
  <c r="AJ36" i="1"/>
  <c r="AI36" i="1"/>
  <c r="BC36" i="1" s="1"/>
  <c r="D36" i="1"/>
  <c r="F36" i="1"/>
  <c r="E36" i="1"/>
  <c r="EG35" i="1"/>
  <c r="EA35" i="1"/>
  <c r="DZ35" i="1"/>
  <c r="DY35" i="1"/>
  <c r="DX35" i="1"/>
  <c r="DW35" i="1"/>
  <c r="DV35" i="1"/>
  <c r="DC35" i="1"/>
  <c r="DB35" i="1"/>
  <c r="CV35" i="1" s="1"/>
  <c r="DA35" i="1"/>
  <c r="CU35" i="1" s="1"/>
  <c r="CZ35" i="1"/>
  <c r="CT35" i="1" s="1"/>
  <c r="CY35" i="1"/>
  <c r="CX35" i="1"/>
  <c r="CR35" i="1" s="1"/>
  <c r="CW35" i="1"/>
  <c r="CS35" i="1"/>
  <c r="BZ35" i="1"/>
  <c r="CA35" i="1" s="1"/>
  <c r="CB35" i="1" s="1"/>
  <c r="BY35" i="1"/>
  <c r="BX35" i="1"/>
  <c r="BW35" i="1"/>
  <c r="BV35" i="1"/>
  <c r="BU35" i="1"/>
  <c r="BT35" i="1"/>
  <c r="BS35" i="1"/>
  <c r="BC35" i="1"/>
  <c r="AS35" i="1"/>
  <c r="AN35" i="1"/>
  <c r="AH35" i="1" s="1"/>
  <c r="AM35" i="1"/>
  <c r="AL35" i="1"/>
  <c r="AK35" i="1"/>
  <c r="AJ35" i="1"/>
  <c r="AI35" i="1"/>
  <c r="D35" i="1"/>
  <c r="F35" i="1"/>
  <c r="E35" i="1"/>
  <c r="EG34" i="1"/>
  <c r="EA34" i="1"/>
  <c r="DZ34" i="1"/>
  <c r="DY34" i="1"/>
  <c r="DX34" i="1"/>
  <c r="DW34" i="1"/>
  <c r="DV34" i="1"/>
  <c r="DC34" i="1"/>
  <c r="DB34" i="1"/>
  <c r="DA34" i="1"/>
  <c r="CU34" i="1" s="1"/>
  <c r="CZ34" i="1"/>
  <c r="CT34" i="1" s="1"/>
  <c r="CY34" i="1"/>
  <c r="CX34" i="1"/>
  <c r="CW34" i="1"/>
  <c r="CV34" i="1"/>
  <c r="CS34" i="1"/>
  <c r="CR34" i="1"/>
  <c r="BZ34" i="1"/>
  <c r="CA34" i="1" s="1"/>
  <c r="CC34" i="1" s="1"/>
  <c r="BY34" i="1"/>
  <c r="BX34" i="1"/>
  <c r="BW34" i="1"/>
  <c r="BV34" i="1"/>
  <c r="BU34" i="1"/>
  <c r="BT34" i="1"/>
  <c r="BS34" i="1"/>
  <c r="BC34" i="1"/>
  <c r="AS34" i="1"/>
  <c r="AN34" i="1"/>
  <c r="AM34" i="1"/>
  <c r="AL34" i="1"/>
  <c r="AK34" i="1"/>
  <c r="AJ34" i="1"/>
  <c r="AI34" i="1"/>
  <c r="AR34" i="1" s="1"/>
  <c r="D34" i="1"/>
  <c r="F34" i="1"/>
  <c r="E34" i="1"/>
  <c r="EG33" i="1"/>
  <c r="EA33" i="1"/>
  <c r="DZ33" i="1"/>
  <c r="DY33" i="1"/>
  <c r="DX33" i="1"/>
  <c r="DW33" i="1"/>
  <c r="DV33" i="1"/>
  <c r="DC33" i="1"/>
  <c r="CW33" i="1" s="1"/>
  <c r="DB33" i="1"/>
  <c r="DA33" i="1"/>
  <c r="CZ33" i="1"/>
  <c r="CY33" i="1"/>
  <c r="CS33" i="1" s="1"/>
  <c r="CX33" i="1"/>
  <c r="CV33" i="1"/>
  <c r="CU33" i="1"/>
  <c r="CT33" i="1"/>
  <c r="CR33" i="1"/>
  <c r="BZ33" i="1"/>
  <c r="CA33" i="1" s="1"/>
  <c r="CC33" i="1" s="1"/>
  <c r="BY33" i="1"/>
  <c r="BX33" i="1"/>
  <c r="BW33" i="1"/>
  <c r="BV33" i="1"/>
  <c r="BU33" i="1"/>
  <c r="BT33" i="1"/>
  <c r="BS33" i="1"/>
  <c r="AS33" i="1"/>
  <c r="AN33" i="1"/>
  <c r="AH33" i="1" s="1"/>
  <c r="AM33" i="1"/>
  <c r="AL33" i="1"/>
  <c r="AK33" i="1"/>
  <c r="AJ33" i="1"/>
  <c r="AI33" i="1"/>
  <c r="D33" i="1"/>
  <c r="F33" i="1"/>
  <c r="E33" i="1"/>
  <c r="EG32" i="1"/>
  <c r="EA32" i="1"/>
  <c r="DZ32" i="1"/>
  <c r="DY32" i="1"/>
  <c r="DX32" i="1"/>
  <c r="DW32" i="1"/>
  <c r="DV32" i="1"/>
  <c r="DC32" i="1"/>
  <c r="DB32" i="1"/>
  <c r="CV32" i="1" s="1"/>
  <c r="DA32" i="1"/>
  <c r="CZ32" i="1"/>
  <c r="CY32" i="1"/>
  <c r="CX32" i="1"/>
  <c r="CR32" i="1" s="1"/>
  <c r="CW32" i="1"/>
  <c r="CU32" i="1"/>
  <c r="CT32" i="1"/>
  <c r="CS32" i="1"/>
  <c r="CB32" i="1"/>
  <c r="CA32" i="1"/>
  <c r="BZ32" i="1"/>
  <c r="BY32" i="1"/>
  <c r="BX32" i="1"/>
  <c r="BW32" i="1"/>
  <c r="BV32" i="1"/>
  <c r="BU32" i="1"/>
  <c r="CC32" i="1" s="1"/>
  <c r="BT32" i="1"/>
  <c r="BS32" i="1"/>
  <c r="AS32" i="1"/>
  <c r="AN32" i="1"/>
  <c r="AM32" i="1"/>
  <c r="AL32" i="1"/>
  <c r="AK32" i="1"/>
  <c r="AE32" i="1" s="1"/>
  <c r="AJ32" i="1"/>
  <c r="AI32" i="1"/>
  <c r="BC32" i="1" s="1"/>
  <c r="D32" i="1"/>
  <c r="F32" i="1"/>
  <c r="E32" i="1"/>
  <c r="EG31" i="1"/>
  <c r="EA31" i="1"/>
  <c r="DZ31" i="1"/>
  <c r="DY31" i="1"/>
  <c r="DX31" i="1"/>
  <c r="DW31" i="1"/>
  <c r="DV31" i="1"/>
  <c r="DC31" i="1"/>
  <c r="DB31" i="1"/>
  <c r="DA31" i="1"/>
  <c r="CU31" i="1" s="1"/>
  <c r="CZ31" i="1"/>
  <c r="CY31" i="1"/>
  <c r="CX31" i="1"/>
  <c r="CW31" i="1"/>
  <c r="CV31" i="1"/>
  <c r="CT31" i="1"/>
  <c r="CS31" i="1"/>
  <c r="CR31" i="1"/>
  <c r="CA31" i="1"/>
  <c r="CB31" i="1" s="1"/>
  <c r="BZ31" i="1"/>
  <c r="BY31" i="1"/>
  <c r="BX31" i="1"/>
  <c r="BW31" i="1"/>
  <c r="BV31" i="1"/>
  <c r="BU31" i="1"/>
  <c r="BT31" i="1"/>
  <c r="BS31" i="1"/>
  <c r="AS31" i="1"/>
  <c r="AN31" i="1"/>
  <c r="AH31" i="1" s="1"/>
  <c r="AM31" i="1"/>
  <c r="AL31" i="1"/>
  <c r="AK31" i="1"/>
  <c r="AJ31" i="1"/>
  <c r="AD31" i="1" s="1"/>
  <c r="AI31" i="1"/>
  <c r="BC31" i="1" s="1"/>
  <c r="D31" i="1"/>
  <c r="F31" i="1"/>
  <c r="E31" i="1"/>
  <c r="EG30" i="1"/>
  <c r="EA30" i="1"/>
  <c r="DZ30" i="1"/>
  <c r="DY30" i="1"/>
  <c r="DX30" i="1"/>
  <c r="DW30" i="1"/>
  <c r="DV30" i="1"/>
  <c r="DC30" i="1"/>
  <c r="DB30" i="1"/>
  <c r="DA30" i="1"/>
  <c r="CU30" i="1" s="1"/>
  <c r="CZ30" i="1"/>
  <c r="CT30" i="1" s="1"/>
  <c r="CY30" i="1"/>
  <c r="CS30" i="1" s="1"/>
  <c r="CX30" i="1"/>
  <c r="CW30" i="1"/>
  <c r="CV30" i="1"/>
  <c r="CR30" i="1"/>
  <c r="CA30" i="1"/>
  <c r="BZ30" i="1"/>
  <c r="BY30" i="1"/>
  <c r="BX30" i="1"/>
  <c r="BW30" i="1"/>
  <c r="BV30" i="1"/>
  <c r="BU30" i="1"/>
  <c r="CB30" i="1" s="1"/>
  <c r="BT30" i="1"/>
  <c r="BS30" i="1"/>
  <c r="AS30" i="1"/>
  <c r="AN30" i="1"/>
  <c r="AM30" i="1"/>
  <c r="AG30" i="1" s="1"/>
  <c r="AL30" i="1"/>
  <c r="AK30" i="1"/>
  <c r="AE30" i="1" s="1"/>
  <c r="AJ30" i="1"/>
  <c r="AI30" i="1"/>
  <c r="AR30" i="1" s="1"/>
  <c r="D30" i="1"/>
  <c r="F30" i="1"/>
  <c r="E30" i="1"/>
  <c r="EG29" i="1"/>
  <c r="EA29" i="1"/>
  <c r="DZ29" i="1"/>
  <c r="DY29" i="1"/>
  <c r="DX29" i="1"/>
  <c r="DW29" i="1"/>
  <c r="DV29" i="1"/>
  <c r="DC29" i="1"/>
  <c r="CW29" i="1" s="1"/>
  <c r="DB29" i="1"/>
  <c r="CV29" i="1" s="1"/>
  <c r="DA29" i="1"/>
  <c r="CZ29" i="1"/>
  <c r="CT29" i="1" s="1"/>
  <c r="CY29" i="1"/>
  <c r="CS29" i="1" s="1"/>
  <c r="CX29" i="1"/>
  <c r="CU29" i="1"/>
  <c r="CR29" i="1"/>
  <c r="CB29" i="1"/>
  <c r="BZ29" i="1"/>
  <c r="CA29" i="1" s="1"/>
  <c r="BY29" i="1"/>
  <c r="BX29" i="1"/>
  <c r="BW29" i="1"/>
  <c r="BV29" i="1"/>
  <c r="BU29" i="1"/>
  <c r="CC29" i="1" s="1"/>
  <c r="BT29" i="1"/>
  <c r="BS29" i="1"/>
  <c r="AS29" i="1"/>
  <c r="AN29" i="1"/>
  <c r="AH29" i="1" s="1"/>
  <c r="AM29" i="1"/>
  <c r="AL29" i="1"/>
  <c r="AF29" i="1" s="1"/>
  <c r="AK29" i="1"/>
  <c r="AJ29" i="1"/>
  <c r="AD29" i="1" s="1"/>
  <c r="AI29" i="1"/>
  <c r="D29" i="1"/>
  <c r="F29" i="1"/>
  <c r="E29" i="1"/>
  <c r="EG28" i="1"/>
  <c r="EA28" i="1"/>
  <c r="DZ28" i="1"/>
  <c r="DY28" i="1"/>
  <c r="DX28" i="1"/>
  <c r="DW28" i="1"/>
  <c r="DV28" i="1"/>
  <c r="DC28" i="1"/>
  <c r="DB28" i="1"/>
  <c r="CV28" i="1" s="1"/>
  <c r="DA28" i="1"/>
  <c r="CU28" i="1" s="1"/>
  <c r="CZ28" i="1"/>
  <c r="CY28" i="1"/>
  <c r="CS28" i="1" s="1"/>
  <c r="CX28" i="1"/>
  <c r="CR28" i="1" s="1"/>
  <c r="CW28" i="1"/>
  <c r="CT28" i="1"/>
  <c r="CA28" i="1"/>
  <c r="BZ28" i="1"/>
  <c r="BY28" i="1"/>
  <c r="BX28" i="1"/>
  <c r="BW28" i="1"/>
  <c r="BV28" i="1"/>
  <c r="BU28" i="1"/>
  <c r="CB28" i="1" s="1"/>
  <c r="BT28" i="1"/>
  <c r="BS28" i="1"/>
  <c r="AS28" i="1"/>
  <c r="AN28" i="1"/>
  <c r="AM28" i="1"/>
  <c r="AG28" i="1" s="1"/>
  <c r="AL28" i="1"/>
  <c r="AK28" i="1"/>
  <c r="AJ28" i="1"/>
  <c r="AI28" i="1"/>
  <c r="BC28" i="1" s="1"/>
  <c r="D28" i="1"/>
  <c r="F28" i="1"/>
  <c r="E28" i="1"/>
  <c r="EG27" i="1"/>
  <c r="EA27" i="1"/>
  <c r="DZ27" i="1"/>
  <c r="DY27" i="1"/>
  <c r="DX27" i="1"/>
  <c r="DW27" i="1"/>
  <c r="DV27" i="1"/>
  <c r="DC27" i="1"/>
  <c r="DB27" i="1"/>
  <c r="DA27" i="1"/>
  <c r="CU27" i="1" s="1"/>
  <c r="CZ27" i="1"/>
  <c r="CT27" i="1" s="1"/>
  <c r="CY27" i="1"/>
  <c r="CX27" i="1"/>
  <c r="CR27" i="1" s="1"/>
  <c r="CW27" i="1"/>
  <c r="CV27" i="1"/>
  <c r="CS27" i="1"/>
  <c r="BZ27" i="1"/>
  <c r="CA27" i="1" s="1"/>
  <c r="CB27" i="1" s="1"/>
  <c r="BY27" i="1"/>
  <c r="BX27" i="1"/>
  <c r="BW27" i="1"/>
  <c r="BV27" i="1"/>
  <c r="BU27" i="1"/>
  <c r="BT27" i="1"/>
  <c r="BS27" i="1"/>
  <c r="AS27" i="1"/>
  <c r="AN27" i="1"/>
  <c r="AM27" i="1"/>
  <c r="AL27" i="1"/>
  <c r="AF27" i="1" s="1"/>
  <c r="AK27" i="1"/>
  <c r="AJ27" i="1"/>
  <c r="AI27" i="1"/>
  <c r="BC27" i="1" s="1"/>
  <c r="D27" i="1"/>
  <c r="F27" i="1"/>
  <c r="E27" i="1"/>
  <c r="EG26" i="1"/>
  <c r="EA26" i="1"/>
  <c r="DZ26" i="1"/>
  <c r="DY26" i="1"/>
  <c r="DX26" i="1"/>
  <c r="DW26" i="1"/>
  <c r="DV26" i="1"/>
  <c r="DC26" i="1"/>
  <c r="CW26" i="1" s="1"/>
  <c r="DB26" i="1"/>
  <c r="DA26" i="1"/>
  <c r="CZ26" i="1"/>
  <c r="CT26" i="1" s="1"/>
  <c r="CY26" i="1"/>
  <c r="CX26" i="1"/>
  <c r="CV26" i="1"/>
  <c r="CU26" i="1"/>
  <c r="CS26" i="1"/>
  <c r="CR26" i="1"/>
  <c r="BZ26" i="1"/>
  <c r="CA26" i="1" s="1"/>
  <c r="CC26" i="1" s="1"/>
  <c r="BY26" i="1"/>
  <c r="BX26" i="1"/>
  <c r="BW26" i="1"/>
  <c r="BV26" i="1"/>
  <c r="BU26" i="1"/>
  <c r="BT26" i="1"/>
  <c r="BS26" i="1"/>
  <c r="AS26" i="1"/>
  <c r="AN26" i="1"/>
  <c r="AM26" i="1"/>
  <c r="AL26" i="1"/>
  <c r="AK26" i="1"/>
  <c r="AJ26" i="1"/>
  <c r="AI26" i="1"/>
  <c r="BC26" i="1" s="1"/>
  <c r="D26" i="1"/>
  <c r="F26" i="1"/>
  <c r="E26" i="1"/>
  <c r="EG25" i="1"/>
  <c r="EA25" i="1"/>
  <c r="DZ25" i="1"/>
  <c r="DY25" i="1"/>
  <c r="DX25" i="1"/>
  <c r="DW25" i="1"/>
  <c r="DV25" i="1"/>
  <c r="DC25" i="1"/>
  <c r="CW25" i="1" s="1"/>
  <c r="DB25" i="1"/>
  <c r="DA25" i="1"/>
  <c r="CZ25" i="1"/>
  <c r="CY25" i="1"/>
  <c r="CS25" i="1" s="1"/>
  <c r="CX25" i="1"/>
  <c r="CV25" i="1"/>
  <c r="CU25" i="1"/>
  <c r="CT25" i="1"/>
  <c r="CR25" i="1"/>
  <c r="CC25" i="1"/>
  <c r="BZ25" i="1"/>
  <c r="CA25" i="1" s="1"/>
  <c r="BY25" i="1"/>
  <c r="BX25" i="1"/>
  <c r="BW25" i="1"/>
  <c r="BV25" i="1"/>
  <c r="BU25" i="1"/>
  <c r="CB25" i="1" s="1"/>
  <c r="BT25" i="1"/>
  <c r="BS25" i="1"/>
  <c r="AS25" i="1"/>
  <c r="AN25" i="1"/>
  <c r="AM25" i="1"/>
  <c r="AL25" i="1"/>
  <c r="AK25" i="1"/>
  <c r="AJ25" i="1"/>
  <c r="AI25" i="1"/>
  <c r="D25" i="1"/>
  <c r="F25" i="1"/>
  <c r="E25" i="1"/>
  <c r="EG24" i="1"/>
  <c r="EA24" i="1"/>
  <c r="DZ24" i="1"/>
  <c r="DY24" i="1"/>
  <c r="DX24" i="1"/>
  <c r="DW24" i="1"/>
  <c r="DV24" i="1"/>
  <c r="DC24" i="1"/>
  <c r="CW24" i="1" s="1"/>
  <c r="DB24" i="1"/>
  <c r="CV24" i="1" s="1"/>
  <c r="DA24" i="1"/>
  <c r="CZ24" i="1"/>
  <c r="CY24" i="1"/>
  <c r="CX24" i="1"/>
  <c r="CR24" i="1" s="1"/>
  <c r="CU24" i="1"/>
  <c r="CT24" i="1"/>
  <c r="CS24" i="1"/>
  <c r="CB24" i="1"/>
  <c r="CA24" i="1"/>
  <c r="BZ24" i="1"/>
  <c r="BY24" i="1"/>
  <c r="BX24" i="1"/>
  <c r="BW24" i="1"/>
  <c r="BV24" i="1"/>
  <c r="BU24" i="1"/>
  <c r="CC24" i="1" s="1"/>
  <c r="BT24" i="1"/>
  <c r="BS24" i="1"/>
  <c r="AS24" i="1"/>
  <c r="AN24" i="1"/>
  <c r="AM24" i="1"/>
  <c r="AG24" i="1" s="1"/>
  <c r="AL24" i="1"/>
  <c r="AK24" i="1"/>
  <c r="AE24" i="1" s="1"/>
  <c r="AJ24" i="1"/>
  <c r="AI24" i="1"/>
  <c r="BC24" i="1" s="1"/>
  <c r="D24" i="1"/>
  <c r="F24" i="1"/>
  <c r="E24" i="1"/>
  <c r="EG23" i="1"/>
  <c r="EA23" i="1"/>
  <c r="DZ23" i="1"/>
  <c r="DY23" i="1"/>
  <c r="DX23" i="1"/>
  <c r="DW23" i="1"/>
  <c r="DV23" i="1"/>
  <c r="DC23" i="1"/>
  <c r="DB23" i="1"/>
  <c r="CV23" i="1" s="1"/>
  <c r="DA23" i="1"/>
  <c r="CU23" i="1" s="1"/>
  <c r="CZ23" i="1"/>
  <c r="CY23" i="1"/>
  <c r="CX23" i="1"/>
  <c r="CW23" i="1"/>
  <c r="CT23" i="1"/>
  <c r="CS23" i="1"/>
  <c r="CR23" i="1"/>
  <c r="CA23" i="1"/>
  <c r="CB23" i="1" s="1"/>
  <c r="BZ23" i="1"/>
  <c r="BY23" i="1"/>
  <c r="BX23" i="1"/>
  <c r="BW23" i="1"/>
  <c r="BV23" i="1"/>
  <c r="BU23" i="1"/>
  <c r="CC23" i="1" s="1"/>
  <c r="BT23" i="1"/>
  <c r="BS23" i="1"/>
  <c r="AS23" i="1"/>
  <c r="AN23" i="1"/>
  <c r="AM23" i="1"/>
  <c r="AL23" i="1"/>
  <c r="AF23" i="1" s="1"/>
  <c r="AK23" i="1"/>
  <c r="AJ23" i="1"/>
  <c r="AD23" i="1" s="1"/>
  <c r="AI23" i="1"/>
  <c r="BC23" i="1" s="1"/>
  <c r="F23" i="1"/>
  <c r="E23" i="1"/>
  <c r="D23" i="1"/>
  <c r="EG22" i="1"/>
  <c r="EA22" i="1"/>
  <c r="DZ22" i="1"/>
  <c r="DY22" i="1"/>
  <c r="DX22" i="1"/>
  <c r="DW22" i="1"/>
  <c r="DV22" i="1"/>
  <c r="DC22" i="1"/>
  <c r="CW22" i="1" s="1"/>
  <c r="DB22" i="1"/>
  <c r="DA22" i="1"/>
  <c r="CZ22" i="1"/>
  <c r="CT22" i="1" s="1"/>
  <c r="CY22" i="1"/>
  <c r="CS22" i="1" s="1"/>
  <c r="CX22" i="1"/>
  <c r="CV22" i="1"/>
  <c r="CU22" i="1"/>
  <c r="CR22" i="1"/>
  <c r="CA22" i="1"/>
  <c r="BZ22" i="1"/>
  <c r="BY22" i="1"/>
  <c r="BX22" i="1"/>
  <c r="BW22" i="1"/>
  <c r="BV22" i="1"/>
  <c r="BU22" i="1"/>
  <c r="CC22" i="1" s="1"/>
  <c r="BT22" i="1"/>
  <c r="BS22" i="1"/>
  <c r="AS22" i="1"/>
  <c r="AN22" i="1"/>
  <c r="AM22" i="1"/>
  <c r="AG22" i="1" s="1"/>
  <c r="AL22" i="1"/>
  <c r="AK22" i="1"/>
  <c r="AE22" i="1" s="1"/>
  <c r="AJ22" i="1"/>
  <c r="AI22" i="1"/>
  <c r="BC22" i="1" s="1"/>
  <c r="F22" i="1"/>
  <c r="E22" i="1"/>
  <c r="D22" i="1"/>
  <c r="EG21" i="1"/>
  <c r="EA21" i="1"/>
  <c r="DZ21" i="1"/>
  <c r="DY21" i="1"/>
  <c r="DX21" i="1"/>
  <c r="DW21" i="1"/>
  <c r="DV21" i="1"/>
  <c r="DC21" i="1"/>
  <c r="CW21" i="1" s="1"/>
  <c r="DB21" i="1"/>
  <c r="CV21" i="1" s="1"/>
  <c r="DA21" i="1"/>
  <c r="CZ21" i="1"/>
  <c r="CT21" i="1" s="1"/>
  <c r="CY21" i="1"/>
  <c r="CS21" i="1" s="1"/>
  <c r="CX21" i="1"/>
  <c r="CU21" i="1"/>
  <c r="CR21" i="1"/>
  <c r="BZ21" i="1"/>
  <c r="CA21" i="1" s="1"/>
  <c r="BY21" i="1"/>
  <c r="BX21" i="1"/>
  <c r="BW21" i="1"/>
  <c r="BV21" i="1"/>
  <c r="BU21" i="1"/>
  <c r="CC21" i="1" s="1"/>
  <c r="BT21" i="1"/>
  <c r="BS21" i="1"/>
  <c r="AS21" i="1"/>
  <c r="AN21" i="1"/>
  <c r="AM21" i="1"/>
  <c r="AL21" i="1"/>
  <c r="AF21" i="1" s="1"/>
  <c r="AK21" i="1"/>
  <c r="AJ21" i="1"/>
  <c r="AD21" i="1" s="1"/>
  <c r="AI21" i="1"/>
  <c r="D21" i="1"/>
  <c r="F21" i="1"/>
  <c r="E21" i="1"/>
  <c r="EG20" i="1"/>
  <c r="EA20" i="1"/>
  <c r="DZ20" i="1"/>
  <c r="DY20" i="1"/>
  <c r="DX20" i="1"/>
  <c r="DW20" i="1"/>
  <c r="DV20" i="1"/>
  <c r="DC20" i="1"/>
  <c r="CW20" i="1" s="1"/>
  <c r="DB20" i="1"/>
  <c r="CV20" i="1" s="1"/>
  <c r="DA20" i="1"/>
  <c r="CU20" i="1" s="1"/>
  <c r="CZ20" i="1"/>
  <c r="CY20" i="1"/>
  <c r="CS20" i="1" s="1"/>
  <c r="CX20" i="1"/>
  <c r="CR20" i="1" s="1"/>
  <c r="CT20" i="1"/>
  <c r="CA20" i="1"/>
  <c r="BZ20" i="1"/>
  <c r="BY20" i="1"/>
  <c r="BX20" i="1"/>
  <c r="BW20" i="1"/>
  <c r="BV20" i="1"/>
  <c r="BU20" i="1"/>
  <c r="CC20" i="1" s="1"/>
  <c r="BT20" i="1"/>
  <c r="BS20" i="1"/>
  <c r="AS20" i="1"/>
  <c r="AN20" i="1"/>
  <c r="AM20" i="1"/>
  <c r="AG20" i="1" s="1"/>
  <c r="AL20" i="1"/>
  <c r="AK20" i="1"/>
  <c r="AJ20" i="1"/>
  <c r="AI20" i="1"/>
  <c r="BC20" i="1" s="1"/>
  <c r="F20" i="1"/>
  <c r="E20" i="1"/>
  <c r="D20" i="1"/>
  <c r="EG19" i="1"/>
  <c r="EA19" i="1"/>
  <c r="DZ19" i="1"/>
  <c r="DY19" i="1"/>
  <c r="DX19" i="1"/>
  <c r="DW19" i="1"/>
  <c r="DV19" i="1"/>
  <c r="DC19" i="1"/>
  <c r="DB19" i="1"/>
  <c r="CV19" i="1" s="1"/>
  <c r="DA19" i="1"/>
  <c r="CU19" i="1" s="1"/>
  <c r="CZ19" i="1"/>
  <c r="CT19" i="1" s="1"/>
  <c r="CY19" i="1"/>
  <c r="CX19" i="1"/>
  <c r="CR19" i="1" s="1"/>
  <c r="CW19" i="1"/>
  <c r="CS19" i="1"/>
  <c r="BZ19" i="1"/>
  <c r="CA19" i="1" s="1"/>
  <c r="CB19" i="1" s="1"/>
  <c r="BY19" i="1"/>
  <c r="BX19" i="1"/>
  <c r="BW19" i="1"/>
  <c r="BV19" i="1"/>
  <c r="BU19" i="1"/>
  <c r="BT19" i="1"/>
  <c r="BS19" i="1"/>
  <c r="BC19" i="1"/>
  <c r="AS19" i="1"/>
  <c r="AN19" i="1"/>
  <c r="AM19" i="1"/>
  <c r="AL19" i="1"/>
  <c r="AF19" i="1" s="1"/>
  <c r="AK19" i="1"/>
  <c r="AJ19" i="1"/>
  <c r="AI19" i="1"/>
  <c r="D19" i="1"/>
  <c r="F19" i="1"/>
  <c r="E19" i="1"/>
  <c r="EG18" i="1"/>
  <c r="EA18" i="1"/>
  <c r="DZ18" i="1"/>
  <c r="DY18" i="1"/>
  <c r="DX18" i="1"/>
  <c r="DW18" i="1"/>
  <c r="DV18" i="1"/>
  <c r="DC18" i="1"/>
  <c r="CW18" i="1" s="1"/>
  <c r="DB18" i="1"/>
  <c r="DA18" i="1"/>
  <c r="CZ18" i="1"/>
  <c r="CT18" i="1" s="1"/>
  <c r="CY18" i="1"/>
  <c r="CX18" i="1"/>
  <c r="CV18" i="1"/>
  <c r="CU18" i="1"/>
  <c r="CS18" i="1"/>
  <c r="CR18" i="1"/>
  <c r="BZ18" i="1"/>
  <c r="CA18" i="1" s="1"/>
  <c r="CC18" i="1" s="1"/>
  <c r="BY18" i="1"/>
  <c r="BX18" i="1"/>
  <c r="BW18" i="1"/>
  <c r="BV18" i="1"/>
  <c r="BU18" i="1"/>
  <c r="BT18" i="1"/>
  <c r="BS18" i="1"/>
  <c r="BC18" i="1"/>
  <c r="AS18" i="1"/>
  <c r="AN18" i="1"/>
  <c r="AM18" i="1"/>
  <c r="AL18" i="1"/>
  <c r="AK18" i="1"/>
  <c r="AJ18" i="1"/>
  <c r="AI18" i="1"/>
  <c r="D18" i="1"/>
  <c r="F18" i="1"/>
  <c r="E18" i="1"/>
  <c r="EG17" i="1"/>
  <c r="EA17" i="1"/>
  <c r="DZ17" i="1"/>
  <c r="DY17" i="1"/>
  <c r="DX17" i="1"/>
  <c r="DW17" i="1"/>
  <c r="DV17" i="1"/>
  <c r="DC17" i="1"/>
  <c r="CW17" i="1" s="1"/>
  <c r="DB17" i="1"/>
  <c r="DA17" i="1"/>
  <c r="CZ17" i="1"/>
  <c r="CY17" i="1"/>
  <c r="CS17" i="1" s="1"/>
  <c r="CX17" i="1"/>
  <c r="CV17" i="1"/>
  <c r="CU17" i="1"/>
  <c r="CT17" i="1"/>
  <c r="CR17" i="1"/>
  <c r="BZ17" i="1"/>
  <c r="CA17" i="1" s="1"/>
  <c r="CC17" i="1" s="1"/>
  <c r="BY17" i="1"/>
  <c r="BX17" i="1"/>
  <c r="BW17" i="1"/>
  <c r="BV17" i="1"/>
  <c r="BU17" i="1"/>
  <c r="CB17" i="1" s="1"/>
  <c r="BT17" i="1"/>
  <c r="BS17" i="1"/>
  <c r="AS17" i="1"/>
  <c r="AN17" i="1"/>
  <c r="AM17" i="1"/>
  <c r="AL17" i="1"/>
  <c r="AK17" i="1"/>
  <c r="AJ17" i="1"/>
  <c r="AI17" i="1"/>
  <c r="D17" i="1"/>
  <c r="F17" i="1"/>
  <c r="E17" i="1"/>
  <c r="EG16" i="1"/>
  <c r="EA16" i="1"/>
  <c r="DZ16" i="1"/>
  <c r="DY16" i="1"/>
  <c r="DX16" i="1"/>
  <c r="DW16" i="1"/>
  <c r="DV16" i="1"/>
  <c r="DC16" i="1"/>
  <c r="CW16" i="1" s="1"/>
  <c r="DB16" i="1"/>
  <c r="DA16" i="1"/>
  <c r="CZ16" i="1"/>
  <c r="CT16" i="1" s="1"/>
  <c r="CY16" i="1"/>
  <c r="CS16" i="1" s="1"/>
  <c r="CX16" i="1"/>
  <c r="CV16" i="1"/>
  <c r="CU16" i="1"/>
  <c r="CR16" i="1"/>
  <c r="BZ16" i="1"/>
  <c r="CA16" i="1" s="1"/>
  <c r="CB16" i="1" s="1"/>
  <c r="BY16" i="1"/>
  <c r="BX16" i="1"/>
  <c r="BW16" i="1"/>
  <c r="BV16" i="1"/>
  <c r="BU16" i="1"/>
  <c r="BT16" i="1"/>
  <c r="BS16" i="1"/>
  <c r="AS16" i="1"/>
  <c r="AN16" i="1"/>
  <c r="AH16" i="1" s="1"/>
  <c r="AM16" i="1"/>
  <c r="AG16" i="1" s="1"/>
  <c r="AL16" i="1"/>
  <c r="AK16" i="1"/>
  <c r="AJ16" i="1"/>
  <c r="AD16" i="1" s="1"/>
  <c r="AI16" i="1"/>
  <c r="AR16" i="1" s="1"/>
  <c r="D16" i="1"/>
  <c r="F16" i="1"/>
  <c r="E16" i="1"/>
  <c r="EG15" i="1"/>
  <c r="EA15" i="1"/>
  <c r="DZ15" i="1"/>
  <c r="DY15" i="1"/>
  <c r="DX15" i="1"/>
  <c r="DW15" i="1"/>
  <c r="DV15" i="1"/>
  <c r="DC15" i="1"/>
  <c r="CW15" i="1" s="1"/>
  <c r="DB15" i="1"/>
  <c r="CV15" i="1" s="1"/>
  <c r="DA15" i="1"/>
  <c r="CZ15" i="1"/>
  <c r="CY15" i="1"/>
  <c r="CS15" i="1" s="1"/>
  <c r="CX15" i="1"/>
  <c r="CR15" i="1" s="1"/>
  <c r="CU15" i="1"/>
  <c r="CT15" i="1"/>
  <c r="CA15" i="1"/>
  <c r="BZ15" i="1"/>
  <c r="BY15" i="1"/>
  <c r="BX15" i="1"/>
  <c r="BW15" i="1"/>
  <c r="BV15" i="1"/>
  <c r="BU15" i="1"/>
  <c r="CB15" i="1" s="1"/>
  <c r="BT15" i="1"/>
  <c r="BS15" i="1"/>
  <c r="AS15" i="1"/>
  <c r="AN15" i="1"/>
  <c r="AM15" i="1"/>
  <c r="AG15" i="1" s="1"/>
  <c r="AL15" i="1"/>
  <c r="AF15" i="1" s="1"/>
  <c r="AK15" i="1"/>
  <c r="AJ15" i="1"/>
  <c r="AI15" i="1"/>
  <c r="AR15" i="1" s="1"/>
  <c r="D15" i="1"/>
  <c r="F15" i="1"/>
  <c r="E15" i="1"/>
  <c r="EG14" i="1"/>
  <c r="EA14" i="1"/>
  <c r="DZ14" i="1"/>
  <c r="DY14" i="1"/>
  <c r="DX14" i="1"/>
  <c r="DW14" i="1"/>
  <c r="DV14" i="1"/>
  <c r="DC14" i="1"/>
  <c r="DB14" i="1"/>
  <c r="CV14" i="1" s="1"/>
  <c r="DA14" i="1"/>
  <c r="CU14" i="1" s="1"/>
  <c r="CZ14" i="1"/>
  <c r="CY14" i="1"/>
  <c r="CX14" i="1"/>
  <c r="CR14" i="1" s="1"/>
  <c r="CW14" i="1"/>
  <c r="CT14" i="1"/>
  <c r="CS14" i="1"/>
  <c r="BZ14" i="1"/>
  <c r="CA14" i="1" s="1"/>
  <c r="CB14" i="1" s="1"/>
  <c r="BY14" i="1"/>
  <c r="BX14" i="1"/>
  <c r="BW14" i="1"/>
  <c r="BV14" i="1"/>
  <c r="BU14" i="1"/>
  <c r="BT14" i="1"/>
  <c r="BS14" i="1"/>
  <c r="AS14" i="1"/>
  <c r="AN14" i="1"/>
  <c r="AM14" i="1"/>
  <c r="AL14" i="1"/>
  <c r="AF14" i="1" s="1"/>
  <c r="AK14" i="1"/>
  <c r="AE14" i="1" s="1"/>
  <c r="AJ14" i="1"/>
  <c r="AI14" i="1"/>
  <c r="BC14" i="1" s="1"/>
  <c r="D14" i="1"/>
  <c r="F14" i="1"/>
  <c r="E14" i="1"/>
  <c r="EG13" i="1"/>
  <c r="EA13" i="1"/>
  <c r="DZ13" i="1"/>
  <c r="DY13" i="1"/>
  <c r="DX13" i="1"/>
  <c r="DW13" i="1"/>
  <c r="DV13" i="1"/>
  <c r="DC13" i="1"/>
  <c r="DB13" i="1"/>
  <c r="DA13" i="1"/>
  <c r="CU13" i="1" s="1"/>
  <c r="CZ13" i="1"/>
  <c r="CT13" i="1" s="1"/>
  <c r="CY13" i="1"/>
  <c r="CX13" i="1"/>
  <c r="CW13" i="1"/>
  <c r="CV13" i="1"/>
  <c r="CS13" i="1"/>
  <c r="CR13" i="1"/>
  <c r="CA13" i="1"/>
  <c r="BZ13" i="1"/>
  <c r="BY13" i="1"/>
  <c r="BX13" i="1"/>
  <c r="BW13" i="1"/>
  <c r="BV13" i="1"/>
  <c r="BU13" i="1"/>
  <c r="CC13" i="1" s="1"/>
  <c r="BT13" i="1"/>
  <c r="BS13" i="1"/>
  <c r="AS13" i="1"/>
  <c r="AN13" i="1"/>
  <c r="AH13" i="1" s="1"/>
  <c r="AM13" i="1"/>
  <c r="AL13" i="1"/>
  <c r="AK13" i="1"/>
  <c r="AE13" i="1" s="1"/>
  <c r="AJ13" i="1"/>
  <c r="AD13" i="1" s="1"/>
  <c r="AI13" i="1"/>
  <c r="BC13" i="1" s="1"/>
  <c r="D13" i="1"/>
  <c r="F13" i="1"/>
  <c r="E13" i="1"/>
  <c r="EG12" i="1"/>
  <c r="EA12" i="1"/>
  <c r="DZ12" i="1"/>
  <c r="DY12" i="1"/>
  <c r="DX12" i="1"/>
  <c r="DW12" i="1"/>
  <c r="DV12" i="1"/>
  <c r="DC12" i="1"/>
  <c r="CW12" i="1" s="1"/>
  <c r="DB12" i="1"/>
  <c r="DA12" i="1"/>
  <c r="CZ12" i="1"/>
  <c r="CT12" i="1" s="1"/>
  <c r="CY12" i="1"/>
  <c r="CS12" i="1" s="1"/>
  <c r="CX12" i="1"/>
  <c r="CV12" i="1"/>
  <c r="CU12" i="1"/>
  <c r="CR12" i="1"/>
  <c r="BZ12" i="1"/>
  <c r="CA12" i="1" s="1"/>
  <c r="CB12" i="1" s="1"/>
  <c r="BY12" i="1"/>
  <c r="BX12" i="1"/>
  <c r="BW12" i="1"/>
  <c r="BV12" i="1"/>
  <c r="BU12" i="1"/>
  <c r="BT12" i="1"/>
  <c r="BS12" i="1"/>
  <c r="AS12" i="1"/>
  <c r="AN12" i="1"/>
  <c r="AH12" i="1" s="1"/>
  <c r="AM12" i="1"/>
  <c r="AG12" i="1" s="1"/>
  <c r="AL12" i="1"/>
  <c r="AK12" i="1"/>
  <c r="AJ12" i="1"/>
  <c r="AD12" i="1" s="1"/>
  <c r="AI12" i="1"/>
  <c r="AR12" i="1" s="1"/>
  <c r="AF12" i="1"/>
  <c r="F12" i="1"/>
  <c r="E12" i="1"/>
  <c r="D12" i="1"/>
  <c r="EG11" i="1"/>
  <c r="EA11" i="1"/>
  <c r="DZ11" i="1"/>
  <c r="DY11" i="1"/>
  <c r="DX11" i="1"/>
  <c r="DW11" i="1"/>
  <c r="DV11" i="1"/>
  <c r="DC11" i="1"/>
  <c r="CW11" i="1" s="1"/>
  <c r="DB11" i="1"/>
  <c r="CV11" i="1" s="1"/>
  <c r="DA11" i="1"/>
  <c r="CZ11" i="1"/>
  <c r="CY11" i="1"/>
  <c r="CS11" i="1" s="1"/>
  <c r="CX11" i="1"/>
  <c r="CR11" i="1" s="1"/>
  <c r="CU11" i="1"/>
  <c r="CT11" i="1"/>
  <c r="CA11" i="1"/>
  <c r="BZ11" i="1"/>
  <c r="BY11" i="1"/>
  <c r="BX11" i="1"/>
  <c r="BW11" i="1"/>
  <c r="BV11" i="1"/>
  <c r="BU11" i="1"/>
  <c r="CB11" i="1" s="1"/>
  <c r="BT11" i="1"/>
  <c r="BS11" i="1"/>
  <c r="AS11" i="1"/>
  <c r="AN11" i="1"/>
  <c r="AM11" i="1"/>
  <c r="AG11" i="1" s="1"/>
  <c r="AL11" i="1"/>
  <c r="AF11" i="1" s="1"/>
  <c r="AK11" i="1"/>
  <c r="AE11" i="1" s="1"/>
  <c r="AJ11" i="1"/>
  <c r="AI11" i="1"/>
  <c r="AR11" i="1" s="1"/>
  <c r="F11" i="1"/>
  <c r="E11" i="1"/>
  <c r="D11" i="1"/>
  <c r="EG10" i="1"/>
  <c r="EA10" i="1"/>
  <c r="DZ10" i="1"/>
  <c r="DY10" i="1"/>
  <c r="DX10" i="1"/>
  <c r="DW10" i="1"/>
  <c r="DV10" i="1"/>
  <c r="DC10" i="1"/>
  <c r="DB10" i="1"/>
  <c r="CV10" i="1" s="1"/>
  <c r="DA10" i="1"/>
  <c r="CU10" i="1" s="1"/>
  <c r="CZ10" i="1"/>
  <c r="CY10" i="1"/>
  <c r="CX10" i="1"/>
  <c r="CR10" i="1" s="1"/>
  <c r="CW10" i="1"/>
  <c r="CT10" i="1"/>
  <c r="CS10" i="1"/>
  <c r="CL10" i="1"/>
  <c r="CA10" i="1"/>
  <c r="BZ10" i="1"/>
  <c r="BY10" i="1"/>
  <c r="BX10" i="1"/>
  <c r="BW10" i="1"/>
  <c r="BV10" i="1"/>
  <c r="BU10" i="1"/>
  <c r="CB10" i="1" s="1"/>
  <c r="BT10" i="1"/>
  <c r="BS10" i="1"/>
  <c r="AS10" i="1"/>
  <c r="AN10" i="1"/>
  <c r="AM10" i="1"/>
  <c r="AG10" i="1" s="1"/>
  <c r="AL10" i="1"/>
  <c r="AF10" i="1" s="1"/>
  <c r="AK10" i="1"/>
  <c r="AE10" i="1" s="1"/>
  <c r="AJ10" i="1"/>
  <c r="AI10" i="1"/>
  <c r="AC10" i="1" s="1"/>
  <c r="D10" i="1"/>
  <c r="F10" i="1"/>
  <c r="E10" i="1"/>
  <c r="EG9" i="1"/>
  <c r="EA9" i="1"/>
  <c r="DZ9" i="1"/>
  <c r="DY9" i="1"/>
  <c r="DX9" i="1"/>
  <c r="DW9" i="1"/>
  <c r="DV9" i="1"/>
  <c r="DC9" i="1"/>
  <c r="DB9" i="1"/>
  <c r="CV9" i="1" s="1"/>
  <c r="DA9" i="1"/>
  <c r="CU9" i="1" s="1"/>
  <c r="CZ9" i="1"/>
  <c r="CY9" i="1"/>
  <c r="CX9" i="1"/>
  <c r="CR9" i="1" s="1"/>
  <c r="CW9" i="1"/>
  <c r="CT9" i="1"/>
  <c r="CS9" i="1"/>
  <c r="CL9" i="1"/>
  <c r="CA9" i="1"/>
  <c r="BZ9" i="1"/>
  <c r="BY9" i="1"/>
  <c r="BX9" i="1"/>
  <c r="BW9" i="1"/>
  <c r="BV9" i="1"/>
  <c r="BU9" i="1"/>
  <c r="CB9" i="1" s="1"/>
  <c r="BT9" i="1"/>
  <c r="BS9" i="1"/>
  <c r="AS9" i="1"/>
  <c r="AN9" i="1"/>
  <c r="AM9" i="1"/>
  <c r="AG9" i="1" s="1"/>
  <c r="AL9" i="1"/>
  <c r="AF9" i="1" s="1"/>
  <c r="AK9" i="1"/>
  <c r="AE9" i="1" s="1"/>
  <c r="AJ9" i="1"/>
  <c r="AI9" i="1"/>
  <c r="AC9" i="1" s="1"/>
  <c r="F9" i="1"/>
  <c r="E9" i="1"/>
  <c r="D9" i="1"/>
  <c r="EG8" i="1"/>
  <c r="EA8" i="1"/>
  <c r="DZ8" i="1"/>
  <c r="DY8" i="1"/>
  <c r="DX8" i="1"/>
  <c r="DW8" i="1"/>
  <c r="DV8" i="1"/>
  <c r="DC8" i="1"/>
  <c r="DB8" i="1"/>
  <c r="CV8" i="1" s="1"/>
  <c r="DA8" i="1"/>
  <c r="CU8" i="1" s="1"/>
  <c r="CZ8" i="1"/>
  <c r="CY8" i="1"/>
  <c r="CX8" i="1"/>
  <c r="CR8" i="1" s="1"/>
  <c r="CW8" i="1"/>
  <c r="CT8" i="1"/>
  <c r="CS8" i="1"/>
  <c r="BZ8" i="1"/>
  <c r="CA8" i="1" s="1"/>
  <c r="CB8" i="1" s="1"/>
  <c r="BY8" i="1"/>
  <c r="BX8" i="1"/>
  <c r="BW8" i="1"/>
  <c r="BV8" i="1"/>
  <c r="BU8" i="1"/>
  <c r="CC8" i="1" s="1"/>
  <c r="BT8" i="1"/>
  <c r="BS8" i="1"/>
  <c r="AS8" i="1"/>
  <c r="AN8" i="1"/>
  <c r="AH8" i="1" s="1"/>
  <c r="AM8" i="1"/>
  <c r="AL8" i="1"/>
  <c r="AF8" i="1" s="1"/>
  <c r="AK8" i="1"/>
  <c r="AE8" i="1" s="1"/>
  <c r="AJ8" i="1"/>
  <c r="AD8" i="1" s="1"/>
  <c r="AI8" i="1"/>
  <c r="BC8" i="1" s="1"/>
  <c r="D8" i="1"/>
  <c r="F8" i="1"/>
  <c r="E8" i="1"/>
  <c r="EG7" i="1"/>
  <c r="EA7" i="1"/>
  <c r="DZ7" i="1"/>
  <c r="DY7" i="1"/>
  <c r="DX7" i="1"/>
  <c r="DW7" i="1"/>
  <c r="DV7" i="1"/>
  <c r="DC7" i="1"/>
  <c r="DB7" i="1"/>
  <c r="DA7" i="1"/>
  <c r="CU7" i="1" s="1"/>
  <c r="CZ7" i="1"/>
  <c r="CT7" i="1" s="1"/>
  <c r="CY7" i="1"/>
  <c r="CX7" i="1"/>
  <c r="CW7" i="1"/>
  <c r="CV7" i="1"/>
  <c r="CS7" i="1"/>
  <c r="CR7" i="1"/>
  <c r="CL7" i="1"/>
  <c r="CK7" i="1"/>
  <c r="CM7" i="1" s="1"/>
  <c r="BZ7" i="1"/>
  <c r="CA7" i="1" s="1"/>
  <c r="CB7" i="1" s="1"/>
  <c r="BY7" i="1"/>
  <c r="BX7" i="1"/>
  <c r="BW7" i="1"/>
  <c r="BV7" i="1"/>
  <c r="BU7" i="1"/>
  <c r="CC7" i="1" s="1"/>
  <c r="BT7" i="1"/>
  <c r="BS7" i="1"/>
  <c r="AS7" i="1"/>
  <c r="AN7" i="1"/>
  <c r="AH7" i="1" s="1"/>
  <c r="AM7" i="1"/>
  <c r="AG7" i="1" s="1"/>
  <c r="AL7" i="1"/>
  <c r="AK7" i="1"/>
  <c r="AJ7" i="1"/>
  <c r="AD7" i="1" s="1"/>
  <c r="AI7" i="1"/>
  <c r="AR7" i="1" s="1"/>
  <c r="AF7" i="1"/>
  <c r="F7" i="1"/>
  <c r="E7" i="1"/>
  <c r="D7" i="1"/>
  <c r="EG6" i="1"/>
  <c r="EA6" i="1"/>
  <c r="DZ6" i="1"/>
  <c r="DY6" i="1"/>
  <c r="DX6" i="1"/>
  <c r="DW6" i="1"/>
  <c r="DV6" i="1"/>
  <c r="DC6" i="1"/>
  <c r="CW6" i="1" s="1"/>
  <c r="DB6" i="1"/>
  <c r="CV6" i="1" s="1"/>
  <c r="DA6" i="1"/>
  <c r="CZ6" i="1"/>
  <c r="CY6" i="1"/>
  <c r="CS6" i="1" s="1"/>
  <c r="CX6" i="1"/>
  <c r="CR6" i="1" s="1"/>
  <c r="CU6" i="1"/>
  <c r="CT6" i="1"/>
  <c r="CA6" i="1"/>
  <c r="BZ6" i="1"/>
  <c r="BY6" i="1"/>
  <c r="BX6" i="1"/>
  <c r="BW6" i="1"/>
  <c r="BV6" i="1"/>
  <c r="BU6" i="1"/>
  <c r="CB6" i="1" s="1"/>
  <c r="BT6" i="1"/>
  <c r="BS6" i="1"/>
  <c r="BA6" i="1"/>
  <c r="BA7" i="1" s="1"/>
  <c r="BA8" i="1" s="1"/>
  <c r="BA9" i="1" s="1"/>
  <c r="BA10" i="1" s="1"/>
  <c r="BA11" i="1" s="1"/>
  <c r="BA12" i="1" s="1"/>
  <c r="BA13" i="1" s="1"/>
  <c r="BA14" i="1" s="1"/>
  <c r="BA15" i="1" s="1"/>
  <c r="BA16" i="1" s="1"/>
  <c r="BA17" i="1" s="1"/>
  <c r="BA18" i="1" s="1"/>
  <c r="BA19" i="1" s="1"/>
  <c r="BA20" i="1" s="1"/>
  <c r="BA21" i="1" s="1"/>
  <c r="BA22" i="1" s="1"/>
  <c r="BA23" i="1" s="1"/>
  <c r="BA24" i="1" s="1"/>
  <c r="BA25" i="1" s="1"/>
  <c r="BA26" i="1" s="1"/>
  <c r="BA27" i="1" s="1"/>
  <c r="BA28" i="1" s="1"/>
  <c r="BA29" i="1" s="1"/>
  <c r="BA30" i="1" s="1"/>
  <c r="BA31" i="1" s="1"/>
  <c r="BA32" i="1" s="1"/>
  <c r="BA33" i="1" s="1"/>
  <c r="BA34" i="1" s="1"/>
  <c r="BA35" i="1" s="1"/>
  <c r="BA36" i="1" s="1"/>
  <c r="BA37" i="1" s="1"/>
  <c r="BA38" i="1" s="1"/>
  <c r="BA39" i="1" s="1"/>
  <c r="BA40" i="1" s="1"/>
  <c r="BA41" i="1" s="1"/>
  <c r="BA42" i="1" s="1"/>
  <c r="AS6" i="1"/>
  <c r="AN6" i="1"/>
  <c r="AM6" i="1"/>
  <c r="AG6" i="1" s="1"/>
  <c r="AL6" i="1"/>
  <c r="AF6" i="1" s="1"/>
  <c r="AK6" i="1"/>
  <c r="AE6" i="1" s="1"/>
  <c r="AJ6" i="1"/>
  <c r="AI6" i="1"/>
  <c r="AR6" i="1" s="1"/>
  <c r="D6" i="1"/>
  <c r="F6" i="1"/>
  <c r="E6" i="1"/>
  <c r="EG5" i="1"/>
  <c r="EA5" i="1"/>
  <c r="DZ5" i="1"/>
  <c r="DY5" i="1"/>
  <c r="DX5" i="1"/>
  <c r="DW5" i="1"/>
  <c r="DV5" i="1"/>
  <c r="DC5" i="1"/>
  <c r="DB5" i="1"/>
  <c r="CV5" i="1" s="1"/>
  <c r="DA5" i="1"/>
  <c r="CU5" i="1" s="1"/>
  <c r="CZ5" i="1"/>
  <c r="CY5" i="1"/>
  <c r="CX5" i="1"/>
  <c r="CR5" i="1" s="1"/>
  <c r="CW5" i="1"/>
  <c r="CT5" i="1"/>
  <c r="CS5" i="1"/>
  <c r="BZ5" i="1"/>
  <c r="CA5" i="1" s="1"/>
  <c r="CB5" i="1" s="1"/>
  <c r="BY5" i="1"/>
  <c r="BX5" i="1"/>
  <c r="BW5" i="1"/>
  <c r="BV5" i="1"/>
  <c r="BU5" i="1"/>
  <c r="BT5" i="1"/>
  <c r="BS5" i="1"/>
  <c r="BA5" i="1"/>
  <c r="AS5" i="1"/>
  <c r="AN5" i="1"/>
  <c r="AH5" i="1" s="1"/>
  <c r="AM5" i="1"/>
  <c r="AL5" i="1"/>
  <c r="AF5" i="1" s="1"/>
  <c r="AK5" i="1"/>
  <c r="AE5" i="1" s="1"/>
  <c r="AJ5" i="1"/>
  <c r="AD5" i="1" s="1"/>
  <c r="AI5" i="1"/>
  <c r="BC5" i="1" s="1"/>
  <c r="D5" i="1"/>
  <c r="F5" i="1"/>
  <c r="E5" i="1"/>
  <c r="EG4" i="1"/>
  <c r="EA4" i="1"/>
  <c r="DZ4" i="1"/>
  <c r="DY4" i="1"/>
  <c r="DX4" i="1"/>
  <c r="DW4" i="1"/>
  <c r="DV4" i="1"/>
  <c r="DC4" i="1"/>
  <c r="DB4" i="1"/>
  <c r="DA4" i="1"/>
  <c r="CU4" i="1" s="1"/>
  <c r="CZ4" i="1"/>
  <c r="CT4" i="1" s="1"/>
  <c r="CY4" i="1"/>
  <c r="CX4" i="1"/>
  <c r="CW4" i="1"/>
  <c r="CV4" i="1"/>
  <c r="CS4" i="1"/>
  <c r="CR4" i="1"/>
  <c r="CA4" i="1"/>
  <c r="BZ4" i="1"/>
  <c r="BY4" i="1"/>
  <c r="BX4" i="1"/>
  <c r="BW4" i="1"/>
  <c r="BV4" i="1"/>
  <c r="BU4" i="1"/>
  <c r="CC4" i="1" s="1"/>
  <c r="BT4" i="1"/>
  <c r="BS4" i="1"/>
  <c r="AS4" i="1"/>
  <c r="AN4" i="1"/>
  <c r="AH4" i="1" s="1"/>
  <c r="AM4" i="1"/>
  <c r="AG4" i="1" s="1"/>
  <c r="AL4" i="1"/>
  <c r="AK4" i="1"/>
  <c r="AJ4" i="1"/>
  <c r="AD4" i="1" s="1"/>
  <c r="AI4" i="1"/>
  <c r="BC4" i="1" s="1"/>
  <c r="AF4" i="1"/>
  <c r="D4" i="1"/>
  <c r="F4" i="1"/>
  <c r="E4" i="1"/>
  <c r="DC2" i="1"/>
  <c r="Z1" i="1"/>
  <c r="AH99" i="1" s="1"/>
  <c r="R1" i="1"/>
  <c r="BC12" i="1" l="1"/>
  <c r="BC16" i="1"/>
  <c r="BC7" i="1"/>
  <c r="CC12" i="1"/>
  <c r="CC16" i="1"/>
  <c r="CC5" i="1"/>
  <c r="CC14" i="1"/>
  <c r="CC11" i="1"/>
  <c r="AG13" i="1"/>
  <c r="AD14" i="1"/>
  <c r="CC15" i="1"/>
  <c r="AF16" i="1"/>
  <c r="AG17" i="1"/>
  <c r="AE20" i="1"/>
  <c r="AF22" i="1"/>
  <c r="AD24" i="1"/>
  <c r="AE26" i="1"/>
  <c r="AD26" i="1"/>
  <c r="AH26" i="1"/>
  <c r="AE27" i="1"/>
  <c r="AH28" i="1"/>
  <c r="CC28" i="1"/>
  <c r="AC30" i="1"/>
  <c r="AF31" i="1"/>
  <c r="AG32" i="1"/>
  <c r="AD33" i="1"/>
  <c r="AR33" i="1"/>
  <c r="AC33" i="1"/>
  <c r="AG34" i="1"/>
  <c r="AF39" i="1"/>
  <c r="AE40" i="1"/>
  <c r="AH46" i="1"/>
  <c r="AF46" i="1"/>
  <c r="AG47" i="1"/>
  <c r="AD48" i="1"/>
  <c r="AC49" i="1"/>
  <c r="AD49" i="1"/>
  <c r="AH49" i="1"/>
  <c r="AH50" i="1"/>
  <c r="AF50" i="1"/>
  <c r="AG51" i="1"/>
  <c r="AD52" i="1"/>
  <c r="AC53" i="1"/>
  <c r="AD53" i="1"/>
  <c r="AH53" i="1"/>
  <c r="AH54" i="1"/>
  <c r="AF54" i="1"/>
  <c r="AG55" i="1"/>
  <c r="AD56" i="1"/>
  <c r="AC57" i="1"/>
  <c r="AD57" i="1"/>
  <c r="AH57" i="1"/>
  <c r="AH58" i="1"/>
  <c r="AF58" i="1"/>
  <c r="AG59" i="1"/>
  <c r="AD60" i="1"/>
  <c r="AC61" i="1"/>
  <c r="AD61" i="1"/>
  <c r="AH61" i="1"/>
  <c r="AH62" i="1"/>
  <c r="AF62" i="1"/>
  <c r="AG63" i="1"/>
  <c r="AD64" i="1"/>
  <c r="AC65" i="1"/>
  <c r="AD65" i="1"/>
  <c r="AH65" i="1"/>
  <c r="AH66" i="1"/>
  <c r="AF66" i="1"/>
  <c r="AG67" i="1"/>
  <c r="AD68" i="1"/>
  <c r="AC69" i="1"/>
  <c r="AD69" i="1"/>
  <c r="AH69" i="1"/>
  <c r="AH70" i="1"/>
  <c r="AF70" i="1"/>
  <c r="AG71" i="1"/>
  <c r="AD72" i="1"/>
  <c r="AC73" i="1"/>
  <c r="AD73" i="1"/>
  <c r="AH73" i="1"/>
  <c r="AH74" i="1"/>
  <c r="AF74" i="1"/>
  <c r="AG75" i="1"/>
  <c r="AD76" i="1"/>
  <c r="AC77" i="1"/>
  <c r="AD77" i="1"/>
  <c r="AH77" i="1"/>
  <c r="AH78" i="1"/>
  <c r="AF78" i="1"/>
  <c r="AG79" i="1"/>
  <c r="AD80" i="1"/>
  <c r="AC81" i="1"/>
  <c r="AD81" i="1"/>
  <c r="AH81" i="1"/>
  <c r="AH82" i="1"/>
  <c r="AF82" i="1"/>
  <c r="AG83" i="1"/>
  <c r="AF84" i="1"/>
  <c r="AG85" i="1"/>
  <c r="AE85" i="1"/>
  <c r="AR85" i="1"/>
  <c r="AD86" i="1"/>
  <c r="AH86" i="1"/>
  <c r="AC87" i="1"/>
  <c r="AD88" i="1"/>
  <c r="AH88" i="1"/>
  <c r="AF92" i="1"/>
  <c r="AD93" i="1"/>
  <c r="AE93" i="1"/>
  <c r="AR94" i="1"/>
  <c r="AG94" i="1"/>
  <c r="AH95" i="1"/>
  <c r="AF95" i="1"/>
  <c r="AD96" i="1"/>
  <c r="AH96" i="1"/>
  <c r="AF100" i="1"/>
  <c r="AD101" i="1"/>
  <c r="AE101" i="1"/>
  <c r="AR102" i="1"/>
  <c r="AG102" i="1"/>
  <c r="AR104" i="1"/>
  <c r="AG104" i="1"/>
  <c r="AR106" i="1"/>
  <c r="AG106" i="1"/>
  <c r="AR108" i="1"/>
  <c r="AG108" i="1"/>
  <c r="AR110" i="1"/>
  <c r="AG110" i="1"/>
  <c r="AR112" i="1"/>
  <c r="AG112" i="1"/>
  <c r="AR114" i="1"/>
  <c r="AG114" i="1"/>
  <c r="AR116" i="1"/>
  <c r="AG116" i="1"/>
  <c r="AR118" i="1"/>
  <c r="AG118" i="1"/>
  <c r="AR120" i="1"/>
  <c r="AG120" i="1"/>
  <c r="AR122" i="1"/>
  <c r="AG122" i="1"/>
  <c r="AR124" i="1"/>
  <c r="AG124" i="1"/>
  <c r="AR126" i="1"/>
  <c r="AG126" i="1"/>
  <c r="AR128" i="1"/>
  <c r="AG128" i="1"/>
  <c r="AR130" i="1"/>
  <c r="AG130" i="1"/>
  <c r="AR132" i="1"/>
  <c r="AG132" i="1"/>
  <c r="AR134" i="1"/>
  <c r="AG134" i="1"/>
  <c r="AR136" i="1"/>
  <c r="AG136" i="1"/>
  <c r="AD138" i="1"/>
  <c r="AH138" i="1"/>
  <c r="AE139" i="1"/>
  <c r="AD140" i="1"/>
  <c r="AH140" i="1"/>
  <c r="AE141" i="1"/>
  <c r="CC142" i="1"/>
  <c r="AF143" i="1"/>
  <c r="AD146" i="1"/>
  <c r="AH146" i="1"/>
  <c r="CC146" i="1"/>
  <c r="AF147" i="1"/>
  <c r="AE148" i="1"/>
  <c r="CC150" i="1"/>
  <c r="AF152" i="1"/>
  <c r="AE153" i="1"/>
  <c r="AE155" i="1"/>
  <c r="AF157" i="1"/>
  <c r="AR160" i="1"/>
  <c r="AG160" i="1"/>
  <c r="AD162" i="1"/>
  <c r="AH162" i="1"/>
  <c r="AE163" i="1"/>
  <c r="AF165" i="1"/>
  <c r="AR168" i="1"/>
  <c r="AG168" i="1"/>
  <c r="AD170" i="1"/>
  <c r="AH170" i="1"/>
  <c r="AE171" i="1"/>
  <c r="AE172" i="1"/>
  <c r="CC6" i="1"/>
  <c r="AC13" i="1"/>
  <c r="AR13" i="1"/>
  <c r="AH14" i="1"/>
  <c r="AE15" i="1"/>
  <c r="AD17" i="1"/>
  <c r="AR17" i="1"/>
  <c r="AC17" i="1"/>
  <c r="BC17" i="1"/>
  <c r="AG18" i="1"/>
  <c r="AD19" i="1"/>
  <c r="AH21" i="1"/>
  <c r="AR22" i="1"/>
  <c r="AC23" i="1"/>
  <c r="AH23" i="1"/>
  <c r="AF25" i="1"/>
  <c r="AG27" i="1"/>
  <c r="AR27" i="1"/>
  <c r="AC28" i="1"/>
  <c r="AF28" i="1"/>
  <c r="AE29" i="1"/>
  <c r="AR32" i="1"/>
  <c r="AG33" i="1"/>
  <c r="BC33" i="1"/>
  <c r="AD35" i="1"/>
  <c r="AE36" i="1"/>
  <c r="AH37" i="1"/>
  <c r="AC38" i="1"/>
  <c r="AH38" i="1"/>
  <c r="AG40" i="1"/>
  <c r="AR40" i="1"/>
  <c r="AE41" i="1"/>
  <c r="AF42" i="1"/>
  <c r="AE43" i="1"/>
  <c r="AD44" i="1"/>
  <c r="AC45" i="1"/>
  <c r="AD45" i="1"/>
  <c r="AH45" i="1"/>
  <c r="AC4" i="1"/>
  <c r="AR4" i="1"/>
  <c r="CB4" i="1"/>
  <c r="BC6" i="1"/>
  <c r="AC7" i="1"/>
  <c r="BC9" i="1"/>
  <c r="BC10" i="1"/>
  <c r="BC11" i="1"/>
  <c r="AC12" i="1"/>
  <c r="CB13" i="1"/>
  <c r="BC15" i="1"/>
  <c r="AC16" i="1"/>
  <c r="AE17" i="1"/>
  <c r="AC18" i="1"/>
  <c r="CB18" i="1"/>
  <c r="AR20" i="1"/>
  <c r="CB20" i="1"/>
  <c r="AR21" i="1"/>
  <c r="AC21" i="1"/>
  <c r="AG21" i="1"/>
  <c r="BC21" i="1"/>
  <c r="AH25" i="1"/>
  <c r="AF26" i="1"/>
  <c r="AR26" i="1"/>
  <c r="AC27" i="1"/>
  <c r="AH27" i="1"/>
  <c r="CC27" i="1"/>
  <c r="AD28" i="1"/>
  <c r="AD30" i="1"/>
  <c r="AH30" i="1"/>
  <c r="BC30" i="1"/>
  <c r="AG31" i="1"/>
  <c r="AE31" i="1"/>
  <c r="AR31" i="1"/>
  <c r="AC32" i="1"/>
  <c r="AH32" i="1"/>
  <c r="AF32" i="1"/>
  <c r="AE33" i="1"/>
  <c r="CB33" i="1"/>
  <c r="AC34" i="1"/>
  <c r="CB34" i="1"/>
  <c r="AF35" i="1"/>
  <c r="AG36" i="1"/>
  <c r="AR36" i="1"/>
  <c r="CB36" i="1"/>
  <c r="AR37" i="1"/>
  <c r="AC37" i="1"/>
  <c r="AG37" i="1"/>
  <c r="BC37" i="1"/>
  <c r="AH39" i="1"/>
  <c r="AC40" i="1"/>
  <c r="AH40" i="1"/>
  <c r="CC40" i="1"/>
  <c r="AG42" i="1"/>
  <c r="AE42" i="1"/>
  <c r="AR42" i="1"/>
  <c r="AF43" i="1"/>
  <c r="AE44" i="1"/>
  <c r="AF45" i="1"/>
  <c r="AE45" i="1"/>
  <c r="AR45" i="1"/>
  <c r="BC46" i="1"/>
  <c r="AR46" i="1"/>
  <c r="AC46" i="1"/>
  <c r="AG46" i="1"/>
  <c r="AE48" i="1"/>
  <c r="AF49" i="1"/>
  <c r="AE49" i="1"/>
  <c r="AR49" i="1"/>
  <c r="BC50" i="1"/>
  <c r="AR50" i="1"/>
  <c r="AC50" i="1"/>
  <c r="AG50" i="1"/>
  <c r="AE52" i="1"/>
  <c r="AF53" i="1"/>
  <c r="AE53" i="1"/>
  <c r="AR53" i="1"/>
  <c r="BC54" i="1"/>
  <c r="AR54" i="1"/>
  <c r="AC54" i="1"/>
  <c r="AG54" i="1"/>
  <c r="AE56" i="1"/>
  <c r="AF57" i="1"/>
  <c r="AE57" i="1"/>
  <c r="AR57" i="1"/>
  <c r="BC58" i="1"/>
  <c r="AR58" i="1"/>
  <c r="AC58" i="1"/>
  <c r="AG58" i="1"/>
  <c r="AE60" i="1"/>
  <c r="AF61" i="1"/>
  <c r="AE61" i="1"/>
  <c r="AR61" i="1"/>
  <c r="BC62" i="1"/>
  <c r="AR62" i="1"/>
  <c r="AC62" i="1"/>
  <c r="AG62" i="1"/>
  <c r="AE64" i="1"/>
  <c r="AF65" i="1"/>
  <c r="AE65" i="1"/>
  <c r="AR65" i="1"/>
  <c r="BC66" i="1"/>
  <c r="AR66" i="1"/>
  <c r="AC66" i="1"/>
  <c r="AG66" i="1"/>
  <c r="AE68" i="1"/>
  <c r="AF69" i="1"/>
  <c r="AE69" i="1"/>
  <c r="AR69" i="1"/>
  <c r="BC70" i="1"/>
  <c r="AR70" i="1"/>
  <c r="AC70" i="1"/>
  <c r="AG70" i="1"/>
  <c r="AE72" i="1"/>
  <c r="AF73" i="1"/>
  <c r="AE73" i="1"/>
  <c r="AR73" i="1"/>
  <c r="BC74" i="1"/>
  <c r="AR74" i="1"/>
  <c r="AC74" i="1"/>
  <c r="AG74" i="1"/>
  <c r="AE76" i="1"/>
  <c r="AF77" i="1"/>
  <c r="AE77" i="1"/>
  <c r="AR77" i="1"/>
  <c r="BC78" i="1"/>
  <c r="AR78" i="1"/>
  <c r="AC78" i="1"/>
  <c r="AG78" i="1"/>
  <c r="AE80" i="1"/>
  <c r="AF81" i="1"/>
  <c r="AE81" i="1"/>
  <c r="AR81" i="1"/>
  <c r="BC82" i="1"/>
  <c r="AR82" i="1"/>
  <c r="AC82" i="1"/>
  <c r="AG82" i="1"/>
  <c r="AR84" i="1"/>
  <c r="AC84" i="1"/>
  <c r="AG84" i="1"/>
  <c r="BC84" i="1"/>
  <c r="AH85" i="1"/>
  <c r="AF85" i="1"/>
  <c r="AE86" i="1"/>
  <c r="AD87" i="1"/>
  <c r="CC88" i="1"/>
  <c r="AF90" i="1"/>
  <c r="AD91" i="1"/>
  <c r="AE91" i="1"/>
  <c r="AR92" i="1"/>
  <c r="AG92" i="1"/>
  <c r="AH93" i="1"/>
  <c r="AF93" i="1"/>
  <c r="AD94" i="1"/>
  <c r="AH94" i="1"/>
  <c r="CC96" i="1"/>
  <c r="AF98" i="1"/>
  <c r="AD99" i="1"/>
  <c r="AE99" i="1"/>
  <c r="AR100" i="1"/>
  <c r="AG100" i="1"/>
  <c r="AH101" i="1"/>
  <c r="AF101" i="1"/>
  <c r="AD102" i="1"/>
  <c r="AH102" i="1"/>
  <c r="AE103" i="1"/>
  <c r="AD104" i="1"/>
  <c r="AH104" i="1"/>
  <c r="AE105" i="1"/>
  <c r="AD106" i="1"/>
  <c r="AH106" i="1"/>
  <c r="AE107" i="1"/>
  <c r="AD108" i="1"/>
  <c r="AH108" i="1"/>
  <c r="AE109" i="1"/>
  <c r="AD110" i="1"/>
  <c r="AH110" i="1"/>
  <c r="AE111" i="1"/>
  <c r="AD112" i="1"/>
  <c r="AH112" i="1"/>
  <c r="AE113" i="1"/>
  <c r="AD114" i="1"/>
  <c r="AH114" i="1"/>
  <c r="AE115" i="1"/>
  <c r="AD116" i="1"/>
  <c r="AH116" i="1"/>
  <c r="AE117" i="1"/>
  <c r="AD118" i="1"/>
  <c r="AH118" i="1"/>
  <c r="AE119" i="1"/>
  <c r="AD120" i="1"/>
  <c r="AH120" i="1"/>
  <c r="AE121" i="1"/>
  <c r="AD122" i="1"/>
  <c r="AH122" i="1"/>
  <c r="AE123" i="1"/>
  <c r="AD124" i="1"/>
  <c r="AH124" i="1"/>
  <c r="AE125" i="1"/>
  <c r="AD126" i="1"/>
  <c r="AH126" i="1"/>
  <c r="AE127" i="1"/>
  <c r="AD128" i="1"/>
  <c r="AH128" i="1"/>
  <c r="AE129" i="1"/>
  <c r="AD130" i="1"/>
  <c r="AH130" i="1"/>
  <c r="AE131" i="1"/>
  <c r="AD132" i="1"/>
  <c r="AH132" i="1"/>
  <c r="AE133" i="1"/>
  <c r="AD134" i="1"/>
  <c r="AH134" i="1"/>
  <c r="AE135" i="1"/>
  <c r="AD136" i="1"/>
  <c r="AH136" i="1"/>
  <c r="AE137" i="1"/>
  <c r="CC138" i="1"/>
  <c r="AF139" i="1"/>
  <c r="CC140" i="1"/>
  <c r="AF141" i="1"/>
  <c r="AR144" i="1"/>
  <c r="AG144" i="1"/>
  <c r="AF150" i="1"/>
  <c r="AD151" i="1"/>
  <c r="AH151" i="1"/>
  <c r="AG152" i="1"/>
  <c r="CC154" i="1"/>
  <c r="AF155" i="1"/>
  <c r="AR158" i="1"/>
  <c r="AG158" i="1"/>
  <c r="AD160" i="1"/>
  <c r="AH160" i="1"/>
  <c r="AE161" i="1"/>
  <c r="CC162" i="1"/>
  <c r="AF163" i="1"/>
  <c r="AR166" i="1"/>
  <c r="AG166" i="1"/>
  <c r="AD168" i="1"/>
  <c r="AH168" i="1"/>
  <c r="AE169" i="1"/>
  <c r="CC170" i="1"/>
  <c r="AF171" i="1"/>
  <c r="AG175" i="1"/>
  <c r="CC9" i="1"/>
  <c r="CC10" i="1"/>
  <c r="AR9" i="1"/>
  <c r="AR10" i="1"/>
  <c r="AC11" i="1"/>
  <c r="AC15" i="1"/>
  <c r="AC20" i="1"/>
  <c r="CB21" i="1"/>
  <c r="AR24" i="1"/>
  <c r="AG25" i="1"/>
  <c r="AG26" i="1"/>
  <c r="AD27" i="1"/>
  <c r="AE28" i="1"/>
  <c r="AF30" i="1"/>
  <c r="AC31" i="1"/>
  <c r="CC31" i="1"/>
  <c r="AD32" i="1"/>
  <c r="AF33" i="1"/>
  <c r="AE34" i="1"/>
  <c r="AD34" i="1"/>
  <c r="AH34" i="1"/>
  <c r="AG35" i="1"/>
  <c r="AE35" i="1"/>
  <c r="AR35" i="1"/>
  <c r="AC36" i="1"/>
  <c r="AH36" i="1"/>
  <c r="AF36" i="1"/>
  <c r="AE37" i="1"/>
  <c r="CB37" i="1"/>
  <c r="AD39" i="1"/>
  <c r="AR39" i="1"/>
  <c r="AC39" i="1"/>
  <c r="AG39" i="1"/>
  <c r="BC39" i="1"/>
  <c r="AD40" i="1"/>
  <c r="AC42" i="1"/>
  <c r="CC42" i="1"/>
  <c r="AR43" i="1"/>
  <c r="AC43" i="1"/>
  <c r="AG43" i="1"/>
  <c r="AH44" i="1"/>
  <c r="AF44" i="1"/>
  <c r="AG45" i="1"/>
  <c r="CB45" i="1"/>
  <c r="AD46" i="1"/>
  <c r="AC47" i="1"/>
  <c r="AD47" i="1"/>
  <c r="AH47" i="1"/>
  <c r="AH48" i="1"/>
  <c r="AF48" i="1"/>
  <c r="AG49" i="1"/>
  <c r="CB49" i="1"/>
  <c r="AD50" i="1"/>
  <c r="AC51" i="1"/>
  <c r="AD51" i="1"/>
  <c r="AH51" i="1"/>
  <c r="AH52" i="1"/>
  <c r="AF52" i="1"/>
  <c r="AG53" i="1"/>
  <c r="CB53" i="1"/>
  <c r="AD54" i="1"/>
  <c r="AC55" i="1"/>
  <c r="AD55" i="1"/>
  <c r="AH55" i="1"/>
  <c r="AH56" i="1"/>
  <c r="AF56" i="1"/>
  <c r="AG57" i="1"/>
  <c r="CB57" i="1"/>
  <c r="AD58" i="1"/>
  <c r="AC59" i="1"/>
  <c r="AD59" i="1"/>
  <c r="AH59" i="1"/>
  <c r="AH60" i="1"/>
  <c r="AF60" i="1"/>
  <c r="AG61" i="1"/>
  <c r="CB61" i="1"/>
  <c r="AD62" i="1"/>
  <c r="AC63" i="1"/>
  <c r="AD63" i="1"/>
  <c r="AH63" i="1"/>
  <c r="AH64" i="1"/>
  <c r="AF64" i="1"/>
  <c r="AG65" i="1"/>
  <c r="CB65" i="1"/>
  <c r="AD66" i="1"/>
  <c r="AC67" i="1"/>
  <c r="AD67" i="1"/>
  <c r="AH67" i="1"/>
  <c r="AH68" i="1"/>
  <c r="AF68" i="1"/>
  <c r="AG69" i="1"/>
  <c r="CB69" i="1"/>
  <c r="AD70" i="1"/>
  <c r="AC71" i="1"/>
  <c r="AD71" i="1"/>
  <c r="AH71" i="1"/>
  <c r="AH72" i="1"/>
  <c r="AF72" i="1"/>
  <c r="AG73" i="1"/>
  <c r="CB73" i="1"/>
  <c r="AD74" i="1"/>
  <c r="AC75" i="1"/>
  <c r="AD75" i="1"/>
  <c r="AH75" i="1"/>
  <c r="AH76" i="1"/>
  <c r="AF76" i="1"/>
  <c r="AG77" i="1"/>
  <c r="CB77" i="1"/>
  <c r="AD78" i="1"/>
  <c r="AC79" i="1"/>
  <c r="AD79" i="1"/>
  <c r="AH79" i="1"/>
  <c r="AH80" i="1"/>
  <c r="AF80" i="1"/>
  <c r="AG81" i="1"/>
  <c r="CB81" i="1"/>
  <c r="AD82" i="1"/>
  <c r="AC83" i="1"/>
  <c r="AD83" i="1"/>
  <c r="AH83" i="1"/>
  <c r="AD84" i="1"/>
  <c r="AH84" i="1"/>
  <c r="CC84" i="1"/>
  <c r="AC85" i="1"/>
  <c r="AF86" i="1"/>
  <c r="AG87" i="1"/>
  <c r="AE87" i="1"/>
  <c r="AR87" i="1"/>
  <c r="AF88" i="1"/>
  <c r="AD89" i="1"/>
  <c r="AE89" i="1"/>
  <c r="AR90" i="1"/>
  <c r="AG90" i="1"/>
  <c r="AH91" i="1"/>
  <c r="AF91" i="1"/>
  <c r="AD92" i="1"/>
  <c r="AH92" i="1"/>
  <c r="AF96" i="1"/>
  <c r="AD97" i="1"/>
  <c r="AE97" i="1"/>
  <c r="AR98" i="1"/>
  <c r="AG98" i="1"/>
  <c r="AF99" i="1"/>
  <c r="AD100" i="1"/>
  <c r="AH100" i="1"/>
  <c r="AF103" i="1"/>
  <c r="AF105" i="1"/>
  <c r="AF107" i="1"/>
  <c r="AF109" i="1"/>
  <c r="AF111" i="1"/>
  <c r="AF113" i="1"/>
  <c r="AF115" i="1"/>
  <c r="AF117" i="1"/>
  <c r="AF119" i="1"/>
  <c r="AF121" i="1"/>
  <c r="AF123" i="1"/>
  <c r="AF125" i="1"/>
  <c r="AF127" i="1"/>
  <c r="AF129" i="1"/>
  <c r="AF131" i="1"/>
  <c r="AF133" i="1"/>
  <c r="AF135" i="1"/>
  <c r="AF137" i="1"/>
  <c r="AR142" i="1"/>
  <c r="AG142" i="1"/>
  <c r="AD144" i="1"/>
  <c r="AH144" i="1"/>
  <c r="AE145" i="1"/>
  <c r="AR149" i="1"/>
  <c r="AG149" i="1"/>
  <c r="AG150" i="1"/>
  <c r="AE151" i="1"/>
  <c r="AR154" i="1"/>
  <c r="AG154" i="1"/>
  <c r="AR156" i="1"/>
  <c r="AG156" i="1"/>
  <c r="AD158" i="1"/>
  <c r="AH158" i="1"/>
  <c r="AE159" i="1"/>
  <c r="AF161" i="1"/>
  <c r="AR164" i="1"/>
  <c r="AG164" i="1"/>
  <c r="AD166" i="1"/>
  <c r="AH166" i="1"/>
  <c r="AE167" i="1"/>
  <c r="AF169" i="1"/>
  <c r="AG173" i="1"/>
  <c r="AE176" i="1"/>
  <c r="AH803" i="1"/>
  <c r="AF802" i="1"/>
  <c r="AD801" i="1"/>
  <c r="AE802" i="1"/>
  <c r="AH801" i="1"/>
  <c r="AC801" i="1"/>
  <c r="AF800" i="1"/>
  <c r="AE803" i="1"/>
  <c r="AC802" i="1"/>
  <c r="AG801" i="1"/>
  <c r="AE800" i="1"/>
  <c r="AH799" i="1"/>
  <c r="AD799" i="1"/>
  <c r="AF798" i="1"/>
  <c r="AH797" i="1"/>
  <c r="AD797" i="1"/>
  <c r="AF796" i="1"/>
  <c r="AH795" i="1"/>
  <c r="AD795" i="1"/>
  <c r="AF794" i="1"/>
  <c r="AH793" i="1"/>
  <c r="AD793" i="1"/>
  <c r="AF792" i="1"/>
  <c r="AH791" i="1"/>
  <c r="AD791" i="1"/>
  <c r="AF790" i="1"/>
  <c r="AH789" i="1"/>
  <c r="AD789" i="1"/>
  <c r="AF788" i="1"/>
  <c r="AH787" i="1"/>
  <c r="AD787" i="1"/>
  <c r="AF786" i="1"/>
  <c r="AH785" i="1"/>
  <c r="AD785" i="1"/>
  <c r="AF784" i="1"/>
  <c r="AH783" i="1"/>
  <c r="AD783" i="1"/>
  <c r="AF782" i="1"/>
  <c r="AH781" i="1"/>
  <c r="AD781" i="1"/>
  <c r="AF780" i="1"/>
  <c r="AH779" i="1"/>
  <c r="AD779" i="1"/>
  <c r="AF778" i="1"/>
  <c r="AH777" i="1"/>
  <c r="AD777" i="1"/>
  <c r="AF776" i="1"/>
  <c r="AH775" i="1"/>
  <c r="AD775" i="1"/>
  <c r="AF774" i="1"/>
  <c r="AH773" i="1"/>
  <c r="AD773" i="1"/>
  <c r="AF772" i="1"/>
  <c r="AH771" i="1"/>
  <c r="AD771" i="1"/>
  <c r="AF770" i="1"/>
  <c r="AH769" i="1"/>
  <c r="AD769" i="1"/>
  <c r="AD803" i="1"/>
  <c r="AG802" i="1"/>
  <c r="AG767" i="1"/>
  <c r="AG765" i="1"/>
  <c r="AG763" i="1"/>
  <c r="AG761" i="1"/>
  <c r="AG759" i="1"/>
  <c r="AG757" i="1"/>
  <c r="AG799" i="1"/>
  <c r="AE798" i="1"/>
  <c r="AG797" i="1"/>
  <c r="AE796" i="1"/>
  <c r="AG795" i="1"/>
  <c r="AE794" i="1"/>
  <c r="AG793" i="1"/>
  <c r="AE792" i="1"/>
  <c r="AG791" i="1"/>
  <c r="AE790" i="1"/>
  <c r="AG789" i="1"/>
  <c r="AE788" i="1"/>
  <c r="AG787" i="1"/>
  <c r="AE786" i="1"/>
  <c r="AG785" i="1"/>
  <c r="AE784" i="1"/>
  <c r="AG783" i="1"/>
  <c r="AE782" i="1"/>
  <c r="AG781" i="1"/>
  <c r="AE780" i="1"/>
  <c r="AG779" i="1"/>
  <c r="AE778" i="1"/>
  <c r="AG777" i="1"/>
  <c r="AE776" i="1"/>
  <c r="AG775" i="1"/>
  <c r="AE774" i="1"/>
  <c r="AG773" i="1"/>
  <c r="AE772" i="1"/>
  <c r="AG771" i="1"/>
  <c r="AE770" i="1"/>
  <c r="AG769" i="1"/>
  <c r="AF768" i="1"/>
  <c r="AD767" i="1"/>
  <c r="AC799" i="1"/>
  <c r="AC797" i="1"/>
  <c r="AC795" i="1"/>
  <c r="AC793" i="1"/>
  <c r="AC791" i="1"/>
  <c r="AC789" i="1"/>
  <c r="AC787" i="1"/>
  <c r="AC785" i="1"/>
  <c r="AC783" i="1"/>
  <c r="AC781" i="1"/>
  <c r="AC779" i="1"/>
  <c r="AC777" i="1"/>
  <c r="AC775" i="1"/>
  <c r="AC773" i="1"/>
  <c r="AC771" i="1"/>
  <c r="AC769" i="1"/>
  <c r="AE768" i="1"/>
  <c r="AC767" i="1"/>
  <c r="AE766" i="1"/>
  <c r="AC765" i="1"/>
  <c r="AE764" i="1"/>
  <c r="AC763" i="1"/>
  <c r="AE762" i="1"/>
  <c r="AC761" i="1"/>
  <c r="AE760" i="1"/>
  <c r="AC759" i="1"/>
  <c r="AE758" i="1"/>
  <c r="AC757" i="1"/>
  <c r="AE756" i="1"/>
  <c r="AC755" i="1"/>
  <c r="AE754" i="1"/>
  <c r="AC753" i="1"/>
  <c r="AE752" i="1"/>
  <c r="AC751" i="1"/>
  <c r="AE750" i="1"/>
  <c r="AC749" i="1"/>
  <c r="AE748" i="1"/>
  <c r="AC747" i="1"/>
  <c r="AE746" i="1"/>
  <c r="AC745" i="1"/>
  <c r="AE744" i="1"/>
  <c r="AC743" i="1"/>
  <c r="AE742" i="1"/>
  <c r="AC741" i="1"/>
  <c r="AE740" i="1"/>
  <c r="AG739" i="1"/>
  <c r="AH767" i="1"/>
  <c r="AF762" i="1"/>
  <c r="AH761" i="1"/>
  <c r="AD759" i="1"/>
  <c r="AD753" i="1"/>
  <c r="AG751" i="1"/>
  <c r="AH749" i="1"/>
  <c r="AF748" i="1"/>
  <c r="AD745" i="1"/>
  <c r="AG743" i="1"/>
  <c r="AH741" i="1"/>
  <c r="AF740" i="1"/>
  <c r="AD739" i="1"/>
  <c r="AE738" i="1"/>
  <c r="AC737" i="1"/>
  <c r="AG735" i="1"/>
  <c r="AE730" i="1"/>
  <c r="AC729" i="1"/>
  <c r="AF764" i="1"/>
  <c r="AH763" i="1"/>
  <c r="AD761" i="1"/>
  <c r="AF756" i="1"/>
  <c r="AH755" i="1"/>
  <c r="AF754" i="1"/>
  <c r="AD751" i="1"/>
  <c r="AG749" i="1"/>
  <c r="AH747" i="1"/>
  <c r="AF746" i="1"/>
  <c r="AD743" i="1"/>
  <c r="AG741" i="1"/>
  <c r="AC739" i="1"/>
  <c r="AG737" i="1"/>
  <c r="AE732" i="1"/>
  <c r="AC731" i="1"/>
  <c r="AG729" i="1"/>
  <c r="AC800" i="1"/>
  <c r="AF766" i="1"/>
  <c r="AH765" i="1"/>
  <c r="AD763" i="1"/>
  <c r="AF758" i="1"/>
  <c r="AH757" i="1"/>
  <c r="AG755" i="1"/>
  <c r="AH753" i="1"/>
  <c r="AF752" i="1"/>
  <c r="AD749" i="1"/>
  <c r="AG747" i="1"/>
  <c r="AH745" i="1"/>
  <c r="AF744" i="1"/>
  <c r="AD741" i="1"/>
  <c r="AH739" i="1"/>
  <c r="AE801" i="1"/>
  <c r="AD765" i="1"/>
  <c r="AF760" i="1"/>
  <c r="AH759" i="1"/>
  <c r="AD757" i="1"/>
  <c r="AD755" i="1"/>
  <c r="AG753" i="1"/>
  <c r="AH751" i="1"/>
  <c r="AF750" i="1"/>
  <c r="AD747" i="1"/>
  <c r="AG745" i="1"/>
  <c r="AH743" i="1"/>
  <c r="AF742" i="1"/>
  <c r="AE736" i="1"/>
  <c r="AH735" i="1"/>
  <c r="AC735" i="1"/>
  <c r="AG733" i="1"/>
  <c r="AH732" i="1"/>
  <c r="AG731" i="1"/>
  <c r="AH730" i="1"/>
  <c r="AF729" i="1"/>
  <c r="AF728" i="1"/>
  <c r="AD727" i="1"/>
  <c r="AF726" i="1"/>
  <c r="AD725" i="1"/>
  <c r="AF724" i="1"/>
  <c r="AD723" i="1"/>
  <c r="AE722" i="1"/>
  <c r="AC721" i="1"/>
  <c r="AG719" i="1"/>
  <c r="AF736" i="1"/>
  <c r="AE734" i="1"/>
  <c r="AH733" i="1"/>
  <c r="AD732" i="1"/>
  <c r="AF731" i="1"/>
  <c r="AF730" i="1"/>
  <c r="AE728" i="1"/>
  <c r="AC727" i="1"/>
  <c r="AE726" i="1"/>
  <c r="AC725" i="1"/>
  <c r="AE724" i="1"/>
  <c r="AC723" i="1"/>
  <c r="AG721" i="1"/>
  <c r="AH738" i="1"/>
  <c r="AC733" i="1"/>
  <c r="AH727" i="1"/>
  <c r="AH725" i="1"/>
  <c r="AH723" i="1"/>
  <c r="AH722" i="1"/>
  <c r="AF721" i="1"/>
  <c r="AF720" i="1"/>
  <c r="AD719" i="1"/>
  <c r="AE718" i="1"/>
  <c r="AF717" i="1"/>
  <c r="AH716" i="1"/>
  <c r="AD716" i="1"/>
  <c r="AF715" i="1"/>
  <c r="AH714" i="1"/>
  <c r="AD714" i="1"/>
  <c r="AF713" i="1"/>
  <c r="AH712" i="1"/>
  <c r="AD712" i="1"/>
  <c r="AF711" i="1"/>
  <c r="AH710" i="1"/>
  <c r="AD710" i="1"/>
  <c r="AF709" i="1"/>
  <c r="AH708" i="1"/>
  <c r="AD708" i="1"/>
  <c r="AF707" i="1"/>
  <c r="AH706" i="1"/>
  <c r="AD706" i="1"/>
  <c r="AF705" i="1"/>
  <c r="AH704" i="1"/>
  <c r="AD704" i="1"/>
  <c r="AF703" i="1"/>
  <c r="AH702" i="1"/>
  <c r="AD702" i="1"/>
  <c r="AF701" i="1"/>
  <c r="AH700" i="1"/>
  <c r="AD700" i="1"/>
  <c r="AF699" i="1"/>
  <c r="AH698" i="1"/>
  <c r="AD698" i="1"/>
  <c r="AF697" i="1"/>
  <c r="AH696" i="1"/>
  <c r="AD696" i="1"/>
  <c r="AF695" i="1"/>
  <c r="AH694" i="1"/>
  <c r="AD694" i="1"/>
  <c r="AF693" i="1"/>
  <c r="AH692" i="1"/>
  <c r="AD692" i="1"/>
  <c r="AF691" i="1"/>
  <c r="AH690" i="1"/>
  <c r="AD690" i="1"/>
  <c r="AF689" i="1"/>
  <c r="AH688" i="1"/>
  <c r="AD688" i="1"/>
  <c r="AF687" i="1"/>
  <c r="AH686" i="1"/>
  <c r="AD686" i="1"/>
  <c r="AF685" i="1"/>
  <c r="AF737" i="1"/>
  <c r="AD735" i="1"/>
  <c r="AG727" i="1"/>
  <c r="AG725" i="1"/>
  <c r="AG723" i="1"/>
  <c r="AF722" i="1"/>
  <c r="AD721" i="1"/>
  <c r="AE720" i="1"/>
  <c r="AH719" i="1"/>
  <c r="AC719" i="1"/>
  <c r="AD718" i="1"/>
  <c r="AE717" i="1"/>
  <c r="AG716" i="1"/>
  <c r="AC716" i="1"/>
  <c r="AE715" i="1"/>
  <c r="AG714" i="1"/>
  <c r="AC714" i="1"/>
  <c r="AE713" i="1"/>
  <c r="AG712" i="1"/>
  <c r="AC712" i="1"/>
  <c r="AE711" i="1"/>
  <c r="AG710" i="1"/>
  <c r="AC710" i="1"/>
  <c r="AE709" i="1"/>
  <c r="AG708" i="1"/>
  <c r="AC708" i="1"/>
  <c r="AE707" i="1"/>
  <c r="AG706" i="1"/>
  <c r="AC706" i="1"/>
  <c r="AE705" i="1"/>
  <c r="AG704" i="1"/>
  <c r="AC704" i="1"/>
  <c r="AE703" i="1"/>
  <c r="AG702" i="1"/>
  <c r="AC702" i="1"/>
  <c r="AE701" i="1"/>
  <c r="AG700" i="1"/>
  <c r="AC700" i="1"/>
  <c r="AE699" i="1"/>
  <c r="AG698" i="1"/>
  <c r="AC698" i="1"/>
  <c r="AE697" i="1"/>
  <c r="AG696" i="1"/>
  <c r="AC696" i="1"/>
  <c r="AE695" i="1"/>
  <c r="AG694" i="1"/>
  <c r="AC694" i="1"/>
  <c r="AE693" i="1"/>
  <c r="AG692" i="1"/>
  <c r="AC692" i="1"/>
  <c r="AE691" i="1"/>
  <c r="AG690" i="1"/>
  <c r="AC690" i="1"/>
  <c r="AE689" i="1"/>
  <c r="AG688" i="1"/>
  <c r="AC688" i="1"/>
  <c r="AE687" i="1"/>
  <c r="AG686" i="1"/>
  <c r="AC686" i="1"/>
  <c r="AE685" i="1"/>
  <c r="AG684" i="1"/>
  <c r="AG682" i="1"/>
  <c r="AG680" i="1"/>
  <c r="AG678" i="1"/>
  <c r="AG676" i="1"/>
  <c r="AG674" i="1"/>
  <c r="AG672" i="1"/>
  <c r="AG670" i="1"/>
  <c r="AD668" i="1"/>
  <c r="AE667" i="1"/>
  <c r="AH666" i="1"/>
  <c r="AC666" i="1"/>
  <c r="AD665" i="1"/>
  <c r="AG664" i="1"/>
  <c r="AH663" i="1"/>
  <c r="AF662" i="1"/>
  <c r="AF661" i="1"/>
  <c r="AD660" i="1"/>
  <c r="AE659" i="1"/>
  <c r="AH658" i="1"/>
  <c r="AC658" i="1"/>
  <c r="AD657" i="1"/>
  <c r="AG656" i="1"/>
  <c r="AH655" i="1"/>
  <c r="AF654" i="1"/>
  <c r="AF653" i="1"/>
  <c r="AD652" i="1"/>
  <c r="AG651" i="1"/>
  <c r="AC651" i="1"/>
  <c r="AE650" i="1"/>
  <c r="AG649" i="1"/>
  <c r="AC649" i="1"/>
  <c r="AE648" i="1"/>
  <c r="AG647" i="1"/>
  <c r="AC647" i="1"/>
  <c r="AE646" i="1"/>
  <c r="AD684" i="1"/>
  <c r="AF683" i="1"/>
  <c r="AD682" i="1"/>
  <c r="AF681" i="1"/>
  <c r="AD680" i="1"/>
  <c r="AF679" i="1"/>
  <c r="AD678" i="1"/>
  <c r="AF677" i="1"/>
  <c r="AD676" i="1"/>
  <c r="AF675" i="1"/>
  <c r="AD674" i="1"/>
  <c r="AF673" i="1"/>
  <c r="AD672" i="1"/>
  <c r="AF671" i="1"/>
  <c r="AD670" i="1"/>
  <c r="AF669" i="1"/>
  <c r="AC668" i="1"/>
  <c r="AG666" i="1"/>
  <c r="AE661" i="1"/>
  <c r="AC660" i="1"/>
  <c r="AG658" i="1"/>
  <c r="AE653" i="1"/>
  <c r="AC652" i="1"/>
  <c r="AC684" i="1"/>
  <c r="AE683" i="1"/>
  <c r="AC682" i="1"/>
  <c r="AE681" i="1"/>
  <c r="AC680" i="1"/>
  <c r="AE679" i="1"/>
  <c r="AC678" i="1"/>
  <c r="AE677" i="1"/>
  <c r="AC676" i="1"/>
  <c r="AE675" i="1"/>
  <c r="AC674" i="1"/>
  <c r="AE673" i="1"/>
  <c r="AC672" i="1"/>
  <c r="AE671" i="1"/>
  <c r="AC670" i="1"/>
  <c r="AE669" i="1"/>
  <c r="AG668" i="1"/>
  <c r="AE663" i="1"/>
  <c r="AC662" i="1"/>
  <c r="AG660" i="1"/>
  <c r="AE655" i="1"/>
  <c r="AC654" i="1"/>
  <c r="AG652" i="1"/>
  <c r="AH684" i="1"/>
  <c r="AH682" i="1"/>
  <c r="AH680" i="1"/>
  <c r="AH678" i="1"/>
  <c r="AH676" i="1"/>
  <c r="AH674" i="1"/>
  <c r="AH672" i="1"/>
  <c r="AH670" i="1"/>
  <c r="AF668" i="1"/>
  <c r="AF667" i="1"/>
  <c r="AD666" i="1"/>
  <c r="AE665" i="1"/>
  <c r="AH664" i="1"/>
  <c r="AC664" i="1"/>
  <c r="AD663" i="1"/>
  <c r="AG662" i="1"/>
  <c r="AH661" i="1"/>
  <c r="AF660" i="1"/>
  <c r="AF659" i="1"/>
  <c r="AD658" i="1"/>
  <c r="AE657" i="1"/>
  <c r="AH656" i="1"/>
  <c r="AC656" i="1"/>
  <c r="AD655" i="1"/>
  <c r="AG654" i="1"/>
  <c r="AH653" i="1"/>
  <c r="AF652" i="1"/>
  <c r="AH651" i="1"/>
  <c r="AD651" i="1"/>
  <c r="AF650" i="1"/>
  <c r="AH649" i="1"/>
  <c r="AD649" i="1"/>
  <c r="AF648" i="1"/>
  <c r="AH647" i="1"/>
  <c r="AD647" i="1"/>
  <c r="AF646" i="1"/>
  <c r="AH645" i="1"/>
  <c r="AD645" i="1"/>
  <c r="AF644" i="1"/>
  <c r="AH643" i="1"/>
  <c r="AD643" i="1"/>
  <c r="AG641" i="1"/>
  <c r="AG639" i="1"/>
  <c r="AG637" i="1"/>
  <c r="AG635" i="1"/>
  <c r="AG633" i="1"/>
  <c r="AG631" i="1"/>
  <c r="AG629" i="1"/>
  <c r="AG627" i="1"/>
  <c r="AG625" i="1"/>
  <c r="AG623" i="1"/>
  <c r="AG621" i="1"/>
  <c r="AG619" i="1"/>
  <c r="AE616" i="1"/>
  <c r="AH615" i="1"/>
  <c r="AC615" i="1"/>
  <c r="AG613" i="1"/>
  <c r="AH612" i="1"/>
  <c r="AF611" i="1"/>
  <c r="AE608" i="1"/>
  <c r="AH607" i="1"/>
  <c r="AC607" i="1"/>
  <c r="AG605" i="1"/>
  <c r="AH604" i="1"/>
  <c r="AC603" i="1"/>
  <c r="AC601" i="1"/>
  <c r="AE600" i="1"/>
  <c r="AR599" i="1"/>
  <c r="AG599" i="1"/>
  <c r="AC599" i="1"/>
  <c r="AE598" i="1"/>
  <c r="AR597" i="1"/>
  <c r="AG597" i="1"/>
  <c r="AC597" i="1"/>
  <c r="AE596" i="1"/>
  <c r="AR595" i="1"/>
  <c r="AG595" i="1"/>
  <c r="AC595" i="1"/>
  <c r="AE594" i="1"/>
  <c r="AR593" i="1"/>
  <c r="AG593" i="1"/>
  <c r="AC593" i="1"/>
  <c r="AE592" i="1"/>
  <c r="AR591" i="1"/>
  <c r="AG591" i="1"/>
  <c r="AC591" i="1"/>
  <c r="AE590" i="1"/>
  <c r="AR589" i="1"/>
  <c r="AG589" i="1"/>
  <c r="AC589" i="1"/>
  <c r="AE588" i="1"/>
  <c r="AR587" i="1"/>
  <c r="AG587" i="1"/>
  <c r="AC587" i="1"/>
  <c r="AE586" i="1"/>
  <c r="AR585" i="1"/>
  <c r="AG585" i="1"/>
  <c r="AC585" i="1"/>
  <c r="AE584" i="1"/>
  <c r="AR583" i="1"/>
  <c r="AG583" i="1"/>
  <c r="AC583" i="1"/>
  <c r="AE582" i="1"/>
  <c r="AR581" i="1"/>
  <c r="AG581" i="1"/>
  <c r="AC581" i="1"/>
  <c r="AE580" i="1"/>
  <c r="AR579" i="1"/>
  <c r="AG579" i="1"/>
  <c r="AC579" i="1"/>
  <c r="AE578" i="1"/>
  <c r="AR577" i="1"/>
  <c r="AG577" i="1"/>
  <c r="AC577" i="1"/>
  <c r="AE576" i="1"/>
  <c r="AR575" i="1"/>
  <c r="AG575" i="1"/>
  <c r="AC575" i="1"/>
  <c r="AE574" i="1"/>
  <c r="AR573" i="1"/>
  <c r="AG573" i="1"/>
  <c r="AC573" i="1"/>
  <c r="AE572" i="1"/>
  <c r="AR571" i="1"/>
  <c r="AG571" i="1"/>
  <c r="AC571" i="1"/>
  <c r="AE570" i="1"/>
  <c r="AR569" i="1"/>
  <c r="AG569" i="1"/>
  <c r="AC569" i="1"/>
  <c r="AE568" i="1"/>
  <c r="AR567" i="1"/>
  <c r="AG567" i="1"/>
  <c r="AC567" i="1"/>
  <c r="AE566" i="1"/>
  <c r="AR565" i="1"/>
  <c r="AG565" i="1"/>
  <c r="AC565" i="1"/>
  <c r="AE564" i="1"/>
  <c r="AR563" i="1"/>
  <c r="AG563" i="1"/>
  <c r="AC563" i="1"/>
  <c r="AE562" i="1"/>
  <c r="AR561" i="1"/>
  <c r="AG561" i="1"/>
  <c r="AC561" i="1"/>
  <c r="AE560" i="1"/>
  <c r="AR559" i="1"/>
  <c r="AG559" i="1"/>
  <c r="AC559" i="1"/>
  <c r="AE558" i="1"/>
  <c r="AR557" i="1"/>
  <c r="AG557" i="1"/>
  <c r="AC557" i="1"/>
  <c r="AE556" i="1"/>
  <c r="AR555" i="1"/>
  <c r="AG555" i="1"/>
  <c r="AC555" i="1"/>
  <c r="AE554" i="1"/>
  <c r="AF553" i="1"/>
  <c r="AH552" i="1"/>
  <c r="AD552" i="1"/>
  <c r="AF551" i="1"/>
  <c r="AH550" i="1"/>
  <c r="AD550" i="1"/>
  <c r="AF549" i="1"/>
  <c r="AH548" i="1"/>
  <c r="AD548" i="1"/>
  <c r="AF547" i="1"/>
  <c r="AH546" i="1"/>
  <c r="AD546" i="1"/>
  <c r="AF545" i="1"/>
  <c r="AH544" i="1"/>
  <c r="AD544" i="1"/>
  <c r="AF543" i="1"/>
  <c r="AH542" i="1"/>
  <c r="AD542" i="1"/>
  <c r="AF541" i="1"/>
  <c r="AH540" i="1"/>
  <c r="AD540" i="1"/>
  <c r="AF539" i="1"/>
  <c r="AH538" i="1"/>
  <c r="AD538" i="1"/>
  <c r="AF537" i="1"/>
  <c r="AH536" i="1"/>
  <c r="AD536" i="1"/>
  <c r="AF535" i="1"/>
  <c r="AG645" i="1"/>
  <c r="AE644" i="1"/>
  <c r="AG643" i="1"/>
  <c r="AF642" i="1"/>
  <c r="AD641" i="1"/>
  <c r="AF640" i="1"/>
  <c r="AD639" i="1"/>
  <c r="AF638" i="1"/>
  <c r="AD637" i="1"/>
  <c r="AF636" i="1"/>
  <c r="AD635" i="1"/>
  <c r="AF634" i="1"/>
  <c r="AD633" i="1"/>
  <c r="AF632" i="1"/>
  <c r="AD631" i="1"/>
  <c r="AF630" i="1"/>
  <c r="AD629" i="1"/>
  <c r="AF628" i="1"/>
  <c r="AD627" i="1"/>
  <c r="AF626" i="1"/>
  <c r="AD625" i="1"/>
  <c r="AF624" i="1"/>
  <c r="AD623" i="1"/>
  <c r="AF622" i="1"/>
  <c r="AD621" i="1"/>
  <c r="AF620" i="1"/>
  <c r="AD619" i="1"/>
  <c r="AE618" i="1"/>
  <c r="AC617" i="1"/>
  <c r="AG615" i="1"/>
  <c r="AE610" i="1"/>
  <c r="AC609" i="1"/>
  <c r="AG607" i="1"/>
  <c r="AD602" i="1"/>
  <c r="AC645" i="1"/>
  <c r="AC643" i="1"/>
  <c r="AE642" i="1"/>
  <c r="AC641" i="1"/>
  <c r="AE640" i="1"/>
  <c r="AC639" i="1"/>
  <c r="AE638" i="1"/>
  <c r="AC637" i="1"/>
  <c r="AE636" i="1"/>
  <c r="AC635" i="1"/>
  <c r="AE634" i="1"/>
  <c r="AC633" i="1"/>
  <c r="AE632" i="1"/>
  <c r="AC631" i="1"/>
  <c r="AE630" i="1"/>
  <c r="AC629" i="1"/>
  <c r="AE628" i="1"/>
  <c r="AC627" i="1"/>
  <c r="AE626" i="1"/>
  <c r="AC625" i="1"/>
  <c r="AE624" i="1"/>
  <c r="AC623" i="1"/>
  <c r="AE622" i="1"/>
  <c r="AC621" i="1"/>
  <c r="AE620" i="1"/>
  <c r="AC619" i="1"/>
  <c r="AG617" i="1"/>
  <c r="AE612" i="1"/>
  <c r="AC611" i="1"/>
  <c r="AG609" i="1"/>
  <c r="AE604" i="1"/>
  <c r="AF603" i="1"/>
  <c r="AH602" i="1"/>
  <c r="AF601" i="1"/>
  <c r="AH641" i="1"/>
  <c r="AH639" i="1"/>
  <c r="AH637" i="1"/>
  <c r="AH635" i="1"/>
  <c r="AH633" i="1"/>
  <c r="AH631" i="1"/>
  <c r="AH629" i="1"/>
  <c r="AH627" i="1"/>
  <c r="AH625" i="1"/>
  <c r="AH623" i="1"/>
  <c r="AH621" i="1"/>
  <c r="AH619" i="1"/>
  <c r="AH618" i="1"/>
  <c r="AF617" i="1"/>
  <c r="AF616" i="1"/>
  <c r="AD615" i="1"/>
  <c r="AE614" i="1"/>
  <c r="AH613" i="1"/>
  <c r="AC613" i="1"/>
  <c r="AD612" i="1"/>
  <c r="AG611" i="1"/>
  <c r="AH610" i="1"/>
  <c r="AF609" i="1"/>
  <c r="AF608" i="1"/>
  <c r="AD607" i="1"/>
  <c r="AE606" i="1"/>
  <c r="AH605" i="1"/>
  <c r="AC605" i="1"/>
  <c r="AD604" i="1"/>
  <c r="AE603" i="1"/>
  <c r="AR602" i="1"/>
  <c r="AG602" i="1"/>
  <c r="AE601" i="1"/>
  <c r="AF600" i="1"/>
  <c r="AH599" i="1"/>
  <c r="AD599" i="1"/>
  <c r="AF598" i="1"/>
  <c r="AH597" i="1"/>
  <c r="AD597" i="1"/>
  <c r="AF596" i="1"/>
  <c r="AH595" i="1"/>
  <c r="AD595" i="1"/>
  <c r="AF594" i="1"/>
  <c r="AH593" i="1"/>
  <c r="AD593" i="1"/>
  <c r="AF592" i="1"/>
  <c r="AH591" i="1"/>
  <c r="AD591" i="1"/>
  <c r="AF590" i="1"/>
  <c r="AH589" i="1"/>
  <c r="AD589" i="1"/>
  <c r="AF588" i="1"/>
  <c r="AH587" i="1"/>
  <c r="AD587" i="1"/>
  <c r="AF586" i="1"/>
  <c r="AH585" i="1"/>
  <c r="AD585" i="1"/>
  <c r="AF584" i="1"/>
  <c r="AH583" i="1"/>
  <c r="AD583" i="1"/>
  <c r="AF582" i="1"/>
  <c r="AH581" i="1"/>
  <c r="AD581" i="1"/>
  <c r="AF580" i="1"/>
  <c r="AH579" i="1"/>
  <c r="AD579" i="1"/>
  <c r="AF578" i="1"/>
  <c r="AH577" i="1"/>
  <c r="AD577" i="1"/>
  <c r="AF576" i="1"/>
  <c r="AH575" i="1"/>
  <c r="AD575" i="1"/>
  <c r="AF574" i="1"/>
  <c r="AH573" i="1"/>
  <c r="AD573" i="1"/>
  <c r="AF572" i="1"/>
  <c r="AH571" i="1"/>
  <c r="AD571" i="1"/>
  <c r="AF570" i="1"/>
  <c r="AH569" i="1"/>
  <c r="AD569" i="1"/>
  <c r="AF568" i="1"/>
  <c r="AH567" i="1"/>
  <c r="AD567" i="1"/>
  <c r="AF566" i="1"/>
  <c r="AH565" i="1"/>
  <c r="AD565" i="1"/>
  <c r="AF564" i="1"/>
  <c r="AH563" i="1"/>
  <c r="AD563" i="1"/>
  <c r="AF562" i="1"/>
  <c r="AH561" i="1"/>
  <c r="AD561" i="1"/>
  <c r="AF560" i="1"/>
  <c r="AH559" i="1"/>
  <c r="AD559" i="1"/>
  <c r="AF558" i="1"/>
  <c r="AH557" i="1"/>
  <c r="AD557" i="1"/>
  <c r="AF556" i="1"/>
  <c r="AH555" i="1"/>
  <c r="AD555" i="1"/>
  <c r="AF554" i="1"/>
  <c r="AR553" i="1"/>
  <c r="AG553" i="1"/>
  <c r="AC553" i="1"/>
  <c r="AR551" i="1"/>
  <c r="AC551" i="1"/>
  <c r="AR547" i="1"/>
  <c r="AC547" i="1"/>
  <c r="AR543" i="1"/>
  <c r="AC543" i="1"/>
  <c r="AR539" i="1"/>
  <c r="AC539" i="1"/>
  <c r="AR535" i="1"/>
  <c r="AC535" i="1"/>
  <c r="AD534" i="1"/>
  <c r="AG533" i="1"/>
  <c r="AH532" i="1"/>
  <c r="AC531" i="1"/>
  <c r="AD530" i="1"/>
  <c r="AG529" i="1"/>
  <c r="AH528" i="1"/>
  <c r="AC527" i="1"/>
  <c r="AD526" i="1"/>
  <c r="AG525" i="1"/>
  <c r="AH524" i="1"/>
  <c r="AC523" i="1"/>
  <c r="AD522" i="1"/>
  <c r="AG521" i="1"/>
  <c r="AH520" i="1"/>
  <c r="AC519" i="1"/>
  <c r="AD518" i="1"/>
  <c r="AG517" i="1"/>
  <c r="AH516" i="1"/>
  <c r="AC515" i="1"/>
  <c r="AD514" i="1"/>
  <c r="AG513" i="1"/>
  <c r="AH512" i="1"/>
  <c r="AC511" i="1"/>
  <c r="AD510" i="1"/>
  <c r="AG509" i="1"/>
  <c r="AH508" i="1"/>
  <c r="AC507" i="1"/>
  <c r="AD506" i="1"/>
  <c r="AG505" i="1"/>
  <c r="AH504" i="1"/>
  <c r="AD502" i="1"/>
  <c r="AE501" i="1"/>
  <c r="AC500" i="1"/>
  <c r="AE550" i="1"/>
  <c r="AG549" i="1"/>
  <c r="AE546" i="1"/>
  <c r="AG545" i="1"/>
  <c r="AE542" i="1"/>
  <c r="AG541" i="1"/>
  <c r="AE538" i="1"/>
  <c r="AG537" i="1"/>
  <c r="AR533" i="1"/>
  <c r="AF533" i="1"/>
  <c r="AE532" i="1"/>
  <c r="AR529" i="1"/>
  <c r="AF529" i="1"/>
  <c r="AE528" i="1"/>
  <c r="AR525" i="1"/>
  <c r="AF525" i="1"/>
  <c r="AE524" i="1"/>
  <c r="AR521" i="1"/>
  <c r="AF521" i="1"/>
  <c r="AE520" i="1"/>
  <c r="AR517" i="1"/>
  <c r="AF517" i="1"/>
  <c r="AE516" i="1"/>
  <c r="AR513" i="1"/>
  <c r="AF513" i="1"/>
  <c r="AE512" i="1"/>
  <c r="AR509" i="1"/>
  <c r="AF509" i="1"/>
  <c r="AE508" i="1"/>
  <c r="AR505" i="1"/>
  <c r="AF505" i="1"/>
  <c r="AE504" i="1"/>
  <c r="AF503" i="1"/>
  <c r="AC502" i="1"/>
  <c r="AR500" i="1"/>
  <c r="AG500" i="1"/>
  <c r="AF499" i="1"/>
  <c r="AC498" i="1"/>
  <c r="AD496" i="1"/>
  <c r="AR549" i="1"/>
  <c r="AC549" i="1"/>
  <c r="AR545" i="1"/>
  <c r="AC545" i="1"/>
  <c r="AR541" i="1"/>
  <c r="AC541" i="1"/>
  <c r="AR537" i="1"/>
  <c r="AC537" i="1"/>
  <c r="AH534" i="1"/>
  <c r="AC533" i="1"/>
  <c r="AD532" i="1"/>
  <c r="AG531" i="1"/>
  <c r="AH530" i="1"/>
  <c r="AC529" i="1"/>
  <c r="AD528" i="1"/>
  <c r="AG527" i="1"/>
  <c r="AH526" i="1"/>
  <c r="AC525" i="1"/>
  <c r="AD524" i="1"/>
  <c r="AG523" i="1"/>
  <c r="AH522" i="1"/>
  <c r="AC521" i="1"/>
  <c r="AD520" i="1"/>
  <c r="AG519" i="1"/>
  <c r="AH518" i="1"/>
  <c r="AC517" i="1"/>
  <c r="AD516" i="1"/>
  <c r="AG515" i="1"/>
  <c r="AH514" i="1"/>
  <c r="AC513" i="1"/>
  <c r="AD512" i="1"/>
  <c r="AG511" i="1"/>
  <c r="AH510" i="1"/>
  <c r="AC509" i="1"/>
  <c r="AD508" i="1"/>
  <c r="AG507" i="1"/>
  <c r="AH506" i="1"/>
  <c r="AC505" i="1"/>
  <c r="AD504" i="1"/>
  <c r="AE503" i="1"/>
  <c r="AH502" i="1"/>
  <c r="AF500" i="1"/>
  <c r="AE499" i="1"/>
  <c r="AR498" i="1"/>
  <c r="AG498" i="1"/>
  <c r="AH496" i="1"/>
  <c r="AC496" i="1"/>
  <c r="AH495" i="1"/>
  <c r="AD495" i="1"/>
  <c r="AF494" i="1"/>
  <c r="AH493" i="1"/>
  <c r="AD493" i="1"/>
  <c r="AF492" i="1"/>
  <c r="AH491" i="1"/>
  <c r="AD491" i="1"/>
  <c r="AF490" i="1"/>
  <c r="AH489" i="1"/>
  <c r="AD489" i="1"/>
  <c r="AF488" i="1"/>
  <c r="AH487" i="1"/>
  <c r="AD487" i="1"/>
  <c r="AF486" i="1"/>
  <c r="AH485" i="1"/>
  <c r="AD485" i="1"/>
  <c r="AF484" i="1"/>
  <c r="AH483" i="1"/>
  <c r="AD483" i="1"/>
  <c r="AF482" i="1"/>
  <c r="AH481" i="1"/>
  <c r="AD481" i="1"/>
  <c r="AF480" i="1"/>
  <c r="AH479" i="1"/>
  <c r="AD479" i="1"/>
  <c r="AF478" i="1"/>
  <c r="AH477" i="1"/>
  <c r="AD477" i="1"/>
  <c r="AF476" i="1"/>
  <c r="AH475" i="1"/>
  <c r="AD475" i="1"/>
  <c r="AF474" i="1"/>
  <c r="AH473" i="1"/>
  <c r="AD473" i="1"/>
  <c r="AF472" i="1"/>
  <c r="AH471" i="1"/>
  <c r="AD471" i="1"/>
  <c r="AE552" i="1"/>
  <c r="AG551" i="1"/>
  <c r="AE548" i="1"/>
  <c r="AG547" i="1"/>
  <c r="AE544" i="1"/>
  <c r="AG543" i="1"/>
  <c r="AE540" i="1"/>
  <c r="AG539" i="1"/>
  <c r="AE536" i="1"/>
  <c r="AG535" i="1"/>
  <c r="AE534" i="1"/>
  <c r="AR531" i="1"/>
  <c r="AF531" i="1"/>
  <c r="AE530" i="1"/>
  <c r="AR527" i="1"/>
  <c r="AF527" i="1"/>
  <c r="AE526" i="1"/>
  <c r="AR523" i="1"/>
  <c r="AF523" i="1"/>
  <c r="AE522" i="1"/>
  <c r="AR519" i="1"/>
  <c r="AF519" i="1"/>
  <c r="AE518" i="1"/>
  <c r="AR515" i="1"/>
  <c r="AE510" i="1"/>
  <c r="AR507" i="1"/>
  <c r="AG502" i="1"/>
  <c r="AF501" i="1"/>
  <c r="AE497" i="1"/>
  <c r="AR495" i="1"/>
  <c r="AC495" i="1"/>
  <c r="AG493" i="1"/>
  <c r="AE490" i="1"/>
  <c r="AR487" i="1"/>
  <c r="AC487" i="1"/>
  <c r="AG485" i="1"/>
  <c r="AG481" i="1"/>
  <c r="AG480" i="1"/>
  <c r="AR479" i="1"/>
  <c r="AE479" i="1"/>
  <c r="AR478" i="1"/>
  <c r="AE478" i="1"/>
  <c r="AC477" i="1"/>
  <c r="AC476" i="1"/>
  <c r="AG473" i="1"/>
  <c r="AG472" i="1"/>
  <c r="AR471" i="1"/>
  <c r="AE471" i="1"/>
  <c r="AG470" i="1"/>
  <c r="AD469" i="1"/>
  <c r="AG468" i="1"/>
  <c r="AD467" i="1"/>
  <c r="AG466" i="1"/>
  <c r="AE465" i="1"/>
  <c r="AR464" i="1"/>
  <c r="AG464" i="1"/>
  <c r="AC464" i="1"/>
  <c r="AE463" i="1"/>
  <c r="AR462" i="1"/>
  <c r="AG462" i="1"/>
  <c r="AC462" i="1"/>
  <c r="AE461" i="1"/>
  <c r="AR460" i="1"/>
  <c r="AG460" i="1"/>
  <c r="AC460" i="1"/>
  <c r="AE459" i="1"/>
  <c r="AR458" i="1"/>
  <c r="AG458" i="1"/>
  <c r="AC458" i="1"/>
  <c r="AE457" i="1"/>
  <c r="AR456" i="1"/>
  <c r="AG456" i="1"/>
  <c r="AC456" i="1"/>
  <c r="AE455" i="1"/>
  <c r="AR454" i="1"/>
  <c r="AG454" i="1"/>
  <c r="AC454" i="1"/>
  <c r="AH453" i="1"/>
  <c r="AD453" i="1"/>
  <c r="AF452" i="1"/>
  <c r="AH451" i="1"/>
  <c r="AD451" i="1"/>
  <c r="AF450" i="1"/>
  <c r="AH449" i="1"/>
  <c r="AD449" i="1"/>
  <c r="AF448" i="1"/>
  <c r="AH447" i="1"/>
  <c r="AD447" i="1"/>
  <c r="AF446" i="1"/>
  <c r="AH445" i="1"/>
  <c r="AD445" i="1"/>
  <c r="AF444" i="1"/>
  <c r="AH443" i="1"/>
  <c r="AD443" i="1"/>
  <c r="AF442" i="1"/>
  <c r="AH441" i="1"/>
  <c r="AD441" i="1"/>
  <c r="AF440" i="1"/>
  <c r="AH439" i="1"/>
  <c r="AD439" i="1"/>
  <c r="AF438" i="1"/>
  <c r="AF511" i="1"/>
  <c r="AR502" i="1"/>
  <c r="AF498" i="1"/>
  <c r="AR493" i="1"/>
  <c r="AC493" i="1"/>
  <c r="AG491" i="1"/>
  <c r="AE488" i="1"/>
  <c r="AR485" i="1"/>
  <c r="AC485" i="1"/>
  <c r="AG482" i="1"/>
  <c r="AR481" i="1"/>
  <c r="AE481" i="1"/>
  <c r="AR480" i="1"/>
  <c r="AE480" i="1"/>
  <c r="AC479" i="1"/>
  <c r="AC478" i="1"/>
  <c r="AR473" i="1"/>
  <c r="AE473" i="1"/>
  <c r="AR472" i="1"/>
  <c r="AE472" i="1"/>
  <c r="AC471" i="1"/>
  <c r="AR470" i="1"/>
  <c r="AF470" i="1"/>
  <c r="AH469" i="1"/>
  <c r="AR468" i="1"/>
  <c r="AF468" i="1"/>
  <c r="AH467" i="1"/>
  <c r="AR466" i="1"/>
  <c r="AF466" i="1"/>
  <c r="AH465" i="1"/>
  <c r="AD465" i="1"/>
  <c r="AF464" i="1"/>
  <c r="AH463" i="1"/>
  <c r="AD463" i="1"/>
  <c r="AF462" i="1"/>
  <c r="AH461" i="1"/>
  <c r="AD461" i="1"/>
  <c r="AF460" i="1"/>
  <c r="AH459" i="1"/>
  <c r="AD459" i="1"/>
  <c r="AF458" i="1"/>
  <c r="AH457" i="1"/>
  <c r="AD457" i="1"/>
  <c r="AF456" i="1"/>
  <c r="AH455" i="1"/>
  <c r="AD455" i="1"/>
  <c r="AF454" i="1"/>
  <c r="AR453" i="1"/>
  <c r="AG453" i="1"/>
  <c r="AC453" i="1"/>
  <c r="AE452" i="1"/>
  <c r="AR451" i="1"/>
  <c r="AG451" i="1"/>
  <c r="AC451" i="1"/>
  <c r="AE450" i="1"/>
  <c r="AR449" i="1"/>
  <c r="AG449" i="1"/>
  <c r="AC449" i="1"/>
  <c r="AE448" i="1"/>
  <c r="AR447" i="1"/>
  <c r="AG447" i="1"/>
  <c r="AC447" i="1"/>
  <c r="AE446" i="1"/>
  <c r="AR445" i="1"/>
  <c r="AG445" i="1"/>
  <c r="AC445" i="1"/>
  <c r="AE444" i="1"/>
  <c r="AR443" i="1"/>
  <c r="AG443" i="1"/>
  <c r="AC443" i="1"/>
  <c r="AE442" i="1"/>
  <c r="AR441" i="1"/>
  <c r="AG441" i="1"/>
  <c r="AC441" i="1"/>
  <c r="AE440" i="1"/>
  <c r="AR439" i="1"/>
  <c r="AG439" i="1"/>
  <c r="AC439" i="1"/>
  <c r="AE438" i="1"/>
  <c r="AR437" i="1"/>
  <c r="AG437" i="1"/>
  <c r="AC437" i="1"/>
  <c r="AE436" i="1"/>
  <c r="AR435" i="1"/>
  <c r="AG435" i="1"/>
  <c r="AC435" i="1"/>
  <c r="AE434" i="1"/>
  <c r="AE514" i="1"/>
  <c r="AR511" i="1"/>
  <c r="AD500" i="1"/>
  <c r="AD499" i="1"/>
  <c r="AG496" i="1"/>
  <c r="AE494" i="1"/>
  <c r="AR491" i="1"/>
  <c r="AC491" i="1"/>
  <c r="AG489" i="1"/>
  <c r="AE486" i="1"/>
  <c r="AE483" i="1"/>
  <c r="AE482" i="1"/>
  <c r="AC481" i="1"/>
  <c r="AC480" i="1"/>
  <c r="AE475" i="1"/>
  <c r="AE474" i="1"/>
  <c r="AC473" i="1"/>
  <c r="AC472" i="1"/>
  <c r="AF515" i="1"/>
  <c r="AF507" i="1"/>
  <c r="AE506" i="1"/>
  <c r="AR496" i="1"/>
  <c r="AG495" i="1"/>
  <c r="AE492" i="1"/>
  <c r="AR489" i="1"/>
  <c r="AC489" i="1"/>
  <c r="AG487" i="1"/>
  <c r="AE484" i="1"/>
  <c r="AE477" i="1"/>
  <c r="AE476" i="1"/>
  <c r="AC470" i="1"/>
  <c r="AC468" i="1"/>
  <c r="AC466" i="1"/>
  <c r="AC433" i="1"/>
  <c r="AR431" i="1"/>
  <c r="AG431" i="1"/>
  <c r="AF430" i="1"/>
  <c r="AC429" i="1"/>
  <c r="AR427" i="1"/>
  <c r="AG427" i="1"/>
  <c r="AF426" i="1"/>
  <c r="AC425" i="1"/>
  <c r="AR423" i="1"/>
  <c r="AG423" i="1"/>
  <c r="AF422" i="1"/>
  <c r="AC421" i="1"/>
  <c r="AH420" i="1"/>
  <c r="AD419" i="1"/>
  <c r="AD418" i="1"/>
  <c r="AF417" i="1"/>
  <c r="AE416" i="1"/>
  <c r="AR415" i="1"/>
  <c r="AG415" i="1"/>
  <c r="AH414" i="1"/>
  <c r="AD414" i="1"/>
  <c r="AF413" i="1"/>
  <c r="AH412" i="1"/>
  <c r="AD412" i="1"/>
  <c r="AF411" i="1"/>
  <c r="AH410" i="1"/>
  <c r="AD410" i="1"/>
  <c r="AF409" i="1"/>
  <c r="AH408" i="1"/>
  <c r="AD408" i="1"/>
  <c r="AF407" i="1"/>
  <c r="AH406" i="1"/>
  <c r="AD406" i="1"/>
  <c r="AF405" i="1"/>
  <c r="AH404" i="1"/>
  <c r="AD404" i="1"/>
  <c r="AF403" i="1"/>
  <c r="AH402" i="1"/>
  <c r="AD402" i="1"/>
  <c r="AF401" i="1"/>
  <c r="AH400" i="1"/>
  <c r="AD400" i="1"/>
  <c r="AF399" i="1"/>
  <c r="AH398" i="1"/>
  <c r="AD398" i="1"/>
  <c r="AH435" i="1"/>
  <c r="AH433" i="1"/>
  <c r="AD431" i="1"/>
  <c r="AE430" i="1"/>
  <c r="AH429" i="1"/>
  <c r="AD427" i="1"/>
  <c r="AE426" i="1"/>
  <c r="AH425" i="1"/>
  <c r="AD423" i="1"/>
  <c r="AE422" i="1"/>
  <c r="AH421" i="1"/>
  <c r="AH419" i="1"/>
  <c r="AC419" i="1"/>
  <c r="AH418" i="1"/>
  <c r="AF415" i="1"/>
  <c r="AR414" i="1"/>
  <c r="AG414" i="1"/>
  <c r="AC414" i="1"/>
  <c r="AE413" i="1"/>
  <c r="AR412" i="1"/>
  <c r="AG412" i="1"/>
  <c r="AC412" i="1"/>
  <c r="AE411" i="1"/>
  <c r="AR410" i="1"/>
  <c r="AG410" i="1"/>
  <c r="AC410" i="1"/>
  <c r="AE409" i="1"/>
  <c r="AR408" i="1"/>
  <c r="AG408" i="1"/>
  <c r="AC408" i="1"/>
  <c r="AE407" i="1"/>
  <c r="AR406" i="1"/>
  <c r="AG406" i="1"/>
  <c r="AC406" i="1"/>
  <c r="AE405" i="1"/>
  <c r="AR404" i="1"/>
  <c r="AG404" i="1"/>
  <c r="AC404" i="1"/>
  <c r="AE403" i="1"/>
  <c r="AR402" i="1"/>
  <c r="AG402" i="1"/>
  <c r="AC402" i="1"/>
  <c r="AE401" i="1"/>
  <c r="AR400" i="1"/>
  <c r="AG400" i="1"/>
  <c r="AC400" i="1"/>
  <c r="AE399" i="1"/>
  <c r="AR398" i="1"/>
  <c r="AG398" i="1"/>
  <c r="AC398" i="1"/>
  <c r="AE397" i="1"/>
  <c r="AR396" i="1"/>
  <c r="AG396" i="1"/>
  <c r="AC396" i="1"/>
  <c r="AE395" i="1"/>
  <c r="AR394" i="1"/>
  <c r="AG394" i="1"/>
  <c r="AC394" i="1"/>
  <c r="AE393" i="1"/>
  <c r="AR392" i="1"/>
  <c r="AG392" i="1"/>
  <c r="AC392" i="1"/>
  <c r="AE391" i="1"/>
  <c r="AR390" i="1"/>
  <c r="AG390" i="1"/>
  <c r="AC390" i="1"/>
  <c r="AE389" i="1"/>
  <c r="AR388" i="1"/>
  <c r="AG388" i="1"/>
  <c r="AC388" i="1"/>
  <c r="AE387" i="1"/>
  <c r="AR386" i="1"/>
  <c r="AG386" i="1"/>
  <c r="AC386" i="1"/>
  <c r="AE385" i="1"/>
  <c r="AR384" i="1"/>
  <c r="AG384" i="1"/>
  <c r="AC384" i="1"/>
  <c r="AE383" i="1"/>
  <c r="AR382" i="1"/>
  <c r="AG382" i="1"/>
  <c r="AC382" i="1"/>
  <c r="AE381" i="1"/>
  <c r="AR380" i="1"/>
  <c r="AG380" i="1"/>
  <c r="AC380" i="1"/>
  <c r="AE379" i="1"/>
  <c r="AR378" i="1"/>
  <c r="AG378" i="1"/>
  <c r="AC378" i="1"/>
  <c r="AE377" i="1"/>
  <c r="AR376" i="1"/>
  <c r="AG376" i="1"/>
  <c r="AC376" i="1"/>
  <c r="AE375" i="1"/>
  <c r="AR374" i="1"/>
  <c r="AG374" i="1"/>
  <c r="AC374" i="1"/>
  <c r="AE373" i="1"/>
  <c r="AR372" i="1"/>
  <c r="AG372" i="1"/>
  <c r="AC372" i="1"/>
  <c r="AE371" i="1"/>
  <c r="AR370" i="1"/>
  <c r="AG370" i="1"/>
  <c r="AC370" i="1"/>
  <c r="AE369" i="1"/>
  <c r="AR368" i="1"/>
  <c r="AG368" i="1"/>
  <c r="AC368" i="1"/>
  <c r="AE367" i="1"/>
  <c r="AR366" i="1"/>
  <c r="AG366" i="1"/>
  <c r="AC366" i="1"/>
  <c r="AE365" i="1"/>
  <c r="AR364" i="1"/>
  <c r="AG364" i="1"/>
  <c r="AC364" i="1"/>
  <c r="AE363" i="1"/>
  <c r="AR362" i="1"/>
  <c r="AG362" i="1"/>
  <c r="AC362" i="1"/>
  <c r="AE361" i="1"/>
  <c r="AR360" i="1"/>
  <c r="AG360" i="1"/>
  <c r="AC360" i="1"/>
  <c r="AE359" i="1"/>
  <c r="AR358" i="1"/>
  <c r="AG358" i="1"/>
  <c r="AC358" i="1"/>
  <c r="AE357" i="1"/>
  <c r="AR356" i="1"/>
  <c r="AG356" i="1"/>
  <c r="AC356" i="1"/>
  <c r="AE355" i="1"/>
  <c r="AR354" i="1"/>
  <c r="AG354" i="1"/>
  <c r="AC354" i="1"/>
  <c r="AH353" i="1"/>
  <c r="AD353" i="1"/>
  <c r="AF352" i="1"/>
  <c r="AH351" i="1"/>
  <c r="AD351" i="1"/>
  <c r="AF350" i="1"/>
  <c r="AH349" i="1"/>
  <c r="AD349" i="1"/>
  <c r="AF348" i="1"/>
  <c r="AH347" i="1"/>
  <c r="AD347" i="1"/>
  <c r="AF346" i="1"/>
  <c r="AH345" i="1"/>
  <c r="AD345" i="1"/>
  <c r="AF344" i="1"/>
  <c r="AH343" i="1"/>
  <c r="AD343" i="1"/>
  <c r="AF342" i="1"/>
  <c r="AH341" i="1"/>
  <c r="AD341" i="1"/>
  <c r="AF340" i="1"/>
  <c r="AH339" i="1"/>
  <c r="AD339" i="1"/>
  <c r="AF338" i="1"/>
  <c r="AH337" i="1"/>
  <c r="AD337" i="1"/>
  <c r="AF336" i="1"/>
  <c r="AH335" i="1"/>
  <c r="AD335" i="1"/>
  <c r="AF334" i="1"/>
  <c r="AH333" i="1"/>
  <c r="AD333" i="1"/>
  <c r="AF332" i="1"/>
  <c r="AH331" i="1"/>
  <c r="AD331" i="1"/>
  <c r="AF330" i="1"/>
  <c r="AH329" i="1"/>
  <c r="AD329" i="1"/>
  <c r="AF328" i="1"/>
  <c r="AH327" i="1"/>
  <c r="AD327" i="1"/>
  <c r="AF326" i="1"/>
  <c r="AH325" i="1"/>
  <c r="AD325" i="1"/>
  <c r="AF324" i="1"/>
  <c r="AH323" i="1"/>
  <c r="AD323" i="1"/>
  <c r="AF322" i="1"/>
  <c r="AH321" i="1"/>
  <c r="AD321" i="1"/>
  <c r="AH437" i="1"/>
  <c r="AD435" i="1"/>
  <c r="AF434" i="1"/>
  <c r="AR433" i="1"/>
  <c r="AG433" i="1"/>
  <c r="AF432" i="1"/>
  <c r="AC431" i="1"/>
  <c r="AR429" i="1"/>
  <c r="AG429" i="1"/>
  <c r="AF428" i="1"/>
  <c r="AC427" i="1"/>
  <c r="AR425" i="1"/>
  <c r="AG425" i="1"/>
  <c r="AF424" i="1"/>
  <c r="AC423" i="1"/>
  <c r="AR421" i="1"/>
  <c r="AG421" i="1"/>
  <c r="AE420" i="1"/>
  <c r="AR419" i="1"/>
  <c r="AG419" i="1"/>
  <c r="AC417" i="1"/>
  <c r="AD415" i="1"/>
  <c r="AH397" i="1"/>
  <c r="AD397" i="1"/>
  <c r="AF396" i="1"/>
  <c r="AH395" i="1"/>
  <c r="AD395" i="1"/>
  <c r="AF394" i="1"/>
  <c r="AH393" i="1"/>
  <c r="AD393" i="1"/>
  <c r="AF392" i="1"/>
  <c r="AH391" i="1"/>
  <c r="AD391" i="1"/>
  <c r="AF390" i="1"/>
  <c r="AH389" i="1"/>
  <c r="AD389" i="1"/>
  <c r="AF388" i="1"/>
  <c r="AH387" i="1"/>
  <c r="AD387" i="1"/>
  <c r="AF386" i="1"/>
  <c r="AH385" i="1"/>
  <c r="AD385" i="1"/>
  <c r="AF384" i="1"/>
  <c r="AH383" i="1"/>
  <c r="AD383" i="1"/>
  <c r="AF382" i="1"/>
  <c r="AH381" i="1"/>
  <c r="AD381" i="1"/>
  <c r="AF380" i="1"/>
  <c r="AH379" i="1"/>
  <c r="AD379" i="1"/>
  <c r="AF378" i="1"/>
  <c r="AH377" i="1"/>
  <c r="AD377" i="1"/>
  <c r="AF376" i="1"/>
  <c r="AH375" i="1"/>
  <c r="AD375" i="1"/>
  <c r="AF374" i="1"/>
  <c r="AH373" i="1"/>
  <c r="AD373" i="1"/>
  <c r="AF372" i="1"/>
  <c r="AH371" i="1"/>
  <c r="AD371" i="1"/>
  <c r="AF370" i="1"/>
  <c r="AH369" i="1"/>
  <c r="AD369" i="1"/>
  <c r="AF368" i="1"/>
  <c r="AH367" i="1"/>
  <c r="AD367" i="1"/>
  <c r="AF366" i="1"/>
  <c r="AH365" i="1"/>
  <c r="AD365" i="1"/>
  <c r="AF364" i="1"/>
  <c r="AH363" i="1"/>
  <c r="AD363" i="1"/>
  <c r="AF362" i="1"/>
  <c r="AH361" i="1"/>
  <c r="AD361" i="1"/>
  <c r="AF360" i="1"/>
  <c r="AH359" i="1"/>
  <c r="AD359" i="1"/>
  <c r="AF358" i="1"/>
  <c r="AH357" i="1"/>
  <c r="AD357" i="1"/>
  <c r="AF356" i="1"/>
  <c r="AH355" i="1"/>
  <c r="AD355" i="1"/>
  <c r="AF354" i="1"/>
  <c r="AR353" i="1"/>
  <c r="AG353" i="1"/>
  <c r="AC353" i="1"/>
  <c r="AE352" i="1"/>
  <c r="AR351" i="1"/>
  <c r="AG351" i="1"/>
  <c r="AC351" i="1"/>
  <c r="AE350" i="1"/>
  <c r="AR349" i="1"/>
  <c r="AG349" i="1"/>
  <c r="AC349" i="1"/>
  <c r="AE348" i="1"/>
  <c r="AR347" i="1"/>
  <c r="AG347" i="1"/>
  <c r="AC347" i="1"/>
  <c r="AE346" i="1"/>
  <c r="AR345" i="1"/>
  <c r="AG345" i="1"/>
  <c r="AC345" i="1"/>
  <c r="AE344" i="1"/>
  <c r="AR343" i="1"/>
  <c r="AG343" i="1"/>
  <c r="AC343" i="1"/>
  <c r="AE342" i="1"/>
  <c r="AR341" i="1"/>
  <c r="AG341" i="1"/>
  <c r="AC341" i="1"/>
  <c r="AE340" i="1"/>
  <c r="AR339" i="1"/>
  <c r="AG339" i="1"/>
  <c r="AC339" i="1"/>
  <c r="AE338" i="1"/>
  <c r="AR337" i="1"/>
  <c r="AG337" i="1"/>
  <c r="AC337" i="1"/>
  <c r="AE336" i="1"/>
  <c r="AR335" i="1"/>
  <c r="AG335" i="1"/>
  <c r="AC335" i="1"/>
  <c r="AE334" i="1"/>
  <c r="AR333" i="1"/>
  <c r="AG333" i="1"/>
  <c r="AC333" i="1"/>
  <c r="AE332" i="1"/>
  <c r="AR331" i="1"/>
  <c r="AG331" i="1"/>
  <c r="AC331" i="1"/>
  <c r="AE330" i="1"/>
  <c r="AR329" i="1"/>
  <c r="AG329" i="1"/>
  <c r="AC329" i="1"/>
  <c r="AE328" i="1"/>
  <c r="AR327" i="1"/>
  <c r="AG327" i="1"/>
  <c r="AC327" i="1"/>
  <c r="AE326" i="1"/>
  <c r="AR325" i="1"/>
  <c r="AG325" i="1"/>
  <c r="AC325" i="1"/>
  <c r="AE324" i="1"/>
  <c r="AD437" i="1"/>
  <c r="AF436" i="1"/>
  <c r="AD433" i="1"/>
  <c r="AE432" i="1"/>
  <c r="AH431" i="1"/>
  <c r="AD429" i="1"/>
  <c r="AE428" i="1"/>
  <c r="AH427" i="1"/>
  <c r="AD425" i="1"/>
  <c r="AE424" i="1"/>
  <c r="AH423" i="1"/>
  <c r="AD421" i="1"/>
  <c r="AE418" i="1"/>
  <c r="AR417" i="1"/>
  <c r="AG417" i="1"/>
  <c r="AC415" i="1"/>
  <c r="AG323" i="1"/>
  <c r="AF320" i="1"/>
  <c r="AC319" i="1"/>
  <c r="AR317" i="1"/>
  <c r="AG317" i="1"/>
  <c r="AF316" i="1"/>
  <c r="AC315" i="1"/>
  <c r="AR313" i="1"/>
  <c r="AG313" i="1"/>
  <c r="AF312" i="1"/>
  <c r="AC311" i="1"/>
  <c r="AR309" i="1"/>
  <c r="AG309" i="1"/>
  <c r="AF308" i="1"/>
  <c r="AC307" i="1"/>
  <c r="AR305" i="1"/>
  <c r="AG305" i="1"/>
  <c r="AF304" i="1"/>
  <c r="AC303" i="1"/>
  <c r="AR301" i="1"/>
  <c r="AG301" i="1"/>
  <c r="AF300" i="1"/>
  <c r="AC299" i="1"/>
  <c r="AR297" i="1"/>
  <c r="AG297" i="1"/>
  <c r="AE296" i="1"/>
  <c r="AR295" i="1"/>
  <c r="AG295" i="1"/>
  <c r="AH293" i="1"/>
  <c r="AC293" i="1"/>
  <c r="AH292" i="1"/>
  <c r="AD291" i="1"/>
  <c r="AD290" i="1"/>
  <c r="AF289" i="1"/>
  <c r="AE288" i="1"/>
  <c r="AR287" i="1"/>
  <c r="AG287" i="1"/>
  <c r="AH285" i="1"/>
  <c r="AC285" i="1"/>
  <c r="AH284" i="1"/>
  <c r="AD283" i="1"/>
  <c r="AF282" i="1"/>
  <c r="AH281" i="1"/>
  <c r="AD281" i="1"/>
  <c r="AF280" i="1"/>
  <c r="AH279" i="1"/>
  <c r="AD279" i="1"/>
  <c r="AF278" i="1"/>
  <c r="AH277" i="1"/>
  <c r="AD277" i="1"/>
  <c r="AF276" i="1"/>
  <c r="AH275" i="1"/>
  <c r="AD275" i="1"/>
  <c r="AF274" i="1"/>
  <c r="AH273" i="1"/>
  <c r="AD273" i="1"/>
  <c r="AF272" i="1"/>
  <c r="AH271" i="1"/>
  <c r="AD271" i="1"/>
  <c r="AF270" i="1"/>
  <c r="AH269" i="1"/>
  <c r="AD269" i="1"/>
  <c r="AF268" i="1"/>
  <c r="AH267" i="1"/>
  <c r="AD267" i="1"/>
  <c r="AF266" i="1"/>
  <c r="AH265" i="1"/>
  <c r="AD265" i="1"/>
  <c r="AF264" i="1"/>
  <c r="AH263" i="1"/>
  <c r="AD263" i="1"/>
  <c r="AF262" i="1"/>
  <c r="AH261" i="1"/>
  <c r="AD261" i="1"/>
  <c r="AF260" i="1"/>
  <c r="AH259" i="1"/>
  <c r="AD259" i="1"/>
  <c r="AF258" i="1"/>
  <c r="AH257" i="1"/>
  <c r="AD257" i="1"/>
  <c r="AF256" i="1"/>
  <c r="AH255" i="1"/>
  <c r="AD255" i="1"/>
  <c r="AF254" i="1"/>
  <c r="AR253" i="1"/>
  <c r="AG253" i="1"/>
  <c r="AC253" i="1"/>
  <c r="AE252" i="1"/>
  <c r="AR251" i="1"/>
  <c r="AG251" i="1"/>
  <c r="AC251" i="1"/>
  <c r="AE250" i="1"/>
  <c r="AR249" i="1"/>
  <c r="AG249" i="1"/>
  <c r="AC249" i="1"/>
  <c r="AE248" i="1"/>
  <c r="AR247" i="1"/>
  <c r="AG247" i="1"/>
  <c r="AC247" i="1"/>
  <c r="AE246" i="1"/>
  <c r="AR245" i="1"/>
  <c r="AG245" i="1"/>
  <c r="AC245" i="1"/>
  <c r="AE244" i="1"/>
  <c r="AR243" i="1"/>
  <c r="AG243" i="1"/>
  <c r="AC243" i="1"/>
  <c r="AE242" i="1"/>
  <c r="AR241" i="1"/>
  <c r="AG241" i="1"/>
  <c r="AC241" i="1"/>
  <c r="AE240" i="1"/>
  <c r="AR239" i="1"/>
  <c r="AG239" i="1"/>
  <c r="AC239" i="1"/>
  <c r="AE238" i="1"/>
  <c r="AR237" i="1"/>
  <c r="AG237" i="1"/>
  <c r="AC237" i="1"/>
  <c r="AE236" i="1"/>
  <c r="AR235" i="1"/>
  <c r="AG235" i="1"/>
  <c r="AC235" i="1"/>
  <c r="AF234" i="1"/>
  <c r="AE233" i="1"/>
  <c r="AH232" i="1"/>
  <c r="AD232" i="1"/>
  <c r="AR231" i="1"/>
  <c r="AG231" i="1"/>
  <c r="AC231" i="1"/>
  <c r="AF230" i="1"/>
  <c r="AE229" i="1"/>
  <c r="AH228" i="1"/>
  <c r="AD228" i="1"/>
  <c r="AR227" i="1"/>
  <c r="AG227" i="1"/>
  <c r="AC227" i="1"/>
  <c r="AF226" i="1"/>
  <c r="AE225" i="1"/>
  <c r="AH224" i="1"/>
  <c r="AD224" i="1"/>
  <c r="AR223" i="1"/>
  <c r="AG223" i="1"/>
  <c r="AC223" i="1"/>
  <c r="AF222" i="1"/>
  <c r="AE221" i="1"/>
  <c r="AH220" i="1"/>
  <c r="AD220" i="1"/>
  <c r="AR219" i="1"/>
  <c r="AG219" i="1"/>
  <c r="AC219" i="1"/>
  <c r="AF218" i="1"/>
  <c r="AE217" i="1"/>
  <c r="AH216" i="1"/>
  <c r="AD216" i="1"/>
  <c r="AR215" i="1"/>
  <c r="AG215" i="1"/>
  <c r="AC215" i="1"/>
  <c r="AF214" i="1"/>
  <c r="AE213" i="1"/>
  <c r="AH212" i="1"/>
  <c r="AD212" i="1"/>
  <c r="AR211" i="1"/>
  <c r="AG211" i="1"/>
  <c r="AC211" i="1"/>
  <c r="AF210" i="1"/>
  <c r="AE209" i="1"/>
  <c r="AH208" i="1"/>
  <c r="AD208" i="1"/>
  <c r="AR207" i="1"/>
  <c r="AG207" i="1"/>
  <c r="AC207" i="1"/>
  <c r="AF206" i="1"/>
  <c r="AE205" i="1"/>
  <c r="AH204" i="1"/>
  <c r="AD204" i="1"/>
  <c r="AR203" i="1"/>
  <c r="AG203" i="1"/>
  <c r="AC203" i="1"/>
  <c r="AF202" i="1"/>
  <c r="AH201" i="1"/>
  <c r="AD201" i="1"/>
  <c r="AF200" i="1"/>
  <c r="AH199" i="1"/>
  <c r="AD199" i="1"/>
  <c r="AF198" i="1"/>
  <c r="AR323" i="1"/>
  <c r="AC323" i="1"/>
  <c r="AG321" i="1"/>
  <c r="AE320" i="1"/>
  <c r="AH319" i="1"/>
  <c r="AD317" i="1"/>
  <c r="AE316" i="1"/>
  <c r="AH315" i="1"/>
  <c r="AD313" i="1"/>
  <c r="AE312" i="1"/>
  <c r="AH311" i="1"/>
  <c r="AD309" i="1"/>
  <c r="AE308" i="1"/>
  <c r="AH307" i="1"/>
  <c r="AD305" i="1"/>
  <c r="AE304" i="1"/>
  <c r="AH303" i="1"/>
  <c r="AD301" i="1"/>
  <c r="AE300" i="1"/>
  <c r="AH299" i="1"/>
  <c r="AD297" i="1"/>
  <c r="AE294" i="1"/>
  <c r="AR293" i="1"/>
  <c r="AG293" i="1"/>
  <c r="AC291" i="1"/>
  <c r="AE286" i="1"/>
  <c r="AR285" i="1"/>
  <c r="AG285" i="1"/>
  <c r="AC283" i="1"/>
  <c r="AR259" i="1"/>
  <c r="AG259" i="1"/>
  <c r="AC259" i="1"/>
  <c r="AE258" i="1"/>
  <c r="AR257" i="1"/>
  <c r="AG257" i="1"/>
  <c r="AC257" i="1"/>
  <c r="AE256" i="1"/>
  <c r="AR255" i="1"/>
  <c r="AG255" i="1"/>
  <c r="AC255" i="1"/>
  <c r="AE254" i="1"/>
  <c r="AF253" i="1"/>
  <c r="AH252" i="1"/>
  <c r="AD252" i="1"/>
  <c r="AF251" i="1"/>
  <c r="AH250" i="1"/>
  <c r="AD250" i="1"/>
  <c r="AF249" i="1"/>
  <c r="AH248" i="1"/>
  <c r="AD248" i="1"/>
  <c r="AF247" i="1"/>
  <c r="AH246" i="1"/>
  <c r="AD246" i="1"/>
  <c r="AF245" i="1"/>
  <c r="AH244" i="1"/>
  <c r="AD244" i="1"/>
  <c r="AF243" i="1"/>
  <c r="AH242" i="1"/>
  <c r="AD242" i="1"/>
  <c r="AF241" i="1"/>
  <c r="AH240" i="1"/>
  <c r="AD240" i="1"/>
  <c r="AF239" i="1"/>
  <c r="AH238" i="1"/>
  <c r="AD238" i="1"/>
  <c r="AF237" i="1"/>
  <c r="AH236" i="1"/>
  <c r="AD236" i="1"/>
  <c r="AF235" i="1"/>
  <c r="AE234" i="1"/>
  <c r="AH233" i="1"/>
  <c r="AD233" i="1"/>
  <c r="AR232" i="1"/>
  <c r="AG232" i="1"/>
  <c r="AC232" i="1"/>
  <c r="AF231" i="1"/>
  <c r="AE230" i="1"/>
  <c r="AH229" i="1"/>
  <c r="AD229" i="1"/>
  <c r="AR228" i="1"/>
  <c r="AG228" i="1"/>
  <c r="AC228" i="1"/>
  <c r="AF227" i="1"/>
  <c r="AE226" i="1"/>
  <c r="AH225" i="1"/>
  <c r="AD225" i="1"/>
  <c r="AR224" i="1"/>
  <c r="AG224" i="1"/>
  <c r="AC224" i="1"/>
  <c r="AF223" i="1"/>
  <c r="AE222" i="1"/>
  <c r="AH221" i="1"/>
  <c r="AD221" i="1"/>
  <c r="AR220" i="1"/>
  <c r="AG220" i="1"/>
  <c r="AC220" i="1"/>
  <c r="AF219" i="1"/>
  <c r="AE218" i="1"/>
  <c r="AH217" i="1"/>
  <c r="AD217" i="1"/>
  <c r="AR216" i="1"/>
  <c r="AG216" i="1"/>
  <c r="AC216" i="1"/>
  <c r="AF215" i="1"/>
  <c r="AE214" i="1"/>
  <c r="AH213" i="1"/>
  <c r="AD213" i="1"/>
  <c r="AR212" i="1"/>
  <c r="AG212" i="1"/>
  <c r="AC212" i="1"/>
  <c r="AF211" i="1"/>
  <c r="AE210" i="1"/>
  <c r="AH209" i="1"/>
  <c r="AD209" i="1"/>
  <c r="AR208" i="1"/>
  <c r="AG208" i="1"/>
  <c r="AC208" i="1"/>
  <c r="AF207" i="1"/>
  <c r="AE206" i="1"/>
  <c r="AH205" i="1"/>
  <c r="AD205" i="1"/>
  <c r="AR204" i="1"/>
  <c r="AG204" i="1"/>
  <c r="AC204" i="1"/>
  <c r="AF203" i="1"/>
  <c r="AE202" i="1"/>
  <c r="AR201" i="1"/>
  <c r="AG201" i="1"/>
  <c r="AC201" i="1"/>
  <c r="AE200" i="1"/>
  <c r="AE322" i="1"/>
  <c r="AR321" i="1"/>
  <c r="AC321" i="1"/>
  <c r="AR319" i="1"/>
  <c r="AG319" i="1"/>
  <c r="AF318" i="1"/>
  <c r="AC317" i="1"/>
  <c r="AR315" i="1"/>
  <c r="AG315" i="1"/>
  <c r="AF314" i="1"/>
  <c r="AC313" i="1"/>
  <c r="AR311" i="1"/>
  <c r="AG311" i="1"/>
  <c r="AF310" i="1"/>
  <c r="AC309" i="1"/>
  <c r="AR307" i="1"/>
  <c r="AG307" i="1"/>
  <c r="AF306" i="1"/>
  <c r="AC305" i="1"/>
  <c r="AR303" i="1"/>
  <c r="AG303" i="1"/>
  <c r="AF302" i="1"/>
  <c r="AC301" i="1"/>
  <c r="AR299" i="1"/>
  <c r="AG299" i="1"/>
  <c r="AF298" i="1"/>
  <c r="AC297" i="1"/>
  <c r="AE292" i="1"/>
  <c r="AR291" i="1"/>
  <c r="AG291" i="1"/>
  <c r="AC289" i="1"/>
  <c r="AE284" i="1"/>
  <c r="AR283" i="1"/>
  <c r="AG283" i="1"/>
  <c r="AD319" i="1"/>
  <c r="AE318" i="1"/>
  <c r="AH317" i="1"/>
  <c r="AD315" i="1"/>
  <c r="AE314" i="1"/>
  <c r="AH313" i="1"/>
  <c r="AD311" i="1"/>
  <c r="AE310" i="1"/>
  <c r="AH309" i="1"/>
  <c r="AD307" i="1"/>
  <c r="AE306" i="1"/>
  <c r="AH305" i="1"/>
  <c r="AD303" i="1"/>
  <c r="AE302" i="1"/>
  <c r="AH301" i="1"/>
  <c r="AD299" i="1"/>
  <c r="AE298" i="1"/>
  <c r="AH297" i="1"/>
  <c r="AF296" i="1"/>
  <c r="AH295" i="1"/>
  <c r="AC295" i="1"/>
  <c r="AH294" i="1"/>
  <c r="AD293" i="1"/>
  <c r="AD292" i="1"/>
  <c r="AF291" i="1"/>
  <c r="AE290" i="1"/>
  <c r="AR289" i="1"/>
  <c r="AG289" i="1"/>
  <c r="AF288" i="1"/>
  <c r="AH287" i="1"/>
  <c r="AC287" i="1"/>
  <c r="AH286" i="1"/>
  <c r="AD285" i="1"/>
  <c r="AD284" i="1"/>
  <c r="AF283" i="1"/>
  <c r="AR282" i="1"/>
  <c r="AG282" i="1"/>
  <c r="AC282" i="1"/>
  <c r="AE281" i="1"/>
  <c r="AR280" i="1"/>
  <c r="AG280" i="1"/>
  <c r="AC280" i="1"/>
  <c r="AE279" i="1"/>
  <c r="AR278" i="1"/>
  <c r="AG278" i="1"/>
  <c r="AC278" i="1"/>
  <c r="AE277" i="1"/>
  <c r="AR276" i="1"/>
  <c r="AG276" i="1"/>
  <c r="AC276" i="1"/>
  <c r="AE275" i="1"/>
  <c r="AR274" i="1"/>
  <c r="AG274" i="1"/>
  <c r="AC274" i="1"/>
  <c r="AE273" i="1"/>
  <c r="AR272" i="1"/>
  <c r="AG272" i="1"/>
  <c r="AC272" i="1"/>
  <c r="AE271" i="1"/>
  <c r="AR270" i="1"/>
  <c r="AG270" i="1"/>
  <c r="AC270" i="1"/>
  <c r="AE269" i="1"/>
  <c r="AR268" i="1"/>
  <c r="AG268" i="1"/>
  <c r="AC268" i="1"/>
  <c r="AE267" i="1"/>
  <c r="AR266" i="1"/>
  <c r="AG266" i="1"/>
  <c r="AC266" i="1"/>
  <c r="AE265" i="1"/>
  <c r="AR264" i="1"/>
  <c r="AG264" i="1"/>
  <c r="AC264" i="1"/>
  <c r="AE263" i="1"/>
  <c r="AR262" i="1"/>
  <c r="AG262" i="1"/>
  <c r="AC262" i="1"/>
  <c r="AE261" i="1"/>
  <c r="AR260" i="1"/>
  <c r="AG260" i="1"/>
  <c r="AC260" i="1"/>
  <c r="AD197" i="1"/>
  <c r="AE196" i="1"/>
  <c r="AR195" i="1"/>
  <c r="AG195" i="1"/>
  <c r="AF194" i="1"/>
  <c r="AH193" i="1"/>
  <c r="AC191" i="1"/>
  <c r="AD189" i="1"/>
  <c r="AE188" i="1"/>
  <c r="AR187" i="1"/>
  <c r="AG187" i="1"/>
  <c r="AF186" i="1"/>
  <c r="AH185" i="1"/>
  <c r="AC183" i="1"/>
  <c r="AD181" i="1"/>
  <c r="AE180" i="1"/>
  <c r="AR179" i="1"/>
  <c r="AG179" i="1"/>
  <c r="AF178" i="1"/>
  <c r="AH177" i="1"/>
  <c r="AC176" i="1"/>
  <c r="AE175" i="1"/>
  <c r="AC174" i="1"/>
  <c r="AE173" i="1"/>
  <c r="AC172" i="1"/>
  <c r="AG199" i="1"/>
  <c r="AC197" i="1"/>
  <c r="AD195" i="1"/>
  <c r="AE194" i="1"/>
  <c r="AR193" i="1"/>
  <c r="AG193" i="1"/>
  <c r="AF192" i="1"/>
  <c r="AH191" i="1"/>
  <c r="AC189" i="1"/>
  <c r="AD187" i="1"/>
  <c r="AE186" i="1"/>
  <c r="AR185" i="1"/>
  <c r="AG185" i="1"/>
  <c r="AF184" i="1"/>
  <c r="AH183" i="1"/>
  <c r="AC181" i="1"/>
  <c r="AD179" i="1"/>
  <c r="AE178" i="1"/>
  <c r="AR177" i="1"/>
  <c r="AG177" i="1"/>
  <c r="AG176" i="1"/>
  <c r="AD175" i="1"/>
  <c r="AG174" i="1"/>
  <c r="AD173" i="1"/>
  <c r="AG172" i="1"/>
  <c r="AH171" i="1"/>
  <c r="AD171" i="1"/>
  <c r="AF170" i="1"/>
  <c r="AH169" i="1"/>
  <c r="AD169" i="1"/>
  <c r="AF168" i="1"/>
  <c r="AH167" i="1"/>
  <c r="AD167" i="1"/>
  <c r="AF166" i="1"/>
  <c r="AH165" i="1"/>
  <c r="AD165" i="1"/>
  <c r="AF164" i="1"/>
  <c r="AH163" i="1"/>
  <c r="AD163" i="1"/>
  <c r="AF162" i="1"/>
  <c r="AH161" i="1"/>
  <c r="AD161" i="1"/>
  <c r="AF160" i="1"/>
  <c r="AH159" i="1"/>
  <c r="AD159" i="1"/>
  <c r="AF158" i="1"/>
  <c r="AH157" i="1"/>
  <c r="AD157" i="1"/>
  <c r="AF156" i="1"/>
  <c r="AH155" i="1"/>
  <c r="AD155" i="1"/>
  <c r="AF154" i="1"/>
  <c r="AR153" i="1"/>
  <c r="AG153" i="1"/>
  <c r="AC153" i="1"/>
  <c r="AE152" i="1"/>
  <c r="AR151" i="1"/>
  <c r="AG151" i="1"/>
  <c r="AC151" i="1"/>
  <c r="AE150" i="1"/>
  <c r="AF149" i="1"/>
  <c r="AR148" i="1"/>
  <c r="AG148" i="1"/>
  <c r="AC148" i="1"/>
  <c r="AH147" i="1"/>
  <c r="AD147" i="1"/>
  <c r="AF146" i="1"/>
  <c r="AH145" i="1"/>
  <c r="AD145" i="1"/>
  <c r="AF144" i="1"/>
  <c r="AH143" i="1"/>
  <c r="AD143" i="1"/>
  <c r="AF142" i="1"/>
  <c r="AH141" i="1"/>
  <c r="AD141" i="1"/>
  <c r="AF140" i="1"/>
  <c r="AH139" i="1"/>
  <c r="AD139" i="1"/>
  <c r="AF138" i="1"/>
  <c r="AH137" i="1"/>
  <c r="AD137" i="1"/>
  <c r="AF136" i="1"/>
  <c r="AH135" i="1"/>
  <c r="AD135" i="1"/>
  <c r="AF134" i="1"/>
  <c r="AH133" i="1"/>
  <c r="AD133" i="1"/>
  <c r="AF132" i="1"/>
  <c r="AH131" i="1"/>
  <c r="AD131" i="1"/>
  <c r="AF130" i="1"/>
  <c r="AH129" i="1"/>
  <c r="AD129" i="1"/>
  <c r="AF128" i="1"/>
  <c r="AH127" i="1"/>
  <c r="AD127" i="1"/>
  <c r="AF126" i="1"/>
  <c r="AH125" i="1"/>
  <c r="AD125" i="1"/>
  <c r="AF124" i="1"/>
  <c r="AH123" i="1"/>
  <c r="AD123" i="1"/>
  <c r="AF122" i="1"/>
  <c r="AH121" i="1"/>
  <c r="AD121" i="1"/>
  <c r="AF120" i="1"/>
  <c r="AH119" i="1"/>
  <c r="AD119" i="1"/>
  <c r="AF118" i="1"/>
  <c r="AH117" i="1"/>
  <c r="AD117" i="1"/>
  <c r="AF116" i="1"/>
  <c r="AH115" i="1"/>
  <c r="AD115" i="1"/>
  <c r="AF114" i="1"/>
  <c r="AH113" i="1"/>
  <c r="AD113" i="1"/>
  <c r="AF112" i="1"/>
  <c r="AH111" i="1"/>
  <c r="AD111" i="1"/>
  <c r="AF110" i="1"/>
  <c r="AH109" i="1"/>
  <c r="AD109" i="1"/>
  <c r="AF108" i="1"/>
  <c r="AH107" i="1"/>
  <c r="AD107" i="1"/>
  <c r="AF106" i="1"/>
  <c r="AH105" i="1"/>
  <c r="AD105" i="1"/>
  <c r="AF104" i="1"/>
  <c r="AH103" i="1"/>
  <c r="AD103" i="1"/>
  <c r="AR199" i="1"/>
  <c r="AC199" i="1"/>
  <c r="AH197" i="1"/>
  <c r="AC195" i="1"/>
  <c r="AD193" i="1"/>
  <c r="AE192" i="1"/>
  <c r="AR191" i="1"/>
  <c r="AG191" i="1"/>
  <c r="AF190" i="1"/>
  <c r="AH189" i="1"/>
  <c r="AC187" i="1"/>
  <c r="AD185" i="1"/>
  <c r="AE184" i="1"/>
  <c r="AR183" i="1"/>
  <c r="AG183" i="1"/>
  <c r="AF182" i="1"/>
  <c r="AH181" i="1"/>
  <c r="AC179" i="1"/>
  <c r="AD177" i="1"/>
  <c r="AR176" i="1"/>
  <c r="AF176" i="1"/>
  <c r="AH175" i="1"/>
  <c r="AR174" i="1"/>
  <c r="AF174" i="1"/>
  <c r="AH173" i="1"/>
  <c r="AR172" i="1"/>
  <c r="AF172" i="1"/>
  <c r="AR171" i="1"/>
  <c r="AG171" i="1"/>
  <c r="AC171" i="1"/>
  <c r="AE170" i="1"/>
  <c r="AR169" i="1"/>
  <c r="AG169" i="1"/>
  <c r="AC169" i="1"/>
  <c r="G169" i="1" s="1"/>
  <c r="AE168" i="1"/>
  <c r="AR167" i="1"/>
  <c r="AG167" i="1"/>
  <c r="AC167" i="1"/>
  <c r="AE166" i="1"/>
  <c r="AR165" i="1"/>
  <c r="AG165" i="1"/>
  <c r="AC165" i="1"/>
  <c r="AE164" i="1"/>
  <c r="AR163" i="1"/>
  <c r="AG163" i="1"/>
  <c r="AC163" i="1"/>
  <c r="AE162" i="1"/>
  <c r="AR161" i="1"/>
  <c r="AG161" i="1"/>
  <c r="AC161" i="1"/>
  <c r="AE160" i="1"/>
  <c r="AR159" i="1"/>
  <c r="AG159" i="1"/>
  <c r="AC159" i="1"/>
  <c r="AE158" i="1"/>
  <c r="AR157" i="1"/>
  <c r="AG157" i="1"/>
  <c r="AC157" i="1"/>
  <c r="AE156" i="1"/>
  <c r="AR155" i="1"/>
  <c r="AG155" i="1"/>
  <c r="AC155" i="1"/>
  <c r="AE154" i="1"/>
  <c r="AF153" i="1"/>
  <c r="AH152" i="1"/>
  <c r="AD152" i="1"/>
  <c r="AF151" i="1"/>
  <c r="AH150" i="1"/>
  <c r="AD150" i="1"/>
  <c r="AE149" i="1"/>
  <c r="AF148" i="1"/>
  <c r="AR147" i="1"/>
  <c r="AG147" i="1"/>
  <c r="AC147" i="1"/>
  <c r="AE146" i="1"/>
  <c r="AR145" i="1"/>
  <c r="AG145" i="1"/>
  <c r="AC145" i="1"/>
  <c r="AE144" i="1"/>
  <c r="AR143" i="1"/>
  <c r="AG143" i="1"/>
  <c r="AC143" i="1"/>
  <c r="AE142" i="1"/>
  <c r="AR141" i="1"/>
  <c r="AG141" i="1"/>
  <c r="AC141" i="1"/>
  <c r="AE140" i="1"/>
  <c r="AR139" i="1"/>
  <c r="AG139" i="1"/>
  <c r="AC139" i="1"/>
  <c r="G139" i="1" s="1"/>
  <c r="AE138" i="1"/>
  <c r="AR137" i="1"/>
  <c r="AG137" i="1"/>
  <c r="AC137" i="1"/>
  <c r="AE136" i="1"/>
  <c r="AR135" i="1"/>
  <c r="AG135" i="1"/>
  <c r="AC135" i="1"/>
  <c r="AE134" i="1"/>
  <c r="AR133" i="1"/>
  <c r="AG133" i="1"/>
  <c r="AC133" i="1"/>
  <c r="AE132" i="1"/>
  <c r="AR131" i="1"/>
  <c r="AG131" i="1"/>
  <c r="AC131" i="1"/>
  <c r="AE130" i="1"/>
  <c r="AR129" i="1"/>
  <c r="AG129" i="1"/>
  <c r="AC129" i="1"/>
  <c r="AE128" i="1"/>
  <c r="AR127" i="1"/>
  <c r="AG127" i="1"/>
  <c r="AC127" i="1"/>
  <c r="AE126" i="1"/>
  <c r="AR125" i="1"/>
  <c r="AG125" i="1"/>
  <c r="AC125" i="1"/>
  <c r="AE124" i="1"/>
  <c r="AR123" i="1"/>
  <c r="AG123" i="1"/>
  <c r="AC123" i="1"/>
  <c r="AE122" i="1"/>
  <c r="AR121" i="1"/>
  <c r="AG121" i="1"/>
  <c r="AC121" i="1"/>
  <c r="AE120" i="1"/>
  <c r="AR119" i="1"/>
  <c r="AG119" i="1"/>
  <c r="AC119" i="1"/>
  <c r="AE118" i="1"/>
  <c r="AR117" i="1"/>
  <c r="AG117" i="1"/>
  <c r="AC117" i="1"/>
  <c r="AE116" i="1"/>
  <c r="AR115" i="1"/>
  <c r="AG115" i="1"/>
  <c r="AC115" i="1"/>
  <c r="AE114" i="1"/>
  <c r="AR113" i="1"/>
  <c r="AG113" i="1"/>
  <c r="AC113" i="1"/>
  <c r="AE112" i="1"/>
  <c r="AR111" i="1"/>
  <c r="AG111" i="1"/>
  <c r="AC111" i="1"/>
  <c r="AE110" i="1"/>
  <c r="AR109" i="1"/>
  <c r="AG109" i="1"/>
  <c r="AC109" i="1"/>
  <c r="AE108" i="1"/>
  <c r="AR107" i="1"/>
  <c r="AG107" i="1"/>
  <c r="AC107" i="1"/>
  <c r="AE106" i="1"/>
  <c r="AR105" i="1"/>
  <c r="AG105" i="1"/>
  <c r="AC105" i="1"/>
  <c r="AE104" i="1"/>
  <c r="AR103" i="1"/>
  <c r="AG103" i="1"/>
  <c r="AC103" i="1"/>
  <c r="AE102" i="1"/>
  <c r="AR101" i="1"/>
  <c r="AG101" i="1"/>
  <c r="AC101" i="1"/>
  <c r="AE100" i="1"/>
  <c r="AR99" i="1"/>
  <c r="AG99" i="1"/>
  <c r="AC99" i="1"/>
  <c r="G99" i="1" s="1"/>
  <c r="AE98" i="1"/>
  <c r="AR97" i="1"/>
  <c r="AG97" i="1"/>
  <c r="AC97" i="1"/>
  <c r="AE96" i="1"/>
  <c r="AR95" i="1"/>
  <c r="AG95" i="1"/>
  <c r="AC95" i="1"/>
  <c r="AE94" i="1"/>
  <c r="AR93" i="1"/>
  <c r="AG93" i="1"/>
  <c r="AC93" i="1"/>
  <c r="AE92" i="1"/>
  <c r="AR91" i="1"/>
  <c r="AG91" i="1"/>
  <c r="AC91" i="1"/>
  <c r="AE90" i="1"/>
  <c r="AR89" i="1"/>
  <c r="AG89" i="1"/>
  <c r="AC89" i="1"/>
  <c r="AE88" i="1"/>
  <c r="AE198" i="1"/>
  <c r="AR197" i="1"/>
  <c r="AG197" i="1"/>
  <c r="AF196" i="1"/>
  <c r="AH195" i="1"/>
  <c r="AC193" i="1"/>
  <c r="AD191" i="1"/>
  <c r="AE190" i="1"/>
  <c r="AR189" i="1"/>
  <c r="AG189" i="1"/>
  <c r="AF188" i="1"/>
  <c r="AH187" i="1"/>
  <c r="AC185" i="1"/>
  <c r="AD183" i="1"/>
  <c r="AE182" i="1"/>
  <c r="AR181" i="1"/>
  <c r="AG181" i="1"/>
  <c r="AF180" i="1"/>
  <c r="AH179" i="1"/>
  <c r="AC177" i="1"/>
  <c r="AC6" i="1"/>
  <c r="AF17" i="1"/>
  <c r="AE18" i="1"/>
  <c r="AD18" i="1"/>
  <c r="AH18" i="1"/>
  <c r="AG19" i="1"/>
  <c r="AE19" i="1"/>
  <c r="AR19" i="1"/>
  <c r="AH20" i="1"/>
  <c r="AF20" i="1"/>
  <c r="AE21" i="1"/>
  <c r="AC22" i="1"/>
  <c r="CB22" i="1"/>
  <c r="AD25" i="1"/>
  <c r="AR25" i="1"/>
  <c r="AC25" i="1"/>
  <c r="BC25" i="1"/>
  <c r="AE4" i="1"/>
  <c r="AC5" i="1"/>
  <c r="AG5" i="1"/>
  <c r="AR5" i="1"/>
  <c r="AD6" i="1"/>
  <c r="AH6" i="1"/>
  <c r="AE7" i="1"/>
  <c r="AC8" i="1"/>
  <c r="AG8" i="1"/>
  <c r="AR8" i="1"/>
  <c r="AD9" i="1"/>
  <c r="AH9" i="1"/>
  <c r="AD10" i="1"/>
  <c r="AH10" i="1"/>
  <c r="AD11" i="1"/>
  <c r="AH11" i="1"/>
  <c r="AE12" i="1"/>
  <c r="AF13" i="1"/>
  <c r="AC14" i="1"/>
  <c r="AG14" i="1"/>
  <c r="AR14" i="1"/>
  <c r="AD15" i="1"/>
  <c r="AH15" i="1"/>
  <c r="AE16" i="1"/>
  <c r="AH17" i="1"/>
  <c r="AF18" i="1"/>
  <c r="AR18" i="1"/>
  <c r="AC19" i="1"/>
  <c r="AH19" i="1"/>
  <c r="CC19" i="1"/>
  <c r="AD20" i="1"/>
  <c r="AD22" i="1"/>
  <c r="AH22" i="1"/>
  <c r="AG23" i="1"/>
  <c r="AE23" i="1"/>
  <c r="AR23" i="1"/>
  <c r="AC24" i="1"/>
  <c r="AH24" i="1"/>
  <c r="AF24" i="1"/>
  <c r="AE25" i="1"/>
  <c r="AC26" i="1"/>
  <c r="CB26" i="1"/>
  <c r="AR28" i="1"/>
  <c r="AR29" i="1"/>
  <c r="AC29" i="1"/>
  <c r="AG29" i="1"/>
  <c r="BC29" i="1"/>
  <c r="CC30" i="1"/>
  <c r="AF34" i="1"/>
  <c r="AC35" i="1"/>
  <c r="G35" i="1" s="1"/>
  <c r="CC35" i="1"/>
  <c r="AD36" i="1"/>
  <c r="AG38" i="1"/>
  <c r="AE38" i="1"/>
  <c r="AR38" i="1"/>
  <c r="AE39" i="1"/>
  <c r="AR41" i="1"/>
  <c r="AC41" i="1"/>
  <c r="AG41" i="1"/>
  <c r="BC41" i="1"/>
  <c r="AD43" i="1"/>
  <c r="AH43" i="1"/>
  <c r="BC44" i="1"/>
  <c r="AR44" i="1"/>
  <c r="AC44" i="1"/>
  <c r="AG44" i="1"/>
  <c r="AE46" i="1"/>
  <c r="AF47" i="1"/>
  <c r="AE47" i="1"/>
  <c r="AR47" i="1"/>
  <c r="BC48" i="1"/>
  <c r="AR48" i="1"/>
  <c r="AC48" i="1"/>
  <c r="AG48" i="1"/>
  <c r="AE50" i="1"/>
  <c r="AF51" i="1"/>
  <c r="AE51" i="1"/>
  <c r="AR51" i="1"/>
  <c r="BC52" i="1"/>
  <c r="AR52" i="1"/>
  <c r="AC52" i="1"/>
  <c r="AG52" i="1"/>
  <c r="AE54" i="1"/>
  <c r="AF55" i="1"/>
  <c r="AE55" i="1"/>
  <c r="AR55" i="1"/>
  <c r="BC56" i="1"/>
  <c r="AR56" i="1"/>
  <c r="AC56" i="1"/>
  <c r="AG56" i="1"/>
  <c r="AE58" i="1"/>
  <c r="AF59" i="1"/>
  <c r="AE59" i="1"/>
  <c r="AR59" i="1"/>
  <c r="BC60" i="1"/>
  <c r="AR60" i="1"/>
  <c r="AC60" i="1"/>
  <c r="AG60" i="1"/>
  <c r="AE62" i="1"/>
  <c r="AF63" i="1"/>
  <c r="AE63" i="1"/>
  <c r="AR63" i="1"/>
  <c r="BC64" i="1"/>
  <c r="AR64" i="1"/>
  <c r="AC64" i="1"/>
  <c r="AG64" i="1"/>
  <c r="AE66" i="1"/>
  <c r="AF67" i="1"/>
  <c r="AE67" i="1"/>
  <c r="AR67" i="1"/>
  <c r="BC68" i="1"/>
  <c r="AR68" i="1"/>
  <c r="AC68" i="1"/>
  <c r="AG68" i="1"/>
  <c r="AE70" i="1"/>
  <c r="AF71" i="1"/>
  <c r="AE71" i="1"/>
  <c r="AR71" i="1"/>
  <c r="BC72" i="1"/>
  <c r="AR72" i="1"/>
  <c r="AC72" i="1"/>
  <c r="AG72" i="1"/>
  <c r="AE74" i="1"/>
  <c r="AF75" i="1"/>
  <c r="AE75" i="1"/>
  <c r="AR75" i="1"/>
  <c r="BC76" i="1"/>
  <c r="AR76" i="1"/>
  <c r="AC76" i="1"/>
  <c r="AG76" i="1"/>
  <c r="AE78" i="1"/>
  <c r="AF79" i="1"/>
  <c r="AE79" i="1"/>
  <c r="AR79" i="1"/>
  <c r="BC80" i="1"/>
  <c r="AR80" i="1"/>
  <c r="AC80" i="1"/>
  <c r="AG80" i="1"/>
  <c r="AE82" i="1"/>
  <c r="AF83" i="1"/>
  <c r="AE83" i="1"/>
  <c r="AR83" i="1"/>
  <c r="CC83" i="1"/>
  <c r="AE84" i="1"/>
  <c r="AD85" i="1"/>
  <c r="AR86" i="1"/>
  <c r="AC86" i="1"/>
  <c r="AG86" i="1"/>
  <c r="BC86" i="1"/>
  <c r="AH87" i="1"/>
  <c r="AF87" i="1"/>
  <c r="CC87" i="1"/>
  <c r="AR88" i="1"/>
  <c r="AG88" i="1"/>
  <c r="AH89" i="1"/>
  <c r="AF89" i="1"/>
  <c r="AD90" i="1"/>
  <c r="AH90" i="1"/>
  <c r="CC92" i="1"/>
  <c r="AF94" i="1"/>
  <c r="AD95" i="1"/>
  <c r="AE95" i="1"/>
  <c r="AR96" i="1"/>
  <c r="AG96" i="1"/>
  <c r="AH97" i="1"/>
  <c r="AF97" i="1"/>
  <c r="AD98" i="1"/>
  <c r="AH98" i="1"/>
  <c r="CC100" i="1"/>
  <c r="AF102" i="1"/>
  <c r="AR138" i="1"/>
  <c r="AG138" i="1"/>
  <c r="AR140" i="1"/>
  <c r="AG140" i="1"/>
  <c r="AD142" i="1"/>
  <c r="AH142" i="1"/>
  <c r="AE143" i="1"/>
  <c r="CC144" i="1"/>
  <c r="AF145" i="1"/>
  <c r="AR146" i="1"/>
  <c r="AG146" i="1"/>
  <c r="AE147" i="1"/>
  <c r="AD148" i="1"/>
  <c r="AH148" i="1"/>
  <c r="AD149" i="1"/>
  <c r="AH149" i="1"/>
  <c r="AD153" i="1"/>
  <c r="AH153" i="1"/>
  <c r="AD154" i="1"/>
  <c r="AH154" i="1"/>
  <c r="AD156" i="1"/>
  <c r="AH156" i="1"/>
  <c r="AE157" i="1"/>
  <c r="CC158" i="1"/>
  <c r="AF159" i="1"/>
  <c r="AR162" i="1"/>
  <c r="AG162" i="1"/>
  <c r="AD164" i="1"/>
  <c r="AH164" i="1"/>
  <c r="AE165" i="1"/>
  <c r="CC166" i="1"/>
  <c r="AF167" i="1"/>
  <c r="AR170" i="1"/>
  <c r="AG170" i="1"/>
  <c r="AE174" i="1"/>
  <c r="CC43" i="1"/>
  <c r="CC45" i="1"/>
  <c r="CC47" i="1"/>
  <c r="CC49" i="1"/>
  <c r="CC51" i="1"/>
  <c r="CC53" i="1"/>
  <c r="CC55" i="1"/>
  <c r="CC57" i="1"/>
  <c r="CC59" i="1"/>
  <c r="CC61" i="1"/>
  <c r="CC63" i="1"/>
  <c r="CC65" i="1"/>
  <c r="CC67" i="1"/>
  <c r="CC69" i="1"/>
  <c r="CC71" i="1"/>
  <c r="CC73" i="1"/>
  <c r="CC75" i="1"/>
  <c r="CC77" i="1"/>
  <c r="CC79" i="1"/>
  <c r="CC81" i="1"/>
  <c r="CB88" i="1"/>
  <c r="CB90" i="1"/>
  <c r="CB92" i="1"/>
  <c r="CB94" i="1"/>
  <c r="CB96" i="1"/>
  <c r="CB98" i="1"/>
  <c r="CB100" i="1"/>
  <c r="CB102" i="1"/>
  <c r="CB104" i="1"/>
  <c r="CB106" i="1"/>
  <c r="CB108" i="1"/>
  <c r="CB110" i="1"/>
  <c r="CB112" i="1"/>
  <c r="CB114" i="1"/>
  <c r="CB116" i="1"/>
  <c r="CB118" i="1"/>
  <c r="CB120" i="1"/>
  <c r="CB122" i="1"/>
  <c r="CB124" i="1"/>
  <c r="CB126" i="1"/>
  <c r="CB128" i="1"/>
  <c r="CB130" i="1"/>
  <c r="CB132" i="1"/>
  <c r="CB134" i="1"/>
  <c r="CB136" i="1"/>
  <c r="CB138" i="1"/>
  <c r="CB140" i="1"/>
  <c r="CB142" i="1"/>
  <c r="CB144" i="1"/>
  <c r="CB146" i="1"/>
  <c r="AC150" i="1"/>
  <c r="G150" i="1" s="1"/>
  <c r="AR150" i="1"/>
  <c r="AC152" i="1"/>
  <c r="AR152" i="1"/>
  <c r="CB154" i="1"/>
  <c r="CB156" i="1"/>
  <c r="CB158" i="1"/>
  <c r="CB160" i="1"/>
  <c r="CB162" i="1"/>
  <c r="CB164" i="1"/>
  <c r="CB166" i="1"/>
  <c r="CB168" i="1"/>
  <c r="CB170" i="1"/>
  <c r="AD172" i="1"/>
  <c r="AH172" i="1"/>
  <c r="AR173" i="1"/>
  <c r="CB173" i="1"/>
  <c r="AD174" i="1"/>
  <c r="AH174" i="1"/>
  <c r="AR175" i="1"/>
  <c r="CB175" i="1"/>
  <c r="AD176" i="1"/>
  <c r="AH176" i="1"/>
  <c r="AR178" i="1"/>
  <c r="AC178" i="1"/>
  <c r="AG178" i="1"/>
  <c r="BC178" i="1"/>
  <c r="AF179" i="1"/>
  <c r="AE181" i="1"/>
  <c r="CC181" i="1"/>
  <c r="AD184" i="1"/>
  <c r="AH184" i="1"/>
  <c r="CC184" i="1"/>
  <c r="AR186" i="1"/>
  <c r="AC186" i="1"/>
  <c r="AG186" i="1"/>
  <c r="BC186" i="1"/>
  <c r="AF187" i="1"/>
  <c r="CB188" i="1"/>
  <c r="AE189" i="1"/>
  <c r="CC189" i="1"/>
  <c r="AD192" i="1"/>
  <c r="AH192" i="1"/>
  <c r="CC192" i="1"/>
  <c r="AR194" i="1"/>
  <c r="AC194" i="1"/>
  <c r="AG194" i="1"/>
  <c r="BC194" i="1"/>
  <c r="AF195" i="1"/>
  <c r="CB196" i="1"/>
  <c r="AE197" i="1"/>
  <c r="CC197" i="1"/>
  <c r="AD200" i="1"/>
  <c r="AH200" i="1"/>
  <c r="CC200" i="1"/>
  <c r="AF201" i="1"/>
  <c r="AG202" i="1"/>
  <c r="AD203" i="1"/>
  <c r="AH203" i="1"/>
  <c r="AR205" i="1"/>
  <c r="AG205" i="1"/>
  <c r="AE208" i="1"/>
  <c r="AG210" i="1"/>
  <c r="AD211" i="1"/>
  <c r="AH211" i="1"/>
  <c r="AR213" i="1"/>
  <c r="AG213" i="1"/>
  <c r="AE216" i="1"/>
  <c r="AG218" i="1"/>
  <c r="AD219" i="1"/>
  <c r="AH219" i="1"/>
  <c r="AR221" i="1"/>
  <c r="AG221" i="1"/>
  <c r="AE224" i="1"/>
  <c r="AG226" i="1"/>
  <c r="AD227" i="1"/>
  <c r="AH227" i="1"/>
  <c r="AR229" i="1"/>
  <c r="AG229" i="1"/>
  <c r="AE232" i="1"/>
  <c r="AR234" i="1"/>
  <c r="AG234" i="1"/>
  <c r="AF236" i="1"/>
  <c r="AE237" i="1"/>
  <c r="CC238" i="1"/>
  <c r="AF240" i="1"/>
  <c r="AE241" i="1"/>
  <c r="CC242" i="1"/>
  <c r="AF244" i="1"/>
  <c r="AE245" i="1"/>
  <c r="CC246" i="1"/>
  <c r="AF248" i="1"/>
  <c r="AE249" i="1"/>
  <c r="CC250" i="1"/>
  <c r="AF252" i="1"/>
  <c r="AE253" i="1"/>
  <c r="AE255" i="1"/>
  <c r="CC256" i="1"/>
  <c r="AF257" i="1"/>
  <c r="AF261" i="1"/>
  <c r="AR263" i="1"/>
  <c r="AG263" i="1"/>
  <c r="AD264" i="1"/>
  <c r="AH264" i="1"/>
  <c r="AE266" i="1"/>
  <c r="AF269" i="1"/>
  <c r="AR271" i="1"/>
  <c r="AG271" i="1"/>
  <c r="AD272" i="1"/>
  <c r="AH272" i="1"/>
  <c r="AE274" i="1"/>
  <c r="AF277" i="1"/>
  <c r="AR279" i="1"/>
  <c r="AG279" i="1"/>
  <c r="AD280" i="1"/>
  <c r="AH280" i="1"/>
  <c r="AE282" i="1"/>
  <c r="AF287" i="1"/>
  <c r="AD288" i="1"/>
  <c r="AH288" i="1"/>
  <c r="AH290" i="1"/>
  <c r="AF295" i="1"/>
  <c r="AD296" i="1"/>
  <c r="AH296" i="1"/>
  <c r="CB147" i="1"/>
  <c r="BC149" i="1"/>
  <c r="CB150" i="1"/>
  <c r="CB152" i="1"/>
  <c r="AC173" i="1"/>
  <c r="AF173" i="1"/>
  <c r="AC175" i="1"/>
  <c r="AF175" i="1"/>
  <c r="AD178" i="1"/>
  <c r="AH178" i="1"/>
  <c r="CC178" i="1"/>
  <c r="AR180" i="1"/>
  <c r="AC180" i="1"/>
  <c r="AG180" i="1"/>
  <c r="BC180" i="1"/>
  <c r="AF181" i="1"/>
  <c r="AE183" i="1"/>
  <c r="AD186" i="1"/>
  <c r="AH186" i="1"/>
  <c r="AR188" i="1"/>
  <c r="AC188" i="1"/>
  <c r="AG188" i="1"/>
  <c r="BC188" i="1"/>
  <c r="AF189" i="1"/>
  <c r="AE191" i="1"/>
  <c r="AD194" i="1"/>
  <c r="AH194" i="1"/>
  <c r="AR196" i="1"/>
  <c r="AC196" i="1"/>
  <c r="AG196" i="1"/>
  <c r="BC196" i="1"/>
  <c r="AF197" i="1"/>
  <c r="BC198" i="1"/>
  <c r="AR198" i="1"/>
  <c r="AC198" i="1"/>
  <c r="AG198" i="1"/>
  <c r="AE199" i="1"/>
  <c r="AD202" i="1"/>
  <c r="AH202" i="1"/>
  <c r="AE203" i="1"/>
  <c r="AF208" i="1"/>
  <c r="AF209" i="1"/>
  <c r="AD210" i="1"/>
  <c r="AH210" i="1"/>
  <c r="AE211" i="1"/>
  <c r="AF216" i="1"/>
  <c r="AF217" i="1"/>
  <c r="AD218" i="1"/>
  <c r="AH218" i="1"/>
  <c r="AE219" i="1"/>
  <c r="AF224" i="1"/>
  <c r="AF225" i="1"/>
  <c r="AD226" i="1"/>
  <c r="AH226" i="1"/>
  <c r="AE227" i="1"/>
  <c r="AF232" i="1"/>
  <c r="AF233" i="1"/>
  <c r="AD234" i="1"/>
  <c r="AH234" i="1"/>
  <c r="AD235" i="1"/>
  <c r="AH235" i="1"/>
  <c r="AR236" i="1"/>
  <c r="AG236" i="1"/>
  <c r="AD239" i="1"/>
  <c r="AH239" i="1"/>
  <c r="AR240" i="1"/>
  <c r="AG240" i="1"/>
  <c r="AD243" i="1"/>
  <c r="AH243" i="1"/>
  <c r="AR244" i="1"/>
  <c r="AG244" i="1"/>
  <c r="AD247" i="1"/>
  <c r="AH247" i="1"/>
  <c r="AR248" i="1"/>
  <c r="AG248" i="1"/>
  <c r="AD251" i="1"/>
  <c r="AH251" i="1"/>
  <c r="AR252" i="1"/>
  <c r="AG252" i="1"/>
  <c r="AF255" i="1"/>
  <c r="AR258" i="1"/>
  <c r="AG258" i="1"/>
  <c r="AD260" i="1"/>
  <c r="AH260" i="1"/>
  <c r="AR261" i="1"/>
  <c r="AG261" i="1"/>
  <c r="AD262" i="1"/>
  <c r="AH262" i="1"/>
  <c r="AE264" i="1"/>
  <c r="AF267" i="1"/>
  <c r="AR269" i="1"/>
  <c r="AG269" i="1"/>
  <c r="AD270" i="1"/>
  <c r="AH270" i="1"/>
  <c r="AE272" i="1"/>
  <c r="AF275" i="1"/>
  <c r="AR277" i="1"/>
  <c r="AG277" i="1"/>
  <c r="AD278" i="1"/>
  <c r="AH278" i="1"/>
  <c r="AE280" i="1"/>
  <c r="AF285" i="1"/>
  <c r="AD286" i="1"/>
  <c r="AF293" i="1"/>
  <c r="AD294" i="1"/>
  <c r="BC146" i="1"/>
  <c r="AE177" i="1"/>
  <c r="AD180" i="1"/>
  <c r="AH180" i="1"/>
  <c r="CC180" i="1"/>
  <c r="AR182" i="1"/>
  <c r="AC182" i="1"/>
  <c r="AG182" i="1"/>
  <c r="BC182" i="1"/>
  <c r="AF183" i="1"/>
  <c r="AE185" i="1"/>
  <c r="AD188" i="1"/>
  <c r="AH188" i="1"/>
  <c r="CC188" i="1"/>
  <c r="AR190" i="1"/>
  <c r="AC190" i="1"/>
  <c r="AG190" i="1"/>
  <c r="BC190" i="1"/>
  <c r="AF191" i="1"/>
  <c r="AE193" i="1"/>
  <c r="AD196" i="1"/>
  <c r="AH196" i="1"/>
  <c r="AD198" i="1"/>
  <c r="AH198" i="1"/>
  <c r="AF199" i="1"/>
  <c r="AE204" i="1"/>
  <c r="AG206" i="1"/>
  <c r="AD207" i="1"/>
  <c r="AH207" i="1"/>
  <c r="AR209" i="1"/>
  <c r="AG209" i="1"/>
  <c r="AE212" i="1"/>
  <c r="AG214" i="1"/>
  <c r="AD215" i="1"/>
  <c r="AH215" i="1"/>
  <c r="AR217" i="1"/>
  <c r="AG217" i="1"/>
  <c r="AE220" i="1"/>
  <c r="AG222" i="1"/>
  <c r="AD223" i="1"/>
  <c r="AH223" i="1"/>
  <c r="AR225" i="1"/>
  <c r="AG225" i="1"/>
  <c r="AE228" i="1"/>
  <c r="AG230" i="1"/>
  <c r="AD231" i="1"/>
  <c r="AH231" i="1"/>
  <c r="AR233" i="1"/>
  <c r="AG233" i="1"/>
  <c r="AE235" i="1"/>
  <c r="AF238" i="1"/>
  <c r="AE239" i="1"/>
  <c r="AF242" i="1"/>
  <c r="AE243" i="1"/>
  <c r="AF246" i="1"/>
  <c r="AE247" i="1"/>
  <c r="AF250" i="1"/>
  <c r="AE251" i="1"/>
  <c r="AR254" i="1"/>
  <c r="AG254" i="1"/>
  <c r="AR256" i="1"/>
  <c r="AG256" i="1"/>
  <c r="AD258" i="1"/>
  <c r="AH258" i="1"/>
  <c r="AE259" i="1"/>
  <c r="AE260" i="1"/>
  <c r="AE262" i="1"/>
  <c r="AF265" i="1"/>
  <c r="AR267" i="1"/>
  <c r="AG267" i="1"/>
  <c r="AD268" i="1"/>
  <c r="AH268" i="1"/>
  <c r="AE270" i="1"/>
  <c r="AF273" i="1"/>
  <c r="AR275" i="1"/>
  <c r="AG275" i="1"/>
  <c r="AD276" i="1"/>
  <c r="AH276" i="1"/>
  <c r="AE278" i="1"/>
  <c r="AF281" i="1"/>
  <c r="AH283" i="1"/>
  <c r="AD287" i="1"/>
  <c r="AF290" i="1"/>
  <c r="AH291" i="1"/>
  <c r="AD295" i="1"/>
  <c r="AC88" i="1"/>
  <c r="AC90" i="1"/>
  <c r="AC92" i="1"/>
  <c r="AC94" i="1"/>
  <c r="AC96" i="1"/>
  <c r="AC98" i="1"/>
  <c r="AC100" i="1"/>
  <c r="AC102" i="1"/>
  <c r="AC104" i="1"/>
  <c r="AC106" i="1"/>
  <c r="AC108" i="1"/>
  <c r="AC110" i="1"/>
  <c r="AC112" i="1"/>
  <c r="AC114" i="1"/>
  <c r="AC116" i="1"/>
  <c r="AC118" i="1"/>
  <c r="AC120" i="1"/>
  <c r="AC122" i="1"/>
  <c r="AC124" i="1"/>
  <c r="AC126" i="1"/>
  <c r="AC128" i="1"/>
  <c r="AC130" i="1"/>
  <c r="AC132" i="1"/>
  <c r="AC134" i="1"/>
  <c r="AC136" i="1"/>
  <c r="AC138" i="1"/>
  <c r="AC140" i="1"/>
  <c r="AC142" i="1"/>
  <c r="AC144" i="1"/>
  <c r="AC146" i="1"/>
  <c r="AC149" i="1"/>
  <c r="AC154" i="1"/>
  <c r="AC156" i="1"/>
  <c r="AC158" i="1"/>
  <c r="AC160" i="1"/>
  <c r="G160" i="1" s="1"/>
  <c r="AC162" i="1"/>
  <c r="AC164" i="1"/>
  <c r="AC166" i="1"/>
  <c r="AC168" i="1"/>
  <c r="AC170" i="1"/>
  <c r="CB172" i="1"/>
  <c r="CB174" i="1"/>
  <c r="CB176" i="1"/>
  <c r="AF177" i="1"/>
  <c r="AE179" i="1"/>
  <c r="CC179" i="1"/>
  <c r="AD182" i="1"/>
  <c r="AH182" i="1"/>
  <c r="CC182" i="1"/>
  <c r="AR184" i="1"/>
  <c r="AC184" i="1"/>
  <c r="AG184" i="1"/>
  <c r="BC184" i="1"/>
  <c r="AF185" i="1"/>
  <c r="AE187" i="1"/>
  <c r="CC187" i="1"/>
  <c r="AD190" i="1"/>
  <c r="AH190" i="1"/>
  <c r="CC190" i="1"/>
  <c r="AR192" i="1"/>
  <c r="AC192" i="1"/>
  <c r="AG192" i="1"/>
  <c r="BC192" i="1"/>
  <c r="AF193" i="1"/>
  <c r="AE195" i="1"/>
  <c r="CC195" i="1"/>
  <c r="CB198" i="1"/>
  <c r="CB199" i="1"/>
  <c r="AG200" i="1"/>
  <c r="AE201" i="1"/>
  <c r="AF204" i="1"/>
  <c r="AF205" i="1"/>
  <c r="AD206" i="1"/>
  <c r="AH206" i="1"/>
  <c r="CC206" i="1"/>
  <c r="AE207" i="1"/>
  <c r="CC207" i="1"/>
  <c r="CC209" i="1"/>
  <c r="AF212" i="1"/>
  <c r="AF213" i="1"/>
  <c r="AD214" i="1"/>
  <c r="AH214" i="1"/>
  <c r="CC214" i="1"/>
  <c r="AE215" i="1"/>
  <c r="CC215" i="1"/>
  <c r="CC217" i="1"/>
  <c r="AF220" i="1"/>
  <c r="AF221" i="1"/>
  <c r="AD222" i="1"/>
  <c r="AH222" i="1"/>
  <c r="CC222" i="1"/>
  <c r="AE223" i="1"/>
  <c r="CC223" i="1"/>
  <c r="CC225" i="1"/>
  <c r="AF228" i="1"/>
  <c r="AF229" i="1"/>
  <c r="AD230" i="1"/>
  <c r="AH230" i="1"/>
  <c r="CC230" i="1"/>
  <c r="AE231" i="1"/>
  <c r="CC231" i="1"/>
  <c r="CC233" i="1"/>
  <c r="AD237" i="1"/>
  <c r="AH237" i="1"/>
  <c r="AR238" i="1"/>
  <c r="AG238" i="1"/>
  <c r="AD241" i="1"/>
  <c r="AH241" i="1"/>
  <c r="AR242" i="1"/>
  <c r="AG242" i="1"/>
  <c r="AD245" i="1"/>
  <c r="AH245" i="1"/>
  <c r="AR246" i="1"/>
  <c r="AG246" i="1"/>
  <c r="AD249" i="1"/>
  <c r="AH249" i="1"/>
  <c r="AR250" i="1"/>
  <c r="AG250" i="1"/>
  <c r="AD253" i="1"/>
  <c r="AH253" i="1"/>
  <c r="AD254" i="1"/>
  <c r="AH254" i="1"/>
  <c r="AD256" i="1"/>
  <c r="AH256" i="1"/>
  <c r="AE257" i="1"/>
  <c r="CC258" i="1"/>
  <c r="AF259" i="1"/>
  <c r="AF263" i="1"/>
  <c r="AR265" i="1"/>
  <c r="AG265" i="1"/>
  <c r="AD266" i="1"/>
  <c r="AH266" i="1"/>
  <c r="AE268" i="1"/>
  <c r="CC268" i="1"/>
  <c r="AF271" i="1"/>
  <c r="AR273" i="1"/>
  <c r="AG273" i="1"/>
  <c r="AD274" i="1"/>
  <c r="AH274" i="1"/>
  <c r="AE276" i="1"/>
  <c r="CC276" i="1"/>
  <c r="AF279" i="1"/>
  <c r="AR281" i="1"/>
  <c r="AG281" i="1"/>
  <c r="AD282" i="1"/>
  <c r="AH282" i="1"/>
  <c r="AF284" i="1"/>
  <c r="AF286" i="1"/>
  <c r="AD289" i="1"/>
  <c r="AH289" i="1"/>
  <c r="AF292" i="1"/>
  <c r="AF294" i="1"/>
  <c r="AC200" i="1"/>
  <c r="AR200" i="1"/>
  <c r="AC202" i="1"/>
  <c r="AR202" i="1"/>
  <c r="BC205" i="1"/>
  <c r="AC206" i="1"/>
  <c r="AR206" i="1"/>
  <c r="BC209" i="1"/>
  <c r="AC210" i="1"/>
  <c r="AR210" i="1"/>
  <c r="BC213" i="1"/>
  <c r="AC214" i="1"/>
  <c r="AR214" i="1"/>
  <c r="BC217" i="1"/>
  <c r="AC218" i="1"/>
  <c r="AR218" i="1"/>
  <c r="BC221" i="1"/>
  <c r="AC222" i="1"/>
  <c r="AR222" i="1"/>
  <c r="BC225" i="1"/>
  <c r="AC226" i="1"/>
  <c r="AR226" i="1"/>
  <c r="BC229" i="1"/>
  <c r="AC230" i="1"/>
  <c r="AR230" i="1"/>
  <c r="BC233" i="1"/>
  <c r="AC234" i="1"/>
  <c r="BC236" i="1"/>
  <c r="BC238" i="1"/>
  <c r="BC240" i="1"/>
  <c r="BC242" i="1"/>
  <c r="BC244" i="1"/>
  <c r="BC246" i="1"/>
  <c r="BC248" i="1"/>
  <c r="BC250" i="1"/>
  <c r="BC252" i="1"/>
  <c r="AC254" i="1"/>
  <c r="AC256" i="1"/>
  <c r="AC258" i="1"/>
  <c r="AR284" i="1"/>
  <c r="AC284" i="1"/>
  <c r="AG284" i="1"/>
  <c r="BC284" i="1"/>
  <c r="AE289" i="1"/>
  <c r="AR292" i="1"/>
  <c r="AC292" i="1"/>
  <c r="AG292" i="1"/>
  <c r="BC292" i="1"/>
  <c r="AF297" i="1"/>
  <c r="AR300" i="1"/>
  <c r="AC300" i="1"/>
  <c r="AG300" i="1"/>
  <c r="BC300" i="1"/>
  <c r="AF301" i="1"/>
  <c r="AR304" i="1"/>
  <c r="AC304" i="1"/>
  <c r="AG304" i="1"/>
  <c r="BC304" i="1"/>
  <c r="AF305" i="1"/>
  <c r="AR308" i="1"/>
  <c r="AC308" i="1"/>
  <c r="AG308" i="1"/>
  <c r="BC308" i="1"/>
  <c r="AF309" i="1"/>
  <c r="AR312" i="1"/>
  <c r="AC312" i="1"/>
  <c r="AG312" i="1"/>
  <c r="BC312" i="1"/>
  <c r="AF313" i="1"/>
  <c r="AR316" i="1"/>
  <c r="AC316" i="1"/>
  <c r="AG316" i="1"/>
  <c r="BC316" i="1"/>
  <c r="AF317" i="1"/>
  <c r="AR320" i="1"/>
  <c r="AC320" i="1"/>
  <c r="AG320" i="1"/>
  <c r="BC320" i="1"/>
  <c r="CB321" i="1"/>
  <c r="AD328" i="1"/>
  <c r="AH328" i="1"/>
  <c r="AF329" i="1"/>
  <c r="AR330" i="1"/>
  <c r="AG330" i="1"/>
  <c r="AE331" i="1"/>
  <c r="AD336" i="1"/>
  <c r="AH336" i="1"/>
  <c r="AF337" i="1"/>
  <c r="AR338" i="1"/>
  <c r="AG338" i="1"/>
  <c r="AE339" i="1"/>
  <c r="AD344" i="1"/>
  <c r="AH344" i="1"/>
  <c r="AF345" i="1"/>
  <c r="AR346" i="1"/>
  <c r="AG346" i="1"/>
  <c r="AE347" i="1"/>
  <c r="AD352" i="1"/>
  <c r="AH352" i="1"/>
  <c r="AF353" i="1"/>
  <c r="AE354" i="1"/>
  <c r="AF357" i="1"/>
  <c r="AE358" i="1"/>
  <c r="AD360" i="1"/>
  <c r="AH360" i="1"/>
  <c r="AG363" i="1"/>
  <c r="AF365" i="1"/>
  <c r="AG367" i="1"/>
  <c r="AF369" i="1"/>
  <c r="AE370" i="1"/>
  <c r="AD372" i="1"/>
  <c r="AH372" i="1"/>
  <c r="AG375" i="1"/>
  <c r="AF377" i="1"/>
  <c r="AE378" i="1"/>
  <c r="AD380" i="1"/>
  <c r="AH380" i="1"/>
  <c r="AG381" i="1"/>
  <c r="AD384" i="1"/>
  <c r="AH384" i="1"/>
  <c r="AG385" i="1"/>
  <c r="AD388" i="1"/>
  <c r="AH388" i="1"/>
  <c r="AG391" i="1"/>
  <c r="AF393" i="1"/>
  <c r="AE394" i="1"/>
  <c r="AD396" i="1"/>
  <c r="AH396" i="1"/>
  <c r="AG399" i="1"/>
  <c r="AE400" i="1"/>
  <c r="AG403" i="1"/>
  <c r="AE404" i="1"/>
  <c r="AD407" i="1"/>
  <c r="AH407" i="1"/>
  <c r="AE408" i="1"/>
  <c r="AD411" i="1"/>
  <c r="AH411" i="1"/>
  <c r="AE412" i="1"/>
  <c r="AH415" i="1"/>
  <c r="AF419" i="1"/>
  <c r="AD420" i="1"/>
  <c r="CB200" i="1"/>
  <c r="CB202" i="1"/>
  <c r="AC205" i="1"/>
  <c r="CB206" i="1"/>
  <c r="AC209" i="1"/>
  <c r="CB210" i="1"/>
  <c r="AC213" i="1"/>
  <c r="CB214" i="1"/>
  <c r="AC217" i="1"/>
  <c r="CB218" i="1"/>
  <c r="AC221" i="1"/>
  <c r="CB222" i="1"/>
  <c r="AC225" i="1"/>
  <c r="CB226" i="1"/>
  <c r="AC229" i="1"/>
  <c r="CB230" i="1"/>
  <c r="AC233" i="1"/>
  <c r="CB234" i="1"/>
  <c r="AC236" i="1"/>
  <c r="AC238" i="1"/>
  <c r="AC240" i="1"/>
  <c r="AC242" i="1"/>
  <c r="AC244" i="1"/>
  <c r="AC246" i="1"/>
  <c r="AC248" i="1"/>
  <c r="AC250" i="1"/>
  <c r="AC252" i="1"/>
  <c r="CB254" i="1"/>
  <c r="CB256" i="1"/>
  <c r="CB258" i="1"/>
  <c r="CB260" i="1"/>
  <c r="BC261" i="1"/>
  <c r="CB262" i="1"/>
  <c r="BC263" i="1"/>
  <c r="CB264" i="1"/>
  <c r="BC265" i="1"/>
  <c r="CB266" i="1"/>
  <c r="BC267" i="1"/>
  <c r="CB268" i="1"/>
  <c r="BC269" i="1"/>
  <c r="CB270" i="1"/>
  <c r="BC271" i="1"/>
  <c r="CB272" i="1"/>
  <c r="BC273" i="1"/>
  <c r="CB274" i="1"/>
  <c r="BC275" i="1"/>
  <c r="CB276" i="1"/>
  <c r="BC277" i="1"/>
  <c r="CB278" i="1"/>
  <c r="BC279" i="1"/>
  <c r="CB280" i="1"/>
  <c r="BC281" i="1"/>
  <c r="AE283" i="1"/>
  <c r="CB284" i="1"/>
  <c r="AR286" i="1"/>
  <c r="AC286" i="1"/>
  <c r="AG286" i="1"/>
  <c r="BC286" i="1"/>
  <c r="CC289" i="1"/>
  <c r="AE291" i="1"/>
  <c r="CB292" i="1"/>
  <c r="AR294" i="1"/>
  <c r="AC294" i="1"/>
  <c r="AG294" i="1"/>
  <c r="BC294" i="1"/>
  <c r="CB298" i="1"/>
  <c r="AE299" i="1"/>
  <c r="AD300" i="1"/>
  <c r="AH300" i="1"/>
  <c r="CC300" i="1"/>
  <c r="AE303" i="1"/>
  <c r="AD304" i="1"/>
  <c r="AH304" i="1"/>
  <c r="CC304" i="1"/>
  <c r="CB306" i="1"/>
  <c r="AE307" i="1"/>
  <c r="AD308" i="1"/>
  <c r="AH308" i="1"/>
  <c r="CC308" i="1"/>
  <c r="CB310" i="1"/>
  <c r="AE311" i="1"/>
  <c r="AD312" i="1"/>
  <c r="AH312" i="1"/>
  <c r="CC312" i="1"/>
  <c r="CB314" i="1"/>
  <c r="AE315" i="1"/>
  <c r="AD316" i="1"/>
  <c r="AH316" i="1"/>
  <c r="CC316" i="1"/>
  <c r="CB318" i="1"/>
  <c r="AE319" i="1"/>
  <c r="AD320" i="1"/>
  <c r="AH320" i="1"/>
  <c r="AE321" i="1"/>
  <c r="CB323" i="1"/>
  <c r="AR324" i="1"/>
  <c r="AG324" i="1"/>
  <c r="AE325" i="1"/>
  <c r="AD330" i="1"/>
  <c r="AH330" i="1"/>
  <c r="CC330" i="1"/>
  <c r="AF331" i="1"/>
  <c r="AR332" i="1"/>
  <c r="AG332" i="1"/>
  <c r="AE333" i="1"/>
  <c r="AD338" i="1"/>
  <c r="AH338" i="1"/>
  <c r="CC338" i="1"/>
  <c r="AF339" i="1"/>
  <c r="AR340" i="1"/>
  <c r="AG340" i="1"/>
  <c r="AE341" i="1"/>
  <c r="AD346" i="1"/>
  <c r="AH346" i="1"/>
  <c r="CC346" i="1"/>
  <c r="AF347" i="1"/>
  <c r="AR348" i="1"/>
  <c r="AG348" i="1"/>
  <c r="AE349" i="1"/>
  <c r="CC354" i="1"/>
  <c r="AG357" i="1"/>
  <c r="AF359" i="1"/>
  <c r="AE360" i="1"/>
  <c r="AD362" i="1"/>
  <c r="AH362" i="1"/>
  <c r="AG365" i="1"/>
  <c r="AD366" i="1"/>
  <c r="AH366" i="1"/>
  <c r="CC367" i="1"/>
  <c r="AG369" i="1"/>
  <c r="AF371" i="1"/>
  <c r="AE372" i="1"/>
  <c r="CC372" i="1"/>
  <c r="AD374" i="1"/>
  <c r="AH374" i="1"/>
  <c r="CC375" i="1"/>
  <c r="AG377" i="1"/>
  <c r="AF379" i="1"/>
  <c r="AE380" i="1"/>
  <c r="AF383" i="1"/>
  <c r="AE384" i="1"/>
  <c r="AF387" i="1"/>
  <c r="AE388" i="1"/>
  <c r="AD390" i="1"/>
  <c r="AH390" i="1"/>
  <c r="CC391" i="1"/>
  <c r="AG393" i="1"/>
  <c r="AF395" i="1"/>
  <c r="AE396" i="1"/>
  <c r="AD399" i="1"/>
  <c r="AH399" i="1"/>
  <c r="CC399" i="1"/>
  <c r="AF400" i="1"/>
  <c r="AD403" i="1"/>
  <c r="AH403" i="1"/>
  <c r="CC403" i="1"/>
  <c r="AF404" i="1"/>
  <c r="AF408" i="1"/>
  <c r="AR409" i="1"/>
  <c r="AG409" i="1"/>
  <c r="CC411" i="1"/>
  <c r="AF412" i="1"/>
  <c r="AR413" i="1"/>
  <c r="AG413" i="1"/>
  <c r="AF416" i="1"/>
  <c r="AD417" i="1"/>
  <c r="AH417" i="1"/>
  <c r="CB233" i="1"/>
  <c r="CB236" i="1"/>
  <c r="CB238" i="1"/>
  <c r="CB240" i="1"/>
  <c r="CB242" i="1"/>
  <c r="CB244" i="1"/>
  <c r="CB246" i="1"/>
  <c r="CB248" i="1"/>
  <c r="CB250" i="1"/>
  <c r="CB252" i="1"/>
  <c r="AC261" i="1"/>
  <c r="G261" i="1" s="1"/>
  <c r="AC263" i="1"/>
  <c r="AC265" i="1"/>
  <c r="AC267" i="1"/>
  <c r="AC269" i="1"/>
  <c r="AC271" i="1"/>
  <c r="AC273" i="1"/>
  <c r="AC275" i="1"/>
  <c r="AC277" i="1"/>
  <c r="G277" i="1" s="1"/>
  <c r="AC279" i="1"/>
  <c r="AC281" i="1"/>
  <c r="CC283" i="1"/>
  <c r="AE285" i="1"/>
  <c r="CB286" i="1"/>
  <c r="AR288" i="1"/>
  <c r="AC288" i="1"/>
  <c r="AG288" i="1"/>
  <c r="BC288" i="1"/>
  <c r="CC291" i="1"/>
  <c r="AE293" i="1"/>
  <c r="CB294" i="1"/>
  <c r="AR296" i="1"/>
  <c r="AC296" i="1"/>
  <c r="AG296" i="1"/>
  <c r="BC296" i="1"/>
  <c r="AR298" i="1"/>
  <c r="AC298" i="1"/>
  <c r="AG298" i="1"/>
  <c r="BC298" i="1"/>
  <c r="AF299" i="1"/>
  <c r="CC299" i="1"/>
  <c r="AR302" i="1"/>
  <c r="AC302" i="1"/>
  <c r="AG302" i="1"/>
  <c r="BC302" i="1"/>
  <c r="AF303" i="1"/>
  <c r="CC303" i="1"/>
  <c r="AR306" i="1"/>
  <c r="AC306" i="1"/>
  <c r="AG306" i="1"/>
  <c r="BC306" i="1"/>
  <c r="AF307" i="1"/>
  <c r="CC307" i="1"/>
  <c r="AR310" i="1"/>
  <c r="AC310" i="1"/>
  <c r="AG310" i="1"/>
  <c r="BC310" i="1"/>
  <c r="AF311" i="1"/>
  <c r="CC311" i="1"/>
  <c r="AR314" i="1"/>
  <c r="AC314" i="1"/>
  <c r="AG314" i="1"/>
  <c r="BC314" i="1"/>
  <c r="AF315" i="1"/>
  <c r="CC315" i="1"/>
  <c r="AR318" i="1"/>
  <c r="AC318" i="1"/>
  <c r="AG318" i="1"/>
  <c r="BC318" i="1"/>
  <c r="AF319" i="1"/>
  <c r="CC319" i="1"/>
  <c r="AF321" i="1"/>
  <c r="CC321" i="1"/>
  <c r="AR322" i="1"/>
  <c r="AC322" i="1"/>
  <c r="BC322" i="1"/>
  <c r="AG322" i="1"/>
  <c r="CC322" i="1"/>
  <c r="AE323" i="1"/>
  <c r="AD324" i="1"/>
  <c r="AH324" i="1"/>
  <c r="AF325" i="1"/>
  <c r="AR326" i="1"/>
  <c r="AG326" i="1"/>
  <c r="AE327" i="1"/>
  <c r="AD332" i="1"/>
  <c r="AH332" i="1"/>
  <c r="AF333" i="1"/>
  <c r="AR334" i="1"/>
  <c r="AG334" i="1"/>
  <c r="AE335" i="1"/>
  <c r="AD340" i="1"/>
  <c r="AH340" i="1"/>
  <c r="AF341" i="1"/>
  <c r="AR342" i="1"/>
  <c r="AG342" i="1"/>
  <c r="AE343" i="1"/>
  <c r="AD348" i="1"/>
  <c r="AH348" i="1"/>
  <c r="AF349" i="1"/>
  <c r="AR350" i="1"/>
  <c r="AG350" i="1"/>
  <c r="AE351" i="1"/>
  <c r="CC353" i="1"/>
  <c r="AF355" i="1"/>
  <c r="AD356" i="1"/>
  <c r="AH356" i="1"/>
  <c r="CC357" i="1"/>
  <c r="AG359" i="1"/>
  <c r="AF361" i="1"/>
  <c r="AE362" i="1"/>
  <c r="CC362" i="1"/>
  <c r="AD364" i="1"/>
  <c r="AH364" i="1"/>
  <c r="AE366" i="1"/>
  <c r="CB366" i="1"/>
  <c r="AD368" i="1"/>
  <c r="AH368" i="1"/>
  <c r="CC369" i="1"/>
  <c r="AG371" i="1"/>
  <c r="AF373" i="1"/>
  <c r="AE374" i="1"/>
  <c r="CC374" i="1"/>
  <c r="AD376" i="1"/>
  <c r="AH376" i="1"/>
  <c r="CC377" i="1"/>
  <c r="AG379" i="1"/>
  <c r="AD382" i="1"/>
  <c r="AH382" i="1"/>
  <c r="AG383" i="1"/>
  <c r="AD386" i="1"/>
  <c r="AH386" i="1"/>
  <c r="AG387" i="1"/>
  <c r="AF389" i="1"/>
  <c r="AE390" i="1"/>
  <c r="CC390" i="1"/>
  <c r="AD392" i="1"/>
  <c r="AH392" i="1"/>
  <c r="CC393" i="1"/>
  <c r="AG395" i="1"/>
  <c r="AF397" i="1"/>
  <c r="AE398" i="1"/>
  <c r="AG401" i="1"/>
  <c r="AE402" i="1"/>
  <c r="AG405" i="1"/>
  <c r="AE406" i="1"/>
  <c r="CC406" i="1"/>
  <c r="AD409" i="1"/>
  <c r="AH409" i="1"/>
  <c r="AE410" i="1"/>
  <c r="CC410" i="1"/>
  <c r="AD413" i="1"/>
  <c r="AH413" i="1"/>
  <c r="AE414" i="1"/>
  <c r="CC414" i="1"/>
  <c r="AF420" i="1"/>
  <c r="CC285" i="1"/>
  <c r="AE287" i="1"/>
  <c r="AR290" i="1"/>
  <c r="AC290" i="1"/>
  <c r="AG290" i="1"/>
  <c r="BC290" i="1"/>
  <c r="CC293" i="1"/>
  <c r="AE295" i="1"/>
  <c r="AE297" i="1"/>
  <c r="AD298" i="1"/>
  <c r="AH298" i="1"/>
  <c r="AE301" i="1"/>
  <c r="AD302" i="1"/>
  <c r="AH302" i="1"/>
  <c r="AE305" i="1"/>
  <c r="AD306" i="1"/>
  <c r="AH306" i="1"/>
  <c r="AE309" i="1"/>
  <c r="AD310" i="1"/>
  <c r="AH310" i="1"/>
  <c r="AE313" i="1"/>
  <c r="AD314" i="1"/>
  <c r="AH314" i="1"/>
  <c r="AE317" i="1"/>
  <c r="AD318" i="1"/>
  <c r="AH318" i="1"/>
  <c r="CB320" i="1"/>
  <c r="AD322" i="1"/>
  <c r="AH322" i="1"/>
  <c r="AF323" i="1"/>
  <c r="AD326" i="1"/>
  <c r="AH326" i="1"/>
  <c r="CC326" i="1"/>
  <c r="AF327" i="1"/>
  <c r="AR328" i="1"/>
  <c r="AG328" i="1"/>
  <c r="AE329" i="1"/>
  <c r="AD334" i="1"/>
  <c r="AH334" i="1"/>
  <c r="CC334" i="1"/>
  <c r="AF335" i="1"/>
  <c r="AR336" i="1"/>
  <c r="AG336" i="1"/>
  <c r="AE337" i="1"/>
  <c r="AD342" i="1"/>
  <c r="AH342" i="1"/>
  <c r="CC342" i="1"/>
  <c r="AF343" i="1"/>
  <c r="AR344" i="1"/>
  <c r="AG344" i="1"/>
  <c r="AE345" i="1"/>
  <c r="AD350" i="1"/>
  <c r="AH350" i="1"/>
  <c r="CC350" i="1"/>
  <c r="AF351" i="1"/>
  <c r="AR352" i="1"/>
  <c r="AG352" i="1"/>
  <c r="AE353" i="1"/>
  <c r="AD354" i="1"/>
  <c r="AH354" i="1"/>
  <c r="AG355" i="1"/>
  <c r="AE356" i="1"/>
  <c r="CC356" i="1"/>
  <c r="AD358" i="1"/>
  <c r="AH358" i="1"/>
  <c r="CC359" i="1"/>
  <c r="AG361" i="1"/>
  <c r="AF363" i="1"/>
  <c r="AE364" i="1"/>
  <c r="CC364" i="1"/>
  <c r="AF367" i="1"/>
  <c r="AE368" i="1"/>
  <c r="CC368" i="1"/>
  <c r="AD370" i="1"/>
  <c r="AH370" i="1"/>
  <c r="CC371" i="1"/>
  <c r="AG373" i="1"/>
  <c r="AF375" i="1"/>
  <c r="AE376" i="1"/>
  <c r="CC376" i="1"/>
  <c r="AD378" i="1"/>
  <c r="AH378" i="1"/>
  <c r="CC379" i="1"/>
  <c r="AF381" i="1"/>
  <c r="AE382" i="1"/>
  <c r="CC383" i="1"/>
  <c r="AF385" i="1"/>
  <c r="AE386" i="1"/>
  <c r="CC387" i="1"/>
  <c r="AG389" i="1"/>
  <c r="AF391" i="1"/>
  <c r="AE392" i="1"/>
  <c r="CC392" i="1"/>
  <c r="AD394" i="1"/>
  <c r="AH394" i="1"/>
  <c r="CC395" i="1"/>
  <c r="AG397" i="1"/>
  <c r="AF398" i="1"/>
  <c r="AD401" i="1"/>
  <c r="AH401" i="1"/>
  <c r="CC401" i="1"/>
  <c r="AF402" i="1"/>
  <c r="AD405" i="1"/>
  <c r="AH405" i="1"/>
  <c r="CC405" i="1"/>
  <c r="AF406" i="1"/>
  <c r="AR407" i="1"/>
  <c r="AG407" i="1"/>
  <c r="CC409" i="1"/>
  <c r="AF410" i="1"/>
  <c r="AR411" i="1"/>
  <c r="AG411" i="1"/>
  <c r="CC413" i="1"/>
  <c r="AF414" i="1"/>
  <c r="AD416" i="1"/>
  <c r="AH416" i="1"/>
  <c r="AF418" i="1"/>
  <c r="CB324" i="1"/>
  <c r="CB326" i="1"/>
  <c r="CB328" i="1"/>
  <c r="CB330" i="1"/>
  <c r="CB332" i="1"/>
  <c r="CB334" i="1"/>
  <c r="CB336" i="1"/>
  <c r="CB338" i="1"/>
  <c r="CB340" i="1"/>
  <c r="CB342" i="1"/>
  <c r="CB344" i="1"/>
  <c r="CB346" i="1"/>
  <c r="CB348" i="1"/>
  <c r="CB350" i="1"/>
  <c r="CB352" i="1"/>
  <c r="AC355" i="1"/>
  <c r="G355" i="1" s="1"/>
  <c r="AR355" i="1"/>
  <c r="AC357" i="1"/>
  <c r="AR357" i="1"/>
  <c r="AC359" i="1"/>
  <c r="AR359" i="1"/>
  <c r="AC361" i="1"/>
  <c r="AR361" i="1"/>
  <c r="AC363" i="1"/>
  <c r="AR363" i="1"/>
  <c r="AC365" i="1"/>
  <c r="AR365" i="1"/>
  <c r="CC366" i="1"/>
  <c r="AC367" i="1"/>
  <c r="AR367" i="1"/>
  <c r="AC369" i="1"/>
  <c r="AR369" i="1"/>
  <c r="AC371" i="1"/>
  <c r="AR371" i="1"/>
  <c r="AC373" i="1"/>
  <c r="AR373" i="1"/>
  <c r="AC375" i="1"/>
  <c r="AR375" i="1"/>
  <c r="AC377" i="1"/>
  <c r="AR377" i="1"/>
  <c r="AC379" i="1"/>
  <c r="AR379" i="1"/>
  <c r="AC381" i="1"/>
  <c r="AR381" i="1"/>
  <c r="AC383" i="1"/>
  <c r="AR383" i="1"/>
  <c r="AC385" i="1"/>
  <c r="AR385" i="1"/>
  <c r="AC387" i="1"/>
  <c r="AR387" i="1"/>
  <c r="AC389" i="1"/>
  <c r="AR389" i="1"/>
  <c r="AC391" i="1"/>
  <c r="AR391" i="1"/>
  <c r="AC393" i="1"/>
  <c r="AR393" i="1"/>
  <c r="AC395" i="1"/>
  <c r="AR395" i="1"/>
  <c r="AC397" i="1"/>
  <c r="AR397" i="1"/>
  <c r="AC399" i="1"/>
  <c r="AR399" i="1"/>
  <c r="AC401" i="1"/>
  <c r="AR401" i="1"/>
  <c r="AC403" i="1"/>
  <c r="AR403" i="1"/>
  <c r="AC405" i="1"/>
  <c r="AR405" i="1"/>
  <c r="AC407" i="1"/>
  <c r="AC409" i="1"/>
  <c r="AC411" i="1"/>
  <c r="AC413" i="1"/>
  <c r="CC415" i="1"/>
  <c r="AE417" i="1"/>
  <c r="CB418" i="1"/>
  <c r="AR420" i="1"/>
  <c r="AC420" i="1"/>
  <c r="AG420" i="1"/>
  <c r="BC420" i="1"/>
  <c r="AR422" i="1"/>
  <c r="AC422" i="1"/>
  <c r="AG422" i="1"/>
  <c r="BC422" i="1"/>
  <c r="AF423" i="1"/>
  <c r="CC423" i="1"/>
  <c r="AR426" i="1"/>
  <c r="AC426" i="1"/>
  <c r="AG426" i="1"/>
  <c r="BC426" i="1"/>
  <c r="AF427" i="1"/>
  <c r="CC427" i="1"/>
  <c r="AR430" i="1"/>
  <c r="AC430" i="1"/>
  <c r="AG430" i="1"/>
  <c r="BC430" i="1"/>
  <c r="AF431" i="1"/>
  <c r="CC431" i="1"/>
  <c r="CC434" i="1"/>
  <c r="AE437" i="1"/>
  <c r="AD438" i="1"/>
  <c r="AH438" i="1"/>
  <c r="AE439" i="1"/>
  <c r="AD440" i="1"/>
  <c r="AH440" i="1"/>
  <c r="AE441" i="1"/>
  <c r="AD442" i="1"/>
  <c r="AH442" i="1"/>
  <c r="AE443" i="1"/>
  <c r="AD444" i="1"/>
  <c r="AH444" i="1"/>
  <c r="AE445" i="1"/>
  <c r="AD446" i="1"/>
  <c r="AH446" i="1"/>
  <c r="AE447" i="1"/>
  <c r="CC448" i="1"/>
  <c r="AF449" i="1"/>
  <c r="AE456" i="1"/>
  <c r="AD460" i="1"/>
  <c r="AH460" i="1"/>
  <c r="AR461" i="1"/>
  <c r="AG461" i="1"/>
  <c r="AD464" i="1"/>
  <c r="AH464" i="1"/>
  <c r="AG465" i="1"/>
  <c r="AG467" i="1"/>
  <c r="AG469" i="1"/>
  <c r="AG471" i="1"/>
  <c r="CB379" i="1"/>
  <c r="CB381" i="1"/>
  <c r="CB383" i="1"/>
  <c r="CB385" i="1"/>
  <c r="CB387" i="1"/>
  <c r="CB399" i="1"/>
  <c r="CB401" i="1"/>
  <c r="CB403" i="1"/>
  <c r="CB405" i="1"/>
  <c r="CC417" i="1"/>
  <c r="AE419" i="1"/>
  <c r="CB420" i="1"/>
  <c r="AE421" i="1"/>
  <c r="AD422" i="1"/>
  <c r="AH422" i="1"/>
  <c r="CC422" i="1"/>
  <c r="AE425" i="1"/>
  <c r="AD426" i="1"/>
  <c r="AH426" i="1"/>
  <c r="CC426" i="1"/>
  <c r="AE429" i="1"/>
  <c r="AD430" i="1"/>
  <c r="AH430" i="1"/>
  <c r="CC430" i="1"/>
  <c r="AE433" i="1"/>
  <c r="AE435" i="1"/>
  <c r="AR436" i="1"/>
  <c r="AG436" i="1"/>
  <c r="AF437" i="1"/>
  <c r="AF439" i="1"/>
  <c r="AF441" i="1"/>
  <c r="AF443" i="1"/>
  <c r="AF445" i="1"/>
  <c r="AF447" i="1"/>
  <c r="AR450" i="1"/>
  <c r="AG450" i="1"/>
  <c r="AR452" i="1"/>
  <c r="AG452" i="1"/>
  <c r="AF459" i="1"/>
  <c r="AE460" i="1"/>
  <c r="AF463" i="1"/>
  <c r="AE464" i="1"/>
  <c r="AE466" i="1"/>
  <c r="AE468" i="1"/>
  <c r="AE470" i="1"/>
  <c r="AG474" i="1"/>
  <c r="AG475" i="1"/>
  <c r="AG477" i="1"/>
  <c r="AG483" i="1"/>
  <c r="BC324" i="1"/>
  <c r="BC326" i="1"/>
  <c r="BC328" i="1"/>
  <c r="BC330" i="1"/>
  <c r="BC332" i="1"/>
  <c r="BC334" i="1"/>
  <c r="BC336" i="1"/>
  <c r="BC338" i="1"/>
  <c r="BC340" i="1"/>
  <c r="BC342" i="1"/>
  <c r="BC344" i="1"/>
  <c r="BC346" i="1"/>
  <c r="BC348" i="1"/>
  <c r="BC350" i="1"/>
  <c r="BC352" i="1"/>
  <c r="AR416" i="1"/>
  <c r="AC416" i="1"/>
  <c r="AG416" i="1"/>
  <c r="BC416" i="1"/>
  <c r="CC419" i="1"/>
  <c r="AF421" i="1"/>
  <c r="AR424" i="1"/>
  <c r="AC424" i="1"/>
  <c r="AG424" i="1"/>
  <c r="BC424" i="1"/>
  <c r="AF425" i="1"/>
  <c r="AR428" i="1"/>
  <c r="AC428" i="1"/>
  <c r="AG428" i="1"/>
  <c r="BC428" i="1"/>
  <c r="AF429" i="1"/>
  <c r="AR432" i="1"/>
  <c r="AC432" i="1"/>
  <c r="AG432" i="1"/>
  <c r="BC432" i="1"/>
  <c r="AF433" i="1"/>
  <c r="AR434" i="1"/>
  <c r="AG434" i="1"/>
  <c r="AF435" i="1"/>
  <c r="AD436" i="1"/>
  <c r="AH436" i="1"/>
  <c r="AR448" i="1"/>
  <c r="AG448" i="1"/>
  <c r="AD450" i="1"/>
  <c r="AH450" i="1"/>
  <c r="AE451" i="1"/>
  <c r="AD452" i="1"/>
  <c r="AH452" i="1"/>
  <c r="AE453" i="1"/>
  <c r="AD454" i="1"/>
  <c r="AH454" i="1"/>
  <c r="AF455" i="1"/>
  <c r="AF457" i="1"/>
  <c r="AD458" i="1"/>
  <c r="AH458" i="1"/>
  <c r="AR459" i="1"/>
  <c r="AG459" i="1"/>
  <c r="AD462" i="1"/>
  <c r="AH462" i="1"/>
  <c r="AR463" i="1"/>
  <c r="AG463" i="1"/>
  <c r="AE467" i="1"/>
  <c r="AE469" i="1"/>
  <c r="AG476" i="1"/>
  <c r="AG484" i="1"/>
  <c r="AC324" i="1"/>
  <c r="AC326" i="1"/>
  <c r="AC328" i="1"/>
  <c r="AC330" i="1"/>
  <c r="AC332" i="1"/>
  <c r="AC334" i="1"/>
  <c r="AC336" i="1"/>
  <c r="AC338" i="1"/>
  <c r="AC340" i="1"/>
  <c r="AC342" i="1"/>
  <c r="AC344" i="1"/>
  <c r="AC346" i="1"/>
  <c r="AC348" i="1"/>
  <c r="AC350" i="1"/>
  <c r="AC352" i="1"/>
  <c r="AE415" i="1"/>
  <c r="AR418" i="1"/>
  <c r="AC418" i="1"/>
  <c r="AG418" i="1"/>
  <c r="BC418" i="1"/>
  <c r="AE423" i="1"/>
  <c r="AD424" i="1"/>
  <c r="AH424" i="1"/>
  <c r="CC424" i="1"/>
  <c r="AE427" i="1"/>
  <c r="AD428" i="1"/>
  <c r="AH428" i="1"/>
  <c r="CC428" i="1"/>
  <c r="AE431" i="1"/>
  <c r="AD432" i="1"/>
  <c r="AH432" i="1"/>
  <c r="CC432" i="1"/>
  <c r="AD434" i="1"/>
  <c r="AH434" i="1"/>
  <c r="AR438" i="1"/>
  <c r="AG438" i="1"/>
  <c r="AR440" i="1"/>
  <c r="AG440" i="1"/>
  <c r="AR442" i="1"/>
  <c r="AG442" i="1"/>
  <c r="AR444" i="1"/>
  <c r="AG444" i="1"/>
  <c r="AR446" i="1"/>
  <c r="AG446" i="1"/>
  <c r="AD448" i="1"/>
  <c r="AH448" i="1"/>
  <c r="AE449" i="1"/>
  <c r="CC450" i="1"/>
  <c r="AF451" i="1"/>
  <c r="CC452" i="1"/>
  <c r="AF453" i="1"/>
  <c r="AE454" i="1"/>
  <c r="AR455" i="1"/>
  <c r="AG455" i="1"/>
  <c r="AD456" i="1"/>
  <c r="AH456" i="1"/>
  <c r="AR457" i="1"/>
  <c r="AG457" i="1"/>
  <c r="AE458" i="1"/>
  <c r="CC459" i="1"/>
  <c r="AF461" i="1"/>
  <c r="AE462" i="1"/>
  <c r="CC463" i="1"/>
  <c r="AF465" i="1"/>
  <c r="AG478" i="1"/>
  <c r="AG479" i="1"/>
  <c r="AC434" i="1"/>
  <c r="AC436" i="1"/>
  <c r="AC438" i="1"/>
  <c r="AC440" i="1"/>
  <c r="AC442" i="1"/>
  <c r="AC444" i="1"/>
  <c r="AC446" i="1"/>
  <c r="AC448" i="1"/>
  <c r="AC450" i="1"/>
  <c r="AC452" i="1"/>
  <c r="CB454" i="1"/>
  <c r="BC455" i="1"/>
  <c r="CB456" i="1"/>
  <c r="BC457" i="1"/>
  <c r="BC459" i="1"/>
  <c r="BC461" i="1"/>
  <c r="BC463" i="1"/>
  <c r="CB464" i="1"/>
  <c r="CB466" i="1"/>
  <c r="CB468" i="1"/>
  <c r="CB470" i="1"/>
  <c r="AF471" i="1"/>
  <c r="CB471" i="1"/>
  <c r="AC474" i="1"/>
  <c r="AD474" i="1"/>
  <c r="AH474" i="1"/>
  <c r="AC475" i="1"/>
  <c r="AR476" i="1"/>
  <c r="AR477" i="1"/>
  <c r="CB478" i="1"/>
  <c r="AF479" i="1"/>
  <c r="CB479" i="1"/>
  <c r="AC482" i="1"/>
  <c r="AD482" i="1"/>
  <c r="AH482" i="1"/>
  <c r="AC483" i="1"/>
  <c r="AR484" i="1"/>
  <c r="AF487" i="1"/>
  <c r="AD488" i="1"/>
  <c r="AH488" i="1"/>
  <c r="CC488" i="1"/>
  <c r="AE489" i="1"/>
  <c r="CC489" i="1"/>
  <c r="AR490" i="1"/>
  <c r="AC490" i="1"/>
  <c r="BC490" i="1"/>
  <c r="AG490" i="1"/>
  <c r="AF495" i="1"/>
  <c r="AE496" i="1"/>
  <c r="AD498" i="1"/>
  <c r="AH498" i="1"/>
  <c r="CC510" i="1"/>
  <c r="AR512" i="1"/>
  <c r="AC512" i="1"/>
  <c r="BC512" i="1"/>
  <c r="AG512" i="1"/>
  <c r="CB434" i="1"/>
  <c r="CB436" i="1"/>
  <c r="CB438" i="1"/>
  <c r="CB440" i="1"/>
  <c r="CB442" i="1"/>
  <c r="CB444" i="1"/>
  <c r="CB446" i="1"/>
  <c r="CB448" i="1"/>
  <c r="CB450" i="1"/>
  <c r="CB452" i="1"/>
  <c r="AC455" i="1"/>
  <c r="AC457" i="1"/>
  <c r="AC459" i="1"/>
  <c r="AC461" i="1"/>
  <c r="AC463" i="1"/>
  <c r="AC465" i="1"/>
  <c r="AR465" i="1"/>
  <c r="CB465" i="1"/>
  <c r="AD466" i="1"/>
  <c r="AH466" i="1"/>
  <c r="AR467" i="1"/>
  <c r="CB467" i="1"/>
  <c r="AD468" i="1"/>
  <c r="AH468" i="1"/>
  <c r="AR469" i="1"/>
  <c r="CB469" i="1"/>
  <c r="AD470" i="1"/>
  <c r="AH470" i="1"/>
  <c r="AD472" i="1"/>
  <c r="AH472" i="1"/>
  <c r="AR474" i="1"/>
  <c r="CC474" i="1"/>
  <c r="AR475" i="1"/>
  <c r="CC475" i="1"/>
  <c r="CB476" i="1"/>
  <c r="AF477" i="1"/>
  <c r="CB477" i="1"/>
  <c r="AD480" i="1"/>
  <c r="AH480" i="1"/>
  <c r="AR482" i="1"/>
  <c r="CC482" i="1"/>
  <c r="AR483" i="1"/>
  <c r="CC483" i="1"/>
  <c r="CB484" i="1"/>
  <c r="AF489" i="1"/>
  <c r="AD490" i="1"/>
  <c r="AH490" i="1"/>
  <c r="CC490" i="1"/>
  <c r="AE491" i="1"/>
  <c r="CC491" i="1"/>
  <c r="AR492" i="1"/>
  <c r="AC492" i="1"/>
  <c r="BC492" i="1"/>
  <c r="AG492" i="1"/>
  <c r="AF496" i="1"/>
  <c r="AD497" i="1"/>
  <c r="AH497" i="1"/>
  <c r="CC499" i="1"/>
  <c r="CB499" i="1"/>
  <c r="AE511" i="1"/>
  <c r="CB453" i="1"/>
  <c r="CB455" i="1"/>
  <c r="CB457" i="1"/>
  <c r="CB459" i="1"/>
  <c r="CB461" i="1"/>
  <c r="CB463" i="1"/>
  <c r="AC467" i="1"/>
  <c r="AF467" i="1"/>
  <c r="AC469" i="1"/>
  <c r="AF469" i="1"/>
  <c r="CC472" i="1"/>
  <c r="CC473" i="1"/>
  <c r="AF475" i="1"/>
  <c r="AD478" i="1"/>
  <c r="AH478" i="1"/>
  <c r="CC480" i="1"/>
  <c r="AF483" i="1"/>
  <c r="AE485" i="1"/>
  <c r="AR486" i="1"/>
  <c r="AC486" i="1"/>
  <c r="BC486" i="1"/>
  <c r="AG486" i="1"/>
  <c r="AF491" i="1"/>
  <c r="AD492" i="1"/>
  <c r="AH492" i="1"/>
  <c r="CC492" i="1"/>
  <c r="AE493" i="1"/>
  <c r="AR494" i="1"/>
  <c r="AC494" i="1"/>
  <c r="BC494" i="1"/>
  <c r="AG494" i="1"/>
  <c r="AR499" i="1"/>
  <c r="AC499" i="1"/>
  <c r="AG499" i="1"/>
  <c r="CB501" i="1"/>
  <c r="CC501" i="1"/>
  <c r="AE502" i="1"/>
  <c r="AR504" i="1"/>
  <c r="AC504" i="1"/>
  <c r="BC504" i="1"/>
  <c r="AG504" i="1"/>
  <c r="CC506" i="1"/>
  <c r="AR508" i="1"/>
  <c r="AC508" i="1"/>
  <c r="BC508" i="1"/>
  <c r="AG508" i="1"/>
  <c r="CC514" i="1"/>
  <c r="AR516" i="1"/>
  <c r="AC516" i="1"/>
  <c r="BC516" i="1"/>
  <c r="AG516" i="1"/>
  <c r="AF473" i="1"/>
  <c r="AD476" i="1"/>
  <c r="AH476" i="1"/>
  <c r="AF481" i="1"/>
  <c r="AC484" i="1"/>
  <c r="AD484" i="1"/>
  <c r="AH484" i="1"/>
  <c r="AF485" i="1"/>
  <c r="AD486" i="1"/>
  <c r="AH486" i="1"/>
  <c r="AE487" i="1"/>
  <c r="CC487" i="1"/>
  <c r="AR488" i="1"/>
  <c r="AC488" i="1"/>
  <c r="BC488" i="1"/>
  <c r="AG488" i="1"/>
  <c r="AF493" i="1"/>
  <c r="AD494" i="1"/>
  <c r="AH494" i="1"/>
  <c r="AE495" i="1"/>
  <c r="CC495" i="1"/>
  <c r="AF497" i="1"/>
  <c r="CB498" i="1"/>
  <c r="AH499" i="1"/>
  <c r="AH500" i="1"/>
  <c r="AD503" i="1"/>
  <c r="AH503" i="1"/>
  <c r="AE507" i="1"/>
  <c r="AE515" i="1"/>
  <c r="CC518" i="1"/>
  <c r="AE519" i="1"/>
  <c r="AR520" i="1"/>
  <c r="AC520" i="1"/>
  <c r="BC520" i="1"/>
  <c r="AG520" i="1"/>
  <c r="CC522" i="1"/>
  <c r="AE523" i="1"/>
  <c r="AR524" i="1"/>
  <c r="AC524" i="1"/>
  <c r="BC524" i="1"/>
  <c r="AG524" i="1"/>
  <c r="CC526" i="1"/>
  <c r="AE527" i="1"/>
  <c r="AR528" i="1"/>
  <c r="AC528" i="1"/>
  <c r="BC528" i="1"/>
  <c r="AG528" i="1"/>
  <c r="CC530" i="1"/>
  <c r="AE531" i="1"/>
  <c r="AR532" i="1"/>
  <c r="AC532" i="1"/>
  <c r="BC532" i="1"/>
  <c r="AG532" i="1"/>
  <c r="CC534" i="1"/>
  <c r="AF536" i="1"/>
  <c r="AD537" i="1"/>
  <c r="AH537" i="1"/>
  <c r="AF540" i="1"/>
  <c r="AD541" i="1"/>
  <c r="AH541" i="1"/>
  <c r="AF544" i="1"/>
  <c r="AD545" i="1"/>
  <c r="AH545" i="1"/>
  <c r="AF548" i="1"/>
  <c r="AD549" i="1"/>
  <c r="AH549" i="1"/>
  <c r="AF552" i="1"/>
  <c r="AF555" i="1"/>
  <c r="AF557" i="1"/>
  <c r="AF559" i="1"/>
  <c r="AF561" i="1"/>
  <c r="AF563" i="1"/>
  <c r="AF565" i="1"/>
  <c r="AF567" i="1"/>
  <c r="AF569" i="1"/>
  <c r="AF571" i="1"/>
  <c r="AF573" i="1"/>
  <c r="AF575" i="1"/>
  <c r="AF577" i="1"/>
  <c r="AF579" i="1"/>
  <c r="AF581" i="1"/>
  <c r="AF583" i="1"/>
  <c r="AF585" i="1"/>
  <c r="AF587" i="1"/>
  <c r="AF589" i="1"/>
  <c r="AF591" i="1"/>
  <c r="AF593" i="1"/>
  <c r="AF595" i="1"/>
  <c r="AF597" i="1"/>
  <c r="AF599" i="1"/>
  <c r="AG603" i="1"/>
  <c r="AD605" i="1"/>
  <c r="AD608" i="1"/>
  <c r="AH608" i="1"/>
  <c r="AD614" i="1"/>
  <c r="AH614" i="1"/>
  <c r="AF618" i="1"/>
  <c r="CB485" i="1"/>
  <c r="CB487" i="1"/>
  <c r="CB489" i="1"/>
  <c r="CB491" i="1"/>
  <c r="CB493" i="1"/>
  <c r="CB495" i="1"/>
  <c r="CC496" i="1"/>
  <c r="AE498" i="1"/>
  <c r="AR501" i="1"/>
  <c r="AC501" i="1"/>
  <c r="AG501" i="1"/>
  <c r="BC501" i="1"/>
  <c r="AF502" i="1"/>
  <c r="CC503" i="1"/>
  <c r="CB504" i="1"/>
  <c r="AD505" i="1"/>
  <c r="AH505" i="1"/>
  <c r="AF506" i="1"/>
  <c r="CC507" i="1"/>
  <c r="CB508" i="1"/>
  <c r="AD509" i="1"/>
  <c r="AH509" i="1"/>
  <c r="AF510" i="1"/>
  <c r="CC511" i="1"/>
  <c r="CB512" i="1"/>
  <c r="AD513" i="1"/>
  <c r="AH513" i="1"/>
  <c r="AF514" i="1"/>
  <c r="CC515" i="1"/>
  <c r="CB516" i="1"/>
  <c r="AD517" i="1"/>
  <c r="AH517" i="1"/>
  <c r="AF518" i="1"/>
  <c r="CC519" i="1"/>
  <c r="CB520" i="1"/>
  <c r="AD521" i="1"/>
  <c r="AH521" i="1"/>
  <c r="AF522" i="1"/>
  <c r="CC523" i="1"/>
  <c r="CB524" i="1"/>
  <c r="AD525" i="1"/>
  <c r="AH525" i="1"/>
  <c r="AF526" i="1"/>
  <c r="CC527" i="1"/>
  <c r="CB528" i="1"/>
  <c r="AD529" i="1"/>
  <c r="AH529" i="1"/>
  <c r="AF530" i="1"/>
  <c r="CC531" i="1"/>
  <c r="CB532" i="1"/>
  <c r="AD533" i="1"/>
  <c r="AH533" i="1"/>
  <c r="AF534" i="1"/>
  <c r="AR536" i="1"/>
  <c r="AC536" i="1"/>
  <c r="BC536" i="1"/>
  <c r="AG536" i="1"/>
  <c r="AE537" i="1"/>
  <c r="AR540" i="1"/>
  <c r="AC540" i="1"/>
  <c r="BC540" i="1"/>
  <c r="AG540" i="1"/>
  <c r="AE541" i="1"/>
  <c r="AR544" i="1"/>
  <c r="AC544" i="1"/>
  <c r="BC544" i="1"/>
  <c r="AG544" i="1"/>
  <c r="AE545" i="1"/>
  <c r="AR548" i="1"/>
  <c r="AC548" i="1"/>
  <c r="BC548" i="1"/>
  <c r="AG548" i="1"/>
  <c r="AE549" i="1"/>
  <c r="AR552" i="1"/>
  <c r="AC552" i="1"/>
  <c r="BC552" i="1"/>
  <c r="AG552" i="1"/>
  <c r="AR554" i="1"/>
  <c r="AG554" i="1"/>
  <c r="AR601" i="1"/>
  <c r="AG601" i="1"/>
  <c r="AF606" i="1"/>
  <c r="AD609" i="1"/>
  <c r="AH609" i="1"/>
  <c r="AD610" i="1"/>
  <c r="AD613" i="1"/>
  <c r="AD616" i="1"/>
  <c r="AH616" i="1"/>
  <c r="CC498" i="1"/>
  <c r="AE500" i="1"/>
  <c r="AD501" i="1"/>
  <c r="AH501" i="1"/>
  <c r="AE505" i="1"/>
  <c r="AR506" i="1"/>
  <c r="AC506" i="1"/>
  <c r="BC506" i="1"/>
  <c r="AG506" i="1"/>
  <c r="AE509" i="1"/>
  <c r="AR510" i="1"/>
  <c r="AC510" i="1"/>
  <c r="BC510" i="1"/>
  <c r="AG510" i="1"/>
  <c r="AE513" i="1"/>
  <c r="AR514" i="1"/>
  <c r="AC514" i="1"/>
  <c r="BC514" i="1"/>
  <c r="AG514" i="1"/>
  <c r="AE517" i="1"/>
  <c r="AR518" i="1"/>
  <c r="AC518" i="1"/>
  <c r="BC518" i="1"/>
  <c r="AG518" i="1"/>
  <c r="AE521" i="1"/>
  <c r="AR522" i="1"/>
  <c r="AC522" i="1"/>
  <c r="BC522" i="1"/>
  <c r="AG522" i="1"/>
  <c r="AE525" i="1"/>
  <c r="AR526" i="1"/>
  <c r="AC526" i="1"/>
  <c r="BC526" i="1"/>
  <c r="AG526" i="1"/>
  <c r="AE529" i="1"/>
  <c r="AR530" i="1"/>
  <c r="AC530" i="1"/>
  <c r="BC530" i="1"/>
  <c r="AG530" i="1"/>
  <c r="AE533" i="1"/>
  <c r="AR534" i="1"/>
  <c r="AC534" i="1"/>
  <c r="BC534" i="1"/>
  <c r="AG534" i="1"/>
  <c r="AD535" i="1"/>
  <c r="AH535" i="1"/>
  <c r="CC537" i="1"/>
  <c r="AF538" i="1"/>
  <c r="AD539" i="1"/>
  <c r="AH539" i="1"/>
  <c r="CC541" i="1"/>
  <c r="AF542" i="1"/>
  <c r="AD543" i="1"/>
  <c r="AH543" i="1"/>
  <c r="CC545" i="1"/>
  <c r="AF546" i="1"/>
  <c r="AD547" i="1"/>
  <c r="AH547" i="1"/>
  <c r="CC549" i="1"/>
  <c r="AF550" i="1"/>
  <c r="AD551" i="1"/>
  <c r="AH551" i="1"/>
  <c r="AD553" i="1"/>
  <c r="AH553" i="1"/>
  <c r="AD554" i="1"/>
  <c r="AH554" i="1"/>
  <c r="AR556" i="1"/>
  <c r="AG556" i="1"/>
  <c r="AR558" i="1"/>
  <c r="AG558" i="1"/>
  <c r="AR560" i="1"/>
  <c r="AG560" i="1"/>
  <c r="AR562" i="1"/>
  <c r="AG562" i="1"/>
  <c r="AR564" i="1"/>
  <c r="AG564" i="1"/>
  <c r="AR566" i="1"/>
  <c r="AG566" i="1"/>
  <c r="AR568" i="1"/>
  <c r="AG568" i="1"/>
  <c r="AR570" i="1"/>
  <c r="AG570" i="1"/>
  <c r="AR572" i="1"/>
  <c r="AG572" i="1"/>
  <c r="AR574" i="1"/>
  <c r="AG574" i="1"/>
  <c r="AR576" i="1"/>
  <c r="AG576" i="1"/>
  <c r="AR578" i="1"/>
  <c r="AG578" i="1"/>
  <c r="AR580" i="1"/>
  <c r="AG580" i="1"/>
  <c r="AR582" i="1"/>
  <c r="AG582" i="1"/>
  <c r="AR584" i="1"/>
  <c r="AG584" i="1"/>
  <c r="AR586" i="1"/>
  <c r="AG586" i="1"/>
  <c r="AR588" i="1"/>
  <c r="AG588" i="1"/>
  <c r="AR590" i="1"/>
  <c r="AG590" i="1"/>
  <c r="AR592" i="1"/>
  <c r="AG592" i="1"/>
  <c r="AR594" i="1"/>
  <c r="AG594" i="1"/>
  <c r="AR596" i="1"/>
  <c r="AG596" i="1"/>
  <c r="AR598" i="1"/>
  <c r="AG598" i="1"/>
  <c r="AR600" i="1"/>
  <c r="AG600" i="1"/>
  <c r="AF604" i="1"/>
  <c r="AF605" i="1"/>
  <c r="AF607" i="1"/>
  <c r="AF614" i="1"/>
  <c r="AD617" i="1"/>
  <c r="AH617" i="1"/>
  <c r="AD618" i="1"/>
  <c r="AR497" i="1"/>
  <c r="AC497" i="1"/>
  <c r="AG497" i="1"/>
  <c r="BC497" i="1"/>
  <c r="CC500" i="1"/>
  <c r="AR503" i="1"/>
  <c r="AC503" i="1"/>
  <c r="AG503" i="1"/>
  <c r="AF504" i="1"/>
  <c r="CC505" i="1"/>
  <c r="AD507" i="1"/>
  <c r="AH507" i="1"/>
  <c r="AF508" i="1"/>
  <c r="CC509" i="1"/>
  <c r="AD511" i="1"/>
  <c r="AH511" i="1"/>
  <c r="AF512" i="1"/>
  <c r="CC513" i="1"/>
  <c r="AD515" i="1"/>
  <c r="AH515" i="1"/>
  <c r="AF516" i="1"/>
  <c r="CC517" i="1"/>
  <c r="AD519" i="1"/>
  <c r="AH519" i="1"/>
  <c r="AF520" i="1"/>
  <c r="CC521" i="1"/>
  <c r="AD523" i="1"/>
  <c r="AH523" i="1"/>
  <c r="AF524" i="1"/>
  <c r="CC525" i="1"/>
  <c r="AD527" i="1"/>
  <c r="AH527" i="1"/>
  <c r="AF528" i="1"/>
  <c r="CC529" i="1"/>
  <c r="AD531" i="1"/>
  <c r="AH531" i="1"/>
  <c r="AF532" i="1"/>
  <c r="CC533" i="1"/>
  <c r="AE535" i="1"/>
  <c r="AR538" i="1"/>
  <c r="AC538" i="1"/>
  <c r="BC538" i="1"/>
  <c r="AG538" i="1"/>
  <c r="AE539" i="1"/>
  <c r="AR542" i="1"/>
  <c r="AC542" i="1"/>
  <c r="BC542" i="1"/>
  <c r="AG542" i="1"/>
  <c r="AE543" i="1"/>
  <c r="AR546" i="1"/>
  <c r="AC546" i="1"/>
  <c r="BC546" i="1"/>
  <c r="AG546" i="1"/>
  <c r="AE547" i="1"/>
  <c r="AR550" i="1"/>
  <c r="AC550" i="1"/>
  <c r="BC550" i="1"/>
  <c r="AG550" i="1"/>
  <c r="AE551" i="1"/>
  <c r="AE553" i="1"/>
  <c r="AE555" i="1"/>
  <c r="AD556" i="1"/>
  <c r="AH556" i="1"/>
  <c r="AE557" i="1"/>
  <c r="AD558" i="1"/>
  <c r="AH558" i="1"/>
  <c r="AE559" i="1"/>
  <c r="AD560" i="1"/>
  <c r="AH560" i="1"/>
  <c r="AE561" i="1"/>
  <c r="AD562" i="1"/>
  <c r="AH562" i="1"/>
  <c r="AE563" i="1"/>
  <c r="AD564" i="1"/>
  <c r="AH564" i="1"/>
  <c r="AE565" i="1"/>
  <c r="AD566" i="1"/>
  <c r="AH566" i="1"/>
  <c r="AE567" i="1"/>
  <c r="AD568" i="1"/>
  <c r="AH568" i="1"/>
  <c r="AE569" i="1"/>
  <c r="AD570" i="1"/>
  <c r="AH570" i="1"/>
  <c r="AE571" i="1"/>
  <c r="AD572" i="1"/>
  <c r="AH572" i="1"/>
  <c r="AE573" i="1"/>
  <c r="AD574" i="1"/>
  <c r="AH574" i="1"/>
  <c r="AE575" i="1"/>
  <c r="AD576" i="1"/>
  <c r="AH576" i="1"/>
  <c r="AE577" i="1"/>
  <c r="AD578" i="1"/>
  <c r="AH578" i="1"/>
  <c r="AE579" i="1"/>
  <c r="AD580" i="1"/>
  <c r="AH580" i="1"/>
  <c r="AE581" i="1"/>
  <c r="AD582" i="1"/>
  <c r="AH582" i="1"/>
  <c r="AE583" i="1"/>
  <c r="AD584" i="1"/>
  <c r="AH584" i="1"/>
  <c r="AE585" i="1"/>
  <c r="AD586" i="1"/>
  <c r="AH586" i="1"/>
  <c r="AE587" i="1"/>
  <c r="AD588" i="1"/>
  <c r="AH588" i="1"/>
  <c r="AE589" i="1"/>
  <c r="AD590" i="1"/>
  <c r="AH590" i="1"/>
  <c r="AE591" i="1"/>
  <c r="AD592" i="1"/>
  <c r="AH592" i="1"/>
  <c r="AE593" i="1"/>
  <c r="AD594" i="1"/>
  <c r="AH594" i="1"/>
  <c r="AE595" i="1"/>
  <c r="AD596" i="1"/>
  <c r="AH596" i="1"/>
  <c r="AE597" i="1"/>
  <c r="AD598" i="1"/>
  <c r="AH598" i="1"/>
  <c r="AE599" i="1"/>
  <c r="AD600" i="1"/>
  <c r="AH600" i="1"/>
  <c r="CC601" i="1"/>
  <c r="AE602" i="1"/>
  <c r="AD606" i="1"/>
  <c r="AH606" i="1"/>
  <c r="AF610" i="1"/>
  <c r="AD611" i="1"/>
  <c r="AH611" i="1"/>
  <c r="AF612" i="1"/>
  <c r="AF613" i="1"/>
  <c r="AF615" i="1"/>
  <c r="AD601" i="1"/>
  <c r="AH601" i="1"/>
  <c r="AD603" i="1"/>
  <c r="AH603" i="1"/>
  <c r="AC604" i="1"/>
  <c r="AG604" i="1"/>
  <c r="AE611" i="1"/>
  <c r="AC612" i="1"/>
  <c r="AG612" i="1"/>
  <c r="AF619" i="1"/>
  <c r="AD620" i="1"/>
  <c r="AH620" i="1"/>
  <c r="AF621" i="1"/>
  <c r="AD622" i="1"/>
  <c r="AH622" i="1"/>
  <c r="AF623" i="1"/>
  <c r="AD624" i="1"/>
  <c r="AH624" i="1"/>
  <c r="AF625" i="1"/>
  <c r="AD626" i="1"/>
  <c r="AH626" i="1"/>
  <c r="AF627" i="1"/>
  <c r="AD628" i="1"/>
  <c r="AH628" i="1"/>
  <c r="AF629" i="1"/>
  <c r="AD630" i="1"/>
  <c r="AH630" i="1"/>
  <c r="AF631" i="1"/>
  <c r="AD632" i="1"/>
  <c r="AH632" i="1"/>
  <c r="AF633" i="1"/>
  <c r="AD634" i="1"/>
  <c r="AH634" i="1"/>
  <c r="AF635" i="1"/>
  <c r="AD636" i="1"/>
  <c r="AH636" i="1"/>
  <c r="AF637" i="1"/>
  <c r="AD638" i="1"/>
  <c r="AH638" i="1"/>
  <c r="AF639" i="1"/>
  <c r="AD640" i="1"/>
  <c r="AH640" i="1"/>
  <c r="AF641" i="1"/>
  <c r="AD642" i="1"/>
  <c r="AH642" i="1"/>
  <c r="AD644" i="1"/>
  <c r="AH644" i="1"/>
  <c r="AE647" i="1"/>
  <c r="AC648" i="1"/>
  <c r="AG648" i="1"/>
  <c r="AF649" i="1"/>
  <c r="AD650" i="1"/>
  <c r="AH650" i="1"/>
  <c r="AD653" i="1"/>
  <c r="AD656" i="1"/>
  <c r="AD659" i="1"/>
  <c r="AH659" i="1"/>
  <c r="AD662" i="1"/>
  <c r="AH662" i="1"/>
  <c r="AF664" i="1"/>
  <c r="AF666" i="1"/>
  <c r="CB503" i="1"/>
  <c r="CB505" i="1"/>
  <c r="CB507" i="1"/>
  <c r="CB509" i="1"/>
  <c r="CB511" i="1"/>
  <c r="CB513" i="1"/>
  <c r="CB515" i="1"/>
  <c r="CB517" i="1"/>
  <c r="CB519" i="1"/>
  <c r="CB521" i="1"/>
  <c r="CB523" i="1"/>
  <c r="CB525" i="1"/>
  <c r="CB527" i="1"/>
  <c r="CB529" i="1"/>
  <c r="CB531" i="1"/>
  <c r="CB533" i="1"/>
  <c r="CB535" i="1"/>
  <c r="CB537" i="1"/>
  <c r="CB539" i="1"/>
  <c r="CB541" i="1"/>
  <c r="CB543" i="1"/>
  <c r="CB545" i="1"/>
  <c r="CB547" i="1"/>
  <c r="CB549" i="1"/>
  <c r="CB551" i="1"/>
  <c r="AC554" i="1"/>
  <c r="AC556" i="1"/>
  <c r="AC558" i="1"/>
  <c r="AC560" i="1"/>
  <c r="AC562" i="1"/>
  <c r="AC564" i="1"/>
  <c r="AC566" i="1"/>
  <c r="AC568" i="1"/>
  <c r="AC570" i="1"/>
  <c r="AC572" i="1"/>
  <c r="AC574" i="1"/>
  <c r="AC576" i="1"/>
  <c r="AC578" i="1"/>
  <c r="AC580" i="1"/>
  <c r="AC582" i="1"/>
  <c r="AC584" i="1"/>
  <c r="AC586" i="1"/>
  <c r="AC588" i="1"/>
  <c r="AC590" i="1"/>
  <c r="AC592" i="1"/>
  <c r="AC594" i="1"/>
  <c r="AC596" i="1"/>
  <c r="AC598" i="1"/>
  <c r="AC600" i="1"/>
  <c r="AC602" i="1"/>
  <c r="AF602" i="1"/>
  <c r="AR603" i="1"/>
  <c r="CC605" i="1"/>
  <c r="CB606" i="1"/>
  <c r="AE609" i="1"/>
  <c r="AC610" i="1"/>
  <c r="AG610" i="1"/>
  <c r="CC613" i="1"/>
  <c r="CB614" i="1"/>
  <c r="AE617" i="1"/>
  <c r="AC618" i="1"/>
  <c r="AG618" i="1"/>
  <c r="CC619" i="1"/>
  <c r="CC621" i="1"/>
  <c r="CC623" i="1"/>
  <c r="CC625" i="1"/>
  <c r="CC627" i="1"/>
  <c r="CC629" i="1"/>
  <c r="CC631" i="1"/>
  <c r="CC633" i="1"/>
  <c r="CC635" i="1"/>
  <c r="CC637" i="1"/>
  <c r="CC639" i="1"/>
  <c r="CC641" i="1"/>
  <c r="AE643" i="1"/>
  <c r="CB643" i="1"/>
  <c r="AE645" i="1"/>
  <c r="CB645" i="1"/>
  <c r="AC646" i="1"/>
  <c r="AG646" i="1"/>
  <c r="CC646" i="1"/>
  <c r="AF647" i="1"/>
  <c r="AD648" i="1"/>
  <c r="AH648" i="1"/>
  <c r="AF655" i="1"/>
  <c r="AF657" i="1"/>
  <c r="AH660" i="1"/>
  <c r="AH665" i="1"/>
  <c r="CB554" i="1"/>
  <c r="CB556" i="1"/>
  <c r="CB558" i="1"/>
  <c r="CB560" i="1"/>
  <c r="CB562" i="1"/>
  <c r="CB564" i="1"/>
  <c r="CB566" i="1"/>
  <c r="CB568" i="1"/>
  <c r="CB570" i="1"/>
  <c r="CB572" i="1"/>
  <c r="CB574" i="1"/>
  <c r="CB576" i="1"/>
  <c r="CB578" i="1"/>
  <c r="CB580" i="1"/>
  <c r="CB582" i="1"/>
  <c r="CB584" i="1"/>
  <c r="CB586" i="1"/>
  <c r="CB588" i="1"/>
  <c r="CB590" i="1"/>
  <c r="CB592" i="1"/>
  <c r="CB594" i="1"/>
  <c r="CB596" i="1"/>
  <c r="CB598" i="1"/>
  <c r="CB600" i="1"/>
  <c r="CC603" i="1"/>
  <c r="CB604" i="1"/>
  <c r="AE607" i="1"/>
  <c r="AC608" i="1"/>
  <c r="AG608" i="1"/>
  <c r="CC611" i="1"/>
  <c r="CB612" i="1"/>
  <c r="AE615" i="1"/>
  <c r="AC616" i="1"/>
  <c r="AG616" i="1"/>
  <c r="AF643" i="1"/>
  <c r="AF645" i="1"/>
  <c r="AD646" i="1"/>
  <c r="AH646" i="1"/>
  <c r="AE651" i="1"/>
  <c r="AD654" i="1"/>
  <c r="AH654" i="1"/>
  <c r="AF656" i="1"/>
  <c r="AF658" i="1"/>
  <c r="AD661" i="1"/>
  <c r="AD664" i="1"/>
  <c r="AD667" i="1"/>
  <c r="AH667" i="1"/>
  <c r="CB601" i="1"/>
  <c r="AE605" i="1"/>
  <c r="AC606" i="1"/>
  <c r="AG606" i="1"/>
  <c r="CC609" i="1"/>
  <c r="AE613" i="1"/>
  <c r="AC614" i="1"/>
  <c r="AG614" i="1"/>
  <c r="CC617" i="1"/>
  <c r="AE619" i="1"/>
  <c r="AC620" i="1"/>
  <c r="AG620" i="1"/>
  <c r="CB620" i="1"/>
  <c r="AE621" i="1"/>
  <c r="AC622" i="1"/>
  <c r="AG622" i="1"/>
  <c r="CB622" i="1"/>
  <c r="AE623" i="1"/>
  <c r="AC624" i="1"/>
  <c r="AG624" i="1"/>
  <c r="CB624" i="1"/>
  <c r="AE625" i="1"/>
  <c r="AC626" i="1"/>
  <c r="AG626" i="1"/>
  <c r="CB626" i="1"/>
  <c r="AE627" i="1"/>
  <c r="AC628" i="1"/>
  <c r="AG628" i="1"/>
  <c r="CB628" i="1"/>
  <c r="AE629" i="1"/>
  <c r="AC630" i="1"/>
  <c r="AG630" i="1"/>
  <c r="CB630" i="1"/>
  <c r="AE631" i="1"/>
  <c r="AC632" i="1"/>
  <c r="AG632" i="1"/>
  <c r="CB632" i="1"/>
  <c r="AE633" i="1"/>
  <c r="AC634" i="1"/>
  <c r="AG634" i="1"/>
  <c r="CB634" i="1"/>
  <c r="AE635" i="1"/>
  <c r="AC636" i="1"/>
  <c r="AG636" i="1"/>
  <c r="CB636" i="1"/>
  <c r="AE637" i="1"/>
  <c r="AC638" i="1"/>
  <c r="AG638" i="1"/>
  <c r="CB638" i="1"/>
  <c r="AE639" i="1"/>
  <c r="AC640" i="1"/>
  <c r="AG640" i="1"/>
  <c r="CB640" i="1"/>
  <c r="AE641" i="1"/>
  <c r="AC642" i="1"/>
  <c r="AG642" i="1"/>
  <c r="CB642" i="1"/>
  <c r="AC644" i="1"/>
  <c r="AG644" i="1"/>
  <c r="CB644" i="1"/>
  <c r="AE649" i="1"/>
  <c r="AC650" i="1"/>
  <c r="AG650" i="1"/>
  <c r="CC650" i="1"/>
  <c r="AF651" i="1"/>
  <c r="AH652" i="1"/>
  <c r="AH657" i="1"/>
  <c r="AF663" i="1"/>
  <c r="AF665" i="1"/>
  <c r="AH668" i="1"/>
  <c r="AE654" i="1"/>
  <c r="AC655" i="1"/>
  <c r="AG655" i="1"/>
  <c r="AE662" i="1"/>
  <c r="AC663" i="1"/>
  <c r="AG663" i="1"/>
  <c r="AD669" i="1"/>
  <c r="AH669" i="1"/>
  <c r="AF670" i="1"/>
  <c r="AD671" i="1"/>
  <c r="AH671" i="1"/>
  <c r="AF672" i="1"/>
  <c r="AD673" i="1"/>
  <c r="AH673" i="1"/>
  <c r="AF674" i="1"/>
  <c r="AD675" i="1"/>
  <c r="AH675" i="1"/>
  <c r="AF676" i="1"/>
  <c r="AD677" i="1"/>
  <c r="AH677" i="1"/>
  <c r="AF678" i="1"/>
  <c r="AD679" i="1"/>
  <c r="AH679" i="1"/>
  <c r="AF680" i="1"/>
  <c r="AD681" i="1"/>
  <c r="AH681" i="1"/>
  <c r="AF682" i="1"/>
  <c r="AD683" i="1"/>
  <c r="AH683" i="1"/>
  <c r="AF684" i="1"/>
  <c r="AC685" i="1"/>
  <c r="AG685" i="1"/>
  <c r="AF686" i="1"/>
  <c r="AC687" i="1"/>
  <c r="AG687" i="1"/>
  <c r="AF688" i="1"/>
  <c r="AC689" i="1"/>
  <c r="AG689" i="1"/>
  <c r="AF690" i="1"/>
  <c r="AC691" i="1"/>
  <c r="AG691" i="1"/>
  <c r="AF692" i="1"/>
  <c r="AC693" i="1"/>
  <c r="AG693" i="1"/>
  <c r="AF694" i="1"/>
  <c r="AC695" i="1"/>
  <c r="AG695" i="1"/>
  <c r="AF696" i="1"/>
  <c r="AD697" i="1"/>
  <c r="AH697" i="1"/>
  <c r="AE702" i="1"/>
  <c r="AC703" i="1"/>
  <c r="AG703" i="1"/>
  <c r="AF704" i="1"/>
  <c r="AD705" i="1"/>
  <c r="AH705" i="1"/>
  <c r="AE710" i="1"/>
  <c r="AC711" i="1"/>
  <c r="AG711" i="1"/>
  <c r="AF712" i="1"/>
  <c r="AD713" i="1"/>
  <c r="AH713" i="1"/>
  <c r="AD720" i="1"/>
  <c r="AH720" i="1"/>
  <c r="AE652" i="1"/>
  <c r="AC653" i="1"/>
  <c r="AG653" i="1"/>
  <c r="CC656" i="1"/>
  <c r="CB657" i="1"/>
  <c r="AE660" i="1"/>
  <c r="AC661" i="1"/>
  <c r="AG661" i="1"/>
  <c r="CC664" i="1"/>
  <c r="CB665" i="1"/>
  <c r="AE668" i="1"/>
  <c r="CC669" i="1"/>
  <c r="CC670" i="1"/>
  <c r="CC671" i="1"/>
  <c r="CC672" i="1"/>
  <c r="CC673" i="1"/>
  <c r="CC674" i="1"/>
  <c r="CC675" i="1"/>
  <c r="CC676" i="1"/>
  <c r="CC677" i="1"/>
  <c r="CC678" i="1"/>
  <c r="CC679" i="1"/>
  <c r="CC680" i="1"/>
  <c r="CC681" i="1"/>
  <c r="CC682" i="1"/>
  <c r="CC684" i="1"/>
  <c r="AD685" i="1"/>
  <c r="AH685" i="1"/>
  <c r="AD687" i="1"/>
  <c r="AH687" i="1"/>
  <c r="AD689" i="1"/>
  <c r="AH689" i="1"/>
  <c r="AD691" i="1"/>
  <c r="AH691" i="1"/>
  <c r="AD693" i="1"/>
  <c r="AH693" i="1"/>
  <c r="AD695" i="1"/>
  <c r="AH695" i="1"/>
  <c r="AE700" i="1"/>
  <c r="AC701" i="1"/>
  <c r="AG701" i="1"/>
  <c r="AF702" i="1"/>
  <c r="AD703" i="1"/>
  <c r="AH703" i="1"/>
  <c r="AE708" i="1"/>
  <c r="AC709" i="1"/>
  <c r="AG709" i="1"/>
  <c r="AF710" i="1"/>
  <c r="AD711" i="1"/>
  <c r="AH711" i="1"/>
  <c r="AE716" i="1"/>
  <c r="AC717" i="1"/>
  <c r="AG717" i="1"/>
  <c r="AF718" i="1"/>
  <c r="AH721" i="1"/>
  <c r="CB646" i="1"/>
  <c r="CB648" i="1"/>
  <c r="CB650" i="1"/>
  <c r="CC654" i="1"/>
  <c r="AE658" i="1"/>
  <c r="AC659" i="1"/>
  <c r="AG659" i="1"/>
  <c r="CC662" i="1"/>
  <c r="AE666" i="1"/>
  <c r="AC667" i="1"/>
  <c r="AG667" i="1"/>
  <c r="AE698" i="1"/>
  <c r="AC699" i="1"/>
  <c r="AG699" i="1"/>
  <c r="CB699" i="1"/>
  <c r="AF700" i="1"/>
  <c r="AD701" i="1"/>
  <c r="AH701" i="1"/>
  <c r="AE706" i="1"/>
  <c r="AC707" i="1"/>
  <c r="AG707" i="1"/>
  <c r="CB707" i="1"/>
  <c r="AF708" i="1"/>
  <c r="AD709" i="1"/>
  <c r="AH709" i="1"/>
  <c r="AE714" i="1"/>
  <c r="AC715" i="1"/>
  <c r="AG715" i="1"/>
  <c r="CB715" i="1"/>
  <c r="AF716" i="1"/>
  <c r="AD717" i="1"/>
  <c r="AH717" i="1"/>
  <c r="AF719" i="1"/>
  <c r="AD722" i="1"/>
  <c r="AD729" i="1"/>
  <c r="CC652" i="1"/>
  <c r="AE656" i="1"/>
  <c r="AC657" i="1"/>
  <c r="AG657" i="1"/>
  <c r="CC660" i="1"/>
  <c r="AE664" i="1"/>
  <c r="AC665" i="1"/>
  <c r="AG665" i="1"/>
  <c r="CC668" i="1"/>
  <c r="AC669" i="1"/>
  <c r="AG669" i="1"/>
  <c r="AE670" i="1"/>
  <c r="AC671" i="1"/>
  <c r="AG671" i="1"/>
  <c r="AE672" i="1"/>
  <c r="AC673" i="1"/>
  <c r="AG673" i="1"/>
  <c r="AE674" i="1"/>
  <c r="AC675" i="1"/>
  <c r="AG675" i="1"/>
  <c r="AE676" i="1"/>
  <c r="AC677" i="1"/>
  <c r="AG677" i="1"/>
  <c r="AE678" i="1"/>
  <c r="AC679" i="1"/>
  <c r="AG679" i="1"/>
  <c r="AE680" i="1"/>
  <c r="AC681" i="1"/>
  <c r="AG681" i="1"/>
  <c r="AE682" i="1"/>
  <c r="AC683" i="1"/>
  <c r="AG683" i="1"/>
  <c r="CB683" i="1"/>
  <c r="AE684" i="1"/>
  <c r="AE686" i="1"/>
  <c r="AE688" i="1"/>
  <c r="AE690" i="1"/>
  <c r="AE692" i="1"/>
  <c r="AE694" i="1"/>
  <c r="AE696" i="1"/>
  <c r="AC697" i="1"/>
  <c r="AG697" i="1"/>
  <c r="CB697" i="1"/>
  <c r="AF698" i="1"/>
  <c r="AD699" i="1"/>
  <c r="AH699" i="1"/>
  <c r="AE704" i="1"/>
  <c r="AC705" i="1"/>
  <c r="AG705" i="1"/>
  <c r="CB705" i="1"/>
  <c r="AF706" i="1"/>
  <c r="AD707" i="1"/>
  <c r="AH707" i="1"/>
  <c r="AE712" i="1"/>
  <c r="AC713" i="1"/>
  <c r="AG713" i="1"/>
  <c r="CB713" i="1"/>
  <c r="AF714" i="1"/>
  <c r="AD715" i="1"/>
  <c r="AH715" i="1"/>
  <c r="AH718" i="1"/>
  <c r="CC685" i="1"/>
  <c r="CC687" i="1"/>
  <c r="CC689" i="1"/>
  <c r="CC691" i="1"/>
  <c r="CC693" i="1"/>
  <c r="CC695" i="1"/>
  <c r="CC697" i="1"/>
  <c r="CC699" i="1"/>
  <c r="CC701" i="1"/>
  <c r="CC703" i="1"/>
  <c r="CC705" i="1"/>
  <c r="CC707" i="1"/>
  <c r="CC709" i="1"/>
  <c r="CC711" i="1"/>
  <c r="CC713" i="1"/>
  <c r="CC715" i="1"/>
  <c r="CC717" i="1"/>
  <c r="AC718" i="1"/>
  <c r="AG718" i="1"/>
  <c r="CC721" i="1"/>
  <c r="AE723" i="1"/>
  <c r="AC724" i="1"/>
  <c r="AG724" i="1"/>
  <c r="AE725" i="1"/>
  <c r="AC726" i="1"/>
  <c r="AG726" i="1"/>
  <c r="AE727" i="1"/>
  <c r="AC728" i="1"/>
  <c r="AG728" i="1"/>
  <c r="CC729" i="1"/>
  <c r="AC732" i="1"/>
  <c r="AG732" i="1"/>
  <c r="AD733" i="1"/>
  <c r="AD734" i="1"/>
  <c r="AH734" i="1"/>
  <c r="AF735" i="1"/>
  <c r="AD736" i="1"/>
  <c r="AH736" i="1"/>
  <c r="AF739" i="1"/>
  <c r="AF723" i="1"/>
  <c r="AD724" i="1"/>
  <c r="AH724" i="1"/>
  <c r="AF725" i="1"/>
  <c r="AD726" i="1"/>
  <c r="AH726" i="1"/>
  <c r="AF727" i="1"/>
  <c r="AD728" i="1"/>
  <c r="AH728" i="1"/>
  <c r="AH729" i="1"/>
  <c r="AD730" i="1"/>
  <c r="AD731" i="1"/>
  <c r="AH731" i="1"/>
  <c r="AF738" i="1"/>
  <c r="CB718" i="1"/>
  <c r="AE721" i="1"/>
  <c r="AC722" i="1"/>
  <c r="AG722" i="1"/>
  <c r="CC723" i="1"/>
  <c r="CC724" i="1"/>
  <c r="CC725" i="1"/>
  <c r="CC726" i="1"/>
  <c r="CC727" i="1"/>
  <c r="CC728" i="1"/>
  <c r="AE731" i="1"/>
  <c r="CC732" i="1"/>
  <c r="AF733" i="1"/>
  <c r="AF734" i="1"/>
  <c r="AD737" i="1"/>
  <c r="AH737" i="1"/>
  <c r="AE719" i="1"/>
  <c r="AC720" i="1"/>
  <c r="AG720" i="1"/>
  <c r="AF732" i="1"/>
  <c r="CC734" i="1"/>
  <c r="AD738" i="1"/>
  <c r="AE733" i="1"/>
  <c r="AC734" i="1"/>
  <c r="AG734" i="1"/>
  <c r="CC737" i="1"/>
  <c r="AC740" i="1"/>
  <c r="AG740" i="1"/>
  <c r="CB740" i="1"/>
  <c r="CC740" i="1"/>
  <c r="AF743" i="1"/>
  <c r="AE745" i="1"/>
  <c r="AD746" i="1"/>
  <c r="AH746" i="1"/>
  <c r="AC748" i="1"/>
  <c r="AG748" i="1"/>
  <c r="CB748" i="1"/>
  <c r="CC748" i="1"/>
  <c r="AF751" i="1"/>
  <c r="AE753" i="1"/>
  <c r="AD754" i="1"/>
  <c r="AH754" i="1"/>
  <c r="AD756" i="1"/>
  <c r="AH756" i="1"/>
  <c r="AF759" i="1"/>
  <c r="CC762" i="1"/>
  <c r="AD764" i="1"/>
  <c r="AH764" i="1"/>
  <c r="AD768" i="1"/>
  <c r="AH768" i="1"/>
  <c r="AD770" i="1"/>
  <c r="AH770" i="1"/>
  <c r="AD772" i="1"/>
  <c r="AH772" i="1"/>
  <c r="AD774" i="1"/>
  <c r="AH774" i="1"/>
  <c r="AD776" i="1"/>
  <c r="AH776" i="1"/>
  <c r="AD778" i="1"/>
  <c r="AH778" i="1"/>
  <c r="AD780" i="1"/>
  <c r="AH780" i="1"/>
  <c r="AD782" i="1"/>
  <c r="AH782" i="1"/>
  <c r="AD784" i="1"/>
  <c r="AH784" i="1"/>
  <c r="AD786" i="1"/>
  <c r="AH786" i="1"/>
  <c r="AD788" i="1"/>
  <c r="AH788" i="1"/>
  <c r="AD790" i="1"/>
  <c r="AH790" i="1"/>
  <c r="AD792" i="1"/>
  <c r="AH792" i="1"/>
  <c r="AD794" i="1"/>
  <c r="AH794" i="1"/>
  <c r="AD796" i="1"/>
  <c r="AH796" i="1"/>
  <c r="AD798" i="1"/>
  <c r="AH798" i="1"/>
  <c r="CB814" i="1"/>
  <c r="CB836" i="1"/>
  <c r="CC836" i="1"/>
  <c r="CB858" i="1"/>
  <c r="AD740" i="1"/>
  <c r="AH740" i="1"/>
  <c r="AC742" i="1"/>
  <c r="AG742" i="1"/>
  <c r="CB742" i="1"/>
  <c r="CC742" i="1"/>
  <c r="AF745" i="1"/>
  <c r="AE747" i="1"/>
  <c r="AD748" i="1"/>
  <c r="AH748" i="1"/>
  <c r="AC750" i="1"/>
  <c r="AG750" i="1"/>
  <c r="CB750" i="1"/>
  <c r="CC750" i="1"/>
  <c r="AF753" i="1"/>
  <c r="AE755" i="1"/>
  <c r="AF757" i="1"/>
  <c r="AD762" i="1"/>
  <c r="AH762" i="1"/>
  <c r="AF765" i="1"/>
  <c r="AC803" i="1"/>
  <c r="AG803" i="1"/>
  <c r="CB803" i="1"/>
  <c r="CC803" i="1"/>
  <c r="AE729" i="1"/>
  <c r="AC730" i="1"/>
  <c r="AG730" i="1"/>
  <c r="CC733" i="1"/>
  <c r="CB734" i="1"/>
  <c r="AE737" i="1"/>
  <c r="AC738" i="1"/>
  <c r="AG738" i="1"/>
  <c r="CC739" i="1"/>
  <c r="AE741" i="1"/>
  <c r="AD742" i="1"/>
  <c r="AH742" i="1"/>
  <c r="AC744" i="1"/>
  <c r="AG744" i="1"/>
  <c r="CB744" i="1"/>
  <c r="CC744" i="1"/>
  <c r="AF747" i="1"/>
  <c r="AE749" i="1"/>
  <c r="AD750" i="1"/>
  <c r="AH750" i="1"/>
  <c r="AC752" i="1"/>
  <c r="AG752" i="1"/>
  <c r="CB752" i="1"/>
  <c r="CC752" i="1"/>
  <c r="AF755" i="1"/>
  <c r="CC758" i="1"/>
  <c r="AD760" i="1"/>
  <c r="AH760" i="1"/>
  <c r="AF763" i="1"/>
  <c r="CC731" i="1"/>
  <c r="AE735" i="1"/>
  <c r="AC736" i="1"/>
  <c r="AG736" i="1"/>
  <c r="AF741" i="1"/>
  <c r="AE743" i="1"/>
  <c r="AD744" i="1"/>
  <c r="AH744" i="1"/>
  <c r="AC746" i="1"/>
  <c r="AG746" i="1"/>
  <c r="CB746" i="1"/>
  <c r="CC746" i="1"/>
  <c r="AF749" i="1"/>
  <c r="AE751" i="1"/>
  <c r="AD752" i="1"/>
  <c r="AH752" i="1"/>
  <c r="AC754" i="1"/>
  <c r="AG754" i="1"/>
  <c r="CB754" i="1"/>
  <c r="CC754" i="1"/>
  <c r="CC756" i="1"/>
  <c r="AD758" i="1"/>
  <c r="AH758" i="1"/>
  <c r="AF761" i="1"/>
  <c r="CC764" i="1"/>
  <c r="AD766" i="1"/>
  <c r="AH766" i="1"/>
  <c r="AF767" i="1"/>
  <c r="CB878" i="1"/>
  <c r="CC880" i="1"/>
  <c r="CB880" i="1"/>
  <c r="CB885" i="1"/>
  <c r="CC885" i="1"/>
  <c r="CB933" i="1"/>
  <c r="CC935" i="1"/>
  <c r="CB935" i="1"/>
  <c r="CB940" i="1"/>
  <c r="CC940" i="1"/>
  <c r="CB956" i="1"/>
  <c r="CC957" i="1"/>
  <c r="CB957" i="1"/>
  <c r="AE739" i="1"/>
  <c r="CC741" i="1"/>
  <c r="CC743" i="1"/>
  <c r="CC745" i="1"/>
  <c r="CC747" i="1"/>
  <c r="CC749" i="1"/>
  <c r="CC751" i="1"/>
  <c r="CC753" i="1"/>
  <c r="CC755" i="1"/>
  <c r="CC757" i="1"/>
  <c r="CC759" i="1"/>
  <c r="CC761" i="1"/>
  <c r="CC763" i="1"/>
  <c r="CC765" i="1"/>
  <c r="AE769" i="1"/>
  <c r="CB769" i="1"/>
  <c r="AE771" i="1"/>
  <c r="CB771" i="1"/>
  <c r="AE773" i="1"/>
  <c r="CB773" i="1"/>
  <c r="AE775" i="1"/>
  <c r="CB775" i="1"/>
  <c r="AE777" i="1"/>
  <c r="CB777" i="1"/>
  <c r="AE779" i="1"/>
  <c r="CB779" i="1"/>
  <c r="AE781" i="1"/>
  <c r="CB781" i="1"/>
  <c r="AE783" i="1"/>
  <c r="CB783" i="1"/>
  <c r="AE785" i="1"/>
  <c r="CB785" i="1"/>
  <c r="AE787" i="1"/>
  <c r="CB787" i="1"/>
  <c r="AE789" i="1"/>
  <c r="CB789" i="1"/>
  <c r="AE791" i="1"/>
  <c r="CB791" i="1"/>
  <c r="AE793" i="1"/>
  <c r="CB793" i="1"/>
  <c r="AE795" i="1"/>
  <c r="CB795" i="1"/>
  <c r="AE797" i="1"/>
  <c r="CB797" i="1"/>
  <c r="AE799" i="1"/>
  <c r="CB799" i="1"/>
  <c r="AG800" i="1"/>
  <c r="CB800" i="1"/>
  <c r="CC800" i="1"/>
  <c r="CB832" i="1"/>
  <c r="CC832" i="1"/>
  <c r="CB848" i="1"/>
  <c r="CC848" i="1"/>
  <c r="AF769" i="1"/>
  <c r="AF771" i="1"/>
  <c r="AF773" i="1"/>
  <c r="AF775" i="1"/>
  <c r="AF777" i="1"/>
  <c r="AF779" i="1"/>
  <c r="AF781" i="1"/>
  <c r="AF783" i="1"/>
  <c r="AF785" i="1"/>
  <c r="AF787" i="1"/>
  <c r="AF789" i="1"/>
  <c r="AF791" i="1"/>
  <c r="AF793" i="1"/>
  <c r="AF795" i="1"/>
  <c r="AF797" i="1"/>
  <c r="AF799" i="1"/>
  <c r="CB816" i="1"/>
  <c r="CC816" i="1"/>
  <c r="CB844" i="1"/>
  <c r="CC844" i="1"/>
  <c r="AC756" i="1"/>
  <c r="AG756" i="1"/>
  <c r="CB756" i="1"/>
  <c r="AE757" i="1"/>
  <c r="AC758" i="1"/>
  <c r="AG758" i="1"/>
  <c r="CB758" i="1"/>
  <c r="AE759" i="1"/>
  <c r="AC760" i="1"/>
  <c r="AG760" i="1"/>
  <c r="CB760" i="1"/>
  <c r="AE761" i="1"/>
  <c r="AC762" i="1"/>
  <c r="AG762" i="1"/>
  <c r="CB762" i="1"/>
  <c r="AE763" i="1"/>
  <c r="AC764" i="1"/>
  <c r="AG764" i="1"/>
  <c r="CB764" i="1"/>
  <c r="AE765" i="1"/>
  <c r="AC766" i="1"/>
  <c r="AG766" i="1"/>
  <c r="CB766" i="1"/>
  <c r="AE767" i="1"/>
  <c r="AC768" i="1"/>
  <c r="AG768" i="1"/>
  <c r="CB768" i="1"/>
  <c r="CC769" i="1"/>
  <c r="AC770" i="1"/>
  <c r="AG770" i="1"/>
  <c r="CB770" i="1"/>
  <c r="CC771" i="1"/>
  <c r="AC772" i="1"/>
  <c r="AG772" i="1"/>
  <c r="CB772" i="1"/>
  <c r="CC773" i="1"/>
  <c r="AC774" i="1"/>
  <c r="AG774" i="1"/>
  <c r="CB774" i="1"/>
  <c r="CC775" i="1"/>
  <c r="AC776" i="1"/>
  <c r="AG776" i="1"/>
  <c r="CB776" i="1"/>
  <c r="CC777" i="1"/>
  <c r="AC778" i="1"/>
  <c r="AG778" i="1"/>
  <c r="CB778" i="1"/>
  <c r="CC779" i="1"/>
  <c r="AC780" i="1"/>
  <c r="AG780" i="1"/>
  <c r="CB780" i="1"/>
  <c r="CC781" i="1"/>
  <c r="AC782" i="1"/>
  <c r="AG782" i="1"/>
  <c r="CB782" i="1"/>
  <c r="CC783" i="1"/>
  <c r="AC784" i="1"/>
  <c r="AG784" i="1"/>
  <c r="CB784" i="1"/>
  <c r="CC785" i="1"/>
  <c r="AC786" i="1"/>
  <c r="AG786" i="1"/>
  <c r="CB786" i="1"/>
  <c r="CC787" i="1"/>
  <c r="AC788" i="1"/>
  <c r="AG788" i="1"/>
  <c r="CB788" i="1"/>
  <c r="CC789" i="1"/>
  <c r="AC790" i="1"/>
  <c r="AG790" i="1"/>
  <c r="CB790" i="1"/>
  <c r="CC791" i="1"/>
  <c r="AC792" i="1"/>
  <c r="AG792" i="1"/>
  <c r="CB792" i="1"/>
  <c r="CC793" i="1"/>
  <c r="AC794" i="1"/>
  <c r="AG794" i="1"/>
  <c r="CB794" i="1"/>
  <c r="CC795" i="1"/>
  <c r="AC796" i="1"/>
  <c r="AG796" i="1"/>
  <c r="CB796" i="1"/>
  <c r="CC797" i="1"/>
  <c r="AC798" i="1"/>
  <c r="AG798" i="1"/>
  <c r="CB798" i="1"/>
  <c r="CC799" i="1"/>
  <c r="CB806" i="1"/>
  <c r="CC808" i="1"/>
  <c r="CB808" i="1"/>
  <c r="CB830" i="1"/>
  <c r="CB840" i="1"/>
  <c r="CC840" i="1"/>
  <c r="CC961" i="1"/>
  <c r="CB961" i="1"/>
  <c r="CB966" i="1"/>
  <c r="CC966" i="1"/>
  <c r="AD800" i="1"/>
  <c r="AH800" i="1"/>
  <c r="CB802" i="1"/>
  <c r="CB805" i="1"/>
  <c r="CC821" i="1"/>
  <c r="CC853" i="1"/>
  <c r="CB870" i="1"/>
  <c r="CC872" i="1"/>
  <c r="CB872" i="1"/>
  <c r="CB877" i="1"/>
  <c r="CC877" i="1"/>
  <c r="CB902" i="1"/>
  <c r="AF801" i="1"/>
  <c r="AD802" i="1"/>
  <c r="AH802" i="1"/>
  <c r="CC806" i="1"/>
  <c r="CC814" i="1"/>
  <c r="CC817" i="1"/>
  <c r="CC830" i="1"/>
  <c r="CB834" i="1"/>
  <c r="CB838" i="1"/>
  <c r="CB842" i="1"/>
  <c r="CB846" i="1"/>
  <c r="CC860" i="1"/>
  <c r="CB860" i="1"/>
  <c r="CB862" i="1"/>
  <c r="CC864" i="1"/>
  <c r="CB864" i="1"/>
  <c r="CB869" i="1"/>
  <c r="CC869" i="1"/>
  <c r="CB894" i="1"/>
  <c r="CC896" i="1"/>
  <c r="CB896" i="1"/>
  <c r="CB901" i="1"/>
  <c r="CC901" i="1"/>
  <c r="AF803" i="1"/>
  <c r="CC810" i="1"/>
  <c r="CC812" i="1"/>
  <c r="CC813" i="1"/>
  <c r="CB820" i="1"/>
  <c r="CC826" i="1"/>
  <c r="CC828" i="1"/>
  <c r="CC829" i="1"/>
  <c r="CB861" i="1"/>
  <c r="CC861" i="1"/>
  <c r="CC874" i="1"/>
  <c r="CB886" i="1"/>
  <c r="CC888" i="1"/>
  <c r="CB888" i="1"/>
  <c r="CB893" i="1"/>
  <c r="CC893" i="1"/>
  <c r="CC912" i="1"/>
  <c r="CB917" i="1"/>
  <c r="CC919" i="1"/>
  <c r="CB919" i="1"/>
  <c r="CB922" i="1"/>
  <c r="CC923" i="1"/>
  <c r="CB923" i="1"/>
  <c r="CC927" i="1"/>
  <c r="CB927" i="1"/>
  <c r="CB932" i="1"/>
  <c r="CC932" i="1"/>
  <c r="CB809" i="1"/>
  <c r="CB813" i="1"/>
  <c r="CB817" i="1"/>
  <c r="CB821" i="1"/>
  <c r="CB825" i="1"/>
  <c r="CB829" i="1"/>
  <c r="CB833" i="1"/>
  <c r="CB837" i="1"/>
  <c r="CB841" i="1"/>
  <c r="CB845" i="1"/>
  <c r="CB853" i="1"/>
  <c r="CC858" i="1"/>
  <c r="CB859" i="1"/>
  <c r="CC862" i="1"/>
  <c r="CB865" i="1"/>
  <c r="CC870" i="1"/>
  <c r="CB873" i="1"/>
  <c r="CC878" i="1"/>
  <c r="CB881" i="1"/>
  <c r="CC886" i="1"/>
  <c r="CB889" i="1"/>
  <c r="CC894" i="1"/>
  <c r="CB897" i="1"/>
  <c r="CC902" i="1"/>
  <c r="CC909" i="1"/>
  <c r="CB920" i="1"/>
  <c r="CC920" i="1"/>
  <c r="CC937" i="1"/>
  <c r="CB849" i="1"/>
  <c r="CC854" i="1"/>
  <c r="CC867" i="1"/>
  <c r="CC875" i="1"/>
  <c r="CC883" i="1"/>
  <c r="CC891" i="1"/>
  <c r="CC899" i="1"/>
  <c r="CC905" i="1"/>
  <c r="CC906" i="1"/>
  <c r="CB907" i="1"/>
  <c r="CC908" i="1"/>
  <c r="CC922" i="1"/>
  <c r="CC929" i="1"/>
  <c r="CB941" i="1"/>
  <c r="CC943" i="1"/>
  <c r="CB943" i="1"/>
  <c r="CB950" i="1"/>
  <c r="CB916" i="1"/>
  <c r="CC921" i="1"/>
  <c r="CB946" i="1"/>
  <c r="CB983" i="1"/>
  <c r="CB912" i="1"/>
  <c r="CC917" i="1"/>
  <c r="CC933" i="1"/>
  <c r="CC941" i="1"/>
  <c r="CC950" i="1"/>
  <c r="CC956" i="1"/>
  <c r="CB975" i="1"/>
  <c r="CC977" i="1"/>
  <c r="CB977" i="1"/>
  <c r="CB982" i="1"/>
  <c r="CC982" i="1"/>
  <c r="CC913" i="1"/>
  <c r="CB924" i="1"/>
  <c r="CC930" i="1"/>
  <c r="CC938" i="1"/>
  <c r="CC946" i="1"/>
  <c r="CC952" i="1"/>
  <c r="CC953" i="1"/>
  <c r="CB954" i="1"/>
  <c r="CC959" i="1"/>
  <c r="CB967" i="1"/>
  <c r="CC969" i="1"/>
  <c r="CB969" i="1"/>
  <c r="CB974" i="1"/>
  <c r="CC974" i="1"/>
  <c r="CC955" i="1"/>
  <c r="CC967" i="1"/>
  <c r="CC975" i="1"/>
  <c r="CC983" i="1"/>
  <c r="CB958" i="1"/>
  <c r="CC964" i="1"/>
  <c r="CC972" i="1"/>
  <c r="CC980" i="1"/>
  <c r="G411" i="1" l="1"/>
  <c r="G340" i="1"/>
  <c r="G365" i="1"/>
  <c r="G168" i="1"/>
  <c r="G149" i="1"/>
  <c r="G140" i="1"/>
  <c r="G132" i="1"/>
  <c r="G124" i="1"/>
  <c r="G596" i="1"/>
  <c r="G588" i="1"/>
  <c r="G580" i="1"/>
  <c r="G572" i="1"/>
  <c r="G564" i="1"/>
  <c r="G556" i="1"/>
  <c r="G546" i="1"/>
  <c r="G532" i="1"/>
  <c r="G524" i="1"/>
  <c r="G512" i="1"/>
  <c r="G330" i="1"/>
  <c r="G407" i="1"/>
  <c r="G395" i="1"/>
  <c r="G371" i="1"/>
  <c r="G248" i="1"/>
  <c r="G240" i="1"/>
  <c r="G225" i="1"/>
  <c r="G209" i="1"/>
  <c r="G158" i="1"/>
  <c r="G146" i="1"/>
  <c r="G130" i="1"/>
  <c r="G122" i="1"/>
  <c r="G114" i="1"/>
  <c r="G106" i="1"/>
  <c r="G90" i="1"/>
  <c r="G730" i="1"/>
  <c r="G720" i="1"/>
  <c r="G705" i="1"/>
  <c r="G681" i="1"/>
  <c r="G673" i="1"/>
  <c r="G653" i="1"/>
  <c r="G646" i="1"/>
  <c r="G612" i="1"/>
  <c r="G503" i="1"/>
  <c r="G534" i="1"/>
  <c r="G518" i="1"/>
  <c r="G548" i="1"/>
  <c r="G501" i="1"/>
  <c r="G461" i="1"/>
  <c r="G452" i="1"/>
  <c r="G444" i="1"/>
  <c r="G436" i="1"/>
  <c r="G346" i="1"/>
  <c r="G338" i="1"/>
  <c r="G432" i="1"/>
  <c r="G416" i="1"/>
  <c r="G420" i="1"/>
  <c r="G403" i="1"/>
  <c r="G399" i="1"/>
  <c r="G391" i="1"/>
  <c r="G387" i="1"/>
  <c r="G383" i="1"/>
  <c r="G379" i="1"/>
  <c r="G375" i="1"/>
  <c r="G367" i="1"/>
  <c r="G288" i="1"/>
  <c r="G275" i="1"/>
  <c r="G267" i="1"/>
  <c r="G233" i="1"/>
  <c r="G217" i="1"/>
  <c r="G312" i="1"/>
  <c r="G292" i="1"/>
  <c r="G256" i="1"/>
  <c r="G222" i="1"/>
  <c r="G206" i="1"/>
  <c r="G166" i="1"/>
  <c r="G138" i="1"/>
  <c r="G98" i="1"/>
  <c r="G182" i="1"/>
  <c r="G86" i="1"/>
  <c r="G14" i="1"/>
  <c r="G9" i="1"/>
  <c r="G25" i="1"/>
  <c r="G22" i="1"/>
  <c r="G31" i="1"/>
  <c r="G37" i="1"/>
  <c r="G32" i="1"/>
  <c r="G746" i="1"/>
  <c r="G709" i="1"/>
  <c r="G542" i="1"/>
  <c r="G530" i="1"/>
  <c r="G514" i="1"/>
  <c r="G544" i="1"/>
  <c r="G488" i="1"/>
  <c r="G434" i="1"/>
  <c r="G352" i="1"/>
  <c r="G336" i="1"/>
  <c r="G328" i="1"/>
  <c r="G413" i="1"/>
  <c r="G363" i="1"/>
  <c r="G359" i="1"/>
  <c r="G281" i="1"/>
  <c r="G273" i="1"/>
  <c r="G265" i="1"/>
  <c r="G226" i="1"/>
  <c r="G210" i="1"/>
  <c r="G200" i="1"/>
  <c r="G164" i="1"/>
  <c r="G156" i="1"/>
  <c r="G144" i="1"/>
  <c r="G136" i="1"/>
  <c r="G128" i="1"/>
  <c r="G120" i="1"/>
  <c r="G112" i="1"/>
  <c r="G104" i="1"/>
  <c r="G96" i="1"/>
  <c r="G88" i="1"/>
  <c r="G152" i="1"/>
  <c r="G91" i="1"/>
  <c r="G93" i="1"/>
  <c r="G101" i="1"/>
  <c r="G105" i="1"/>
  <c r="G107" i="1"/>
  <c r="G113" i="1"/>
  <c r="G115" i="1"/>
  <c r="G121" i="1"/>
  <c r="G123" i="1"/>
  <c r="G129" i="1"/>
  <c r="G131" i="1"/>
  <c r="G137" i="1"/>
  <c r="G161" i="1"/>
  <c r="G754" i="1"/>
  <c r="G732" i="1"/>
  <c r="G655" i="1"/>
  <c r="G758" i="1"/>
  <c r="G600" i="1"/>
  <c r="G592" i="1"/>
  <c r="G584" i="1"/>
  <c r="G576" i="1"/>
  <c r="G568" i="1"/>
  <c r="G560" i="1"/>
  <c r="G448" i="1"/>
  <c r="G326" i="1"/>
  <c r="G401" i="1"/>
  <c r="G393" i="1"/>
  <c r="G385" i="1"/>
  <c r="G369" i="1"/>
  <c r="G271" i="1"/>
  <c r="G263" i="1"/>
  <c r="G252" i="1"/>
  <c r="G244" i="1"/>
  <c r="G236" i="1"/>
  <c r="G229" i="1"/>
  <c r="G221" i="1"/>
  <c r="G213" i="1"/>
  <c r="G205" i="1"/>
  <c r="G170" i="1"/>
  <c r="G162" i="1"/>
  <c r="G154" i="1"/>
  <c r="G134" i="1"/>
  <c r="G126" i="1"/>
  <c r="G118" i="1"/>
  <c r="G110" i="1"/>
  <c r="G102" i="1"/>
  <c r="G26" i="1"/>
  <c r="G10" i="1"/>
  <c r="G711" i="1"/>
  <c r="G695" i="1"/>
  <c r="G687" i="1"/>
  <c r="G430" i="1"/>
  <c r="G422" i="1"/>
  <c r="G177" i="1"/>
  <c r="G187" i="1"/>
  <c r="G151" i="1"/>
  <c r="G153" i="1"/>
  <c r="G260" i="1"/>
  <c r="G262" i="1"/>
  <c r="G264" i="1"/>
  <c r="G266" i="1"/>
  <c r="G268" i="1"/>
  <c r="G270" i="1"/>
  <c r="G272" i="1"/>
  <c r="G274" i="1"/>
  <c r="G276" i="1"/>
  <c r="G278" i="1"/>
  <c r="G280" i="1"/>
  <c r="G282" i="1"/>
  <c r="G212" i="1"/>
  <c r="G228" i="1"/>
  <c r="G323" i="1"/>
  <c r="G207" i="1"/>
  <c r="G223" i="1"/>
  <c r="G415" i="1"/>
  <c r="G470" i="1"/>
  <c r="G435" i="1"/>
  <c r="G437" i="1"/>
  <c r="G439" i="1"/>
  <c r="G441" i="1"/>
  <c r="G443" i="1"/>
  <c r="G445" i="1"/>
  <c r="G447" i="1"/>
  <c r="G449" i="1"/>
  <c r="G451" i="1"/>
  <c r="G453" i="1"/>
  <c r="G477" i="1"/>
  <c r="G487" i="1"/>
  <c r="G495" i="1"/>
  <c r="G537" i="1"/>
  <c r="G545" i="1"/>
  <c r="G617" i="1"/>
  <c r="G615" i="1"/>
  <c r="G662" i="1"/>
  <c r="G670" i="1"/>
  <c r="G674" i="1"/>
  <c r="G678" i="1"/>
  <c r="G682" i="1"/>
  <c r="G692" i="1"/>
  <c r="G700" i="1"/>
  <c r="G708" i="1"/>
  <c r="G716" i="1"/>
  <c r="G719" i="1"/>
  <c r="G725" i="1"/>
  <c r="G735" i="1"/>
  <c r="G731" i="1"/>
  <c r="G729" i="1"/>
  <c r="G741" i="1"/>
  <c r="G745" i="1"/>
  <c r="G749" i="1"/>
  <c r="G753" i="1"/>
  <c r="G757" i="1"/>
  <c r="G761" i="1"/>
  <c r="G765" i="1"/>
  <c r="G769" i="1"/>
  <c r="G777" i="1"/>
  <c r="G785" i="1"/>
  <c r="G793" i="1"/>
  <c r="G43" i="1"/>
  <c r="G20" i="1"/>
  <c r="G84" i="1"/>
  <c r="G40" i="1"/>
  <c r="G21" i="1"/>
  <c r="G77" i="1"/>
  <c r="G61" i="1"/>
  <c r="G715" i="1"/>
  <c r="G752" i="1"/>
  <c r="G744" i="1"/>
  <c r="G803" i="1"/>
  <c r="G724" i="1"/>
  <c r="G718" i="1"/>
  <c r="G713" i="1"/>
  <c r="G683" i="1"/>
  <c r="G675" i="1"/>
  <c r="G665" i="1"/>
  <c r="G657" i="1"/>
  <c r="G667" i="1"/>
  <c r="G659" i="1"/>
  <c r="G689" i="1"/>
  <c r="G663" i="1"/>
  <c r="G642" i="1"/>
  <c r="G640" i="1"/>
  <c r="G638" i="1"/>
  <c r="G636" i="1"/>
  <c r="G634" i="1"/>
  <c r="G632" i="1"/>
  <c r="G630" i="1"/>
  <c r="G628" i="1"/>
  <c r="G626" i="1"/>
  <c r="G624" i="1"/>
  <c r="G622" i="1"/>
  <c r="G620" i="1"/>
  <c r="G614" i="1"/>
  <c r="G606" i="1"/>
  <c r="G602" i="1"/>
  <c r="G594" i="1"/>
  <c r="G586" i="1"/>
  <c r="G578" i="1"/>
  <c r="G570" i="1"/>
  <c r="G562" i="1"/>
  <c r="G554" i="1"/>
  <c r="G497" i="1"/>
  <c r="G516" i="1"/>
  <c r="G499" i="1"/>
  <c r="G494" i="1"/>
  <c r="G469" i="1"/>
  <c r="G459" i="1"/>
  <c r="G490" i="1"/>
  <c r="G482" i="1"/>
  <c r="G450" i="1"/>
  <c r="G442" i="1"/>
  <c r="G344" i="1"/>
  <c r="G428" i="1"/>
  <c r="G314" i="1"/>
  <c r="G306" i="1"/>
  <c r="G298" i="1"/>
  <c r="G296" i="1"/>
  <c r="G286" i="1"/>
  <c r="G246" i="1"/>
  <c r="G238" i="1"/>
  <c r="G308" i="1"/>
  <c r="G284" i="1"/>
  <c r="G254" i="1"/>
  <c r="G192" i="1"/>
  <c r="G198" i="1"/>
  <c r="G175" i="1"/>
  <c r="G186" i="1"/>
  <c r="G41" i="1"/>
  <c r="G5" i="1"/>
  <c r="G89" i="1"/>
  <c r="G95" i="1"/>
  <c r="G97" i="1"/>
  <c r="G103" i="1"/>
  <c r="G109" i="1"/>
  <c r="G111" i="1"/>
  <c r="G117" i="1"/>
  <c r="G119" i="1"/>
  <c r="G125" i="1"/>
  <c r="G127" i="1"/>
  <c r="G133" i="1"/>
  <c r="G135" i="1"/>
  <c r="G141" i="1"/>
  <c r="G143" i="1"/>
  <c r="G145" i="1"/>
  <c r="G147" i="1"/>
  <c r="G155" i="1"/>
  <c r="G157" i="1"/>
  <c r="G159" i="1"/>
  <c r="G163" i="1"/>
  <c r="G165" i="1"/>
  <c r="G167" i="1"/>
  <c r="G171" i="1"/>
  <c r="G179" i="1"/>
  <c r="G199" i="1"/>
  <c r="G197" i="1"/>
  <c r="G174" i="1"/>
  <c r="G191" i="1"/>
  <c r="G295" i="1"/>
  <c r="G289" i="1"/>
  <c r="G297" i="1"/>
  <c r="G301" i="1"/>
  <c r="G305" i="1"/>
  <c r="G309" i="1"/>
  <c r="G313" i="1"/>
  <c r="G317" i="1"/>
  <c r="G321" i="1"/>
  <c r="G201" i="1"/>
  <c r="G208" i="1"/>
  <c r="G224" i="1"/>
  <c r="G283" i="1"/>
  <c r="G291" i="1"/>
  <c r="G203" i="1"/>
  <c r="G219" i="1"/>
  <c r="G235" i="1"/>
  <c r="G237" i="1"/>
  <c r="G239" i="1"/>
  <c r="G241" i="1"/>
  <c r="G243" i="1"/>
  <c r="G245" i="1"/>
  <c r="G247" i="1"/>
  <c r="G249" i="1"/>
  <c r="G251" i="1"/>
  <c r="G253" i="1"/>
  <c r="G285" i="1"/>
  <c r="G299" i="1"/>
  <c r="G303" i="1"/>
  <c r="G307" i="1"/>
  <c r="G311" i="1"/>
  <c r="G315" i="1"/>
  <c r="G319" i="1"/>
  <c r="G325" i="1"/>
  <c r="G327" i="1"/>
  <c r="G329" i="1"/>
  <c r="G331" i="1"/>
  <c r="G333" i="1"/>
  <c r="G335" i="1"/>
  <c r="G337" i="1"/>
  <c r="G339" i="1"/>
  <c r="G341" i="1"/>
  <c r="G343" i="1"/>
  <c r="G345" i="1"/>
  <c r="G347" i="1"/>
  <c r="G349" i="1"/>
  <c r="G351" i="1"/>
  <c r="G353" i="1"/>
  <c r="G423" i="1"/>
  <c r="G427" i="1"/>
  <c r="G431" i="1"/>
  <c r="G421" i="1"/>
  <c r="G425" i="1"/>
  <c r="G429" i="1"/>
  <c r="G433" i="1"/>
  <c r="G489" i="1"/>
  <c r="G472" i="1"/>
  <c r="G480" i="1"/>
  <c r="G471" i="1"/>
  <c r="G485" i="1"/>
  <c r="G493" i="1"/>
  <c r="G496" i="1"/>
  <c r="G498" i="1"/>
  <c r="G502" i="1"/>
  <c r="G507" i="1"/>
  <c r="G511" i="1"/>
  <c r="G515" i="1"/>
  <c r="G519" i="1"/>
  <c r="G523" i="1"/>
  <c r="G527" i="1"/>
  <c r="G531" i="1"/>
  <c r="G535" i="1"/>
  <c r="G543" i="1"/>
  <c r="G551" i="1"/>
  <c r="G605" i="1"/>
  <c r="G619" i="1"/>
  <c r="G623" i="1"/>
  <c r="G627" i="1"/>
  <c r="G631" i="1"/>
  <c r="G635" i="1"/>
  <c r="G639" i="1"/>
  <c r="G643" i="1"/>
  <c r="G609" i="1"/>
  <c r="G656" i="1"/>
  <c r="G654" i="1"/>
  <c r="G668" i="1"/>
  <c r="G651" i="1"/>
  <c r="G658" i="1"/>
  <c r="G690" i="1"/>
  <c r="G698" i="1"/>
  <c r="G706" i="1"/>
  <c r="G714" i="1"/>
  <c r="G771" i="1"/>
  <c r="G779" i="1"/>
  <c r="G787" i="1"/>
  <c r="G795" i="1"/>
  <c r="G801" i="1"/>
  <c r="G83" i="1"/>
  <c r="G79" i="1"/>
  <c r="G75" i="1"/>
  <c r="G71" i="1"/>
  <c r="G67" i="1"/>
  <c r="G63" i="1"/>
  <c r="G59" i="1"/>
  <c r="G55" i="1"/>
  <c r="G51" i="1"/>
  <c r="G47" i="1"/>
  <c r="G15" i="1"/>
  <c r="G18" i="1"/>
  <c r="G45" i="1"/>
  <c r="G38" i="1"/>
  <c r="G17" i="1"/>
  <c r="G87" i="1"/>
  <c r="G81" i="1"/>
  <c r="G65" i="1"/>
  <c r="G49" i="1"/>
  <c r="G33" i="1"/>
  <c r="G736" i="1"/>
  <c r="G734" i="1"/>
  <c r="G726" i="1"/>
  <c r="G677" i="1"/>
  <c r="G669" i="1"/>
  <c r="G699" i="1"/>
  <c r="G717" i="1"/>
  <c r="G701" i="1"/>
  <c r="G703" i="1"/>
  <c r="G691" i="1"/>
  <c r="G650" i="1"/>
  <c r="G644" i="1"/>
  <c r="G616" i="1"/>
  <c r="G618" i="1"/>
  <c r="G538" i="1"/>
  <c r="G526" i="1"/>
  <c r="G510" i="1"/>
  <c r="G540" i="1"/>
  <c r="G528" i="1"/>
  <c r="G520" i="1"/>
  <c r="G484" i="1"/>
  <c r="G508" i="1"/>
  <c r="G486" i="1"/>
  <c r="G492" i="1"/>
  <c r="G465" i="1"/>
  <c r="G457" i="1"/>
  <c r="G483" i="1"/>
  <c r="G474" i="1"/>
  <c r="G440" i="1"/>
  <c r="G418" i="1"/>
  <c r="G350" i="1"/>
  <c r="G342" i="1"/>
  <c r="G334" i="1"/>
  <c r="G424" i="1"/>
  <c r="G426" i="1"/>
  <c r="G405" i="1"/>
  <c r="G397" i="1"/>
  <c r="G389" i="1"/>
  <c r="G381" i="1"/>
  <c r="G377" i="1"/>
  <c r="G373" i="1"/>
  <c r="G290" i="1"/>
  <c r="G279" i="1"/>
  <c r="G294" i="1"/>
  <c r="G320" i="1"/>
  <c r="G304" i="1"/>
  <c r="G230" i="1"/>
  <c r="G214" i="1"/>
  <c r="G142" i="1"/>
  <c r="G94" i="1"/>
  <c r="G194" i="1"/>
  <c r="G80" i="1"/>
  <c r="G76" i="1"/>
  <c r="G72" i="1"/>
  <c r="G68" i="1"/>
  <c r="G64" i="1"/>
  <c r="G60" i="1"/>
  <c r="G56" i="1"/>
  <c r="G52" i="1"/>
  <c r="G48" i="1"/>
  <c r="G44" i="1"/>
  <c r="G29" i="1"/>
  <c r="G24" i="1"/>
  <c r="G193" i="1"/>
  <c r="G189" i="1"/>
  <c r="G183" i="1"/>
  <c r="G204" i="1"/>
  <c r="G220" i="1"/>
  <c r="G255" i="1"/>
  <c r="G257" i="1"/>
  <c r="G259" i="1"/>
  <c r="G215" i="1"/>
  <c r="G231" i="1"/>
  <c r="G293" i="1"/>
  <c r="G354" i="1"/>
  <c r="G356" i="1"/>
  <c r="G358" i="1"/>
  <c r="G360" i="1"/>
  <c r="G362" i="1"/>
  <c r="G364" i="1"/>
  <c r="G366" i="1"/>
  <c r="G368" i="1"/>
  <c r="G370" i="1"/>
  <c r="G372" i="1"/>
  <c r="G374" i="1"/>
  <c r="G376" i="1"/>
  <c r="G378" i="1"/>
  <c r="G380" i="1"/>
  <c r="G382" i="1"/>
  <c r="G384" i="1"/>
  <c r="G386" i="1"/>
  <c r="G388" i="1"/>
  <c r="G390" i="1"/>
  <c r="G392" i="1"/>
  <c r="G394" i="1"/>
  <c r="G396" i="1"/>
  <c r="G398" i="1"/>
  <c r="G400" i="1"/>
  <c r="G402" i="1"/>
  <c r="G404" i="1"/>
  <c r="G406" i="1"/>
  <c r="G408" i="1"/>
  <c r="G410" i="1"/>
  <c r="G412" i="1"/>
  <c r="G414" i="1"/>
  <c r="G466" i="1"/>
  <c r="G473" i="1"/>
  <c r="G481" i="1"/>
  <c r="G478" i="1"/>
  <c r="G454" i="1"/>
  <c r="G456" i="1"/>
  <c r="G458" i="1"/>
  <c r="G460" i="1"/>
  <c r="G462" i="1"/>
  <c r="G464" i="1"/>
  <c r="G505" i="1"/>
  <c r="G509" i="1"/>
  <c r="G513" i="1"/>
  <c r="G517" i="1"/>
  <c r="G521" i="1"/>
  <c r="G525" i="1"/>
  <c r="G529" i="1"/>
  <c r="G533" i="1"/>
  <c r="G541" i="1"/>
  <c r="G549" i="1"/>
  <c r="G613" i="1"/>
  <c r="G611" i="1"/>
  <c r="G645" i="1"/>
  <c r="G555" i="1"/>
  <c r="G557" i="1"/>
  <c r="G559" i="1"/>
  <c r="G561" i="1"/>
  <c r="G563" i="1"/>
  <c r="G565" i="1"/>
  <c r="G567" i="1"/>
  <c r="G569" i="1"/>
  <c r="G571" i="1"/>
  <c r="G573" i="1"/>
  <c r="G575" i="1"/>
  <c r="G577" i="1"/>
  <c r="G579" i="1"/>
  <c r="G581" i="1"/>
  <c r="G583" i="1"/>
  <c r="G585" i="1"/>
  <c r="G587" i="1"/>
  <c r="G589" i="1"/>
  <c r="G591" i="1"/>
  <c r="G593" i="1"/>
  <c r="G595" i="1"/>
  <c r="G597" i="1"/>
  <c r="G599" i="1"/>
  <c r="G601" i="1"/>
  <c r="G607" i="1"/>
  <c r="G664" i="1"/>
  <c r="G672" i="1"/>
  <c r="G676" i="1"/>
  <c r="G680" i="1"/>
  <c r="G684" i="1"/>
  <c r="G660" i="1"/>
  <c r="G649" i="1"/>
  <c r="G666" i="1"/>
  <c r="G688" i="1"/>
  <c r="G696" i="1"/>
  <c r="G704" i="1"/>
  <c r="G712" i="1"/>
  <c r="G723" i="1"/>
  <c r="G727" i="1"/>
  <c r="G800" i="1"/>
  <c r="G743" i="1"/>
  <c r="G747" i="1"/>
  <c r="G751" i="1"/>
  <c r="G755" i="1"/>
  <c r="G759" i="1"/>
  <c r="G763" i="1"/>
  <c r="G767" i="1"/>
  <c r="G773" i="1"/>
  <c r="G781" i="1"/>
  <c r="G789" i="1"/>
  <c r="G797" i="1"/>
  <c r="G802" i="1"/>
  <c r="G36" i="1"/>
  <c r="G11" i="1"/>
  <c r="G27" i="1"/>
  <c r="G12" i="1"/>
  <c r="G7" i="1"/>
  <c r="G4" i="1"/>
  <c r="G28" i="1"/>
  <c r="G69" i="1"/>
  <c r="G53" i="1"/>
  <c r="G30" i="1"/>
  <c r="G798" i="1"/>
  <c r="G796" i="1"/>
  <c r="G794" i="1"/>
  <c r="G792" i="1"/>
  <c r="G790" i="1"/>
  <c r="G788" i="1"/>
  <c r="G786" i="1"/>
  <c r="G784" i="1"/>
  <c r="G782" i="1"/>
  <c r="G780" i="1"/>
  <c r="G778" i="1"/>
  <c r="G776" i="1"/>
  <c r="G774" i="1"/>
  <c r="G772" i="1"/>
  <c r="G770" i="1"/>
  <c r="G768" i="1"/>
  <c r="G766" i="1"/>
  <c r="G764" i="1"/>
  <c r="G762" i="1"/>
  <c r="G760" i="1"/>
  <c r="G756" i="1"/>
  <c r="G738" i="1"/>
  <c r="G750" i="1"/>
  <c r="G742" i="1"/>
  <c r="G748" i="1"/>
  <c r="G740" i="1"/>
  <c r="G722" i="1"/>
  <c r="G728" i="1"/>
  <c r="G697" i="1"/>
  <c r="G679" i="1"/>
  <c r="G671" i="1"/>
  <c r="G707" i="1"/>
  <c r="G661" i="1"/>
  <c r="G693" i="1"/>
  <c r="G685" i="1"/>
  <c r="G608" i="1"/>
  <c r="G610" i="1"/>
  <c r="G598" i="1"/>
  <c r="G590" i="1"/>
  <c r="G582" i="1"/>
  <c r="G574" i="1"/>
  <c r="G566" i="1"/>
  <c r="G558" i="1"/>
  <c r="G648" i="1"/>
  <c r="G604" i="1"/>
  <c r="G550" i="1"/>
  <c r="G522" i="1"/>
  <c r="G506" i="1"/>
  <c r="G552" i="1"/>
  <c r="G536" i="1"/>
  <c r="G504" i="1"/>
  <c r="G467" i="1"/>
  <c r="G463" i="1"/>
  <c r="G455" i="1"/>
  <c r="G475" i="1"/>
  <c r="G446" i="1"/>
  <c r="G438" i="1"/>
  <c r="G348" i="1"/>
  <c r="G332" i="1"/>
  <c r="G324" i="1"/>
  <c r="G409" i="1"/>
  <c r="G361" i="1"/>
  <c r="G357" i="1"/>
  <c r="G322" i="1"/>
  <c r="G318" i="1"/>
  <c r="G310" i="1"/>
  <c r="G302" i="1"/>
  <c r="G269" i="1"/>
  <c r="G250" i="1"/>
  <c r="G242" i="1"/>
  <c r="G316" i="1"/>
  <c r="G300" i="1"/>
  <c r="G258" i="1"/>
  <c r="G234" i="1"/>
  <c r="G218" i="1"/>
  <c r="G202" i="1"/>
  <c r="G184" i="1"/>
  <c r="G116" i="1"/>
  <c r="G108" i="1"/>
  <c r="G100" i="1"/>
  <c r="G92" i="1"/>
  <c r="G190" i="1"/>
  <c r="G196" i="1"/>
  <c r="G188" i="1"/>
  <c r="G180" i="1"/>
  <c r="G173" i="1"/>
  <c r="G178" i="1"/>
  <c r="G19" i="1"/>
  <c r="G8" i="1"/>
  <c r="G6" i="1"/>
  <c r="G185" i="1"/>
  <c r="G195" i="1"/>
  <c r="G148" i="1"/>
  <c r="G181" i="1"/>
  <c r="G172" i="1"/>
  <c r="G176" i="1"/>
  <c r="G287" i="1"/>
  <c r="G216" i="1"/>
  <c r="G232" i="1"/>
  <c r="G211" i="1"/>
  <c r="G227" i="1"/>
  <c r="G417" i="1"/>
  <c r="G419" i="1"/>
  <c r="G468" i="1"/>
  <c r="G491" i="1"/>
  <c r="G479" i="1"/>
  <c r="G476" i="1"/>
  <c r="G500" i="1"/>
  <c r="G539" i="1"/>
  <c r="G547" i="1"/>
  <c r="G553" i="1"/>
  <c r="G621" i="1"/>
  <c r="G625" i="1"/>
  <c r="G629" i="1"/>
  <c r="G633" i="1"/>
  <c r="G637" i="1"/>
  <c r="G641" i="1"/>
  <c r="G603" i="1"/>
  <c r="G652" i="1"/>
  <c r="G647" i="1"/>
  <c r="G686" i="1"/>
  <c r="G694" i="1"/>
  <c r="G702" i="1"/>
  <c r="G710" i="1"/>
  <c r="G733" i="1"/>
  <c r="G721" i="1"/>
  <c r="G739" i="1"/>
  <c r="G737" i="1"/>
  <c r="G775" i="1"/>
  <c r="G783" i="1"/>
  <c r="G791" i="1"/>
  <c r="G799" i="1"/>
  <c r="G85" i="1"/>
  <c r="G42" i="1"/>
  <c r="G39" i="1"/>
  <c r="G82" i="1"/>
  <c r="G78" i="1"/>
  <c r="G74" i="1"/>
  <c r="G70" i="1"/>
  <c r="G66" i="1"/>
  <c r="G62" i="1"/>
  <c r="G58" i="1"/>
  <c r="G54" i="1"/>
  <c r="G50" i="1"/>
  <c r="G46" i="1"/>
  <c r="G34" i="1"/>
  <c r="G16" i="1"/>
  <c r="G23" i="1"/>
  <c r="G13" i="1"/>
  <c r="G73" i="1"/>
  <c r="G57" i="1"/>
</calcChain>
</file>

<file path=xl/sharedStrings.xml><?xml version="1.0" encoding="utf-8"?>
<sst xmlns="http://schemas.openxmlformats.org/spreadsheetml/2006/main" count="11002" uniqueCount="321">
  <si>
    <t>id</t>
  </si>
  <si>
    <r>
      <rPr>
        <sz val="11"/>
        <color indexed="8"/>
        <rFont val="宋体"/>
        <family val="3"/>
        <charset val="134"/>
      </rPr>
      <t>r</t>
    </r>
    <r>
      <rPr>
        <sz val="11"/>
        <color indexed="8"/>
        <rFont val="宋体"/>
        <family val="3"/>
        <charset val="134"/>
      </rPr>
      <t>eq_level</t>
    </r>
  </si>
  <si>
    <t>map_id</t>
  </si>
  <si>
    <t>reference_power</t>
  </si>
  <si>
    <r>
      <rPr>
        <sz val="11"/>
        <color indexed="8"/>
        <rFont val="宋体"/>
        <family val="3"/>
        <charset val="134"/>
      </rPr>
      <t>b</t>
    </r>
    <r>
      <rPr>
        <sz val="11"/>
        <color indexed="8"/>
        <rFont val="宋体"/>
        <family val="3"/>
        <charset val="134"/>
      </rPr>
      <t>oss_id</t>
    </r>
  </si>
  <si>
    <t>boss_star</t>
  </si>
  <si>
    <t>boss_level</t>
  </si>
  <si>
    <r>
      <rPr>
        <sz val="11"/>
        <color indexed="8"/>
        <rFont val="宋体"/>
        <family val="3"/>
        <charset val="134"/>
      </rPr>
      <t>bat</t>
    </r>
    <r>
      <rPr>
        <sz val="11"/>
        <color indexed="8"/>
        <rFont val="宋体"/>
        <family val="3"/>
        <charset val="134"/>
      </rPr>
      <t>tle_level</t>
    </r>
  </si>
  <si>
    <r>
      <rPr>
        <sz val="11"/>
        <color indexed="8"/>
        <rFont val="宋体"/>
        <family val="3"/>
        <charset val="134"/>
      </rPr>
      <t>a</t>
    </r>
    <r>
      <rPr>
        <sz val="11"/>
        <color indexed="8"/>
        <rFont val="宋体"/>
        <family val="3"/>
        <charset val="134"/>
      </rPr>
      <t>ward_type</t>
    </r>
  </si>
  <si>
    <t>award_param1</t>
  </si>
  <si>
    <t>award_param2</t>
  </si>
  <si>
    <t>award_param3</t>
  </si>
  <si>
    <t>award_num</t>
  </si>
  <si>
    <t>fighting = (hp * (1 / 26 + reduce_damage / 10) + atk * (1 / atk_speed + crit * 1.5 + dodge + crit_damage + hit + def_break))</t>
  </si>
  <si>
    <r>
      <rPr>
        <sz val="11"/>
        <color indexed="8"/>
        <rFont val="宋体"/>
        <family val="3"/>
        <charset val="134"/>
      </rPr>
      <t>int32</t>
    </r>
  </si>
  <si>
    <r>
      <rPr>
        <sz val="11"/>
        <color indexed="8"/>
        <rFont val="宋体"/>
        <family val="3"/>
        <charset val="134"/>
      </rPr>
      <t>i</t>
    </r>
    <r>
      <rPr>
        <sz val="11"/>
        <color indexed="8"/>
        <rFont val="宋体"/>
        <family val="3"/>
        <charset val="134"/>
      </rPr>
      <t>nt32</t>
    </r>
  </si>
  <si>
    <t>int32</t>
  </si>
  <si>
    <r>
      <rPr>
        <sz val="11"/>
        <color indexed="8"/>
        <rFont val="宋体"/>
        <family val="3"/>
        <charset val="134"/>
      </rPr>
      <t>l</t>
    </r>
    <r>
      <rPr>
        <sz val="11"/>
        <color indexed="8"/>
        <rFont val="宋体"/>
        <family val="3"/>
        <charset val="134"/>
      </rPr>
      <t>ist&lt;int32&gt;</t>
    </r>
  </si>
  <si>
    <t>list&lt;int32&gt;</t>
  </si>
  <si>
    <r>
      <rPr>
        <sz val="11"/>
        <color indexed="8"/>
        <rFont val="宋体"/>
        <family val="3"/>
        <charset val="134"/>
      </rPr>
      <t>ID</t>
    </r>
  </si>
  <si>
    <t>需求等级</t>
  </si>
  <si>
    <r>
      <rPr>
        <sz val="11"/>
        <color indexed="8"/>
        <rFont val="宋体"/>
        <family val="3"/>
        <charset val="134"/>
      </rPr>
      <t>地图I</t>
    </r>
    <r>
      <rPr>
        <sz val="11"/>
        <color indexed="8"/>
        <rFont val="宋体"/>
        <family val="3"/>
        <charset val="134"/>
      </rPr>
      <t>D</t>
    </r>
  </si>
  <si>
    <t>参考战力</t>
  </si>
  <si>
    <r>
      <rPr>
        <sz val="11"/>
        <color indexed="8"/>
        <rFont val="宋体"/>
        <family val="3"/>
        <charset val="134"/>
      </rPr>
      <t>B</t>
    </r>
    <r>
      <rPr>
        <sz val="11"/>
        <color indexed="8"/>
        <rFont val="宋体"/>
        <family val="3"/>
        <charset val="134"/>
      </rPr>
      <t>OSSID</t>
    </r>
  </si>
  <si>
    <t>BOSS星级</t>
  </si>
  <si>
    <t>BOSS等级</t>
  </si>
  <si>
    <t>战斗等级</t>
  </si>
  <si>
    <t>奖励物品类型</t>
  </si>
  <si>
    <t>奖励物品参数</t>
  </si>
  <si>
    <t>奖励物品数量</t>
  </si>
  <si>
    <t>战力</t>
  </si>
  <si>
    <t>怪1</t>
  </si>
  <si>
    <t>怪2</t>
  </si>
  <si>
    <t>怪3</t>
  </si>
  <si>
    <t>怪4</t>
  </si>
  <si>
    <t>怪5</t>
  </si>
  <si>
    <t>怪6</t>
  </si>
  <si>
    <t>怪1星级</t>
  </si>
  <si>
    <t>怪2星级</t>
  </si>
  <si>
    <t>怪3星级</t>
  </si>
  <si>
    <t>怪4星级</t>
  </si>
  <si>
    <t>怪5星级</t>
  </si>
  <si>
    <t>怪6星级</t>
  </si>
  <si>
    <t>怪1LV</t>
  </si>
  <si>
    <t>怪2LV</t>
  </si>
  <si>
    <t>怪3LV</t>
  </si>
  <si>
    <t>怪4LV</t>
  </si>
  <si>
    <t>怪5LV</t>
  </si>
  <si>
    <t>怪6LV</t>
  </si>
  <si>
    <t>怪1战力</t>
  </si>
  <si>
    <t>怪2战力</t>
  </si>
  <si>
    <t>怪3战力</t>
  </si>
  <si>
    <t>怪4战力</t>
  </si>
  <si>
    <t>怪5战力</t>
  </si>
  <si>
    <t>怪6战力</t>
  </si>
  <si>
    <t>玩家星级</t>
  </si>
  <si>
    <t>预期星级</t>
  </si>
  <si>
    <t>预期等级</t>
  </si>
  <si>
    <t>升星加成</t>
  </si>
  <si>
    <t>ID</t>
  </si>
  <si>
    <t>攻击力</t>
  </si>
  <si>
    <t>攻击成长</t>
  </si>
  <si>
    <t>血量</t>
  </si>
  <si>
    <t>血量成长</t>
  </si>
  <si>
    <t>护甲</t>
  </si>
  <si>
    <t>护甲成长</t>
  </si>
  <si>
    <t>攻速</t>
  </si>
  <si>
    <t>职业</t>
  </si>
  <si>
    <t>职业基础免伤</t>
  </si>
  <si>
    <t>基础战力</t>
  </si>
  <si>
    <t>战力成长</t>
  </si>
  <si>
    <t>阶段免伤率</t>
  </si>
  <si>
    <t>职业免伤</t>
  </si>
  <si>
    <t>验证1</t>
  </si>
  <si>
    <t>验证2</t>
  </si>
  <si>
    <t>验证3</t>
  </si>
  <si>
    <t>验证4</t>
  </si>
  <si>
    <t>验证5</t>
  </si>
  <si>
    <t>验证6</t>
  </si>
  <si>
    <r>
      <rPr>
        <sz val="11"/>
        <color indexed="8"/>
        <rFont val="宋体"/>
        <family val="3"/>
        <charset val="134"/>
      </rPr>
      <t>怪1</t>
    </r>
    <r>
      <rPr>
        <sz val="11"/>
        <color indexed="8"/>
        <rFont val="宋体"/>
        <family val="3"/>
        <charset val="134"/>
      </rPr>
      <t>ID</t>
    </r>
  </si>
  <si>
    <r>
      <rPr>
        <sz val="11"/>
        <color indexed="8"/>
        <rFont val="宋体"/>
        <family val="3"/>
        <charset val="134"/>
      </rPr>
      <t>怪2ID</t>
    </r>
  </si>
  <si>
    <r>
      <rPr>
        <sz val="11"/>
        <color indexed="8"/>
        <rFont val="宋体"/>
        <family val="3"/>
        <charset val="134"/>
      </rPr>
      <t>怪3ID</t>
    </r>
  </si>
  <si>
    <r>
      <rPr>
        <sz val="11"/>
        <color indexed="8"/>
        <rFont val="宋体"/>
        <family val="3"/>
        <charset val="134"/>
      </rPr>
      <t>怪4ID</t>
    </r>
  </si>
  <si>
    <r>
      <rPr>
        <sz val="11"/>
        <color indexed="8"/>
        <rFont val="宋体"/>
        <family val="3"/>
        <charset val="134"/>
      </rPr>
      <t>怪5ID</t>
    </r>
  </si>
  <si>
    <r>
      <rPr>
        <sz val="11"/>
        <color indexed="8"/>
        <rFont val="宋体"/>
        <family val="3"/>
        <charset val="134"/>
      </rPr>
      <t>怪6ID</t>
    </r>
  </si>
  <si>
    <t>初始星级1</t>
  </si>
  <si>
    <t>初始星级2</t>
  </si>
  <si>
    <t>初始星级3</t>
  </si>
  <si>
    <t>初始星级4</t>
  </si>
  <si>
    <t>初始星级5</t>
  </si>
  <si>
    <t>初始星级6</t>
  </si>
  <si>
    <t>怪名称1</t>
  </si>
  <si>
    <t>怪名称2</t>
  </si>
  <si>
    <t>怪名称3</t>
  </si>
  <si>
    <t>怪名称4</t>
  </si>
  <si>
    <t>怪名称5</t>
  </si>
  <si>
    <t>怪名称6</t>
  </si>
  <si>
    <r>
      <rPr>
        <sz val="11"/>
        <color indexed="8"/>
        <rFont val="宋体"/>
        <family val="3"/>
        <charset val="134"/>
      </rPr>
      <t>I</t>
    </r>
    <r>
      <rPr>
        <sz val="11"/>
        <color indexed="8"/>
        <rFont val="宋体"/>
        <family val="3"/>
        <charset val="134"/>
      </rPr>
      <t>D</t>
    </r>
  </si>
  <si>
    <t>名称</t>
  </si>
  <si>
    <t>近1，远2</t>
  </si>
  <si>
    <r>
      <rPr>
        <sz val="11"/>
        <color indexed="8"/>
        <rFont val="宋体"/>
        <family val="3"/>
        <charset val="134"/>
      </rPr>
      <t>技能I</t>
    </r>
    <r>
      <rPr>
        <sz val="11"/>
        <color indexed="8"/>
        <rFont val="宋体"/>
        <family val="3"/>
        <charset val="134"/>
      </rPr>
      <t>D</t>
    </r>
  </si>
  <si>
    <t>1,12</t>
  </si>
  <si>
    <t>5000,5</t>
  </si>
  <si>
    <t>职业id</t>
  </si>
  <si>
    <t>免伤率</t>
  </si>
  <si>
    <t>基础攻击</t>
  </si>
  <si>
    <t>基础防御</t>
  </si>
  <si>
    <t>水剑士</t>
  </si>
  <si>
    <t>木盗贼</t>
  </si>
  <si>
    <t>火海盗</t>
  </si>
  <si>
    <t>火巫师</t>
  </si>
  <si>
    <t>水维京</t>
  </si>
  <si>
    <t>对距离最远的1名敌人造成252%攻击伤害，并有25%几率使目标冰冻，持续2秒。</t>
  </si>
  <si>
    <t>木刀客</t>
  </si>
  <si>
    <t>火骑兵</t>
  </si>
  <si>
    <t>火忍者</t>
  </si>
  <si>
    <t>对随机3名敌人造成99%攻击伤害，并有15%几率使目标眩晕，持续1秒。</t>
  </si>
  <si>
    <t>水魔法师</t>
  </si>
  <si>
    <t>木女巫</t>
  </si>
  <si>
    <t>水火枪手</t>
  </si>
  <si>
    <t>对随机4名敌人造成82%攻击伤害，并有10%几率使目标眩晕，持续1秒。</t>
  </si>
  <si>
    <t>木猎人</t>
  </si>
  <si>
    <t>对距离最远的1名敌人造成322%攻击伤害，并有40%几率使目标冰冻，持续2秒。</t>
  </si>
  <si>
    <t>对随机4名敌人造成81%攻击伤害，并有20%几率使目标冰冻，持续1秒。</t>
  </si>
  <si>
    <t>火修女</t>
  </si>
  <si>
    <t>对随机3名敌人造成111%攻击伤害，并有30%几率使目标攻击力降低15%，持续3秒。</t>
  </si>
  <si>
    <t>对随机3名敌人造成91%攻击伤害，并有15%几率使目标沉默，持续2秒。</t>
  </si>
  <si>
    <t>对距离最近的2名敌人造成139%攻击伤害，并有30%几率使目标石化，持续2秒。</t>
  </si>
  <si>
    <t>对距离最远的3名敌人造成73%攻击伤害，并有25%几率使目标冰冻，持续2秒。</t>
  </si>
  <si>
    <t>对随机1名敌人造成107%攻击伤害。</t>
  </si>
  <si>
    <t>10000,10</t>
  </si>
  <si>
    <t>木熊猫</t>
  </si>
  <si>
    <t>对随机2名敌人造成173%攻击伤害，并嘲讽目标，使对方强制攻击自己。</t>
  </si>
  <si>
    <t>水学者</t>
  </si>
  <si>
    <t>对距离最远的1名敌人造成350%攻击伤害。</t>
  </si>
  <si>
    <t>对随机2名敌人造成161%攻击伤害，并有100%几率使目标燃烧，每秒造成20%攻击伤害，持续3秒。</t>
  </si>
  <si>
    <t>对随机3名敌人造成81%攻击伤害，并有50%几率使目标燃烧，每秒造成60%攻击伤害，持续2秒。</t>
  </si>
  <si>
    <t>对随机2名敌人造成91%攻击伤害，并有100%几率使目标燃烧，每秒造成30%攻击伤害，持续3秒。</t>
  </si>
  <si>
    <t>对距离最近的2名敌人造成192%攻击伤害。</t>
  </si>
  <si>
    <t>对血最少的1名敌人造成431%攻击伤害。</t>
  </si>
  <si>
    <t>对距离最远的2名敌人造成106%攻击伤害，并使2名友军恢复100%攻击等量的生命。</t>
  </si>
  <si>
    <t>对随机1名敌人造成200%攻击伤害，并有100%几率使目标流血，每秒造成40%攻击伤害，持续3秒。</t>
  </si>
  <si>
    <t>对随机1名敌人造成215%攻击伤害，并有100%几率使目标流血，每秒造成40%攻击伤害，持续3秒。</t>
  </si>
  <si>
    <t>15000,15</t>
  </si>
  <si>
    <t>对随机2名敌人造成121%攻击伤害，并有100%几率使目标攻击力降低20%，持续3秒。</t>
  </si>
  <si>
    <t>对随机2名敌人造成161%攻击伤害，并有100%几率使目标流血，每秒造成20%攻击伤害，持续3秒。</t>
  </si>
  <si>
    <t>对随机3名敌人造成123%攻击伤害，并有100%几率使目标命中率降低20%，持续3秒。</t>
  </si>
  <si>
    <t>对距离最远的2名敌人造成147%攻击伤害，并有30%几率使目标眩晕，持续1秒。</t>
  </si>
  <si>
    <t>对随机3名敌人造成112%攻击伤害，并有50%几率使目标燃烧，每秒造成20%攻击伤害，持续2秒。</t>
  </si>
  <si>
    <t>对随机3名敌人造成121%攻击伤害，并有50%几率使目标防御力降低20%，持续3秒。</t>
  </si>
  <si>
    <t>治疗血量最少的2名友军，每秒恢复116%攻击等量的生命，并有100%几率使目标防御力提高30%，持续3秒。</t>
  </si>
  <si>
    <t>对随机3名敌人造成96%攻击伤害，并有15%几率使目标沉默，持续2秒。</t>
  </si>
  <si>
    <t>治疗血量最少的3名友军，每秒恢复45%攻击等量的生命。</t>
  </si>
  <si>
    <t>治疗4名友军，恢复96%攻击等量的生命。</t>
  </si>
  <si>
    <t>对随机1名敌人造成351%攻击伤害，并有100%几率使目标眩晕，持续1秒。</t>
  </si>
  <si>
    <t>对距离最远的1名敌人造成248%攻击伤害，并有100%几率使目标中毒，每秒造成55%攻击伤害，持续3秒。</t>
  </si>
  <si>
    <t>对随机4名敌人造成42%攻击伤害，并有100%几率使目标中毒，每秒造成20%攻击伤害，持续3秒。</t>
  </si>
  <si>
    <t>对距离最近的1名敌人造成320%攻击伤害。</t>
  </si>
  <si>
    <t>对随机3名敌人造成124%攻击伤害。</t>
  </si>
  <si>
    <t>对距离最远的1名敌人造成431%攻击伤害。</t>
  </si>
  <si>
    <t>对随机3名敌人造成141%攻击伤害。</t>
  </si>
  <si>
    <t>对随机2名敌人造成181%攻击伤害。</t>
  </si>
  <si>
    <t>对随机3名敌人造成132%攻击伤害。</t>
  </si>
  <si>
    <t>对距离最近的2名敌人造成221%攻击伤害。</t>
  </si>
  <si>
    <t>治疗血量最少的2名友军，恢复206%攻击等量的生命。</t>
  </si>
  <si>
    <t>对随机1名敌人造成160%攻击伤害。</t>
  </si>
  <si>
    <t>20000,20</t>
  </si>
  <si>
    <t>对随机3名敌人造成151%攻击伤害。</t>
  </si>
  <si>
    <t>对随机1名敌人造成373%攻击伤害。</t>
  </si>
  <si>
    <t>对距离最远的2名敌人造成206%攻击伤害。</t>
  </si>
  <si>
    <t>对随机2名敌人造成166%攻击伤害。</t>
  </si>
  <si>
    <t>对随机1名敌人造成335%攻击伤害，并嘲讽目标，使对方强制攻击自己。</t>
  </si>
  <si>
    <t>对随机2名敌人造成221%攻击伤害。</t>
  </si>
  <si>
    <t>对距离最远的2名敌人造成181%攻击伤害。</t>
  </si>
  <si>
    <t>25000,25</t>
  </si>
  <si>
    <t>对随机3名敌人造成137%攻击伤害。</t>
  </si>
  <si>
    <t>治疗血量最少的3名友军，恢复147%攻击等量的生命。</t>
  </si>
  <si>
    <t>治疗血量最少的3名友军，恢复124%攻击等量的生命。</t>
  </si>
  <si>
    <t>对随机1名敌人造成419%攻击伤害。</t>
  </si>
  <si>
    <t>对距离最远的1名敌人造成413%攻击伤害。</t>
  </si>
  <si>
    <t>对随机4名敌人造成102%攻击伤害。</t>
  </si>
  <si>
    <t>30000,30</t>
  </si>
  <si>
    <t>条件1</t>
  </si>
  <si>
    <t>不是5的倍数关且关卡为单数</t>
  </si>
  <si>
    <t>远</t>
  </si>
  <si>
    <t>近</t>
  </si>
  <si>
    <t>不是5的倍数关且关卡为双数</t>
  </si>
  <si>
    <t>条件2</t>
  </si>
  <si>
    <t>是5的倍数关且大关为单数</t>
  </si>
  <si>
    <t>是10的倍数关且大关为单数</t>
  </si>
  <si>
    <t>是5的倍数关且大关为双数</t>
  </si>
  <si>
    <t>是10的倍数关且大关为双数</t>
  </si>
  <si>
    <t>特殊条件</t>
  </si>
  <si>
    <t>是5的倍数，判断阵营</t>
  </si>
  <si>
    <t>水刀客</t>
  </si>
  <si>
    <t>水骑兵</t>
  </si>
  <si>
    <t>水女巫</t>
  </si>
  <si>
    <t>水海盗</t>
  </si>
  <si>
    <t>水修女</t>
  </si>
  <si>
    <t>火刀客</t>
  </si>
  <si>
    <t>火维京</t>
  </si>
  <si>
    <t>火剑士</t>
  </si>
  <si>
    <t>火魔法师</t>
  </si>
  <si>
    <t>火女巫</t>
  </si>
  <si>
    <t>火火枪手</t>
  </si>
  <si>
    <t>木骑兵</t>
  </si>
  <si>
    <t>木剑士</t>
  </si>
  <si>
    <t>木海盗</t>
  </si>
  <si>
    <t>木维京</t>
  </si>
  <si>
    <t>暗猎人</t>
  </si>
  <si>
    <t>暗巫师</t>
  </si>
  <si>
    <t>木魔法师</t>
  </si>
  <si>
    <t>暗武士</t>
  </si>
  <si>
    <t>暗维京</t>
  </si>
  <si>
    <t>光猎人</t>
  </si>
  <si>
    <t>木火枪手</t>
  </si>
  <si>
    <t>木修女</t>
  </si>
  <si>
    <t>光骑兵</t>
  </si>
  <si>
    <t>光盗贼</t>
  </si>
  <si>
    <t>光武僧</t>
  </si>
  <si>
    <t>光学者</t>
  </si>
  <si>
    <t>暗盗贼</t>
  </si>
  <si>
    <t>掉落类型</t>
  </si>
  <si>
    <t>无</t>
  </si>
  <si>
    <t>param1</t>
  </si>
  <si>
    <t>param2</t>
  </si>
  <si>
    <t>param3</t>
  </si>
  <si>
    <t>碎片类型</t>
  </si>
  <si>
    <t>随机</t>
  </si>
  <si>
    <t>金币</t>
  </si>
  <si>
    <t>阵营</t>
  </si>
  <si>
    <t>阵营类型</t>
  </si>
  <si>
    <t>刷新时间/秒</t>
  </si>
  <si>
    <t>经验</t>
  </si>
  <si>
    <t>英雄</t>
  </si>
  <si>
    <t>升级点</t>
  </si>
  <si>
    <t>钻石</t>
  </si>
  <si>
    <r>
      <rPr>
        <sz val="11"/>
        <color theme="1"/>
        <rFont val="Helvetica Neue"/>
        <family val="2"/>
        <scheme val="minor"/>
      </rPr>
      <t>I</t>
    </r>
    <r>
      <rPr>
        <sz val="11"/>
        <color theme="1"/>
        <rFont val="Helvetica Neue"/>
        <family val="2"/>
        <scheme val="minor"/>
      </rPr>
      <t>D</t>
    </r>
  </si>
  <si>
    <t>星级</t>
  </si>
  <si>
    <t>碎片</t>
  </si>
  <si>
    <t>参数</t>
  </si>
  <si>
    <t>装备</t>
  </si>
  <si>
    <t>技能</t>
  </si>
  <si>
    <t>魔法尘</t>
  </si>
  <si>
    <t>职业徽章</t>
  </si>
  <si>
    <t>职业类型</t>
  </si>
  <si>
    <t>阵营精华</t>
  </si>
  <si>
    <t>升阶材料</t>
  </si>
  <si>
    <t>普通卷轴</t>
  </si>
  <si>
    <t>高级卷轴</t>
  </si>
  <si>
    <t>type</t>
  </si>
  <si>
    <t>num</t>
  </si>
  <si>
    <r>
      <rPr>
        <sz val="11"/>
        <color indexed="8"/>
        <rFont val="宋体"/>
        <family val="3"/>
        <charset val="134"/>
      </rPr>
      <t>0</t>
    </r>
    <r>
      <rPr>
        <sz val="11"/>
        <color indexed="8"/>
        <rFont val="宋体"/>
        <family val="3"/>
        <charset val="134"/>
      </rPr>
      <t>,0</t>
    </r>
  </si>
  <si>
    <t>1,12,7</t>
  </si>
  <si>
    <t>0,0,13</t>
  </si>
  <si>
    <t>0,0,0</t>
  </si>
  <si>
    <t>5000,5,1</t>
  </si>
  <si>
    <t>1,12,6</t>
  </si>
  <si>
    <t>0,0,2</t>
  </si>
  <si>
    <t>0,0,4</t>
  </si>
  <si>
    <t>5000,5,30</t>
  </si>
  <si>
    <t>0,0,14</t>
  </si>
  <si>
    <t>10000,10,1</t>
  </si>
  <si>
    <t>0,0,15</t>
  </si>
  <si>
    <t>0,0,16</t>
  </si>
  <si>
    <t>15000,15,1</t>
  </si>
  <si>
    <t>0,0,1</t>
  </si>
  <si>
    <t>15000,15,30</t>
  </si>
  <si>
    <t>1,12,8</t>
  </si>
  <si>
    <t>20000,20,1</t>
  </si>
  <si>
    <t>0,0,17</t>
  </si>
  <si>
    <t>0,0,18</t>
  </si>
  <si>
    <t>25000,25,1</t>
  </si>
  <si>
    <t>0,0,19</t>
  </si>
  <si>
    <t>0,0,20</t>
  </si>
  <si>
    <t>30000,30,1</t>
  </si>
  <si>
    <t>1,12,14</t>
  </si>
  <si>
    <t>30000,30,2</t>
  </si>
  <si>
    <t>1,12</t>
    <phoneticPr fontId="9" type="noConversion"/>
  </si>
  <si>
    <t>0,0</t>
    <phoneticPr fontId="9" type="noConversion"/>
  </si>
  <si>
    <t>5000,5</t>
    <phoneticPr fontId="9" type="noConversion"/>
  </si>
  <si>
    <t>10000,10</t>
    <phoneticPr fontId="9" type="noConversion"/>
  </si>
  <si>
    <t>15000,15</t>
    <phoneticPr fontId="9" type="noConversion"/>
  </si>
  <si>
    <t>20000,20</t>
    <phoneticPr fontId="9" type="noConversion"/>
  </si>
  <si>
    <t>25000,25</t>
    <phoneticPr fontId="9" type="noConversion"/>
  </si>
  <si>
    <t>30000,30</t>
    <phoneticPr fontId="9" type="noConversion"/>
  </si>
  <si>
    <t>35000,35</t>
    <phoneticPr fontId="9" type="noConversion"/>
  </si>
  <si>
    <t>40000,40</t>
    <phoneticPr fontId="9" type="noConversion"/>
  </si>
  <si>
    <t>45000,45</t>
    <phoneticPr fontId="9" type="noConversion"/>
  </si>
  <si>
    <t>50000,50</t>
    <phoneticPr fontId="9" type="noConversion"/>
  </si>
  <si>
    <t>55000,55</t>
    <phoneticPr fontId="9" type="noConversion"/>
  </si>
  <si>
    <t>60000,60</t>
    <phoneticPr fontId="9" type="noConversion"/>
  </si>
  <si>
    <t>65000,65</t>
    <phoneticPr fontId="9" type="noConversion"/>
  </si>
  <si>
    <t>70000,70</t>
    <phoneticPr fontId="9" type="noConversion"/>
  </si>
  <si>
    <t>75000,75</t>
    <phoneticPr fontId="9" type="noConversion"/>
  </si>
  <si>
    <t>80000,80</t>
    <phoneticPr fontId="9" type="noConversion"/>
  </si>
  <si>
    <t>85000,85</t>
    <phoneticPr fontId="9" type="noConversion"/>
  </si>
  <si>
    <t>90000,90</t>
    <phoneticPr fontId="9" type="noConversion"/>
  </si>
  <si>
    <t>95000,95</t>
    <phoneticPr fontId="9" type="noConversion"/>
  </si>
  <si>
    <t>100000,100</t>
    <phoneticPr fontId="9" type="noConversion"/>
  </si>
  <si>
    <t>105000,105</t>
    <phoneticPr fontId="9" type="noConversion"/>
  </si>
  <si>
    <t>110000,110</t>
    <phoneticPr fontId="9" type="noConversion"/>
  </si>
  <si>
    <t>115000,115</t>
    <phoneticPr fontId="9" type="noConversion"/>
  </si>
  <si>
    <t>120000,120</t>
    <phoneticPr fontId="9" type="noConversion"/>
  </si>
  <si>
    <t>125000,125</t>
    <phoneticPr fontId="9" type="noConversion"/>
  </si>
  <si>
    <t>130000,130</t>
    <phoneticPr fontId="9" type="noConversion"/>
  </si>
  <si>
    <t>135000,135</t>
    <phoneticPr fontId="9" type="noConversion"/>
  </si>
  <si>
    <t>140000,140</t>
    <phoneticPr fontId="9" type="noConversion"/>
  </si>
  <si>
    <t>145000,145</t>
    <phoneticPr fontId="9" type="noConversion"/>
  </si>
  <si>
    <t>150000,150</t>
    <phoneticPr fontId="9" type="noConversion"/>
  </si>
  <si>
    <t>155000,155</t>
    <phoneticPr fontId="9" type="noConversion"/>
  </si>
  <si>
    <t>160000,160</t>
    <phoneticPr fontId="9" type="noConversion"/>
  </si>
  <si>
    <t>165000,165</t>
    <phoneticPr fontId="9" type="noConversion"/>
  </si>
  <si>
    <t>170000,170</t>
    <phoneticPr fontId="9" type="noConversion"/>
  </si>
  <si>
    <t>175000,175</t>
    <phoneticPr fontId="9" type="noConversion"/>
  </si>
  <si>
    <t>180000,180</t>
    <phoneticPr fontId="9" type="noConversion"/>
  </si>
  <si>
    <t>185000,185</t>
    <phoneticPr fontId="9" type="noConversion"/>
  </si>
  <si>
    <t>190000,190</t>
    <phoneticPr fontId="9" type="noConversion"/>
  </si>
  <si>
    <t>195000,195</t>
    <phoneticPr fontId="9" type="noConversion"/>
  </si>
  <si>
    <t>200000,200</t>
    <phoneticPr fontId="9" type="noConversion"/>
  </si>
  <si>
    <t>205000,205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</si>
</sst>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indexed="8"/>
      <name val="宋体"/>
      <charset val="134"/>
    </font>
    <font>
      <sz val="11"/>
      <color theme="1"/>
      <name val="Helvetica Neue"/>
      <family val="2"/>
      <scheme val="minor"/>
    </font>
    <font>
      <sz val="11"/>
      <color indexed="8"/>
      <name val="宋体"/>
      <family val="3"/>
      <charset val="134"/>
    </font>
    <font>
      <sz val="11"/>
      <color theme="1"/>
      <name val="Helvetica Neue"/>
      <family val="2"/>
      <scheme val="minor"/>
    </font>
    <font>
      <b/>
      <sz val="11"/>
      <color rgb="FFFA7D00"/>
      <name val="Helvetica Neue"/>
      <family val="2"/>
      <scheme val="minor"/>
    </font>
    <font>
      <b/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theme="1"/>
      <name val="Helvetica Neue"/>
      <family val="2"/>
      <scheme val="minor"/>
    </font>
    <font>
      <sz val="11"/>
      <color rgb="FF000000"/>
      <name val="Helvetica Neue"/>
      <family val="2"/>
      <scheme val="minor"/>
    </font>
    <font>
      <sz val="9"/>
      <name val="宋体"/>
      <family val="3"/>
      <charset val="134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1454817346722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145481734672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20651875362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auto="1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 applyNumberFormat="0" applyFill="0" applyBorder="0" applyProtection="0">
      <alignment vertical="center"/>
    </xf>
    <xf numFmtId="0" fontId="4" fillId="3" borderId="3" applyNumberFormat="0" applyAlignment="0" applyProtection="0">
      <alignment vertical="center"/>
    </xf>
  </cellStyleXfs>
  <cellXfs count="52">
    <xf numFmtId="0" fontId="0" fillId="0" borderId="0" xfId="0" applyFont="1" applyAlignment="1">
      <alignment vertical="center"/>
    </xf>
    <xf numFmtId="0" fontId="2" fillId="2" borderId="1" xfId="0" applyFont="1" applyFill="1" applyBorder="1" applyAlignment="1"/>
    <xf numFmtId="0" fontId="2" fillId="2" borderId="1" xfId="0" applyNumberFormat="1" applyFont="1" applyFill="1" applyBorder="1" applyAlignment="1"/>
    <xf numFmtId="0" fontId="2" fillId="0" borderId="0" xfId="0" applyNumberFormat="1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/>
    <xf numFmtId="0" fontId="0" fillId="0" borderId="0" xfId="0" applyNumberFormat="1">
      <alignment vertical="center"/>
    </xf>
    <xf numFmtId="0" fontId="0" fillId="0" borderId="0" xfId="0" applyNumberFormat="1" applyFont="1" applyAlignment="1">
      <alignment vertical="center"/>
    </xf>
    <xf numFmtId="0" fontId="0" fillId="0" borderId="2" xfId="0" applyNumberFormat="1" applyFont="1" applyBorder="1" applyAlignment="1">
      <alignment vertical="center"/>
    </xf>
    <xf numFmtId="49" fontId="2" fillId="2" borderId="1" xfId="0" applyNumberFormat="1" applyFont="1" applyFill="1" applyBorder="1" applyAlignment="1"/>
    <xf numFmtId="49" fontId="2" fillId="0" borderId="1" xfId="0" applyNumberFormat="1" applyFont="1" applyBorder="1" applyAlignment="1">
      <alignment vertical="center"/>
    </xf>
    <xf numFmtId="49" fontId="0" fillId="0" borderId="1" xfId="0" applyNumberFormat="1" applyFont="1" applyBorder="1" applyAlignment="1">
      <alignment vertical="center"/>
    </xf>
    <xf numFmtId="0" fontId="4" fillId="3" borderId="3" xfId="1" applyNumberFormat="1" applyAlignment="1">
      <alignment vertical="center"/>
    </xf>
    <xf numFmtId="0" fontId="2" fillId="0" borderId="2" xfId="0" applyNumberFormat="1" applyFont="1" applyBorder="1" applyAlignment="1">
      <alignment vertical="center"/>
    </xf>
    <xf numFmtId="0" fontId="3" fillId="0" borderId="2" xfId="0" applyFont="1" applyBorder="1" applyAlignment="1"/>
    <xf numFmtId="0" fontId="2" fillId="0" borderId="0" xfId="0" applyFont="1" applyAlignment="1">
      <alignment horizontal="center" vertical="top"/>
    </xf>
    <xf numFmtId="0" fontId="0" fillId="0" borderId="0" xfId="0" applyAlignment="1"/>
    <xf numFmtId="0" fontId="3" fillId="0" borderId="0" xfId="0" applyFont="1" applyAlignment="1">
      <alignment horizontal="center" vertical="top"/>
    </xf>
    <xf numFmtId="0" fontId="0" fillId="0" borderId="0" xfId="0" applyNumberFormat="1" applyFont="1" applyFill="1" applyBorder="1" applyAlignment="1">
      <alignment vertical="center"/>
    </xf>
    <xf numFmtId="0" fontId="2" fillId="0" borderId="0" xfId="0" applyFont="1">
      <alignment vertical="center"/>
    </xf>
    <xf numFmtId="0" fontId="4" fillId="3" borderId="3" xfId="1">
      <alignment vertical="center"/>
    </xf>
    <xf numFmtId="0" fontId="5" fillId="0" borderId="0" xfId="0" applyFont="1">
      <alignment vertical="center"/>
    </xf>
    <xf numFmtId="0" fontId="0" fillId="4" borderId="0" xfId="0" applyFill="1">
      <alignment vertical="center"/>
    </xf>
    <xf numFmtId="0" fontId="3" fillId="0" borderId="0" xfId="0" applyFont="1" applyFill="1">
      <alignment vertical="center"/>
    </xf>
    <xf numFmtId="0" fontId="2" fillId="0" borderId="0" xfId="0" applyFont="1" applyFill="1">
      <alignment vertical="center"/>
    </xf>
    <xf numFmtId="0" fontId="6" fillId="0" borderId="0" xfId="0" applyFont="1" applyFill="1">
      <alignment vertical="center"/>
    </xf>
    <xf numFmtId="0" fontId="0" fillId="0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7" fillId="5" borderId="0" xfId="0" applyFont="1" applyFill="1">
      <alignment vertical="center"/>
    </xf>
    <xf numFmtId="0" fontId="3" fillId="6" borderId="0" xfId="0" applyFont="1" applyFill="1">
      <alignment vertical="center"/>
    </xf>
    <xf numFmtId="0" fontId="3" fillId="7" borderId="0" xfId="0" applyFont="1" applyFill="1">
      <alignment vertical="center"/>
    </xf>
    <xf numFmtId="0" fontId="3" fillId="8" borderId="0" xfId="0" applyFont="1" applyFill="1">
      <alignment vertical="center"/>
    </xf>
    <xf numFmtId="0" fontId="8" fillId="8" borderId="0" xfId="0" applyFont="1" applyFill="1" applyAlignment="1">
      <alignment vertical="center" wrapText="1"/>
    </xf>
    <xf numFmtId="49" fontId="0" fillId="0" borderId="0" xfId="0" applyNumberFormat="1" applyFont="1" applyAlignment="1">
      <alignment vertical="center"/>
    </xf>
    <xf numFmtId="0" fontId="6" fillId="8" borderId="0" xfId="0" applyFont="1" applyFill="1">
      <alignment vertical="center"/>
    </xf>
    <xf numFmtId="0" fontId="3" fillId="9" borderId="0" xfId="0" applyFont="1" applyFill="1">
      <alignment vertical="center"/>
    </xf>
    <xf numFmtId="0" fontId="8" fillId="9" borderId="0" xfId="0" applyFont="1" applyFill="1" applyAlignment="1">
      <alignment vertical="center" wrapText="1"/>
    </xf>
    <xf numFmtId="3" fontId="0" fillId="0" borderId="0" xfId="0" applyNumberFormat="1" applyFont="1" applyAlignment="1">
      <alignment vertical="center"/>
    </xf>
    <xf numFmtId="0" fontId="3" fillId="10" borderId="0" xfId="0" applyFont="1" applyFill="1">
      <alignment vertical="center"/>
    </xf>
    <xf numFmtId="0" fontId="8" fillId="10" borderId="0" xfId="0" applyFont="1" applyFill="1" applyAlignment="1">
      <alignment vertical="center" wrapText="1"/>
    </xf>
    <xf numFmtId="0" fontId="3" fillId="11" borderId="0" xfId="0" applyFont="1" applyFill="1">
      <alignment vertical="center"/>
    </xf>
    <xf numFmtId="0" fontId="8" fillId="11" borderId="0" xfId="0" applyFont="1" applyFill="1" applyAlignment="1">
      <alignment vertical="center" wrapText="1"/>
    </xf>
    <xf numFmtId="0" fontId="3" fillId="12" borderId="0" xfId="0" applyFont="1" applyFill="1">
      <alignment vertical="center"/>
    </xf>
    <xf numFmtId="0" fontId="0" fillId="12" borderId="0" xfId="0" applyFill="1">
      <alignment vertical="center"/>
    </xf>
    <xf numFmtId="0" fontId="3" fillId="13" borderId="0" xfId="0" applyFont="1" applyFill="1">
      <alignment vertical="center"/>
    </xf>
    <xf numFmtId="0" fontId="0" fillId="13" borderId="0" xfId="0" applyFill="1">
      <alignment vertical="center"/>
    </xf>
    <xf numFmtId="0" fontId="0" fillId="9" borderId="0" xfId="0" applyFill="1">
      <alignment vertical="center"/>
    </xf>
    <xf numFmtId="0" fontId="3" fillId="14" borderId="0" xfId="0" applyFont="1" applyFill="1">
      <alignment vertical="center"/>
    </xf>
    <xf numFmtId="0" fontId="0" fillId="14" borderId="0" xfId="0" applyFill="1">
      <alignment vertical="center"/>
    </xf>
  </cellXfs>
  <cellStyles count="2">
    <cellStyle name="常规" xfId="0" builtinId="0"/>
    <cellStyle name="计算" xfId="1" builtinId="22"/>
  </cellStyles>
  <dxfs count="10">
    <dxf>
      <font>
        <color rgb="FF9C0006"/>
      </font>
      <fill>
        <patternFill patternType="solid">
          <bgColor rgb="FFFFC7CE"/>
        </patternFill>
      </fill>
    </dxf>
    <dxf>
      <font>
        <color theme="4"/>
      </font>
      <fill>
        <patternFill patternType="solid">
          <bgColor theme="4" tint="0.39988402966399123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7030A0"/>
      </font>
      <fill>
        <patternFill patternType="solid">
          <bgColor rgb="FFCC3399"/>
        </patternFill>
      </fill>
    </dxf>
    <dxf>
      <font>
        <color theme="0" tint="-0.499984740745262"/>
      </font>
      <fill>
        <patternFill patternType="solid">
          <bgColor theme="6" tint="0.59996337778862885"/>
        </patternFill>
      </fill>
    </dxf>
    <dxf>
      <font>
        <color rgb="FF7030A0"/>
      </font>
      <fill>
        <patternFill patternType="solid">
          <bgColor rgb="FFCC99FF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AAAAAA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99FF"/>
      <color rgb="FFCC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onster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s"/>
    </sheetNames>
    <sheetDataSet>
      <sheetData sheetId="0">
        <row r="4">
          <cell r="D4">
            <v>2</v>
          </cell>
          <cell r="K4">
            <v>1.8</v>
          </cell>
          <cell r="N4">
            <v>103.68</v>
          </cell>
          <cell r="O4">
            <v>10.37</v>
          </cell>
          <cell r="P4">
            <v>1280</v>
          </cell>
          <cell r="Q4">
            <v>128</v>
          </cell>
          <cell r="R4">
            <v>20.74</v>
          </cell>
          <cell r="S4">
            <v>2.0699999999999998</v>
          </cell>
        </row>
        <row r="5">
          <cell r="D5">
            <v>3</v>
          </cell>
          <cell r="K5">
            <v>1.2</v>
          </cell>
          <cell r="N5">
            <v>69.12</v>
          </cell>
          <cell r="O5">
            <v>6.91</v>
          </cell>
          <cell r="P5">
            <v>1280</v>
          </cell>
          <cell r="Q5">
            <v>128</v>
          </cell>
          <cell r="R5">
            <v>13.82</v>
          </cell>
          <cell r="S5">
            <v>1.38</v>
          </cell>
        </row>
        <row r="6">
          <cell r="D6">
            <v>5</v>
          </cell>
          <cell r="K6">
            <v>1.4</v>
          </cell>
          <cell r="N6">
            <v>125.44</v>
          </cell>
          <cell r="O6">
            <v>12.54</v>
          </cell>
          <cell r="P6">
            <v>822.86</v>
          </cell>
          <cell r="Q6">
            <v>82.29</v>
          </cell>
          <cell r="R6">
            <v>15.68</v>
          </cell>
          <cell r="S6">
            <v>1.57</v>
          </cell>
        </row>
        <row r="7">
          <cell r="D7">
            <v>2</v>
          </cell>
          <cell r="K7">
            <v>1.8</v>
          </cell>
          <cell r="N7">
            <v>92.16</v>
          </cell>
          <cell r="O7">
            <v>9.2200000000000006</v>
          </cell>
          <cell r="P7">
            <v>1440</v>
          </cell>
          <cell r="Q7">
            <v>144</v>
          </cell>
          <cell r="R7">
            <v>30.72</v>
          </cell>
          <cell r="S7">
            <v>3.07</v>
          </cell>
        </row>
        <row r="8">
          <cell r="D8">
            <v>5</v>
          </cell>
          <cell r="K8">
            <v>1.5</v>
          </cell>
          <cell r="N8">
            <v>134.4</v>
          </cell>
          <cell r="O8">
            <v>13.44</v>
          </cell>
          <cell r="P8">
            <v>822.86</v>
          </cell>
          <cell r="Q8">
            <v>82.29</v>
          </cell>
          <cell r="R8">
            <v>16.8</v>
          </cell>
          <cell r="S8">
            <v>1.68</v>
          </cell>
        </row>
        <row r="9">
          <cell r="D9">
            <v>6</v>
          </cell>
          <cell r="K9">
            <v>1.5</v>
          </cell>
          <cell r="N9">
            <v>148.80000000000001</v>
          </cell>
          <cell r="O9">
            <v>14.88</v>
          </cell>
          <cell r="P9">
            <v>743.23</v>
          </cell>
          <cell r="Q9">
            <v>74.319999999999993</v>
          </cell>
          <cell r="R9">
            <v>14.88</v>
          </cell>
          <cell r="S9">
            <v>1.49</v>
          </cell>
        </row>
        <row r="10">
          <cell r="D10">
            <v>2</v>
          </cell>
          <cell r="K10">
            <v>1.5</v>
          </cell>
          <cell r="N10">
            <v>96</v>
          </cell>
          <cell r="O10">
            <v>9.6</v>
          </cell>
          <cell r="P10">
            <v>1152</v>
          </cell>
          <cell r="Q10">
            <v>115.2</v>
          </cell>
          <cell r="R10">
            <v>24</v>
          </cell>
          <cell r="S10">
            <v>2.4</v>
          </cell>
        </row>
        <row r="11">
          <cell r="D11">
            <v>4</v>
          </cell>
          <cell r="K11">
            <v>1.6</v>
          </cell>
          <cell r="N11">
            <v>122.88</v>
          </cell>
          <cell r="O11">
            <v>12.29</v>
          </cell>
          <cell r="P11">
            <v>960</v>
          </cell>
          <cell r="Q11">
            <v>96</v>
          </cell>
          <cell r="R11">
            <v>17.55</v>
          </cell>
          <cell r="S11">
            <v>1.76</v>
          </cell>
        </row>
        <row r="12">
          <cell r="D12">
            <v>4</v>
          </cell>
          <cell r="K12">
            <v>1.5</v>
          </cell>
          <cell r="N12">
            <v>115.2</v>
          </cell>
          <cell r="O12">
            <v>11.52</v>
          </cell>
          <cell r="P12">
            <v>960</v>
          </cell>
          <cell r="Q12">
            <v>96</v>
          </cell>
          <cell r="R12">
            <v>16.46</v>
          </cell>
          <cell r="S12">
            <v>1.65</v>
          </cell>
        </row>
        <row r="13">
          <cell r="D13">
            <v>5</v>
          </cell>
          <cell r="K13">
            <v>1.6</v>
          </cell>
          <cell r="N13">
            <v>143.36000000000001</v>
          </cell>
          <cell r="O13">
            <v>14.34</v>
          </cell>
          <cell r="P13">
            <v>822.86</v>
          </cell>
          <cell r="Q13">
            <v>82.29</v>
          </cell>
          <cell r="R13">
            <v>17.920000000000002</v>
          </cell>
          <cell r="S13">
            <v>1.79</v>
          </cell>
        </row>
        <row r="14">
          <cell r="D14">
            <v>6</v>
          </cell>
          <cell r="K14">
            <v>1.4</v>
          </cell>
          <cell r="N14">
            <v>138.88</v>
          </cell>
          <cell r="O14">
            <v>13.89</v>
          </cell>
          <cell r="P14">
            <v>743.23</v>
          </cell>
          <cell r="Q14">
            <v>74.319999999999993</v>
          </cell>
          <cell r="R14">
            <v>13.89</v>
          </cell>
          <cell r="S14">
            <v>1.39</v>
          </cell>
        </row>
        <row r="15">
          <cell r="D15">
            <v>6</v>
          </cell>
          <cell r="K15">
            <v>1.8</v>
          </cell>
          <cell r="N15">
            <v>178.56</v>
          </cell>
          <cell r="O15">
            <v>17.86</v>
          </cell>
          <cell r="P15">
            <v>743.23</v>
          </cell>
          <cell r="Q15">
            <v>74.319999999999993</v>
          </cell>
          <cell r="R15">
            <v>17.86</v>
          </cell>
          <cell r="S15">
            <v>1.79</v>
          </cell>
        </row>
        <row r="16">
          <cell r="D16">
            <v>3</v>
          </cell>
          <cell r="K16">
            <v>1.3</v>
          </cell>
          <cell r="N16">
            <v>74.88</v>
          </cell>
          <cell r="O16">
            <v>7.49</v>
          </cell>
          <cell r="P16">
            <v>1280</v>
          </cell>
          <cell r="Q16">
            <v>128</v>
          </cell>
          <cell r="R16">
            <v>14.98</v>
          </cell>
          <cell r="S16">
            <v>1.5</v>
          </cell>
        </row>
        <row r="17">
          <cell r="D17">
            <v>3</v>
          </cell>
          <cell r="K17">
            <v>1.4</v>
          </cell>
          <cell r="N17">
            <v>80.64</v>
          </cell>
          <cell r="O17">
            <v>8.06</v>
          </cell>
          <cell r="P17">
            <v>1280</v>
          </cell>
          <cell r="Q17">
            <v>128</v>
          </cell>
          <cell r="R17">
            <v>16.13</v>
          </cell>
          <cell r="S17">
            <v>1.61</v>
          </cell>
        </row>
        <row r="18">
          <cell r="D18">
            <v>4</v>
          </cell>
          <cell r="K18">
            <v>1.4</v>
          </cell>
          <cell r="N18">
            <v>107.52</v>
          </cell>
          <cell r="O18">
            <v>10.75</v>
          </cell>
          <cell r="P18">
            <v>960</v>
          </cell>
          <cell r="Q18">
            <v>96</v>
          </cell>
          <cell r="R18">
            <v>15.36</v>
          </cell>
          <cell r="S18">
            <v>1.54</v>
          </cell>
        </row>
        <row r="19">
          <cell r="D19">
            <v>2</v>
          </cell>
          <cell r="K19">
            <v>1.8</v>
          </cell>
          <cell r="N19">
            <v>120.96</v>
          </cell>
          <cell r="O19">
            <v>12.1</v>
          </cell>
          <cell r="P19">
            <v>1493.33</v>
          </cell>
          <cell r="Q19">
            <v>149.33000000000001</v>
          </cell>
          <cell r="R19">
            <v>24.19</v>
          </cell>
          <cell r="S19">
            <v>2.42</v>
          </cell>
        </row>
        <row r="20">
          <cell r="D20">
            <v>3</v>
          </cell>
          <cell r="K20">
            <v>1.2</v>
          </cell>
          <cell r="N20">
            <v>80.64</v>
          </cell>
          <cell r="O20">
            <v>8.06</v>
          </cell>
          <cell r="P20">
            <v>1493.33</v>
          </cell>
          <cell r="Q20">
            <v>149.33000000000001</v>
          </cell>
          <cell r="R20">
            <v>16.13</v>
          </cell>
          <cell r="S20">
            <v>1.61</v>
          </cell>
        </row>
        <row r="21">
          <cell r="D21">
            <v>5</v>
          </cell>
          <cell r="K21">
            <v>1.4</v>
          </cell>
          <cell r="N21">
            <v>146.35</v>
          </cell>
          <cell r="O21">
            <v>14.63</v>
          </cell>
          <cell r="P21">
            <v>960</v>
          </cell>
          <cell r="Q21">
            <v>96</v>
          </cell>
          <cell r="R21">
            <v>18.29</v>
          </cell>
          <cell r="S21">
            <v>1.83</v>
          </cell>
        </row>
        <row r="22">
          <cell r="D22">
            <v>2</v>
          </cell>
          <cell r="K22">
            <v>1.8</v>
          </cell>
          <cell r="N22">
            <v>107.52</v>
          </cell>
          <cell r="O22">
            <v>10.75</v>
          </cell>
          <cell r="P22">
            <v>1680</v>
          </cell>
          <cell r="Q22">
            <v>168</v>
          </cell>
          <cell r="R22">
            <v>35.840000000000003</v>
          </cell>
          <cell r="S22">
            <v>3.58</v>
          </cell>
        </row>
        <row r="23">
          <cell r="D23">
            <v>5</v>
          </cell>
          <cell r="K23">
            <v>1.5</v>
          </cell>
          <cell r="N23">
            <v>156.80000000000001</v>
          </cell>
          <cell r="O23">
            <v>15.68</v>
          </cell>
          <cell r="P23">
            <v>960</v>
          </cell>
          <cell r="Q23">
            <v>96</v>
          </cell>
          <cell r="R23">
            <v>19.600000000000001</v>
          </cell>
          <cell r="S23">
            <v>1.96</v>
          </cell>
        </row>
        <row r="24">
          <cell r="D24">
            <v>6</v>
          </cell>
          <cell r="K24">
            <v>1.5</v>
          </cell>
          <cell r="N24">
            <v>173.6</v>
          </cell>
          <cell r="O24">
            <v>17.36</v>
          </cell>
          <cell r="P24">
            <v>867.1</v>
          </cell>
          <cell r="Q24">
            <v>86.71</v>
          </cell>
          <cell r="R24">
            <v>17.36</v>
          </cell>
          <cell r="S24">
            <v>1.74</v>
          </cell>
        </row>
        <row r="25">
          <cell r="D25">
            <v>2</v>
          </cell>
          <cell r="K25">
            <v>1.5</v>
          </cell>
          <cell r="N25">
            <v>112</v>
          </cell>
          <cell r="O25">
            <v>11.2</v>
          </cell>
          <cell r="P25">
            <v>1344</v>
          </cell>
          <cell r="Q25">
            <v>134.4</v>
          </cell>
          <cell r="R25">
            <v>28</v>
          </cell>
          <cell r="S25">
            <v>2.8</v>
          </cell>
        </row>
        <row r="26">
          <cell r="D26">
            <v>4</v>
          </cell>
          <cell r="K26">
            <v>1.6</v>
          </cell>
          <cell r="N26">
            <v>143.36000000000001</v>
          </cell>
          <cell r="O26">
            <v>14.34</v>
          </cell>
          <cell r="P26">
            <v>1120</v>
          </cell>
          <cell r="Q26">
            <v>112</v>
          </cell>
          <cell r="R26">
            <v>20.48</v>
          </cell>
          <cell r="S26">
            <v>2.0499999999999998</v>
          </cell>
        </row>
        <row r="27">
          <cell r="D27">
            <v>4</v>
          </cell>
          <cell r="K27">
            <v>1.5</v>
          </cell>
          <cell r="N27">
            <v>134.4</v>
          </cell>
          <cell r="O27">
            <v>13.44</v>
          </cell>
          <cell r="P27">
            <v>1120</v>
          </cell>
          <cell r="Q27">
            <v>112</v>
          </cell>
          <cell r="R27">
            <v>19.2</v>
          </cell>
          <cell r="S27">
            <v>1.92</v>
          </cell>
        </row>
        <row r="28">
          <cell r="D28">
            <v>5</v>
          </cell>
          <cell r="K28">
            <v>1.6</v>
          </cell>
          <cell r="N28">
            <v>167.25</v>
          </cell>
          <cell r="O28">
            <v>16.73</v>
          </cell>
          <cell r="P28">
            <v>960</v>
          </cell>
          <cell r="Q28">
            <v>96</v>
          </cell>
          <cell r="R28">
            <v>20.91</v>
          </cell>
          <cell r="S28">
            <v>2.09</v>
          </cell>
        </row>
        <row r="29">
          <cell r="D29">
            <v>6</v>
          </cell>
          <cell r="K29">
            <v>1.4</v>
          </cell>
          <cell r="N29">
            <v>162.03</v>
          </cell>
          <cell r="O29">
            <v>16.2</v>
          </cell>
          <cell r="P29">
            <v>867.1</v>
          </cell>
          <cell r="Q29">
            <v>86.71</v>
          </cell>
          <cell r="R29">
            <v>16.2</v>
          </cell>
          <cell r="S29">
            <v>1.62</v>
          </cell>
        </row>
        <row r="30">
          <cell r="D30">
            <v>6</v>
          </cell>
          <cell r="K30">
            <v>1.8</v>
          </cell>
          <cell r="N30">
            <v>208.32</v>
          </cell>
          <cell r="O30">
            <v>20.83</v>
          </cell>
          <cell r="P30">
            <v>867.1</v>
          </cell>
          <cell r="Q30">
            <v>86.71</v>
          </cell>
          <cell r="R30">
            <v>20.83</v>
          </cell>
          <cell r="S30">
            <v>2.08</v>
          </cell>
        </row>
        <row r="31">
          <cell r="D31">
            <v>3</v>
          </cell>
          <cell r="K31">
            <v>1.3</v>
          </cell>
          <cell r="N31">
            <v>87.36</v>
          </cell>
          <cell r="O31">
            <v>8.74</v>
          </cell>
          <cell r="P31">
            <v>1493.33</v>
          </cell>
          <cell r="Q31">
            <v>149.33000000000001</v>
          </cell>
          <cell r="R31">
            <v>17.47</v>
          </cell>
          <cell r="S31">
            <v>1.75</v>
          </cell>
        </row>
        <row r="32">
          <cell r="D32">
            <v>3</v>
          </cell>
          <cell r="K32">
            <v>1.4</v>
          </cell>
          <cell r="N32">
            <v>94.08</v>
          </cell>
          <cell r="O32">
            <v>9.41</v>
          </cell>
          <cell r="P32">
            <v>1493.33</v>
          </cell>
          <cell r="Q32">
            <v>149.33000000000001</v>
          </cell>
          <cell r="R32">
            <v>18.82</v>
          </cell>
          <cell r="S32">
            <v>1.88</v>
          </cell>
        </row>
        <row r="33">
          <cell r="D33">
            <v>4</v>
          </cell>
          <cell r="K33">
            <v>1.4</v>
          </cell>
          <cell r="N33">
            <v>125.44</v>
          </cell>
          <cell r="O33">
            <v>12.54</v>
          </cell>
          <cell r="P33">
            <v>1120</v>
          </cell>
          <cell r="Q33">
            <v>112</v>
          </cell>
          <cell r="R33">
            <v>17.920000000000002</v>
          </cell>
          <cell r="S33">
            <v>1.79</v>
          </cell>
        </row>
        <row r="34">
          <cell r="D34">
            <v>2</v>
          </cell>
          <cell r="K34">
            <v>1.8</v>
          </cell>
          <cell r="N34">
            <v>138.24</v>
          </cell>
          <cell r="O34">
            <v>13.82</v>
          </cell>
          <cell r="P34">
            <v>1706.67</v>
          </cell>
          <cell r="Q34">
            <v>170.67</v>
          </cell>
          <cell r="R34">
            <v>27.65</v>
          </cell>
          <cell r="S34">
            <v>2.76</v>
          </cell>
        </row>
        <row r="35">
          <cell r="D35">
            <v>3</v>
          </cell>
          <cell r="K35">
            <v>1.2</v>
          </cell>
          <cell r="N35">
            <v>92.16</v>
          </cell>
          <cell r="O35">
            <v>9.2200000000000006</v>
          </cell>
          <cell r="P35">
            <v>1706.67</v>
          </cell>
          <cell r="Q35">
            <v>170.67</v>
          </cell>
          <cell r="R35">
            <v>18.43</v>
          </cell>
          <cell r="S35">
            <v>1.84</v>
          </cell>
        </row>
        <row r="36">
          <cell r="D36">
            <v>5</v>
          </cell>
          <cell r="K36">
            <v>1.4</v>
          </cell>
          <cell r="N36">
            <v>167.25</v>
          </cell>
          <cell r="O36">
            <v>16.73</v>
          </cell>
          <cell r="P36">
            <v>1097.1400000000001</v>
          </cell>
          <cell r="Q36">
            <v>109.71</v>
          </cell>
          <cell r="R36">
            <v>20.91</v>
          </cell>
          <cell r="S36">
            <v>2.09</v>
          </cell>
        </row>
        <row r="37">
          <cell r="D37">
            <v>2</v>
          </cell>
          <cell r="K37">
            <v>1.8</v>
          </cell>
          <cell r="N37">
            <v>122.88</v>
          </cell>
          <cell r="O37">
            <v>12.29</v>
          </cell>
          <cell r="P37">
            <v>1920</v>
          </cell>
          <cell r="Q37">
            <v>192</v>
          </cell>
          <cell r="R37">
            <v>40.96</v>
          </cell>
          <cell r="S37">
            <v>4.0999999999999996</v>
          </cell>
        </row>
        <row r="38">
          <cell r="D38">
            <v>5</v>
          </cell>
          <cell r="K38">
            <v>1.5</v>
          </cell>
          <cell r="N38">
            <v>179.2</v>
          </cell>
          <cell r="O38">
            <v>17.920000000000002</v>
          </cell>
          <cell r="P38">
            <v>1097.1400000000001</v>
          </cell>
          <cell r="Q38">
            <v>109.71</v>
          </cell>
          <cell r="R38">
            <v>22.4</v>
          </cell>
          <cell r="S38">
            <v>2.2400000000000002</v>
          </cell>
        </row>
        <row r="39">
          <cell r="D39">
            <v>6</v>
          </cell>
          <cell r="K39">
            <v>1.5</v>
          </cell>
          <cell r="N39">
            <v>198.4</v>
          </cell>
          <cell r="O39">
            <v>19.84</v>
          </cell>
          <cell r="P39">
            <v>990.97</v>
          </cell>
          <cell r="Q39">
            <v>99.1</v>
          </cell>
          <cell r="R39">
            <v>19.84</v>
          </cell>
          <cell r="S39">
            <v>1.98</v>
          </cell>
        </row>
        <row r="40">
          <cell r="D40">
            <v>2</v>
          </cell>
          <cell r="K40">
            <v>1.5</v>
          </cell>
          <cell r="N40">
            <v>128</v>
          </cell>
          <cell r="O40">
            <v>12.8</v>
          </cell>
          <cell r="P40">
            <v>1536</v>
          </cell>
          <cell r="Q40">
            <v>153.6</v>
          </cell>
          <cell r="R40">
            <v>32</v>
          </cell>
          <cell r="S40">
            <v>3.2</v>
          </cell>
        </row>
        <row r="41">
          <cell r="D41">
            <v>4</v>
          </cell>
          <cell r="K41">
            <v>1.6</v>
          </cell>
          <cell r="N41">
            <v>163.84</v>
          </cell>
          <cell r="O41">
            <v>16.38</v>
          </cell>
          <cell r="P41">
            <v>1280</v>
          </cell>
          <cell r="Q41">
            <v>128</v>
          </cell>
          <cell r="R41">
            <v>23.41</v>
          </cell>
          <cell r="S41">
            <v>2.34</v>
          </cell>
        </row>
        <row r="42">
          <cell r="D42">
            <v>4</v>
          </cell>
          <cell r="K42">
            <v>1.5</v>
          </cell>
          <cell r="N42">
            <v>153.6</v>
          </cell>
          <cell r="O42">
            <v>15.36</v>
          </cell>
          <cell r="P42">
            <v>1280</v>
          </cell>
          <cell r="Q42">
            <v>128</v>
          </cell>
          <cell r="R42">
            <v>21.94</v>
          </cell>
          <cell r="S42">
            <v>2.19</v>
          </cell>
        </row>
        <row r="43">
          <cell r="D43">
            <v>5</v>
          </cell>
          <cell r="K43">
            <v>1.6</v>
          </cell>
          <cell r="N43">
            <v>191.15</v>
          </cell>
          <cell r="O43">
            <v>19.11</v>
          </cell>
          <cell r="P43">
            <v>1097.1400000000001</v>
          </cell>
          <cell r="Q43">
            <v>109.71</v>
          </cell>
          <cell r="R43">
            <v>23.89</v>
          </cell>
          <cell r="S43">
            <v>2.39</v>
          </cell>
        </row>
        <row r="44">
          <cell r="D44">
            <v>6</v>
          </cell>
          <cell r="K44">
            <v>1.4</v>
          </cell>
          <cell r="N44">
            <v>185.17</v>
          </cell>
          <cell r="O44">
            <v>18.52</v>
          </cell>
          <cell r="P44">
            <v>990.97</v>
          </cell>
          <cell r="Q44">
            <v>99.1</v>
          </cell>
          <cell r="R44">
            <v>18.52</v>
          </cell>
          <cell r="S44">
            <v>1.85</v>
          </cell>
        </row>
        <row r="45">
          <cell r="D45">
            <v>6</v>
          </cell>
          <cell r="K45">
            <v>1.8</v>
          </cell>
          <cell r="N45">
            <v>238.08</v>
          </cell>
          <cell r="O45">
            <v>23.81</v>
          </cell>
          <cell r="P45">
            <v>990.97</v>
          </cell>
          <cell r="Q45">
            <v>99.1</v>
          </cell>
          <cell r="R45">
            <v>23.81</v>
          </cell>
          <cell r="S45">
            <v>2.38</v>
          </cell>
        </row>
        <row r="46">
          <cell r="D46">
            <v>3</v>
          </cell>
          <cell r="K46">
            <v>1.3</v>
          </cell>
          <cell r="N46">
            <v>99.84</v>
          </cell>
          <cell r="O46">
            <v>9.98</v>
          </cell>
          <cell r="P46">
            <v>1706.67</v>
          </cell>
          <cell r="Q46">
            <v>170.67</v>
          </cell>
          <cell r="R46">
            <v>19.97</v>
          </cell>
          <cell r="S46">
            <v>2</v>
          </cell>
        </row>
        <row r="47">
          <cell r="D47">
            <v>3</v>
          </cell>
          <cell r="K47">
            <v>1.4</v>
          </cell>
          <cell r="N47">
            <v>107.52</v>
          </cell>
          <cell r="O47">
            <v>10.75</v>
          </cell>
          <cell r="P47">
            <v>1706.67</v>
          </cell>
          <cell r="Q47">
            <v>170.67</v>
          </cell>
          <cell r="R47">
            <v>21.5</v>
          </cell>
          <cell r="S47">
            <v>2.15</v>
          </cell>
        </row>
        <row r="48">
          <cell r="D48">
            <v>4</v>
          </cell>
          <cell r="K48">
            <v>1.4</v>
          </cell>
          <cell r="N48">
            <v>143.36000000000001</v>
          </cell>
          <cell r="O48">
            <v>14.34</v>
          </cell>
          <cell r="P48">
            <v>1280</v>
          </cell>
          <cell r="Q48">
            <v>128</v>
          </cell>
          <cell r="R48">
            <v>20.48</v>
          </cell>
          <cell r="S48">
            <v>2.0499999999999998</v>
          </cell>
        </row>
        <row r="49">
          <cell r="D49">
            <v>2</v>
          </cell>
          <cell r="K49">
            <v>1.8</v>
          </cell>
          <cell r="N49">
            <v>155.52000000000001</v>
          </cell>
          <cell r="O49">
            <v>15.55</v>
          </cell>
          <cell r="P49">
            <v>1920</v>
          </cell>
          <cell r="Q49">
            <v>192</v>
          </cell>
          <cell r="R49">
            <v>31.1</v>
          </cell>
          <cell r="S49">
            <v>3.11</v>
          </cell>
        </row>
        <row r="50">
          <cell r="D50">
            <v>3</v>
          </cell>
          <cell r="K50">
            <v>1.2</v>
          </cell>
          <cell r="N50">
            <v>103.68</v>
          </cell>
          <cell r="O50">
            <v>10.37</v>
          </cell>
          <cell r="P50">
            <v>1920</v>
          </cell>
          <cell r="Q50">
            <v>192</v>
          </cell>
          <cell r="R50">
            <v>20.74</v>
          </cell>
          <cell r="S50">
            <v>2.0699999999999998</v>
          </cell>
        </row>
        <row r="51">
          <cell r="D51">
            <v>5</v>
          </cell>
          <cell r="K51">
            <v>1.4</v>
          </cell>
          <cell r="N51">
            <v>188.16</v>
          </cell>
          <cell r="O51">
            <v>18.82</v>
          </cell>
          <cell r="P51">
            <v>1234.29</v>
          </cell>
          <cell r="Q51">
            <v>123.43</v>
          </cell>
          <cell r="R51">
            <v>23.52</v>
          </cell>
          <cell r="S51">
            <v>2.35</v>
          </cell>
        </row>
        <row r="52">
          <cell r="D52">
            <v>2</v>
          </cell>
          <cell r="K52">
            <v>1.8</v>
          </cell>
          <cell r="N52">
            <v>138.24</v>
          </cell>
          <cell r="O52">
            <v>13.82</v>
          </cell>
          <cell r="P52">
            <v>2160</v>
          </cell>
          <cell r="Q52">
            <v>216</v>
          </cell>
          <cell r="R52">
            <v>46.08</v>
          </cell>
          <cell r="S52">
            <v>4.6100000000000003</v>
          </cell>
        </row>
        <row r="53">
          <cell r="D53">
            <v>5</v>
          </cell>
          <cell r="K53">
            <v>1.5</v>
          </cell>
          <cell r="N53">
            <v>201.6</v>
          </cell>
          <cell r="O53">
            <v>20.16</v>
          </cell>
          <cell r="P53">
            <v>1234.29</v>
          </cell>
          <cell r="Q53">
            <v>123.43</v>
          </cell>
          <cell r="R53">
            <v>25.2</v>
          </cell>
          <cell r="S53">
            <v>2.52</v>
          </cell>
        </row>
        <row r="54">
          <cell r="D54">
            <v>6</v>
          </cell>
          <cell r="K54">
            <v>1.5</v>
          </cell>
          <cell r="N54">
            <v>223.2</v>
          </cell>
          <cell r="O54">
            <v>22.32</v>
          </cell>
          <cell r="P54">
            <v>1114.8399999999999</v>
          </cell>
          <cell r="Q54">
            <v>111.48</v>
          </cell>
          <cell r="R54">
            <v>22.32</v>
          </cell>
          <cell r="S54">
            <v>2.23</v>
          </cell>
        </row>
        <row r="55">
          <cell r="D55">
            <v>2</v>
          </cell>
          <cell r="K55">
            <v>1.5</v>
          </cell>
          <cell r="N55">
            <v>144</v>
          </cell>
          <cell r="O55">
            <v>14.4</v>
          </cell>
          <cell r="P55">
            <v>1728</v>
          </cell>
          <cell r="Q55">
            <v>172.8</v>
          </cell>
          <cell r="R55">
            <v>36</v>
          </cell>
          <cell r="S55">
            <v>3.6</v>
          </cell>
        </row>
        <row r="56">
          <cell r="D56">
            <v>4</v>
          </cell>
          <cell r="K56">
            <v>1.6</v>
          </cell>
          <cell r="N56">
            <v>184.32</v>
          </cell>
          <cell r="O56">
            <v>18.43</v>
          </cell>
          <cell r="P56">
            <v>1440</v>
          </cell>
          <cell r="Q56">
            <v>144</v>
          </cell>
          <cell r="R56">
            <v>26.33</v>
          </cell>
          <cell r="S56">
            <v>2.63</v>
          </cell>
        </row>
        <row r="57">
          <cell r="D57">
            <v>4</v>
          </cell>
          <cell r="K57">
            <v>1.5</v>
          </cell>
          <cell r="N57">
            <v>172.8</v>
          </cell>
          <cell r="O57">
            <v>17.28</v>
          </cell>
          <cell r="P57">
            <v>1440</v>
          </cell>
          <cell r="Q57">
            <v>144</v>
          </cell>
          <cell r="R57">
            <v>24.69</v>
          </cell>
          <cell r="S57">
            <v>2.4700000000000002</v>
          </cell>
        </row>
        <row r="58">
          <cell r="D58">
            <v>5</v>
          </cell>
          <cell r="K58">
            <v>1.6</v>
          </cell>
          <cell r="N58">
            <v>215.04</v>
          </cell>
          <cell r="O58">
            <v>21.5</v>
          </cell>
          <cell r="P58">
            <v>1234.29</v>
          </cell>
          <cell r="Q58">
            <v>123.43</v>
          </cell>
          <cell r="R58">
            <v>26.88</v>
          </cell>
          <cell r="S58">
            <v>2.69</v>
          </cell>
        </row>
        <row r="59">
          <cell r="D59">
            <v>6</v>
          </cell>
          <cell r="K59">
            <v>1.4</v>
          </cell>
          <cell r="N59">
            <v>208.32</v>
          </cell>
          <cell r="O59">
            <v>20.83</v>
          </cell>
          <cell r="P59">
            <v>1114.8399999999999</v>
          </cell>
          <cell r="Q59">
            <v>111.48</v>
          </cell>
          <cell r="R59">
            <v>20.83</v>
          </cell>
          <cell r="S59">
            <v>2.08</v>
          </cell>
        </row>
        <row r="60">
          <cell r="D60">
            <v>6</v>
          </cell>
          <cell r="K60">
            <v>1.8</v>
          </cell>
          <cell r="N60">
            <v>267.83999999999997</v>
          </cell>
          <cell r="O60">
            <v>26.78</v>
          </cell>
          <cell r="P60">
            <v>1114.8399999999999</v>
          </cell>
          <cell r="Q60">
            <v>111.48</v>
          </cell>
          <cell r="R60">
            <v>26.78</v>
          </cell>
          <cell r="S60">
            <v>2.68</v>
          </cell>
        </row>
        <row r="61">
          <cell r="D61">
            <v>3</v>
          </cell>
          <cell r="K61">
            <v>1.3</v>
          </cell>
          <cell r="N61">
            <v>112.32</v>
          </cell>
          <cell r="O61">
            <v>11.23</v>
          </cell>
          <cell r="P61">
            <v>1920</v>
          </cell>
          <cell r="Q61">
            <v>192</v>
          </cell>
          <cell r="R61">
            <v>22.46</v>
          </cell>
          <cell r="S61">
            <v>2.25</v>
          </cell>
        </row>
        <row r="62">
          <cell r="D62">
            <v>3</v>
          </cell>
          <cell r="K62">
            <v>1.4</v>
          </cell>
          <cell r="N62">
            <v>120.96</v>
          </cell>
          <cell r="O62">
            <v>12.1</v>
          </cell>
          <cell r="P62">
            <v>1920</v>
          </cell>
          <cell r="Q62">
            <v>192</v>
          </cell>
          <cell r="R62">
            <v>24.19</v>
          </cell>
          <cell r="S62">
            <v>2.42</v>
          </cell>
        </row>
        <row r="63">
          <cell r="D63">
            <v>4</v>
          </cell>
          <cell r="K63">
            <v>1.4</v>
          </cell>
          <cell r="N63">
            <v>161.28</v>
          </cell>
          <cell r="O63">
            <v>16.13</v>
          </cell>
          <cell r="P63">
            <v>1440</v>
          </cell>
          <cell r="Q63">
            <v>144</v>
          </cell>
          <cell r="R63">
            <v>23.04</v>
          </cell>
          <cell r="S63">
            <v>2.2999999999999998</v>
          </cell>
        </row>
        <row r="64">
          <cell r="D64">
            <v>2</v>
          </cell>
          <cell r="K64">
            <v>1.8</v>
          </cell>
          <cell r="N64">
            <v>172.8</v>
          </cell>
          <cell r="O64">
            <v>17.28</v>
          </cell>
          <cell r="P64">
            <v>2133.33</v>
          </cell>
          <cell r="Q64">
            <v>213.33</v>
          </cell>
          <cell r="R64">
            <v>34.56</v>
          </cell>
          <cell r="S64">
            <v>3.46</v>
          </cell>
        </row>
        <row r="65">
          <cell r="D65">
            <v>3</v>
          </cell>
          <cell r="K65">
            <v>1.2</v>
          </cell>
          <cell r="N65">
            <v>115.2</v>
          </cell>
          <cell r="O65">
            <v>11.52</v>
          </cell>
          <cell r="P65">
            <v>2133.33</v>
          </cell>
          <cell r="Q65">
            <v>213.33</v>
          </cell>
          <cell r="R65">
            <v>23.04</v>
          </cell>
          <cell r="S65">
            <v>2.2999999999999998</v>
          </cell>
        </row>
        <row r="66">
          <cell r="D66">
            <v>5</v>
          </cell>
          <cell r="K66">
            <v>1.4</v>
          </cell>
          <cell r="N66">
            <v>209.07</v>
          </cell>
          <cell r="O66">
            <v>20.91</v>
          </cell>
          <cell r="P66">
            <v>1371.43</v>
          </cell>
          <cell r="Q66">
            <v>137.13999999999999</v>
          </cell>
          <cell r="R66">
            <v>26.13</v>
          </cell>
          <cell r="S66">
            <v>2.61</v>
          </cell>
        </row>
        <row r="67">
          <cell r="D67">
            <v>2</v>
          </cell>
          <cell r="K67">
            <v>1.8</v>
          </cell>
          <cell r="N67">
            <v>153.6</v>
          </cell>
          <cell r="O67">
            <v>15.36</v>
          </cell>
          <cell r="P67">
            <v>2400</v>
          </cell>
          <cell r="Q67">
            <v>240</v>
          </cell>
          <cell r="R67">
            <v>51.2</v>
          </cell>
          <cell r="S67">
            <v>5.12</v>
          </cell>
        </row>
        <row r="68">
          <cell r="D68">
            <v>5</v>
          </cell>
          <cell r="K68">
            <v>1.5</v>
          </cell>
          <cell r="N68">
            <v>224</v>
          </cell>
          <cell r="O68">
            <v>22.4</v>
          </cell>
          <cell r="P68">
            <v>1371.43</v>
          </cell>
          <cell r="Q68">
            <v>137.13999999999999</v>
          </cell>
          <cell r="R68">
            <v>28</v>
          </cell>
          <cell r="S68">
            <v>2.8</v>
          </cell>
        </row>
        <row r="69">
          <cell r="D69">
            <v>6</v>
          </cell>
          <cell r="K69">
            <v>1.5</v>
          </cell>
          <cell r="N69">
            <v>248</v>
          </cell>
          <cell r="O69">
            <v>24.8</v>
          </cell>
          <cell r="P69">
            <v>1238.71</v>
          </cell>
          <cell r="Q69">
            <v>123.87</v>
          </cell>
          <cell r="R69">
            <v>24.8</v>
          </cell>
          <cell r="S69">
            <v>2.48</v>
          </cell>
        </row>
        <row r="70">
          <cell r="D70">
            <v>2</v>
          </cell>
          <cell r="K70">
            <v>1.5</v>
          </cell>
          <cell r="N70">
            <v>160</v>
          </cell>
          <cell r="O70">
            <v>16</v>
          </cell>
          <cell r="P70">
            <v>1920</v>
          </cell>
          <cell r="Q70">
            <v>192</v>
          </cell>
          <cell r="R70">
            <v>40</v>
          </cell>
          <cell r="S70">
            <v>4</v>
          </cell>
        </row>
        <row r="71">
          <cell r="D71">
            <v>4</v>
          </cell>
          <cell r="K71">
            <v>1.6</v>
          </cell>
          <cell r="N71">
            <v>204.8</v>
          </cell>
          <cell r="O71">
            <v>20.48</v>
          </cell>
          <cell r="P71">
            <v>1600</v>
          </cell>
          <cell r="Q71">
            <v>160</v>
          </cell>
          <cell r="R71">
            <v>29.26</v>
          </cell>
          <cell r="S71">
            <v>2.93</v>
          </cell>
        </row>
        <row r="72">
          <cell r="D72">
            <v>4</v>
          </cell>
          <cell r="K72">
            <v>1.5</v>
          </cell>
          <cell r="N72">
            <v>192</v>
          </cell>
          <cell r="O72">
            <v>19.2</v>
          </cell>
          <cell r="P72">
            <v>1600</v>
          </cell>
          <cell r="Q72">
            <v>160</v>
          </cell>
          <cell r="R72">
            <v>27.43</v>
          </cell>
          <cell r="S72">
            <v>2.74</v>
          </cell>
        </row>
        <row r="73">
          <cell r="D73">
            <v>5</v>
          </cell>
          <cell r="K73">
            <v>1.6</v>
          </cell>
          <cell r="N73">
            <v>238.93</v>
          </cell>
          <cell r="O73">
            <v>23.89</v>
          </cell>
          <cell r="P73">
            <v>1371.43</v>
          </cell>
          <cell r="Q73">
            <v>137.13999999999999</v>
          </cell>
          <cell r="R73">
            <v>29.87</v>
          </cell>
          <cell r="S73">
            <v>2.99</v>
          </cell>
        </row>
        <row r="74">
          <cell r="D74">
            <v>6</v>
          </cell>
          <cell r="K74">
            <v>1.4</v>
          </cell>
          <cell r="N74">
            <v>231.47</v>
          </cell>
          <cell r="O74">
            <v>23.15</v>
          </cell>
          <cell r="P74">
            <v>1238.71</v>
          </cell>
          <cell r="Q74">
            <v>123.87</v>
          </cell>
          <cell r="R74">
            <v>23.15</v>
          </cell>
          <cell r="S74">
            <v>2.31</v>
          </cell>
        </row>
        <row r="75">
          <cell r="D75">
            <v>6</v>
          </cell>
          <cell r="K75">
            <v>1.8</v>
          </cell>
          <cell r="N75">
            <v>297.60000000000002</v>
          </cell>
          <cell r="O75">
            <v>29.76</v>
          </cell>
          <cell r="P75">
            <v>1238.71</v>
          </cell>
          <cell r="Q75">
            <v>123.87</v>
          </cell>
          <cell r="R75">
            <v>29.76</v>
          </cell>
          <cell r="S75">
            <v>2.98</v>
          </cell>
        </row>
        <row r="76">
          <cell r="D76">
            <v>3</v>
          </cell>
          <cell r="K76">
            <v>1.3</v>
          </cell>
          <cell r="N76">
            <v>124.8</v>
          </cell>
          <cell r="O76">
            <v>12.48</v>
          </cell>
          <cell r="P76">
            <v>2133.33</v>
          </cell>
          <cell r="Q76">
            <v>213.33</v>
          </cell>
          <cell r="R76">
            <v>24.96</v>
          </cell>
          <cell r="S76">
            <v>2.5</v>
          </cell>
        </row>
        <row r="77">
          <cell r="D77">
            <v>3</v>
          </cell>
          <cell r="K77">
            <v>1.4</v>
          </cell>
          <cell r="N77">
            <v>134.4</v>
          </cell>
          <cell r="O77">
            <v>13.44</v>
          </cell>
          <cell r="P77">
            <v>2133.33</v>
          </cell>
          <cell r="Q77">
            <v>213.33</v>
          </cell>
          <cell r="R77">
            <v>26.88</v>
          </cell>
          <cell r="S77">
            <v>2.69</v>
          </cell>
        </row>
        <row r="78">
          <cell r="D78">
            <v>4</v>
          </cell>
          <cell r="K78">
            <v>1.4</v>
          </cell>
          <cell r="N78">
            <v>179.2</v>
          </cell>
          <cell r="O78">
            <v>17.920000000000002</v>
          </cell>
          <cell r="P78">
            <v>1600</v>
          </cell>
          <cell r="Q78">
            <v>160</v>
          </cell>
          <cell r="R78">
            <v>25.6</v>
          </cell>
          <cell r="S78">
            <v>2.56</v>
          </cell>
        </row>
        <row r="79">
          <cell r="D79">
            <v>2</v>
          </cell>
          <cell r="K79">
            <v>1.8</v>
          </cell>
          <cell r="N79">
            <v>190.08</v>
          </cell>
          <cell r="O79">
            <v>19.010000000000002</v>
          </cell>
          <cell r="P79">
            <v>2346.67</v>
          </cell>
          <cell r="Q79">
            <v>234.67</v>
          </cell>
          <cell r="R79">
            <v>38.020000000000003</v>
          </cell>
          <cell r="S79">
            <v>3.8</v>
          </cell>
        </row>
        <row r="80">
          <cell r="D80">
            <v>3</v>
          </cell>
          <cell r="K80">
            <v>1.2</v>
          </cell>
          <cell r="N80">
            <v>126.72</v>
          </cell>
          <cell r="O80">
            <v>12.67</v>
          </cell>
          <cell r="P80">
            <v>2346.67</v>
          </cell>
          <cell r="Q80">
            <v>234.67</v>
          </cell>
          <cell r="R80">
            <v>25.34</v>
          </cell>
          <cell r="S80">
            <v>2.5299999999999998</v>
          </cell>
        </row>
        <row r="81">
          <cell r="D81">
            <v>5</v>
          </cell>
          <cell r="K81">
            <v>1.4</v>
          </cell>
          <cell r="N81">
            <v>229.97</v>
          </cell>
          <cell r="O81">
            <v>23</v>
          </cell>
          <cell r="P81">
            <v>1508.57</v>
          </cell>
          <cell r="Q81">
            <v>150.86000000000001</v>
          </cell>
          <cell r="R81">
            <v>28.75</v>
          </cell>
          <cell r="S81">
            <v>2.87</v>
          </cell>
        </row>
        <row r="82">
          <cell r="D82">
            <v>2</v>
          </cell>
          <cell r="K82">
            <v>1.8</v>
          </cell>
          <cell r="N82">
            <v>168.96</v>
          </cell>
          <cell r="O82">
            <v>16.899999999999999</v>
          </cell>
          <cell r="P82">
            <v>2640</v>
          </cell>
          <cell r="Q82">
            <v>264</v>
          </cell>
          <cell r="R82">
            <v>56.32</v>
          </cell>
          <cell r="S82">
            <v>5.63</v>
          </cell>
        </row>
        <row r="83">
          <cell r="D83">
            <v>5</v>
          </cell>
          <cell r="K83">
            <v>1.5</v>
          </cell>
          <cell r="N83">
            <v>246.4</v>
          </cell>
          <cell r="O83">
            <v>24.64</v>
          </cell>
          <cell r="P83">
            <v>1508.57</v>
          </cell>
          <cell r="Q83">
            <v>150.86000000000001</v>
          </cell>
          <cell r="R83">
            <v>30.8</v>
          </cell>
          <cell r="S83">
            <v>3.08</v>
          </cell>
        </row>
        <row r="84">
          <cell r="D84">
            <v>6</v>
          </cell>
          <cell r="K84">
            <v>1.5</v>
          </cell>
          <cell r="N84">
            <v>272.8</v>
          </cell>
          <cell r="O84">
            <v>27.28</v>
          </cell>
          <cell r="P84">
            <v>1362.58</v>
          </cell>
          <cell r="Q84">
            <v>136.26</v>
          </cell>
          <cell r="R84">
            <v>27.28</v>
          </cell>
          <cell r="S84">
            <v>2.73</v>
          </cell>
        </row>
        <row r="85">
          <cell r="D85">
            <v>2</v>
          </cell>
          <cell r="K85">
            <v>1.5</v>
          </cell>
          <cell r="N85">
            <v>176</v>
          </cell>
          <cell r="O85">
            <v>17.600000000000001</v>
          </cell>
          <cell r="P85">
            <v>2112</v>
          </cell>
          <cell r="Q85">
            <v>211.2</v>
          </cell>
          <cell r="R85">
            <v>44</v>
          </cell>
          <cell r="S85">
            <v>4.4000000000000004</v>
          </cell>
        </row>
        <row r="86">
          <cell r="D86">
            <v>4</v>
          </cell>
          <cell r="K86">
            <v>1.6</v>
          </cell>
          <cell r="N86">
            <v>225.28</v>
          </cell>
          <cell r="O86">
            <v>22.53</v>
          </cell>
          <cell r="P86">
            <v>1760</v>
          </cell>
          <cell r="Q86">
            <v>176</v>
          </cell>
          <cell r="R86">
            <v>32.18</v>
          </cell>
          <cell r="S86">
            <v>3.22</v>
          </cell>
        </row>
        <row r="87">
          <cell r="D87">
            <v>4</v>
          </cell>
          <cell r="K87">
            <v>1.5</v>
          </cell>
          <cell r="N87">
            <v>211.2</v>
          </cell>
          <cell r="O87">
            <v>21.12</v>
          </cell>
          <cell r="P87">
            <v>1760</v>
          </cell>
          <cell r="Q87">
            <v>176</v>
          </cell>
          <cell r="R87">
            <v>30.17</v>
          </cell>
          <cell r="S87">
            <v>3.02</v>
          </cell>
        </row>
        <row r="88">
          <cell r="D88">
            <v>5</v>
          </cell>
          <cell r="K88">
            <v>1.6</v>
          </cell>
          <cell r="N88">
            <v>262.83</v>
          </cell>
          <cell r="O88">
            <v>26.28</v>
          </cell>
          <cell r="P88">
            <v>1508.57</v>
          </cell>
          <cell r="Q88">
            <v>150.86000000000001</v>
          </cell>
          <cell r="R88">
            <v>32.85</v>
          </cell>
          <cell r="S88">
            <v>3.29</v>
          </cell>
        </row>
        <row r="89">
          <cell r="D89">
            <v>6</v>
          </cell>
          <cell r="K89">
            <v>1.4</v>
          </cell>
          <cell r="N89">
            <v>254.61</v>
          </cell>
          <cell r="O89">
            <v>25.46</v>
          </cell>
          <cell r="P89">
            <v>1362.58</v>
          </cell>
          <cell r="Q89">
            <v>136.26</v>
          </cell>
          <cell r="R89">
            <v>25.46</v>
          </cell>
          <cell r="S89">
            <v>2.5499999999999998</v>
          </cell>
        </row>
        <row r="90">
          <cell r="D90">
            <v>6</v>
          </cell>
          <cell r="K90">
            <v>1.8</v>
          </cell>
          <cell r="N90">
            <v>327.36</v>
          </cell>
          <cell r="O90">
            <v>32.74</v>
          </cell>
          <cell r="P90">
            <v>1362.58</v>
          </cell>
          <cell r="Q90">
            <v>136.26</v>
          </cell>
          <cell r="R90">
            <v>32.74</v>
          </cell>
          <cell r="S90">
            <v>3.27</v>
          </cell>
        </row>
        <row r="91">
          <cell r="D91">
            <v>3</v>
          </cell>
          <cell r="K91">
            <v>1.3</v>
          </cell>
          <cell r="N91">
            <v>137.28</v>
          </cell>
          <cell r="O91">
            <v>13.73</v>
          </cell>
          <cell r="P91">
            <v>2346.67</v>
          </cell>
          <cell r="Q91">
            <v>234.67</v>
          </cell>
          <cell r="R91">
            <v>27.46</v>
          </cell>
          <cell r="S91">
            <v>2.75</v>
          </cell>
        </row>
        <row r="92">
          <cell r="D92">
            <v>3</v>
          </cell>
          <cell r="K92">
            <v>1.4</v>
          </cell>
          <cell r="N92">
            <v>147.84</v>
          </cell>
          <cell r="O92">
            <v>14.78</v>
          </cell>
          <cell r="P92">
            <v>2346.67</v>
          </cell>
          <cell r="Q92">
            <v>234.67</v>
          </cell>
          <cell r="R92">
            <v>29.57</v>
          </cell>
          <cell r="S92">
            <v>2.96</v>
          </cell>
        </row>
        <row r="93">
          <cell r="D93">
            <v>4</v>
          </cell>
          <cell r="K93">
            <v>1.4</v>
          </cell>
          <cell r="N93">
            <v>197.12</v>
          </cell>
          <cell r="O93">
            <v>19.71</v>
          </cell>
          <cell r="P93">
            <v>1760</v>
          </cell>
          <cell r="Q93">
            <v>176</v>
          </cell>
          <cell r="R93">
            <v>28.16</v>
          </cell>
          <cell r="S93">
            <v>2.82</v>
          </cell>
        </row>
        <row r="94">
          <cell r="D94">
            <v>2</v>
          </cell>
          <cell r="K94">
            <v>1.5</v>
          </cell>
          <cell r="N94">
            <v>128</v>
          </cell>
          <cell r="O94">
            <v>12.8</v>
          </cell>
          <cell r="P94">
            <v>1536</v>
          </cell>
          <cell r="Q94">
            <v>153.6</v>
          </cell>
          <cell r="R94">
            <v>32</v>
          </cell>
          <cell r="S94">
            <v>3.2</v>
          </cell>
        </row>
        <row r="95">
          <cell r="D95">
            <v>2</v>
          </cell>
          <cell r="K95">
            <v>1.8</v>
          </cell>
          <cell r="N95">
            <v>122.88</v>
          </cell>
          <cell r="O95">
            <v>12.29</v>
          </cell>
          <cell r="P95">
            <v>1920</v>
          </cell>
          <cell r="Q95">
            <v>192</v>
          </cell>
          <cell r="R95">
            <v>40.96</v>
          </cell>
          <cell r="S95">
            <v>4.0999999999999996</v>
          </cell>
        </row>
        <row r="96">
          <cell r="D96">
            <v>2</v>
          </cell>
          <cell r="K96">
            <v>1.8</v>
          </cell>
          <cell r="N96">
            <v>138.24</v>
          </cell>
          <cell r="O96">
            <v>13.82</v>
          </cell>
          <cell r="P96">
            <v>1706.67</v>
          </cell>
          <cell r="Q96">
            <v>170.67</v>
          </cell>
          <cell r="R96">
            <v>27.65</v>
          </cell>
          <cell r="S96">
            <v>2.76</v>
          </cell>
        </row>
        <row r="97">
          <cell r="D97">
            <v>3</v>
          </cell>
          <cell r="K97">
            <v>1.2</v>
          </cell>
          <cell r="N97">
            <v>92.16</v>
          </cell>
          <cell r="O97">
            <v>9.2200000000000006</v>
          </cell>
          <cell r="P97">
            <v>1706.67</v>
          </cell>
          <cell r="Q97">
            <v>170.67</v>
          </cell>
          <cell r="R97">
            <v>18.43</v>
          </cell>
          <cell r="S97">
            <v>1.84</v>
          </cell>
        </row>
        <row r="98">
          <cell r="D98">
            <v>4</v>
          </cell>
          <cell r="K98">
            <v>1.6</v>
          </cell>
          <cell r="N98">
            <v>163.84</v>
          </cell>
          <cell r="O98">
            <v>16.38</v>
          </cell>
          <cell r="P98">
            <v>1280</v>
          </cell>
          <cell r="Q98">
            <v>128</v>
          </cell>
          <cell r="R98">
            <v>23.41</v>
          </cell>
          <cell r="S98">
            <v>2.34</v>
          </cell>
        </row>
        <row r="99">
          <cell r="D99">
            <v>4</v>
          </cell>
          <cell r="K99">
            <v>1.5</v>
          </cell>
          <cell r="N99">
            <v>153.6</v>
          </cell>
          <cell r="O99">
            <v>15.36</v>
          </cell>
          <cell r="P99">
            <v>1280</v>
          </cell>
          <cell r="Q99">
            <v>128</v>
          </cell>
          <cell r="R99">
            <v>21.94</v>
          </cell>
          <cell r="S99">
            <v>2.19</v>
          </cell>
        </row>
        <row r="100">
          <cell r="D100">
            <v>5</v>
          </cell>
          <cell r="K100">
            <v>1.5</v>
          </cell>
          <cell r="N100">
            <v>179.2</v>
          </cell>
          <cell r="O100">
            <v>17.920000000000002</v>
          </cell>
          <cell r="P100">
            <v>1097.1400000000001</v>
          </cell>
          <cell r="Q100">
            <v>109.71</v>
          </cell>
          <cell r="R100">
            <v>22.4</v>
          </cell>
          <cell r="S100">
            <v>2.2400000000000002</v>
          </cell>
        </row>
        <row r="101">
          <cell r="D101">
            <v>5</v>
          </cell>
          <cell r="K101">
            <v>1.4</v>
          </cell>
          <cell r="N101">
            <v>167.25</v>
          </cell>
          <cell r="O101">
            <v>16.73</v>
          </cell>
          <cell r="P101">
            <v>1097.1400000000001</v>
          </cell>
          <cell r="Q101">
            <v>109.71</v>
          </cell>
          <cell r="R101">
            <v>20.91</v>
          </cell>
          <cell r="S101">
            <v>2.09</v>
          </cell>
        </row>
        <row r="102">
          <cell r="D102">
            <v>6</v>
          </cell>
          <cell r="K102">
            <v>1.5</v>
          </cell>
          <cell r="N102">
            <v>198.4</v>
          </cell>
          <cell r="O102">
            <v>19.84</v>
          </cell>
          <cell r="P102">
            <v>990.97</v>
          </cell>
          <cell r="Q102">
            <v>99.1</v>
          </cell>
          <cell r="R102">
            <v>19.84</v>
          </cell>
          <cell r="S102">
            <v>1.98</v>
          </cell>
        </row>
        <row r="103">
          <cell r="D103">
            <v>2</v>
          </cell>
          <cell r="K103">
            <v>1.5</v>
          </cell>
          <cell r="N103">
            <v>128</v>
          </cell>
          <cell r="O103">
            <v>12.8</v>
          </cell>
          <cell r="P103">
            <v>1536</v>
          </cell>
          <cell r="Q103">
            <v>153.6</v>
          </cell>
          <cell r="R103">
            <v>32</v>
          </cell>
          <cell r="S103">
            <v>3.2</v>
          </cell>
        </row>
        <row r="104">
          <cell r="D104">
            <v>2</v>
          </cell>
          <cell r="K104">
            <v>1.8</v>
          </cell>
          <cell r="N104">
            <v>122.88</v>
          </cell>
          <cell r="O104">
            <v>12.29</v>
          </cell>
          <cell r="P104">
            <v>1920</v>
          </cell>
          <cell r="Q104">
            <v>192</v>
          </cell>
          <cell r="R104">
            <v>40.96</v>
          </cell>
          <cell r="S104">
            <v>4.0999999999999996</v>
          </cell>
        </row>
        <row r="105">
          <cell r="D105">
            <v>2</v>
          </cell>
          <cell r="K105">
            <v>1.8</v>
          </cell>
          <cell r="N105">
            <v>138.24</v>
          </cell>
          <cell r="O105">
            <v>13.82</v>
          </cell>
          <cell r="P105">
            <v>1706.67</v>
          </cell>
          <cell r="Q105">
            <v>170.67</v>
          </cell>
          <cell r="R105">
            <v>27.65</v>
          </cell>
          <cell r="S105">
            <v>2.76</v>
          </cell>
        </row>
        <row r="106">
          <cell r="D106">
            <v>3</v>
          </cell>
          <cell r="K106">
            <v>1.2</v>
          </cell>
          <cell r="N106">
            <v>92.16</v>
          </cell>
          <cell r="O106">
            <v>9.2200000000000006</v>
          </cell>
          <cell r="P106">
            <v>1706.67</v>
          </cell>
          <cell r="Q106">
            <v>170.67</v>
          </cell>
          <cell r="R106">
            <v>18.43</v>
          </cell>
          <cell r="S106">
            <v>1.84</v>
          </cell>
        </row>
        <row r="107">
          <cell r="D107">
            <v>4</v>
          </cell>
          <cell r="K107">
            <v>1.6</v>
          </cell>
          <cell r="N107">
            <v>163.84</v>
          </cell>
          <cell r="O107">
            <v>16.38</v>
          </cell>
          <cell r="P107">
            <v>1280</v>
          </cell>
          <cell r="Q107">
            <v>128</v>
          </cell>
          <cell r="R107">
            <v>23.41</v>
          </cell>
          <cell r="S107">
            <v>2.34</v>
          </cell>
        </row>
        <row r="108">
          <cell r="D108">
            <v>4</v>
          </cell>
          <cell r="K108">
            <v>1.5</v>
          </cell>
          <cell r="N108">
            <v>153.6</v>
          </cell>
          <cell r="O108">
            <v>15.36</v>
          </cell>
          <cell r="P108">
            <v>1280</v>
          </cell>
          <cell r="Q108">
            <v>128</v>
          </cell>
          <cell r="R108">
            <v>21.94</v>
          </cell>
          <cell r="S108">
            <v>2.19</v>
          </cell>
        </row>
        <row r="109">
          <cell r="D109">
            <v>5</v>
          </cell>
          <cell r="K109">
            <v>1.5</v>
          </cell>
          <cell r="N109">
            <v>179.2</v>
          </cell>
          <cell r="O109">
            <v>17.920000000000002</v>
          </cell>
          <cell r="P109">
            <v>1097.1400000000001</v>
          </cell>
          <cell r="Q109">
            <v>109.71</v>
          </cell>
          <cell r="R109">
            <v>22.4</v>
          </cell>
          <cell r="S109">
            <v>2.2400000000000002</v>
          </cell>
        </row>
        <row r="110">
          <cell r="D110">
            <v>5</v>
          </cell>
          <cell r="K110">
            <v>1.4</v>
          </cell>
          <cell r="N110">
            <v>167.25</v>
          </cell>
          <cell r="O110">
            <v>16.73</v>
          </cell>
          <cell r="P110">
            <v>1097.1400000000001</v>
          </cell>
          <cell r="Q110">
            <v>109.71</v>
          </cell>
          <cell r="R110">
            <v>20.91</v>
          </cell>
          <cell r="S110">
            <v>2.09</v>
          </cell>
        </row>
        <row r="111">
          <cell r="D111">
            <v>6</v>
          </cell>
          <cell r="K111">
            <v>1.5</v>
          </cell>
          <cell r="N111">
            <v>198.4</v>
          </cell>
          <cell r="O111">
            <v>19.84</v>
          </cell>
          <cell r="P111">
            <v>990.97</v>
          </cell>
          <cell r="Q111">
            <v>99.1</v>
          </cell>
          <cell r="R111">
            <v>19.84</v>
          </cell>
          <cell r="S111">
            <v>1.98</v>
          </cell>
        </row>
        <row r="112">
          <cell r="D112">
            <v>2</v>
          </cell>
          <cell r="K112">
            <v>1.5</v>
          </cell>
          <cell r="N112">
            <v>128</v>
          </cell>
          <cell r="O112">
            <v>12.8</v>
          </cell>
          <cell r="P112">
            <v>1536</v>
          </cell>
          <cell r="Q112">
            <v>153.6</v>
          </cell>
          <cell r="R112">
            <v>32</v>
          </cell>
          <cell r="S112">
            <v>3.2</v>
          </cell>
        </row>
        <row r="113">
          <cell r="D113">
            <v>2</v>
          </cell>
          <cell r="K113">
            <v>1.8</v>
          </cell>
          <cell r="N113">
            <v>122.88</v>
          </cell>
          <cell r="O113">
            <v>12.29</v>
          </cell>
          <cell r="P113">
            <v>1920</v>
          </cell>
          <cell r="Q113">
            <v>192</v>
          </cell>
          <cell r="R113">
            <v>40.96</v>
          </cell>
          <cell r="S113">
            <v>4.0999999999999996</v>
          </cell>
        </row>
        <row r="114">
          <cell r="D114">
            <v>2</v>
          </cell>
          <cell r="K114">
            <v>1.8</v>
          </cell>
          <cell r="N114">
            <v>138.24</v>
          </cell>
          <cell r="O114">
            <v>13.82</v>
          </cell>
          <cell r="P114">
            <v>1706.67</v>
          </cell>
          <cell r="Q114">
            <v>170.67</v>
          </cell>
          <cell r="R114">
            <v>27.65</v>
          </cell>
          <cell r="S114">
            <v>2.76</v>
          </cell>
        </row>
        <row r="115">
          <cell r="D115">
            <v>3</v>
          </cell>
          <cell r="K115">
            <v>1.2</v>
          </cell>
          <cell r="N115">
            <v>92.16</v>
          </cell>
          <cell r="O115">
            <v>9.2200000000000006</v>
          </cell>
          <cell r="P115">
            <v>1706.67</v>
          </cell>
          <cell r="Q115">
            <v>170.67</v>
          </cell>
          <cell r="R115">
            <v>18.43</v>
          </cell>
          <cell r="S115">
            <v>1.84</v>
          </cell>
        </row>
        <row r="116">
          <cell r="D116">
            <v>4</v>
          </cell>
          <cell r="K116">
            <v>1.6</v>
          </cell>
          <cell r="N116">
            <v>163.84</v>
          </cell>
          <cell r="O116">
            <v>16.38</v>
          </cell>
          <cell r="P116">
            <v>1280</v>
          </cell>
          <cell r="Q116">
            <v>128</v>
          </cell>
          <cell r="R116">
            <v>23.41</v>
          </cell>
          <cell r="S116">
            <v>2.34</v>
          </cell>
        </row>
        <row r="117">
          <cell r="D117">
            <v>4</v>
          </cell>
          <cell r="K117">
            <v>1.5</v>
          </cell>
          <cell r="N117">
            <v>153.6</v>
          </cell>
          <cell r="O117">
            <v>15.36</v>
          </cell>
          <cell r="P117">
            <v>1280</v>
          </cell>
          <cell r="Q117">
            <v>128</v>
          </cell>
          <cell r="R117">
            <v>21.94</v>
          </cell>
          <cell r="S117">
            <v>2.19</v>
          </cell>
        </row>
        <row r="118">
          <cell r="D118">
            <v>5</v>
          </cell>
          <cell r="K118">
            <v>1.5</v>
          </cell>
          <cell r="N118">
            <v>179.2</v>
          </cell>
          <cell r="O118">
            <v>17.920000000000002</v>
          </cell>
          <cell r="P118">
            <v>1097.1400000000001</v>
          </cell>
          <cell r="Q118">
            <v>109.71</v>
          </cell>
          <cell r="R118">
            <v>22.4</v>
          </cell>
          <cell r="S118">
            <v>2.2400000000000002</v>
          </cell>
        </row>
        <row r="119">
          <cell r="D119">
            <v>5</v>
          </cell>
          <cell r="K119">
            <v>1.4</v>
          </cell>
          <cell r="N119">
            <v>167.25</v>
          </cell>
          <cell r="O119">
            <v>16.73</v>
          </cell>
          <cell r="P119">
            <v>1097.1400000000001</v>
          </cell>
          <cell r="Q119">
            <v>109.71</v>
          </cell>
          <cell r="R119">
            <v>20.91</v>
          </cell>
          <cell r="S119">
            <v>2.09</v>
          </cell>
        </row>
        <row r="120">
          <cell r="D120">
            <v>6</v>
          </cell>
          <cell r="K120">
            <v>1.5</v>
          </cell>
          <cell r="N120">
            <v>198.4</v>
          </cell>
          <cell r="O120">
            <v>19.84</v>
          </cell>
          <cell r="P120">
            <v>990.97</v>
          </cell>
          <cell r="Q120">
            <v>99.1</v>
          </cell>
          <cell r="R120">
            <v>19.84</v>
          </cell>
          <cell r="S120">
            <v>1.98</v>
          </cell>
        </row>
        <row r="121">
          <cell r="D121">
            <v>2</v>
          </cell>
          <cell r="K121">
            <v>1.8</v>
          </cell>
          <cell r="N121">
            <v>122.88</v>
          </cell>
          <cell r="O121">
            <v>12.29</v>
          </cell>
          <cell r="P121">
            <v>1920</v>
          </cell>
          <cell r="Q121">
            <v>192</v>
          </cell>
          <cell r="R121">
            <v>40.96</v>
          </cell>
          <cell r="S121">
            <v>4.0999999999999996</v>
          </cell>
        </row>
        <row r="122">
          <cell r="D122">
            <v>3</v>
          </cell>
          <cell r="K122">
            <v>1.4</v>
          </cell>
          <cell r="N122">
            <v>107.52</v>
          </cell>
          <cell r="O122">
            <v>10.75</v>
          </cell>
          <cell r="P122">
            <v>1706.67</v>
          </cell>
          <cell r="Q122">
            <v>170.67</v>
          </cell>
          <cell r="R122">
            <v>21.5</v>
          </cell>
          <cell r="S122">
            <v>2.15</v>
          </cell>
        </row>
        <row r="123">
          <cell r="D123">
            <v>5</v>
          </cell>
          <cell r="K123">
            <v>1.6</v>
          </cell>
          <cell r="N123">
            <v>191.15</v>
          </cell>
          <cell r="O123">
            <v>19.11</v>
          </cell>
          <cell r="P123">
            <v>1097.1400000000001</v>
          </cell>
          <cell r="Q123">
            <v>109.71</v>
          </cell>
          <cell r="R123">
            <v>23.89</v>
          </cell>
          <cell r="S123">
            <v>2.39</v>
          </cell>
        </row>
        <row r="124">
          <cell r="D124">
            <v>6</v>
          </cell>
          <cell r="K124">
            <v>1.4</v>
          </cell>
          <cell r="N124">
            <v>185.17</v>
          </cell>
          <cell r="O124">
            <v>18.52</v>
          </cell>
          <cell r="P124">
            <v>990.97</v>
          </cell>
          <cell r="Q124">
            <v>99.1</v>
          </cell>
          <cell r="R124">
            <v>18.52</v>
          </cell>
          <cell r="S124">
            <v>1.85</v>
          </cell>
        </row>
        <row r="125">
          <cell r="D125">
            <v>6</v>
          </cell>
          <cell r="K125">
            <v>1.8</v>
          </cell>
          <cell r="N125">
            <v>238.08</v>
          </cell>
          <cell r="O125">
            <v>23.81</v>
          </cell>
          <cell r="P125">
            <v>990.97</v>
          </cell>
          <cell r="Q125">
            <v>99.1</v>
          </cell>
          <cell r="R125">
            <v>23.81</v>
          </cell>
          <cell r="S125">
            <v>2.38</v>
          </cell>
        </row>
        <row r="126">
          <cell r="D126">
            <v>2</v>
          </cell>
          <cell r="K126">
            <v>1.8</v>
          </cell>
          <cell r="N126">
            <v>138.24</v>
          </cell>
          <cell r="O126">
            <v>13.82</v>
          </cell>
          <cell r="P126">
            <v>1706.67</v>
          </cell>
          <cell r="Q126">
            <v>170.67</v>
          </cell>
          <cell r="R126">
            <v>27.65</v>
          </cell>
          <cell r="S126">
            <v>2.76</v>
          </cell>
        </row>
        <row r="127">
          <cell r="D127">
            <v>3</v>
          </cell>
          <cell r="K127">
            <v>1.3</v>
          </cell>
          <cell r="N127">
            <v>99.84</v>
          </cell>
          <cell r="O127">
            <v>9.98</v>
          </cell>
          <cell r="P127">
            <v>1706.67</v>
          </cell>
          <cell r="Q127">
            <v>170.67</v>
          </cell>
          <cell r="R127">
            <v>19.97</v>
          </cell>
          <cell r="S127">
            <v>2</v>
          </cell>
        </row>
        <row r="128">
          <cell r="D128">
            <v>3</v>
          </cell>
          <cell r="K128">
            <v>1.4</v>
          </cell>
          <cell r="N128">
            <v>107.52</v>
          </cell>
          <cell r="O128">
            <v>10.75</v>
          </cell>
          <cell r="P128">
            <v>1706.67</v>
          </cell>
          <cell r="Q128">
            <v>170.67</v>
          </cell>
          <cell r="R128">
            <v>21.5</v>
          </cell>
          <cell r="S128">
            <v>2.15</v>
          </cell>
        </row>
        <row r="129">
          <cell r="D129">
            <v>4</v>
          </cell>
          <cell r="K129">
            <v>1.4</v>
          </cell>
          <cell r="N129">
            <v>143.36000000000001</v>
          </cell>
          <cell r="O129">
            <v>14.34</v>
          </cell>
          <cell r="P129">
            <v>1280</v>
          </cell>
          <cell r="Q129">
            <v>128</v>
          </cell>
          <cell r="R129">
            <v>20.48</v>
          </cell>
          <cell r="S129">
            <v>2.0499999999999998</v>
          </cell>
        </row>
        <row r="130">
          <cell r="D130">
            <v>5</v>
          </cell>
          <cell r="K130">
            <v>1.6</v>
          </cell>
          <cell r="N130">
            <v>191.15</v>
          </cell>
          <cell r="O130">
            <v>19.11</v>
          </cell>
          <cell r="P130">
            <v>1097.1400000000001</v>
          </cell>
          <cell r="Q130">
            <v>109.71</v>
          </cell>
          <cell r="R130">
            <v>23.89</v>
          </cell>
          <cell r="S130">
            <v>2.39</v>
          </cell>
        </row>
        <row r="131">
          <cell r="D131">
            <v>2</v>
          </cell>
          <cell r="K131">
            <v>1.5</v>
          </cell>
          <cell r="N131">
            <v>144</v>
          </cell>
          <cell r="O131">
            <v>14.4</v>
          </cell>
          <cell r="P131">
            <v>1728</v>
          </cell>
          <cell r="Q131">
            <v>172.8</v>
          </cell>
          <cell r="R131">
            <v>36</v>
          </cell>
          <cell r="S131">
            <v>3.6</v>
          </cell>
        </row>
        <row r="132">
          <cell r="D132">
            <v>2</v>
          </cell>
          <cell r="K132">
            <v>1.8</v>
          </cell>
          <cell r="N132">
            <v>138.24</v>
          </cell>
          <cell r="O132">
            <v>13.82</v>
          </cell>
          <cell r="P132">
            <v>2160</v>
          </cell>
          <cell r="Q132">
            <v>216</v>
          </cell>
          <cell r="R132">
            <v>46.08</v>
          </cell>
          <cell r="S132">
            <v>4.6100000000000003</v>
          </cell>
        </row>
        <row r="133">
          <cell r="D133">
            <v>2</v>
          </cell>
          <cell r="K133">
            <v>1.8</v>
          </cell>
          <cell r="N133">
            <v>155.52000000000001</v>
          </cell>
          <cell r="O133">
            <v>15.55</v>
          </cell>
          <cell r="P133">
            <v>1920</v>
          </cell>
          <cell r="Q133">
            <v>192</v>
          </cell>
          <cell r="R133">
            <v>31.1</v>
          </cell>
          <cell r="S133">
            <v>3.11</v>
          </cell>
        </row>
        <row r="134">
          <cell r="D134">
            <v>3</v>
          </cell>
          <cell r="K134">
            <v>1.2</v>
          </cell>
          <cell r="N134">
            <v>103.68</v>
          </cell>
          <cell r="O134">
            <v>10.37</v>
          </cell>
          <cell r="P134">
            <v>1920</v>
          </cell>
          <cell r="Q134">
            <v>192</v>
          </cell>
          <cell r="R134">
            <v>20.74</v>
          </cell>
          <cell r="S134">
            <v>2.0699999999999998</v>
          </cell>
        </row>
        <row r="135">
          <cell r="D135">
            <v>4</v>
          </cell>
          <cell r="K135">
            <v>1.6</v>
          </cell>
          <cell r="N135">
            <v>184.32</v>
          </cell>
          <cell r="O135">
            <v>18.43</v>
          </cell>
          <cell r="P135">
            <v>1440</v>
          </cell>
          <cell r="Q135">
            <v>144</v>
          </cell>
          <cell r="R135">
            <v>26.33</v>
          </cell>
          <cell r="S135">
            <v>2.63</v>
          </cell>
        </row>
        <row r="136">
          <cell r="D136">
            <v>4</v>
          </cell>
          <cell r="K136">
            <v>1.5</v>
          </cell>
          <cell r="N136">
            <v>172.8</v>
          </cell>
          <cell r="O136">
            <v>17.28</v>
          </cell>
          <cell r="P136">
            <v>1440</v>
          </cell>
          <cell r="Q136">
            <v>144</v>
          </cell>
          <cell r="R136">
            <v>24.69</v>
          </cell>
          <cell r="S136">
            <v>2.4700000000000002</v>
          </cell>
        </row>
        <row r="137">
          <cell r="D137">
            <v>5</v>
          </cell>
          <cell r="K137">
            <v>1.5</v>
          </cell>
          <cell r="N137">
            <v>201.6</v>
          </cell>
          <cell r="O137">
            <v>20.16</v>
          </cell>
          <cell r="P137">
            <v>1234.29</v>
          </cell>
          <cell r="Q137">
            <v>123.43</v>
          </cell>
          <cell r="R137">
            <v>25.2</v>
          </cell>
          <cell r="S137">
            <v>2.52</v>
          </cell>
        </row>
        <row r="138">
          <cell r="D138">
            <v>5</v>
          </cell>
          <cell r="K138">
            <v>1.4</v>
          </cell>
          <cell r="N138">
            <v>188.16</v>
          </cell>
          <cell r="O138">
            <v>18.82</v>
          </cell>
          <cell r="P138">
            <v>1234.29</v>
          </cell>
          <cell r="Q138">
            <v>123.43</v>
          </cell>
          <cell r="R138">
            <v>23.52</v>
          </cell>
          <cell r="S138">
            <v>2.35</v>
          </cell>
        </row>
        <row r="139">
          <cell r="D139">
            <v>6</v>
          </cell>
          <cell r="K139">
            <v>1.5</v>
          </cell>
          <cell r="N139">
            <v>223.2</v>
          </cell>
          <cell r="O139">
            <v>22.32</v>
          </cell>
          <cell r="P139">
            <v>1114.8399999999999</v>
          </cell>
          <cell r="Q139">
            <v>111.48</v>
          </cell>
          <cell r="R139">
            <v>22.32</v>
          </cell>
          <cell r="S139">
            <v>2.23</v>
          </cell>
        </row>
        <row r="140">
          <cell r="D140">
            <v>2</v>
          </cell>
          <cell r="K140">
            <v>1.5</v>
          </cell>
          <cell r="N140">
            <v>144</v>
          </cell>
          <cell r="O140">
            <v>14.4</v>
          </cell>
          <cell r="P140">
            <v>1728</v>
          </cell>
          <cell r="Q140">
            <v>172.8</v>
          </cell>
          <cell r="R140">
            <v>36</v>
          </cell>
          <cell r="S140">
            <v>3.6</v>
          </cell>
        </row>
        <row r="141">
          <cell r="D141">
            <v>2</v>
          </cell>
          <cell r="K141">
            <v>1.8</v>
          </cell>
          <cell r="N141">
            <v>138.24</v>
          </cell>
          <cell r="O141">
            <v>13.82</v>
          </cell>
          <cell r="P141">
            <v>2160</v>
          </cell>
          <cell r="Q141">
            <v>216</v>
          </cell>
          <cell r="R141">
            <v>46.08</v>
          </cell>
          <cell r="S141">
            <v>4.6100000000000003</v>
          </cell>
        </row>
        <row r="142">
          <cell r="D142">
            <v>2</v>
          </cell>
          <cell r="K142">
            <v>1.8</v>
          </cell>
          <cell r="N142">
            <v>155.52000000000001</v>
          </cell>
          <cell r="O142">
            <v>15.55</v>
          </cell>
          <cell r="P142">
            <v>1920</v>
          </cell>
          <cell r="Q142">
            <v>192</v>
          </cell>
          <cell r="R142">
            <v>31.1</v>
          </cell>
          <cell r="S142">
            <v>3.11</v>
          </cell>
        </row>
        <row r="143">
          <cell r="D143">
            <v>3</v>
          </cell>
          <cell r="K143">
            <v>1.2</v>
          </cell>
          <cell r="N143">
            <v>103.68</v>
          </cell>
          <cell r="O143">
            <v>10.37</v>
          </cell>
          <cell r="P143">
            <v>1920</v>
          </cell>
          <cell r="Q143">
            <v>192</v>
          </cell>
          <cell r="R143">
            <v>20.74</v>
          </cell>
          <cell r="S143">
            <v>2.0699999999999998</v>
          </cell>
        </row>
        <row r="144">
          <cell r="D144">
            <v>4</v>
          </cell>
          <cell r="K144">
            <v>1.6</v>
          </cell>
          <cell r="N144">
            <v>184.32</v>
          </cell>
          <cell r="O144">
            <v>18.43</v>
          </cell>
          <cell r="P144">
            <v>1440</v>
          </cell>
          <cell r="Q144">
            <v>144</v>
          </cell>
          <cell r="R144">
            <v>26.33</v>
          </cell>
          <cell r="S144">
            <v>2.63</v>
          </cell>
        </row>
        <row r="145">
          <cell r="D145">
            <v>4</v>
          </cell>
          <cell r="K145">
            <v>1.5</v>
          </cell>
          <cell r="N145">
            <v>172.8</v>
          </cell>
          <cell r="O145">
            <v>17.28</v>
          </cell>
          <cell r="P145">
            <v>1440</v>
          </cell>
          <cell r="Q145">
            <v>144</v>
          </cell>
          <cell r="R145">
            <v>24.69</v>
          </cell>
          <cell r="S145">
            <v>2.4700000000000002</v>
          </cell>
        </row>
        <row r="146">
          <cell r="D146">
            <v>5</v>
          </cell>
          <cell r="K146">
            <v>1.5</v>
          </cell>
          <cell r="N146">
            <v>201.6</v>
          </cell>
          <cell r="O146">
            <v>20.16</v>
          </cell>
          <cell r="P146">
            <v>1234.29</v>
          </cell>
          <cell r="Q146">
            <v>123.43</v>
          </cell>
          <cell r="R146">
            <v>25.2</v>
          </cell>
          <cell r="S146">
            <v>2.52</v>
          </cell>
        </row>
        <row r="147">
          <cell r="D147">
            <v>5</v>
          </cell>
          <cell r="K147">
            <v>1.4</v>
          </cell>
          <cell r="N147">
            <v>188.16</v>
          </cell>
          <cell r="O147">
            <v>18.82</v>
          </cell>
          <cell r="P147">
            <v>1234.29</v>
          </cell>
          <cell r="Q147">
            <v>123.43</v>
          </cell>
          <cell r="R147">
            <v>23.52</v>
          </cell>
          <cell r="S147">
            <v>2.35</v>
          </cell>
        </row>
        <row r="148">
          <cell r="D148">
            <v>6</v>
          </cell>
          <cell r="K148">
            <v>1.5</v>
          </cell>
          <cell r="N148">
            <v>223.2</v>
          </cell>
          <cell r="O148">
            <v>22.32</v>
          </cell>
          <cell r="P148">
            <v>1114.8399999999999</v>
          </cell>
          <cell r="Q148">
            <v>111.48</v>
          </cell>
          <cell r="R148">
            <v>22.32</v>
          </cell>
          <cell r="S148">
            <v>2.23</v>
          </cell>
        </row>
        <row r="149">
          <cell r="D149">
            <v>2</v>
          </cell>
          <cell r="K149">
            <v>1.5</v>
          </cell>
          <cell r="N149">
            <v>144</v>
          </cell>
          <cell r="O149">
            <v>14.4</v>
          </cell>
          <cell r="P149">
            <v>1728</v>
          </cell>
          <cell r="Q149">
            <v>172.8</v>
          </cell>
          <cell r="R149">
            <v>36</v>
          </cell>
          <cell r="S149">
            <v>3.6</v>
          </cell>
        </row>
        <row r="150">
          <cell r="D150">
            <v>2</v>
          </cell>
          <cell r="K150">
            <v>1.8</v>
          </cell>
          <cell r="N150">
            <v>138.24</v>
          </cell>
          <cell r="O150">
            <v>13.82</v>
          </cell>
          <cell r="P150">
            <v>2160</v>
          </cell>
          <cell r="Q150">
            <v>216</v>
          </cell>
          <cell r="R150">
            <v>46.08</v>
          </cell>
          <cell r="S150">
            <v>4.6100000000000003</v>
          </cell>
        </row>
        <row r="151">
          <cell r="D151">
            <v>2</v>
          </cell>
          <cell r="K151">
            <v>1.8</v>
          </cell>
          <cell r="N151">
            <v>155.52000000000001</v>
          </cell>
          <cell r="O151">
            <v>15.55</v>
          </cell>
          <cell r="P151">
            <v>1920</v>
          </cell>
          <cell r="Q151">
            <v>192</v>
          </cell>
          <cell r="R151">
            <v>31.1</v>
          </cell>
          <cell r="S151">
            <v>3.11</v>
          </cell>
        </row>
        <row r="152">
          <cell r="D152">
            <v>3</v>
          </cell>
          <cell r="K152">
            <v>1.2</v>
          </cell>
          <cell r="N152">
            <v>103.68</v>
          </cell>
          <cell r="O152">
            <v>10.37</v>
          </cell>
          <cell r="P152">
            <v>1920</v>
          </cell>
          <cell r="Q152">
            <v>192</v>
          </cell>
          <cell r="R152">
            <v>20.74</v>
          </cell>
          <cell r="S152">
            <v>2.0699999999999998</v>
          </cell>
        </row>
        <row r="153">
          <cell r="D153">
            <v>4</v>
          </cell>
          <cell r="K153">
            <v>1.6</v>
          </cell>
          <cell r="N153">
            <v>184.32</v>
          </cell>
          <cell r="O153">
            <v>18.43</v>
          </cell>
          <cell r="P153">
            <v>1440</v>
          </cell>
          <cell r="Q153">
            <v>144</v>
          </cell>
          <cell r="R153">
            <v>26.33</v>
          </cell>
          <cell r="S153">
            <v>2.63</v>
          </cell>
        </row>
        <row r="154">
          <cell r="D154">
            <v>4</v>
          </cell>
          <cell r="K154">
            <v>1.5</v>
          </cell>
          <cell r="N154">
            <v>172.8</v>
          </cell>
          <cell r="O154">
            <v>17.28</v>
          </cell>
          <cell r="P154">
            <v>1440</v>
          </cell>
          <cell r="Q154">
            <v>144</v>
          </cell>
          <cell r="R154">
            <v>24.69</v>
          </cell>
          <cell r="S154">
            <v>2.4700000000000002</v>
          </cell>
        </row>
        <row r="155">
          <cell r="D155">
            <v>5</v>
          </cell>
          <cell r="K155">
            <v>1.5</v>
          </cell>
          <cell r="N155">
            <v>201.6</v>
          </cell>
          <cell r="O155">
            <v>20.16</v>
          </cell>
          <cell r="P155">
            <v>1234.29</v>
          </cell>
          <cell r="Q155">
            <v>123.43</v>
          </cell>
          <cell r="R155">
            <v>25.2</v>
          </cell>
          <cell r="S155">
            <v>2.52</v>
          </cell>
        </row>
        <row r="156">
          <cell r="D156">
            <v>5</v>
          </cell>
          <cell r="K156">
            <v>1.4</v>
          </cell>
          <cell r="N156">
            <v>188.16</v>
          </cell>
          <cell r="O156">
            <v>18.82</v>
          </cell>
          <cell r="P156">
            <v>1234.29</v>
          </cell>
          <cell r="Q156">
            <v>123.43</v>
          </cell>
          <cell r="R156">
            <v>23.52</v>
          </cell>
          <cell r="S156">
            <v>2.35</v>
          </cell>
        </row>
        <row r="157">
          <cell r="D157">
            <v>6</v>
          </cell>
          <cell r="K157">
            <v>1.5</v>
          </cell>
          <cell r="N157">
            <v>223.2</v>
          </cell>
          <cell r="O157">
            <v>22.32</v>
          </cell>
          <cell r="P157">
            <v>1114.8399999999999</v>
          </cell>
          <cell r="Q157">
            <v>111.48</v>
          </cell>
          <cell r="R157">
            <v>22.32</v>
          </cell>
          <cell r="S157">
            <v>2.23</v>
          </cell>
        </row>
        <row r="158">
          <cell r="D158">
            <v>2</v>
          </cell>
          <cell r="K158">
            <v>1.8</v>
          </cell>
          <cell r="N158">
            <v>138.24</v>
          </cell>
          <cell r="O158">
            <v>13.82</v>
          </cell>
          <cell r="P158">
            <v>2160</v>
          </cell>
          <cell r="Q158">
            <v>216</v>
          </cell>
          <cell r="R158">
            <v>46.08</v>
          </cell>
          <cell r="S158">
            <v>4.6100000000000003</v>
          </cell>
        </row>
        <row r="159">
          <cell r="D159">
            <v>3</v>
          </cell>
          <cell r="K159">
            <v>1.4</v>
          </cell>
          <cell r="N159">
            <v>120.96</v>
          </cell>
          <cell r="O159">
            <v>12.1</v>
          </cell>
          <cell r="P159">
            <v>1920</v>
          </cell>
          <cell r="Q159">
            <v>192</v>
          </cell>
          <cell r="R159">
            <v>24.19</v>
          </cell>
          <cell r="S159">
            <v>2.42</v>
          </cell>
        </row>
        <row r="160">
          <cell r="D160">
            <v>5</v>
          </cell>
          <cell r="K160">
            <v>1.6</v>
          </cell>
          <cell r="N160">
            <v>215.04</v>
          </cell>
          <cell r="O160">
            <v>21.5</v>
          </cell>
          <cell r="P160">
            <v>1234.29</v>
          </cell>
          <cell r="Q160">
            <v>123.43</v>
          </cell>
          <cell r="R160">
            <v>26.88</v>
          </cell>
          <cell r="S160">
            <v>2.69</v>
          </cell>
        </row>
        <row r="161">
          <cell r="D161">
            <v>6</v>
          </cell>
          <cell r="K161">
            <v>1.4</v>
          </cell>
          <cell r="N161">
            <v>208.32</v>
          </cell>
          <cell r="O161">
            <v>20.83</v>
          </cell>
          <cell r="P161">
            <v>1114.8399999999999</v>
          </cell>
          <cell r="Q161">
            <v>111.48</v>
          </cell>
          <cell r="R161">
            <v>20.83</v>
          </cell>
          <cell r="S161">
            <v>2.08</v>
          </cell>
        </row>
        <row r="162">
          <cell r="D162">
            <v>6</v>
          </cell>
          <cell r="K162">
            <v>1.8</v>
          </cell>
          <cell r="N162">
            <v>267.83999999999997</v>
          </cell>
          <cell r="O162">
            <v>26.78</v>
          </cell>
          <cell r="P162">
            <v>1114.8399999999999</v>
          </cell>
          <cell r="Q162">
            <v>111.48</v>
          </cell>
          <cell r="R162">
            <v>26.78</v>
          </cell>
          <cell r="S162">
            <v>2.68</v>
          </cell>
        </row>
        <row r="163">
          <cell r="D163">
            <v>2</v>
          </cell>
          <cell r="K163">
            <v>1.8</v>
          </cell>
          <cell r="N163">
            <v>155.52000000000001</v>
          </cell>
          <cell r="O163">
            <v>15.55</v>
          </cell>
          <cell r="P163">
            <v>1920</v>
          </cell>
          <cell r="Q163">
            <v>192</v>
          </cell>
          <cell r="R163">
            <v>31.1</v>
          </cell>
          <cell r="S163">
            <v>3.11</v>
          </cell>
        </row>
        <row r="164">
          <cell r="D164">
            <v>3</v>
          </cell>
          <cell r="K164">
            <v>1.3</v>
          </cell>
          <cell r="N164">
            <v>112.32</v>
          </cell>
          <cell r="O164">
            <v>11.23</v>
          </cell>
          <cell r="P164">
            <v>1920</v>
          </cell>
          <cell r="Q164">
            <v>192</v>
          </cell>
          <cell r="R164">
            <v>22.46</v>
          </cell>
          <cell r="S164">
            <v>2.25</v>
          </cell>
        </row>
        <row r="165">
          <cell r="D165">
            <v>3</v>
          </cell>
          <cell r="K165">
            <v>1.4</v>
          </cell>
          <cell r="N165">
            <v>120.96</v>
          </cell>
          <cell r="O165">
            <v>12.1</v>
          </cell>
          <cell r="P165">
            <v>1920</v>
          </cell>
          <cell r="Q165">
            <v>192</v>
          </cell>
          <cell r="R165">
            <v>24.19</v>
          </cell>
          <cell r="S165">
            <v>2.42</v>
          </cell>
        </row>
        <row r="166">
          <cell r="D166">
            <v>4</v>
          </cell>
          <cell r="K166">
            <v>1.4</v>
          </cell>
          <cell r="N166">
            <v>161.28</v>
          </cell>
          <cell r="O166">
            <v>16.13</v>
          </cell>
          <cell r="P166">
            <v>1440</v>
          </cell>
          <cell r="Q166">
            <v>144</v>
          </cell>
          <cell r="R166">
            <v>23.04</v>
          </cell>
          <cell r="S166">
            <v>2.2999999999999998</v>
          </cell>
        </row>
        <row r="167">
          <cell r="D167">
            <v>5</v>
          </cell>
          <cell r="K167">
            <v>1.6</v>
          </cell>
          <cell r="N167">
            <v>215.04</v>
          </cell>
          <cell r="O167">
            <v>21.5</v>
          </cell>
          <cell r="P167">
            <v>1234.29</v>
          </cell>
          <cell r="Q167">
            <v>123.43</v>
          </cell>
          <cell r="R167">
            <v>26.88</v>
          </cell>
          <cell r="S167">
            <v>2.69</v>
          </cell>
        </row>
        <row r="168">
          <cell r="D168">
            <v>2</v>
          </cell>
          <cell r="K168">
            <v>1.5</v>
          </cell>
          <cell r="N168">
            <v>160</v>
          </cell>
          <cell r="O168">
            <v>16</v>
          </cell>
          <cell r="P168">
            <v>1920</v>
          </cell>
          <cell r="Q168">
            <v>192</v>
          </cell>
          <cell r="R168">
            <v>40</v>
          </cell>
          <cell r="S168">
            <v>4</v>
          </cell>
        </row>
        <row r="169">
          <cell r="D169">
            <v>2</v>
          </cell>
          <cell r="K169">
            <v>1.8</v>
          </cell>
          <cell r="N169">
            <v>153.6</v>
          </cell>
          <cell r="O169">
            <v>15.36</v>
          </cell>
          <cell r="P169">
            <v>2400</v>
          </cell>
          <cell r="Q169">
            <v>240</v>
          </cell>
          <cell r="R169">
            <v>51.2</v>
          </cell>
          <cell r="S169">
            <v>5.12</v>
          </cell>
        </row>
        <row r="170">
          <cell r="D170">
            <v>2</v>
          </cell>
          <cell r="K170">
            <v>1.8</v>
          </cell>
          <cell r="N170">
            <v>172.8</v>
          </cell>
          <cell r="O170">
            <v>17.28</v>
          </cell>
          <cell r="P170">
            <v>2133.33</v>
          </cell>
          <cell r="Q170">
            <v>213.33</v>
          </cell>
          <cell r="R170">
            <v>34.56</v>
          </cell>
          <cell r="S170">
            <v>3.46</v>
          </cell>
        </row>
        <row r="171">
          <cell r="D171">
            <v>3</v>
          </cell>
          <cell r="K171">
            <v>1.2</v>
          </cell>
          <cell r="N171">
            <v>115.2</v>
          </cell>
          <cell r="O171">
            <v>11.52</v>
          </cell>
          <cell r="P171">
            <v>2133.33</v>
          </cell>
          <cell r="Q171">
            <v>213.33</v>
          </cell>
          <cell r="R171">
            <v>23.04</v>
          </cell>
          <cell r="S171">
            <v>2.2999999999999998</v>
          </cell>
        </row>
        <row r="172">
          <cell r="D172">
            <v>4</v>
          </cell>
          <cell r="K172">
            <v>1.6</v>
          </cell>
          <cell r="N172">
            <v>204.8</v>
          </cell>
          <cell r="O172">
            <v>20.48</v>
          </cell>
          <cell r="P172">
            <v>1600</v>
          </cell>
          <cell r="Q172">
            <v>160</v>
          </cell>
          <cell r="R172">
            <v>29.26</v>
          </cell>
          <cell r="S172">
            <v>2.93</v>
          </cell>
        </row>
        <row r="173">
          <cell r="D173">
            <v>4</v>
          </cell>
          <cell r="K173">
            <v>1.5</v>
          </cell>
          <cell r="N173">
            <v>192</v>
          </cell>
          <cell r="O173">
            <v>19.2</v>
          </cell>
          <cell r="P173">
            <v>1600</v>
          </cell>
          <cell r="Q173">
            <v>160</v>
          </cell>
          <cell r="R173">
            <v>27.43</v>
          </cell>
          <cell r="S173">
            <v>2.74</v>
          </cell>
        </row>
        <row r="174">
          <cell r="D174">
            <v>5</v>
          </cell>
          <cell r="K174">
            <v>1.5</v>
          </cell>
          <cell r="N174">
            <v>224</v>
          </cell>
          <cell r="O174">
            <v>22.4</v>
          </cell>
          <cell r="P174">
            <v>1371.43</v>
          </cell>
          <cell r="Q174">
            <v>137.13999999999999</v>
          </cell>
          <cell r="R174">
            <v>28</v>
          </cell>
          <cell r="S174">
            <v>2.8</v>
          </cell>
        </row>
        <row r="175">
          <cell r="D175">
            <v>5</v>
          </cell>
          <cell r="K175">
            <v>1.4</v>
          </cell>
          <cell r="N175">
            <v>209.07</v>
          </cell>
          <cell r="O175">
            <v>20.91</v>
          </cell>
          <cell r="P175">
            <v>1371.43</v>
          </cell>
          <cell r="Q175">
            <v>137.13999999999999</v>
          </cell>
          <cell r="R175">
            <v>26.13</v>
          </cell>
          <cell r="S175">
            <v>2.61</v>
          </cell>
        </row>
        <row r="176">
          <cell r="D176">
            <v>6</v>
          </cell>
          <cell r="K176">
            <v>1.5</v>
          </cell>
          <cell r="N176">
            <v>248</v>
          </cell>
          <cell r="O176">
            <v>24.8</v>
          </cell>
          <cell r="P176">
            <v>1238.71</v>
          </cell>
          <cell r="Q176">
            <v>123.87</v>
          </cell>
          <cell r="R176">
            <v>24.8</v>
          </cell>
          <cell r="S176">
            <v>2.48</v>
          </cell>
        </row>
        <row r="177">
          <cell r="D177">
            <v>2</v>
          </cell>
          <cell r="K177">
            <v>1.5</v>
          </cell>
          <cell r="N177">
            <v>160</v>
          </cell>
          <cell r="O177">
            <v>16</v>
          </cell>
          <cell r="P177">
            <v>1920</v>
          </cell>
          <cell r="Q177">
            <v>192</v>
          </cell>
          <cell r="R177">
            <v>40</v>
          </cell>
          <cell r="S177">
            <v>4</v>
          </cell>
        </row>
        <row r="178">
          <cell r="D178">
            <v>2</v>
          </cell>
          <cell r="K178">
            <v>1.8</v>
          </cell>
          <cell r="N178">
            <v>153.6</v>
          </cell>
          <cell r="O178">
            <v>15.36</v>
          </cell>
          <cell r="P178">
            <v>2400</v>
          </cell>
          <cell r="Q178">
            <v>240</v>
          </cell>
          <cell r="R178">
            <v>51.2</v>
          </cell>
          <cell r="S178">
            <v>5.12</v>
          </cell>
        </row>
        <row r="179">
          <cell r="D179">
            <v>2</v>
          </cell>
          <cell r="K179">
            <v>1.8</v>
          </cell>
          <cell r="N179">
            <v>172.8</v>
          </cell>
          <cell r="O179">
            <v>17.28</v>
          </cell>
          <cell r="P179">
            <v>2133.33</v>
          </cell>
          <cell r="Q179">
            <v>213.33</v>
          </cell>
          <cell r="R179">
            <v>34.56</v>
          </cell>
          <cell r="S179">
            <v>3.46</v>
          </cell>
        </row>
        <row r="180">
          <cell r="D180">
            <v>3</v>
          </cell>
          <cell r="K180">
            <v>1.2</v>
          </cell>
          <cell r="N180">
            <v>115.2</v>
          </cell>
          <cell r="O180">
            <v>11.52</v>
          </cell>
          <cell r="P180">
            <v>2133.33</v>
          </cell>
          <cell r="Q180">
            <v>213.33</v>
          </cell>
          <cell r="R180">
            <v>23.04</v>
          </cell>
          <cell r="S180">
            <v>2.2999999999999998</v>
          </cell>
        </row>
        <row r="181">
          <cell r="D181">
            <v>4</v>
          </cell>
          <cell r="K181">
            <v>1.6</v>
          </cell>
          <cell r="N181">
            <v>204.8</v>
          </cell>
          <cell r="O181">
            <v>20.48</v>
          </cell>
          <cell r="P181">
            <v>1600</v>
          </cell>
          <cell r="Q181">
            <v>160</v>
          </cell>
          <cell r="R181">
            <v>29.26</v>
          </cell>
          <cell r="S181">
            <v>2.93</v>
          </cell>
        </row>
        <row r="182">
          <cell r="D182">
            <v>4</v>
          </cell>
          <cell r="K182">
            <v>1.5</v>
          </cell>
          <cell r="N182">
            <v>192</v>
          </cell>
          <cell r="O182">
            <v>19.2</v>
          </cell>
          <cell r="P182">
            <v>1600</v>
          </cell>
          <cell r="Q182">
            <v>160</v>
          </cell>
          <cell r="R182">
            <v>27.43</v>
          </cell>
          <cell r="S182">
            <v>2.74</v>
          </cell>
        </row>
        <row r="183">
          <cell r="D183">
            <v>5</v>
          </cell>
          <cell r="K183">
            <v>1.5</v>
          </cell>
          <cell r="N183">
            <v>224</v>
          </cell>
          <cell r="O183">
            <v>22.4</v>
          </cell>
          <cell r="P183">
            <v>1371.43</v>
          </cell>
          <cell r="Q183">
            <v>137.13999999999999</v>
          </cell>
          <cell r="R183">
            <v>28</v>
          </cell>
          <cell r="S183">
            <v>2.8</v>
          </cell>
        </row>
        <row r="184">
          <cell r="D184">
            <v>5</v>
          </cell>
          <cell r="K184">
            <v>1.4</v>
          </cell>
          <cell r="N184">
            <v>209.07</v>
          </cell>
          <cell r="O184">
            <v>20.91</v>
          </cell>
          <cell r="P184">
            <v>1371.43</v>
          </cell>
          <cell r="Q184">
            <v>137.13999999999999</v>
          </cell>
          <cell r="R184">
            <v>26.13</v>
          </cell>
          <cell r="S184">
            <v>2.61</v>
          </cell>
        </row>
        <row r="185">
          <cell r="D185">
            <v>6</v>
          </cell>
          <cell r="K185">
            <v>1.5</v>
          </cell>
          <cell r="N185">
            <v>248</v>
          </cell>
          <cell r="O185">
            <v>24.8</v>
          </cell>
          <cell r="P185">
            <v>1238.71</v>
          </cell>
          <cell r="Q185">
            <v>123.87</v>
          </cell>
          <cell r="R185">
            <v>24.8</v>
          </cell>
          <cell r="S185">
            <v>2.48</v>
          </cell>
        </row>
        <row r="186">
          <cell r="D186">
            <v>2</v>
          </cell>
          <cell r="K186">
            <v>1.5</v>
          </cell>
          <cell r="N186">
            <v>160</v>
          </cell>
          <cell r="O186">
            <v>16</v>
          </cell>
          <cell r="P186">
            <v>1920</v>
          </cell>
          <cell r="Q186">
            <v>192</v>
          </cell>
          <cell r="R186">
            <v>40</v>
          </cell>
          <cell r="S186">
            <v>4</v>
          </cell>
        </row>
        <row r="187">
          <cell r="D187">
            <v>2</v>
          </cell>
          <cell r="K187">
            <v>1.8</v>
          </cell>
          <cell r="N187">
            <v>153.6</v>
          </cell>
          <cell r="O187">
            <v>15.36</v>
          </cell>
          <cell r="P187">
            <v>2400</v>
          </cell>
          <cell r="Q187">
            <v>240</v>
          </cell>
          <cell r="R187">
            <v>51.2</v>
          </cell>
          <cell r="S187">
            <v>5.12</v>
          </cell>
        </row>
        <row r="188">
          <cell r="D188">
            <v>2</v>
          </cell>
          <cell r="K188">
            <v>1.8</v>
          </cell>
          <cell r="N188">
            <v>172.8</v>
          </cell>
          <cell r="O188">
            <v>17.28</v>
          </cell>
          <cell r="P188">
            <v>2133.33</v>
          </cell>
          <cell r="Q188">
            <v>213.33</v>
          </cell>
          <cell r="R188">
            <v>34.56</v>
          </cell>
          <cell r="S188">
            <v>3.46</v>
          </cell>
        </row>
        <row r="189">
          <cell r="D189">
            <v>3</v>
          </cell>
          <cell r="K189">
            <v>1.2</v>
          </cell>
          <cell r="N189">
            <v>115.2</v>
          </cell>
          <cell r="O189">
            <v>11.52</v>
          </cell>
          <cell r="P189">
            <v>2133.33</v>
          </cell>
          <cell r="Q189">
            <v>213.33</v>
          </cell>
          <cell r="R189">
            <v>23.04</v>
          </cell>
          <cell r="S189">
            <v>2.2999999999999998</v>
          </cell>
        </row>
        <row r="190">
          <cell r="D190">
            <v>4</v>
          </cell>
          <cell r="K190">
            <v>1.6</v>
          </cell>
          <cell r="N190">
            <v>204.8</v>
          </cell>
          <cell r="O190">
            <v>20.48</v>
          </cell>
          <cell r="P190">
            <v>1600</v>
          </cell>
          <cell r="Q190">
            <v>160</v>
          </cell>
          <cell r="R190">
            <v>29.26</v>
          </cell>
          <cell r="S190">
            <v>2.93</v>
          </cell>
        </row>
        <row r="191">
          <cell r="D191">
            <v>4</v>
          </cell>
          <cell r="K191">
            <v>1.5</v>
          </cell>
          <cell r="N191">
            <v>192</v>
          </cell>
          <cell r="O191">
            <v>19.2</v>
          </cell>
          <cell r="P191">
            <v>1600</v>
          </cell>
          <cell r="Q191">
            <v>160</v>
          </cell>
          <cell r="R191">
            <v>27.43</v>
          </cell>
          <cell r="S191">
            <v>2.74</v>
          </cell>
        </row>
        <row r="192">
          <cell r="D192">
            <v>5</v>
          </cell>
          <cell r="K192">
            <v>1.5</v>
          </cell>
          <cell r="N192">
            <v>224</v>
          </cell>
          <cell r="O192">
            <v>22.4</v>
          </cell>
          <cell r="P192">
            <v>1371.43</v>
          </cell>
          <cell r="Q192">
            <v>137.13999999999999</v>
          </cell>
          <cell r="R192">
            <v>28</v>
          </cell>
          <cell r="S192">
            <v>2.8</v>
          </cell>
        </row>
        <row r="193">
          <cell r="D193">
            <v>5</v>
          </cell>
          <cell r="K193">
            <v>1.4</v>
          </cell>
          <cell r="N193">
            <v>209.07</v>
          </cell>
          <cell r="O193">
            <v>20.91</v>
          </cell>
          <cell r="P193">
            <v>1371.43</v>
          </cell>
          <cell r="Q193">
            <v>137.13999999999999</v>
          </cell>
          <cell r="R193">
            <v>26.13</v>
          </cell>
          <cell r="S193">
            <v>2.61</v>
          </cell>
        </row>
        <row r="194">
          <cell r="D194">
            <v>6</v>
          </cell>
          <cell r="K194">
            <v>1.5</v>
          </cell>
          <cell r="N194">
            <v>248</v>
          </cell>
          <cell r="O194">
            <v>24.8</v>
          </cell>
          <cell r="P194">
            <v>1238.71</v>
          </cell>
          <cell r="Q194">
            <v>123.87</v>
          </cell>
          <cell r="R194">
            <v>24.8</v>
          </cell>
          <cell r="S194">
            <v>2.48</v>
          </cell>
        </row>
        <row r="195">
          <cell r="D195">
            <v>2</v>
          </cell>
          <cell r="K195">
            <v>1.8</v>
          </cell>
          <cell r="N195">
            <v>153.6</v>
          </cell>
          <cell r="O195">
            <v>15.36</v>
          </cell>
          <cell r="P195">
            <v>2400</v>
          </cell>
          <cell r="Q195">
            <v>240</v>
          </cell>
          <cell r="R195">
            <v>51.2</v>
          </cell>
          <cell r="S195">
            <v>5.12</v>
          </cell>
        </row>
        <row r="196">
          <cell r="D196">
            <v>3</v>
          </cell>
          <cell r="K196">
            <v>1.4</v>
          </cell>
          <cell r="N196">
            <v>134.4</v>
          </cell>
          <cell r="O196">
            <v>13.44</v>
          </cell>
          <cell r="P196">
            <v>2133.33</v>
          </cell>
          <cell r="Q196">
            <v>213.33</v>
          </cell>
          <cell r="R196">
            <v>26.88</v>
          </cell>
          <cell r="S196">
            <v>2.69</v>
          </cell>
        </row>
        <row r="197">
          <cell r="D197">
            <v>5</v>
          </cell>
          <cell r="K197">
            <v>1.6</v>
          </cell>
          <cell r="N197">
            <v>238.93</v>
          </cell>
          <cell r="O197">
            <v>23.89</v>
          </cell>
          <cell r="P197">
            <v>1371.43</v>
          </cell>
          <cell r="Q197">
            <v>137.13999999999999</v>
          </cell>
          <cell r="R197">
            <v>29.87</v>
          </cell>
          <cell r="S197">
            <v>2.99</v>
          </cell>
        </row>
        <row r="198">
          <cell r="D198">
            <v>6</v>
          </cell>
          <cell r="K198">
            <v>1.4</v>
          </cell>
          <cell r="N198">
            <v>231.47</v>
          </cell>
          <cell r="O198">
            <v>23.15</v>
          </cell>
          <cell r="P198">
            <v>1238.71</v>
          </cell>
          <cell r="Q198">
            <v>123.87</v>
          </cell>
          <cell r="R198">
            <v>23.15</v>
          </cell>
          <cell r="S198">
            <v>2.31</v>
          </cell>
        </row>
        <row r="199">
          <cell r="D199">
            <v>6</v>
          </cell>
          <cell r="K199">
            <v>1.8</v>
          </cell>
          <cell r="N199">
            <v>297.60000000000002</v>
          </cell>
          <cell r="O199">
            <v>29.76</v>
          </cell>
          <cell r="P199">
            <v>1238.71</v>
          </cell>
          <cell r="Q199">
            <v>123.87</v>
          </cell>
          <cell r="R199">
            <v>29.76</v>
          </cell>
          <cell r="S199">
            <v>2.98</v>
          </cell>
        </row>
        <row r="200">
          <cell r="D200">
            <v>2</v>
          </cell>
          <cell r="K200">
            <v>1.8</v>
          </cell>
          <cell r="N200">
            <v>172.8</v>
          </cell>
          <cell r="O200">
            <v>17.28</v>
          </cell>
          <cell r="P200">
            <v>2133.33</v>
          </cell>
          <cell r="Q200">
            <v>213.33</v>
          </cell>
          <cell r="R200">
            <v>34.56</v>
          </cell>
          <cell r="S200">
            <v>3.46</v>
          </cell>
        </row>
        <row r="201">
          <cell r="D201">
            <v>3</v>
          </cell>
          <cell r="K201">
            <v>1.3</v>
          </cell>
          <cell r="N201">
            <v>124.8</v>
          </cell>
          <cell r="O201">
            <v>12.48</v>
          </cell>
          <cell r="P201">
            <v>2133.33</v>
          </cell>
          <cell r="Q201">
            <v>213.33</v>
          </cell>
          <cell r="R201">
            <v>24.96</v>
          </cell>
          <cell r="S201">
            <v>2.5</v>
          </cell>
        </row>
        <row r="202">
          <cell r="D202">
            <v>3</v>
          </cell>
          <cell r="K202">
            <v>1.4</v>
          </cell>
          <cell r="N202">
            <v>134.4</v>
          </cell>
          <cell r="O202">
            <v>13.44</v>
          </cell>
          <cell r="P202">
            <v>2133.33</v>
          </cell>
          <cell r="Q202">
            <v>213.33</v>
          </cell>
          <cell r="R202">
            <v>26.88</v>
          </cell>
          <cell r="S202">
            <v>2.69</v>
          </cell>
        </row>
        <row r="203">
          <cell r="D203">
            <v>4</v>
          </cell>
          <cell r="K203">
            <v>1.4</v>
          </cell>
          <cell r="N203">
            <v>179.2</v>
          </cell>
          <cell r="O203">
            <v>17.920000000000002</v>
          </cell>
          <cell r="P203">
            <v>1600</v>
          </cell>
          <cell r="Q203">
            <v>160</v>
          </cell>
          <cell r="R203">
            <v>25.6</v>
          </cell>
          <cell r="S203">
            <v>2.56</v>
          </cell>
        </row>
        <row r="204">
          <cell r="D204">
            <v>5</v>
          </cell>
          <cell r="K204">
            <v>1.6</v>
          </cell>
          <cell r="N204">
            <v>238.93</v>
          </cell>
          <cell r="O204">
            <v>23.89</v>
          </cell>
          <cell r="P204">
            <v>1371.43</v>
          </cell>
          <cell r="Q204">
            <v>137.13999999999999</v>
          </cell>
          <cell r="R204">
            <v>29.87</v>
          </cell>
          <cell r="S204">
            <v>2.99</v>
          </cell>
        </row>
        <row r="205">
          <cell r="D205">
            <v>2</v>
          </cell>
          <cell r="K205">
            <v>1.5</v>
          </cell>
          <cell r="N205">
            <v>176</v>
          </cell>
          <cell r="O205">
            <v>17.600000000000001</v>
          </cell>
          <cell r="P205">
            <v>2112</v>
          </cell>
          <cell r="Q205">
            <v>211.2</v>
          </cell>
          <cell r="R205">
            <v>44</v>
          </cell>
          <cell r="S205">
            <v>4.4000000000000004</v>
          </cell>
        </row>
        <row r="206">
          <cell r="D206">
            <v>2</v>
          </cell>
          <cell r="K206">
            <v>1.8</v>
          </cell>
          <cell r="N206">
            <v>168.96</v>
          </cell>
          <cell r="O206">
            <v>16.899999999999999</v>
          </cell>
          <cell r="P206">
            <v>2640</v>
          </cell>
          <cell r="Q206">
            <v>264</v>
          </cell>
          <cell r="R206">
            <v>56.32</v>
          </cell>
          <cell r="S206">
            <v>5.63</v>
          </cell>
        </row>
        <row r="207">
          <cell r="D207">
            <v>2</v>
          </cell>
          <cell r="K207">
            <v>1.8</v>
          </cell>
          <cell r="N207">
            <v>190.08</v>
          </cell>
          <cell r="O207">
            <v>19.010000000000002</v>
          </cell>
          <cell r="P207">
            <v>2346.67</v>
          </cell>
          <cell r="Q207">
            <v>234.67</v>
          </cell>
          <cell r="R207">
            <v>38.020000000000003</v>
          </cell>
          <cell r="S207">
            <v>3.8</v>
          </cell>
        </row>
        <row r="208">
          <cell r="D208">
            <v>3</v>
          </cell>
          <cell r="K208">
            <v>1.2</v>
          </cell>
          <cell r="N208">
            <v>126.72</v>
          </cell>
          <cell r="O208">
            <v>12.67</v>
          </cell>
          <cell r="P208">
            <v>2346.67</v>
          </cell>
          <cell r="Q208">
            <v>234.67</v>
          </cell>
          <cell r="R208">
            <v>25.34</v>
          </cell>
          <cell r="S208">
            <v>2.5299999999999998</v>
          </cell>
        </row>
        <row r="209">
          <cell r="D209">
            <v>4</v>
          </cell>
          <cell r="K209">
            <v>1.6</v>
          </cell>
          <cell r="N209">
            <v>225.28</v>
          </cell>
          <cell r="O209">
            <v>22.53</v>
          </cell>
          <cell r="P209">
            <v>1760</v>
          </cell>
          <cell r="Q209">
            <v>176</v>
          </cell>
          <cell r="R209">
            <v>32.18</v>
          </cell>
          <cell r="S209">
            <v>3.22</v>
          </cell>
        </row>
        <row r="210">
          <cell r="D210">
            <v>4</v>
          </cell>
          <cell r="K210">
            <v>1.5</v>
          </cell>
          <cell r="N210">
            <v>211.2</v>
          </cell>
          <cell r="O210">
            <v>21.12</v>
          </cell>
          <cell r="P210">
            <v>1760</v>
          </cell>
          <cell r="Q210">
            <v>176</v>
          </cell>
          <cell r="R210">
            <v>30.17</v>
          </cell>
          <cell r="S210">
            <v>3.02</v>
          </cell>
        </row>
        <row r="211">
          <cell r="D211">
            <v>5</v>
          </cell>
          <cell r="K211">
            <v>1.5</v>
          </cell>
          <cell r="N211">
            <v>246.4</v>
          </cell>
          <cell r="O211">
            <v>24.64</v>
          </cell>
          <cell r="P211">
            <v>1508.57</v>
          </cell>
          <cell r="Q211">
            <v>150.86000000000001</v>
          </cell>
          <cell r="R211">
            <v>30.8</v>
          </cell>
          <cell r="S211">
            <v>3.08</v>
          </cell>
        </row>
        <row r="212">
          <cell r="D212">
            <v>5</v>
          </cell>
          <cell r="K212">
            <v>1.4</v>
          </cell>
          <cell r="N212">
            <v>229.97</v>
          </cell>
          <cell r="O212">
            <v>23</v>
          </cell>
          <cell r="P212">
            <v>1508.57</v>
          </cell>
          <cell r="Q212">
            <v>150.86000000000001</v>
          </cell>
          <cell r="R212">
            <v>28.75</v>
          </cell>
          <cell r="S212">
            <v>2.87</v>
          </cell>
        </row>
        <row r="213">
          <cell r="D213">
            <v>6</v>
          </cell>
          <cell r="K213">
            <v>1.5</v>
          </cell>
          <cell r="N213">
            <v>272.8</v>
          </cell>
          <cell r="O213">
            <v>27.28</v>
          </cell>
          <cell r="P213">
            <v>1362.58</v>
          </cell>
          <cell r="Q213">
            <v>136.26</v>
          </cell>
          <cell r="R213">
            <v>27.28</v>
          </cell>
          <cell r="S213">
            <v>2.73</v>
          </cell>
        </row>
        <row r="214">
          <cell r="D214">
            <v>2</v>
          </cell>
          <cell r="K214">
            <v>1.5</v>
          </cell>
          <cell r="N214">
            <v>176</v>
          </cell>
          <cell r="O214">
            <v>17.600000000000001</v>
          </cell>
          <cell r="P214">
            <v>2112</v>
          </cell>
          <cell r="Q214">
            <v>211.2</v>
          </cell>
          <cell r="R214">
            <v>44</v>
          </cell>
          <cell r="S214">
            <v>4.4000000000000004</v>
          </cell>
        </row>
        <row r="215">
          <cell r="D215">
            <v>2</v>
          </cell>
          <cell r="K215">
            <v>1.8</v>
          </cell>
          <cell r="N215">
            <v>168.96</v>
          </cell>
          <cell r="O215">
            <v>16.899999999999999</v>
          </cell>
          <cell r="P215">
            <v>2640</v>
          </cell>
          <cell r="Q215">
            <v>264</v>
          </cell>
          <cell r="R215">
            <v>56.32</v>
          </cell>
          <cell r="S215">
            <v>5.63</v>
          </cell>
        </row>
        <row r="216">
          <cell r="D216">
            <v>2</v>
          </cell>
          <cell r="K216">
            <v>1.8</v>
          </cell>
          <cell r="N216">
            <v>190.08</v>
          </cell>
          <cell r="O216">
            <v>19.010000000000002</v>
          </cell>
          <cell r="P216">
            <v>2346.67</v>
          </cell>
          <cell r="Q216">
            <v>234.67</v>
          </cell>
          <cell r="R216">
            <v>38.020000000000003</v>
          </cell>
          <cell r="S216">
            <v>3.8</v>
          </cell>
        </row>
        <row r="217">
          <cell r="D217">
            <v>3</v>
          </cell>
          <cell r="K217">
            <v>1.2</v>
          </cell>
          <cell r="N217">
            <v>126.72</v>
          </cell>
          <cell r="O217">
            <v>12.67</v>
          </cell>
          <cell r="P217">
            <v>2346.67</v>
          </cell>
          <cell r="Q217">
            <v>234.67</v>
          </cell>
          <cell r="R217">
            <v>25.34</v>
          </cell>
          <cell r="S217">
            <v>2.5299999999999998</v>
          </cell>
        </row>
        <row r="218">
          <cell r="D218">
            <v>4</v>
          </cell>
          <cell r="K218">
            <v>1.6</v>
          </cell>
          <cell r="N218">
            <v>225.28</v>
          </cell>
          <cell r="O218">
            <v>22.53</v>
          </cell>
          <cell r="P218">
            <v>1760</v>
          </cell>
          <cell r="Q218">
            <v>176</v>
          </cell>
          <cell r="R218">
            <v>32.18</v>
          </cell>
          <cell r="S218">
            <v>3.22</v>
          </cell>
        </row>
        <row r="219">
          <cell r="D219">
            <v>4</v>
          </cell>
          <cell r="K219">
            <v>1.5</v>
          </cell>
          <cell r="N219">
            <v>211.2</v>
          </cell>
          <cell r="O219">
            <v>21.12</v>
          </cell>
          <cell r="P219">
            <v>1760</v>
          </cell>
          <cell r="Q219">
            <v>176</v>
          </cell>
          <cell r="R219">
            <v>30.17</v>
          </cell>
          <cell r="S219">
            <v>3.02</v>
          </cell>
        </row>
        <row r="220">
          <cell r="D220">
            <v>5</v>
          </cell>
          <cell r="K220">
            <v>1.5</v>
          </cell>
          <cell r="N220">
            <v>246.4</v>
          </cell>
          <cell r="O220">
            <v>24.64</v>
          </cell>
          <cell r="P220">
            <v>1508.57</v>
          </cell>
          <cell r="Q220">
            <v>150.86000000000001</v>
          </cell>
          <cell r="R220">
            <v>30.8</v>
          </cell>
          <cell r="S220">
            <v>3.08</v>
          </cell>
        </row>
        <row r="221">
          <cell r="D221">
            <v>5</v>
          </cell>
          <cell r="K221">
            <v>1.4</v>
          </cell>
          <cell r="N221">
            <v>229.97</v>
          </cell>
          <cell r="O221">
            <v>23</v>
          </cell>
          <cell r="P221">
            <v>1508.57</v>
          </cell>
          <cell r="Q221">
            <v>150.86000000000001</v>
          </cell>
          <cell r="R221">
            <v>28.75</v>
          </cell>
          <cell r="S221">
            <v>2.87</v>
          </cell>
        </row>
        <row r="222">
          <cell r="D222">
            <v>6</v>
          </cell>
          <cell r="K222">
            <v>1.5</v>
          </cell>
          <cell r="N222">
            <v>272.8</v>
          </cell>
          <cell r="O222">
            <v>27.28</v>
          </cell>
          <cell r="P222">
            <v>1362.58</v>
          </cell>
          <cell r="Q222">
            <v>136.26</v>
          </cell>
          <cell r="R222">
            <v>27.28</v>
          </cell>
          <cell r="S222">
            <v>2.73</v>
          </cell>
        </row>
        <row r="223">
          <cell r="D223">
            <v>2</v>
          </cell>
          <cell r="K223">
            <v>1.5</v>
          </cell>
          <cell r="N223">
            <v>176</v>
          </cell>
          <cell r="O223">
            <v>17.600000000000001</v>
          </cell>
          <cell r="P223">
            <v>2112</v>
          </cell>
          <cell r="Q223">
            <v>211.2</v>
          </cell>
          <cell r="R223">
            <v>44</v>
          </cell>
          <cell r="S223">
            <v>4.4000000000000004</v>
          </cell>
        </row>
        <row r="224">
          <cell r="D224">
            <v>2</v>
          </cell>
          <cell r="K224">
            <v>1.8</v>
          </cell>
          <cell r="N224">
            <v>168.96</v>
          </cell>
          <cell r="O224">
            <v>16.899999999999999</v>
          </cell>
          <cell r="P224">
            <v>2640</v>
          </cell>
          <cell r="Q224">
            <v>264</v>
          </cell>
          <cell r="R224">
            <v>56.32</v>
          </cell>
          <cell r="S224">
            <v>5.63</v>
          </cell>
        </row>
        <row r="225">
          <cell r="D225">
            <v>2</v>
          </cell>
          <cell r="K225">
            <v>1.8</v>
          </cell>
          <cell r="N225">
            <v>190.08</v>
          </cell>
          <cell r="O225">
            <v>19.010000000000002</v>
          </cell>
          <cell r="P225">
            <v>2346.67</v>
          </cell>
          <cell r="Q225">
            <v>234.67</v>
          </cell>
          <cell r="R225">
            <v>38.020000000000003</v>
          </cell>
          <cell r="S225">
            <v>3.8</v>
          </cell>
        </row>
        <row r="226">
          <cell r="D226">
            <v>3</v>
          </cell>
          <cell r="K226">
            <v>1.2</v>
          </cell>
          <cell r="N226">
            <v>126.72</v>
          </cell>
          <cell r="O226">
            <v>12.67</v>
          </cell>
          <cell r="P226">
            <v>2346.67</v>
          </cell>
          <cell r="Q226">
            <v>234.67</v>
          </cell>
          <cell r="R226">
            <v>25.34</v>
          </cell>
          <cell r="S226">
            <v>2.5299999999999998</v>
          </cell>
        </row>
        <row r="227">
          <cell r="D227">
            <v>4</v>
          </cell>
          <cell r="K227">
            <v>1.6</v>
          </cell>
          <cell r="N227">
            <v>225.28</v>
          </cell>
          <cell r="O227">
            <v>22.53</v>
          </cell>
          <cell r="P227">
            <v>1760</v>
          </cell>
          <cell r="Q227">
            <v>176</v>
          </cell>
          <cell r="R227">
            <v>32.18</v>
          </cell>
          <cell r="S227">
            <v>3.22</v>
          </cell>
        </row>
        <row r="228">
          <cell r="D228">
            <v>4</v>
          </cell>
          <cell r="K228">
            <v>1.5</v>
          </cell>
          <cell r="N228">
            <v>211.2</v>
          </cell>
          <cell r="O228">
            <v>21.12</v>
          </cell>
          <cell r="P228">
            <v>1760</v>
          </cell>
          <cell r="Q228">
            <v>176</v>
          </cell>
          <cell r="R228">
            <v>30.17</v>
          </cell>
          <cell r="S228">
            <v>3.02</v>
          </cell>
        </row>
        <row r="229">
          <cell r="D229">
            <v>5</v>
          </cell>
          <cell r="K229">
            <v>1.5</v>
          </cell>
          <cell r="N229">
            <v>246.4</v>
          </cell>
          <cell r="O229">
            <v>24.64</v>
          </cell>
          <cell r="P229">
            <v>1508.57</v>
          </cell>
          <cell r="Q229">
            <v>150.86000000000001</v>
          </cell>
          <cell r="R229">
            <v>30.8</v>
          </cell>
          <cell r="S229">
            <v>3.08</v>
          </cell>
        </row>
        <row r="230">
          <cell r="D230">
            <v>5</v>
          </cell>
          <cell r="K230">
            <v>1.4</v>
          </cell>
          <cell r="N230">
            <v>229.97</v>
          </cell>
          <cell r="O230">
            <v>23</v>
          </cell>
          <cell r="P230">
            <v>1508.57</v>
          </cell>
          <cell r="Q230">
            <v>150.86000000000001</v>
          </cell>
          <cell r="R230">
            <v>28.75</v>
          </cell>
          <cell r="S230">
            <v>2.87</v>
          </cell>
        </row>
        <row r="231">
          <cell r="D231">
            <v>6</v>
          </cell>
          <cell r="K231">
            <v>1.5</v>
          </cell>
          <cell r="N231">
            <v>272.8</v>
          </cell>
          <cell r="O231">
            <v>27.28</v>
          </cell>
          <cell r="P231">
            <v>1362.58</v>
          </cell>
          <cell r="Q231">
            <v>136.26</v>
          </cell>
          <cell r="R231">
            <v>27.28</v>
          </cell>
          <cell r="S231">
            <v>2.73</v>
          </cell>
        </row>
        <row r="232">
          <cell r="D232">
            <v>2</v>
          </cell>
          <cell r="K232">
            <v>1.8</v>
          </cell>
          <cell r="N232">
            <v>168.96</v>
          </cell>
          <cell r="O232">
            <v>16.899999999999999</v>
          </cell>
          <cell r="P232">
            <v>2640</v>
          </cell>
          <cell r="Q232">
            <v>264</v>
          </cell>
          <cell r="R232">
            <v>56.32</v>
          </cell>
          <cell r="S232">
            <v>5.63</v>
          </cell>
        </row>
        <row r="233">
          <cell r="D233">
            <v>3</v>
          </cell>
          <cell r="K233">
            <v>1.4</v>
          </cell>
          <cell r="N233">
            <v>147.84</v>
          </cell>
          <cell r="O233">
            <v>14.78</v>
          </cell>
          <cell r="P233">
            <v>2346.67</v>
          </cell>
          <cell r="Q233">
            <v>234.67</v>
          </cell>
          <cell r="R233">
            <v>29.57</v>
          </cell>
          <cell r="S233">
            <v>2.96</v>
          </cell>
        </row>
        <row r="234">
          <cell r="D234">
            <v>5</v>
          </cell>
          <cell r="K234">
            <v>1.6</v>
          </cell>
          <cell r="N234">
            <v>262.83</v>
          </cell>
          <cell r="O234">
            <v>26.28</v>
          </cell>
          <cell r="P234">
            <v>1508.57</v>
          </cell>
          <cell r="Q234">
            <v>150.86000000000001</v>
          </cell>
          <cell r="R234">
            <v>32.85</v>
          </cell>
          <cell r="S234">
            <v>3.29</v>
          </cell>
        </row>
        <row r="235">
          <cell r="D235">
            <v>6</v>
          </cell>
          <cell r="K235">
            <v>1.4</v>
          </cell>
          <cell r="N235">
            <v>254.61</v>
          </cell>
          <cell r="O235">
            <v>25.46</v>
          </cell>
          <cell r="P235">
            <v>1362.58</v>
          </cell>
          <cell r="Q235">
            <v>136.26</v>
          </cell>
          <cell r="R235">
            <v>25.46</v>
          </cell>
          <cell r="S235">
            <v>2.5499999999999998</v>
          </cell>
        </row>
        <row r="236">
          <cell r="D236">
            <v>6</v>
          </cell>
          <cell r="K236">
            <v>1.8</v>
          </cell>
          <cell r="N236">
            <v>327.36</v>
          </cell>
          <cell r="O236">
            <v>32.74</v>
          </cell>
          <cell r="P236">
            <v>1362.58</v>
          </cell>
          <cell r="Q236">
            <v>136.26</v>
          </cell>
          <cell r="R236">
            <v>32.74</v>
          </cell>
          <cell r="S236">
            <v>3.27</v>
          </cell>
        </row>
        <row r="237">
          <cell r="D237">
            <v>2</v>
          </cell>
          <cell r="K237">
            <v>1.8</v>
          </cell>
          <cell r="N237">
            <v>190.08</v>
          </cell>
          <cell r="O237">
            <v>19.010000000000002</v>
          </cell>
          <cell r="P237">
            <v>2346.67</v>
          </cell>
          <cell r="Q237">
            <v>234.67</v>
          </cell>
          <cell r="R237">
            <v>38.020000000000003</v>
          </cell>
          <cell r="S237">
            <v>3.8</v>
          </cell>
        </row>
        <row r="238">
          <cell r="D238">
            <v>3</v>
          </cell>
          <cell r="K238">
            <v>1.3</v>
          </cell>
          <cell r="N238">
            <v>137.28</v>
          </cell>
          <cell r="O238">
            <v>13.73</v>
          </cell>
          <cell r="P238">
            <v>2346.67</v>
          </cell>
          <cell r="Q238">
            <v>234.67</v>
          </cell>
          <cell r="R238">
            <v>27.46</v>
          </cell>
          <cell r="S238">
            <v>2.75</v>
          </cell>
        </row>
        <row r="239">
          <cell r="D239">
            <v>3</v>
          </cell>
          <cell r="K239">
            <v>1.4</v>
          </cell>
          <cell r="N239">
            <v>147.84</v>
          </cell>
          <cell r="O239">
            <v>14.78</v>
          </cell>
          <cell r="P239">
            <v>2346.67</v>
          </cell>
          <cell r="Q239">
            <v>234.67</v>
          </cell>
          <cell r="R239">
            <v>29.57</v>
          </cell>
          <cell r="S239">
            <v>2.96</v>
          </cell>
        </row>
        <row r="240">
          <cell r="D240">
            <v>4</v>
          </cell>
          <cell r="K240">
            <v>1.4</v>
          </cell>
          <cell r="N240">
            <v>197.12</v>
          </cell>
          <cell r="O240">
            <v>19.71</v>
          </cell>
          <cell r="P240">
            <v>1760</v>
          </cell>
          <cell r="Q240">
            <v>176</v>
          </cell>
          <cell r="R240">
            <v>28.16</v>
          </cell>
          <cell r="S240">
            <v>2.82</v>
          </cell>
        </row>
        <row r="241">
          <cell r="D241">
            <v>5</v>
          </cell>
          <cell r="K241">
            <v>1.6</v>
          </cell>
          <cell r="N241">
            <v>262.83</v>
          </cell>
          <cell r="O241">
            <v>26.28</v>
          </cell>
          <cell r="P241">
            <v>1508.57</v>
          </cell>
          <cell r="Q241">
            <v>150.86000000000001</v>
          </cell>
          <cell r="R241">
            <v>32.85</v>
          </cell>
          <cell r="S241">
            <v>3.29</v>
          </cell>
        </row>
        <row r="242">
          <cell r="D242">
            <v>2</v>
          </cell>
          <cell r="K242">
            <v>1.5</v>
          </cell>
          <cell r="N242">
            <v>192</v>
          </cell>
          <cell r="O242">
            <v>19.2</v>
          </cell>
          <cell r="P242">
            <v>2304</v>
          </cell>
          <cell r="Q242">
            <v>230.4</v>
          </cell>
          <cell r="R242">
            <v>48</v>
          </cell>
          <cell r="S242">
            <v>4.8</v>
          </cell>
        </row>
        <row r="243">
          <cell r="D243">
            <v>2</v>
          </cell>
          <cell r="K243">
            <v>1.8</v>
          </cell>
          <cell r="N243">
            <v>184.32</v>
          </cell>
          <cell r="O243">
            <v>18.43</v>
          </cell>
          <cell r="P243">
            <v>2880</v>
          </cell>
          <cell r="Q243">
            <v>288</v>
          </cell>
          <cell r="R243">
            <v>61.44</v>
          </cell>
          <cell r="S243">
            <v>6.14</v>
          </cell>
        </row>
        <row r="244">
          <cell r="D244">
            <v>2</v>
          </cell>
          <cell r="K244">
            <v>1.8</v>
          </cell>
          <cell r="N244">
            <v>207.36</v>
          </cell>
          <cell r="O244">
            <v>20.74</v>
          </cell>
          <cell r="P244">
            <v>2560</v>
          </cell>
          <cell r="Q244">
            <v>256</v>
          </cell>
          <cell r="R244">
            <v>41.47</v>
          </cell>
          <cell r="S244">
            <v>4.1500000000000004</v>
          </cell>
        </row>
        <row r="245">
          <cell r="D245">
            <v>3</v>
          </cell>
          <cell r="K245">
            <v>1.2</v>
          </cell>
          <cell r="N245">
            <v>138.24</v>
          </cell>
          <cell r="O245">
            <v>13.82</v>
          </cell>
          <cell r="P245">
            <v>2560</v>
          </cell>
          <cell r="Q245">
            <v>256</v>
          </cell>
          <cell r="R245">
            <v>27.65</v>
          </cell>
          <cell r="S245">
            <v>2.76</v>
          </cell>
        </row>
        <row r="246">
          <cell r="D246">
            <v>4</v>
          </cell>
          <cell r="K246">
            <v>1.6</v>
          </cell>
          <cell r="N246">
            <v>245.76</v>
          </cell>
          <cell r="O246">
            <v>24.58</v>
          </cell>
          <cell r="P246">
            <v>1920</v>
          </cell>
          <cell r="Q246">
            <v>192</v>
          </cell>
          <cell r="R246">
            <v>35.11</v>
          </cell>
          <cell r="S246">
            <v>3.51</v>
          </cell>
        </row>
        <row r="247">
          <cell r="D247">
            <v>4</v>
          </cell>
          <cell r="K247">
            <v>1.5</v>
          </cell>
          <cell r="N247">
            <v>230.4</v>
          </cell>
          <cell r="O247">
            <v>23.04</v>
          </cell>
          <cell r="P247">
            <v>1920</v>
          </cell>
          <cell r="Q247">
            <v>192</v>
          </cell>
          <cell r="R247">
            <v>32.909999999999997</v>
          </cell>
          <cell r="S247">
            <v>3.29</v>
          </cell>
        </row>
        <row r="248">
          <cell r="D248">
            <v>5</v>
          </cell>
          <cell r="K248">
            <v>1.5</v>
          </cell>
          <cell r="N248">
            <v>268.8</v>
          </cell>
          <cell r="O248">
            <v>26.88</v>
          </cell>
          <cell r="P248">
            <v>1645.71</v>
          </cell>
          <cell r="Q248">
            <v>164.57</v>
          </cell>
          <cell r="R248">
            <v>33.6</v>
          </cell>
          <cell r="S248">
            <v>3.36</v>
          </cell>
        </row>
        <row r="249">
          <cell r="D249">
            <v>5</v>
          </cell>
          <cell r="K249">
            <v>1.4</v>
          </cell>
          <cell r="N249">
            <v>250.88</v>
          </cell>
          <cell r="O249">
            <v>25.09</v>
          </cell>
          <cell r="P249">
            <v>1645.71</v>
          </cell>
          <cell r="Q249">
            <v>164.57</v>
          </cell>
          <cell r="R249">
            <v>31.36</v>
          </cell>
          <cell r="S249">
            <v>3.14</v>
          </cell>
        </row>
        <row r="250">
          <cell r="D250">
            <v>6</v>
          </cell>
          <cell r="K250">
            <v>1.5</v>
          </cell>
          <cell r="N250">
            <v>297.60000000000002</v>
          </cell>
          <cell r="O250">
            <v>29.76</v>
          </cell>
          <cell r="P250">
            <v>1486.45</v>
          </cell>
          <cell r="Q250">
            <v>148.65</v>
          </cell>
          <cell r="R250">
            <v>29.76</v>
          </cell>
          <cell r="S250">
            <v>2.98</v>
          </cell>
        </row>
        <row r="251">
          <cell r="D251">
            <v>2</v>
          </cell>
          <cell r="K251">
            <v>1.5</v>
          </cell>
          <cell r="N251">
            <v>192</v>
          </cell>
          <cell r="O251">
            <v>19.2</v>
          </cell>
          <cell r="P251">
            <v>2304</v>
          </cell>
          <cell r="Q251">
            <v>230.4</v>
          </cell>
          <cell r="R251">
            <v>48</v>
          </cell>
          <cell r="S251">
            <v>4.8</v>
          </cell>
        </row>
        <row r="252">
          <cell r="D252">
            <v>2</v>
          </cell>
          <cell r="K252">
            <v>1.8</v>
          </cell>
          <cell r="N252">
            <v>184.32</v>
          </cell>
          <cell r="O252">
            <v>18.43</v>
          </cell>
          <cell r="P252">
            <v>2880</v>
          </cell>
          <cell r="Q252">
            <v>288</v>
          </cell>
          <cell r="R252">
            <v>61.44</v>
          </cell>
          <cell r="S252">
            <v>6.14</v>
          </cell>
        </row>
        <row r="253">
          <cell r="D253">
            <v>2</v>
          </cell>
          <cell r="K253">
            <v>1.8</v>
          </cell>
          <cell r="N253">
            <v>207.36</v>
          </cell>
          <cell r="O253">
            <v>20.74</v>
          </cell>
          <cell r="P253">
            <v>2560</v>
          </cell>
          <cell r="Q253">
            <v>256</v>
          </cell>
          <cell r="R253">
            <v>41.47</v>
          </cell>
          <cell r="S253">
            <v>4.1500000000000004</v>
          </cell>
        </row>
        <row r="254">
          <cell r="D254">
            <v>3</v>
          </cell>
          <cell r="K254">
            <v>1.2</v>
          </cell>
          <cell r="N254">
            <v>138.24</v>
          </cell>
          <cell r="O254">
            <v>13.82</v>
          </cell>
          <cell r="P254">
            <v>2560</v>
          </cell>
          <cell r="Q254">
            <v>256</v>
          </cell>
          <cell r="R254">
            <v>27.65</v>
          </cell>
          <cell r="S254">
            <v>2.76</v>
          </cell>
        </row>
        <row r="255">
          <cell r="D255">
            <v>4</v>
          </cell>
          <cell r="K255">
            <v>1.6</v>
          </cell>
          <cell r="N255">
            <v>245.76</v>
          </cell>
          <cell r="O255">
            <v>24.58</v>
          </cell>
          <cell r="P255">
            <v>1920</v>
          </cell>
          <cell r="Q255">
            <v>192</v>
          </cell>
          <cell r="R255">
            <v>35.11</v>
          </cell>
          <cell r="S255">
            <v>3.51</v>
          </cell>
        </row>
        <row r="256">
          <cell r="D256">
            <v>4</v>
          </cell>
          <cell r="K256">
            <v>1.5</v>
          </cell>
          <cell r="N256">
            <v>230.4</v>
          </cell>
          <cell r="O256">
            <v>23.04</v>
          </cell>
          <cell r="P256">
            <v>1920</v>
          </cell>
          <cell r="Q256">
            <v>192</v>
          </cell>
          <cell r="R256">
            <v>32.909999999999997</v>
          </cell>
          <cell r="S256">
            <v>3.29</v>
          </cell>
        </row>
        <row r="257">
          <cell r="D257">
            <v>5</v>
          </cell>
          <cell r="K257">
            <v>1.5</v>
          </cell>
          <cell r="N257">
            <v>268.8</v>
          </cell>
          <cell r="O257">
            <v>26.88</v>
          </cell>
          <cell r="P257">
            <v>1645.71</v>
          </cell>
          <cell r="Q257">
            <v>164.57</v>
          </cell>
          <cell r="R257">
            <v>33.6</v>
          </cell>
          <cell r="S257">
            <v>3.36</v>
          </cell>
        </row>
        <row r="258">
          <cell r="D258">
            <v>5</v>
          </cell>
          <cell r="K258">
            <v>1.4</v>
          </cell>
          <cell r="N258">
            <v>250.88</v>
          </cell>
          <cell r="O258">
            <v>25.09</v>
          </cell>
          <cell r="P258">
            <v>1645.71</v>
          </cell>
          <cell r="Q258">
            <v>164.57</v>
          </cell>
          <cell r="R258">
            <v>31.36</v>
          </cell>
          <cell r="S258">
            <v>3.14</v>
          </cell>
        </row>
        <row r="259">
          <cell r="D259">
            <v>6</v>
          </cell>
          <cell r="K259">
            <v>1.5</v>
          </cell>
          <cell r="N259">
            <v>297.60000000000002</v>
          </cell>
          <cell r="O259">
            <v>29.76</v>
          </cell>
          <cell r="P259">
            <v>1486.45</v>
          </cell>
          <cell r="Q259">
            <v>148.65</v>
          </cell>
          <cell r="R259">
            <v>29.76</v>
          </cell>
          <cell r="S259">
            <v>2.98</v>
          </cell>
        </row>
        <row r="260">
          <cell r="D260">
            <v>2</v>
          </cell>
          <cell r="K260">
            <v>1.5</v>
          </cell>
          <cell r="N260">
            <v>192</v>
          </cell>
          <cell r="O260">
            <v>19.2</v>
          </cell>
          <cell r="P260">
            <v>2304</v>
          </cell>
          <cell r="Q260">
            <v>230.4</v>
          </cell>
          <cell r="R260">
            <v>48</v>
          </cell>
          <cell r="S260">
            <v>4.8</v>
          </cell>
        </row>
        <row r="261">
          <cell r="D261">
            <v>2</v>
          </cell>
          <cell r="K261">
            <v>1.8</v>
          </cell>
          <cell r="N261">
            <v>184.32</v>
          </cell>
          <cell r="O261">
            <v>18.43</v>
          </cell>
          <cell r="P261">
            <v>2880</v>
          </cell>
          <cell r="Q261">
            <v>288</v>
          </cell>
          <cell r="R261">
            <v>61.44</v>
          </cell>
          <cell r="S261">
            <v>6.14</v>
          </cell>
        </row>
        <row r="262">
          <cell r="D262">
            <v>2</v>
          </cell>
          <cell r="K262">
            <v>1.8</v>
          </cell>
          <cell r="N262">
            <v>207.36</v>
          </cell>
          <cell r="O262">
            <v>20.74</v>
          </cell>
          <cell r="P262">
            <v>2560</v>
          </cell>
          <cell r="Q262">
            <v>256</v>
          </cell>
          <cell r="R262">
            <v>41.47</v>
          </cell>
          <cell r="S262">
            <v>4.1500000000000004</v>
          </cell>
        </row>
        <row r="263">
          <cell r="D263">
            <v>3</v>
          </cell>
          <cell r="K263">
            <v>1.2</v>
          </cell>
          <cell r="N263">
            <v>138.24</v>
          </cell>
          <cell r="O263">
            <v>13.82</v>
          </cell>
          <cell r="P263">
            <v>2560</v>
          </cell>
          <cell r="Q263">
            <v>256</v>
          </cell>
          <cell r="R263">
            <v>27.65</v>
          </cell>
          <cell r="S263">
            <v>2.76</v>
          </cell>
        </row>
        <row r="264">
          <cell r="D264">
            <v>4</v>
          </cell>
          <cell r="K264">
            <v>1.6</v>
          </cell>
          <cell r="N264">
            <v>245.76</v>
          </cell>
          <cell r="O264">
            <v>24.58</v>
          </cell>
          <cell r="P264">
            <v>1920</v>
          </cell>
          <cell r="Q264">
            <v>192</v>
          </cell>
          <cell r="R264">
            <v>35.11</v>
          </cell>
          <cell r="S264">
            <v>3.51</v>
          </cell>
        </row>
        <row r="265">
          <cell r="D265">
            <v>4</v>
          </cell>
          <cell r="K265">
            <v>1.5</v>
          </cell>
          <cell r="N265">
            <v>230.4</v>
          </cell>
          <cell r="O265">
            <v>23.04</v>
          </cell>
          <cell r="P265">
            <v>1920</v>
          </cell>
          <cell r="Q265">
            <v>192</v>
          </cell>
          <cell r="R265">
            <v>32.909999999999997</v>
          </cell>
          <cell r="S265">
            <v>3.29</v>
          </cell>
        </row>
        <row r="266">
          <cell r="D266">
            <v>5</v>
          </cell>
          <cell r="K266">
            <v>1.5</v>
          </cell>
          <cell r="N266">
            <v>268.8</v>
          </cell>
          <cell r="O266">
            <v>26.88</v>
          </cell>
          <cell r="P266">
            <v>1645.71</v>
          </cell>
          <cell r="Q266">
            <v>164.57</v>
          </cell>
          <cell r="R266">
            <v>33.6</v>
          </cell>
          <cell r="S266">
            <v>3.36</v>
          </cell>
        </row>
        <row r="267">
          <cell r="D267">
            <v>5</v>
          </cell>
          <cell r="K267">
            <v>1.4</v>
          </cell>
          <cell r="N267">
            <v>250.88</v>
          </cell>
          <cell r="O267">
            <v>25.09</v>
          </cell>
          <cell r="P267">
            <v>1645.71</v>
          </cell>
          <cell r="Q267">
            <v>164.57</v>
          </cell>
          <cell r="R267">
            <v>31.36</v>
          </cell>
          <cell r="S267">
            <v>3.14</v>
          </cell>
        </row>
        <row r="268">
          <cell r="D268">
            <v>6</v>
          </cell>
          <cell r="K268">
            <v>1.5</v>
          </cell>
          <cell r="N268">
            <v>297.60000000000002</v>
          </cell>
          <cell r="O268">
            <v>29.76</v>
          </cell>
          <cell r="P268">
            <v>1486.45</v>
          </cell>
          <cell r="Q268">
            <v>148.65</v>
          </cell>
          <cell r="R268">
            <v>29.76</v>
          </cell>
          <cell r="S268">
            <v>2.98</v>
          </cell>
        </row>
        <row r="269">
          <cell r="D269">
            <v>2</v>
          </cell>
          <cell r="K269">
            <v>1.8</v>
          </cell>
          <cell r="N269">
            <v>184.32</v>
          </cell>
          <cell r="O269">
            <v>18.43</v>
          </cell>
          <cell r="P269">
            <v>2880</v>
          </cell>
          <cell r="Q269">
            <v>288</v>
          </cell>
          <cell r="R269">
            <v>61.44</v>
          </cell>
          <cell r="S269">
            <v>6.14</v>
          </cell>
        </row>
        <row r="270">
          <cell r="D270">
            <v>3</v>
          </cell>
          <cell r="K270">
            <v>1.4</v>
          </cell>
          <cell r="N270">
            <v>161.28</v>
          </cell>
          <cell r="O270">
            <v>16.13</v>
          </cell>
          <cell r="P270">
            <v>2560</v>
          </cell>
          <cell r="Q270">
            <v>256</v>
          </cell>
          <cell r="R270">
            <v>32.26</v>
          </cell>
          <cell r="S270">
            <v>3.23</v>
          </cell>
        </row>
        <row r="271">
          <cell r="D271">
            <v>5</v>
          </cell>
          <cell r="K271">
            <v>1.6</v>
          </cell>
          <cell r="N271">
            <v>286.72000000000003</v>
          </cell>
          <cell r="O271">
            <v>28.67</v>
          </cell>
          <cell r="P271">
            <v>1645.71</v>
          </cell>
          <cell r="Q271">
            <v>164.57</v>
          </cell>
          <cell r="R271">
            <v>35.840000000000003</v>
          </cell>
          <cell r="S271">
            <v>3.58</v>
          </cell>
        </row>
        <row r="272">
          <cell r="D272">
            <v>6</v>
          </cell>
          <cell r="K272">
            <v>1.4</v>
          </cell>
          <cell r="N272">
            <v>277.76</v>
          </cell>
          <cell r="O272">
            <v>27.78</v>
          </cell>
          <cell r="P272">
            <v>1486.45</v>
          </cell>
          <cell r="Q272">
            <v>148.65</v>
          </cell>
          <cell r="R272">
            <v>27.78</v>
          </cell>
          <cell r="S272">
            <v>2.78</v>
          </cell>
        </row>
        <row r="273">
          <cell r="D273">
            <v>6</v>
          </cell>
          <cell r="K273">
            <v>1.8</v>
          </cell>
          <cell r="N273">
            <v>357.12</v>
          </cell>
          <cell r="O273">
            <v>35.71</v>
          </cell>
          <cell r="P273">
            <v>1486.45</v>
          </cell>
          <cell r="Q273">
            <v>148.65</v>
          </cell>
          <cell r="R273">
            <v>35.71</v>
          </cell>
          <cell r="S273">
            <v>3.57</v>
          </cell>
        </row>
        <row r="274">
          <cell r="D274">
            <v>2</v>
          </cell>
          <cell r="K274">
            <v>1.8</v>
          </cell>
          <cell r="N274">
            <v>207.36</v>
          </cell>
          <cell r="O274">
            <v>20.74</v>
          </cell>
          <cell r="P274">
            <v>2560</v>
          </cell>
          <cell r="Q274">
            <v>256</v>
          </cell>
          <cell r="R274">
            <v>41.47</v>
          </cell>
          <cell r="S274">
            <v>4.1500000000000004</v>
          </cell>
        </row>
        <row r="275">
          <cell r="D275">
            <v>3</v>
          </cell>
          <cell r="K275">
            <v>1.3</v>
          </cell>
          <cell r="N275">
            <v>149.76</v>
          </cell>
          <cell r="O275">
            <v>14.98</v>
          </cell>
          <cell r="P275">
            <v>2560</v>
          </cell>
          <cell r="Q275">
            <v>256</v>
          </cell>
          <cell r="R275">
            <v>29.95</v>
          </cell>
          <cell r="S275">
            <v>3</v>
          </cell>
        </row>
        <row r="276">
          <cell r="D276">
            <v>3</v>
          </cell>
          <cell r="K276">
            <v>1.4</v>
          </cell>
          <cell r="N276">
            <v>161.28</v>
          </cell>
          <cell r="O276">
            <v>16.13</v>
          </cell>
          <cell r="P276">
            <v>2560</v>
          </cell>
          <cell r="Q276">
            <v>256</v>
          </cell>
          <cell r="R276">
            <v>32.26</v>
          </cell>
          <cell r="S276">
            <v>3.23</v>
          </cell>
        </row>
        <row r="277">
          <cell r="D277">
            <v>4</v>
          </cell>
          <cell r="K277">
            <v>1.4</v>
          </cell>
          <cell r="N277">
            <v>215.04</v>
          </cell>
          <cell r="O277">
            <v>21.5</v>
          </cell>
          <cell r="P277">
            <v>1920</v>
          </cell>
          <cell r="Q277">
            <v>192</v>
          </cell>
          <cell r="R277">
            <v>30.72</v>
          </cell>
          <cell r="S277">
            <v>3.07</v>
          </cell>
        </row>
        <row r="278">
          <cell r="D278">
            <v>5</v>
          </cell>
          <cell r="K278">
            <v>1.6</v>
          </cell>
          <cell r="N278">
            <v>286.72000000000003</v>
          </cell>
          <cell r="O278">
            <v>28.67</v>
          </cell>
          <cell r="P278">
            <v>1645.71</v>
          </cell>
          <cell r="Q278">
            <v>164.57</v>
          </cell>
          <cell r="R278">
            <v>35.840000000000003</v>
          </cell>
          <cell r="S278">
            <v>3.58</v>
          </cell>
        </row>
        <row r="279">
          <cell r="D279">
            <v>2</v>
          </cell>
          <cell r="K279">
            <v>1.5</v>
          </cell>
          <cell r="N279">
            <v>208</v>
          </cell>
          <cell r="O279">
            <v>20.8</v>
          </cell>
          <cell r="P279">
            <v>2496</v>
          </cell>
          <cell r="Q279">
            <v>249.6</v>
          </cell>
          <cell r="R279">
            <v>52</v>
          </cell>
          <cell r="S279">
            <v>5.2</v>
          </cell>
        </row>
        <row r="280">
          <cell r="D280">
            <v>2</v>
          </cell>
          <cell r="K280">
            <v>1.8</v>
          </cell>
          <cell r="N280">
            <v>199.68</v>
          </cell>
          <cell r="O280">
            <v>19.97</v>
          </cell>
          <cell r="P280">
            <v>3120</v>
          </cell>
          <cell r="Q280">
            <v>312</v>
          </cell>
          <cell r="R280">
            <v>66.56</v>
          </cell>
          <cell r="S280">
            <v>6.66</v>
          </cell>
        </row>
        <row r="281">
          <cell r="D281">
            <v>2</v>
          </cell>
          <cell r="K281">
            <v>1.8</v>
          </cell>
          <cell r="N281">
            <v>224.64</v>
          </cell>
          <cell r="O281">
            <v>22.46</v>
          </cell>
          <cell r="P281">
            <v>2773.33</v>
          </cell>
          <cell r="Q281">
            <v>277.33</v>
          </cell>
          <cell r="R281">
            <v>44.93</v>
          </cell>
          <cell r="S281">
            <v>4.49</v>
          </cell>
        </row>
        <row r="282">
          <cell r="D282">
            <v>3</v>
          </cell>
          <cell r="K282">
            <v>1.2</v>
          </cell>
          <cell r="N282">
            <v>149.76</v>
          </cell>
          <cell r="O282">
            <v>14.98</v>
          </cell>
          <cell r="P282">
            <v>2773.33</v>
          </cell>
          <cell r="Q282">
            <v>277.33</v>
          </cell>
          <cell r="R282">
            <v>29.95</v>
          </cell>
          <cell r="S282">
            <v>3</v>
          </cell>
        </row>
        <row r="283">
          <cell r="D283">
            <v>4</v>
          </cell>
          <cell r="K283">
            <v>1.6</v>
          </cell>
          <cell r="N283">
            <v>266.24</v>
          </cell>
          <cell r="O283">
            <v>26.62</v>
          </cell>
          <cell r="P283">
            <v>2080</v>
          </cell>
          <cell r="Q283">
            <v>208</v>
          </cell>
          <cell r="R283">
            <v>38.03</v>
          </cell>
          <cell r="S283">
            <v>3.8</v>
          </cell>
        </row>
        <row r="284">
          <cell r="D284">
            <v>4</v>
          </cell>
          <cell r="K284">
            <v>1.5</v>
          </cell>
          <cell r="N284">
            <v>249.6</v>
          </cell>
          <cell r="O284">
            <v>24.96</v>
          </cell>
          <cell r="P284">
            <v>2080</v>
          </cell>
          <cell r="Q284">
            <v>208</v>
          </cell>
          <cell r="R284">
            <v>35.659999999999997</v>
          </cell>
          <cell r="S284">
            <v>3.57</v>
          </cell>
        </row>
        <row r="285">
          <cell r="D285">
            <v>5</v>
          </cell>
          <cell r="K285">
            <v>1.5</v>
          </cell>
          <cell r="N285">
            <v>291.2</v>
          </cell>
          <cell r="O285">
            <v>29.12</v>
          </cell>
          <cell r="P285">
            <v>1782.86</v>
          </cell>
          <cell r="Q285">
            <v>178.29</v>
          </cell>
          <cell r="R285">
            <v>36.4</v>
          </cell>
          <cell r="S285">
            <v>3.64</v>
          </cell>
        </row>
        <row r="286">
          <cell r="D286">
            <v>5</v>
          </cell>
          <cell r="K286">
            <v>1.4</v>
          </cell>
          <cell r="N286">
            <v>271.79000000000002</v>
          </cell>
          <cell r="O286">
            <v>27.18</v>
          </cell>
          <cell r="P286">
            <v>1782.86</v>
          </cell>
          <cell r="Q286">
            <v>178.29</v>
          </cell>
          <cell r="R286">
            <v>33.97</v>
          </cell>
          <cell r="S286">
            <v>3.4</v>
          </cell>
        </row>
        <row r="287">
          <cell r="D287">
            <v>6</v>
          </cell>
          <cell r="K287">
            <v>1.5</v>
          </cell>
          <cell r="N287">
            <v>322.39999999999998</v>
          </cell>
          <cell r="O287">
            <v>32.24</v>
          </cell>
          <cell r="P287">
            <v>1610.32</v>
          </cell>
          <cell r="Q287">
            <v>161.03</v>
          </cell>
          <cell r="R287">
            <v>32.24</v>
          </cell>
          <cell r="S287">
            <v>3.22</v>
          </cell>
        </row>
        <row r="288">
          <cell r="D288">
            <v>2</v>
          </cell>
          <cell r="K288">
            <v>1.5</v>
          </cell>
          <cell r="N288">
            <v>208</v>
          </cell>
          <cell r="O288">
            <v>20.8</v>
          </cell>
          <cell r="P288">
            <v>2496</v>
          </cell>
          <cell r="Q288">
            <v>249.6</v>
          </cell>
          <cell r="R288">
            <v>52</v>
          </cell>
          <cell r="S288">
            <v>5.2</v>
          </cell>
        </row>
        <row r="289">
          <cell r="D289">
            <v>2</v>
          </cell>
          <cell r="K289">
            <v>1.8</v>
          </cell>
          <cell r="N289">
            <v>199.68</v>
          </cell>
          <cell r="O289">
            <v>19.97</v>
          </cell>
          <cell r="P289">
            <v>3120</v>
          </cell>
          <cell r="Q289">
            <v>312</v>
          </cell>
          <cell r="R289">
            <v>66.56</v>
          </cell>
          <cell r="S289">
            <v>6.66</v>
          </cell>
        </row>
        <row r="290">
          <cell r="D290">
            <v>2</v>
          </cell>
          <cell r="K290">
            <v>1.8</v>
          </cell>
          <cell r="N290">
            <v>224.64</v>
          </cell>
          <cell r="O290">
            <v>22.46</v>
          </cell>
          <cell r="P290">
            <v>2773.33</v>
          </cell>
          <cell r="Q290">
            <v>277.33</v>
          </cell>
          <cell r="R290">
            <v>44.93</v>
          </cell>
          <cell r="S290">
            <v>4.49</v>
          </cell>
        </row>
        <row r="291">
          <cell r="D291">
            <v>3</v>
          </cell>
          <cell r="K291">
            <v>1.2</v>
          </cell>
          <cell r="N291">
            <v>149.76</v>
          </cell>
          <cell r="O291">
            <v>14.98</v>
          </cell>
          <cell r="P291">
            <v>2773.33</v>
          </cell>
          <cell r="Q291">
            <v>277.33</v>
          </cell>
          <cell r="R291">
            <v>29.95</v>
          </cell>
          <cell r="S291">
            <v>3</v>
          </cell>
        </row>
        <row r="292">
          <cell r="D292">
            <v>4</v>
          </cell>
          <cell r="K292">
            <v>1.6</v>
          </cell>
          <cell r="N292">
            <v>266.24</v>
          </cell>
          <cell r="O292">
            <v>26.62</v>
          </cell>
          <cell r="P292">
            <v>2080</v>
          </cell>
          <cell r="Q292">
            <v>208</v>
          </cell>
          <cell r="R292">
            <v>38.03</v>
          </cell>
          <cell r="S292">
            <v>3.8</v>
          </cell>
        </row>
        <row r="293">
          <cell r="D293">
            <v>4</v>
          </cell>
          <cell r="K293">
            <v>1.5</v>
          </cell>
          <cell r="N293">
            <v>249.6</v>
          </cell>
          <cell r="O293">
            <v>24.96</v>
          </cell>
          <cell r="P293">
            <v>2080</v>
          </cell>
          <cell r="Q293">
            <v>208</v>
          </cell>
          <cell r="R293">
            <v>35.659999999999997</v>
          </cell>
          <cell r="S293">
            <v>3.57</v>
          </cell>
        </row>
        <row r="294">
          <cell r="D294">
            <v>5</v>
          </cell>
          <cell r="K294">
            <v>1.5</v>
          </cell>
          <cell r="N294">
            <v>291.2</v>
          </cell>
          <cell r="O294">
            <v>29.12</v>
          </cell>
          <cell r="P294">
            <v>1782.86</v>
          </cell>
          <cell r="Q294">
            <v>178.29</v>
          </cell>
          <cell r="R294">
            <v>36.4</v>
          </cell>
          <cell r="S294">
            <v>3.64</v>
          </cell>
        </row>
        <row r="295">
          <cell r="D295">
            <v>5</v>
          </cell>
          <cell r="K295">
            <v>1.4</v>
          </cell>
          <cell r="N295">
            <v>271.79000000000002</v>
          </cell>
          <cell r="O295">
            <v>27.18</v>
          </cell>
          <cell r="P295">
            <v>1782.86</v>
          </cell>
          <cell r="Q295">
            <v>178.29</v>
          </cell>
          <cell r="R295">
            <v>33.97</v>
          </cell>
          <cell r="S295">
            <v>3.4</v>
          </cell>
        </row>
        <row r="296">
          <cell r="D296">
            <v>6</v>
          </cell>
          <cell r="K296">
            <v>1.5</v>
          </cell>
          <cell r="N296">
            <v>322.39999999999998</v>
          </cell>
          <cell r="O296">
            <v>32.24</v>
          </cell>
          <cell r="P296">
            <v>1610.32</v>
          </cell>
          <cell r="Q296">
            <v>161.03</v>
          </cell>
          <cell r="R296">
            <v>32.24</v>
          </cell>
          <cell r="S296">
            <v>3.22</v>
          </cell>
        </row>
        <row r="297">
          <cell r="D297">
            <v>2</v>
          </cell>
          <cell r="K297">
            <v>1.5</v>
          </cell>
          <cell r="N297">
            <v>208</v>
          </cell>
          <cell r="O297">
            <v>20.8</v>
          </cell>
          <cell r="P297">
            <v>2496</v>
          </cell>
          <cell r="Q297">
            <v>249.6</v>
          </cell>
          <cell r="R297">
            <v>52</v>
          </cell>
          <cell r="S297">
            <v>5.2</v>
          </cell>
        </row>
        <row r="298">
          <cell r="D298">
            <v>2</v>
          </cell>
          <cell r="K298">
            <v>1.8</v>
          </cell>
          <cell r="N298">
            <v>199.68</v>
          </cell>
          <cell r="O298">
            <v>19.97</v>
          </cell>
          <cell r="P298">
            <v>3120</v>
          </cell>
          <cell r="Q298">
            <v>312</v>
          </cell>
          <cell r="R298">
            <v>66.56</v>
          </cell>
          <cell r="S298">
            <v>6.66</v>
          </cell>
        </row>
        <row r="299">
          <cell r="D299">
            <v>2</v>
          </cell>
          <cell r="K299">
            <v>1.8</v>
          </cell>
          <cell r="N299">
            <v>224.64</v>
          </cell>
          <cell r="O299">
            <v>22.46</v>
          </cell>
          <cell r="P299">
            <v>2773.33</v>
          </cell>
          <cell r="Q299">
            <v>277.33</v>
          </cell>
          <cell r="R299">
            <v>44.93</v>
          </cell>
          <cell r="S299">
            <v>4.49</v>
          </cell>
        </row>
        <row r="300">
          <cell r="D300">
            <v>3</v>
          </cell>
          <cell r="K300">
            <v>1.2</v>
          </cell>
          <cell r="N300">
            <v>149.76</v>
          </cell>
          <cell r="O300">
            <v>14.98</v>
          </cell>
          <cell r="P300">
            <v>2773.33</v>
          </cell>
          <cell r="Q300">
            <v>277.33</v>
          </cell>
          <cell r="R300">
            <v>29.95</v>
          </cell>
          <cell r="S300">
            <v>3</v>
          </cell>
        </row>
        <row r="301">
          <cell r="D301">
            <v>4</v>
          </cell>
          <cell r="K301">
            <v>1.6</v>
          </cell>
          <cell r="N301">
            <v>266.24</v>
          </cell>
          <cell r="O301">
            <v>26.62</v>
          </cell>
          <cell r="P301">
            <v>2080</v>
          </cell>
          <cell r="Q301">
            <v>208</v>
          </cell>
          <cell r="R301">
            <v>38.03</v>
          </cell>
          <cell r="S301">
            <v>3.8</v>
          </cell>
        </row>
        <row r="302">
          <cell r="D302">
            <v>4</v>
          </cell>
          <cell r="K302">
            <v>1.5</v>
          </cell>
          <cell r="N302">
            <v>249.6</v>
          </cell>
          <cell r="O302">
            <v>24.96</v>
          </cell>
          <cell r="P302">
            <v>2080</v>
          </cell>
          <cell r="Q302">
            <v>208</v>
          </cell>
          <cell r="R302">
            <v>35.659999999999997</v>
          </cell>
          <cell r="S302">
            <v>3.57</v>
          </cell>
        </row>
        <row r="303">
          <cell r="D303">
            <v>5</v>
          </cell>
          <cell r="K303">
            <v>1.5</v>
          </cell>
          <cell r="N303">
            <v>291.2</v>
          </cell>
          <cell r="O303">
            <v>29.12</v>
          </cell>
          <cell r="P303">
            <v>1782.86</v>
          </cell>
          <cell r="Q303">
            <v>178.29</v>
          </cell>
          <cell r="R303">
            <v>36.4</v>
          </cell>
          <cell r="S303">
            <v>3.64</v>
          </cell>
        </row>
        <row r="304">
          <cell r="D304">
            <v>5</v>
          </cell>
          <cell r="K304">
            <v>1.4</v>
          </cell>
          <cell r="N304">
            <v>271.79000000000002</v>
          </cell>
          <cell r="O304">
            <v>27.18</v>
          </cell>
          <cell r="P304">
            <v>1782.86</v>
          </cell>
          <cell r="Q304">
            <v>178.29</v>
          </cell>
          <cell r="R304">
            <v>33.97</v>
          </cell>
          <cell r="S304">
            <v>3.4</v>
          </cell>
        </row>
        <row r="305">
          <cell r="D305">
            <v>6</v>
          </cell>
          <cell r="K305">
            <v>1.5</v>
          </cell>
          <cell r="N305">
            <v>322.39999999999998</v>
          </cell>
          <cell r="O305">
            <v>32.24</v>
          </cell>
          <cell r="P305">
            <v>1610.32</v>
          </cell>
          <cell r="Q305">
            <v>161.03</v>
          </cell>
          <cell r="R305">
            <v>32.24</v>
          </cell>
          <cell r="S305">
            <v>3.22</v>
          </cell>
        </row>
        <row r="306">
          <cell r="D306">
            <v>2</v>
          </cell>
          <cell r="K306">
            <v>1.8</v>
          </cell>
          <cell r="N306">
            <v>199.68</v>
          </cell>
          <cell r="O306">
            <v>19.97</v>
          </cell>
          <cell r="P306">
            <v>3120</v>
          </cell>
          <cell r="Q306">
            <v>312</v>
          </cell>
          <cell r="R306">
            <v>66.56</v>
          </cell>
          <cell r="S306">
            <v>6.66</v>
          </cell>
        </row>
        <row r="307">
          <cell r="D307">
            <v>3</v>
          </cell>
          <cell r="K307">
            <v>1.4</v>
          </cell>
          <cell r="N307">
            <v>174.72</v>
          </cell>
          <cell r="O307">
            <v>17.47</v>
          </cell>
          <cell r="P307">
            <v>2773.33</v>
          </cell>
          <cell r="Q307">
            <v>277.33</v>
          </cell>
          <cell r="R307">
            <v>34.94</v>
          </cell>
          <cell r="S307">
            <v>3.49</v>
          </cell>
        </row>
        <row r="308">
          <cell r="D308">
            <v>5</v>
          </cell>
          <cell r="K308">
            <v>1.6</v>
          </cell>
          <cell r="N308">
            <v>310.61</v>
          </cell>
          <cell r="O308">
            <v>31.06</v>
          </cell>
          <cell r="P308">
            <v>1782.86</v>
          </cell>
          <cell r="Q308">
            <v>178.29</v>
          </cell>
          <cell r="R308">
            <v>38.83</v>
          </cell>
          <cell r="S308">
            <v>3.88</v>
          </cell>
        </row>
        <row r="309">
          <cell r="D309">
            <v>6</v>
          </cell>
          <cell r="K309">
            <v>1.4</v>
          </cell>
          <cell r="N309">
            <v>300.91000000000003</v>
          </cell>
          <cell r="O309">
            <v>30.09</v>
          </cell>
          <cell r="P309">
            <v>1610.32</v>
          </cell>
          <cell r="Q309">
            <v>161.03</v>
          </cell>
          <cell r="R309">
            <v>30.09</v>
          </cell>
          <cell r="S309">
            <v>3.01</v>
          </cell>
        </row>
        <row r="310">
          <cell r="D310">
            <v>6</v>
          </cell>
          <cell r="K310">
            <v>1.8</v>
          </cell>
          <cell r="N310">
            <v>386.88</v>
          </cell>
          <cell r="O310">
            <v>38.69</v>
          </cell>
          <cell r="P310">
            <v>1610.32</v>
          </cell>
          <cell r="Q310">
            <v>161.03</v>
          </cell>
          <cell r="R310">
            <v>38.69</v>
          </cell>
          <cell r="S310">
            <v>3.87</v>
          </cell>
        </row>
        <row r="311">
          <cell r="D311">
            <v>2</v>
          </cell>
          <cell r="K311">
            <v>1.8</v>
          </cell>
          <cell r="N311">
            <v>224.64</v>
          </cell>
          <cell r="O311">
            <v>22.46</v>
          </cell>
          <cell r="P311">
            <v>2773.33</v>
          </cell>
          <cell r="Q311">
            <v>277.33</v>
          </cell>
          <cell r="R311">
            <v>44.93</v>
          </cell>
          <cell r="S311">
            <v>4.49</v>
          </cell>
        </row>
        <row r="312">
          <cell r="D312">
            <v>3</v>
          </cell>
          <cell r="K312">
            <v>1.3</v>
          </cell>
          <cell r="N312">
            <v>162.24</v>
          </cell>
          <cell r="O312">
            <v>16.22</v>
          </cell>
          <cell r="P312">
            <v>2773.33</v>
          </cell>
          <cell r="Q312">
            <v>277.33</v>
          </cell>
          <cell r="R312">
            <v>32.450000000000003</v>
          </cell>
          <cell r="S312">
            <v>3.24</v>
          </cell>
        </row>
        <row r="313">
          <cell r="D313">
            <v>3</v>
          </cell>
          <cell r="K313">
            <v>1.4</v>
          </cell>
          <cell r="N313">
            <v>174.72</v>
          </cell>
          <cell r="O313">
            <v>17.47</v>
          </cell>
          <cell r="P313">
            <v>2773.33</v>
          </cell>
          <cell r="Q313">
            <v>277.33</v>
          </cell>
          <cell r="R313">
            <v>34.94</v>
          </cell>
          <cell r="S313">
            <v>3.49</v>
          </cell>
        </row>
        <row r="314">
          <cell r="D314">
            <v>4</v>
          </cell>
          <cell r="K314">
            <v>1.4</v>
          </cell>
          <cell r="N314">
            <v>232.96</v>
          </cell>
          <cell r="O314">
            <v>23.3</v>
          </cell>
          <cell r="P314">
            <v>2080</v>
          </cell>
          <cell r="Q314">
            <v>208</v>
          </cell>
          <cell r="R314">
            <v>33.28</v>
          </cell>
          <cell r="S314">
            <v>3.33</v>
          </cell>
        </row>
        <row r="315">
          <cell r="D315">
            <v>5</v>
          </cell>
          <cell r="K315">
            <v>1.6</v>
          </cell>
          <cell r="N315">
            <v>310.61</v>
          </cell>
          <cell r="O315">
            <v>31.06</v>
          </cell>
          <cell r="P315">
            <v>1782.86</v>
          </cell>
          <cell r="Q315">
            <v>178.29</v>
          </cell>
          <cell r="R315">
            <v>38.83</v>
          </cell>
          <cell r="S315">
            <v>3.88</v>
          </cell>
        </row>
        <row r="316">
          <cell r="D316">
            <v>2</v>
          </cell>
          <cell r="K316">
            <v>1.5</v>
          </cell>
          <cell r="N316">
            <v>224</v>
          </cell>
          <cell r="O316">
            <v>22.4</v>
          </cell>
          <cell r="P316">
            <v>2688</v>
          </cell>
          <cell r="Q316">
            <v>268.8</v>
          </cell>
          <cell r="R316">
            <v>56</v>
          </cell>
          <cell r="S316">
            <v>5.6</v>
          </cell>
        </row>
        <row r="317">
          <cell r="D317">
            <v>2</v>
          </cell>
          <cell r="K317">
            <v>1.8</v>
          </cell>
          <cell r="N317">
            <v>215.04</v>
          </cell>
          <cell r="O317">
            <v>21.5</v>
          </cell>
          <cell r="P317">
            <v>3360</v>
          </cell>
          <cell r="Q317">
            <v>336</v>
          </cell>
          <cell r="R317">
            <v>71.680000000000007</v>
          </cell>
          <cell r="S317">
            <v>7.17</v>
          </cell>
        </row>
        <row r="318">
          <cell r="D318">
            <v>2</v>
          </cell>
          <cell r="K318">
            <v>1.8</v>
          </cell>
          <cell r="N318">
            <v>241.92</v>
          </cell>
          <cell r="O318">
            <v>24.19</v>
          </cell>
          <cell r="P318">
            <v>2986.67</v>
          </cell>
          <cell r="Q318">
            <v>298.67</v>
          </cell>
          <cell r="R318">
            <v>48.38</v>
          </cell>
          <cell r="S318">
            <v>4.84</v>
          </cell>
        </row>
        <row r="319">
          <cell r="D319">
            <v>3</v>
          </cell>
          <cell r="K319">
            <v>1.2</v>
          </cell>
          <cell r="N319">
            <v>161.28</v>
          </cell>
          <cell r="O319">
            <v>16.13</v>
          </cell>
          <cell r="P319">
            <v>2986.67</v>
          </cell>
          <cell r="Q319">
            <v>298.67</v>
          </cell>
          <cell r="R319">
            <v>32.26</v>
          </cell>
          <cell r="S319">
            <v>3.23</v>
          </cell>
        </row>
        <row r="320">
          <cell r="D320">
            <v>4</v>
          </cell>
          <cell r="K320">
            <v>1.6</v>
          </cell>
          <cell r="N320">
            <v>286.72000000000003</v>
          </cell>
          <cell r="O320">
            <v>28.67</v>
          </cell>
          <cell r="P320">
            <v>2240</v>
          </cell>
          <cell r="Q320">
            <v>224</v>
          </cell>
          <cell r="R320">
            <v>40.96</v>
          </cell>
          <cell r="S320">
            <v>4.0999999999999996</v>
          </cell>
        </row>
        <row r="321">
          <cell r="D321">
            <v>4</v>
          </cell>
          <cell r="K321">
            <v>1.5</v>
          </cell>
          <cell r="N321">
            <v>268.8</v>
          </cell>
          <cell r="O321">
            <v>26.88</v>
          </cell>
          <cell r="P321">
            <v>2240</v>
          </cell>
          <cell r="Q321">
            <v>224</v>
          </cell>
          <cell r="R321">
            <v>38.4</v>
          </cell>
          <cell r="S321">
            <v>3.84</v>
          </cell>
        </row>
        <row r="322">
          <cell r="D322">
            <v>5</v>
          </cell>
          <cell r="K322">
            <v>1.5</v>
          </cell>
          <cell r="N322">
            <v>313.60000000000002</v>
          </cell>
          <cell r="O322">
            <v>31.36</v>
          </cell>
          <cell r="P322">
            <v>1920</v>
          </cell>
          <cell r="Q322">
            <v>192</v>
          </cell>
          <cell r="R322">
            <v>39.200000000000003</v>
          </cell>
          <cell r="S322">
            <v>3.92</v>
          </cell>
        </row>
        <row r="323">
          <cell r="D323">
            <v>5</v>
          </cell>
          <cell r="K323">
            <v>1.4</v>
          </cell>
          <cell r="N323">
            <v>292.69</v>
          </cell>
          <cell r="O323">
            <v>29.27</v>
          </cell>
          <cell r="P323">
            <v>1920</v>
          </cell>
          <cell r="Q323">
            <v>192</v>
          </cell>
          <cell r="R323">
            <v>36.590000000000003</v>
          </cell>
          <cell r="S323">
            <v>3.66</v>
          </cell>
        </row>
        <row r="324">
          <cell r="D324">
            <v>6</v>
          </cell>
          <cell r="K324">
            <v>1.5</v>
          </cell>
          <cell r="N324">
            <v>347.2</v>
          </cell>
          <cell r="O324">
            <v>34.72</v>
          </cell>
          <cell r="P324">
            <v>1734.19</v>
          </cell>
          <cell r="Q324">
            <v>173.42</v>
          </cell>
          <cell r="R324">
            <v>34.72</v>
          </cell>
          <cell r="S324">
            <v>3.47</v>
          </cell>
        </row>
        <row r="325">
          <cell r="D325">
            <v>2</v>
          </cell>
          <cell r="K325">
            <v>1.5</v>
          </cell>
          <cell r="N325">
            <v>224</v>
          </cell>
          <cell r="O325">
            <v>22.4</v>
          </cell>
          <cell r="P325">
            <v>2688</v>
          </cell>
          <cell r="Q325">
            <v>268.8</v>
          </cell>
          <cell r="R325">
            <v>56</v>
          </cell>
          <cell r="S325">
            <v>5.6</v>
          </cell>
        </row>
        <row r="326">
          <cell r="D326">
            <v>2</v>
          </cell>
          <cell r="K326">
            <v>1.8</v>
          </cell>
          <cell r="N326">
            <v>215.04</v>
          </cell>
          <cell r="O326">
            <v>21.5</v>
          </cell>
          <cell r="P326">
            <v>3360</v>
          </cell>
          <cell r="Q326">
            <v>336</v>
          </cell>
          <cell r="R326">
            <v>71.680000000000007</v>
          </cell>
          <cell r="S326">
            <v>7.17</v>
          </cell>
        </row>
        <row r="327">
          <cell r="D327">
            <v>2</v>
          </cell>
          <cell r="K327">
            <v>1.8</v>
          </cell>
          <cell r="N327">
            <v>241.92</v>
          </cell>
          <cell r="O327">
            <v>24.19</v>
          </cell>
          <cell r="P327">
            <v>2986.67</v>
          </cell>
          <cell r="Q327">
            <v>298.67</v>
          </cell>
          <cell r="R327">
            <v>48.38</v>
          </cell>
          <cell r="S327">
            <v>4.84</v>
          </cell>
        </row>
        <row r="328">
          <cell r="D328">
            <v>3</v>
          </cell>
          <cell r="K328">
            <v>1.2</v>
          </cell>
          <cell r="N328">
            <v>161.28</v>
          </cell>
          <cell r="O328">
            <v>16.13</v>
          </cell>
          <cell r="P328">
            <v>2986.67</v>
          </cell>
          <cell r="Q328">
            <v>298.67</v>
          </cell>
          <cell r="R328">
            <v>32.26</v>
          </cell>
          <cell r="S328">
            <v>3.23</v>
          </cell>
        </row>
        <row r="329">
          <cell r="D329">
            <v>4</v>
          </cell>
          <cell r="K329">
            <v>1.6</v>
          </cell>
          <cell r="N329">
            <v>286.72000000000003</v>
          </cell>
          <cell r="O329">
            <v>28.67</v>
          </cell>
          <cell r="P329">
            <v>2240</v>
          </cell>
          <cell r="Q329">
            <v>224</v>
          </cell>
          <cell r="R329">
            <v>40.96</v>
          </cell>
          <cell r="S329">
            <v>4.0999999999999996</v>
          </cell>
        </row>
        <row r="330">
          <cell r="D330">
            <v>4</v>
          </cell>
          <cell r="K330">
            <v>1.5</v>
          </cell>
          <cell r="N330">
            <v>268.8</v>
          </cell>
          <cell r="O330">
            <v>26.88</v>
          </cell>
          <cell r="P330">
            <v>2240</v>
          </cell>
          <cell r="Q330">
            <v>224</v>
          </cell>
          <cell r="R330">
            <v>38.4</v>
          </cell>
          <cell r="S330">
            <v>3.84</v>
          </cell>
        </row>
        <row r="331">
          <cell r="D331">
            <v>5</v>
          </cell>
          <cell r="K331">
            <v>1.5</v>
          </cell>
          <cell r="N331">
            <v>313.60000000000002</v>
          </cell>
          <cell r="O331">
            <v>31.36</v>
          </cell>
          <cell r="P331">
            <v>1920</v>
          </cell>
          <cell r="Q331">
            <v>192</v>
          </cell>
          <cell r="R331">
            <v>39.200000000000003</v>
          </cell>
          <cell r="S331">
            <v>3.92</v>
          </cell>
        </row>
        <row r="332">
          <cell r="D332">
            <v>5</v>
          </cell>
          <cell r="K332">
            <v>1.4</v>
          </cell>
          <cell r="N332">
            <v>292.69</v>
          </cell>
          <cell r="O332">
            <v>29.27</v>
          </cell>
          <cell r="P332">
            <v>1920</v>
          </cell>
          <cell r="Q332">
            <v>192</v>
          </cell>
          <cell r="R332">
            <v>36.590000000000003</v>
          </cell>
          <cell r="S332">
            <v>3.66</v>
          </cell>
        </row>
        <row r="333">
          <cell r="D333">
            <v>6</v>
          </cell>
          <cell r="K333">
            <v>1.5</v>
          </cell>
          <cell r="N333">
            <v>347.2</v>
          </cell>
          <cell r="O333">
            <v>34.72</v>
          </cell>
          <cell r="P333">
            <v>1734.19</v>
          </cell>
          <cell r="Q333">
            <v>173.42</v>
          </cell>
          <cell r="R333">
            <v>34.72</v>
          </cell>
          <cell r="S333">
            <v>3.47</v>
          </cell>
        </row>
        <row r="334">
          <cell r="D334">
            <v>2</v>
          </cell>
          <cell r="K334">
            <v>1.5</v>
          </cell>
          <cell r="N334">
            <v>224</v>
          </cell>
          <cell r="O334">
            <v>22.4</v>
          </cell>
          <cell r="P334">
            <v>2688</v>
          </cell>
          <cell r="Q334">
            <v>268.8</v>
          </cell>
          <cell r="R334">
            <v>56</v>
          </cell>
          <cell r="S334">
            <v>5.6</v>
          </cell>
        </row>
        <row r="335">
          <cell r="D335">
            <v>2</v>
          </cell>
          <cell r="K335">
            <v>1.8</v>
          </cell>
          <cell r="N335">
            <v>215.04</v>
          </cell>
          <cell r="O335">
            <v>21.5</v>
          </cell>
          <cell r="P335">
            <v>3360</v>
          </cell>
          <cell r="Q335">
            <v>336</v>
          </cell>
          <cell r="R335">
            <v>71.680000000000007</v>
          </cell>
          <cell r="S335">
            <v>7.17</v>
          </cell>
        </row>
        <row r="336">
          <cell r="D336">
            <v>2</v>
          </cell>
          <cell r="K336">
            <v>1.8</v>
          </cell>
          <cell r="N336">
            <v>241.92</v>
          </cell>
          <cell r="O336">
            <v>24.19</v>
          </cell>
          <cell r="P336">
            <v>2986.67</v>
          </cell>
          <cell r="Q336">
            <v>298.67</v>
          </cell>
          <cell r="R336">
            <v>48.38</v>
          </cell>
          <cell r="S336">
            <v>4.84</v>
          </cell>
        </row>
        <row r="337">
          <cell r="D337">
            <v>3</v>
          </cell>
          <cell r="K337">
            <v>1.2</v>
          </cell>
          <cell r="N337">
            <v>161.28</v>
          </cell>
          <cell r="O337">
            <v>16.13</v>
          </cell>
          <cell r="P337">
            <v>2986.67</v>
          </cell>
          <cell r="Q337">
            <v>298.67</v>
          </cell>
          <cell r="R337">
            <v>32.26</v>
          </cell>
          <cell r="S337">
            <v>3.23</v>
          </cell>
        </row>
        <row r="338">
          <cell r="D338">
            <v>4</v>
          </cell>
          <cell r="K338">
            <v>1.6</v>
          </cell>
          <cell r="N338">
            <v>286.72000000000003</v>
          </cell>
          <cell r="O338">
            <v>28.67</v>
          </cell>
          <cell r="P338">
            <v>2240</v>
          </cell>
          <cell r="Q338">
            <v>224</v>
          </cell>
          <cell r="R338">
            <v>40.96</v>
          </cell>
          <cell r="S338">
            <v>4.0999999999999996</v>
          </cell>
        </row>
        <row r="339">
          <cell r="D339">
            <v>4</v>
          </cell>
          <cell r="K339">
            <v>1.5</v>
          </cell>
          <cell r="N339">
            <v>268.8</v>
          </cell>
          <cell r="O339">
            <v>26.88</v>
          </cell>
          <cell r="P339">
            <v>2240</v>
          </cell>
          <cell r="Q339">
            <v>224</v>
          </cell>
          <cell r="R339">
            <v>38.4</v>
          </cell>
          <cell r="S339">
            <v>3.84</v>
          </cell>
        </row>
        <row r="340">
          <cell r="D340">
            <v>5</v>
          </cell>
          <cell r="K340">
            <v>1.5</v>
          </cell>
          <cell r="N340">
            <v>313.60000000000002</v>
          </cell>
          <cell r="O340">
            <v>31.36</v>
          </cell>
          <cell r="P340">
            <v>1920</v>
          </cell>
          <cell r="Q340">
            <v>192</v>
          </cell>
          <cell r="R340">
            <v>39.200000000000003</v>
          </cell>
          <cell r="S340">
            <v>3.92</v>
          </cell>
        </row>
        <row r="341">
          <cell r="D341">
            <v>5</v>
          </cell>
          <cell r="K341">
            <v>1.4</v>
          </cell>
          <cell r="N341">
            <v>292.69</v>
          </cell>
          <cell r="O341">
            <v>29.27</v>
          </cell>
          <cell r="P341">
            <v>1920</v>
          </cell>
          <cell r="Q341">
            <v>192</v>
          </cell>
          <cell r="R341">
            <v>36.590000000000003</v>
          </cell>
          <cell r="S341">
            <v>3.66</v>
          </cell>
        </row>
        <row r="342">
          <cell r="D342">
            <v>6</v>
          </cell>
          <cell r="K342">
            <v>1.5</v>
          </cell>
          <cell r="N342">
            <v>347.2</v>
          </cell>
          <cell r="O342">
            <v>34.72</v>
          </cell>
          <cell r="P342">
            <v>1734.19</v>
          </cell>
          <cell r="Q342">
            <v>173.42</v>
          </cell>
          <cell r="R342">
            <v>34.72</v>
          </cell>
          <cell r="S342">
            <v>3.47</v>
          </cell>
        </row>
        <row r="343">
          <cell r="D343">
            <v>2</v>
          </cell>
          <cell r="K343">
            <v>1.8</v>
          </cell>
          <cell r="N343">
            <v>215.04</v>
          </cell>
          <cell r="O343">
            <v>21.5</v>
          </cell>
          <cell r="P343">
            <v>3360</v>
          </cell>
          <cell r="Q343">
            <v>336</v>
          </cell>
          <cell r="R343">
            <v>71.680000000000007</v>
          </cell>
          <cell r="S343">
            <v>7.17</v>
          </cell>
        </row>
        <row r="344">
          <cell r="D344">
            <v>3</v>
          </cell>
          <cell r="K344">
            <v>1.4</v>
          </cell>
          <cell r="N344">
            <v>188.16</v>
          </cell>
          <cell r="O344">
            <v>18.82</v>
          </cell>
          <cell r="P344">
            <v>2986.67</v>
          </cell>
          <cell r="Q344">
            <v>298.67</v>
          </cell>
          <cell r="R344">
            <v>37.630000000000003</v>
          </cell>
          <cell r="S344">
            <v>3.76</v>
          </cell>
        </row>
        <row r="345">
          <cell r="D345">
            <v>5</v>
          </cell>
          <cell r="K345">
            <v>1.6</v>
          </cell>
          <cell r="N345">
            <v>334.51</v>
          </cell>
          <cell r="O345">
            <v>33.450000000000003</v>
          </cell>
          <cell r="P345">
            <v>1920</v>
          </cell>
          <cell r="Q345">
            <v>192</v>
          </cell>
          <cell r="R345">
            <v>41.81</v>
          </cell>
          <cell r="S345">
            <v>4.18</v>
          </cell>
        </row>
        <row r="346">
          <cell r="D346">
            <v>6</v>
          </cell>
          <cell r="K346">
            <v>1.4</v>
          </cell>
          <cell r="N346">
            <v>324.05</v>
          </cell>
          <cell r="O346">
            <v>32.409999999999997</v>
          </cell>
          <cell r="P346">
            <v>1734.19</v>
          </cell>
          <cell r="Q346">
            <v>173.42</v>
          </cell>
          <cell r="R346">
            <v>32.409999999999997</v>
          </cell>
          <cell r="S346">
            <v>3.24</v>
          </cell>
        </row>
        <row r="347">
          <cell r="D347">
            <v>6</v>
          </cell>
          <cell r="K347">
            <v>1.8</v>
          </cell>
          <cell r="N347">
            <v>416.64</v>
          </cell>
          <cell r="O347">
            <v>41.66</v>
          </cell>
          <cell r="P347">
            <v>1734.19</v>
          </cell>
          <cell r="Q347">
            <v>173.42</v>
          </cell>
          <cell r="R347">
            <v>41.66</v>
          </cell>
          <cell r="S347">
            <v>4.17</v>
          </cell>
        </row>
        <row r="348">
          <cell r="D348">
            <v>2</v>
          </cell>
          <cell r="K348">
            <v>1.8</v>
          </cell>
          <cell r="N348">
            <v>241.92</v>
          </cell>
          <cell r="O348">
            <v>24.19</v>
          </cell>
          <cell r="P348">
            <v>2986.67</v>
          </cell>
          <cell r="Q348">
            <v>298.67</v>
          </cell>
          <cell r="R348">
            <v>48.38</v>
          </cell>
          <cell r="S348">
            <v>4.84</v>
          </cell>
        </row>
        <row r="349">
          <cell r="D349">
            <v>3</v>
          </cell>
          <cell r="K349">
            <v>1.3</v>
          </cell>
          <cell r="N349">
            <v>174.72</v>
          </cell>
          <cell r="O349">
            <v>17.47</v>
          </cell>
          <cell r="P349">
            <v>2986.67</v>
          </cell>
          <cell r="Q349">
            <v>298.67</v>
          </cell>
          <cell r="R349">
            <v>34.94</v>
          </cell>
          <cell r="S349">
            <v>3.49</v>
          </cell>
        </row>
        <row r="350">
          <cell r="D350">
            <v>3</v>
          </cell>
          <cell r="K350">
            <v>1.4</v>
          </cell>
          <cell r="N350">
            <v>188.16</v>
          </cell>
          <cell r="O350">
            <v>18.82</v>
          </cell>
          <cell r="P350">
            <v>2986.67</v>
          </cell>
          <cell r="Q350">
            <v>298.67</v>
          </cell>
          <cell r="R350">
            <v>37.630000000000003</v>
          </cell>
          <cell r="S350">
            <v>3.76</v>
          </cell>
        </row>
        <row r="351">
          <cell r="D351">
            <v>4</v>
          </cell>
          <cell r="K351">
            <v>1.4</v>
          </cell>
          <cell r="N351">
            <v>250.88</v>
          </cell>
          <cell r="O351">
            <v>25.09</v>
          </cell>
          <cell r="P351">
            <v>2240</v>
          </cell>
          <cell r="Q351">
            <v>224</v>
          </cell>
          <cell r="R351">
            <v>35.840000000000003</v>
          </cell>
          <cell r="S351">
            <v>3.58</v>
          </cell>
        </row>
        <row r="352">
          <cell r="D352">
            <v>5</v>
          </cell>
          <cell r="K352">
            <v>1.6</v>
          </cell>
          <cell r="N352">
            <v>334.51</v>
          </cell>
          <cell r="O352">
            <v>33.450000000000003</v>
          </cell>
          <cell r="P352">
            <v>1920</v>
          </cell>
          <cell r="Q352">
            <v>192</v>
          </cell>
          <cell r="R352">
            <v>41.81</v>
          </cell>
          <cell r="S352">
            <v>4.18</v>
          </cell>
        </row>
        <row r="353">
          <cell r="D353">
            <v>2</v>
          </cell>
          <cell r="K353">
            <v>1.5</v>
          </cell>
          <cell r="N353">
            <v>240</v>
          </cell>
          <cell r="O353">
            <v>24</v>
          </cell>
          <cell r="P353">
            <v>2880</v>
          </cell>
          <cell r="Q353">
            <v>288</v>
          </cell>
          <cell r="R353">
            <v>60</v>
          </cell>
          <cell r="S353">
            <v>6</v>
          </cell>
        </row>
        <row r="354">
          <cell r="D354">
            <v>2</v>
          </cell>
          <cell r="K354">
            <v>1.8</v>
          </cell>
          <cell r="N354">
            <v>230.4</v>
          </cell>
          <cell r="O354">
            <v>23.04</v>
          </cell>
          <cell r="P354">
            <v>3600</v>
          </cell>
          <cell r="Q354">
            <v>360</v>
          </cell>
          <cell r="R354">
            <v>76.8</v>
          </cell>
          <cell r="S354">
            <v>7.68</v>
          </cell>
        </row>
        <row r="355">
          <cell r="D355">
            <v>2</v>
          </cell>
          <cell r="K355">
            <v>1.8</v>
          </cell>
          <cell r="N355">
            <v>259.2</v>
          </cell>
          <cell r="O355">
            <v>25.92</v>
          </cell>
          <cell r="P355">
            <v>3200</v>
          </cell>
          <cell r="Q355">
            <v>320</v>
          </cell>
          <cell r="R355">
            <v>51.84</v>
          </cell>
          <cell r="S355">
            <v>5.18</v>
          </cell>
        </row>
        <row r="356">
          <cell r="D356">
            <v>3</v>
          </cell>
          <cell r="K356">
            <v>1.2</v>
          </cell>
          <cell r="N356">
            <v>172.8</v>
          </cell>
          <cell r="O356">
            <v>17.28</v>
          </cell>
          <cell r="P356">
            <v>3200</v>
          </cell>
          <cell r="Q356">
            <v>320</v>
          </cell>
          <cell r="R356">
            <v>34.56</v>
          </cell>
          <cell r="S356">
            <v>3.46</v>
          </cell>
        </row>
        <row r="357">
          <cell r="D357">
            <v>4</v>
          </cell>
          <cell r="K357">
            <v>1.6</v>
          </cell>
          <cell r="N357">
            <v>307.2</v>
          </cell>
          <cell r="O357">
            <v>30.72</v>
          </cell>
          <cell r="P357">
            <v>2400</v>
          </cell>
          <cell r="Q357">
            <v>240</v>
          </cell>
          <cell r="R357">
            <v>43.89</v>
          </cell>
          <cell r="S357">
            <v>4.3899999999999997</v>
          </cell>
        </row>
        <row r="358">
          <cell r="D358">
            <v>4</v>
          </cell>
          <cell r="K358">
            <v>1.5</v>
          </cell>
          <cell r="N358">
            <v>288</v>
          </cell>
          <cell r="O358">
            <v>28.8</v>
          </cell>
          <cell r="P358">
            <v>2400</v>
          </cell>
          <cell r="Q358">
            <v>240</v>
          </cell>
          <cell r="R358">
            <v>41.14</v>
          </cell>
          <cell r="S358">
            <v>4.1100000000000003</v>
          </cell>
        </row>
        <row r="359">
          <cell r="D359">
            <v>5</v>
          </cell>
          <cell r="K359">
            <v>1.5</v>
          </cell>
          <cell r="N359">
            <v>336</v>
          </cell>
          <cell r="O359">
            <v>33.6</v>
          </cell>
          <cell r="P359">
            <v>2057.14</v>
          </cell>
          <cell r="Q359">
            <v>205.71</v>
          </cell>
          <cell r="R359">
            <v>42</v>
          </cell>
          <cell r="S359">
            <v>4.2</v>
          </cell>
        </row>
        <row r="360">
          <cell r="D360">
            <v>5</v>
          </cell>
          <cell r="K360">
            <v>1.4</v>
          </cell>
          <cell r="N360">
            <v>313.60000000000002</v>
          </cell>
          <cell r="O360">
            <v>31.36</v>
          </cell>
          <cell r="P360">
            <v>2057.14</v>
          </cell>
          <cell r="Q360">
            <v>205.71</v>
          </cell>
          <cell r="R360">
            <v>39.200000000000003</v>
          </cell>
          <cell r="S360">
            <v>3.92</v>
          </cell>
        </row>
        <row r="361">
          <cell r="D361">
            <v>6</v>
          </cell>
          <cell r="K361">
            <v>1.5</v>
          </cell>
          <cell r="N361">
            <v>372</v>
          </cell>
          <cell r="O361">
            <v>37.200000000000003</v>
          </cell>
          <cell r="P361">
            <v>1858.06</v>
          </cell>
          <cell r="Q361">
            <v>185.81</v>
          </cell>
          <cell r="R361">
            <v>37.200000000000003</v>
          </cell>
          <cell r="S361">
            <v>3.72</v>
          </cell>
        </row>
        <row r="362">
          <cell r="D362">
            <v>2</v>
          </cell>
          <cell r="K362">
            <v>1.5</v>
          </cell>
          <cell r="N362">
            <v>240</v>
          </cell>
          <cell r="O362">
            <v>24</v>
          </cell>
          <cell r="P362">
            <v>2880</v>
          </cell>
          <cell r="Q362">
            <v>288</v>
          </cell>
          <cell r="R362">
            <v>60</v>
          </cell>
          <cell r="S362">
            <v>6</v>
          </cell>
        </row>
        <row r="363">
          <cell r="D363">
            <v>2</v>
          </cell>
          <cell r="K363">
            <v>1.8</v>
          </cell>
          <cell r="N363">
            <v>230.4</v>
          </cell>
          <cell r="O363">
            <v>23.04</v>
          </cell>
          <cell r="P363">
            <v>3600</v>
          </cell>
          <cell r="Q363">
            <v>360</v>
          </cell>
          <cell r="R363">
            <v>76.8</v>
          </cell>
          <cell r="S363">
            <v>7.68</v>
          </cell>
        </row>
        <row r="364">
          <cell r="D364">
            <v>2</v>
          </cell>
          <cell r="K364">
            <v>1.8</v>
          </cell>
          <cell r="N364">
            <v>259.2</v>
          </cell>
          <cell r="O364">
            <v>25.92</v>
          </cell>
          <cell r="P364">
            <v>3200</v>
          </cell>
          <cell r="Q364">
            <v>320</v>
          </cell>
          <cell r="R364">
            <v>51.84</v>
          </cell>
          <cell r="S364">
            <v>5.18</v>
          </cell>
        </row>
        <row r="365">
          <cell r="D365">
            <v>3</v>
          </cell>
          <cell r="K365">
            <v>1.2</v>
          </cell>
          <cell r="N365">
            <v>172.8</v>
          </cell>
          <cell r="O365">
            <v>17.28</v>
          </cell>
          <cell r="P365">
            <v>3200</v>
          </cell>
          <cell r="Q365">
            <v>320</v>
          </cell>
          <cell r="R365">
            <v>34.56</v>
          </cell>
          <cell r="S365">
            <v>3.46</v>
          </cell>
        </row>
        <row r="366">
          <cell r="D366">
            <v>4</v>
          </cell>
          <cell r="K366">
            <v>1.6</v>
          </cell>
          <cell r="N366">
            <v>307.2</v>
          </cell>
          <cell r="O366">
            <v>30.72</v>
          </cell>
          <cell r="P366">
            <v>2400</v>
          </cell>
          <cell r="Q366">
            <v>240</v>
          </cell>
          <cell r="R366">
            <v>43.89</v>
          </cell>
          <cell r="S366">
            <v>4.3899999999999997</v>
          </cell>
        </row>
        <row r="367">
          <cell r="D367">
            <v>4</v>
          </cell>
          <cell r="K367">
            <v>1.5</v>
          </cell>
          <cell r="N367">
            <v>288</v>
          </cell>
          <cell r="O367">
            <v>28.8</v>
          </cell>
          <cell r="P367">
            <v>2400</v>
          </cell>
          <cell r="Q367">
            <v>240</v>
          </cell>
          <cell r="R367">
            <v>41.14</v>
          </cell>
          <cell r="S367">
            <v>4.1100000000000003</v>
          </cell>
        </row>
        <row r="368">
          <cell r="D368">
            <v>5</v>
          </cell>
          <cell r="K368">
            <v>1.5</v>
          </cell>
          <cell r="N368">
            <v>336</v>
          </cell>
          <cell r="O368">
            <v>33.6</v>
          </cell>
          <cell r="P368">
            <v>2057.14</v>
          </cell>
          <cell r="Q368">
            <v>205.71</v>
          </cell>
          <cell r="R368">
            <v>42</v>
          </cell>
          <cell r="S368">
            <v>4.2</v>
          </cell>
        </row>
        <row r="369">
          <cell r="D369">
            <v>5</v>
          </cell>
          <cell r="K369">
            <v>1.4</v>
          </cell>
          <cell r="N369">
            <v>313.60000000000002</v>
          </cell>
          <cell r="O369">
            <v>31.36</v>
          </cell>
          <cell r="P369">
            <v>2057.14</v>
          </cell>
          <cell r="Q369">
            <v>205.71</v>
          </cell>
          <cell r="R369">
            <v>39.200000000000003</v>
          </cell>
          <cell r="S369">
            <v>3.92</v>
          </cell>
        </row>
        <row r="370">
          <cell r="D370">
            <v>6</v>
          </cell>
          <cell r="K370">
            <v>1.5</v>
          </cell>
          <cell r="N370">
            <v>372</v>
          </cell>
          <cell r="O370">
            <v>37.200000000000003</v>
          </cell>
          <cell r="P370">
            <v>1858.06</v>
          </cell>
          <cell r="Q370">
            <v>185.81</v>
          </cell>
          <cell r="R370">
            <v>37.200000000000003</v>
          </cell>
          <cell r="S370">
            <v>3.72</v>
          </cell>
        </row>
        <row r="371">
          <cell r="D371">
            <v>2</v>
          </cell>
          <cell r="K371">
            <v>1.5</v>
          </cell>
          <cell r="N371">
            <v>240</v>
          </cell>
          <cell r="O371">
            <v>24</v>
          </cell>
          <cell r="P371">
            <v>2880</v>
          </cell>
          <cell r="Q371">
            <v>288</v>
          </cell>
          <cell r="R371">
            <v>60</v>
          </cell>
          <cell r="S371">
            <v>6</v>
          </cell>
        </row>
        <row r="372">
          <cell r="D372">
            <v>2</v>
          </cell>
          <cell r="K372">
            <v>1.8</v>
          </cell>
          <cell r="N372">
            <v>230.4</v>
          </cell>
          <cell r="O372">
            <v>23.04</v>
          </cell>
          <cell r="P372">
            <v>3600</v>
          </cell>
          <cell r="Q372">
            <v>360</v>
          </cell>
          <cell r="R372">
            <v>76.8</v>
          </cell>
          <cell r="S372">
            <v>7.68</v>
          </cell>
        </row>
        <row r="373">
          <cell r="D373">
            <v>2</v>
          </cell>
          <cell r="K373">
            <v>1.8</v>
          </cell>
          <cell r="N373">
            <v>259.2</v>
          </cell>
          <cell r="O373">
            <v>25.92</v>
          </cell>
          <cell r="P373">
            <v>3200</v>
          </cell>
          <cell r="Q373">
            <v>320</v>
          </cell>
          <cell r="R373">
            <v>51.84</v>
          </cell>
          <cell r="S373">
            <v>5.18</v>
          </cell>
        </row>
        <row r="374">
          <cell r="D374">
            <v>3</v>
          </cell>
          <cell r="K374">
            <v>1.2</v>
          </cell>
          <cell r="N374">
            <v>172.8</v>
          </cell>
          <cell r="O374">
            <v>17.28</v>
          </cell>
          <cell r="P374">
            <v>3200</v>
          </cell>
          <cell r="Q374">
            <v>320</v>
          </cell>
          <cell r="R374">
            <v>34.56</v>
          </cell>
          <cell r="S374">
            <v>3.46</v>
          </cell>
        </row>
        <row r="375">
          <cell r="D375">
            <v>4</v>
          </cell>
          <cell r="K375">
            <v>1.6</v>
          </cell>
          <cell r="N375">
            <v>307.2</v>
          </cell>
          <cell r="O375">
            <v>30.72</v>
          </cell>
          <cell r="P375">
            <v>2400</v>
          </cell>
          <cell r="Q375">
            <v>240</v>
          </cell>
          <cell r="R375">
            <v>43.89</v>
          </cell>
          <cell r="S375">
            <v>4.3899999999999997</v>
          </cell>
        </row>
        <row r="376">
          <cell r="D376">
            <v>4</v>
          </cell>
          <cell r="K376">
            <v>1.5</v>
          </cell>
          <cell r="N376">
            <v>288</v>
          </cell>
          <cell r="O376">
            <v>28.8</v>
          </cell>
          <cell r="P376">
            <v>2400</v>
          </cell>
          <cell r="Q376">
            <v>240</v>
          </cell>
          <cell r="R376">
            <v>41.14</v>
          </cell>
          <cell r="S376">
            <v>4.1100000000000003</v>
          </cell>
        </row>
        <row r="377">
          <cell r="D377">
            <v>5</v>
          </cell>
          <cell r="K377">
            <v>1.5</v>
          </cell>
          <cell r="N377">
            <v>336</v>
          </cell>
          <cell r="O377">
            <v>33.6</v>
          </cell>
          <cell r="P377">
            <v>2057.14</v>
          </cell>
          <cell r="Q377">
            <v>205.71</v>
          </cell>
          <cell r="R377">
            <v>42</v>
          </cell>
          <cell r="S377">
            <v>4.2</v>
          </cell>
        </row>
        <row r="378">
          <cell r="D378">
            <v>5</v>
          </cell>
          <cell r="K378">
            <v>1.4</v>
          </cell>
          <cell r="N378">
            <v>313.60000000000002</v>
          </cell>
          <cell r="O378">
            <v>31.36</v>
          </cell>
          <cell r="P378">
            <v>2057.14</v>
          </cell>
          <cell r="Q378">
            <v>205.71</v>
          </cell>
          <cell r="R378">
            <v>39.200000000000003</v>
          </cell>
          <cell r="S378">
            <v>3.92</v>
          </cell>
        </row>
        <row r="379">
          <cell r="D379">
            <v>6</v>
          </cell>
          <cell r="K379">
            <v>1.5</v>
          </cell>
          <cell r="N379">
            <v>372</v>
          </cell>
          <cell r="O379">
            <v>37.200000000000003</v>
          </cell>
          <cell r="P379">
            <v>1858.06</v>
          </cell>
          <cell r="Q379">
            <v>185.81</v>
          </cell>
          <cell r="R379">
            <v>37.200000000000003</v>
          </cell>
          <cell r="S379">
            <v>3.72</v>
          </cell>
        </row>
        <row r="380">
          <cell r="D380">
            <v>2</v>
          </cell>
          <cell r="K380">
            <v>1.8</v>
          </cell>
          <cell r="N380">
            <v>230.4</v>
          </cell>
          <cell r="O380">
            <v>23.04</v>
          </cell>
          <cell r="P380">
            <v>3600</v>
          </cell>
          <cell r="Q380">
            <v>360</v>
          </cell>
          <cell r="R380">
            <v>76.8</v>
          </cell>
          <cell r="S380">
            <v>7.68</v>
          </cell>
        </row>
        <row r="381">
          <cell r="D381">
            <v>3</v>
          </cell>
          <cell r="K381">
            <v>1.4</v>
          </cell>
          <cell r="N381">
            <v>201.6</v>
          </cell>
          <cell r="O381">
            <v>20.16</v>
          </cell>
          <cell r="P381">
            <v>3200</v>
          </cell>
          <cell r="Q381">
            <v>320</v>
          </cell>
          <cell r="R381">
            <v>40.32</v>
          </cell>
          <cell r="S381">
            <v>4.03</v>
          </cell>
        </row>
        <row r="382">
          <cell r="D382">
            <v>5</v>
          </cell>
          <cell r="K382">
            <v>1.6</v>
          </cell>
          <cell r="N382">
            <v>358.4</v>
          </cell>
          <cell r="O382">
            <v>35.840000000000003</v>
          </cell>
          <cell r="P382">
            <v>2057.14</v>
          </cell>
          <cell r="Q382">
            <v>205.71</v>
          </cell>
          <cell r="R382">
            <v>44.8</v>
          </cell>
          <cell r="S382">
            <v>4.4800000000000004</v>
          </cell>
        </row>
        <row r="383">
          <cell r="D383">
            <v>6</v>
          </cell>
          <cell r="K383">
            <v>1.4</v>
          </cell>
          <cell r="N383">
            <v>347.2</v>
          </cell>
          <cell r="O383">
            <v>34.72</v>
          </cell>
          <cell r="P383">
            <v>1858.06</v>
          </cell>
          <cell r="Q383">
            <v>185.81</v>
          </cell>
          <cell r="R383">
            <v>34.72</v>
          </cell>
          <cell r="S383">
            <v>3.47</v>
          </cell>
        </row>
        <row r="384">
          <cell r="D384">
            <v>6</v>
          </cell>
          <cell r="K384">
            <v>1.8</v>
          </cell>
          <cell r="N384">
            <v>446.4</v>
          </cell>
          <cell r="O384">
            <v>44.64</v>
          </cell>
          <cell r="P384">
            <v>1858.06</v>
          </cell>
          <cell r="Q384">
            <v>185.81</v>
          </cell>
          <cell r="R384">
            <v>44.64</v>
          </cell>
          <cell r="S384">
            <v>4.46</v>
          </cell>
        </row>
        <row r="385">
          <cell r="D385">
            <v>2</v>
          </cell>
          <cell r="K385">
            <v>1.8</v>
          </cell>
          <cell r="N385">
            <v>259.2</v>
          </cell>
          <cell r="O385">
            <v>25.92</v>
          </cell>
          <cell r="P385">
            <v>3200</v>
          </cell>
          <cell r="Q385">
            <v>320</v>
          </cell>
          <cell r="R385">
            <v>51.84</v>
          </cell>
          <cell r="S385">
            <v>5.18</v>
          </cell>
        </row>
        <row r="386">
          <cell r="D386">
            <v>3</v>
          </cell>
          <cell r="K386">
            <v>1.3</v>
          </cell>
          <cell r="N386">
            <v>187.2</v>
          </cell>
          <cell r="O386">
            <v>18.72</v>
          </cell>
          <cell r="P386">
            <v>3200</v>
          </cell>
          <cell r="Q386">
            <v>320</v>
          </cell>
          <cell r="R386">
            <v>37.44</v>
          </cell>
          <cell r="S386">
            <v>3.74</v>
          </cell>
        </row>
        <row r="387">
          <cell r="D387">
            <v>3</v>
          </cell>
          <cell r="K387">
            <v>1.4</v>
          </cell>
          <cell r="N387">
            <v>201.6</v>
          </cell>
          <cell r="O387">
            <v>20.16</v>
          </cell>
          <cell r="P387">
            <v>3200</v>
          </cell>
          <cell r="Q387">
            <v>320</v>
          </cell>
          <cell r="R387">
            <v>40.32</v>
          </cell>
          <cell r="S387">
            <v>4.03</v>
          </cell>
        </row>
        <row r="388">
          <cell r="D388">
            <v>4</v>
          </cell>
          <cell r="K388">
            <v>1.4</v>
          </cell>
          <cell r="N388">
            <v>268.8</v>
          </cell>
          <cell r="O388">
            <v>26.88</v>
          </cell>
          <cell r="P388">
            <v>2400</v>
          </cell>
          <cell r="Q388">
            <v>240</v>
          </cell>
          <cell r="R388">
            <v>38.4</v>
          </cell>
          <cell r="S388">
            <v>3.84</v>
          </cell>
        </row>
        <row r="389">
          <cell r="D389">
            <v>5</v>
          </cell>
          <cell r="K389">
            <v>1.6</v>
          </cell>
          <cell r="N389">
            <v>358.4</v>
          </cell>
          <cell r="O389">
            <v>35.840000000000003</v>
          </cell>
          <cell r="P389">
            <v>2057.14</v>
          </cell>
          <cell r="Q389">
            <v>205.71</v>
          </cell>
          <cell r="R389">
            <v>44.8</v>
          </cell>
          <cell r="S389">
            <v>4.4800000000000004</v>
          </cell>
        </row>
        <row r="390">
          <cell r="D390">
            <v>2</v>
          </cell>
          <cell r="K390">
            <v>1.5</v>
          </cell>
          <cell r="N390">
            <v>256</v>
          </cell>
          <cell r="O390">
            <v>25.6</v>
          </cell>
          <cell r="P390">
            <v>3072</v>
          </cell>
          <cell r="Q390">
            <v>307.2</v>
          </cell>
          <cell r="R390">
            <v>64</v>
          </cell>
          <cell r="S390">
            <v>6.4</v>
          </cell>
        </row>
        <row r="391">
          <cell r="D391">
            <v>2</v>
          </cell>
          <cell r="K391">
            <v>1.8</v>
          </cell>
          <cell r="N391">
            <v>245.76</v>
          </cell>
          <cell r="O391">
            <v>24.58</v>
          </cell>
          <cell r="P391">
            <v>3840</v>
          </cell>
          <cell r="Q391">
            <v>384</v>
          </cell>
          <cell r="R391">
            <v>81.92</v>
          </cell>
          <cell r="S391">
            <v>8.19</v>
          </cell>
        </row>
        <row r="392">
          <cell r="D392">
            <v>2</v>
          </cell>
          <cell r="K392">
            <v>1.8</v>
          </cell>
          <cell r="N392">
            <v>276.48</v>
          </cell>
          <cell r="O392">
            <v>27.65</v>
          </cell>
          <cell r="P392">
            <v>3413.33</v>
          </cell>
          <cell r="Q392">
            <v>341.33</v>
          </cell>
          <cell r="R392">
            <v>55.3</v>
          </cell>
          <cell r="S392">
            <v>5.53</v>
          </cell>
        </row>
        <row r="393">
          <cell r="D393">
            <v>3</v>
          </cell>
          <cell r="K393">
            <v>1.2</v>
          </cell>
          <cell r="N393">
            <v>184.32</v>
          </cell>
          <cell r="O393">
            <v>18.43</v>
          </cell>
          <cell r="P393">
            <v>3413.33</v>
          </cell>
          <cell r="Q393">
            <v>341.33</v>
          </cell>
          <cell r="R393">
            <v>36.86</v>
          </cell>
          <cell r="S393">
            <v>3.69</v>
          </cell>
        </row>
        <row r="394">
          <cell r="D394">
            <v>4</v>
          </cell>
          <cell r="K394">
            <v>1.6</v>
          </cell>
          <cell r="N394">
            <v>327.68</v>
          </cell>
          <cell r="O394">
            <v>32.770000000000003</v>
          </cell>
          <cell r="P394">
            <v>2560</v>
          </cell>
          <cell r="Q394">
            <v>256</v>
          </cell>
          <cell r="R394">
            <v>46.81</v>
          </cell>
          <cell r="S394">
            <v>4.68</v>
          </cell>
        </row>
        <row r="395">
          <cell r="D395">
            <v>4</v>
          </cell>
          <cell r="K395">
            <v>1.5</v>
          </cell>
          <cell r="N395">
            <v>307.2</v>
          </cell>
          <cell r="O395">
            <v>30.72</v>
          </cell>
          <cell r="P395">
            <v>2560</v>
          </cell>
          <cell r="Q395">
            <v>256</v>
          </cell>
          <cell r="R395">
            <v>43.89</v>
          </cell>
          <cell r="S395">
            <v>4.3899999999999997</v>
          </cell>
        </row>
        <row r="396">
          <cell r="D396">
            <v>5</v>
          </cell>
          <cell r="K396">
            <v>1.5</v>
          </cell>
          <cell r="N396">
            <v>358.4</v>
          </cell>
          <cell r="O396">
            <v>35.840000000000003</v>
          </cell>
          <cell r="P396">
            <v>2194.29</v>
          </cell>
          <cell r="Q396">
            <v>219.43</v>
          </cell>
          <cell r="R396">
            <v>44.8</v>
          </cell>
          <cell r="S396">
            <v>4.4800000000000004</v>
          </cell>
        </row>
        <row r="397">
          <cell r="D397">
            <v>5</v>
          </cell>
          <cell r="K397">
            <v>1.4</v>
          </cell>
          <cell r="N397">
            <v>334.51</v>
          </cell>
          <cell r="O397">
            <v>33.450000000000003</v>
          </cell>
          <cell r="P397">
            <v>2194.29</v>
          </cell>
          <cell r="Q397">
            <v>219.43</v>
          </cell>
          <cell r="R397">
            <v>41.81</v>
          </cell>
          <cell r="S397">
            <v>4.18</v>
          </cell>
        </row>
        <row r="398">
          <cell r="D398">
            <v>6</v>
          </cell>
          <cell r="K398">
            <v>1.5</v>
          </cell>
          <cell r="N398">
            <v>396.8</v>
          </cell>
          <cell r="O398">
            <v>39.68</v>
          </cell>
          <cell r="P398">
            <v>1981.94</v>
          </cell>
          <cell r="Q398">
            <v>198.19</v>
          </cell>
          <cell r="R398">
            <v>39.68</v>
          </cell>
          <cell r="S398">
            <v>3.97</v>
          </cell>
        </row>
        <row r="399">
          <cell r="D399">
            <v>2</v>
          </cell>
          <cell r="K399">
            <v>1.5</v>
          </cell>
          <cell r="N399">
            <v>256</v>
          </cell>
          <cell r="O399">
            <v>25.6</v>
          </cell>
          <cell r="P399">
            <v>3072</v>
          </cell>
          <cell r="Q399">
            <v>307.2</v>
          </cell>
          <cell r="R399">
            <v>64</v>
          </cell>
          <cell r="S399">
            <v>6.4</v>
          </cell>
        </row>
        <row r="400">
          <cell r="D400">
            <v>2</v>
          </cell>
          <cell r="K400">
            <v>1.8</v>
          </cell>
          <cell r="N400">
            <v>245.76</v>
          </cell>
          <cell r="O400">
            <v>24.58</v>
          </cell>
          <cell r="P400">
            <v>3840</v>
          </cell>
          <cell r="Q400">
            <v>384</v>
          </cell>
          <cell r="R400">
            <v>81.92</v>
          </cell>
          <cell r="S400">
            <v>8.19</v>
          </cell>
        </row>
        <row r="401">
          <cell r="D401">
            <v>2</v>
          </cell>
          <cell r="K401">
            <v>1.8</v>
          </cell>
          <cell r="N401">
            <v>276.48</v>
          </cell>
          <cell r="O401">
            <v>27.65</v>
          </cell>
          <cell r="P401">
            <v>3413.33</v>
          </cell>
          <cell r="Q401">
            <v>341.33</v>
          </cell>
          <cell r="R401">
            <v>55.3</v>
          </cell>
          <cell r="S401">
            <v>5.53</v>
          </cell>
        </row>
        <row r="402">
          <cell r="D402">
            <v>3</v>
          </cell>
          <cell r="K402">
            <v>1.2</v>
          </cell>
          <cell r="N402">
            <v>184.32</v>
          </cell>
          <cell r="O402">
            <v>18.43</v>
          </cell>
          <cell r="P402">
            <v>3413.33</v>
          </cell>
          <cell r="Q402">
            <v>341.33</v>
          </cell>
          <cell r="R402">
            <v>36.86</v>
          </cell>
          <cell r="S402">
            <v>3.69</v>
          </cell>
        </row>
        <row r="403">
          <cell r="D403">
            <v>4</v>
          </cell>
          <cell r="K403">
            <v>1.6</v>
          </cell>
          <cell r="N403">
            <v>327.68</v>
          </cell>
          <cell r="O403">
            <v>32.770000000000003</v>
          </cell>
          <cell r="P403">
            <v>2560</v>
          </cell>
          <cell r="Q403">
            <v>256</v>
          </cell>
          <cell r="R403">
            <v>46.81</v>
          </cell>
          <cell r="S403">
            <v>4.68</v>
          </cell>
        </row>
        <row r="404">
          <cell r="D404">
            <v>4</v>
          </cell>
          <cell r="K404">
            <v>1.5</v>
          </cell>
          <cell r="N404">
            <v>307.2</v>
          </cell>
          <cell r="O404">
            <v>30.72</v>
          </cell>
          <cell r="P404">
            <v>2560</v>
          </cell>
          <cell r="Q404">
            <v>256</v>
          </cell>
          <cell r="R404">
            <v>43.89</v>
          </cell>
          <cell r="S404">
            <v>4.3899999999999997</v>
          </cell>
        </row>
        <row r="405">
          <cell r="D405">
            <v>5</v>
          </cell>
          <cell r="K405">
            <v>1.5</v>
          </cell>
          <cell r="N405">
            <v>358.4</v>
          </cell>
          <cell r="O405">
            <v>35.840000000000003</v>
          </cell>
          <cell r="P405">
            <v>2194.29</v>
          </cell>
          <cell r="Q405">
            <v>219.43</v>
          </cell>
          <cell r="R405">
            <v>44.8</v>
          </cell>
          <cell r="S405">
            <v>4.4800000000000004</v>
          </cell>
        </row>
        <row r="406">
          <cell r="D406">
            <v>5</v>
          </cell>
          <cell r="K406">
            <v>1.4</v>
          </cell>
          <cell r="N406">
            <v>334.51</v>
          </cell>
          <cell r="O406">
            <v>33.450000000000003</v>
          </cell>
          <cell r="P406">
            <v>2194.29</v>
          </cell>
          <cell r="Q406">
            <v>219.43</v>
          </cell>
          <cell r="R406">
            <v>41.81</v>
          </cell>
          <cell r="S406">
            <v>4.18</v>
          </cell>
        </row>
        <row r="407">
          <cell r="D407">
            <v>6</v>
          </cell>
          <cell r="K407">
            <v>1.5</v>
          </cell>
          <cell r="N407">
            <v>396.8</v>
          </cell>
          <cell r="O407">
            <v>39.68</v>
          </cell>
          <cell r="P407">
            <v>1981.94</v>
          </cell>
          <cell r="Q407">
            <v>198.19</v>
          </cell>
          <cell r="R407">
            <v>39.68</v>
          </cell>
          <cell r="S407">
            <v>3.97</v>
          </cell>
        </row>
        <row r="408">
          <cell r="D408">
            <v>2</v>
          </cell>
          <cell r="K408">
            <v>1.5</v>
          </cell>
          <cell r="N408">
            <v>256</v>
          </cell>
          <cell r="O408">
            <v>25.6</v>
          </cell>
          <cell r="P408">
            <v>3072</v>
          </cell>
          <cell r="Q408">
            <v>307.2</v>
          </cell>
          <cell r="R408">
            <v>64</v>
          </cell>
          <cell r="S408">
            <v>6.4</v>
          </cell>
        </row>
        <row r="409">
          <cell r="D409">
            <v>2</v>
          </cell>
          <cell r="K409">
            <v>1.8</v>
          </cell>
          <cell r="N409">
            <v>245.76</v>
          </cell>
          <cell r="O409">
            <v>24.58</v>
          </cell>
          <cell r="P409">
            <v>3840</v>
          </cell>
          <cell r="Q409">
            <v>384</v>
          </cell>
          <cell r="R409">
            <v>81.92</v>
          </cell>
          <cell r="S409">
            <v>8.19</v>
          </cell>
        </row>
        <row r="410">
          <cell r="D410">
            <v>2</v>
          </cell>
          <cell r="K410">
            <v>1.8</v>
          </cell>
          <cell r="N410">
            <v>276.48</v>
          </cell>
          <cell r="O410">
            <v>27.65</v>
          </cell>
          <cell r="P410">
            <v>3413.33</v>
          </cell>
          <cell r="Q410">
            <v>341.33</v>
          </cell>
          <cell r="R410">
            <v>55.3</v>
          </cell>
          <cell r="S410">
            <v>5.53</v>
          </cell>
        </row>
        <row r="411">
          <cell r="D411">
            <v>3</v>
          </cell>
          <cell r="K411">
            <v>1.2</v>
          </cell>
          <cell r="N411">
            <v>184.32</v>
          </cell>
          <cell r="O411">
            <v>18.43</v>
          </cell>
          <cell r="P411">
            <v>3413.33</v>
          </cell>
          <cell r="Q411">
            <v>341.33</v>
          </cell>
          <cell r="R411">
            <v>36.86</v>
          </cell>
          <cell r="S411">
            <v>3.69</v>
          </cell>
        </row>
        <row r="412">
          <cell r="D412">
            <v>4</v>
          </cell>
          <cell r="K412">
            <v>1.6</v>
          </cell>
          <cell r="N412">
            <v>327.68</v>
          </cell>
          <cell r="O412">
            <v>32.770000000000003</v>
          </cell>
          <cell r="P412">
            <v>2560</v>
          </cell>
          <cell r="Q412">
            <v>256</v>
          </cell>
          <cell r="R412">
            <v>46.81</v>
          </cell>
          <cell r="S412">
            <v>4.68</v>
          </cell>
        </row>
        <row r="413">
          <cell r="D413">
            <v>4</v>
          </cell>
          <cell r="K413">
            <v>1.5</v>
          </cell>
          <cell r="N413">
            <v>307.2</v>
          </cell>
          <cell r="O413">
            <v>30.72</v>
          </cell>
          <cell r="P413">
            <v>2560</v>
          </cell>
          <cell r="Q413">
            <v>256</v>
          </cell>
          <cell r="R413">
            <v>43.89</v>
          </cell>
          <cell r="S413">
            <v>4.3899999999999997</v>
          </cell>
        </row>
        <row r="414">
          <cell r="D414">
            <v>5</v>
          </cell>
          <cell r="K414">
            <v>1.5</v>
          </cell>
          <cell r="N414">
            <v>358.4</v>
          </cell>
          <cell r="O414">
            <v>35.840000000000003</v>
          </cell>
          <cell r="P414">
            <v>2194.29</v>
          </cell>
          <cell r="Q414">
            <v>219.43</v>
          </cell>
          <cell r="R414">
            <v>44.8</v>
          </cell>
          <cell r="S414">
            <v>4.4800000000000004</v>
          </cell>
        </row>
        <row r="415">
          <cell r="D415">
            <v>5</v>
          </cell>
          <cell r="K415">
            <v>1.4</v>
          </cell>
          <cell r="N415">
            <v>334.51</v>
          </cell>
          <cell r="O415">
            <v>33.450000000000003</v>
          </cell>
          <cell r="P415">
            <v>2194.29</v>
          </cell>
          <cell r="Q415">
            <v>219.43</v>
          </cell>
          <cell r="R415">
            <v>41.81</v>
          </cell>
          <cell r="S415">
            <v>4.18</v>
          </cell>
        </row>
        <row r="416">
          <cell r="D416">
            <v>6</v>
          </cell>
          <cell r="K416">
            <v>1.5</v>
          </cell>
          <cell r="N416">
            <v>396.8</v>
          </cell>
          <cell r="O416">
            <v>39.68</v>
          </cell>
          <cell r="P416">
            <v>1981.94</v>
          </cell>
          <cell r="Q416">
            <v>198.19</v>
          </cell>
          <cell r="R416">
            <v>39.68</v>
          </cell>
          <cell r="S416">
            <v>3.97</v>
          </cell>
        </row>
        <row r="417">
          <cell r="D417">
            <v>2</v>
          </cell>
          <cell r="K417">
            <v>1.8</v>
          </cell>
          <cell r="N417">
            <v>245.76</v>
          </cell>
          <cell r="O417">
            <v>24.58</v>
          </cell>
          <cell r="P417">
            <v>3840</v>
          </cell>
          <cell r="Q417">
            <v>384</v>
          </cell>
          <cell r="R417">
            <v>81.92</v>
          </cell>
          <cell r="S417">
            <v>8.19</v>
          </cell>
        </row>
        <row r="418">
          <cell r="D418">
            <v>3</v>
          </cell>
          <cell r="K418">
            <v>1.4</v>
          </cell>
          <cell r="N418">
            <v>215.04</v>
          </cell>
          <cell r="O418">
            <v>21.5</v>
          </cell>
          <cell r="P418">
            <v>3413.33</v>
          </cell>
          <cell r="Q418">
            <v>341.33</v>
          </cell>
          <cell r="R418">
            <v>43.01</v>
          </cell>
          <cell r="S418">
            <v>4.3</v>
          </cell>
        </row>
        <row r="419">
          <cell r="D419">
            <v>5</v>
          </cell>
          <cell r="K419">
            <v>1.6</v>
          </cell>
          <cell r="N419">
            <v>382.29</v>
          </cell>
          <cell r="O419">
            <v>38.229999999999997</v>
          </cell>
          <cell r="P419">
            <v>2194.29</v>
          </cell>
          <cell r="Q419">
            <v>219.43</v>
          </cell>
          <cell r="R419">
            <v>47.79</v>
          </cell>
          <cell r="S419">
            <v>4.78</v>
          </cell>
        </row>
        <row r="420">
          <cell r="D420">
            <v>6</v>
          </cell>
          <cell r="K420">
            <v>1.4</v>
          </cell>
          <cell r="N420">
            <v>370.35</v>
          </cell>
          <cell r="O420">
            <v>37.03</v>
          </cell>
          <cell r="P420">
            <v>1981.94</v>
          </cell>
          <cell r="Q420">
            <v>198.19</v>
          </cell>
          <cell r="R420">
            <v>37.03</v>
          </cell>
          <cell r="S420">
            <v>3.7</v>
          </cell>
        </row>
        <row r="421">
          <cell r="D421">
            <v>6</v>
          </cell>
          <cell r="K421">
            <v>1.8</v>
          </cell>
          <cell r="N421">
            <v>476.16</v>
          </cell>
          <cell r="O421">
            <v>47.62</v>
          </cell>
          <cell r="P421">
            <v>1981.94</v>
          </cell>
          <cell r="Q421">
            <v>198.19</v>
          </cell>
          <cell r="R421">
            <v>47.62</v>
          </cell>
          <cell r="S421">
            <v>4.76</v>
          </cell>
        </row>
        <row r="422">
          <cell r="D422">
            <v>2</v>
          </cell>
          <cell r="K422">
            <v>1.8</v>
          </cell>
          <cell r="N422">
            <v>276.48</v>
          </cell>
          <cell r="O422">
            <v>27.65</v>
          </cell>
          <cell r="P422">
            <v>3413.33</v>
          </cell>
          <cell r="Q422">
            <v>341.33</v>
          </cell>
          <cell r="R422">
            <v>55.3</v>
          </cell>
          <cell r="S422">
            <v>5.53</v>
          </cell>
        </row>
        <row r="423">
          <cell r="D423">
            <v>3</v>
          </cell>
          <cell r="K423">
            <v>1.3</v>
          </cell>
          <cell r="N423">
            <v>199.68</v>
          </cell>
          <cell r="O423">
            <v>19.97</v>
          </cell>
          <cell r="P423">
            <v>3413.33</v>
          </cell>
          <cell r="Q423">
            <v>341.33</v>
          </cell>
          <cell r="R423">
            <v>39.94</v>
          </cell>
          <cell r="S423">
            <v>3.99</v>
          </cell>
        </row>
        <row r="424">
          <cell r="D424">
            <v>3</v>
          </cell>
          <cell r="K424">
            <v>1.4</v>
          </cell>
          <cell r="N424">
            <v>215.04</v>
          </cell>
          <cell r="O424">
            <v>21.5</v>
          </cell>
          <cell r="P424">
            <v>3413.33</v>
          </cell>
          <cell r="Q424">
            <v>341.33</v>
          </cell>
          <cell r="R424">
            <v>43.01</v>
          </cell>
          <cell r="S424">
            <v>4.3</v>
          </cell>
        </row>
        <row r="425">
          <cell r="D425">
            <v>4</v>
          </cell>
          <cell r="K425">
            <v>1.4</v>
          </cell>
          <cell r="N425">
            <v>286.72000000000003</v>
          </cell>
          <cell r="O425">
            <v>28.67</v>
          </cell>
          <cell r="P425">
            <v>2560</v>
          </cell>
          <cell r="Q425">
            <v>256</v>
          </cell>
          <cell r="R425">
            <v>40.96</v>
          </cell>
          <cell r="S425">
            <v>4.0999999999999996</v>
          </cell>
        </row>
        <row r="426">
          <cell r="D426">
            <v>5</v>
          </cell>
          <cell r="K426">
            <v>1.6</v>
          </cell>
          <cell r="N426">
            <v>382.29</v>
          </cell>
          <cell r="O426">
            <v>38.229999999999997</v>
          </cell>
          <cell r="P426">
            <v>2194.29</v>
          </cell>
          <cell r="Q426">
            <v>219.43</v>
          </cell>
          <cell r="R426">
            <v>47.79</v>
          </cell>
          <cell r="S426">
            <v>4.78</v>
          </cell>
        </row>
        <row r="427">
          <cell r="D427">
            <v>2</v>
          </cell>
          <cell r="K427">
            <v>1.3</v>
          </cell>
          <cell r="N427">
            <v>62.4</v>
          </cell>
          <cell r="O427">
            <v>6.24</v>
          </cell>
          <cell r="P427">
            <v>1066.67</v>
          </cell>
          <cell r="Q427">
            <v>106.67</v>
          </cell>
          <cell r="R427">
            <v>12.48</v>
          </cell>
          <cell r="S427">
            <v>1.25</v>
          </cell>
        </row>
        <row r="428">
          <cell r="D428">
            <v>4</v>
          </cell>
          <cell r="K428">
            <v>1.3</v>
          </cell>
          <cell r="N428">
            <v>83.2</v>
          </cell>
          <cell r="O428">
            <v>8.32</v>
          </cell>
          <cell r="P428">
            <v>800</v>
          </cell>
          <cell r="Q428">
            <v>80</v>
          </cell>
          <cell r="R428">
            <v>8.32</v>
          </cell>
          <cell r="S428">
            <v>0.83</v>
          </cell>
        </row>
        <row r="429">
          <cell r="D429">
            <v>2</v>
          </cell>
          <cell r="K429">
            <v>1.8</v>
          </cell>
          <cell r="N429">
            <v>86.4</v>
          </cell>
          <cell r="O429">
            <v>8.64</v>
          </cell>
          <cell r="P429">
            <v>1066.67</v>
          </cell>
          <cell r="Q429">
            <v>106.67</v>
          </cell>
          <cell r="R429">
            <v>17.28</v>
          </cell>
          <cell r="S429">
            <v>1.73</v>
          </cell>
        </row>
        <row r="430">
          <cell r="D430">
            <v>4</v>
          </cell>
          <cell r="K430">
            <v>1.5</v>
          </cell>
          <cell r="N430">
            <v>100</v>
          </cell>
          <cell r="O430">
            <v>10</v>
          </cell>
          <cell r="P430">
            <v>768</v>
          </cell>
          <cell r="Q430">
            <v>76.8</v>
          </cell>
          <cell r="R430">
            <v>10</v>
          </cell>
          <cell r="S430">
            <v>1</v>
          </cell>
        </row>
        <row r="431">
          <cell r="D431">
            <v>3</v>
          </cell>
          <cell r="K431">
            <v>1.3</v>
          </cell>
          <cell r="N431">
            <v>76.27</v>
          </cell>
          <cell r="O431">
            <v>7.63</v>
          </cell>
          <cell r="P431">
            <v>872.73</v>
          </cell>
          <cell r="Q431">
            <v>87.27</v>
          </cell>
          <cell r="R431">
            <v>9.5299999999999994</v>
          </cell>
          <cell r="S431">
            <v>0.95</v>
          </cell>
        </row>
        <row r="432">
          <cell r="D432">
            <v>5</v>
          </cell>
          <cell r="K432">
            <v>1.8</v>
          </cell>
          <cell r="N432">
            <v>105.6</v>
          </cell>
          <cell r="O432">
            <v>10.56</v>
          </cell>
          <cell r="P432">
            <v>872.73</v>
          </cell>
          <cell r="Q432">
            <v>87.27</v>
          </cell>
          <cell r="R432">
            <v>17.600000000000001</v>
          </cell>
          <cell r="S432">
            <v>1.76</v>
          </cell>
        </row>
        <row r="433">
          <cell r="D433">
            <v>2</v>
          </cell>
          <cell r="K433">
            <v>1.6</v>
          </cell>
          <cell r="N433">
            <v>76.8</v>
          </cell>
          <cell r="O433">
            <v>7.68</v>
          </cell>
          <cell r="P433">
            <v>1066.67</v>
          </cell>
          <cell r="Q433">
            <v>106.67</v>
          </cell>
          <cell r="R433">
            <v>15.36</v>
          </cell>
          <cell r="S433">
            <v>1.54</v>
          </cell>
        </row>
        <row r="434">
          <cell r="D434">
            <v>4</v>
          </cell>
          <cell r="K434">
            <v>1.4</v>
          </cell>
          <cell r="N434">
            <v>97.07</v>
          </cell>
          <cell r="O434">
            <v>9.7100000000000009</v>
          </cell>
          <cell r="P434">
            <v>738.46</v>
          </cell>
          <cell r="Q434">
            <v>73.849999999999994</v>
          </cell>
          <cell r="R434">
            <v>9.7100000000000009</v>
          </cell>
          <cell r="S434">
            <v>0.97</v>
          </cell>
        </row>
        <row r="435">
          <cell r="D435">
            <v>2</v>
          </cell>
          <cell r="K435">
            <v>1.4</v>
          </cell>
          <cell r="N435">
            <v>67.2</v>
          </cell>
          <cell r="O435">
            <v>6.72</v>
          </cell>
          <cell r="P435">
            <v>1066.67</v>
          </cell>
          <cell r="Q435">
            <v>106.67</v>
          </cell>
          <cell r="R435">
            <v>13.44</v>
          </cell>
          <cell r="S435">
            <v>1.34</v>
          </cell>
        </row>
        <row r="436">
          <cell r="D436">
            <v>4</v>
          </cell>
          <cell r="K436">
            <v>1.6</v>
          </cell>
          <cell r="N436">
            <v>110.93</v>
          </cell>
          <cell r="O436">
            <v>11.09</v>
          </cell>
          <cell r="P436">
            <v>738.46</v>
          </cell>
          <cell r="Q436">
            <v>73.849999999999994</v>
          </cell>
          <cell r="R436">
            <v>11.09</v>
          </cell>
          <cell r="S436">
            <v>1.1100000000000001</v>
          </cell>
        </row>
        <row r="437">
          <cell r="D437">
            <v>5</v>
          </cell>
          <cell r="K437">
            <v>1.6</v>
          </cell>
          <cell r="N437">
            <v>102.4</v>
          </cell>
          <cell r="O437">
            <v>10.24</v>
          </cell>
          <cell r="P437">
            <v>800</v>
          </cell>
          <cell r="Q437">
            <v>80</v>
          </cell>
          <cell r="R437">
            <v>17.07</v>
          </cell>
          <cell r="S437">
            <v>1.71</v>
          </cell>
        </row>
        <row r="438">
          <cell r="D438">
            <v>3</v>
          </cell>
          <cell r="K438">
            <v>1.4</v>
          </cell>
          <cell r="N438">
            <v>85.87</v>
          </cell>
          <cell r="O438">
            <v>8.59</v>
          </cell>
          <cell r="P438">
            <v>834.78</v>
          </cell>
          <cell r="Q438">
            <v>83.48</v>
          </cell>
          <cell r="R438">
            <v>10.73</v>
          </cell>
          <cell r="S438">
            <v>1.07</v>
          </cell>
        </row>
        <row r="439">
          <cell r="D439">
            <v>2</v>
          </cell>
          <cell r="K439">
            <v>1.3</v>
          </cell>
          <cell r="N439">
            <v>62.4</v>
          </cell>
          <cell r="O439">
            <v>6.24</v>
          </cell>
          <cell r="P439">
            <v>1066.67</v>
          </cell>
          <cell r="Q439">
            <v>106.67</v>
          </cell>
          <cell r="R439">
            <v>12.48</v>
          </cell>
          <cell r="S439">
            <v>1.25</v>
          </cell>
        </row>
        <row r="440">
          <cell r="D440">
            <v>4</v>
          </cell>
          <cell r="K440">
            <v>1.3</v>
          </cell>
          <cell r="N440">
            <v>83.2</v>
          </cell>
          <cell r="O440">
            <v>8.32</v>
          </cell>
          <cell r="P440">
            <v>800</v>
          </cell>
          <cell r="Q440">
            <v>80</v>
          </cell>
          <cell r="R440">
            <v>8.32</v>
          </cell>
          <cell r="S440">
            <v>0.83</v>
          </cell>
        </row>
        <row r="441">
          <cell r="D441">
            <v>2</v>
          </cell>
          <cell r="K441">
            <v>1.8</v>
          </cell>
          <cell r="N441">
            <v>86.4</v>
          </cell>
          <cell r="O441">
            <v>8.64</v>
          </cell>
          <cell r="P441">
            <v>1066.67</v>
          </cell>
          <cell r="Q441">
            <v>106.67</v>
          </cell>
          <cell r="R441">
            <v>17.28</v>
          </cell>
          <cell r="S441">
            <v>1.73</v>
          </cell>
        </row>
        <row r="442">
          <cell r="D442">
            <v>4</v>
          </cell>
          <cell r="K442">
            <v>1.5</v>
          </cell>
          <cell r="N442">
            <v>100</v>
          </cell>
          <cell r="O442">
            <v>10</v>
          </cell>
          <cell r="P442">
            <v>768</v>
          </cell>
          <cell r="Q442">
            <v>76.8</v>
          </cell>
          <cell r="R442">
            <v>10</v>
          </cell>
          <cell r="S442">
            <v>1</v>
          </cell>
        </row>
        <row r="443">
          <cell r="D443">
            <v>3</v>
          </cell>
          <cell r="K443">
            <v>1.3</v>
          </cell>
          <cell r="N443">
            <v>76.27</v>
          </cell>
          <cell r="O443">
            <v>7.63</v>
          </cell>
          <cell r="P443">
            <v>872.73</v>
          </cell>
          <cell r="Q443">
            <v>87.27</v>
          </cell>
          <cell r="R443">
            <v>9.5299999999999994</v>
          </cell>
          <cell r="S443">
            <v>0.95</v>
          </cell>
        </row>
        <row r="444">
          <cell r="D444">
            <v>5</v>
          </cell>
          <cell r="K444">
            <v>1.8</v>
          </cell>
          <cell r="N444">
            <v>105.6</v>
          </cell>
          <cell r="O444">
            <v>10.56</v>
          </cell>
          <cell r="P444">
            <v>872.73</v>
          </cell>
          <cell r="Q444">
            <v>87.27</v>
          </cell>
          <cell r="R444">
            <v>17.600000000000001</v>
          </cell>
          <cell r="S444">
            <v>1.76</v>
          </cell>
        </row>
        <row r="445">
          <cell r="D445">
            <v>2</v>
          </cell>
          <cell r="K445">
            <v>1.6</v>
          </cell>
          <cell r="N445">
            <v>76.8</v>
          </cell>
          <cell r="O445">
            <v>7.68</v>
          </cell>
          <cell r="P445">
            <v>1066.67</v>
          </cell>
          <cell r="Q445">
            <v>106.67</v>
          </cell>
          <cell r="R445">
            <v>15.36</v>
          </cell>
          <cell r="S445">
            <v>1.54</v>
          </cell>
        </row>
        <row r="446">
          <cell r="D446">
            <v>4</v>
          </cell>
          <cell r="K446">
            <v>1.4</v>
          </cell>
          <cell r="N446">
            <v>97.07</v>
          </cell>
          <cell r="O446">
            <v>9.7100000000000009</v>
          </cell>
          <cell r="P446">
            <v>738.46</v>
          </cell>
          <cell r="Q446">
            <v>73.849999999999994</v>
          </cell>
          <cell r="R446">
            <v>9.7100000000000009</v>
          </cell>
          <cell r="S446">
            <v>0.97</v>
          </cell>
        </row>
        <row r="447">
          <cell r="D447">
            <v>2</v>
          </cell>
          <cell r="K447">
            <v>1.4</v>
          </cell>
          <cell r="N447">
            <v>67.2</v>
          </cell>
          <cell r="O447">
            <v>6.72</v>
          </cell>
          <cell r="P447">
            <v>1066.67</v>
          </cell>
          <cell r="Q447">
            <v>106.67</v>
          </cell>
          <cell r="R447">
            <v>13.44</v>
          </cell>
          <cell r="S447">
            <v>1.34</v>
          </cell>
        </row>
        <row r="448">
          <cell r="D448">
            <v>4</v>
          </cell>
          <cell r="K448">
            <v>1.6</v>
          </cell>
          <cell r="N448">
            <v>110.93</v>
          </cell>
          <cell r="O448">
            <v>11.09</v>
          </cell>
          <cell r="P448">
            <v>738.46</v>
          </cell>
          <cell r="Q448">
            <v>73.849999999999994</v>
          </cell>
          <cell r="R448">
            <v>11.09</v>
          </cell>
          <cell r="S448">
            <v>1.1100000000000001</v>
          </cell>
        </row>
        <row r="449">
          <cell r="D449">
            <v>5</v>
          </cell>
          <cell r="K449">
            <v>1.6</v>
          </cell>
          <cell r="N449">
            <v>102.4</v>
          </cell>
          <cell r="O449">
            <v>10.24</v>
          </cell>
          <cell r="P449">
            <v>800</v>
          </cell>
          <cell r="Q449">
            <v>80</v>
          </cell>
          <cell r="R449">
            <v>17.07</v>
          </cell>
          <cell r="S449">
            <v>1.71</v>
          </cell>
        </row>
        <row r="450">
          <cell r="D450">
            <v>3</v>
          </cell>
          <cell r="K450">
            <v>1.4</v>
          </cell>
          <cell r="N450">
            <v>85.87</v>
          </cell>
          <cell r="O450">
            <v>8.59</v>
          </cell>
          <cell r="P450">
            <v>834.78</v>
          </cell>
          <cell r="Q450">
            <v>83.48</v>
          </cell>
          <cell r="R450">
            <v>10.73</v>
          </cell>
          <cell r="S450">
            <v>1.07</v>
          </cell>
        </row>
        <row r="451">
          <cell r="D451">
            <v>2</v>
          </cell>
          <cell r="K451">
            <v>1.3</v>
          </cell>
          <cell r="N451">
            <v>62.4</v>
          </cell>
          <cell r="O451">
            <v>6.24</v>
          </cell>
          <cell r="P451">
            <v>1066.67</v>
          </cell>
          <cell r="Q451">
            <v>106.67</v>
          </cell>
          <cell r="R451">
            <v>12.48</v>
          </cell>
          <cell r="S451">
            <v>1.25</v>
          </cell>
        </row>
        <row r="452">
          <cell r="D452">
            <v>4</v>
          </cell>
          <cell r="K452">
            <v>1.3</v>
          </cell>
          <cell r="N452">
            <v>83.2</v>
          </cell>
          <cell r="O452">
            <v>8.32</v>
          </cell>
          <cell r="P452">
            <v>800</v>
          </cell>
          <cell r="Q452">
            <v>80</v>
          </cell>
          <cell r="R452">
            <v>8.32</v>
          </cell>
          <cell r="S452">
            <v>0.83</v>
          </cell>
        </row>
        <row r="453">
          <cell r="D453">
            <v>2</v>
          </cell>
          <cell r="K453">
            <v>1.8</v>
          </cell>
          <cell r="N453">
            <v>86.4</v>
          </cell>
          <cell r="O453">
            <v>8.64</v>
          </cell>
          <cell r="P453">
            <v>1066.67</v>
          </cell>
          <cell r="Q453">
            <v>106.67</v>
          </cell>
          <cell r="R453">
            <v>17.28</v>
          </cell>
          <cell r="S453">
            <v>1.73</v>
          </cell>
        </row>
        <row r="454">
          <cell r="D454">
            <v>4</v>
          </cell>
          <cell r="K454">
            <v>1.5</v>
          </cell>
          <cell r="N454">
            <v>100</v>
          </cell>
          <cell r="O454">
            <v>10</v>
          </cell>
          <cell r="P454">
            <v>768</v>
          </cell>
          <cell r="Q454">
            <v>76.8</v>
          </cell>
          <cell r="R454">
            <v>10</v>
          </cell>
          <cell r="S454">
            <v>1</v>
          </cell>
        </row>
        <row r="455">
          <cell r="D455">
            <v>3</v>
          </cell>
          <cell r="K455">
            <v>1.3</v>
          </cell>
          <cell r="N455">
            <v>76.27</v>
          </cell>
          <cell r="O455">
            <v>7.63</v>
          </cell>
          <cell r="P455">
            <v>872.73</v>
          </cell>
          <cell r="Q455">
            <v>87.27</v>
          </cell>
          <cell r="R455">
            <v>9.5299999999999994</v>
          </cell>
          <cell r="S455">
            <v>0.95</v>
          </cell>
        </row>
        <row r="456">
          <cell r="D456">
            <v>5</v>
          </cell>
          <cell r="K456">
            <v>1.8</v>
          </cell>
          <cell r="N456">
            <v>105.6</v>
          </cell>
          <cell r="O456">
            <v>10.56</v>
          </cell>
          <cell r="P456">
            <v>872.73</v>
          </cell>
          <cell r="Q456">
            <v>87.27</v>
          </cell>
          <cell r="R456">
            <v>17.600000000000001</v>
          </cell>
          <cell r="S456">
            <v>1.76</v>
          </cell>
        </row>
        <row r="457">
          <cell r="D457">
            <v>2</v>
          </cell>
          <cell r="K457">
            <v>1.6</v>
          </cell>
          <cell r="N457">
            <v>76.8</v>
          </cell>
          <cell r="O457">
            <v>7.68</v>
          </cell>
          <cell r="P457">
            <v>1066.67</v>
          </cell>
          <cell r="Q457">
            <v>106.67</v>
          </cell>
          <cell r="R457">
            <v>15.36</v>
          </cell>
          <cell r="S457">
            <v>1.54</v>
          </cell>
        </row>
        <row r="458">
          <cell r="D458">
            <v>4</v>
          </cell>
          <cell r="K458">
            <v>1.4</v>
          </cell>
          <cell r="N458">
            <v>97.07</v>
          </cell>
          <cell r="O458">
            <v>9.7100000000000009</v>
          </cell>
          <cell r="P458">
            <v>738.46</v>
          </cell>
          <cell r="Q458">
            <v>73.849999999999994</v>
          </cell>
          <cell r="R458">
            <v>9.7100000000000009</v>
          </cell>
          <cell r="S458">
            <v>0.97</v>
          </cell>
        </row>
        <row r="459">
          <cell r="D459">
            <v>2</v>
          </cell>
          <cell r="K459">
            <v>1.4</v>
          </cell>
          <cell r="N459">
            <v>67.2</v>
          </cell>
          <cell r="O459">
            <v>6.72</v>
          </cell>
          <cell r="P459">
            <v>1066.67</v>
          </cell>
          <cell r="Q459">
            <v>106.67</v>
          </cell>
          <cell r="R459">
            <v>13.44</v>
          </cell>
          <cell r="S459">
            <v>1.34</v>
          </cell>
        </row>
        <row r="460">
          <cell r="D460">
            <v>4</v>
          </cell>
          <cell r="K460">
            <v>1.6</v>
          </cell>
          <cell r="N460">
            <v>110.93</v>
          </cell>
          <cell r="O460">
            <v>11.09</v>
          </cell>
          <cell r="P460">
            <v>738.46</v>
          </cell>
          <cell r="Q460">
            <v>73.849999999999994</v>
          </cell>
          <cell r="R460">
            <v>11.09</v>
          </cell>
          <cell r="S460">
            <v>1.1100000000000001</v>
          </cell>
        </row>
        <row r="461">
          <cell r="D461">
            <v>5</v>
          </cell>
          <cell r="K461">
            <v>1.6</v>
          </cell>
          <cell r="N461">
            <v>102.4</v>
          </cell>
          <cell r="O461">
            <v>10.24</v>
          </cell>
          <cell r="P461">
            <v>800</v>
          </cell>
          <cell r="Q461">
            <v>80</v>
          </cell>
          <cell r="R461">
            <v>17.07</v>
          </cell>
          <cell r="S461">
            <v>1.71</v>
          </cell>
        </row>
        <row r="462">
          <cell r="D462">
            <v>3</v>
          </cell>
          <cell r="K462">
            <v>1.4</v>
          </cell>
          <cell r="N462">
            <v>85.87</v>
          </cell>
          <cell r="O462">
            <v>8.59</v>
          </cell>
          <cell r="P462">
            <v>834.78</v>
          </cell>
          <cell r="Q462">
            <v>83.48</v>
          </cell>
          <cell r="R462">
            <v>10.73</v>
          </cell>
          <cell r="S462">
            <v>1.07</v>
          </cell>
        </row>
        <row r="463">
          <cell r="D463">
            <v>2</v>
          </cell>
          <cell r="K463">
            <v>1.3</v>
          </cell>
          <cell r="N463">
            <v>62.4</v>
          </cell>
          <cell r="O463">
            <v>6.24</v>
          </cell>
          <cell r="P463">
            <v>1066.67</v>
          </cell>
          <cell r="Q463">
            <v>106.67</v>
          </cell>
          <cell r="R463">
            <v>12.48</v>
          </cell>
          <cell r="S463">
            <v>1.25</v>
          </cell>
        </row>
        <row r="464">
          <cell r="D464">
            <v>4</v>
          </cell>
          <cell r="K464">
            <v>1.3</v>
          </cell>
          <cell r="N464">
            <v>83.2</v>
          </cell>
          <cell r="O464">
            <v>8.32</v>
          </cell>
          <cell r="P464">
            <v>800</v>
          </cell>
          <cell r="Q464">
            <v>80</v>
          </cell>
          <cell r="R464">
            <v>8.32</v>
          </cell>
          <cell r="S464">
            <v>0.83</v>
          </cell>
        </row>
        <row r="465">
          <cell r="D465">
            <v>2</v>
          </cell>
          <cell r="K465">
            <v>1.8</v>
          </cell>
          <cell r="N465">
            <v>86.4</v>
          </cell>
          <cell r="O465">
            <v>8.64</v>
          </cell>
          <cell r="P465">
            <v>1066.67</v>
          </cell>
          <cell r="Q465">
            <v>106.67</v>
          </cell>
          <cell r="R465">
            <v>17.28</v>
          </cell>
          <cell r="S465">
            <v>1.73</v>
          </cell>
        </row>
        <row r="466">
          <cell r="D466">
            <v>4</v>
          </cell>
          <cell r="K466">
            <v>1.5</v>
          </cell>
          <cell r="N466">
            <v>100</v>
          </cell>
          <cell r="O466">
            <v>10</v>
          </cell>
          <cell r="P466">
            <v>768</v>
          </cell>
          <cell r="Q466">
            <v>76.8</v>
          </cell>
          <cell r="R466">
            <v>10</v>
          </cell>
          <cell r="S466">
            <v>1</v>
          </cell>
        </row>
        <row r="467">
          <cell r="D467">
            <v>3</v>
          </cell>
          <cell r="K467">
            <v>1.3</v>
          </cell>
          <cell r="N467">
            <v>76.27</v>
          </cell>
          <cell r="O467">
            <v>7.63</v>
          </cell>
          <cell r="P467">
            <v>872.73</v>
          </cell>
          <cell r="Q467">
            <v>87.27</v>
          </cell>
          <cell r="R467">
            <v>9.5299999999999994</v>
          </cell>
          <cell r="S467">
            <v>0.95</v>
          </cell>
        </row>
        <row r="468">
          <cell r="D468">
            <v>5</v>
          </cell>
          <cell r="K468">
            <v>1.8</v>
          </cell>
          <cell r="N468">
            <v>105.6</v>
          </cell>
          <cell r="O468">
            <v>10.56</v>
          </cell>
          <cell r="P468">
            <v>872.73</v>
          </cell>
          <cell r="Q468">
            <v>87.27</v>
          </cell>
          <cell r="R468">
            <v>17.600000000000001</v>
          </cell>
          <cell r="S468">
            <v>1.76</v>
          </cell>
        </row>
        <row r="469">
          <cell r="D469">
            <v>2</v>
          </cell>
          <cell r="K469">
            <v>1.6</v>
          </cell>
          <cell r="N469">
            <v>76.8</v>
          </cell>
          <cell r="O469">
            <v>7.68</v>
          </cell>
          <cell r="P469">
            <v>1066.67</v>
          </cell>
          <cell r="Q469">
            <v>106.67</v>
          </cell>
          <cell r="R469">
            <v>15.36</v>
          </cell>
          <cell r="S469">
            <v>1.54</v>
          </cell>
        </row>
        <row r="470">
          <cell r="D470">
            <v>4</v>
          </cell>
          <cell r="K470">
            <v>1.4</v>
          </cell>
          <cell r="N470">
            <v>97.07</v>
          </cell>
          <cell r="O470">
            <v>9.7100000000000009</v>
          </cell>
          <cell r="P470">
            <v>738.46</v>
          </cell>
          <cell r="Q470">
            <v>73.849999999999994</v>
          </cell>
          <cell r="R470">
            <v>9.7100000000000009</v>
          </cell>
          <cell r="S470">
            <v>0.97</v>
          </cell>
        </row>
        <row r="471">
          <cell r="D471">
            <v>2</v>
          </cell>
          <cell r="K471">
            <v>1.4</v>
          </cell>
          <cell r="N471">
            <v>67.2</v>
          </cell>
          <cell r="O471">
            <v>6.72</v>
          </cell>
          <cell r="P471">
            <v>1066.67</v>
          </cell>
          <cell r="Q471">
            <v>106.67</v>
          </cell>
          <cell r="R471">
            <v>13.44</v>
          </cell>
          <cell r="S471">
            <v>1.34</v>
          </cell>
        </row>
        <row r="472">
          <cell r="D472">
            <v>4</v>
          </cell>
          <cell r="K472">
            <v>1.6</v>
          </cell>
          <cell r="N472">
            <v>110.93</v>
          </cell>
          <cell r="O472">
            <v>11.09</v>
          </cell>
          <cell r="P472">
            <v>738.46</v>
          </cell>
          <cell r="Q472">
            <v>73.849999999999994</v>
          </cell>
          <cell r="R472">
            <v>11.09</v>
          </cell>
          <cell r="S472">
            <v>1.1100000000000001</v>
          </cell>
        </row>
        <row r="473">
          <cell r="D473">
            <v>5</v>
          </cell>
          <cell r="K473">
            <v>1.6</v>
          </cell>
          <cell r="N473">
            <v>102.4</v>
          </cell>
          <cell r="O473">
            <v>10.24</v>
          </cell>
          <cell r="P473">
            <v>800</v>
          </cell>
          <cell r="Q473">
            <v>80</v>
          </cell>
          <cell r="R473">
            <v>17.07</v>
          </cell>
          <cell r="S473">
            <v>1.71</v>
          </cell>
        </row>
        <row r="474">
          <cell r="D474">
            <v>3</v>
          </cell>
          <cell r="K474">
            <v>1.4</v>
          </cell>
          <cell r="N474">
            <v>85.87</v>
          </cell>
          <cell r="O474">
            <v>8.59</v>
          </cell>
          <cell r="P474">
            <v>834.78</v>
          </cell>
          <cell r="Q474">
            <v>83.48</v>
          </cell>
          <cell r="R474">
            <v>10.73</v>
          </cell>
          <cell r="S474">
            <v>1.07</v>
          </cell>
        </row>
        <row r="475">
          <cell r="D475">
            <v>2</v>
          </cell>
          <cell r="K475">
            <v>1.3</v>
          </cell>
          <cell r="N475">
            <v>62.4</v>
          </cell>
          <cell r="O475">
            <v>6.24</v>
          </cell>
          <cell r="P475">
            <v>1066.67</v>
          </cell>
          <cell r="Q475">
            <v>106.67</v>
          </cell>
          <cell r="R475">
            <v>12.48</v>
          </cell>
          <cell r="S475">
            <v>1.25</v>
          </cell>
        </row>
        <row r="476">
          <cell r="D476">
            <v>4</v>
          </cell>
          <cell r="K476">
            <v>1.3</v>
          </cell>
          <cell r="N476">
            <v>83.2</v>
          </cell>
          <cell r="O476">
            <v>8.32</v>
          </cell>
          <cell r="P476">
            <v>800</v>
          </cell>
          <cell r="Q476">
            <v>80</v>
          </cell>
          <cell r="R476">
            <v>8.32</v>
          </cell>
          <cell r="S476">
            <v>0.83</v>
          </cell>
        </row>
        <row r="477">
          <cell r="D477">
            <v>2</v>
          </cell>
          <cell r="K477">
            <v>1.8</v>
          </cell>
          <cell r="N477">
            <v>86.4</v>
          </cell>
          <cell r="O477">
            <v>8.64</v>
          </cell>
          <cell r="P477">
            <v>1066.67</v>
          </cell>
          <cell r="Q477">
            <v>106.67</v>
          </cell>
          <cell r="R477">
            <v>17.28</v>
          </cell>
          <cell r="S477">
            <v>1.73</v>
          </cell>
        </row>
        <row r="478">
          <cell r="D478">
            <v>4</v>
          </cell>
          <cell r="K478">
            <v>1.5</v>
          </cell>
          <cell r="N478">
            <v>100</v>
          </cell>
          <cell r="O478">
            <v>10</v>
          </cell>
          <cell r="P478">
            <v>768</v>
          </cell>
          <cell r="Q478">
            <v>76.8</v>
          </cell>
          <cell r="R478">
            <v>10</v>
          </cell>
          <cell r="S478">
            <v>1</v>
          </cell>
        </row>
        <row r="479">
          <cell r="D479">
            <v>3</v>
          </cell>
          <cell r="K479">
            <v>1.3</v>
          </cell>
          <cell r="N479">
            <v>76.27</v>
          </cell>
          <cell r="O479">
            <v>7.63</v>
          </cell>
          <cell r="P479">
            <v>872.73</v>
          </cell>
          <cell r="Q479">
            <v>87.27</v>
          </cell>
          <cell r="R479">
            <v>9.5299999999999994</v>
          </cell>
          <cell r="S479">
            <v>0.95</v>
          </cell>
        </row>
        <row r="480">
          <cell r="D480">
            <v>5</v>
          </cell>
          <cell r="K480">
            <v>1.8</v>
          </cell>
          <cell r="N480">
            <v>105.6</v>
          </cell>
          <cell r="O480">
            <v>10.56</v>
          </cell>
          <cell r="P480">
            <v>872.73</v>
          </cell>
          <cell r="Q480">
            <v>87.27</v>
          </cell>
          <cell r="R480">
            <v>17.600000000000001</v>
          </cell>
          <cell r="S480">
            <v>1.76</v>
          </cell>
        </row>
        <row r="481">
          <cell r="D481">
            <v>2</v>
          </cell>
          <cell r="K481">
            <v>1.6</v>
          </cell>
          <cell r="N481">
            <v>76.8</v>
          </cell>
          <cell r="O481">
            <v>7.68</v>
          </cell>
          <cell r="P481">
            <v>1066.67</v>
          </cell>
          <cell r="Q481">
            <v>106.67</v>
          </cell>
          <cell r="R481">
            <v>15.36</v>
          </cell>
          <cell r="S481">
            <v>1.54</v>
          </cell>
        </row>
        <row r="482">
          <cell r="D482">
            <v>4</v>
          </cell>
          <cell r="K482">
            <v>1.4</v>
          </cell>
          <cell r="N482">
            <v>97.07</v>
          </cell>
          <cell r="O482">
            <v>9.7100000000000009</v>
          </cell>
          <cell r="P482">
            <v>738.46</v>
          </cell>
          <cell r="Q482">
            <v>73.849999999999994</v>
          </cell>
          <cell r="R482">
            <v>9.7100000000000009</v>
          </cell>
          <cell r="S482">
            <v>0.97</v>
          </cell>
        </row>
        <row r="483">
          <cell r="D483">
            <v>2</v>
          </cell>
          <cell r="K483">
            <v>1.4</v>
          </cell>
          <cell r="N483">
            <v>67.2</v>
          </cell>
          <cell r="O483">
            <v>6.72</v>
          </cell>
          <cell r="P483">
            <v>1066.67</v>
          </cell>
          <cell r="Q483">
            <v>106.67</v>
          </cell>
          <cell r="R483">
            <v>13.44</v>
          </cell>
          <cell r="S483">
            <v>1.34</v>
          </cell>
        </row>
        <row r="484">
          <cell r="D484">
            <v>4</v>
          </cell>
          <cell r="K484">
            <v>1.6</v>
          </cell>
          <cell r="N484">
            <v>110.93</v>
          </cell>
          <cell r="O484">
            <v>11.09</v>
          </cell>
          <cell r="P484">
            <v>738.46</v>
          </cell>
          <cell r="Q484">
            <v>73.849999999999994</v>
          </cell>
          <cell r="R484">
            <v>11.09</v>
          </cell>
          <cell r="S484">
            <v>1.1100000000000001</v>
          </cell>
        </row>
        <row r="485">
          <cell r="D485">
            <v>5</v>
          </cell>
          <cell r="K485">
            <v>1.6</v>
          </cell>
          <cell r="N485">
            <v>102.4</v>
          </cell>
          <cell r="O485">
            <v>10.24</v>
          </cell>
          <cell r="P485">
            <v>800</v>
          </cell>
          <cell r="Q485">
            <v>80</v>
          </cell>
          <cell r="R485">
            <v>17.07</v>
          </cell>
          <cell r="S485">
            <v>1.71</v>
          </cell>
        </row>
        <row r="486">
          <cell r="D486">
            <v>3</v>
          </cell>
          <cell r="K486">
            <v>1.4</v>
          </cell>
          <cell r="N486">
            <v>85.87</v>
          </cell>
          <cell r="O486">
            <v>8.59</v>
          </cell>
          <cell r="P486">
            <v>834.78</v>
          </cell>
          <cell r="Q486">
            <v>83.48</v>
          </cell>
          <cell r="R486">
            <v>10.73</v>
          </cell>
          <cell r="S486">
            <v>1.07</v>
          </cell>
        </row>
        <row r="487">
          <cell r="D487">
            <v>2</v>
          </cell>
          <cell r="K487">
            <v>1.3</v>
          </cell>
          <cell r="N487">
            <v>74.88</v>
          </cell>
          <cell r="O487">
            <v>7.49</v>
          </cell>
          <cell r="P487">
            <v>1280</v>
          </cell>
          <cell r="Q487">
            <v>128</v>
          </cell>
          <cell r="R487">
            <v>14.98</v>
          </cell>
          <cell r="S487">
            <v>1.5</v>
          </cell>
        </row>
        <row r="488">
          <cell r="D488">
            <v>4</v>
          </cell>
          <cell r="K488">
            <v>1.3</v>
          </cell>
          <cell r="N488">
            <v>99.84</v>
          </cell>
          <cell r="O488">
            <v>9.98</v>
          </cell>
          <cell r="P488">
            <v>960</v>
          </cell>
          <cell r="Q488">
            <v>96</v>
          </cell>
          <cell r="R488">
            <v>9.98</v>
          </cell>
          <cell r="S488">
            <v>1</v>
          </cell>
        </row>
        <row r="489">
          <cell r="D489">
            <v>2</v>
          </cell>
          <cell r="K489">
            <v>1.8</v>
          </cell>
          <cell r="N489">
            <v>103.68</v>
          </cell>
          <cell r="O489">
            <v>10.37</v>
          </cell>
          <cell r="P489">
            <v>1280</v>
          </cell>
          <cell r="Q489">
            <v>128</v>
          </cell>
          <cell r="R489">
            <v>20.74</v>
          </cell>
          <cell r="S489">
            <v>2.0699999999999998</v>
          </cell>
        </row>
        <row r="490">
          <cell r="D490">
            <v>4</v>
          </cell>
          <cell r="K490">
            <v>1.5</v>
          </cell>
          <cell r="N490">
            <v>120</v>
          </cell>
          <cell r="O490">
            <v>12</v>
          </cell>
          <cell r="P490">
            <v>921.6</v>
          </cell>
          <cell r="Q490">
            <v>92.16</v>
          </cell>
          <cell r="R490">
            <v>12</v>
          </cell>
          <cell r="S490">
            <v>1.2</v>
          </cell>
        </row>
        <row r="491">
          <cell r="D491">
            <v>3</v>
          </cell>
          <cell r="K491">
            <v>1.3</v>
          </cell>
          <cell r="N491">
            <v>91.52</v>
          </cell>
          <cell r="O491">
            <v>9.15</v>
          </cell>
          <cell r="P491">
            <v>1047.27</v>
          </cell>
          <cell r="Q491">
            <v>104.73</v>
          </cell>
          <cell r="R491">
            <v>11.44</v>
          </cell>
          <cell r="S491">
            <v>1.1399999999999999</v>
          </cell>
        </row>
        <row r="492">
          <cell r="D492">
            <v>5</v>
          </cell>
          <cell r="K492">
            <v>1.8</v>
          </cell>
          <cell r="N492">
            <v>126.72</v>
          </cell>
          <cell r="O492">
            <v>12.67</v>
          </cell>
          <cell r="P492">
            <v>1047.27</v>
          </cell>
          <cell r="Q492">
            <v>104.73</v>
          </cell>
          <cell r="R492">
            <v>21.12</v>
          </cell>
          <cell r="S492">
            <v>2.11</v>
          </cell>
        </row>
        <row r="493">
          <cell r="D493">
            <v>2</v>
          </cell>
          <cell r="K493">
            <v>1.6</v>
          </cell>
          <cell r="N493">
            <v>92.16</v>
          </cell>
          <cell r="O493">
            <v>9.2200000000000006</v>
          </cell>
          <cell r="P493">
            <v>1280</v>
          </cell>
          <cell r="Q493">
            <v>128</v>
          </cell>
          <cell r="R493">
            <v>18.43</v>
          </cell>
          <cell r="S493">
            <v>1.84</v>
          </cell>
        </row>
        <row r="494">
          <cell r="D494">
            <v>4</v>
          </cell>
          <cell r="K494">
            <v>1.4</v>
          </cell>
          <cell r="N494">
            <v>116.48</v>
          </cell>
          <cell r="O494">
            <v>11.65</v>
          </cell>
          <cell r="P494">
            <v>886.15</v>
          </cell>
          <cell r="Q494">
            <v>88.62</v>
          </cell>
          <cell r="R494">
            <v>11.65</v>
          </cell>
          <cell r="S494">
            <v>1.1599999999999999</v>
          </cell>
        </row>
        <row r="495">
          <cell r="D495">
            <v>2</v>
          </cell>
          <cell r="K495">
            <v>1.4</v>
          </cell>
          <cell r="N495">
            <v>80.64</v>
          </cell>
          <cell r="O495">
            <v>8.06</v>
          </cell>
          <cell r="P495">
            <v>1280</v>
          </cell>
          <cell r="Q495">
            <v>128</v>
          </cell>
          <cell r="R495">
            <v>16.13</v>
          </cell>
          <cell r="S495">
            <v>1.61</v>
          </cell>
        </row>
        <row r="496">
          <cell r="D496">
            <v>4</v>
          </cell>
          <cell r="K496">
            <v>1.6</v>
          </cell>
          <cell r="N496">
            <v>133.12</v>
          </cell>
          <cell r="O496">
            <v>13.31</v>
          </cell>
          <cell r="P496">
            <v>886.15</v>
          </cell>
          <cell r="Q496">
            <v>88.62</v>
          </cell>
          <cell r="R496">
            <v>13.31</v>
          </cell>
          <cell r="S496">
            <v>1.33</v>
          </cell>
        </row>
        <row r="497">
          <cell r="D497">
            <v>5</v>
          </cell>
          <cell r="K497">
            <v>1.6</v>
          </cell>
          <cell r="N497">
            <v>122.88</v>
          </cell>
          <cell r="O497">
            <v>12.29</v>
          </cell>
          <cell r="P497">
            <v>960</v>
          </cell>
          <cell r="Q497">
            <v>96</v>
          </cell>
          <cell r="R497">
            <v>20.48</v>
          </cell>
          <cell r="S497">
            <v>2.0499999999999998</v>
          </cell>
        </row>
        <row r="498">
          <cell r="D498">
            <v>3</v>
          </cell>
          <cell r="K498">
            <v>1.4</v>
          </cell>
          <cell r="N498">
            <v>103.04</v>
          </cell>
          <cell r="O498">
            <v>10.3</v>
          </cell>
          <cell r="P498">
            <v>1001.74</v>
          </cell>
          <cell r="Q498">
            <v>100.17</v>
          </cell>
          <cell r="R498">
            <v>12.88</v>
          </cell>
          <cell r="S498">
            <v>1.29</v>
          </cell>
        </row>
        <row r="499">
          <cell r="D499">
            <v>2</v>
          </cell>
          <cell r="K499">
            <v>1.3</v>
          </cell>
          <cell r="N499">
            <v>74.88</v>
          </cell>
          <cell r="O499">
            <v>7.49</v>
          </cell>
          <cell r="P499">
            <v>1280</v>
          </cell>
          <cell r="Q499">
            <v>128</v>
          </cell>
          <cell r="R499">
            <v>14.98</v>
          </cell>
          <cell r="S499">
            <v>1.5</v>
          </cell>
        </row>
        <row r="500">
          <cell r="D500">
            <v>4</v>
          </cell>
          <cell r="K500">
            <v>1.3</v>
          </cell>
          <cell r="N500">
            <v>99.84</v>
          </cell>
          <cell r="O500">
            <v>9.98</v>
          </cell>
          <cell r="P500">
            <v>960</v>
          </cell>
          <cell r="Q500">
            <v>96</v>
          </cell>
          <cell r="R500">
            <v>9.98</v>
          </cell>
          <cell r="S500">
            <v>1</v>
          </cell>
        </row>
        <row r="501">
          <cell r="D501">
            <v>2</v>
          </cell>
          <cell r="K501">
            <v>1.8</v>
          </cell>
          <cell r="N501">
            <v>103.68</v>
          </cell>
          <cell r="O501">
            <v>10.37</v>
          </cell>
          <cell r="P501">
            <v>1280</v>
          </cell>
          <cell r="Q501">
            <v>128</v>
          </cell>
          <cell r="R501">
            <v>20.74</v>
          </cell>
          <cell r="S501">
            <v>2.0699999999999998</v>
          </cell>
        </row>
        <row r="502">
          <cell r="D502">
            <v>4</v>
          </cell>
          <cell r="K502">
            <v>1.5</v>
          </cell>
          <cell r="N502">
            <v>120</v>
          </cell>
          <cell r="O502">
            <v>12</v>
          </cell>
          <cell r="P502">
            <v>921.6</v>
          </cell>
          <cell r="Q502">
            <v>92.16</v>
          </cell>
          <cell r="R502">
            <v>12</v>
          </cell>
          <cell r="S502">
            <v>1.2</v>
          </cell>
        </row>
        <row r="503">
          <cell r="D503">
            <v>3</v>
          </cell>
          <cell r="K503">
            <v>1.3</v>
          </cell>
          <cell r="N503">
            <v>91.52</v>
          </cell>
          <cell r="O503">
            <v>9.15</v>
          </cell>
          <cell r="P503">
            <v>1047.27</v>
          </cell>
          <cell r="Q503">
            <v>104.73</v>
          </cell>
          <cell r="R503">
            <v>11.44</v>
          </cell>
          <cell r="S503">
            <v>1.1399999999999999</v>
          </cell>
        </row>
        <row r="504">
          <cell r="D504">
            <v>5</v>
          </cell>
          <cell r="K504">
            <v>1.8</v>
          </cell>
          <cell r="N504">
            <v>126.72</v>
          </cell>
          <cell r="O504">
            <v>12.67</v>
          </cell>
          <cell r="P504">
            <v>1047.27</v>
          </cell>
          <cell r="Q504">
            <v>104.73</v>
          </cell>
          <cell r="R504">
            <v>21.12</v>
          </cell>
          <cell r="S504">
            <v>2.11</v>
          </cell>
        </row>
        <row r="505">
          <cell r="D505">
            <v>2</v>
          </cell>
          <cell r="K505">
            <v>1.6</v>
          </cell>
          <cell r="N505">
            <v>92.16</v>
          </cell>
          <cell r="O505">
            <v>9.2200000000000006</v>
          </cell>
          <cell r="P505">
            <v>1280</v>
          </cell>
          <cell r="Q505">
            <v>128</v>
          </cell>
          <cell r="R505">
            <v>18.43</v>
          </cell>
          <cell r="S505">
            <v>1.84</v>
          </cell>
        </row>
        <row r="506">
          <cell r="D506">
            <v>4</v>
          </cell>
          <cell r="K506">
            <v>1.4</v>
          </cell>
          <cell r="N506">
            <v>116.48</v>
          </cell>
          <cell r="O506">
            <v>11.65</v>
          </cell>
          <cell r="P506">
            <v>886.15</v>
          </cell>
          <cell r="Q506">
            <v>88.62</v>
          </cell>
          <cell r="R506">
            <v>11.65</v>
          </cell>
          <cell r="S506">
            <v>1.1599999999999999</v>
          </cell>
        </row>
        <row r="507">
          <cell r="D507">
            <v>2</v>
          </cell>
          <cell r="K507">
            <v>1.4</v>
          </cell>
          <cell r="N507">
            <v>80.64</v>
          </cell>
          <cell r="O507">
            <v>8.06</v>
          </cell>
          <cell r="P507">
            <v>1280</v>
          </cell>
          <cell r="Q507">
            <v>128</v>
          </cell>
          <cell r="R507">
            <v>16.13</v>
          </cell>
          <cell r="S507">
            <v>1.61</v>
          </cell>
        </row>
        <row r="508">
          <cell r="D508">
            <v>4</v>
          </cell>
          <cell r="K508">
            <v>1.6</v>
          </cell>
          <cell r="N508">
            <v>133.12</v>
          </cell>
          <cell r="O508">
            <v>13.31</v>
          </cell>
          <cell r="P508">
            <v>886.15</v>
          </cell>
          <cell r="Q508">
            <v>88.62</v>
          </cell>
          <cell r="R508">
            <v>13.31</v>
          </cell>
          <cell r="S508">
            <v>1.33</v>
          </cell>
        </row>
        <row r="509">
          <cell r="D509">
            <v>5</v>
          </cell>
          <cell r="K509">
            <v>1.6</v>
          </cell>
          <cell r="N509">
            <v>122.88</v>
          </cell>
          <cell r="O509">
            <v>12.29</v>
          </cell>
          <cell r="P509">
            <v>960</v>
          </cell>
          <cell r="Q509">
            <v>96</v>
          </cell>
          <cell r="R509">
            <v>20.48</v>
          </cell>
          <cell r="S509">
            <v>2.0499999999999998</v>
          </cell>
        </row>
        <row r="510">
          <cell r="D510">
            <v>3</v>
          </cell>
          <cell r="K510">
            <v>1.4</v>
          </cell>
          <cell r="N510">
            <v>103.04</v>
          </cell>
          <cell r="O510">
            <v>10.3</v>
          </cell>
          <cell r="P510">
            <v>1001.74</v>
          </cell>
          <cell r="Q510">
            <v>100.17</v>
          </cell>
          <cell r="R510">
            <v>12.88</v>
          </cell>
          <cell r="S510">
            <v>1.29</v>
          </cell>
        </row>
        <row r="511">
          <cell r="D511">
            <v>2</v>
          </cell>
          <cell r="K511">
            <v>1.3</v>
          </cell>
          <cell r="N511">
            <v>74.88</v>
          </cell>
          <cell r="O511">
            <v>7.49</v>
          </cell>
          <cell r="P511">
            <v>1280</v>
          </cell>
          <cell r="Q511">
            <v>128</v>
          </cell>
          <cell r="R511">
            <v>14.98</v>
          </cell>
          <cell r="S511">
            <v>1.5</v>
          </cell>
        </row>
        <row r="512">
          <cell r="D512">
            <v>4</v>
          </cell>
          <cell r="K512">
            <v>1.3</v>
          </cell>
          <cell r="N512">
            <v>99.84</v>
          </cell>
          <cell r="O512">
            <v>9.98</v>
          </cell>
          <cell r="P512">
            <v>960</v>
          </cell>
          <cell r="Q512">
            <v>96</v>
          </cell>
          <cell r="R512">
            <v>9.98</v>
          </cell>
          <cell r="S512">
            <v>1</v>
          </cell>
        </row>
        <row r="513">
          <cell r="D513">
            <v>2</v>
          </cell>
          <cell r="K513">
            <v>1.8</v>
          </cell>
          <cell r="N513">
            <v>103.68</v>
          </cell>
          <cell r="O513">
            <v>10.37</v>
          </cell>
          <cell r="P513">
            <v>1280</v>
          </cell>
          <cell r="Q513">
            <v>128</v>
          </cell>
          <cell r="R513">
            <v>20.74</v>
          </cell>
          <cell r="S513">
            <v>2.0699999999999998</v>
          </cell>
        </row>
        <row r="514">
          <cell r="D514">
            <v>4</v>
          </cell>
          <cell r="K514">
            <v>1.5</v>
          </cell>
          <cell r="N514">
            <v>120</v>
          </cell>
          <cell r="O514">
            <v>12</v>
          </cell>
          <cell r="P514">
            <v>921.6</v>
          </cell>
          <cell r="Q514">
            <v>92.16</v>
          </cell>
          <cell r="R514">
            <v>12</v>
          </cell>
          <cell r="S514">
            <v>1.2</v>
          </cell>
        </row>
        <row r="515">
          <cell r="D515">
            <v>3</v>
          </cell>
          <cell r="K515">
            <v>1.3</v>
          </cell>
          <cell r="N515">
            <v>91.52</v>
          </cell>
          <cell r="O515">
            <v>9.15</v>
          </cell>
          <cell r="P515">
            <v>1047.27</v>
          </cell>
          <cell r="Q515">
            <v>104.73</v>
          </cell>
          <cell r="R515">
            <v>11.44</v>
          </cell>
          <cell r="S515">
            <v>1.1399999999999999</v>
          </cell>
        </row>
        <row r="516">
          <cell r="D516">
            <v>5</v>
          </cell>
          <cell r="K516">
            <v>1.8</v>
          </cell>
          <cell r="N516">
            <v>126.72</v>
          </cell>
          <cell r="O516">
            <v>12.67</v>
          </cell>
          <cell r="P516">
            <v>1047.27</v>
          </cell>
          <cell r="Q516">
            <v>104.73</v>
          </cell>
          <cell r="R516">
            <v>21.12</v>
          </cell>
          <cell r="S516">
            <v>2.11</v>
          </cell>
        </row>
        <row r="517">
          <cell r="D517">
            <v>2</v>
          </cell>
          <cell r="K517">
            <v>1.6</v>
          </cell>
          <cell r="N517">
            <v>92.16</v>
          </cell>
          <cell r="O517">
            <v>9.2200000000000006</v>
          </cell>
          <cell r="P517">
            <v>1280</v>
          </cell>
          <cell r="Q517">
            <v>128</v>
          </cell>
          <cell r="R517">
            <v>18.43</v>
          </cell>
          <cell r="S517">
            <v>1.84</v>
          </cell>
        </row>
        <row r="518">
          <cell r="D518">
            <v>4</v>
          </cell>
          <cell r="K518">
            <v>1.4</v>
          </cell>
          <cell r="N518">
            <v>116.48</v>
          </cell>
          <cell r="O518">
            <v>11.65</v>
          </cell>
          <cell r="P518">
            <v>886.15</v>
          </cell>
          <cell r="Q518">
            <v>88.62</v>
          </cell>
          <cell r="R518">
            <v>11.65</v>
          </cell>
          <cell r="S518">
            <v>1.1599999999999999</v>
          </cell>
        </row>
        <row r="519">
          <cell r="D519">
            <v>2</v>
          </cell>
          <cell r="K519">
            <v>1.4</v>
          </cell>
          <cell r="N519">
            <v>80.64</v>
          </cell>
          <cell r="O519">
            <v>8.06</v>
          </cell>
          <cell r="P519">
            <v>1280</v>
          </cell>
          <cell r="Q519">
            <v>128</v>
          </cell>
          <cell r="R519">
            <v>16.13</v>
          </cell>
          <cell r="S519">
            <v>1.61</v>
          </cell>
        </row>
        <row r="520">
          <cell r="D520">
            <v>4</v>
          </cell>
          <cell r="K520">
            <v>1.6</v>
          </cell>
          <cell r="N520">
            <v>133.12</v>
          </cell>
          <cell r="O520">
            <v>13.31</v>
          </cell>
          <cell r="P520">
            <v>886.15</v>
          </cell>
          <cell r="Q520">
            <v>88.62</v>
          </cell>
          <cell r="R520">
            <v>13.31</v>
          </cell>
          <cell r="S520">
            <v>1.33</v>
          </cell>
        </row>
        <row r="521">
          <cell r="D521">
            <v>5</v>
          </cell>
          <cell r="K521">
            <v>1.6</v>
          </cell>
          <cell r="N521">
            <v>122.88</v>
          </cell>
          <cell r="O521">
            <v>12.29</v>
          </cell>
          <cell r="P521">
            <v>960</v>
          </cell>
          <cell r="Q521">
            <v>96</v>
          </cell>
          <cell r="R521">
            <v>20.48</v>
          </cell>
          <cell r="S521">
            <v>2.0499999999999998</v>
          </cell>
        </row>
        <row r="522">
          <cell r="D522">
            <v>3</v>
          </cell>
          <cell r="K522">
            <v>1.4</v>
          </cell>
          <cell r="N522">
            <v>103.04</v>
          </cell>
          <cell r="O522">
            <v>10.3</v>
          </cell>
          <cell r="P522">
            <v>1001.74</v>
          </cell>
          <cell r="Q522">
            <v>100.17</v>
          </cell>
          <cell r="R522">
            <v>12.88</v>
          </cell>
          <cell r="S522">
            <v>1.29</v>
          </cell>
        </row>
        <row r="523">
          <cell r="D523">
            <v>2</v>
          </cell>
          <cell r="K523">
            <v>1.3</v>
          </cell>
          <cell r="N523">
            <v>74.88</v>
          </cell>
          <cell r="O523">
            <v>7.49</v>
          </cell>
          <cell r="P523">
            <v>1280</v>
          </cell>
          <cell r="Q523">
            <v>128</v>
          </cell>
          <cell r="R523">
            <v>14.98</v>
          </cell>
          <cell r="S523">
            <v>1.5</v>
          </cell>
        </row>
        <row r="524">
          <cell r="D524">
            <v>4</v>
          </cell>
          <cell r="K524">
            <v>1.3</v>
          </cell>
          <cell r="N524">
            <v>99.84</v>
          </cell>
          <cell r="O524">
            <v>9.98</v>
          </cell>
          <cell r="P524">
            <v>960</v>
          </cell>
          <cell r="Q524">
            <v>96</v>
          </cell>
          <cell r="R524">
            <v>9.98</v>
          </cell>
          <cell r="S524">
            <v>1</v>
          </cell>
        </row>
        <row r="525">
          <cell r="D525">
            <v>2</v>
          </cell>
          <cell r="K525">
            <v>1.8</v>
          </cell>
          <cell r="N525">
            <v>103.68</v>
          </cell>
          <cell r="O525">
            <v>10.37</v>
          </cell>
          <cell r="P525">
            <v>1280</v>
          </cell>
          <cell r="Q525">
            <v>128</v>
          </cell>
          <cell r="R525">
            <v>20.74</v>
          </cell>
          <cell r="S525">
            <v>2.0699999999999998</v>
          </cell>
        </row>
        <row r="526">
          <cell r="D526">
            <v>4</v>
          </cell>
          <cell r="K526">
            <v>1.5</v>
          </cell>
          <cell r="N526">
            <v>120</v>
          </cell>
          <cell r="O526">
            <v>12</v>
          </cell>
          <cell r="P526">
            <v>921.6</v>
          </cell>
          <cell r="Q526">
            <v>92.16</v>
          </cell>
          <cell r="R526">
            <v>12</v>
          </cell>
          <cell r="S526">
            <v>1.2</v>
          </cell>
        </row>
        <row r="527">
          <cell r="D527">
            <v>3</v>
          </cell>
          <cell r="K527">
            <v>1.3</v>
          </cell>
          <cell r="N527">
            <v>91.52</v>
          </cell>
          <cell r="O527">
            <v>9.15</v>
          </cell>
          <cell r="P527">
            <v>1047.27</v>
          </cell>
          <cell r="Q527">
            <v>104.73</v>
          </cell>
          <cell r="R527">
            <v>11.44</v>
          </cell>
          <cell r="S527">
            <v>1.1399999999999999</v>
          </cell>
        </row>
        <row r="528">
          <cell r="D528">
            <v>5</v>
          </cell>
          <cell r="K528">
            <v>1.8</v>
          </cell>
          <cell r="N528">
            <v>126.72</v>
          </cell>
          <cell r="O528">
            <v>12.67</v>
          </cell>
          <cell r="P528">
            <v>1047.27</v>
          </cell>
          <cell r="Q528">
            <v>104.73</v>
          </cell>
          <cell r="R528">
            <v>21.12</v>
          </cell>
          <cell r="S528">
            <v>2.11</v>
          </cell>
        </row>
        <row r="529">
          <cell r="D529">
            <v>2</v>
          </cell>
          <cell r="K529">
            <v>1.6</v>
          </cell>
          <cell r="N529">
            <v>92.16</v>
          </cell>
          <cell r="O529">
            <v>9.2200000000000006</v>
          </cell>
          <cell r="P529">
            <v>1280</v>
          </cell>
          <cell r="Q529">
            <v>128</v>
          </cell>
          <cell r="R529">
            <v>18.43</v>
          </cell>
          <cell r="S529">
            <v>1.84</v>
          </cell>
        </row>
        <row r="530">
          <cell r="D530">
            <v>4</v>
          </cell>
          <cell r="K530">
            <v>1.4</v>
          </cell>
          <cell r="N530">
            <v>116.48</v>
          </cell>
          <cell r="O530">
            <v>11.65</v>
          </cell>
          <cell r="P530">
            <v>886.15</v>
          </cell>
          <cell r="Q530">
            <v>88.62</v>
          </cell>
          <cell r="R530">
            <v>11.65</v>
          </cell>
          <cell r="S530">
            <v>1.1599999999999999</v>
          </cell>
        </row>
        <row r="531">
          <cell r="D531">
            <v>2</v>
          </cell>
          <cell r="K531">
            <v>1.4</v>
          </cell>
          <cell r="N531">
            <v>80.64</v>
          </cell>
          <cell r="O531">
            <v>8.06</v>
          </cell>
          <cell r="P531">
            <v>1280</v>
          </cell>
          <cell r="Q531">
            <v>128</v>
          </cell>
          <cell r="R531">
            <v>16.13</v>
          </cell>
          <cell r="S531">
            <v>1.61</v>
          </cell>
        </row>
        <row r="532">
          <cell r="D532">
            <v>4</v>
          </cell>
          <cell r="K532">
            <v>1.6</v>
          </cell>
          <cell r="N532">
            <v>133.12</v>
          </cell>
          <cell r="O532">
            <v>13.31</v>
          </cell>
          <cell r="P532">
            <v>886.15</v>
          </cell>
          <cell r="Q532">
            <v>88.62</v>
          </cell>
          <cell r="R532">
            <v>13.31</v>
          </cell>
          <cell r="S532">
            <v>1.33</v>
          </cell>
        </row>
        <row r="533">
          <cell r="D533">
            <v>5</v>
          </cell>
          <cell r="K533">
            <v>1.6</v>
          </cell>
          <cell r="N533">
            <v>122.88</v>
          </cell>
          <cell r="O533">
            <v>12.29</v>
          </cell>
          <cell r="P533">
            <v>960</v>
          </cell>
          <cell r="Q533">
            <v>96</v>
          </cell>
          <cell r="R533">
            <v>20.48</v>
          </cell>
          <cell r="S533">
            <v>2.0499999999999998</v>
          </cell>
        </row>
        <row r="534">
          <cell r="D534">
            <v>3</v>
          </cell>
          <cell r="K534">
            <v>1.4</v>
          </cell>
          <cell r="N534">
            <v>103.04</v>
          </cell>
          <cell r="O534">
            <v>10.3</v>
          </cell>
          <cell r="P534">
            <v>1001.74</v>
          </cell>
          <cell r="Q534">
            <v>100.17</v>
          </cell>
          <cell r="R534">
            <v>12.88</v>
          </cell>
          <cell r="S534">
            <v>1.29</v>
          </cell>
        </row>
        <row r="535">
          <cell r="D535">
            <v>2</v>
          </cell>
          <cell r="K535">
            <v>1.3</v>
          </cell>
          <cell r="N535">
            <v>74.88</v>
          </cell>
          <cell r="O535">
            <v>7.49</v>
          </cell>
          <cell r="P535">
            <v>1280</v>
          </cell>
          <cell r="Q535">
            <v>128</v>
          </cell>
          <cell r="R535">
            <v>14.98</v>
          </cell>
          <cell r="S535">
            <v>1.5</v>
          </cell>
        </row>
        <row r="536">
          <cell r="D536">
            <v>4</v>
          </cell>
          <cell r="K536">
            <v>1.3</v>
          </cell>
          <cell r="N536">
            <v>99.84</v>
          </cell>
          <cell r="O536">
            <v>9.98</v>
          </cell>
          <cell r="P536">
            <v>960</v>
          </cell>
          <cell r="Q536">
            <v>96</v>
          </cell>
          <cell r="R536">
            <v>9.98</v>
          </cell>
          <cell r="S536">
            <v>1</v>
          </cell>
        </row>
        <row r="537">
          <cell r="D537">
            <v>2</v>
          </cell>
          <cell r="K537">
            <v>1.8</v>
          </cell>
          <cell r="N537">
            <v>103.68</v>
          </cell>
          <cell r="O537">
            <v>10.37</v>
          </cell>
          <cell r="P537">
            <v>1280</v>
          </cell>
          <cell r="Q537">
            <v>128</v>
          </cell>
          <cell r="R537">
            <v>20.74</v>
          </cell>
          <cell r="S537">
            <v>2.0699999999999998</v>
          </cell>
        </row>
        <row r="538">
          <cell r="D538">
            <v>4</v>
          </cell>
          <cell r="K538">
            <v>1.5</v>
          </cell>
          <cell r="N538">
            <v>120</v>
          </cell>
          <cell r="O538">
            <v>12</v>
          </cell>
          <cell r="P538">
            <v>921.6</v>
          </cell>
          <cell r="Q538">
            <v>92.16</v>
          </cell>
          <cell r="R538">
            <v>12</v>
          </cell>
          <cell r="S538">
            <v>1.2</v>
          </cell>
        </row>
        <row r="539">
          <cell r="D539">
            <v>3</v>
          </cell>
          <cell r="K539">
            <v>1.3</v>
          </cell>
          <cell r="N539">
            <v>91.52</v>
          </cell>
          <cell r="O539">
            <v>9.15</v>
          </cell>
          <cell r="P539">
            <v>1047.27</v>
          </cell>
          <cell r="Q539">
            <v>104.73</v>
          </cell>
          <cell r="R539">
            <v>11.44</v>
          </cell>
          <cell r="S539">
            <v>1.1399999999999999</v>
          </cell>
        </row>
        <row r="540">
          <cell r="D540">
            <v>5</v>
          </cell>
          <cell r="K540">
            <v>1.8</v>
          </cell>
          <cell r="N540">
            <v>126.72</v>
          </cell>
          <cell r="O540">
            <v>12.67</v>
          </cell>
          <cell r="P540">
            <v>1047.27</v>
          </cell>
          <cell r="Q540">
            <v>104.73</v>
          </cell>
          <cell r="R540">
            <v>21.12</v>
          </cell>
          <cell r="S540">
            <v>2.11</v>
          </cell>
        </row>
        <row r="541">
          <cell r="D541">
            <v>2</v>
          </cell>
          <cell r="K541">
            <v>1.6</v>
          </cell>
          <cell r="N541">
            <v>92.16</v>
          </cell>
          <cell r="O541">
            <v>9.2200000000000006</v>
          </cell>
          <cell r="P541">
            <v>1280</v>
          </cell>
          <cell r="Q541">
            <v>128</v>
          </cell>
          <cell r="R541">
            <v>18.43</v>
          </cell>
          <cell r="S541">
            <v>1.84</v>
          </cell>
        </row>
        <row r="542">
          <cell r="D542">
            <v>4</v>
          </cell>
          <cell r="K542">
            <v>1.4</v>
          </cell>
          <cell r="N542">
            <v>116.48</v>
          </cell>
          <cell r="O542">
            <v>11.65</v>
          </cell>
          <cell r="P542">
            <v>886.15</v>
          </cell>
          <cell r="Q542">
            <v>88.62</v>
          </cell>
          <cell r="R542">
            <v>11.65</v>
          </cell>
          <cell r="S542">
            <v>1.1599999999999999</v>
          </cell>
        </row>
        <row r="543">
          <cell r="D543">
            <v>2</v>
          </cell>
          <cell r="K543">
            <v>1.4</v>
          </cell>
          <cell r="N543">
            <v>80.64</v>
          </cell>
          <cell r="O543">
            <v>8.06</v>
          </cell>
          <cell r="P543">
            <v>1280</v>
          </cell>
          <cell r="Q543">
            <v>128</v>
          </cell>
          <cell r="R543">
            <v>16.13</v>
          </cell>
          <cell r="S543">
            <v>1.61</v>
          </cell>
        </row>
        <row r="544">
          <cell r="D544">
            <v>4</v>
          </cell>
          <cell r="K544">
            <v>1.6</v>
          </cell>
          <cell r="N544">
            <v>133.12</v>
          </cell>
          <cell r="O544">
            <v>13.31</v>
          </cell>
          <cell r="P544">
            <v>886.15</v>
          </cell>
          <cell r="Q544">
            <v>88.62</v>
          </cell>
          <cell r="R544">
            <v>13.31</v>
          </cell>
          <cell r="S544">
            <v>1.33</v>
          </cell>
        </row>
        <row r="545">
          <cell r="D545">
            <v>5</v>
          </cell>
          <cell r="K545">
            <v>1.6</v>
          </cell>
          <cell r="N545">
            <v>122.88</v>
          </cell>
          <cell r="O545">
            <v>12.29</v>
          </cell>
          <cell r="P545">
            <v>960</v>
          </cell>
          <cell r="Q545">
            <v>96</v>
          </cell>
          <cell r="R545">
            <v>20.48</v>
          </cell>
          <cell r="S545">
            <v>2.0499999999999998</v>
          </cell>
        </row>
        <row r="546">
          <cell r="D546">
            <v>3</v>
          </cell>
          <cell r="K546">
            <v>1.4</v>
          </cell>
          <cell r="N546">
            <v>103.04</v>
          </cell>
          <cell r="O546">
            <v>10.3</v>
          </cell>
          <cell r="P546">
            <v>1001.74</v>
          </cell>
          <cell r="Q546">
            <v>100.17</v>
          </cell>
          <cell r="R546">
            <v>12.88</v>
          </cell>
          <cell r="S546">
            <v>1.29</v>
          </cell>
        </row>
        <row r="547">
          <cell r="D547">
            <v>2</v>
          </cell>
          <cell r="K547">
            <v>1.3</v>
          </cell>
          <cell r="N547">
            <v>87.36</v>
          </cell>
          <cell r="O547">
            <v>8.74</v>
          </cell>
          <cell r="P547">
            <v>1493.33</v>
          </cell>
          <cell r="Q547">
            <v>149.33000000000001</v>
          </cell>
          <cell r="R547">
            <v>17.47</v>
          </cell>
          <cell r="S547">
            <v>1.75</v>
          </cell>
        </row>
        <row r="548">
          <cell r="D548">
            <v>4</v>
          </cell>
          <cell r="K548">
            <v>1.3</v>
          </cell>
          <cell r="N548">
            <v>116.48</v>
          </cell>
          <cell r="O548">
            <v>11.65</v>
          </cell>
          <cell r="P548">
            <v>1120</v>
          </cell>
          <cell r="Q548">
            <v>112</v>
          </cell>
          <cell r="R548">
            <v>11.65</v>
          </cell>
          <cell r="S548">
            <v>1.1599999999999999</v>
          </cell>
        </row>
        <row r="549">
          <cell r="D549">
            <v>2</v>
          </cell>
          <cell r="K549">
            <v>1.8</v>
          </cell>
          <cell r="N549">
            <v>120.96</v>
          </cell>
          <cell r="O549">
            <v>12.1</v>
          </cell>
          <cell r="P549">
            <v>1493.33</v>
          </cell>
          <cell r="Q549">
            <v>149.33000000000001</v>
          </cell>
          <cell r="R549">
            <v>24.19</v>
          </cell>
          <cell r="S549">
            <v>2.42</v>
          </cell>
        </row>
        <row r="550">
          <cell r="D550">
            <v>4</v>
          </cell>
          <cell r="K550">
            <v>1.5</v>
          </cell>
          <cell r="N550">
            <v>140</v>
          </cell>
          <cell r="O550">
            <v>14</v>
          </cell>
          <cell r="P550">
            <v>1075.2</v>
          </cell>
          <cell r="Q550">
            <v>107.52</v>
          </cell>
          <cell r="R550">
            <v>14</v>
          </cell>
          <cell r="S550">
            <v>1.4</v>
          </cell>
        </row>
        <row r="551">
          <cell r="D551">
            <v>3</v>
          </cell>
          <cell r="K551">
            <v>1.3</v>
          </cell>
          <cell r="N551">
            <v>106.77</v>
          </cell>
          <cell r="O551">
            <v>10.68</v>
          </cell>
          <cell r="P551">
            <v>1221.82</v>
          </cell>
          <cell r="Q551">
            <v>122.18</v>
          </cell>
          <cell r="R551">
            <v>13.35</v>
          </cell>
          <cell r="S551">
            <v>1.33</v>
          </cell>
        </row>
        <row r="552">
          <cell r="D552">
            <v>5</v>
          </cell>
          <cell r="K552">
            <v>1.8</v>
          </cell>
          <cell r="N552">
            <v>147.84</v>
          </cell>
          <cell r="O552">
            <v>14.78</v>
          </cell>
          <cell r="P552">
            <v>1221.82</v>
          </cell>
          <cell r="Q552">
            <v>122.18</v>
          </cell>
          <cell r="R552">
            <v>24.64</v>
          </cell>
          <cell r="S552">
            <v>2.46</v>
          </cell>
        </row>
        <row r="553">
          <cell r="D553">
            <v>2</v>
          </cell>
          <cell r="K553">
            <v>1.6</v>
          </cell>
          <cell r="N553">
            <v>107.52</v>
          </cell>
          <cell r="O553">
            <v>10.75</v>
          </cell>
          <cell r="P553">
            <v>1493.33</v>
          </cell>
          <cell r="Q553">
            <v>149.33000000000001</v>
          </cell>
          <cell r="R553">
            <v>21.5</v>
          </cell>
          <cell r="S553">
            <v>2.15</v>
          </cell>
        </row>
        <row r="554">
          <cell r="D554">
            <v>4</v>
          </cell>
          <cell r="K554">
            <v>1.4</v>
          </cell>
          <cell r="N554">
            <v>135.88999999999999</v>
          </cell>
          <cell r="O554">
            <v>13.59</v>
          </cell>
          <cell r="P554">
            <v>1033.8499999999999</v>
          </cell>
          <cell r="Q554">
            <v>103.38</v>
          </cell>
          <cell r="R554">
            <v>13.59</v>
          </cell>
          <cell r="S554">
            <v>1.36</v>
          </cell>
        </row>
        <row r="555">
          <cell r="D555">
            <v>2</v>
          </cell>
          <cell r="K555">
            <v>1.4</v>
          </cell>
          <cell r="N555">
            <v>94.08</v>
          </cell>
          <cell r="O555">
            <v>9.41</v>
          </cell>
          <cell r="P555">
            <v>1493.33</v>
          </cell>
          <cell r="Q555">
            <v>149.33000000000001</v>
          </cell>
          <cell r="R555">
            <v>18.82</v>
          </cell>
          <cell r="S555">
            <v>1.88</v>
          </cell>
        </row>
        <row r="556">
          <cell r="D556">
            <v>4</v>
          </cell>
          <cell r="K556">
            <v>1.6</v>
          </cell>
          <cell r="N556">
            <v>155.31</v>
          </cell>
          <cell r="O556">
            <v>15.53</v>
          </cell>
          <cell r="P556">
            <v>1033.8499999999999</v>
          </cell>
          <cell r="Q556">
            <v>103.38</v>
          </cell>
          <cell r="R556">
            <v>15.53</v>
          </cell>
          <cell r="S556">
            <v>1.55</v>
          </cell>
        </row>
        <row r="557">
          <cell r="D557">
            <v>5</v>
          </cell>
          <cell r="K557">
            <v>1.6</v>
          </cell>
          <cell r="N557">
            <v>143.36000000000001</v>
          </cell>
          <cell r="O557">
            <v>14.34</v>
          </cell>
          <cell r="P557">
            <v>1120</v>
          </cell>
          <cell r="Q557">
            <v>112</v>
          </cell>
          <cell r="R557">
            <v>23.89</v>
          </cell>
          <cell r="S557">
            <v>2.39</v>
          </cell>
        </row>
        <row r="558">
          <cell r="D558">
            <v>3</v>
          </cell>
          <cell r="K558">
            <v>1.4</v>
          </cell>
          <cell r="N558">
            <v>120.21</v>
          </cell>
          <cell r="O558">
            <v>12.02</v>
          </cell>
          <cell r="P558">
            <v>1168.7</v>
          </cell>
          <cell r="Q558">
            <v>116.87</v>
          </cell>
          <cell r="R558">
            <v>15.03</v>
          </cell>
          <cell r="S558">
            <v>1.5</v>
          </cell>
        </row>
        <row r="559">
          <cell r="D559">
            <v>2</v>
          </cell>
          <cell r="K559">
            <v>1.3</v>
          </cell>
          <cell r="N559">
            <v>87.36</v>
          </cell>
          <cell r="O559">
            <v>8.74</v>
          </cell>
          <cell r="P559">
            <v>1493.33</v>
          </cell>
          <cell r="Q559">
            <v>149.33000000000001</v>
          </cell>
          <cell r="R559">
            <v>17.47</v>
          </cell>
          <cell r="S559">
            <v>1.75</v>
          </cell>
        </row>
        <row r="560">
          <cell r="D560">
            <v>4</v>
          </cell>
          <cell r="K560">
            <v>1.3</v>
          </cell>
          <cell r="N560">
            <v>116.48</v>
          </cell>
          <cell r="O560">
            <v>11.65</v>
          </cell>
          <cell r="P560">
            <v>1120</v>
          </cell>
          <cell r="Q560">
            <v>112</v>
          </cell>
          <cell r="R560">
            <v>11.65</v>
          </cell>
          <cell r="S560">
            <v>1.1599999999999999</v>
          </cell>
        </row>
        <row r="561">
          <cell r="D561">
            <v>2</v>
          </cell>
          <cell r="K561">
            <v>1.8</v>
          </cell>
          <cell r="N561">
            <v>120.96</v>
          </cell>
          <cell r="O561">
            <v>12.1</v>
          </cell>
          <cell r="P561">
            <v>1493.33</v>
          </cell>
          <cell r="Q561">
            <v>149.33000000000001</v>
          </cell>
          <cell r="R561">
            <v>24.19</v>
          </cell>
          <cell r="S561">
            <v>2.42</v>
          </cell>
        </row>
        <row r="562">
          <cell r="D562">
            <v>4</v>
          </cell>
          <cell r="K562">
            <v>1.5</v>
          </cell>
          <cell r="N562">
            <v>140</v>
          </cell>
          <cell r="O562">
            <v>14</v>
          </cell>
          <cell r="P562">
            <v>1075.2</v>
          </cell>
          <cell r="Q562">
            <v>107.52</v>
          </cell>
          <cell r="R562">
            <v>14</v>
          </cell>
          <cell r="S562">
            <v>1.4</v>
          </cell>
        </row>
        <row r="563">
          <cell r="D563">
            <v>3</v>
          </cell>
          <cell r="K563">
            <v>1.3</v>
          </cell>
          <cell r="N563">
            <v>106.77</v>
          </cell>
          <cell r="O563">
            <v>10.68</v>
          </cell>
          <cell r="P563">
            <v>1221.82</v>
          </cell>
          <cell r="Q563">
            <v>122.18</v>
          </cell>
          <cell r="R563">
            <v>13.35</v>
          </cell>
          <cell r="S563">
            <v>1.33</v>
          </cell>
        </row>
        <row r="564">
          <cell r="D564">
            <v>5</v>
          </cell>
          <cell r="K564">
            <v>1.8</v>
          </cell>
          <cell r="N564">
            <v>147.84</v>
          </cell>
          <cell r="O564">
            <v>14.78</v>
          </cell>
          <cell r="P564">
            <v>1221.82</v>
          </cell>
          <cell r="Q564">
            <v>122.18</v>
          </cell>
          <cell r="R564">
            <v>24.64</v>
          </cell>
          <cell r="S564">
            <v>2.46</v>
          </cell>
        </row>
        <row r="565">
          <cell r="D565">
            <v>2</v>
          </cell>
          <cell r="K565">
            <v>1.6</v>
          </cell>
          <cell r="N565">
            <v>107.52</v>
          </cell>
          <cell r="O565">
            <v>10.75</v>
          </cell>
          <cell r="P565">
            <v>1493.33</v>
          </cell>
          <cell r="Q565">
            <v>149.33000000000001</v>
          </cell>
          <cell r="R565">
            <v>21.5</v>
          </cell>
          <cell r="S565">
            <v>2.15</v>
          </cell>
        </row>
        <row r="566">
          <cell r="D566">
            <v>4</v>
          </cell>
          <cell r="K566">
            <v>1.4</v>
          </cell>
          <cell r="N566">
            <v>135.88999999999999</v>
          </cell>
          <cell r="O566">
            <v>13.59</v>
          </cell>
          <cell r="P566">
            <v>1033.8499999999999</v>
          </cell>
          <cell r="Q566">
            <v>103.38</v>
          </cell>
          <cell r="R566">
            <v>13.59</v>
          </cell>
          <cell r="S566">
            <v>1.36</v>
          </cell>
        </row>
        <row r="567">
          <cell r="D567">
            <v>2</v>
          </cell>
          <cell r="K567">
            <v>1.4</v>
          </cell>
          <cell r="N567">
            <v>94.08</v>
          </cell>
          <cell r="O567">
            <v>9.41</v>
          </cell>
          <cell r="P567">
            <v>1493.33</v>
          </cell>
          <cell r="Q567">
            <v>149.33000000000001</v>
          </cell>
          <cell r="R567">
            <v>18.82</v>
          </cell>
          <cell r="S567">
            <v>1.88</v>
          </cell>
        </row>
        <row r="568">
          <cell r="D568">
            <v>4</v>
          </cell>
          <cell r="K568">
            <v>1.6</v>
          </cell>
          <cell r="N568">
            <v>155.31</v>
          </cell>
          <cell r="O568">
            <v>15.53</v>
          </cell>
          <cell r="P568">
            <v>1033.8499999999999</v>
          </cell>
          <cell r="Q568">
            <v>103.38</v>
          </cell>
          <cell r="R568">
            <v>15.53</v>
          </cell>
          <cell r="S568">
            <v>1.55</v>
          </cell>
        </row>
        <row r="569">
          <cell r="D569">
            <v>5</v>
          </cell>
          <cell r="K569">
            <v>1.6</v>
          </cell>
          <cell r="N569">
            <v>143.36000000000001</v>
          </cell>
          <cell r="O569">
            <v>14.34</v>
          </cell>
          <cell r="P569">
            <v>1120</v>
          </cell>
          <cell r="Q569">
            <v>112</v>
          </cell>
          <cell r="R569">
            <v>23.89</v>
          </cell>
          <cell r="S569">
            <v>2.39</v>
          </cell>
        </row>
        <row r="570">
          <cell r="D570">
            <v>3</v>
          </cell>
          <cell r="K570">
            <v>1.4</v>
          </cell>
          <cell r="N570">
            <v>120.21</v>
          </cell>
          <cell r="O570">
            <v>12.02</v>
          </cell>
          <cell r="P570">
            <v>1168.7</v>
          </cell>
          <cell r="Q570">
            <v>116.87</v>
          </cell>
          <cell r="R570">
            <v>15.03</v>
          </cell>
          <cell r="S570">
            <v>1.5</v>
          </cell>
        </row>
        <row r="571">
          <cell r="D571">
            <v>2</v>
          </cell>
          <cell r="K571">
            <v>1.3</v>
          </cell>
          <cell r="N571">
            <v>87.36</v>
          </cell>
          <cell r="O571">
            <v>8.74</v>
          </cell>
          <cell r="P571">
            <v>1493.33</v>
          </cell>
          <cell r="Q571">
            <v>149.33000000000001</v>
          </cell>
          <cell r="R571">
            <v>17.47</v>
          </cell>
          <cell r="S571">
            <v>1.75</v>
          </cell>
        </row>
        <row r="572">
          <cell r="D572">
            <v>4</v>
          </cell>
          <cell r="K572">
            <v>1.3</v>
          </cell>
          <cell r="N572">
            <v>116.48</v>
          </cell>
          <cell r="O572">
            <v>11.65</v>
          </cell>
          <cell r="P572">
            <v>1120</v>
          </cell>
          <cell r="Q572">
            <v>112</v>
          </cell>
          <cell r="R572">
            <v>11.65</v>
          </cell>
          <cell r="S572">
            <v>1.1599999999999999</v>
          </cell>
        </row>
        <row r="573">
          <cell r="D573">
            <v>2</v>
          </cell>
          <cell r="K573">
            <v>1.8</v>
          </cell>
          <cell r="N573">
            <v>120.96</v>
          </cell>
          <cell r="O573">
            <v>12.1</v>
          </cell>
          <cell r="P573">
            <v>1493.33</v>
          </cell>
          <cell r="Q573">
            <v>149.33000000000001</v>
          </cell>
          <cell r="R573">
            <v>24.19</v>
          </cell>
          <cell r="S573">
            <v>2.42</v>
          </cell>
        </row>
        <row r="574">
          <cell r="D574">
            <v>4</v>
          </cell>
          <cell r="K574">
            <v>1.5</v>
          </cell>
          <cell r="N574">
            <v>140</v>
          </cell>
          <cell r="O574">
            <v>14</v>
          </cell>
          <cell r="P574">
            <v>1075.2</v>
          </cell>
          <cell r="Q574">
            <v>107.52</v>
          </cell>
          <cell r="R574">
            <v>14</v>
          </cell>
          <cell r="S574">
            <v>1.4</v>
          </cell>
        </row>
        <row r="575">
          <cell r="D575">
            <v>3</v>
          </cell>
          <cell r="K575">
            <v>1.3</v>
          </cell>
          <cell r="N575">
            <v>106.77</v>
          </cell>
          <cell r="O575">
            <v>10.68</v>
          </cell>
          <cell r="P575">
            <v>1221.82</v>
          </cell>
          <cell r="Q575">
            <v>122.18</v>
          </cell>
          <cell r="R575">
            <v>13.35</v>
          </cell>
          <cell r="S575">
            <v>1.33</v>
          </cell>
        </row>
        <row r="576">
          <cell r="D576">
            <v>5</v>
          </cell>
          <cell r="K576">
            <v>1.8</v>
          </cell>
          <cell r="N576">
            <v>147.84</v>
          </cell>
          <cell r="O576">
            <v>14.78</v>
          </cell>
          <cell r="P576">
            <v>1221.82</v>
          </cell>
          <cell r="Q576">
            <v>122.18</v>
          </cell>
          <cell r="R576">
            <v>24.64</v>
          </cell>
          <cell r="S576">
            <v>2.46</v>
          </cell>
        </row>
        <row r="577">
          <cell r="D577">
            <v>2</v>
          </cell>
          <cell r="K577">
            <v>1.6</v>
          </cell>
          <cell r="N577">
            <v>107.52</v>
          </cell>
          <cell r="O577">
            <v>10.75</v>
          </cell>
          <cell r="P577">
            <v>1493.33</v>
          </cell>
          <cell r="Q577">
            <v>149.33000000000001</v>
          </cell>
          <cell r="R577">
            <v>21.5</v>
          </cell>
          <cell r="S577">
            <v>2.15</v>
          </cell>
        </row>
        <row r="578">
          <cell r="D578">
            <v>4</v>
          </cell>
          <cell r="K578">
            <v>1.4</v>
          </cell>
          <cell r="N578">
            <v>135.88999999999999</v>
          </cell>
          <cell r="O578">
            <v>13.59</v>
          </cell>
          <cell r="P578">
            <v>1033.8499999999999</v>
          </cell>
          <cell r="Q578">
            <v>103.38</v>
          </cell>
          <cell r="R578">
            <v>13.59</v>
          </cell>
          <cell r="S578">
            <v>1.36</v>
          </cell>
        </row>
        <row r="579">
          <cell r="D579">
            <v>2</v>
          </cell>
          <cell r="K579">
            <v>1.4</v>
          </cell>
          <cell r="N579">
            <v>94.08</v>
          </cell>
          <cell r="O579">
            <v>9.41</v>
          </cell>
          <cell r="P579">
            <v>1493.33</v>
          </cell>
          <cell r="Q579">
            <v>149.33000000000001</v>
          </cell>
          <cell r="R579">
            <v>18.82</v>
          </cell>
          <cell r="S579">
            <v>1.88</v>
          </cell>
        </row>
        <row r="580">
          <cell r="D580">
            <v>4</v>
          </cell>
          <cell r="K580">
            <v>1.6</v>
          </cell>
          <cell r="N580">
            <v>155.31</v>
          </cell>
          <cell r="O580">
            <v>15.53</v>
          </cell>
          <cell r="P580">
            <v>1033.8499999999999</v>
          </cell>
          <cell r="Q580">
            <v>103.38</v>
          </cell>
          <cell r="R580">
            <v>15.53</v>
          </cell>
          <cell r="S580">
            <v>1.55</v>
          </cell>
        </row>
        <row r="581">
          <cell r="D581">
            <v>5</v>
          </cell>
          <cell r="K581">
            <v>1.6</v>
          </cell>
          <cell r="N581">
            <v>143.36000000000001</v>
          </cell>
          <cell r="O581">
            <v>14.34</v>
          </cell>
          <cell r="P581">
            <v>1120</v>
          </cell>
          <cell r="Q581">
            <v>112</v>
          </cell>
          <cell r="R581">
            <v>23.89</v>
          </cell>
          <cell r="S581">
            <v>2.39</v>
          </cell>
        </row>
        <row r="582">
          <cell r="D582">
            <v>3</v>
          </cell>
          <cell r="K582">
            <v>1.4</v>
          </cell>
          <cell r="N582">
            <v>120.21</v>
          </cell>
          <cell r="O582">
            <v>12.02</v>
          </cell>
          <cell r="P582">
            <v>1168.7</v>
          </cell>
          <cell r="Q582">
            <v>116.87</v>
          </cell>
          <cell r="R582">
            <v>15.03</v>
          </cell>
          <cell r="S582">
            <v>1.5</v>
          </cell>
        </row>
        <row r="583">
          <cell r="D583">
            <v>2</v>
          </cell>
          <cell r="K583">
            <v>1.3</v>
          </cell>
          <cell r="N583">
            <v>87.36</v>
          </cell>
          <cell r="O583">
            <v>8.74</v>
          </cell>
          <cell r="P583">
            <v>1493.33</v>
          </cell>
          <cell r="Q583">
            <v>149.33000000000001</v>
          </cell>
          <cell r="R583">
            <v>17.47</v>
          </cell>
          <cell r="S583">
            <v>1.75</v>
          </cell>
        </row>
        <row r="584">
          <cell r="D584">
            <v>4</v>
          </cell>
          <cell r="K584">
            <v>1.3</v>
          </cell>
          <cell r="N584">
            <v>116.48</v>
          </cell>
          <cell r="O584">
            <v>11.65</v>
          </cell>
          <cell r="P584">
            <v>1120</v>
          </cell>
          <cell r="Q584">
            <v>112</v>
          </cell>
          <cell r="R584">
            <v>11.65</v>
          </cell>
          <cell r="S584">
            <v>1.1599999999999999</v>
          </cell>
        </row>
        <row r="585">
          <cell r="D585">
            <v>2</v>
          </cell>
          <cell r="K585">
            <v>1.8</v>
          </cell>
          <cell r="N585">
            <v>120.96</v>
          </cell>
          <cell r="O585">
            <v>12.1</v>
          </cell>
          <cell r="P585">
            <v>1493.33</v>
          </cell>
          <cell r="Q585">
            <v>149.33000000000001</v>
          </cell>
          <cell r="R585">
            <v>24.19</v>
          </cell>
          <cell r="S585">
            <v>2.42</v>
          </cell>
        </row>
        <row r="586">
          <cell r="D586">
            <v>4</v>
          </cell>
          <cell r="K586">
            <v>1.5</v>
          </cell>
          <cell r="N586">
            <v>140</v>
          </cell>
          <cell r="O586">
            <v>14</v>
          </cell>
          <cell r="P586">
            <v>1075.2</v>
          </cell>
          <cell r="Q586">
            <v>107.52</v>
          </cell>
          <cell r="R586">
            <v>14</v>
          </cell>
          <cell r="S586">
            <v>1.4</v>
          </cell>
        </row>
        <row r="587">
          <cell r="D587">
            <v>3</v>
          </cell>
          <cell r="K587">
            <v>1.3</v>
          </cell>
          <cell r="N587">
            <v>106.77</v>
          </cell>
          <cell r="O587">
            <v>10.68</v>
          </cell>
          <cell r="P587">
            <v>1221.82</v>
          </cell>
          <cell r="Q587">
            <v>122.18</v>
          </cell>
          <cell r="R587">
            <v>13.35</v>
          </cell>
          <cell r="S587">
            <v>1.33</v>
          </cell>
        </row>
        <row r="588">
          <cell r="D588">
            <v>5</v>
          </cell>
          <cell r="K588">
            <v>1.8</v>
          </cell>
          <cell r="N588">
            <v>147.84</v>
          </cell>
          <cell r="O588">
            <v>14.78</v>
          </cell>
          <cell r="P588">
            <v>1221.82</v>
          </cell>
          <cell r="Q588">
            <v>122.18</v>
          </cell>
          <cell r="R588">
            <v>24.64</v>
          </cell>
          <cell r="S588">
            <v>2.46</v>
          </cell>
        </row>
        <row r="589">
          <cell r="D589">
            <v>2</v>
          </cell>
          <cell r="K589">
            <v>1.6</v>
          </cell>
          <cell r="N589">
            <v>107.52</v>
          </cell>
          <cell r="O589">
            <v>10.75</v>
          </cell>
          <cell r="P589">
            <v>1493.33</v>
          </cell>
          <cell r="Q589">
            <v>149.33000000000001</v>
          </cell>
          <cell r="R589">
            <v>21.5</v>
          </cell>
          <cell r="S589">
            <v>2.15</v>
          </cell>
        </row>
        <row r="590">
          <cell r="D590">
            <v>4</v>
          </cell>
          <cell r="K590">
            <v>1.4</v>
          </cell>
          <cell r="N590">
            <v>135.88999999999999</v>
          </cell>
          <cell r="O590">
            <v>13.59</v>
          </cell>
          <cell r="P590">
            <v>1033.8499999999999</v>
          </cell>
          <cell r="Q590">
            <v>103.38</v>
          </cell>
          <cell r="R590">
            <v>13.59</v>
          </cell>
          <cell r="S590">
            <v>1.36</v>
          </cell>
        </row>
        <row r="591">
          <cell r="D591">
            <v>2</v>
          </cell>
          <cell r="K591">
            <v>1.4</v>
          </cell>
          <cell r="N591">
            <v>94.08</v>
          </cell>
          <cell r="O591">
            <v>9.41</v>
          </cell>
          <cell r="P591">
            <v>1493.33</v>
          </cell>
          <cell r="Q591">
            <v>149.33000000000001</v>
          </cell>
          <cell r="R591">
            <v>18.82</v>
          </cell>
          <cell r="S591">
            <v>1.88</v>
          </cell>
        </row>
        <row r="592">
          <cell r="D592">
            <v>4</v>
          </cell>
          <cell r="K592">
            <v>1.6</v>
          </cell>
          <cell r="N592">
            <v>155.31</v>
          </cell>
          <cell r="O592">
            <v>15.53</v>
          </cell>
          <cell r="P592">
            <v>1033.8499999999999</v>
          </cell>
          <cell r="Q592">
            <v>103.38</v>
          </cell>
          <cell r="R592">
            <v>15.53</v>
          </cell>
          <cell r="S592">
            <v>1.55</v>
          </cell>
        </row>
        <row r="593">
          <cell r="D593">
            <v>5</v>
          </cell>
          <cell r="K593">
            <v>1.6</v>
          </cell>
          <cell r="N593">
            <v>143.36000000000001</v>
          </cell>
          <cell r="O593">
            <v>14.34</v>
          </cell>
          <cell r="P593">
            <v>1120</v>
          </cell>
          <cell r="Q593">
            <v>112</v>
          </cell>
          <cell r="R593">
            <v>23.89</v>
          </cell>
          <cell r="S593">
            <v>2.39</v>
          </cell>
        </row>
        <row r="594">
          <cell r="D594">
            <v>3</v>
          </cell>
          <cell r="K594">
            <v>1.4</v>
          </cell>
          <cell r="N594">
            <v>120.21</v>
          </cell>
          <cell r="O594">
            <v>12.02</v>
          </cell>
          <cell r="P594">
            <v>1168.7</v>
          </cell>
          <cell r="Q594">
            <v>116.87</v>
          </cell>
          <cell r="R594">
            <v>15.03</v>
          </cell>
          <cell r="S594">
            <v>1.5</v>
          </cell>
        </row>
        <row r="595">
          <cell r="D595">
            <v>2</v>
          </cell>
          <cell r="K595">
            <v>1.3</v>
          </cell>
          <cell r="N595">
            <v>87.36</v>
          </cell>
          <cell r="O595">
            <v>8.74</v>
          </cell>
          <cell r="P595">
            <v>1493.33</v>
          </cell>
          <cell r="Q595">
            <v>149.33000000000001</v>
          </cell>
          <cell r="R595">
            <v>17.47</v>
          </cell>
          <cell r="S595">
            <v>1.75</v>
          </cell>
        </row>
        <row r="596">
          <cell r="D596">
            <v>4</v>
          </cell>
          <cell r="K596">
            <v>1.3</v>
          </cell>
          <cell r="N596">
            <v>116.48</v>
          </cell>
          <cell r="O596">
            <v>11.65</v>
          </cell>
          <cell r="P596">
            <v>1120</v>
          </cell>
          <cell r="Q596">
            <v>112</v>
          </cell>
          <cell r="R596">
            <v>11.65</v>
          </cell>
          <cell r="S596">
            <v>1.1599999999999999</v>
          </cell>
        </row>
        <row r="597">
          <cell r="D597">
            <v>2</v>
          </cell>
          <cell r="K597">
            <v>1.8</v>
          </cell>
          <cell r="N597">
            <v>120.96</v>
          </cell>
          <cell r="O597">
            <v>12.1</v>
          </cell>
          <cell r="P597">
            <v>1493.33</v>
          </cell>
          <cell r="Q597">
            <v>149.33000000000001</v>
          </cell>
          <cell r="R597">
            <v>24.19</v>
          </cell>
          <cell r="S597">
            <v>2.42</v>
          </cell>
        </row>
        <row r="598">
          <cell r="D598">
            <v>4</v>
          </cell>
          <cell r="K598">
            <v>1.5</v>
          </cell>
          <cell r="N598">
            <v>140</v>
          </cell>
          <cell r="O598">
            <v>14</v>
          </cell>
          <cell r="P598">
            <v>1075.2</v>
          </cell>
          <cell r="Q598">
            <v>107.52</v>
          </cell>
          <cell r="R598">
            <v>14</v>
          </cell>
          <cell r="S598">
            <v>1.4</v>
          </cell>
        </row>
        <row r="599">
          <cell r="D599">
            <v>3</v>
          </cell>
          <cell r="K599">
            <v>1.3</v>
          </cell>
          <cell r="N599">
            <v>106.77</v>
          </cell>
          <cell r="O599">
            <v>10.68</v>
          </cell>
          <cell r="P599">
            <v>1221.82</v>
          </cell>
          <cell r="Q599">
            <v>122.18</v>
          </cell>
          <cell r="R599">
            <v>13.35</v>
          </cell>
          <cell r="S599">
            <v>1.33</v>
          </cell>
        </row>
        <row r="600">
          <cell r="D600">
            <v>5</v>
          </cell>
          <cell r="K600">
            <v>1.8</v>
          </cell>
          <cell r="N600">
            <v>147.84</v>
          </cell>
          <cell r="O600">
            <v>14.78</v>
          </cell>
          <cell r="P600">
            <v>1221.82</v>
          </cell>
          <cell r="Q600">
            <v>122.18</v>
          </cell>
          <cell r="R600">
            <v>24.64</v>
          </cell>
          <cell r="S600">
            <v>2.46</v>
          </cell>
        </row>
        <row r="601">
          <cell r="D601">
            <v>2</v>
          </cell>
          <cell r="K601">
            <v>1.6</v>
          </cell>
          <cell r="N601">
            <v>107.52</v>
          </cell>
          <cell r="O601">
            <v>10.75</v>
          </cell>
          <cell r="P601">
            <v>1493.33</v>
          </cell>
          <cell r="Q601">
            <v>149.33000000000001</v>
          </cell>
          <cell r="R601">
            <v>21.5</v>
          </cell>
          <cell r="S601">
            <v>2.15</v>
          </cell>
        </row>
        <row r="602">
          <cell r="D602">
            <v>4</v>
          </cell>
          <cell r="K602">
            <v>1.4</v>
          </cell>
          <cell r="N602">
            <v>135.88999999999999</v>
          </cell>
          <cell r="O602">
            <v>13.59</v>
          </cell>
          <cell r="P602">
            <v>1033.8499999999999</v>
          </cell>
          <cell r="Q602">
            <v>103.38</v>
          </cell>
          <cell r="R602">
            <v>13.59</v>
          </cell>
          <cell r="S602">
            <v>1.36</v>
          </cell>
        </row>
        <row r="603">
          <cell r="D603">
            <v>2</v>
          </cell>
          <cell r="K603">
            <v>1.4</v>
          </cell>
          <cell r="N603">
            <v>94.08</v>
          </cell>
          <cell r="O603">
            <v>9.41</v>
          </cell>
          <cell r="P603">
            <v>1493.33</v>
          </cell>
          <cell r="Q603">
            <v>149.33000000000001</v>
          </cell>
          <cell r="R603">
            <v>18.82</v>
          </cell>
          <cell r="S603">
            <v>1.88</v>
          </cell>
        </row>
        <row r="604">
          <cell r="D604">
            <v>4</v>
          </cell>
          <cell r="K604">
            <v>1.6</v>
          </cell>
          <cell r="N604">
            <v>155.31</v>
          </cell>
          <cell r="O604">
            <v>15.53</v>
          </cell>
          <cell r="P604">
            <v>1033.8499999999999</v>
          </cell>
          <cell r="Q604">
            <v>103.38</v>
          </cell>
          <cell r="R604">
            <v>15.53</v>
          </cell>
          <cell r="S604">
            <v>1.55</v>
          </cell>
        </row>
        <row r="605">
          <cell r="D605">
            <v>5</v>
          </cell>
          <cell r="K605">
            <v>1.6</v>
          </cell>
          <cell r="N605">
            <v>143.36000000000001</v>
          </cell>
          <cell r="O605">
            <v>14.34</v>
          </cell>
          <cell r="P605">
            <v>1120</v>
          </cell>
          <cell r="Q605">
            <v>112</v>
          </cell>
          <cell r="R605">
            <v>23.89</v>
          </cell>
          <cell r="S605">
            <v>2.39</v>
          </cell>
        </row>
        <row r="606">
          <cell r="D606">
            <v>3</v>
          </cell>
          <cell r="K606">
            <v>1.4</v>
          </cell>
          <cell r="N606">
            <v>120.21</v>
          </cell>
          <cell r="O606">
            <v>12.02</v>
          </cell>
          <cell r="P606">
            <v>1168.7</v>
          </cell>
          <cell r="Q606">
            <v>116.87</v>
          </cell>
          <cell r="R606">
            <v>15.03</v>
          </cell>
          <cell r="S606">
            <v>1.5</v>
          </cell>
        </row>
        <row r="607">
          <cell r="D607">
            <v>2</v>
          </cell>
          <cell r="K607">
            <v>1.6</v>
          </cell>
          <cell r="N607">
            <v>85.33</v>
          </cell>
          <cell r="O607">
            <v>8.5299999999999994</v>
          </cell>
          <cell r="P607">
            <v>960</v>
          </cell>
          <cell r="Q607">
            <v>96</v>
          </cell>
          <cell r="R607">
            <v>28.44</v>
          </cell>
          <cell r="S607">
            <v>2.84</v>
          </cell>
        </row>
        <row r="608">
          <cell r="D608">
            <v>2</v>
          </cell>
          <cell r="K608">
            <v>1.6</v>
          </cell>
          <cell r="N608">
            <v>85.33</v>
          </cell>
          <cell r="O608">
            <v>8.5299999999999994</v>
          </cell>
          <cell r="P608">
            <v>960</v>
          </cell>
          <cell r="Q608">
            <v>96</v>
          </cell>
          <cell r="R608">
            <v>28.44</v>
          </cell>
          <cell r="S608">
            <v>2.84</v>
          </cell>
        </row>
        <row r="609">
          <cell r="D609">
            <v>2</v>
          </cell>
          <cell r="K609">
            <v>1.6</v>
          </cell>
          <cell r="N609">
            <v>85.33</v>
          </cell>
          <cell r="O609">
            <v>8.5299999999999994</v>
          </cell>
          <cell r="P609">
            <v>960</v>
          </cell>
          <cell r="Q609">
            <v>96</v>
          </cell>
          <cell r="R609">
            <v>28.44</v>
          </cell>
          <cell r="S609">
            <v>2.84</v>
          </cell>
        </row>
        <row r="610">
          <cell r="D610">
            <v>2</v>
          </cell>
          <cell r="K610">
            <v>1.6</v>
          </cell>
          <cell r="N610">
            <v>85.33</v>
          </cell>
          <cell r="O610">
            <v>8.5299999999999994</v>
          </cell>
          <cell r="P610">
            <v>960</v>
          </cell>
          <cell r="Q610">
            <v>96</v>
          </cell>
          <cell r="R610">
            <v>28.44</v>
          </cell>
          <cell r="S610">
            <v>2.84</v>
          </cell>
        </row>
        <row r="611">
          <cell r="D611">
            <v>2</v>
          </cell>
          <cell r="K611">
            <v>1.6</v>
          </cell>
          <cell r="N611">
            <v>85.33</v>
          </cell>
          <cell r="O611">
            <v>8.5299999999999994</v>
          </cell>
          <cell r="P611">
            <v>960</v>
          </cell>
          <cell r="Q611">
            <v>96</v>
          </cell>
          <cell r="R611">
            <v>28.44</v>
          </cell>
          <cell r="S611">
            <v>2.84</v>
          </cell>
        </row>
        <row r="612">
          <cell r="D612">
            <v>2</v>
          </cell>
          <cell r="K612">
            <v>1.6</v>
          </cell>
          <cell r="N612">
            <v>93.87</v>
          </cell>
          <cell r="O612">
            <v>9.39</v>
          </cell>
          <cell r="P612">
            <v>1056</v>
          </cell>
          <cell r="Q612">
            <v>105.6</v>
          </cell>
          <cell r="R612">
            <v>31.29</v>
          </cell>
          <cell r="S612">
            <v>3.13</v>
          </cell>
        </row>
        <row r="613">
          <cell r="D613">
            <v>2</v>
          </cell>
          <cell r="K613">
            <v>1.6</v>
          </cell>
          <cell r="N613">
            <v>93.87</v>
          </cell>
          <cell r="O613">
            <v>9.39</v>
          </cell>
          <cell r="P613">
            <v>1056</v>
          </cell>
          <cell r="Q613">
            <v>105.6</v>
          </cell>
          <cell r="R613">
            <v>31.29</v>
          </cell>
          <cell r="S613">
            <v>3.13</v>
          </cell>
        </row>
        <row r="614">
          <cell r="D614">
            <v>2</v>
          </cell>
          <cell r="K614">
            <v>1.6</v>
          </cell>
          <cell r="N614">
            <v>93.87</v>
          </cell>
          <cell r="O614">
            <v>9.39</v>
          </cell>
          <cell r="P614">
            <v>1056</v>
          </cell>
          <cell r="Q614">
            <v>105.6</v>
          </cell>
          <cell r="R614">
            <v>31.29</v>
          </cell>
          <cell r="S614">
            <v>3.13</v>
          </cell>
        </row>
        <row r="615">
          <cell r="D615">
            <v>2</v>
          </cell>
          <cell r="K615">
            <v>1.6</v>
          </cell>
          <cell r="N615">
            <v>93.87</v>
          </cell>
          <cell r="O615">
            <v>9.39</v>
          </cell>
          <cell r="P615">
            <v>1056</v>
          </cell>
          <cell r="Q615">
            <v>105.6</v>
          </cell>
          <cell r="R615">
            <v>31.29</v>
          </cell>
          <cell r="S615">
            <v>3.13</v>
          </cell>
        </row>
        <row r="616">
          <cell r="D616">
            <v>2</v>
          </cell>
          <cell r="K616">
            <v>1.6</v>
          </cell>
          <cell r="N616">
            <v>93.87</v>
          </cell>
          <cell r="O616">
            <v>9.39</v>
          </cell>
          <cell r="P616">
            <v>1056</v>
          </cell>
          <cell r="Q616">
            <v>105.6</v>
          </cell>
          <cell r="R616">
            <v>31.29</v>
          </cell>
          <cell r="S616">
            <v>3.13</v>
          </cell>
        </row>
        <row r="617">
          <cell r="D617">
            <v>2</v>
          </cell>
          <cell r="K617">
            <v>1.6</v>
          </cell>
          <cell r="N617">
            <v>102.4</v>
          </cell>
          <cell r="O617">
            <v>10.24</v>
          </cell>
          <cell r="P617">
            <v>1152</v>
          </cell>
          <cell r="Q617">
            <v>115.2</v>
          </cell>
          <cell r="R617">
            <v>34.130000000000003</v>
          </cell>
          <cell r="S617">
            <v>3.41</v>
          </cell>
        </row>
        <row r="618">
          <cell r="D618">
            <v>2</v>
          </cell>
          <cell r="K618">
            <v>1.6</v>
          </cell>
          <cell r="N618">
            <v>102.4</v>
          </cell>
          <cell r="O618">
            <v>10.24</v>
          </cell>
          <cell r="P618">
            <v>1152</v>
          </cell>
          <cell r="Q618">
            <v>115.2</v>
          </cell>
          <cell r="R618">
            <v>34.130000000000003</v>
          </cell>
          <cell r="S618">
            <v>3.41</v>
          </cell>
        </row>
        <row r="619">
          <cell r="D619">
            <v>2</v>
          </cell>
          <cell r="K619">
            <v>1.6</v>
          </cell>
          <cell r="N619">
            <v>102.4</v>
          </cell>
          <cell r="O619">
            <v>10.24</v>
          </cell>
          <cell r="P619">
            <v>1152</v>
          </cell>
          <cell r="Q619">
            <v>115.2</v>
          </cell>
          <cell r="R619">
            <v>34.130000000000003</v>
          </cell>
          <cell r="S619">
            <v>3.41</v>
          </cell>
        </row>
        <row r="620">
          <cell r="D620">
            <v>2</v>
          </cell>
          <cell r="K620">
            <v>1.6</v>
          </cell>
          <cell r="N620">
            <v>102.4</v>
          </cell>
          <cell r="O620">
            <v>10.24</v>
          </cell>
          <cell r="P620">
            <v>1152</v>
          </cell>
          <cell r="Q620">
            <v>115.2</v>
          </cell>
          <cell r="R620">
            <v>34.130000000000003</v>
          </cell>
          <cell r="S620">
            <v>3.41</v>
          </cell>
        </row>
        <row r="621">
          <cell r="D621">
            <v>2</v>
          </cell>
          <cell r="K621">
            <v>1.6</v>
          </cell>
          <cell r="N621">
            <v>102.4</v>
          </cell>
          <cell r="O621">
            <v>10.24</v>
          </cell>
          <cell r="P621">
            <v>1152</v>
          </cell>
          <cell r="Q621">
            <v>115.2</v>
          </cell>
          <cell r="R621">
            <v>34.130000000000003</v>
          </cell>
          <cell r="S621">
            <v>3.41</v>
          </cell>
        </row>
        <row r="622">
          <cell r="D622">
            <v>2</v>
          </cell>
          <cell r="K622">
            <v>1.6</v>
          </cell>
          <cell r="N622">
            <v>119.47</v>
          </cell>
          <cell r="O622">
            <v>11.95</v>
          </cell>
          <cell r="P622">
            <v>1344</v>
          </cell>
          <cell r="Q622">
            <v>134.4</v>
          </cell>
          <cell r="R622">
            <v>39.82</v>
          </cell>
          <cell r="S622">
            <v>3.98</v>
          </cell>
        </row>
        <row r="623">
          <cell r="D623">
            <v>2</v>
          </cell>
          <cell r="K623">
            <v>1.6</v>
          </cell>
          <cell r="N623">
            <v>119.47</v>
          </cell>
          <cell r="O623">
            <v>11.95</v>
          </cell>
          <cell r="P623">
            <v>1344</v>
          </cell>
          <cell r="Q623">
            <v>134.4</v>
          </cell>
          <cell r="R623">
            <v>39.82</v>
          </cell>
          <cell r="S623">
            <v>3.98</v>
          </cell>
        </row>
        <row r="624">
          <cell r="D624">
            <v>2</v>
          </cell>
          <cell r="K624">
            <v>1.6</v>
          </cell>
          <cell r="N624">
            <v>119.47</v>
          </cell>
          <cell r="O624">
            <v>11.95</v>
          </cell>
          <cell r="P624">
            <v>1344</v>
          </cell>
          <cell r="Q624">
            <v>134.4</v>
          </cell>
          <cell r="R624">
            <v>39.82</v>
          </cell>
          <cell r="S624">
            <v>3.98</v>
          </cell>
        </row>
        <row r="625">
          <cell r="D625">
            <v>2</v>
          </cell>
          <cell r="K625">
            <v>1.6</v>
          </cell>
          <cell r="N625">
            <v>119.47</v>
          </cell>
          <cell r="O625">
            <v>11.95</v>
          </cell>
          <cell r="P625">
            <v>1344</v>
          </cell>
          <cell r="Q625">
            <v>134.4</v>
          </cell>
          <cell r="R625">
            <v>39.82</v>
          </cell>
          <cell r="S625">
            <v>3.98</v>
          </cell>
        </row>
        <row r="626">
          <cell r="D626">
            <v>2</v>
          </cell>
          <cell r="K626">
            <v>1.6</v>
          </cell>
          <cell r="N626">
            <v>119.47</v>
          </cell>
          <cell r="O626">
            <v>11.95</v>
          </cell>
          <cell r="P626">
            <v>1344</v>
          </cell>
          <cell r="Q626">
            <v>134.4</v>
          </cell>
          <cell r="R626">
            <v>39.82</v>
          </cell>
          <cell r="S626">
            <v>3.98</v>
          </cell>
        </row>
        <row r="627">
          <cell r="D627">
            <v>2</v>
          </cell>
          <cell r="K627">
            <v>1.6</v>
          </cell>
          <cell r="N627">
            <v>136.53</v>
          </cell>
          <cell r="O627">
            <v>13.65</v>
          </cell>
          <cell r="P627">
            <v>1536</v>
          </cell>
          <cell r="Q627">
            <v>153.6</v>
          </cell>
          <cell r="R627">
            <v>45.51</v>
          </cell>
          <cell r="S627">
            <v>4.55</v>
          </cell>
        </row>
        <row r="628">
          <cell r="D628">
            <v>2</v>
          </cell>
          <cell r="K628">
            <v>1.6</v>
          </cell>
          <cell r="N628">
            <v>136.53</v>
          </cell>
          <cell r="O628">
            <v>13.65</v>
          </cell>
          <cell r="P628">
            <v>1536</v>
          </cell>
          <cell r="Q628">
            <v>153.6</v>
          </cell>
          <cell r="R628">
            <v>45.51</v>
          </cell>
          <cell r="S628">
            <v>4.55</v>
          </cell>
        </row>
        <row r="629">
          <cell r="D629">
            <v>2</v>
          </cell>
          <cell r="K629">
            <v>1.6</v>
          </cell>
          <cell r="N629">
            <v>136.53</v>
          </cell>
          <cell r="O629">
            <v>13.65</v>
          </cell>
          <cell r="P629">
            <v>1536</v>
          </cell>
          <cell r="Q629">
            <v>153.6</v>
          </cell>
          <cell r="R629">
            <v>45.51</v>
          </cell>
          <cell r="S629">
            <v>4.55</v>
          </cell>
        </row>
        <row r="630">
          <cell r="D630">
            <v>2</v>
          </cell>
          <cell r="K630">
            <v>1.6</v>
          </cell>
          <cell r="N630">
            <v>136.53</v>
          </cell>
          <cell r="O630">
            <v>13.65</v>
          </cell>
          <cell r="P630">
            <v>1536</v>
          </cell>
          <cell r="Q630">
            <v>153.6</v>
          </cell>
          <cell r="R630">
            <v>45.51</v>
          </cell>
          <cell r="S630">
            <v>4.55</v>
          </cell>
        </row>
        <row r="631">
          <cell r="D631">
            <v>2</v>
          </cell>
          <cell r="K631">
            <v>1.6</v>
          </cell>
          <cell r="N631">
            <v>136.53</v>
          </cell>
          <cell r="O631">
            <v>13.65</v>
          </cell>
          <cell r="P631">
            <v>1536</v>
          </cell>
          <cell r="Q631">
            <v>153.6</v>
          </cell>
          <cell r="R631">
            <v>45.51</v>
          </cell>
          <cell r="S631">
            <v>4.55</v>
          </cell>
        </row>
        <row r="632">
          <cell r="D632">
            <v>2</v>
          </cell>
          <cell r="K632">
            <v>1.6</v>
          </cell>
          <cell r="N632">
            <v>153.6</v>
          </cell>
          <cell r="O632">
            <v>15.36</v>
          </cell>
          <cell r="P632">
            <v>1728</v>
          </cell>
          <cell r="Q632">
            <v>172.8</v>
          </cell>
          <cell r="R632">
            <v>51.2</v>
          </cell>
          <cell r="S632">
            <v>5.12</v>
          </cell>
        </row>
        <row r="633">
          <cell r="D633">
            <v>2</v>
          </cell>
          <cell r="K633">
            <v>1.6</v>
          </cell>
          <cell r="N633">
            <v>153.6</v>
          </cell>
          <cell r="O633">
            <v>15.36</v>
          </cell>
          <cell r="P633">
            <v>1728</v>
          </cell>
          <cell r="Q633">
            <v>172.8</v>
          </cell>
          <cell r="R633">
            <v>51.2</v>
          </cell>
          <cell r="S633">
            <v>5.12</v>
          </cell>
        </row>
        <row r="634">
          <cell r="D634">
            <v>2</v>
          </cell>
          <cell r="K634">
            <v>1.6</v>
          </cell>
          <cell r="N634">
            <v>153.6</v>
          </cell>
          <cell r="O634">
            <v>15.36</v>
          </cell>
          <cell r="P634">
            <v>1728</v>
          </cell>
          <cell r="Q634">
            <v>172.8</v>
          </cell>
          <cell r="R634">
            <v>51.2</v>
          </cell>
          <cell r="S634">
            <v>5.12</v>
          </cell>
        </row>
        <row r="635">
          <cell r="D635">
            <v>2</v>
          </cell>
          <cell r="K635">
            <v>1.6</v>
          </cell>
          <cell r="N635">
            <v>153.6</v>
          </cell>
          <cell r="O635">
            <v>15.36</v>
          </cell>
          <cell r="P635">
            <v>1728</v>
          </cell>
          <cell r="Q635">
            <v>172.8</v>
          </cell>
          <cell r="R635">
            <v>51.2</v>
          </cell>
          <cell r="S635">
            <v>5.12</v>
          </cell>
        </row>
        <row r="636">
          <cell r="D636">
            <v>2</v>
          </cell>
          <cell r="K636">
            <v>1.6</v>
          </cell>
          <cell r="N636">
            <v>153.6</v>
          </cell>
          <cell r="O636">
            <v>15.36</v>
          </cell>
          <cell r="P636">
            <v>1728</v>
          </cell>
          <cell r="Q636">
            <v>172.8</v>
          </cell>
          <cell r="R636">
            <v>51.2</v>
          </cell>
          <cell r="S636">
            <v>5.12</v>
          </cell>
        </row>
        <row r="637">
          <cell r="D637">
            <v>2</v>
          </cell>
          <cell r="K637">
            <v>1.6</v>
          </cell>
          <cell r="N637">
            <v>170.67</v>
          </cell>
          <cell r="O637">
            <v>17.07</v>
          </cell>
          <cell r="P637">
            <v>1920</v>
          </cell>
          <cell r="Q637">
            <v>192</v>
          </cell>
          <cell r="R637">
            <v>56.89</v>
          </cell>
          <cell r="S637">
            <v>5.69</v>
          </cell>
        </row>
        <row r="638">
          <cell r="D638">
            <v>2</v>
          </cell>
          <cell r="K638">
            <v>1.6</v>
          </cell>
          <cell r="N638">
            <v>170.67</v>
          </cell>
          <cell r="O638">
            <v>17.07</v>
          </cell>
          <cell r="P638">
            <v>1920</v>
          </cell>
          <cell r="Q638">
            <v>192</v>
          </cell>
          <cell r="R638">
            <v>56.89</v>
          </cell>
          <cell r="S638">
            <v>5.69</v>
          </cell>
        </row>
        <row r="639">
          <cell r="D639">
            <v>2</v>
          </cell>
          <cell r="K639">
            <v>1.6</v>
          </cell>
          <cell r="N639">
            <v>170.67</v>
          </cell>
          <cell r="O639">
            <v>17.07</v>
          </cell>
          <cell r="P639">
            <v>1920</v>
          </cell>
          <cell r="Q639">
            <v>192</v>
          </cell>
          <cell r="R639">
            <v>56.89</v>
          </cell>
          <cell r="S639">
            <v>5.69</v>
          </cell>
        </row>
        <row r="640">
          <cell r="D640">
            <v>2</v>
          </cell>
          <cell r="K640">
            <v>1.6</v>
          </cell>
          <cell r="N640">
            <v>170.67</v>
          </cell>
          <cell r="O640">
            <v>17.07</v>
          </cell>
          <cell r="P640">
            <v>1920</v>
          </cell>
          <cell r="Q640">
            <v>192</v>
          </cell>
          <cell r="R640">
            <v>56.89</v>
          </cell>
          <cell r="S640">
            <v>5.69</v>
          </cell>
        </row>
        <row r="641">
          <cell r="D641">
            <v>2</v>
          </cell>
          <cell r="K641">
            <v>1.6</v>
          </cell>
          <cell r="N641">
            <v>170.67</v>
          </cell>
          <cell r="O641">
            <v>17.07</v>
          </cell>
          <cell r="P641">
            <v>1920</v>
          </cell>
          <cell r="Q641">
            <v>192</v>
          </cell>
          <cell r="R641">
            <v>56.89</v>
          </cell>
          <cell r="S641">
            <v>5.69</v>
          </cell>
        </row>
        <row r="642">
          <cell r="D642">
            <v>2</v>
          </cell>
          <cell r="K642">
            <v>1.6</v>
          </cell>
          <cell r="N642">
            <v>187.73</v>
          </cell>
          <cell r="O642">
            <v>18.77</v>
          </cell>
          <cell r="P642">
            <v>2112</v>
          </cell>
          <cell r="Q642">
            <v>211.2</v>
          </cell>
          <cell r="R642">
            <v>62.58</v>
          </cell>
          <cell r="S642">
            <v>6.26</v>
          </cell>
        </row>
        <row r="643">
          <cell r="D643">
            <v>2</v>
          </cell>
          <cell r="K643">
            <v>1.6</v>
          </cell>
          <cell r="N643">
            <v>187.73</v>
          </cell>
          <cell r="O643">
            <v>18.77</v>
          </cell>
          <cell r="P643">
            <v>2112</v>
          </cell>
          <cell r="Q643">
            <v>211.2</v>
          </cell>
          <cell r="R643">
            <v>62.58</v>
          </cell>
          <cell r="S643">
            <v>6.26</v>
          </cell>
        </row>
        <row r="644">
          <cell r="D644">
            <v>2</v>
          </cell>
          <cell r="K644">
            <v>1.6</v>
          </cell>
          <cell r="N644">
            <v>187.73</v>
          </cell>
          <cell r="O644">
            <v>18.77</v>
          </cell>
          <cell r="P644">
            <v>2112</v>
          </cell>
          <cell r="Q644">
            <v>211.2</v>
          </cell>
          <cell r="R644">
            <v>62.58</v>
          </cell>
          <cell r="S644">
            <v>6.26</v>
          </cell>
        </row>
        <row r="645">
          <cell r="D645">
            <v>2</v>
          </cell>
          <cell r="K645">
            <v>1.6</v>
          </cell>
          <cell r="N645">
            <v>187.73</v>
          </cell>
          <cell r="O645">
            <v>18.77</v>
          </cell>
          <cell r="P645">
            <v>2112</v>
          </cell>
          <cell r="Q645">
            <v>211.2</v>
          </cell>
          <cell r="R645">
            <v>62.58</v>
          </cell>
          <cell r="S645">
            <v>6.26</v>
          </cell>
        </row>
        <row r="646">
          <cell r="D646">
            <v>2</v>
          </cell>
          <cell r="K646">
            <v>1.6</v>
          </cell>
          <cell r="N646">
            <v>187.73</v>
          </cell>
          <cell r="O646">
            <v>18.77</v>
          </cell>
          <cell r="P646">
            <v>2112</v>
          </cell>
          <cell r="Q646">
            <v>211.2</v>
          </cell>
          <cell r="R646">
            <v>62.58</v>
          </cell>
          <cell r="S646">
            <v>6.26</v>
          </cell>
        </row>
        <row r="647">
          <cell r="D647">
            <v>2</v>
          </cell>
          <cell r="K647">
            <v>1.6</v>
          </cell>
          <cell r="N647">
            <v>204.8</v>
          </cell>
          <cell r="O647">
            <v>20.48</v>
          </cell>
          <cell r="P647">
            <v>2304</v>
          </cell>
          <cell r="Q647">
            <v>230.4</v>
          </cell>
          <cell r="R647">
            <v>68.27</v>
          </cell>
          <cell r="S647">
            <v>6.83</v>
          </cell>
        </row>
        <row r="648">
          <cell r="D648">
            <v>2</v>
          </cell>
          <cell r="K648">
            <v>1.6</v>
          </cell>
          <cell r="N648">
            <v>204.8</v>
          </cell>
          <cell r="O648">
            <v>20.48</v>
          </cell>
          <cell r="P648">
            <v>2304</v>
          </cell>
          <cell r="Q648">
            <v>230.4</v>
          </cell>
          <cell r="R648">
            <v>68.27</v>
          </cell>
          <cell r="S648">
            <v>6.83</v>
          </cell>
        </row>
        <row r="649">
          <cell r="D649">
            <v>2</v>
          </cell>
          <cell r="K649">
            <v>1.6</v>
          </cell>
          <cell r="N649">
            <v>204.8</v>
          </cell>
          <cell r="O649">
            <v>20.48</v>
          </cell>
          <cell r="P649">
            <v>2304</v>
          </cell>
          <cell r="Q649">
            <v>230.4</v>
          </cell>
          <cell r="R649">
            <v>68.27</v>
          </cell>
          <cell r="S649">
            <v>6.83</v>
          </cell>
        </row>
        <row r="650">
          <cell r="D650">
            <v>2</v>
          </cell>
          <cell r="K650">
            <v>1.6</v>
          </cell>
          <cell r="N650">
            <v>204.8</v>
          </cell>
          <cell r="O650">
            <v>20.48</v>
          </cell>
          <cell r="P650">
            <v>2304</v>
          </cell>
          <cell r="Q650">
            <v>230.4</v>
          </cell>
          <cell r="R650">
            <v>68.27</v>
          </cell>
          <cell r="S650">
            <v>6.83</v>
          </cell>
        </row>
        <row r="651">
          <cell r="D651">
            <v>2</v>
          </cell>
          <cell r="K651">
            <v>1.6</v>
          </cell>
          <cell r="N651">
            <v>204.8</v>
          </cell>
          <cell r="O651">
            <v>20.48</v>
          </cell>
          <cell r="P651">
            <v>2304</v>
          </cell>
          <cell r="Q651">
            <v>230.4</v>
          </cell>
          <cell r="R651">
            <v>68.27</v>
          </cell>
          <cell r="S651">
            <v>6.83</v>
          </cell>
        </row>
        <row r="652">
          <cell r="D652">
            <v>2</v>
          </cell>
          <cell r="K652">
            <v>1.6</v>
          </cell>
          <cell r="N652">
            <v>221.87</v>
          </cell>
          <cell r="O652">
            <v>22.19</v>
          </cell>
          <cell r="P652">
            <v>2496</v>
          </cell>
          <cell r="Q652">
            <v>249.6</v>
          </cell>
          <cell r="R652">
            <v>73.959999999999994</v>
          </cell>
          <cell r="S652">
            <v>7.4</v>
          </cell>
        </row>
        <row r="653">
          <cell r="D653">
            <v>2</v>
          </cell>
          <cell r="K653">
            <v>1.6</v>
          </cell>
          <cell r="N653">
            <v>221.87</v>
          </cell>
          <cell r="O653">
            <v>22.19</v>
          </cell>
          <cell r="P653">
            <v>2496</v>
          </cell>
          <cell r="Q653">
            <v>249.6</v>
          </cell>
          <cell r="R653">
            <v>73.959999999999994</v>
          </cell>
          <cell r="S653">
            <v>7.4</v>
          </cell>
        </row>
        <row r="654">
          <cell r="D654">
            <v>2</v>
          </cell>
          <cell r="K654">
            <v>1.6</v>
          </cell>
          <cell r="N654">
            <v>221.87</v>
          </cell>
          <cell r="O654">
            <v>22.19</v>
          </cell>
          <cell r="P654">
            <v>2496</v>
          </cell>
          <cell r="Q654">
            <v>249.6</v>
          </cell>
          <cell r="R654">
            <v>73.959999999999994</v>
          </cell>
          <cell r="S654">
            <v>7.4</v>
          </cell>
        </row>
        <row r="655">
          <cell r="D655">
            <v>2</v>
          </cell>
          <cell r="K655">
            <v>1.6</v>
          </cell>
          <cell r="N655">
            <v>221.87</v>
          </cell>
          <cell r="O655">
            <v>22.19</v>
          </cell>
          <cell r="P655">
            <v>2496</v>
          </cell>
          <cell r="Q655">
            <v>249.6</v>
          </cell>
          <cell r="R655">
            <v>73.959999999999994</v>
          </cell>
          <cell r="S655">
            <v>7.4</v>
          </cell>
        </row>
        <row r="656">
          <cell r="D656">
            <v>2</v>
          </cell>
          <cell r="K656">
            <v>1.6</v>
          </cell>
          <cell r="N656">
            <v>221.87</v>
          </cell>
          <cell r="O656">
            <v>22.19</v>
          </cell>
          <cell r="P656">
            <v>2496</v>
          </cell>
          <cell r="Q656">
            <v>249.6</v>
          </cell>
          <cell r="R656">
            <v>73.959999999999994</v>
          </cell>
          <cell r="S656">
            <v>7.4</v>
          </cell>
        </row>
        <row r="657">
          <cell r="D657">
            <v>2</v>
          </cell>
          <cell r="K657">
            <v>1.6</v>
          </cell>
          <cell r="N657">
            <v>238.93</v>
          </cell>
          <cell r="O657">
            <v>23.89</v>
          </cell>
          <cell r="P657">
            <v>2688</v>
          </cell>
          <cell r="Q657">
            <v>268.8</v>
          </cell>
          <cell r="R657">
            <v>79.64</v>
          </cell>
          <cell r="S657">
            <v>7.96</v>
          </cell>
        </row>
        <row r="658">
          <cell r="D658">
            <v>2</v>
          </cell>
          <cell r="K658">
            <v>1.6</v>
          </cell>
          <cell r="N658">
            <v>238.93</v>
          </cell>
          <cell r="O658">
            <v>23.89</v>
          </cell>
          <cell r="P658">
            <v>2688</v>
          </cell>
          <cell r="Q658">
            <v>268.8</v>
          </cell>
          <cell r="R658">
            <v>79.64</v>
          </cell>
          <cell r="S658">
            <v>7.96</v>
          </cell>
        </row>
        <row r="659">
          <cell r="D659">
            <v>2</v>
          </cell>
          <cell r="K659">
            <v>1.6</v>
          </cell>
          <cell r="N659">
            <v>238.93</v>
          </cell>
          <cell r="O659">
            <v>23.89</v>
          </cell>
          <cell r="P659">
            <v>2688</v>
          </cell>
          <cell r="Q659">
            <v>268.8</v>
          </cell>
          <cell r="R659">
            <v>79.64</v>
          </cell>
          <cell r="S659">
            <v>7.96</v>
          </cell>
        </row>
        <row r="660">
          <cell r="D660">
            <v>2</v>
          </cell>
          <cell r="K660">
            <v>1.6</v>
          </cell>
          <cell r="N660">
            <v>238.93</v>
          </cell>
          <cell r="O660">
            <v>23.89</v>
          </cell>
          <cell r="P660">
            <v>2688</v>
          </cell>
          <cell r="Q660">
            <v>268.8</v>
          </cell>
          <cell r="R660">
            <v>79.64</v>
          </cell>
          <cell r="S660">
            <v>7.96</v>
          </cell>
        </row>
        <row r="661">
          <cell r="D661">
            <v>2</v>
          </cell>
          <cell r="K661">
            <v>1.6</v>
          </cell>
          <cell r="N661">
            <v>238.93</v>
          </cell>
          <cell r="O661">
            <v>23.89</v>
          </cell>
          <cell r="P661">
            <v>2688</v>
          </cell>
          <cell r="Q661">
            <v>268.8</v>
          </cell>
          <cell r="R661">
            <v>79.64</v>
          </cell>
          <cell r="S661">
            <v>7.96</v>
          </cell>
        </row>
        <row r="662">
          <cell r="D662">
            <v>2</v>
          </cell>
          <cell r="K662">
            <v>1.6</v>
          </cell>
          <cell r="N662">
            <v>256</v>
          </cell>
          <cell r="O662">
            <v>25.6</v>
          </cell>
          <cell r="P662">
            <v>2880</v>
          </cell>
          <cell r="Q662">
            <v>288</v>
          </cell>
          <cell r="R662">
            <v>85.33</v>
          </cell>
          <cell r="S662">
            <v>8.5299999999999994</v>
          </cell>
        </row>
        <row r="663">
          <cell r="D663">
            <v>2</v>
          </cell>
          <cell r="K663">
            <v>1.6</v>
          </cell>
          <cell r="N663">
            <v>256</v>
          </cell>
          <cell r="O663">
            <v>25.6</v>
          </cell>
          <cell r="P663">
            <v>2880</v>
          </cell>
          <cell r="Q663">
            <v>288</v>
          </cell>
          <cell r="R663">
            <v>85.33</v>
          </cell>
          <cell r="S663">
            <v>8.5299999999999994</v>
          </cell>
        </row>
        <row r="664">
          <cell r="D664">
            <v>2</v>
          </cell>
          <cell r="K664">
            <v>1.6</v>
          </cell>
          <cell r="N664">
            <v>256</v>
          </cell>
          <cell r="O664">
            <v>25.6</v>
          </cell>
          <cell r="P664">
            <v>2880</v>
          </cell>
          <cell r="Q664">
            <v>288</v>
          </cell>
          <cell r="R664">
            <v>85.33</v>
          </cell>
          <cell r="S664">
            <v>8.5299999999999994</v>
          </cell>
        </row>
        <row r="665">
          <cell r="D665">
            <v>2</v>
          </cell>
          <cell r="K665">
            <v>1.6</v>
          </cell>
          <cell r="N665">
            <v>256</v>
          </cell>
          <cell r="O665">
            <v>25.6</v>
          </cell>
          <cell r="P665">
            <v>2880</v>
          </cell>
          <cell r="Q665">
            <v>288</v>
          </cell>
          <cell r="R665">
            <v>85.33</v>
          </cell>
          <cell r="S665">
            <v>8.5299999999999994</v>
          </cell>
        </row>
        <row r="666">
          <cell r="D666">
            <v>2</v>
          </cell>
          <cell r="K666">
            <v>1.6</v>
          </cell>
          <cell r="N666">
            <v>256</v>
          </cell>
          <cell r="O666">
            <v>25.6</v>
          </cell>
          <cell r="P666">
            <v>2880</v>
          </cell>
          <cell r="Q666">
            <v>288</v>
          </cell>
          <cell r="R666">
            <v>85.33</v>
          </cell>
          <cell r="S666">
            <v>8.5299999999999994</v>
          </cell>
        </row>
        <row r="667">
          <cell r="D667">
            <v>2</v>
          </cell>
          <cell r="K667">
            <v>1.6</v>
          </cell>
          <cell r="N667">
            <v>273.07</v>
          </cell>
          <cell r="O667">
            <v>27.31</v>
          </cell>
          <cell r="P667">
            <v>3072</v>
          </cell>
          <cell r="Q667">
            <v>307.2</v>
          </cell>
          <cell r="R667">
            <v>91.02</v>
          </cell>
          <cell r="S667">
            <v>9.1</v>
          </cell>
        </row>
        <row r="668">
          <cell r="D668">
            <v>2</v>
          </cell>
          <cell r="K668">
            <v>1.6</v>
          </cell>
          <cell r="N668">
            <v>273.07</v>
          </cell>
          <cell r="O668">
            <v>27.31</v>
          </cell>
          <cell r="P668">
            <v>3072</v>
          </cell>
          <cell r="Q668">
            <v>307.2</v>
          </cell>
          <cell r="R668">
            <v>91.02</v>
          </cell>
          <cell r="S668">
            <v>9.1</v>
          </cell>
        </row>
        <row r="669">
          <cell r="D669">
            <v>2</v>
          </cell>
          <cell r="K669">
            <v>1.6</v>
          </cell>
          <cell r="N669">
            <v>273.07</v>
          </cell>
          <cell r="O669">
            <v>27.31</v>
          </cell>
          <cell r="P669">
            <v>3072</v>
          </cell>
          <cell r="Q669">
            <v>307.2</v>
          </cell>
          <cell r="R669">
            <v>91.02</v>
          </cell>
          <cell r="S669">
            <v>9.1</v>
          </cell>
        </row>
        <row r="670">
          <cell r="D670">
            <v>2</v>
          </cell>
          <cell r="K670">
            <v>1.6</v>
          </cell>
          <cell r="N670">
            <v>273.07</v>
          </cell>
          <cell r="O670">
            <v>27.31</v>
          </cell>
          <cell r="P670">
            <v>3072</v>
          </cell>
          <cell r="Q670">
            <v>307.2</v>
          </cell>
          <cell r="R670">
            <v>91.02</v>
          </cell>
          <cell r="S670">
            <v>9.1</v>
          </cell>
        </row>
        <row r="671">
          <cell r="D671">
            <v>2</v>
          </cell>
          <cell r="K671">
            <v>1.6</v>
          </cell>
          <cell r="N671">
            <v>273.07</v>
          </cell>
          <cell r="O671">
            <v>27.31</v>
          </cell>
          <cell r="P671">
            <v>3072</v>
          </cell>
          <cell r="Q671">
            <v>307.2</v>
          </cell>
          <cell r="R671">
            <v>91.02</v>
          </cell>
          <cell r="S671">
            <v>9.1</v>
          </cell>
        </row>
        <row r="672">
          <cell r="D672">
            <v>2</v>
          </cell>
          <cell r="K672">
            <v>1.5</v>
          </cell>
          <cell r="N672">
            <v>80</v>
          </cell>
          <cell r="O672">
            <v>8</v>
          </cell>
          <cell r="P672">
            <v>960</v>
          </cell>
          <cell r="Q672">
            <v>96</v>
          </cell>
          <cell r="R672">
            <v>26.67</v>
          </cell>
          <cell r="S672">
            <v>2.67</v>
          </cell>
        </row>
        <row r="673">
          <cell r="D673">
            <v>2</v>
          </cell>
          <cell r="K673">
            <v>1.5</v>
          </cell>
          <cell r="N673">
            <v>80</v>
          </cell>
          <cell r="O673">
            <v>8</v>
          </cell>
          <cell r="P673">
            <v>960</v>
          </cell>
          <cell r="Q673">
            <v>96</v>
          </cell>
          <cell r="R673">
            <v>26.67</v>
          </cell>
          <cell r="S673">
            <v>2.67</v>
          </cell>
        </row>
        <row r="674">
          <cell r="D674">
            <v>2</v>
          </cell>
          <cell r="K674">
            <v>1.5</v>
          </cell>
          <cell r="N674">
            <v>80</v>
          </cell>
          <cell r="O674">
            <v>8</v>
          </cell>
          <cell r="P674">
            <v>960</v>
          </cell>
          <cell r="Q674">
            <v>96</v>
          </cell>
          <cell r="R674">
            <v>26.67</v>
          </cell>
          <cell r="S674">
            <v>2.67</v>
          </cell>
        </row>
        <row r="675">
          <cell r="D675">
            <v>2</v>
          </cell>
          <cell r="K675">
            <v>1.5</v>
          </cell>
          <cell r="N675">
            <v>80</v>
          </cell>
          <cell r="O675">
            <v>8</v>
          </cell>
          <cell r="P675">
            <v>960</v>
          </cell>
          <cell r="Q675">
            <v>96</v>
          </cell>
          <cell r="R675">
            <v>26.67</v>
          </cell>
          <cell r="S675">
            <v>2.67</v>
          </cell>
        </row>
        <row r="676">
          <cell r="D676">
            <v>2</v>
          </cell>
          <cell r="K676">
            <v>1.5</v>
          </cell>
          <cell r="N676">
            <v>80</v>
          </cell>
          <cell r="O676">
            <v>8</v>
          </cell>
          <cell r="P676">
            <v>960</v>
          </cell>
          <cell r="Q676">
            <v>96</v>
          </cell>
          <cell r="R676">
            <v>26.67</v>
          </cell>
          <cell r="S676">
            <v>2.67</v>
          </cell>
        </row>
        <row r="677">
          <cell r="D677">
            <v>2</v>
          </cell>
          <cell r="K677">
            <v>1.5</v>
          </cell>
          <cell r="N677">
            <v>88</v>
          </cell>
          <cell r="O677">
            <v>8.8000000000000007</v>
          </cell>
          <cell r="P677">
            <v>1056</v>
          </cell>
          <cell r="Q677">
            <v>105.6</v>
          </cell>
          <cell r="R677">
            <v>29.33</v>
          </cell>
          <cell r="S677">
            <v>2.93</v>
          </cell>
        </row>
        <row r="678">
          <cell r="D678">
            <v>2</v>
          </cell>
          <cell r="K678">
            <v>1.5</v>
          </cell>
          <cell r="N678">
            <v>88</v>
          </cell>
          <cell r="O678">
            <v>8.8000000000000007</v>
          </cell>
          <cell r="P678">
            <v>1056</v>
          </cell>
          <cell r="Q678">
            <v>105.6</v>
          </cell>
          <cell r="R678">
            <v>29.33</v>
          </cell>
          <cell r="S678">
            <v>2.93</v>
          </cell>
        </row>
        <row r="679">
          <cell r="D679">
            <v>2</v>
          </cell>
          <cell r="K679">
            <v>1.5</v>
          </cell>
          <cell r="N679">
            <v>88</v>
          </cell>
          <cell r="O679">
            <v>8.8000000000000007</v>
          </cell>
          <cell r="P679">
            <v>1056</v>
          </cell>
          <cell r="Q679">
            <v>105.6</v>
          </cell>
          <cell r="R679">
            <v>29.33</v>
          </cell>
          <cell r="S679">
            <v>2.93</v>
          </cell>
        </row>
        <row r="680">
          <cell r="D680">
            <v>2</v>
          </cell>
          <cell r="K680">
            <v>1.5</v>
          </cell>
          <cell r="N680">
            <v>88</v>
          </cell>
          <cell r="O680">
            <v>8.8000000000000007</v>
          </cell>
          <cell r="P680">
            <v>1056</v>
          </cell>
          <cell r="Q680">
            <v>105.6</v>
          </cell>
          <cell r="R680">
            <v>29.33</v>
          </cell>
          <cell r="S680">
            <v>2.93</v>
          </cell>
        </row>
        <row r="681">
          <cell r="D681">
            <v>2</v>
          </cell>
          <cell r="K681">
            <v>1.5</v>
          </cell>
          <cell r="N681">
            <v>88</v>
          </cell>
          <cell r="O681">
            <v>8.8000000000000007</v>
          </cell>
          <cell r="P681">
            <v>1056</v>
          </cell>
          <cell r="Q681">
            <v>105.6</v>
          </cell>
          <cell r="R681">
            <v>29.33</v>
          </cell>
          <cell r="S681">
            <v>2.93</v>
          </cell>
        </row>
        <row r="682">
          <cell r="D682">
            <v>2</v>
          </cell>
          <cell r="K682">
            <v>1.5</v>
          </cell>
          <cell r="N682">
            <v>96</v>
          </cell>
          <cell r="O682">
            <v>9.6</v>
          </cell>
          <cell r="P682">
            <v>1152</v>
          </cell>
          <cell r="Q682">
            <v>115.2</v>
          </cell>
          <cell r="R682">
            <v>32</v>
          </cell>
          <cell r="S682">
            <v>3.2</v>
          </cell>
        </row>
        <row r="683">
          <cell r="D683">
            <v>2</v>
          </cell>
          <cell r="K683">
            <v>1.5</v>
          </cell>
          <cell r="N683">
            <v>96</v>
          </cell>
          <cell r="O683">
            <v>9.6</v>
          </cell>
          <cell r="P683">
            <v>1152</v>
          </cell>
          <cell r="Q683">
            <v>115.2</v>
          </cell>
          <cell r="R683">
            <v>32</v>
          </cell>
          <cell r="S683">
            <v>3.2</v>
          </cell>
        </row>
        <row r="684">
          <cell r="D684">
            <v>2</v>
          </cell>
          <cell r="K684">
            <v>1.5</v>
          </cell>
          <cell r="N684">
            <v>96</v>
          </cell>
          <cell r="O684">
            <v>9.6</v>
          </cell>
          <cell r="P684">
            <v>1152</v>
          </cell>
          <cell r="Q684">
            <v>115.2</v>
          </cell>
          <cell r="R684">
            <v>32</v>
          </cell>
          <cell r="S684">
            <v>3.2</v>
          </cell>
        </row>
        <row r="685">
          <cell r="D685">
            <v>2</v>
          </cell>
          <cell r="K685">
            <v>1.5</v>
          </cell>
          <cell r="N685">
            <v>96</v>
          </cell>
          <cell r="O685">
            <v>9.6</v>
          </cell>
          <cell r="P685">
            <v>1152</v>
          </cell>
          <cell r="Q685">
            <v>115.2</v>
          </cell>
          <cell r="R685">
            <v>32</v>
          </cell>
          <cell r="S685">
            <v>3.2</v>
          </cell>
        </row>
        <row r="686">
          <cell r="D686">
            <v>2</v>
          </cell>
          <cell r="K686">
            <v>1.5</v>
          </cell>
          <cell r="N686">
            <v>96</v>
          </cell>
          <cell r="O686">
            <v>9.6</v>
          </cell>
          <cell r="P686">
            <v>1152</v>
          </cell>
          <cell r="Q686">
            <v>115.2</v>
          </cell>
          <cell r="R686">
            <v>32</v>
          </cell>
          <cell r="S686">
            <v>3.2</v>
          </cell>
        </row>
        <row r="687">
          <cell r="D687">
            <v>2</v>
          </cell>
          <cell r="K687">
            <v>1.5</v>
          </cell>
          <cell r="N687">
            <v>112</v>
          </cell>
          <cell r="O687">
            <v>11.2</v>
          </cell>
          <cell r="P687">
            <v>1344</v>
          </cell>
          <cell r="Q687">
            <v>134.4</v>
          </cell>
          <cell r="R687">
            <v>37.33</v>
          </cell>
          <cell r="S687">
            <v>3.73</v>
          </cell>
        </row>
        <row r="688">
          <cell r="D688">
            <v>2</v>
          </cell>
          <cell r="K688">
            <v>1.5</v>
          </cell>
          <cell r="N688">
            <v>112</v>
          </cell>
          <cell r="O688">
            <v>11.2</v>
          </cell>
          <cell r="P688">
            <v>1344</v>
          </cell>
          <cell r="Q688">
            <v>134.4</v>
          </cell>
          <cell r="R688">
            <v>37.33</v>
          </cell>
          <cell r="S688">
            <v>3.73</v>
          </cell>
        </row>
        <row r="689">
          <cell r="D689">
            <v>2</v>
          </cell>
          <cell r="K689">
            <v>1.5</v>
          </cell>
          <cell r="N689">
            <v>112</v>
          </cell>
          <cell r="O689">
            <v>11.2</v>
          </cell>
          <cell r="P689">
            <v>1344</v>
          </cell>
          <cell r="Q689">
            <v>134.4</v>
          </cell>
          <cell r="R689">
            <v>37.33</v>
          </cell>
          <cell r="S689">
            <v>3.73</v>
          </cell>
        </row>
        <row r="690">
          <cell r="D690">
            <v>2</v>
          </cell>
          <cell r="K690">
            <v>1.5</v>
          </cell>
          <cell r="N690">
            <v>112</v>
          </cell>
          <cell r="O690">
            <v>11.2</v>
          </cell>
          <cell r="P690">
            <v>1344</v>
          </cell>
          <cell r="Q690">
            <v>134.4</v>
          </cell>
          <cell r="R690">
            <v>37.33</v>
          </cell>
          <cell r="S690">
            <v>3.73</v>
          </cell>
        </row>
        <row r="691">
          <cell r="D691">
            <v>2</v>
          </cell>
          <cell r="K691">
            <v>1.5</v>
          </cell>
          <cell r="N691">
            <v>112</v>
          </cell>
          <cell r="O691">
            <v>11.2</v>
          </cell>
          <cell r="P691">
            <v>1344</v>
          </cell>
          <cell r="Q691">
            <v>134.4</v>
          </cell>
          <cell r="R691">
            <v>37.33</v>
          </cell>
          <cell r="S691">
            <v>3.73</v>
          </cell>
        </row>
        <row r="692">
          <cell r="D692">
            <v>2</v>
          </cell>
          <cell r="K692">
            <v>1.5</v>
          </cell>
          <cell r="N692">
            <v>128</v>
          </cell>
          <cell r="O692">
            <v>12.8</v>
          </cell>
          <cell r="P692">
            <v>1536</v>
          </cell>
          <cell r="Q692">
            <v>153.6</v>
          </cell>
          <cell r="R692">
            <v>42.67</v>
          </cell>
          <cell r="S692">
            <v>4.2699999999999996</v>
          </cell>
        </row>
        <row r="693">
          <cell r="D693">
            <v>2</v>
          </cell>
          <cell r="K693">
            <v>1.5</v>
          </cell>
          <cell r="N693">
            <v>128</v>
          </cell>
          <cell r="O693">
            <v>12.8</v>
          </cell>
          <cell r="P693">
            <v>1536</v>
          </cell>
          <cell r="Q693">
            <v>153.6</v>
          </cell>
          <cell r="R693">
            <v>42.67</v>
          </cell>
          <cell r="S693">
            <v>4.2699999999999996</v>
          </cell>
        </row>
        <row r="694">
          <cell r="D694">
            <v>2</v>
          </cell>
          <cell r="K694">
            <v>1.5</v>
          </cell>
          <cell r="N694">
            <v>128</v>
          </cell>
          <cell r="O694">
            <v>12.8</v>
          </cell>
          <cell r="P694">
            <v>1536</v>
          </cell>
          <cell r="Q694">
            <v>153.6</v>
          </cell>
          <cell r="R694">
            <v>42.67</v>
          </cell>
          <cell r="S694">
            <v>4.2699999999999996</v>
          </cell>
        </row>
        <row r="695">
          <cell r="D695">
            <v>2</v>
          </cell>
          <cell r="K695">
            <v>1.5</v>
          </cell>
          <cell r="N695">
            <v>128</v>
          </cell>
          <cell r="O695">
            <v>12.8</v>
          </cell>
          <cell r="P695">
            <v>1536</v>
          </cell>
          <cell r="Q695">
            <v>153.6</v>
          </cell>
          <cell r="R695">
            <v>42.67</v>
          </cell>
          <cell r="S695">
            <v>4.2699999999999996</v>
          </cell>
        </row>
        <row r="696">
          <cell r="D696">
            <v>2</v>
          </cell>
          <cell r="K696">
            <v>1.5</v>
          </cell>
          <cell r="N696">
            <v>128</v>
          </cell>
          <cell r="O696">
            <v>12.8</v>
          </cell>
          <cell r="P696">
            <v>1536</v>
          </cell>
          <cell r="Q696">
            <v>153.6</v>
          </cell>
          <cell r="R696">
            <v>42.67</v>
          </cell>
          <cell r="S696">
            <v>4.2699999999999996</v>
          </cell>
        </row>
        <row r="697">
          <cell r="D697">
            <v>2</v>
          </cell>
          <cell r="K697">
            <v>1.5</v>
          </cell>
          <cell r="N697">
            <v>144</v>
          </cell>
          <cell r="O697">
            <v>14.4</v>
          </cell>
          <cell r="P697">
            <v>1728</v>
          </cell>
          <cell r="Q697">
            <v>172.8</v>
          </cell>
          <cell r="R697">
            <v>48</v>
          </cell>
          <cell r="S697">
            <v>4.8</v>
          </cell>
        </row>
        <row r="698">
          <cell r="D698">
            <v>2</v>
          </cell>
          <cell r="K698">
            <v>1.5</v>
          </cell>
          <cell r="N698">
            <v>144</v>
          </cell>
          <cell r="O698">
            <v>14.4</v>
          </cell>
          <cell r="P698">
            <v>1728</v>
          </cell>
          <cell r="Q698">
            <v>172.8</v>
          </cell>
          <cell r="R698">
            <v>48</v>
          </cell>
          <cell r="S698">
            <v>4.8</v>
          </cell>
        </row>
        <row r="699">
          <cell r="D699">
            <v>2</v>
          </cell>
          <cell r="K699">
            <v>1.5</v>
          </cell>
          <cell r="N699">
            <v>144</v>
          </cell>
          <cell r="O699">
            <v>14.4</v>
          </cell>
          <cell r="P699">
            <v>1728</v>
          </cell>
          <cell r="Q699">
            <v>172.8</v>
          </cell>
          <cell r="R699">
            <v>48</v>
          </cell>
          <cell r="S699">
            <v>4.8</v>
          </cell>
        </row>
        <row r="700">
          <cell r="D700">
            <v>2</v>
          </cell>
          <cell r="K700">
            <v>1.5</v>
          </cell>
          <cell r="N700">
            <v>144</v>
          </cell>
          <cell r="O700">
            <v>14.4</v>
          </cell>
          <cell r="P700">
            <v>1728</v>
          </cell>
          <cell r="Q700">
            <v>172.8</v>
          </cell>
          <cell r="R700">
            <v>48</v>
          </cell>
          <cell r="S700">
            <v>4.8</v>
          </cell>
        </row>
        <row r="701">
          <cell r="D701">
            <v>2</v>
          </cell>
          <cell r="K701">
            <v>1.5</v>
          </cell>
          <cell r="N701">
            <v>144</v>
          </cell>
          <cell r="O701">
            <v>14.4</v>
          </cell>
          <cell r="P701">
            <v>1728</v>
          </cell>
          <cell r="Q701">
            <v>172.8</v>
          </cell>
          <cell r="R701">
            <v>48</v>
          </cell>
          <cell r="S701">
            <v>4.8</v>
          </cell>
        </row>
        <row r="702">
          <cell r="D702">
            <v>2</v>
          </cell>
          <cell r="K702">
            <v>1.5</v>
          </cell>
          <cell r="N702">
            <v>160</v>
          </cell>
          <cell r="O702">
            <v>16</v>
          </cell>
          <cell r="P702">
            <v>1920</v>
          </cell>
          <cell r="Q702">
            <v>192</v>
          </cell>
          <cell r="R702">
            <v>53.33</v>
          </cell>
          <cell r="S702">
            <v>5.33</v>
          </cell>
        </row>
        <row r="703">
          <cell r="D703">
            <v>2</v>
          </cell>
          <cell r="K703">
            <v>1.5</v>
          </cell>
          <cell r="N703">
            <v>160</v>
          </cell>
          <cell r="O703">
            <v>16</v>
          </cell>
          <cell r="P703">
            <v>1920</v>
          </cell>
          <cell r="Q703">
            <v>192</v>
          </cell>
          <cell r="R703">
            <v>53.33</v>
          </cell>
          <cell r="S703">
            <v>5.33</v>
          </cell>
        </row>
        <row r="704">
          <cell r="D704">
            <v>2</v>
          </cell>
          <cell r="K704">
            <v>1.5</v>
          </cell>
          <cell r="N704">
            <v>160</v>
          </cell>
          <cell r="O704">
            <v>16</v>
          </cell>
          <cell r="P704">
            <v>1920</v>
          </cell>
          <cell r="Q704">
            <v>192</v>
          </cell>
          <cell r="R704">
            <v>53.33</v>
          </cell>
          <cell r="S704">
            <v>5.33</v>
          </cell>
        </row>
        <row r="705">
          <cell r="D705">
            <v>2</v>
          </cell>
          <cell r="K705">
            <v>1.5</v>
          </cell>
          <cell r="N705">
            <v>160</v>
          </cell>
          <cell r="O705">
            <v>16</v>
          </cell>
          <cell r="P705">
            <v>1920</v>
          </cell>
          <cell r="Q705">
            <v>192</v>
          </cell>
          <cell r="R705">
            <v>53.33</v>
          </cell>
          <cell r="S705">
            <v>5.33</v>
          </cell>
        </row>
        <row r="706">
          <cell r="D706">
            <v>2</v>
          </cell>
          <cell r="K706">
            <v>1.5</v>
          </cell>
          <cell r="N706">
            <v>160</v>
          </cell>
          <cell r="O706">
            <v>16</v>
          </cell>
          <cell r="P706">
            <v>1920</v>
          </cell>
          <cell r="Q706">
            <v>192</v>
          </cell>
          <cell r="R706">
            <v>53.33</v>
          </cell>
          <cell r="S706">
            <v>5.33</v>
          </cell>
        </row>
        <row r="707">
          <cell r="D707">
            <v>2</v>
          </cell>
          <cell r="K707">
            <v>1.5</v>
          </cell>
          <cell r="N707">
            <v>176</v>
          </cell>
          <cell r="O707">
            <v>17.600000000000001</v>
          </cell>
          <cell r="P707">
            <v>2112</v>
          </cell>
          <cell r="Q707">
            <v>211.2</v>
          </cell>
          <cell r="R707">
            <v>58.67</v>
          </cell>
          <cell r="S707">
            <v>5.87</v>
          </cell>
        </row>
        <row r="708">
          <cell r="D708">
            <v>2</v>
          </cell>
          <cell r="K708">
            <v>1.5</v>
          </cell>
          <cell r="N708">
            <v>176</v>
          </cell>
          <cell r="O708">
            <v>17.600000000000001</v>
          </cell>
          <cell r="P708">
            <v>2112</v>
          </cell>
          <cell r="Q708">
            <v>211.2</v>
          </cell>
          <cell r="R708">
            <v>58.67</v>
          </cell>
          <cell r="S708">
            <v>5.87</v>
          </cell>
        </row>
        <row r="709">
          <cell r="D709">
            <v>2</v>
          </cell>
          <cell r="K709">
            <v>1.5</v>
          </cell>
          <cell r="N709">
            <v>176</v>
          </cell>
          <cell r="O709">
            <v>17.600000000000001</v>
          </cell>
          <cell r="P709">
            <v>2112</v>
          </cell>
          <cell r="Q709">
            <v>211.2</v>
          </cell>
          <cell r="R709">
            <v>58.67</v>
          </cell>
          <cell r="S709">
            <v>5.87</v>
          </cell>
        </row>
        <row r="710">
          <cell r="D710">
            <v>2</v>
          </cell>
          <cell r="K710">
            <v>1.5</v>
          </cell>
          <cell r="N710">
            <v>176</v>
          </cell>
          <cell r="O710">
            <v>17.600000000000001</v>
          </cell>
          <cell r="P710">
            <v>2112</v>
          </cell>
          <cell r="Q710">
            <v>211.2</v>
          </cell>
          <cell r="R710">
            <v>58.67</v>
          </cell>
          <cell r="S710">
            <v>5.87</v>
          </cell>
        </row>
        <row r="711">
          <cell r="D711">
            <v>2</v>
          </cell>
          <cell r="K711">
            <v>1.5</v>
          </cell>
          <cell r="N711">
            <v>176</v>
          </cell>
          <cell r="O711">
            <v>17.600000000000001</v>
          </cell>
          <cell r="P711">
            <v>2112</v>
          </cell>
          <cell r="Q711">
            <v>211.2</v>
          </cell>
          <cell r="R711">
            <v>58.67</v>
          </cell>
          <cell r="S711">
            <v>5.87</v>
          </cell>
        </row>
        <row r="712">
          <cell r="D712">
            <v>2</v>
          </cell>
          <cell r="K712">
            <v>1.5</v>
          </cell>
          <cell r="N712">
            <v>192</v>
          </cell>
          <cell r="O712">
            <v>19.2</v>
          </cell>
          <cell r="P712">
            <v>2304</v>
          </cell>
          <cell r="Q712">
            <v>230.4</v>
          </cell>
          <cell r="R712">
            <v>64</v>
          </cell>
          <cell r="S712">
            <v>6.4</v>
          </cell>
        </row>
        <row r="713">
          <cell r="D713">
            <v>2</v>
          </cell>
          <cell r="K713">
            <v>1.5</v>
          </cell>
          <cell r="N713">
            <v>192</v>
          </cell>
          <cell r="O713">
            <v>19.2</v>
          </cell>
          <cell r="P713">
            <v>2304</v>
          </cell>
          <cell r="Q713">
            <v>230.4</v>
          </cell>
          <cell r="R713">
            <v>64</v>
          </cell>
          <cell r="S713">
            <v>6.4</v>
          </cell>
        </row>
        <row r="714">
          <cell r="D714">
            <v>2</v>
          </cell>
          <cell r="K714">
            <v>1.5</v>
          </cell>
          <cell r="N714">
            <v>192</v>
          </cell>
          <cell r="O714">
            <v>19.2</v>
          </cell>
          <cell r="P714">
            <v>2304</v>
          </cell>
          <cell r="Q714">
            <v>230.4</v>
          </cell>
          <cell r="R714">
            <v>64</v>
          </cell>
          <cell r="S714">
            <v>6.4</v>
          </cell>
        </row>
        <row r="715">
          <cell r="D715">
            <v>2</v>
          </cell>
          <cell r="K715">
            <v>1.5</v>
          </cell>
          <cell r="N715">
            <v>192</v>
          </cell>
          <cell r="O715">
            <v>19.2</v>
          </cell>
          <cell r="P715">
            <v>2304</v>
          </cell>
          <cell r="Q715">
            <v>230.4</v>
          </cell>
          <cell r="R715">
            <v>64</v>
          </cell>
          <cell r="S715">
            <v>6.4</v>
          </cell>
        </row>
        <row r="716">
          <cell r="D716">
            <v>2</v>
          </cell>
          <cell r="K716">
            <v>1.5</v>
          </cell>
          <cell r="N716">
            <v>192</v>
          </cell>
          <cell r="O716">
            <v>19.2</v>
          </cell>
          <cell r="P716">
            <v>2304</v>
          </cell>
          <cell r="Q716">
            <v>230.4</v>
          </cell>
          <cell r="R716">
            <v>64</v>
          </cell>
          <cell r="S716">
            <v>6.4</v>
          </cell>
        </row>
        <row r="717">
          <cell r="D717">
            <v>2</v>
          </cell>
          <cell r="K717">
            <v>1.5</v>
          </cell>
          <cell r="N717">
            <v>208</v>
          </cell>
          <cell r="O717">
            <v>20.8</v>
          </cell>
          <cell r="P717">
            <v>2496</v>
          </cell>
          <cell r="Q717">
            <v>249.6</v>
          </cell>
          <cell r="R717">
            <v>69.33</v>
          </cell>
          <cell r="S717">
            <v>6.93</v>
          </cell>
        </row>
        <row r="718">
          <cell r="D718">
            <v>2</v>
          </cell>
          <cell r="K718">
            <v>1.5</v>
          </cell>
          <cell r="N718">
            <v>208</v>
          </cell>
          <cell r="O718">
            <v>20.8</v>
          </cell>
          <cell r="P718">
            <v>2496</v>
          </cell>
          <cell r="Q718">
            <v>249.6</v>
          </cell>
          <cell r="R718">
            <v>69.33</v>
          </cell>
          <cell r="S718">
            <v>6.93</v>
          </cell>
        </row>
        <row r="719">
          <cell r="D719">
            <v>2</v>
          </cell>
          <cell r="K719">
            <v>1.5</v>
          </cell>
          <cell r="N719">
            <v>208</v>
          </cell>
          <cell r="O719">
            <v>20.8</v>
          </cell>
          <cell r="P719">
            <v>2496</v>
          </cell>
          <cell r="Q719">
            <v>249.6</v>
          </cell>
          <cell r="R719">
            <v>69.33</v>
          </cell>
          <cell r="S719">
            <v>6.93</v>
          </cell>
        </row>
        <row r="720">
          <cell r="D720">
            <v>2</v>
          </cell>
          <cell r="K720">
            <v>1.5</v>
          </cell>
          <cell r="N720">
            <v>208</v>
          </cell>
          <cell r="O720">
            <v>20.8</v>
          </cell>
          <cell r="P720">
            <v>2496</v>
          </cell>
          <cell r="Q720">
            <v>249.6</v>
          </cell>
          <cell r="R720">
            <v>69.33</v>
          </cell>
          <cell r="S720">
            <v>6.93</v>
          </cell>
        </row>
        <row r="721">
          <cell r="D721">
            <v>2</v>
          </cell>
          <cell r="K721">
            <v>1.5</v>
          </cell>
          <cell r="N721">
            <v>208</v>
          </cell>
          <cell r="O721">
            <v>20.8</v>
          </cell>
          <cell r="P721">
            <v>2496</v>
          </cell>
          <cell r="Q721">
            <v>249.6</v>
          </cell>
          <cell r="R721">
            <v>69.33</v>
          </cell>
          <cell r="S721">
            <v>6.93</v>
          </cell>
        </row>
        <row r="722">
          <cell r="D722">
            <v>2</v>
          </cell>
          <cell r="K722">
            <v>1.5</v>
          </cell>
          <cell r="N722">
            <v>224</v>
          </cell>
          <cell r="O722">
            <v>22.4</v>
          </cell>
          <cell r="P722">
            <v>2688</v>
          </cell>
          <cell r="Q722">
            <v>268.8</v>
          </cell>
          <cell r="R722">
            <v>74.67</v>
          </cell>
          <cell r="S722">
            <v>7.47</v>
          </cell>
        </row>
        <row r="723">
          <cell r="D723">
            <v>2</v>
          </cell>
          <cell r="K723">
            <v>1.5</v>
          </cell>
          <cell r="N723">
            <v>224</v>
          </cell>
          <cell r="O723">
            <v>22.4</v>
          </cell>
          <cell r="P723">
            <v>2688</v>
          </cell>
          <cell r="Q723">
            <v>268.8</v>
          </cell>
          <cell r="R723">
            <v>74.67</v>
          </cell>
          <cell r="S723">
            <v>7.47</v>
          </cell>
        </row>
        <row r="724">
          <cell r="D724">
            <v>2</v>
          </cell>
          <cell r="K724">
            <v>1.5</v>
          </cell>
          <cell r="N724">
            <v>224</v>
          </cell>
          <cell r="O724">
            <v>22.4</v>
          </cell>
          <cell r="P724">
            <v>2688</v>
          </cell>
          <cell r="Q724">
            <v>268.8</v>
          </cell>
          <cell r="R724">
            <v>74.67</v>
          </cell>
          <cell r="S724">
            <v>7.47</v>
          </cell>
        </row>
        <row r="725">
          <cell r="D725">
            <v>2</v>
          </cell>
          <cell r="K725">
            <v>1.5</v>
          </cell>
          <cell r="N725">
            <v>224</v>
          </cell>
          <cell r="O725">
            <v>22.4</v>
          </cell>
          <cell r="P725">
            <v>2688</v>
          </cell>
          <cell r="Q725">
            <v>268.8</v>
          </cell>
          <cell r="R725">
            <v>74.67</v>
          </cell>
          <cell r="S725">
            <v>7.47</v>
          </cell>
        </row>
        <row r="726">
          <cell r="D726">
            <v>2</v>
          </cell>
          <cell r="K726">
            <v>1.5</v>
          </cell>
          <cell r="N726">
            <v>224</v>
          </cell>
          <cell r="O726">
            <v>22.4</v>
          </cell>
          <cell r="P726">
            <v>2688</v>
          </cell>
          <cell r="Q726">
            <v>268.8</v>
          </cell>
          <cell r="R726">
            <v>74.67</v>
          </cell>
          <cell r="S726">
            <v>7.47</v>
          </cell>
        </row>
        <row r="727">
          <cell r="D727">
            <v>2</v>
          </cell>
          <cell r="K727">
            <v>1.5</v>
          </cell>
          <cell r="N727">
            <v>240</v>
          </cell>
          <cell r="O727">
            <v>24</v>
          </cell>
          <cell r="P727">
            <v>2880</v>
          </cell>
          <cell r="Q727">
            <v>288</v>
          </cell>
          <cell r="R727">
            <v>80</v>
          </cell>
          <cell r="S727">
            <v>8</v>
          </cell>
        </row>
        <row r="728">
          <cell r="D728">
            <v>2</v>
          </cell>
          <cell r="K728">
            <v>1.5</v>
          </cell>
          <cell r="N728">
            <v>240</v>
          </cell>
          <cell r="O728">
            <v>24</v>
          </cell>
          <cell r="P728">
            <v>2880</v>
          </cell>
          <cell r="Q728">
            <v>288</v>
          </cell>
          <cell r="R728">
            <v>80</v>
          </cell>
          <cell r="S728">
            <v>8</v>
          </cell>
        </row>
        <row r="729">
          <cell r="D729">
            <v>2</v>
          </cell>
          <cell r="K729">
            <v>1.5</v>
          </cell>
          <cell r="N729">
            <v>240</v>
          </cell>
          <cell r="O729">
            <v>24</v>
          </cell>
          <cell r="P729">
            <v>2880</v>
          </cell>
          <cell r="Q729">
            <v>288</v>
          </cell>
          <cell r="R729">
            <v>80</v>
          </cell>
          <cell r="S729">
            <v>8</v>
          </cell>
        </row>
        <row r="730">
          <cell r="D730">
            <v>2</v>
          </cell>
          <cell r="K730">
            <v>1.5</v>
          </cell>
          <cell r="N730">
            <v>240</v>
          </cell>
          <cell r="O730">
            <v>24</v>
          </cell>
          <cell r="P730">
            <v>2880</v>
          </cell>
          <cell r="Q730">
            <v>288</v>
          </cell>
          <cell r="R730">
            <v>80</v>
          </cell>
          <cell r="S730">
            <v>8</v>
          </cell>
        </row>
        <row r="731">
          <cell r="D731">
            <v>2</v>
          </cell>
          <cell r="K731">
            <v>1.5</v>
          </cell>
          <cell r="N731">
            <v>240</v>
          </cell>
          <cell r="O731">
            <v>24</v>
          </cell>
          <cell r="P731">
            <v>2880</v>
          </cell>
          <cell r="Q731">
            <v>288</v>
          </cell>
          <cell r="R731">
            <v>80</v>
          </cell>
          <cell r="S731">
            <v>8</v>
          </cell>
        </row>
        <row r="732">
          <cell r="D732">
            <v>2</v>
          </cell>
          <cell r="K732">
            <v>1.5</v>
          </cell>
          <cell r="N732">
            <v>256</v>
          </cell>
          <cell r="O732">
            <v>25.6</v>
          </cell>
          <cell r="P732">
            <v>3072</v>
          </cell>
          <cell r="Q732">
            <v>307.2</v>
          </cell>
          <cell r="R732">
            <v>85.33</v>
          </cell>
          <cell r="S732">
            <v>8.5299999999999994</v>
          </cell>
        </row>
        <row r="733">
          <cell r="D733">
            <v>2</v>
          </cell>
          <cell r="K733">
            <v>1.5</v>
          </cell>
          <cell r="N733">
            <v>256</v>
          </cell>
          <cell r="O733">
            <v>25.6</v>
          </cell>
          <cell r="P733">
            <v>3072</v>
          </cell>
          <cell r="Q733">
            <v>307.2</v>
          </cell>
          <cell r="R733">
            <v>85.33</v>
          </cell>
          <cell r="S733">
            <v>8.5299999999999994</v>
          </cell>
        </row>
        <row r="734">
          <cell r="D734">
            <v>2</v>
          </cell>
          <cell r="K734">
            <v>1.5</v>
          </cell>
          <cell r="N734">
            <v>256</v>
          </cell>
          <cell r="O734">
            <v>25.6</v>
          </cell>
          <cell r="P734">
            <v>3072</v>
          </cell>
          <cell r="Q734">
            <v>307.2</v>
          </cell>
          <cell r="R734">
            <v>85.33</v>
          </cell>
          <cell r="S734">
            <v>8.5299999999999994</v>
          </cell>
        </row>
        <row r="735">
          <cell r="D735">
            <v>2</v>
          </cell>
          <cell r="K735">
            <v>1.5</v>
          </cell>
          <cell r="N735">
            <v>256</v>
          </cell>
          <cell r="O735">
            <v>25.6</v>
          </cell>
          <cell r="P735">
            <v>3072</v>
          </cell>
          <cell r="Q735">
            <v>307.2</v>
          </cell>
          <cell r="R735">
            <v>85.33</v>
          </cell>
          <cell r="S735">
            <v>8.5299999999999994</v>
          </cell>
        </row>
        <row r="736">
          <cell r="D736">
            <v>2</v>
          </cell>
          <cell r="K736">
            <v>1.5</v>
          </cell>
          <cell r="N736">
            <v>256</v>
          </cell>
          <cell r="O736">
            <v>25.6</v>
          </cell>
          <cell r="P736">
            <v>3072</v>
          </cell>
          <cell r="Q736">
            <v>307.2</v>
          </cell>
          <cell r="R736">
            <v>85.33</v>
          </cell>
          <cell r="S736">
            <v>8.5299999999999994</v>
          </cell>
        </row>
        <row r="737">
          <cell r="D737">
            <v>2</v>
          </cell>
          <cell r="K737">
            <v>1.6</v>
          </cell>
          <cell r="N737">
            <v>85.33</v>
          </cell>
          <cell r="O737">
            <v>8.5299999999999994</v>
          </cell>
          <cell r="P737">
            <v>960</v>
          </cell>
          <cell r="Q737">
            <v>96</v>
          </cell>
          <cell r="R737">
            <v>28.44</v>
          </cell>
          <cell r="S737">
            <v>2.84</v>
          </cell>
        </row>
        <row r="738">
          <cell r="D738">
            <v>2</v>
          </cell>
          <cell r="K738">
            <v>1.6</v>
          </cell>
          <cell r="N738">
            <v>85.33</v>
          </cell>
          <cell r="O738">
            <v>8.5299999999999994</v>
          </cell>
          <cell r="P738">
            <v>960</v>
          </cell>
          <cell r="Q738">
            <v>96</v>
          </cell>
          <cell r="R738">
            <v>28.44</v>
          </cell>
          <cell r="S738">
            <v>2.84</v>
          </cell>
        </row>
        <row r="739">
          <cell r="D739">
            <v>2</v>
          </cell>
          <cell r="K739">
            <v>1.6</v>
          </cell>
          <cell r="N739">
            <v>85.33</v>
          </cell>
          <cell r="O739">
            <v>8.5299999999999994</v>
          </cell>
          <cell r="P739">
            <v>960</v>
          </cell>
          <cell r="Q739">
            <v>96</v>
          </cell>
          <cell r="R739">
            <v>28.44</v>
          </cell>
          <cell r="S739">
            <v>2.84</v>
          </cell>
        </row>
        <row r="740">
          <cell r="D740">
            <v>2</v>
          </cell>
          <cell r="K740">
            <v>1.6</v>
          </cell>
          <cell r="N740">
            <v>85.33</v>
          </cell>
          <cell r="O740">
            <v>8.5299999999999994</v>
          </cell>
          <cell r="P740">
            <v>960</v>
          </cell>
          <cell r="Q740">
            <v>96</v>
          </cell>
          <cell r="R740">
            <v>28.44</v>
          </cell>
          <cell r="S740">
            <v>2.84</v>
          </cell>
        </row>
        <row r="741">
          <cell r="D741">
            <v>2</v>
          </cell>
          <cell r="K741">
            <v>1.6</v>
          </cell>
          <cell r="N741">
            <v>85.33</v>
          </cell>
          <cell r="O741">
            <v>8.5299999999999994</v>
          </cell>
          <cell r="P741">
            <v>960</v>
          </cell>
          <cell r="Q741">
            <v>96</v>
          </cell>
          <cell r="R741">
            <v>28.44</v>
          </cell>
          <cell r="S741">
            <v>2.84</v>
          </cell>
        </row>
        <row r="742">
          <cell r="D742">
            <v>2</v>
          </cell>
          <cell r="K742">
            <v>1.6</v>
          </cell>
          <cell r="N742">
            <v>93.87</v>
          </cell>
          <cell r="O742">
            <v>9.39</v>
          </cell>
          <cell r="P742">
            <v>1056</v>
          </cell>
          <cell r="Q742">
            <v>105.6</v>
          </cell>
          <cell r="R742">
            <v>31.29</v>
          </cell>
          <cell r="S742">
            <v>3.13</v>
          </cell>
        </row>
        <row r="743">
          <cell r="D743">
            <v>2</v>
          </cell>
          <cell r="K743">
            <v>1.6</v>
          </cell>
          <cell r="N743">
            <v>93.87</v>
          </cell>
          <cell r="O743">
            <v>9.39</v>
          </cell>
          <cell r="P743">
            <v>1056</v>
          </cell>
          <cell r="Q743">
            <v>105.6</v>
          </cell>
          <cell r="R743">
            <v>31.29</v>
          </cell>
          <cell r="S743">
            <v>3.13</v>
          </cell>
        </row>
        <row r="744">
          <cell r="D744">
            <v>2</v>
          </cell>
          <cell r="K744">
            <v>1.6</v>
          </cell>
          <cell r="N744">
            <v>93.87</v>
          </cell>
          <cell r="O744">
            <v>9.39</v>
          </cell>
          <cell r="P744">
            <v>1056</v>
          </cell>
          <cell r="Q744">
            <v>105.6</v>
          </cell>
          <cell r="R744">
            <v>31.29</v>
          </cell>
          <cell r="S744">
            <v>3.13</v>
          </cell>
        </row>
        <row r="745">
          <cell r="D745">
            <v>2</v>
          </cell>
          <cell r="K745">
            <v>1.6</v>
          </cell>
          <cell r="N745">
            <v>93.87</v>
          </cell>
          <cell r="O745">
            <v>9.39</v>
          </cell>
          <cell r="P745">
            <v>1056</v>
          </cell>
          <cell r="Q745">
            <v>105.6</v>
          </cell>
          <cell r="R745">
            <v>31.29</v>
          </cell>
          <cell r="S745">
            <v>3.13</v>
          </cell>
        </row>
        <row r="746">
          <cell r="D746">
            <v>2</v>
          </cell>
          <cell r="K746">
            <v>1.6</v>
          </cell>
          <cell r="N746">
            <v>93.87</v>
          </cell>
          <cell r="O746">
            <v>9.39</v>
          </cell>
          <cell r="P746">
            <v>1056</v>
          </cell>
          <cell r="Q746">
            <v>105.6</v>
          </cell>
          <cell r="R746">
            <v>31.29</v>
          </cell>
          <cell r="S746">
            <v>3.13</v>
          </cell>
        </row>
        <row r="747">
          <cell r="D747">
            <v>2</v>
          </cell>
          <cell r="K747">
            <v>1.6</v>
          </cell>
          <cell r="N747">
            <v>102.4</v>
          </cell>
          <cell r="O747">
            <v>10.24</v>
          </cell>
          <cell r="P747">
            <v>1152</v>
          </cell>
          <cell r="Q747">
            <v>115.2</v>
          </cell>
          <cell r="R747">
            <v>34.130000000000003</v>
          </cell>
          <cell r="S747">
            <v>3.41</v>
          </cell>
        </row>
        <row r="748">
          <cell r="D748">
            <v>2</v>
          </cell>
          <cell r="K748">
            <v>1.6</v>
          </cell>
          <cell r="N748">
            <v>102.4</v>
          </cell>
          <cell r="O748">
            <v>10.24</v>
          </cell>
          <cell r="P748">
            <v>1152</v>
          </cell>
          <cell r="Q748">
            <v>115.2</v>
          </cell>
          <cell r="R748">
            <v>34.130000000000003</v>
          </cell>
          <cell r="S748">
            <v>3.41</v>
          </cell>
        </row>
        <row r="749">
          <cell r="D749">
            <v>2</v>
          </cell>
          <cell r="K749">
            <v>1.6</v>
          </cell>
          <cell r="N749">
            <v>102.4</v>
          </cell>
          <cell r="O749">
            <v>10.24</v>
          </cell>
          <cell r="P749">
            <v>1152</v>
          </cell>
          <cell r="Q749">
            <v>115.2</v>
          </cell>
          <cell r="R749">
            <v>34.130000000000003</v>
          </cell>
          <cell r="S749">
            <v>3.41</v>
          </cell>
        </row>
        <row r="750">
          <cell r="D750">
            <v>2</v>
          </cell>
          <cell r="K750">
            <v>1.6</v>
          </cell>
          <cell r="N750">
            <v>102.4</v>
          </cell>
          <cell r="O750">
            <v>10.24</v>
          </cell>
          <cell r="P750">
            <v>1152</v>
          </cell>
          <cell r="Q750">
            <v>115.2</v>
          </cell>
          <cell r="R750">
            <v>34.130000000000003</v>
          </cell>
          <cell r="S750">
            <v>3.41</v>
          </cell>
        </row>
        <row r="751">
          <cell r="D751">
            <v>2</v>
          </cell>
          <cell r="K751">
            <v>1.6</v>
          </cell>
          <cell r="N751">
            <v>102.4</v>
          </cell>
          <cell r="O751">
            <v>10.24</v>
          </cell>
          <cell r="P751">
            <v>1152</v>
          </cell>
          <cell r="Q751">
            <v>115.2</v>
          </cell>
          <cell r="R751">
            <v>34.130000000000003</v>
          </cell>
          <cell r="S751">
            <v>3.41</v>
          </cell>
        </row>
        <row r="752">
          <cell r="D752">
            <v>2</v>
          </cell>
          <cell r="K752">
            <v>1.6</v>
          </cell>
          <cell r="N752">
            <v>119.47</v>
          </cell>
          <cell r="O752">
            <v>11.95</v>
          </cell>
          <cell r="P752">
            <v>1344</v>
          </cell>
          <cell r="Q752">
            <v>134.4</v>
          </cell>
          <cell r="R752">
            <v>39.82</v>
          </cell>
          <cell r="S752">
            <v>3.98</v>
          </cell>
        </row>
        <row r="753">
          <cell r="D753">
            <v>2</v>
          </cell>
          <cell r="K753">
            <v>1.6</v>
          </cell>
          <cell r="N753">
            <v>119.47</v>
          </cell>
          <cell r="O753">
            <v>11.95</v>
          </cell>
          <cell r="P753">
            <v>1344</v>
          </cell>
          <cell r="Q753">
            <v>134.4</v>
          </cell>
          <cell r="R753">
            <v>39.82</v>
          </cell>
          <cell r="S753">
            <v>3.98</v>
          </cell>
        </row>
        <row r="754">
          <cell r="D754">
            <v>2</v>
          </cell>
          <cell r="K754">
            <v>1.6</v>
          </cell>
          <cell r="N754">
            <v>119.47</v>
          </cell>
          <cell r="O754">
            <v>11.95</v>
          </cell>
          <cell r="P754">
            <v>1344</v>
          </cell>
          <cell r="Q754">
            <v>134.4</v>
          </cell>
          <cell r="R754">
            <v>39.82</v>
          </cell>
          <cell r="S754">
            <v>3.98</v>
          </cell>
        </row>
        <row r="755">
          <cell r="D755">
            <v>2</v>
          </cell>
          <cell r="K755">
            <v>1.6</v>
          </cell>
          <cell r="N755">
            <v>119.47</v>
          </cell>
          <cell r="O755">
            <v>11.95</v>
          </cell>
          <cell r="P755">
            <v>1344</v>
          </cell>
          <cell r="Q755">
            <v>134.4</v>
          </cell>
          <cell r="R755">
            <v>39.82</v>
          </cell>
          <cell r="S755">
            <v>3.98</v>
          </cell>
        </row>
        <row r="756">
          <cell r="D756">
            <v>2</v>
          </cell>
          <cell r="K756">
            <v>1.6</v>
          </cell>
          <cell r="N756">
            <v>119.47</v>
          </cell>
          <cell r="O756">
            <v>11.95</v>
          </cell>
          <cell r="P756">
            <v>1344</v>
          </cell>
          <cell r="Q756">
            <v>134.4</v>
          </cell>
          <cell r="R756">
            <v>39.82</v>
          </cell>
          <cell r="S756">
            <v>3.98</v>
          </cell>
        </row>
        <row r="757">
          <cell r="D757">
            <v>2</v>
          </cell>
          <cell r="K757">
            <v>1.6</v>
          </cell>
          <cell r="N757">
            <v>136.53</v>
          </cell>
          <cell r="O757">
            <v>13.65</v>
          </cell>
          <cell r="P757">
            <v>1536</v>
          </cell>
          <cell r="Q757">
            <v>153.6</v>
          </cell>
          <cell r="R757">
            <v>45.51</v>
          </cell>
          <cell r="S757">
            <v>4.55</v>
          </cell>
        </row>
        <row r="758">
          <cell r="D758">
            <v>2</v>
          </cell>
          <cell r="K758">
            <v>1.6</v>
          </cell>
          <cell r="N758">
            <v>136.53</v>
          </cell>
          <cell r="O758">
            <v>13.65</v>
          </cell>
          <cell r="P758">
            <v>1536</v>
          </cell>
          <cell r="Q758">
            <v>153.6</v>
          </cell>
          <cell r="R758">
            <v>45.51</v>
          </cell>
          <cell r="S758">
            <v>4.55</v>
          </cell>
        </row>
        <row r="759">
          <cell r="D759">
            <v>2</v>
          </cell>
          <cell r="K759">
            <v>1.6</v>
          </cell>
          <cell r="N759">
            <v>136.53</v>
          </cell>
          <cell r="O759">
            <v>13.65</v>
          </cell>
          <cell r="P759">
            <v>1536</v>
          </cell>
          <cell r="Q759">
            <v>153.6</v>
          </cell>
          <cell r="R759">
            <v>45.51</v>
          </cell>
          <cell r="S759">
            <v>4.55</v>
          </cell>
        </row>
        <row r="760">
          <cell r="D760">
            <v>2</v>
          </cell>
          <cell r="K760">
            <v>1.6</v>
          </cell>
          <cell r="N760">
            <v>136.53</v>
          </cell>
          <cell r="O760">
            <v>13.65</v>
          </cell>
          <cell r="P760">
            <v>1536</v>
          </cell>
          <cell r="Q760">
            <v>153.6</v>
          </cell>
          <cell r="R760">
            <v>45.51</v>
          </cell>
          <cell r="S760">
            <v>4.55</v>
          </cell>
        </row>
        <row r="761">
          <cell r="D761">
            <v>2</v>
          </cell>
          <cell r="K761">
            <v>1.6</v>
          </cell>
          <cell r="N761">
            <v>136.53</v>
          </cell>
          <cell r="O761">
            <v>13.65</v>
          </cell>
          <cell r="P761">
            <v>1536</v>
          </cell>
          <cell r="Q761">
            <v>153.6</v>
          </cell>
          <cell r="R761">
            <v>45.51</v>
          </cell>
          <cell r="S761">
            <v>4.55</v>
          </cell>
        </row>
        <row r="762">
          <cell r="D762">
            <v>2</v>
          </cell>
          <cell r="K762">
            <v>1.6</v>
          </cell>
          <cell r="N762">
            <v>153.6</v>
          </cell>
          <cell r="O762">
            <v>15.36</v>
          </cell>
          <cell r="P762">
            <v>1728</v>
          </cell>
          <cell r="Q762">
            <v>172.8</v>
          </cell>
          <cell r="R762">
            <v>51.2</v>
          </cell>
          <cell r="S762">
            <v>5.12</v>
          </cell>
        </row>
        <row r="763">
          <cell r="D763">
            <v>2</v>
          </cell>
          <cell r="K763">
            <v>1.6</v>
          </cell>
          <cell r="N763">
            <v>153.6</v>
          </cell>
          <cell r="O763">
            <v>15.36</v>
          </cell>
          <cell r="P763">
            <v>1728</v>
          </cell>
          <cell r="Q763">
            <v>172.8</v>
          </cell>
          <cell r="R763">
            <v>51.2</v>
          </cell>
          <cell r="S763">
            <v>5.12</v>
          </cell>
        </row>
        <row r="764">
          <cell r="D764">
            <v>2</v>
          </cell>
          <cell r="K764">
            <v>1.6</v>
          </cell>
          <cell r="N764">
            <v>153.6</v>
          </cell>
          <cell r="O764">
            <v>15.36</v>
          </cell>
          <cell r="P764">
            <v>1728</v>
          </cell>
          <cell r="Q764">
            <v>172.8</v>
          </cell>
          <cell r="R764">
            <v>51.2</v>
          </cell>
          <cell r="S764">
            <v>5.12</v>
          </cell>
        </row>
        <row r="765">
          <cell r="D765">
            <v>2</v>
          </cell>
          <cell r="K765">
            <v>1.6</v>
          </cell>
          <cell r="N765">
            <v>153.6</v>
          </cell>
          <cell r="O765">
            <v>15.36</v>
          </cell>
          <cell r="P765">
            <v>1728</v>
          </cell>
          <cell r="Q765">
            <v>172.8</v>
          </cell>
          <cell r="R765">
            <v>51.2</v>
          </cell>
          <cell r="S765">
            <v>5.12</v>
          </cell>
        </row>
        <row r="766">
          <cell r="D766">
            <v>2</v>
          </cell>
          <cell r="K766">
            <v>1.6</v>
          </cell>
          <cell r="N766">
            <v>153.6</v>
          </cell>
          <cell r="O766">
            <v>15.36</v>
          </cell>
          <cell r="P766">
            <v>1728</v>
          </cell>
          <cell r="Q766">
            <v>172.8</v>
          </cell>
          <cell r="R766">
            <v>51.2</v>
          </cell>
          <cell r="S766">
            <v>5.12</v>
          </cell>
        </row>
        <row r="767">
          <cell r="D767">
            <v>2</v>
          </cell>
          <cell r="K767">
            <v>1.6</v>
          </cell>
          <cell r="N767">
            <v>170.67</v>
          </cell>
          <cell r="O767">
            <v>17.07</v>
          </cell>
          <cell r="P767">
            <v>1920</v>
          </cell>
          <cell r="Q767">
            <v>192</v>
          </cell>
          <cell r="R767">
            <v>56.89</v>
          </cell>
          <cell r="S767">
            <v>5.69</v>
          </cell>
        </row>
        <row r="768">
          <cell r="D768">
            <v>2</v>
          </cell>
          <cell r="K768">
            <v>1.6</v>
          </cell>
          <cell r="N768">
            <v>170.67</v>
          </cell>
          <cell r="O768">
            <v>17.07</v>
          </cell>
          <cell r="P768">
            <v>1920</v>
          </cell>
          <cell r="Q768">
            <v>192</v>
          </cell>
          <cell r="R768">
            <v>56.89</v>
          </cell>
          <cell r="S768">
            <v>5.69</v>
          </cell>
        </row>
        <row r="769">
          <cell r="D769">
            <v>2</v>
          </cell>
          <cell r="K769">
            <v>1.6</v>
          </cell>
          <cell r="N769">
            <v>170.67</v>
          </cell>
          <cell r="O769">
            <v>17.07</v>
          </cell>
          <cell r="P769">
            <v>1920</v>
          </cell>
          <cell r="Q769">
            <v>192</v>
          </cell>
          <cell r="R769">
            <v>56.89</v>
          </cell>
          <cell r="S769">
            <v>5.69</v>
          </cell>
        </row>
        <row r="770">
          <cell r="D770">
            <v>2</v>
          </cell>
          <cell r="K770">
            <v>1.6</v>
          </cell>
          <cell r="N770">
            <v>170.67</v>
          </cell>
          <cell r="O770">
            <v>17.07</v>
          </cell>
          <cell r="P770">
            <v>1920</v>
          </cell>
          <cell r="Q770">
            <v>192</v>
          </cell>
          <cell r="R770">
            <v>56.89</v>
          </cell>
          <cell r="S770">
            <v>5.69</v>
          </cell>
        </row>
        <row r="771">
          <cell r="D771">
            <v>2</v>
          </cell>
          <cell r="K771">
            <v>1.6</v>
          </cell>
          <cell r="N771">
            <v>170.67</v>
          </cell>
          <cell r="O771">
            <v>17.07</v>
          </cell>
          <cell r="P771">
            <v>1920</v>
          </cell>
          <cell r="Q771">
            <v>192</v>
          </cell>
          <cell r="R771">
            <v>56.89</v>
          </cell>
          <cell r="S771">
            <v>5.69</v>
          </cell>
        </row>
        <row r="772">
          <cell r="D772">
            <v>2</v>
          </cell>
          <cell r="K772">
            <v>1.6</v>
          </cell>
          <cell r="N772">
            <v>187.73</v>
          </cell>
          <cell r="O772">
            <v>18.77</v>
          </cell>
          <cell r="P772">
            <v>2112</v>
          </cell>
          <cell r="Q772">
            <v>211.2</v>
          </cell>
          <cell r="R772">
            <v>62.58</v>
          </cell>
          <cell r="S772">
            <v>6.26</v>
          </cell>
        </row>
        <row r="773">
          <cell r="D773">
            <v>2</v>
          </cell>
          <cell r="K773">
            <v>1.6</v>
          </cell>
          <cell r="N773">
            <v>187.73</v>
          </cell>
          <cell r="O773">
            <v>18.77</v>
          </cell>
          <cell r="P773">
            <v>2112</v>
          </cell>
          <cell r="Q773">
            <v>211.2</v>
          </cell>
          <cell r="R773">
            <v>62.58</v>
          </cell>
          <cell r="S773">
            <v>6.26</v>
          </cell>
        </row>
        <row r="774">
          <cell r="D774">
            <v>2</v>
          </cell>
          <cell r="K774">
            <v>1.6</v>
          </cell>
          <cell r="N774">
            <v>187.73</v>
          </cell>
          <cell r="O774">
            <v>18.77</v>
          </cell>
          <cell r="P774">
            <v>2112</v>
          </cell>
          <cell r="Q774">
            <v>211.2</v>
          </cell>
          <cell r="R774">
            <v>62.58</v>
          </cell>
          <cell r="S774">
            <v>6.26</v>
          </cell>
        </row>
        <row r="775">
          <cell r="D775">
            <v>2</v>
          </cell>
          <cell r="K775">
            <v>1.6</v>
          </cell>
          <cell r="N775">
            <v>187.73</v>
          </cell>
          <cell r="O775">
            <v>18.77</v>
          </cell>
          <cell r="P775">
            <v>2112</v>
          </cell>
          <cell r="Q775">
            <v>211.2</v>
          </cell>
          <cell r="R775">
            <v>62.58</v>
          </cell>
          <cell r="S775">
            <v>6.26</v>
          </cell>
        </row>
        <row r="776">
          <cell r="D776">
            <v>2</v>
          </cell>
          <cell r="K776">
            <v>1.6</v>
          </cell>
          <cell r="N776">
            <v>187.73</v>
          </cell>
          <cell r="O776">
            <v>18.77</v>
          </cell>
          <cell r="P776">
            <v>2112</v>
          </cell>
          <cell r="Q776">
            <v>211.2</v>
          </cell>
          <cell r="R776">
            <v>62.58</v>
          </cell>
          <cell r="S776">
            <v>6.26</v>
          </cell>
        </row>
        <row r="777">
          <cell r="D777">
            <v>2</v>
          </cell>
          <cell r="K777">
            <v>1.6</v>
          </cell>
          <cell r="N777">
            <v>204.8</v>
          </cell>
          <cell r="O777">
            <v>20.48</v>
          </cell>
          <cell r="P777">
            <v>2304</v>
          </cell>
          <cell r="Q777">
            <v>230.4</v>
          </cell>
          <cell r="R777">
            <v>68.27</v>
          </cell>
          <cell r="S777">
            <v>6.83</v>
          </cell>
        </row>
        <row r="778">
          <cell r="D778">
            <v>2</v>
          </cell>
          <cell r="K778">
            <v>1.6</v>
          </cell>
          <cell r="N778">
            <v>204.8</v>
          </cell>
          <cell r="O778">
            <v>20.48</v>
          </cell>
          <cell r="P778">
            <v>2304</v>
          </cell>
          <cell r="Q778">
            <v>230.4</v>
          </cell>
          <cell r="R778">
            <v>68.27</v>
          </cell>
          <cell r="S778">
            <v>6.83</v>
          </cell>
        </row>
        <row r="779">
          <cell r="D779">
            <v>2</v>
          </cell>
          <cell r="K779">
            <v>1.6</v>
          </cell>
          <cell r="N779">
            <v>204.8</v>
          </cell>
          <cell r="O779">
            <v>20.48</v>
          </cell>
          <cell r="P779">
            <v>2304</v>
          </cell>
          <cell r="Q779">
            <v>230.4</v>
          </cell>
          <cell r="R779">
            <v>68.27</v>
          </cell>
          <cell r="S779">
            <v>6.83</v>
          </cell>
        </row>
        <row r="780">
          <cell r="D780">
            <v>2</v>
          </cell>
          <cell r="K780">
            <v>1.6</v>
          </cell>
          <cell r="N780">
            <v>204.8</v>
          </cell>
          <cell r="O780">
            <v>20.48</v>
          </cell>
          <cell r="P780">
            <v>2304</v>
          </cell>
          <cell r="Q780">
            <v>230.4</v>
          </cell>
          <cell r="R780">
            <v>68.27</v>
          </cell>
          <cell r="S780">
            <v>6.83</v>
          </cell>
        </row>
        <row r="781">
          <cell r="D781">
            <v>2</v>
          </cell>
          <cell r="K781">
            <v>1.6</v>
          </cell>
          <cell r="N781">
            <v>204.8</v>
          </cell>
          <cell r="O781">
            <v>20.48</v>
          </cell>
          <cell r="P781">
            <v>2304</v>
          </cell>
          <cell r="Q781">
            <v>230.4</v>
          </cell>
          <cell r="R781">
            <v>68.27</v>
          </cell>
          <cell r="S781">
            <v>6.83</v>
          </cell>
        </row>
        <row r="782">
          <cell r="D782">
            <v>2</v>
          </cell>
          <cell r="K782">
            <v>1.6</v>
          </cell>
          <cell r="N782">
            <v>221.87</v>
          </cell>
          <cell r="O782">
            <v>22.19</v>
          </cell>
          <cell r="P782">
            <v>2496</v>
          </cell>
          <cell r="Q782">
            <v>249.6</v>
          </cell>
          <cell r="R782">
            <v>73.959999999999994</v>
          </cell>
          <cell r="S782">
            <v>7.4</v>
          </cell>
        </row>
        <row r="783">
          <cell r="D783">
            <v>2</v>
          </cell>
          <cell r="K783">
            <v>1.6</v>
          </cell>
          <cell r="N783">
            <v>221.87</v>
          </cell>
          <cell r="O783">
            <v>22.19</v>
          </cell>
          <cell r="P783">
            <v>2496</v>
          </cell>
          <cell r="Q783">
            <v>249.6</v>
          </cell>
          <cell r="R783">
            <v>73.959999999999994</v>
          </cell>
          <cell r="S783">
            <v>7.4</v>
          </cell>
        </row>
        <row r="784">
          <cell r="D784">
            <v>2</v>
          </cell>
          <cell r="K784">
            <v>1.6</v>
          </cell>
          <cell r="N784">
            <v>221.87</v>
          </cell>
          <cell r="O784">
            <v>22.19</v>
          </cell>
          <cell r="P784">
            <v>2496</v>
          </cell>
          <cell r="Q784">
            <v>249.6</v>
          </cell>
          <cell r="R784">
            <v>73.959999999999994</v>
          </cell>
          <cell r="S784">
            <v>7.4</v>
          </cell>
        </row>
        <row r="785">
          <cell r="D785">
            <v>2</v>
          </cell>
          <cell r="K785">
            <v>1.6</v>
          </cell>
          <cell r="N785">
            <v>221.87</v>
          </cell>
          <cell r="O785">
            <v>22.19</v>
          </cell>
          <cell r="P785">
            <v>2496</v>
          </cell>
          <cell r="Q785">
            <v>249.6</v>
          </cell>
          <cell r="R785">
            <v>73.959999999999994</v>
          </cell>
          <cell r="S785">
            <v>7.4</v>
          </cell>
        </row>
        <row r="786">
          <cell r="D786">
            <v>2</v>
          </cell>
          <cell r="K786">
            <v>1.6</v>
          </cell>
          <cell r="N786">
            <v>221.87</v>
          </cell>
          <cell r="O786">
            <v>22.19</v>
          </cell>
          <cell r="P786">
            <v>2496</v>
          </cell>
          <cell r="Q786">
            <v>249.6</v>
          </cell>
          <cell r="R786">
            <v>73.959999999999994</v>
          </cell>
          <cell r="S786">
            <v>7.4</v>
          </cell>
        </row>
        <row r="787">
          <cell r="D787">
            <v>2</v>
          </cell>
          <cell r="K787">
            <v>1.6</v>
          </cell>
          <cell r="N787">
            <v>238.93</v>
          </cell>
          <cell r="O787">
            <v>23.89</v>
          </cell>
          <cell r="P787">
            <v>2688</v>
          </cell>
          <cell r="Q787">
            <v>268.8</v>
          </cell>
          <cell r="R787">
            <v>79.64</v>
          </cell>
          <cell r="S787">
            <v>7.96</v>
          </cell>
        </row>
        <row r="788">
          <cell r="D788">
            <v>2</v>
          </cell>
          <cell r="K788">
            <v>1.6</v>
          </cell>
          <cell r="N788">
            <v>238.93</v>
          </cell>
          <cell r="O788">
            <v>23.89</v>
          </cell>
          <cell r="P788">
            <v>2688</v>
          </cell>
          <cell r="Q788">
            <v>268.8</v>
          </cell>
          <cell r="R788">
            <v>79.64</v>
          </cell>
          <cell r="S788">
            <v>7.96</v>
          </cell>
        </row>
        <row r="789">
          <cell r="D789">
            <v>2</v>
          </cell>
          <cell r="K789">
            <v>1.6</v>
          </cell>
          <cell r="N789">
            <v>238.93</v>
          </cell>
          <cell r="O789">
            <v>23.89</v>
          </cell>
          <cell r="P789">
            <v>2688</v>
          </cell>
          <cell r="Q789">
            <v>268.8</v>
          </cell>
          <cell r="R789">
            <v>79.64</v>
          </cell>
          <cell r="S789">
            <v>7.96</v>
          </cell>
        </row>
        <row r="790">
          <cell r="D790">
            <v>2</v>
          </cell>
          <cell r="K790">
            <v>1.6</v>
          </cell>
          <cell r="N790">
            <v>238.93</v>
          </cell>
          <cell r="O790">
            <v>23.89</v>
          </cell>
          <cell r="P790">
            <v>2688</v>
          </cell>
          <cell r="Q790">
            <v>268.8</v>
          </cell>
          <cell r="R790">
            <v>79.64</v>
          </cell>
          <cell r="S790">
            <v>7.96</v>
          </cell>
        </row>
        <row r="791">
          <cell r="D791">
            <v>2</v>
          </cell>
          <cell r="K791">
            <v>1.6</v>
          </cell>
          <cell r="N791">
            <v>238.93</v>
          </cell>
          <cell r="O791">
            <v>23.89</v>
          </cell>
          <cell r="P791">
            <v>2688</v>
          </cell>
          <cell r="Q791">
            <v>268.8</v>
          </cell>
          <cell r="R791">
            <v>79.64</v>
          </cell>
          <cell r="S791">
            <v>7.96</v>
          </cell>
        </row>
        <row r="792">
          <cell r="D792">
            <v>2</v>
          </cell>
          <cell r="K792">
            <v>1.6</v>
          </cell>
          <cell r="N792">
            <v>256</v>
          </cell>
          <cell r="O792">
            <v>25.6</v>
          </cell>
          <cell r="P792">
            <v>2880</v>
          </cell>
          <cell r="Q792">
            <v>288</v>
          </cell>
          <cell r="R792">
            <v>85.33</v>
          </cell>
          <cell r="S792">
            <v>8.5299999999999994</v>
          </cell>
        </row>
        <row r="793">
          <cell r="D793">
            <v>2</v>
          </cell>
          <cell r="K793">
            <v>1.6</v>
          </cell>
          <cell r="N793">
            <v>256</v>
          </cell>
          <cell r="O793">
            <v>25.6</v>
          </cell>
          <cell r="P793">
            <v>2880</v>
          </cell>
          <cell r="Q793">
            <v>288</v>
          </cell>
          <cell r="R793">
            <v>85.33</v>
          </cell>
          <cell r="S793">
            <v>8.5299999999999994</v>
          </cell>
        </row>
        <row r="794">
          <cell r="D794">
            <v>2</v>
          </cell>
          <cell r="K794">
            <v>1.6</v>
          </cell>
          <cell r="N794">
            <v>256</v>
          </cell>
          <cell r="O794">
            <v>25.6</v>
          </cell>
          <cell r="P794">
            <v>2880</v>
          </cell>
          <cell r="Q794">
            <v>288</v>
          </cell>
          <cell r="R794">
            <v>85.33</v>
          </cell>
          <cell r="S794">
            <v>8.5299999999999994</v>
          </cell>
        </row>
        <row r="795">
          <cell r="D795">
            <v>2</v>
          </cell>
          <cell r="K795">
            <v>1.6</v>
          </cell>
          <cell r="N795">
            <v>256</v>
          </cell>
          <cell r="O795">
            <v>25.6</v>
          </cell>
          <cell r="P795">
            <v>2880</v>
          </cell>
          <cell r="Q795">
            <v>288</v>
          </cell>
          <cell r="R795">
            <v>85.33</v>
          </cell>
          <cell r="S795">
            <v>8.5299999999999994</v>
          </cell>
        </row>
        <row r="796">
          <cell r="D796">
            <v>2</v>
          </cell>
          <cell r="K796">
            <v>1.6</v>
          </cell>
          <cell r="N796">
            <v>256</v>
          </cell>
          <cell r="O796">
            <v>25.6</v>
          </cell>
          <cell r="P796">
            <v>2880</v>
          </cell>
          <cell r="Q796">
            <v>288</v>
          </cell>
          <cell r="R796">
            <v>85.33</v>
          </cell>
          <cell r="S796">
            <v>8.5299999999999994</v>
          </cell>
        </row>
        <row r="797">
          <cell r="D797">
            <v>2</v>
          </cell>
          <cell r="K797">
            <v>1.6</v>
          </cell>
          <cell r="N797">
            <v>273.07</v>
          </cell>
          <cell r="O797">
            <v>27.31</v>
          </cell>
          <cell r="P797">
            <v>3072</v>
          </cell>
          <cell r="Q797">
            <v>307.2</v>
          </cell>
          <cell r="R797">
            <v>91.02</v>
          </cell>
          <cell r="S797">
            <v>9.1</v>
          </cell>
        </row>
        <row r="798">
          <cell r="D798">
            <v>2</v>
          </cell>
          <cell r="K798">
            <v>1.6</v>
          </cell>
          <cell r="N798">
            <v>273.07</v>
          </cell>
          <cell r="O798">
            <v>27.31</v>
          </cell>
          <cell r="P798">
            <v>3072</v>
          </cell>
          <cell r="Q798">
            <v>307.2</v>
          </cell>
          <cell r="R798">
            <v>91.02</v>
          </cell>
          <cell r="S798">
            <v>9.1</v>
          </cell>
        </row>
        <row r="799">
          <cell r="D799">
            <v>2</v>
          </cell>
          <cell r="K799">
            <v>1.6</v>
          </cell>
          <cell r="N799">
            <v>273.07</v>
          </cell>
          <cell r="O799">
            <v>27.31</v>
          </cell>
          <cell r="P799">
            <v>3072</v>
          </cell>
          <cell r="Q799">
            <v>307.2</v>
          </cell>
          <cell r="R799">
            <v>91.02</v>
          </cell>
          <cell r="S799">
            <v>9.1</v>
          </cell>
        </row>
        <row r="800">
          <cell r="D800">
            <v>2</v>
          </cell>
          <cell r="K800">
            <v>1.3</v>
          </cell>
          <cell r="N800">
            <v>62.4</v>
          </cell>
          <cell r="O800">
            <v>6.24</v>
          </cell>
          <cell r="P800">
            <v>213.334</v>
          </cell>
          <cell r="Q800">
            <v>106.67</v>
          </cell>
          <cell r="R800">
            <v>12.48</v>
          </cell>
          <cell r="S800">
            <v>1.25</v>
          </cell>
        </row>
        <row r="801">
          <cell r="D801">
            <v>4</v>
          </cell>
          <cell r="K801">
            <v>1.3</v>
          </cell>
          <cell r="N801">
            <v>83.2</v>
          </cell>
          <cell r="O801">
            <v>8.32</v>
          </cell>
          <cell r="P801">
            <v>160</v>
          </cell>
          <cell r="Q801">
            <v>80</v>
          </cell>
          <cell r="R801">
            <v>8.32</v>
          </cell>
          <cell r="S801">
            <v>0.83</v>
          </cell>
        </row>
        <row r="802">
          <cell r="D802">
            <v>2</v>
          </cell>
          <cell r="K802">
            <v>1.8</v>
          </cell>
          <cell r="N802">
            <v>86.4</v>
          </cell>
          <cell r="O802">
            <v>8.64</v>
          </cell>
          <cell r="P802">
            <v>213.334</v>
          </cell>
          <cell r="Q802">
            <v>106.67</v>
          </cell>
          <cell r="R802">
            <v>17.28</v>
          </cell>
          <cell r="S802">
            <v>1.73</v>
          </cell>
        </row>
        <row r="803">
          <cell r="D803">
            <v>4</v>
          </cell>
          <cell r="K803">
            <v>1.5</v>
          </cell>
          <cell r="N803">
            <v>100</v>
          </cell>
          <cell r="O803">
            <v>10</v>
          </cell>
          <cell r="P803">
            <v>153.6</v>
          </cell>
          <cell r="Q803">
            <v>76.8</v>
          </cell>
          <cell r="R803">
            <v>10</v>
          </cell>
          <cell r="S803">
            <v>1</v>
          </cell>
        </row>
        <row r="804">
          <cell r="D804">
            <v>3</v>
          </cell>
          <cell r="K804">
            <v>1.3</v>
          </cell>
          <cell r="N804">
            <v>76.27</v>
          </cell>
          <cell r="O804">
            <v>7.63</v>
          </cell>
          <cell r="P804">
            <v>174.54599999999999</v>
          </cell>
          <cell r="Q804">
            <v>87.27</v>
          </cell>
          <cell r="R804">
            <v>9.5299999999999994</v>
          </cell>
          <cell r="S804">
            <v>0.95</v>
          </cell>
        </row>
        <row r="805">
          <cell r="D805">
            <v>5</v>
          </cell>
          <cell r="K805">
            <v>1.8</v>
          </cell>
          <cell r="N805">
            <v>105.6</v>
          </cell>
          <cell r="O805">
            <v>10.56</v>
          </cell>
          <cell r="P805">
            <v>174.54599999999999</v>
          </cell>
          <cell r="Q805">
            <v>87.27</v>
          </cell>
          <cell r="R805">
            <v>17.600000000000001</v>
          </cell>
          <cell r="S805">
            <v>1.76</v>
          </cell>
        </row>
        <row r="806">
          <cell r="D806">
            <v>2</v>
          </cell>
          <cell r="K806">
            <v>1.6</v>
          </cell>
          <cell r="N806">
            <v>76.8</v>
          </cell>
          <cell r="O806">
            <v>7.68</v>
          </cell>
          <cell r="P806">
            <v>213.334</v>
          </cell>
          <cell r="Q806">
            <v>106.67</v>
          </cell>
          <cell r="R806">
            <v>15.36</v>
          </cell>
          <cell r="S806">
            <v>1.54</v>
          </cell>
        </row>
        <row r="807">
          <cell r="D807">
            <v>4</v>
          </cell>
          <cell r="K807">
            <v>1.4</v>
          </cell>
          <cell r="N807">
            <v>97.07</v>
          </cell>
          <cell r="O807">
            <v>9.7100000000000009</v>
          </cell>
          <cell r="P807">
            <v>147.69200000000001</v>
          </cell>
          <cell r="Q807">
            <v>73.849999999999994</v>
          </cell>
          <cell r="R807">
            <v>9.7100000000000009</v>
          </cell>
          <cell r="S807">
            <v>0.97</v>
          </cell>
        </row>
        <row r="808">
          <cell r="D808">
            <v>2</v>
          </cell>
          <cell r="K808">
            <v>1.4</v>
          </cell>
          <cell r="N808">
            <v>67.2</v>
          </cell>
          <cell r="O808">
            <v>6.72</v>
          </cell>
          <cell r="P808">
            <v>213.334</v>
          </cell>
          <cell r="Q808">
            <v>106.67</v>
          </cell>
          <cell r="R808">
            <v>13.44</v>
          </cell>
          <cell r="S808">
            <v>1.34</v>
          </cell>
        </row>
        <row r="809">
          <cell r="D809">
            <v>4</v>
          </cell>
          <cell r="K809">
            <v>1.6</v>
          </cell>
          <cell r="N809">
            <v>110.93</v>
          </cell>
          <cell r="O809">
            <v>11.09</v>
          </cell>
          <cell r="P809">
            <v>147.69200000000001</v>
          </cell>
          <cell r="Q809">
            <v>73.849999999999994</v>
          </cell>
          <cell r="R809">
            <v>11.09</v>
          </cell>
          <cell r="S809">
            <v>1.1100000000000001</v>
          </cell>
        </row>
        <row r="810">
          <cell r="D810">
            <v>5</v>
          </cell>
          <cell r="K810">
            <v>1.6</v>
          </cell>
          <cell r="N810">
            <v>102.4</v>
          </cell>
          <cell r="O810">
            <v>10.24</v>
          </cell>
          <cell r="P810">
            <v>160</v>
          </cell>
          <cell r="Q810">
            <v>80</v>
          </cell>
          <cell r="R810">
            <v>17.07</v>
          </cell>
          <cell r="S810">
            <v>1.71</v>
          </cell>
        </row>
        <row r="811">
          <cell r="D811">
            <v>3</v>
          </cell>
          <cell r="K811">
            <v>1.4</v>
          </cell>
          <cell r="N811">
            <v>85.87</v>
          </cell>
          <cell r="O811">
            <v>8.59</v>
          </cell>
          <cell r="P811">
            <v>166.95599999999999</v>
          </cell>
          <cell r="Q811">
            <v>83.48</v>
          </cell>
          <cell r="R811">
            <v>10.73</v>
          </cell>
          <cell r="S811">
            <v>1.07</v>
          </cell>
        </row>
        <row r="812">
          <cell r="D812">
            <v>2</v>
          </cell>
          <cell r="K812">
            <v>1.3</v>
          </cell>
          <cell r="N812">
            <v>62.4</v>
          </cell>
          <cell r="O812">
            <v>6.24</v>
          </cell>
          <cell r="P812">
            <v>213.334</v>
          </cell>
          <cell r="Q812">
            <v>106.67</v>
          </cell>
          <cell r="R812">
            <v>12.48</v>
          </cell>
          <cell r="S812">
            <v>1.25</v>
          </cell>
        </row>
        <row r="813">
          <cell r="D813">
            <v>4</v>
          </cell>
          <cell r="K813">
            <v>1.3</v>
          </cell>
          <cell r="N813">
            <v>83.2</v>
          </cell>
          <cell r="O813">
            <v>8.32</v>
          </cell>
          <cell r="P813">
            <v>160</v>
          </cell>
          <cell r="Q813">
            <v>80</v>
          </cell>
          <cell r="R813">
            <v>8.32</v>
          </cell>
          <cell r="S813">
            <v>0.83</v>
          </cell>
        </row>
        <row r="814">
          <cell r="D814">
            <v>2</v>
          </cell>
          <cell r="K814">
            <v>1.8</v>
          </cell>
          <cell r="N814">
            <v>86.4</v>
          </cell>
          <cell r="O814">
            <v>8.64</v>
          </cell>
          <cell r="P814">
            <v>213.334</v>
          </cell>
          <cell r="Q814">
            <v>106.67</v>
          </cell>
          <cell r="R814">
            <v>17.28</v>
          </cell>
          <cell r="S814">
            <v>1.73</v>
          </cell>
        </row>
        <row r="815">
          <cell r="D815">
            <v>4</v>
          </cell>
          <cell r="K815">
            <v>1.5</v>
          </cell>
          <cell r="N815">
            <v>100</v>
          </cell>
          <cell r="O815">
            <v>10</v>
          </cell>
          <cell r="P815">
            <v>153.6</v>
          </cell>
          <cell r="Q815">
            <v>76.8</v>
          </cell>
          <cell r="R815">
            <v>10</v>
          </cell>
          <cell r="S815">
            <v>1</v>
          </cell>
        </row>
        <row r="816">
          <cell r="D816">
            <v>3</v>
          </cell>
          <cell r="K816">
            <v>1.3</v>
          </cell>
          <cell r="N816">
            <v>76.27</v>
          </cell>
          <cell r="O816">
            <v>7.63</v>
          </cell>
          <cell r="P816">
            <v>174.54599999999999</v>
          </cell>
          <cell r="Q816">
            <v>87.27</v>
          </cell>
          <cell r="R816">
            <v>9.5299999999999994</v>
          </cell>
          <cell r="S816">
            <v>0.95</v>
          </cell>
        </row>
        <row r="817">
          <cell r="D817">
            <v>5</v>
          </cell>
          <cell r="K817">
            <v>1.8</v>
          </cell>
          <cell r="N817">
            <v>105.6</v>
          </cell>
          <cell r="O817">
            <v>10.56</v>
          </cell>
          <cell r="P817">
            <v>174.54599999999999</v>
          </cell>
          <cell r="Q817">
            <v>87.27</v>
          </cell>
          <cell r="R817">
            <v>17.600000000000001</v>
          </cell>
          <cell r="S817">
            <v>1.76</v>
          </cell>
        </row>
        <row r="818">
          <cell r="D818">
            <v>2</v>
          </cell>
          <cell r="K818">
            <v>1.6</v>
          </cell>
          <cell r="N818">
            <v>76.8</v>
          </cell>
          <cell r="O818">
            <v>7.68</v>
          </cell>
          <cell r="P818">
            <v>213.334</v>
          </cell>
          <cell r="Q818">
            <v>106.67</v>
          </cell>
          <cell r="R818">
            <v>15.36</v>
          </cell>
          <cell r="S818">
            <v>1.54</v>
          </cell>
        </row>
        <row r="819">
          <cell r="D819">
            <v>4</v>
          </cell>
          <cell r="K819">
            <v>1.4</v>
          </cell>
          <cell r="N819">
            <v>97.07</v>
          </cell>
          <cell r="O819">
            <v>9.7100000000000009</v>
          </cell>
          <cell r="P819">
            <v>147.69200000000001</v>
          </cell>
          <cell r="Q819">
            <v>73.849999999999994</v>
          </cell>
          <cell r="R819">
            <v>9.7100000000000009</v>
          </cell>
          <cell r="S819">
            <v>0.97</v>
          </cell>
        </row>
        <row r="820">
          <cell r="D820">
            <v>2</v>
          </cell>
          <cell r="K820">
            <v>1.4</v>
          </cell>
          <cell r="N820">
            <v>67.2</v>
          </cell>
          <cell r="O820">
            <v>6.72</v>
          </cell>
          <cell r="P820">
            <v>213.334</v>
          </cell>
          <cell r="Q820">
            <v>106.67</v>
          </cell>
          <cell r="R820">
            <v>13.44</v>
          </cell>
          <cell r="S820">
            <v>1.34</v>
          </cell>
        </row>
        <row r="821">
          <cell r="D821">
            <v>4</v>
          </cell>
          <cell r="K821">
            <v>1.6</v>
          </cell>
          <cell r="N821">
            <v>110.93</v>
          </cell>
          <cell r="O821">
            <v>11.09</v>
          </cell>
          <cell r="P821">
            <v>147.69200000000001</v>
          </cell>
          <cell r="Q821">
            <v>73.849999999999994</v>
          </cell>
          <cell r="R821">
            <v>11.09</v>
          </cell>
          <cell r="S821">
            <v>1.1100000000000001</v>
          </cell>
        </row>
        <row r="822">
          <cell r="D822">
            <v>5</v>
          </cell>
          <cell r="K822">
            <v>1.6</v>
          </cell>
          <cell r="N822">
            <v>102.4</v>
          </cell>
          <cell r="O822">
            <v>10.24</v>
          </cell>
          <cell r="P822">
            <v>160</v>
          </cell>
          <cell r="Q822">
            <v>80</v>
          </cell>
          <cell r="R822">
            <v>17.07</v>
          </cell>
          <cell r="S822">
            <v>1.71</v>
          </cell>
        </row>
        <row r="823">
          <cell r="D823">
            <v>3</v>
          </cell>
          <cell r="K823">
            <v>1.4</v>
          </cell>
          <cell r="N823">
            <v>85.87</v>
          </cell>
          <cell r="O823">
            <v>8.59</v>
          </cell>
          <cell r="P823">
            <v>166.95599999999999</v>
          </cell>
          <cell r="Q823">
            <v>83.48</v>
          </cell>
          <cell r="R823">
            <v>10.73</v>
          </cell>
          <cell r="S823">
            <v>1.07</v>
          </cell>
        </row>
        <row r="824">
          <cell r="D824">
            <v>2</v>
          </cell>
          <cell r="K824">
            <v>1.3</v>
          </cell>
          <cell r="N824">
            <v>62.4</v>
          </cell>
          <cell r="O824">
            <v>6.24</v>
          </cell>
          <cell r="P824">
            <v>213.334</v>
          </cell>
          <cell r="Q824">
            <v>106.67</v>
          </cell>
          <cell r="R824">
            <v>12.48</v>
          </cell>
          <cell r="S824">
            <v>1.25</v>
          </cell>
        </row>
        <row r="825">
          <cell r="D825">
            <v>4</v>
          </cell>
          <cell r="K825">
            <v>1.3</v>
          </cell>
          <cell r="N825">
            <v>83.2</v>
          </cell>
          <cell r="O825">
            <v>8.32</v>
          </cell>
          <cell r="P825">
            <v>160</v>
          </cell>
          <cell r="Q825">
            <v>80</v>
          </cell>
          <cell r="R825">
            <v>8.32</v>
          </cell>
          <cell r="S825">
            <v>0.83</v>
          </cell>
        </row>
        <row r="826">
          <cell r="D826">
            <v>2</v>
          </cell>
          <cell r="K826">
            <v>1.8</v>
          </cell>
          <cell r="N826">
            <v>86.4</v>
          </cell>
          <cell r="O826">
            <v>8.64</v>
          </cell>
          <cell r="P826">
            <v>213.334</v>
          </cell>
          <cell r="Q826">
            <v>106.67</v>
          </cell>
          <cell r="R826">
            <v>17.28</v>
          </cell>
          <cell r="S826">
            <v>1.73</v>
          </cell>
        </row>
        <row r="827">
          <cell r="D827">
            <v>4</v>
          </cell>
          <cell r="K827">
            <v>1.5</v>
          </cell>
          <cell r="N827">
            <v>100</v>
          </cell>
          <cell r="O827">
            <v>10</v>
          </cell>
          <cell r="P827">
            <v>153.6</v>
          </cell>
          <cell r="Q827">
            <v>76.8</v>
          </cell>
          <cell r="R827">
            <v>10</v>
          </cell>
          <cell r="S827">
            <v>1</v>
          </cell>
        </row>
        <row r="828">
          <cell r="D828">
            <v>3</v>
          </cell>
          <cell r="K828">
            <v>1.3</v>
          </cell>
          <cell r="N828">
            <v>76.27</v>
          </cell>
          <cell r="O828">
            <v>7.63</v>
          </cell>
          <cell r="P828">
            <v>174.54599999999999</v>
          </cell>
          <cell r="Q828">
            <v>87.27</v>
          </cell>
          <cell r="R828">
            <v>9.5299999999999994</v>
          </cell>
          <cell r="S828">
            <v>0.95</v>
          </cell>
        </row>
        <row r="829">
          <cell r="D829">
            <v>5</v>
          </cell>
          <cell r="K829">
            <v>1.8</v>
          </cell>
          <cell r="N829">
            <v>105.6</v>
          </cell>
          <cell r="O829">
            <v>10.56</v>
          </cell>
          <cell r="P829">
            <v>174.54599999999999</v>
          </cell>
          <cell r="Q829">
            <v>87.27</v>
          </cell>
          <cell r="R829">
            <v>17.600000000000001</v>
          </cell>
          <cell r="S829">
            <v>1.76</v>
          </cell>
        </row>
        <row r="830">
          <cell r="D830">
            <v>2</v>
          </cell>
          <cell r="K830">
            <v>1.6</v>
          </cell>
          <cell r="N830">
            <v>76.8</v>
          </cell>
          <cell r="O830">
            <v>7.68</v>
          </cell>
          <cell r="P830">
            <v>213.334</v>
          </cell>
          <cell r="Q830">
            <v>106.67</v>
          </cell>
          <cell r="R830">
            <v>15.36</v>
          </cell>
          <cell r="S830">
            <v>1.54</v>
          </cell>
        </row>
        <row r="831">
          <cell r="D831">
            <v>4</v>
          </cell>
          <cell r="K831">
            <v>1.4</v>
          </cell>
          <cell r="N831">
            <v>97.07</v>
          </cell>
          <cell r="O831">
            <v>9.7100000000000009</v>
          </cell>
          <cell r="P831">
            <v>147.69200000000001</v>
          </cell>
          <cell r="Q831">
            <v>73.849999999999994</v>
          </cell>
          <cell r="R831">
            <v>9.7100000000000009</v>
          </cell>
          <cell r="S831">
            <v>0.97</v>
          </cell>
        </row>
        <row r="832">
          <cell r="D832">
            <v>2</v>
          </cell>
          <cell r="K832">
            <v>1.4</v>
          </cell>
          <cell r="N832">
            <v>67.2</v>
          </cell>
          <cell r="O832">
            <v>6.72</v>
          </cell>
          <cell r="P832">
            <v>213.334</v>
          </cell>
          <cell r="Q832">
            <v>106.67</v>
          </cell>
          <cell r="R832">
            <v>13.44</v>
          </cell>
          <cell r="S832">
            <v>1.34</v>
          </cell>
        </row>
        <row r="833">
          <cell r="D833">
            <v>4</v>
          </cell>
          <cell r="K833">
            <v>1.6</v>
          </cell>
          <cell r="N833">
            <v>110.93</v>
          </cell>
          <cell r="O833">
            <v>11.09</v>
          </cell>
          <cell r="P833">
            <v>147.69200000000001</v>
          </cell>
          <cell r="Q833">
            <v>73.849999999999994</v>
          </cell>
          <cell r="R833">
            <v>11.09</v>
          </cell>
          <cell r="S833">
            <v>1.1100000000000001</v>
          </cell>
        </row>
        <row r="834">
          <cell r="D834">
            <v>5</v>
          </cell>
          <cell r="K834">
            <v>1.6</v>
          </cell>
          <cell r="N834">
            <v>102.4</v>
          </cell>
          <cell r="O834">
            <v>10.24</v>
          </cell>
          <cell r="P834">
            <v>160</v>
          </cell>
          <cell r="Q834">
            <v>80</v>
          </cell>
          <cell r="R834">
            <v>17.07</v>
          </cell>
          <cell r="S834">
            <v>1.71</v>
          </cell>
        </row>
        <row r="835">
          <cell r="D835">
            <v>3</v>
          </cell>
          <cell r="K835">
            <v>1.4</v>
          </cell>
          <cell r="N835">
            <v>85.87</v>
          </cell>
          <cell r="O835">
            <v>8.59</v>
          </cell>
          <cell r="P835">
            <v>166.95599999999999</v>
          </cell>
          <cell r="Q835">
            <v>83.48</v>
          </cell>
          <cell r="R835">
            <v>10.73</v>
          </cell>
          <cell r="S835">
            <v>1.07</v>
          </cell>
        </row>
        <row r="836">
          <cell r="D836">
            <v>2</v>
          </cell>
          <cell r="K836">
            <v>1.3</v>
          </cell>
          <cell r="N836">
            <v>62.4</v>
          </cell>
          <cell r="O836">
            <v>6.24</v>
          </cell>
          <cell r="P836">
            <v>213.334</v>
          </cell>
          <cell r="Q836">
            <v>106.67</v>
          </cell>
          <cell r="R836">
            <v>12.48</v>
          </cell>
          <cell r="S836">
            <v>1.25</v>
          </cell>
        </row>
        <row r="837">
          <cell r="D837">
            <v>4</v>
          </cell>
          <cell r="K837">
            <v>1.3</v>
          </cell>
          <cell r="N837">
            <v>83.2</v>
          </cell>
          <cell r="O837">
            <v>8.32</v>
          </cell>
          <cell r="P837">
            <v>160</v>
          </cell>
          <cell r="Q837">
            <v>80</v>
          </cell>
          <cell r="R837">
            <v>8.32</v>
          </cell>
          <cell r="S837">
            <v>0.83</v>
          </cell>
        </row>
        <row r="838">
          <cell r="D838">
            <v>2</v>
          </cell>
          <cell r="K838">
            <v>1.8</v>
          </cell>
          <cell r="N838">
            <v>86.4</v>
          </cell>
          <cell r="O838">
            <v>8.64</v>
          </cell>
          <cell r="P838">
            <v>213.334</v>
          </cell>
          <cell r="Q838">
            <v>106.67</v>
          </cell>
          <cell r="R838">
            <v>17.28</v>
          </cell>
          <cell r="S838">
            <v>1.73</v>
          </cell>
        </row>
        <row r="839">
          <cell r="D839">
            <v>4</v>
          </cell>
          <cell r="K839">
            <v>1.5</v>
          </cell>
          <cell r="N839">
            <v>100</v>
          </cell>
          <cell r="O839">
            <v>10</v>
          </cell>
          <cell r="P839">
            <v>153.6</v>
          </cell>
          <cell r="Q839">
            <v>76.8</v>
          </cell>
          <cell r="R839">
            <v>10</v>
          </cell>
          <cell r="S839">
            <v>1</v>
          </cell>
        </row>
        <row r="840">
          <cell r="D840">
            <v>3</v>
          </cell>
          <cell r="K840">
            <v>1.3</v>
          </cell>
          <cell r="N840">
            <v>76.27</v>
          </cell>
          <cell r="O840">
            <v>7.63</v>
          </cell>
          <cell r="P840">
            <v>174.54599999999999</v>
          </cell>
          <cell r="Q840">
            <v>87.27</v>
          </cell>
          <cell r="R840">
            <v>9.5299999999999994</v>
          </cell>
          <cell r="S840">
            <v>0.95</v>
          </cell>
        </row>
        <row r="841">
          <cell r="D841">
            <v>5</v>
          </cell>
          <cell r="K841">
            <v>1.8</v>
          </cell>
          <cell r="N841">
            <v>105.6</v>
          </cell>
          <cell r="O841">
            <v>10.56</v>
          </cell>
          <cell r="P841">
            <v>174.54599999999999</v>
          </cell>
          <cell r="Q841">
            <v>87.27</v>
          </cell>
          <cell r="R841">
            <v>17.600000000000001</v>
          </cell>
          <cell r="S841">
            <v>1.76</v>
          </cell>
        </row>
        <row r="842">
          <cell r="D842">
            <v>2</v>
          </cell>
          <cell r="K842">
            <v>1.6</v>
          </cell>
          <cell r="N842">
            <v>76.8</v>
          </cell>
          <cell r="O842">
            <v>7.68</v>
          </cell>
          <cell r="P842">
            <v>213.334</v>
          </cell>
          <cell r="Q842">
            <v>106.67</v>
          </cell>
          <cell r="R842">
            <v>15.36</v>
          </cell>
          <cell r="S842">
            <v>1.54</v>
          </cell>
        </row>
        <row r="843">
          <cell r="D843">
            <v>4</v>
          </cell>
          <cell r="K843">
            <v>1.4</v>
          </cell>
          <cell r="N843">
            <v>97.07</v>
          </cell>
          <cell r="O843">
            <v>9.7100000000000009</v>
          </cell>
          <cell r="P843">
            <v>147.69200000000001</v>
          </cell>
          <cell r="Q843">
            <v>73.849999999999994</v>
          </cell>
          <cell r="R843">
            <v>9.7100000000000009</v>
          </cell>
          <cell r="S843">
            <v>0.97</v>
          </cell>
        </row>
        <row r="844">
          <cell r="D844">
            <v>2</v>
          </cell>
          <cell r="K844">
            <v>1.4</v>
          </cell>
          <cell r="N844">
            <v>67.2</v>
          </cell>
          <cell r="O844">
            <v>6.72</v>
          </cell>
          <cell r="P844">
            <v>213.334</v>
          </cell>
          <cell r="Q844">
            <v>106.67</v>
          </cell>
          <cell r="R844">
            <v>13.44</v>
          </cell>
          <cell r="S844">
            <v>1.34</v>
          </cell>
        </row>
        <row r="845">
          <cell r="D845">
            <v>4</v>
          </cell>
          <cell r="K845">
            <v>1.6</v>
          </cell>
          <cell r="N845">
            <v>110.93</v>
          </cell>
          <cell r="O845">
            <v>11.09</v>
          </cell>
          <cell r="P845">
            <v>147.69200000000001</v>
          </cell>
          <cell r="Q845">
            <v>73.849999999999994</v>
          </cell>
          <cell r="R845">
            <v>11.09</v>
          </cell>
          <cell r="S845">
            <v>1.1100000000000001</v>
          </cell>
        </row>
        <row r="846">
          <cell r="D846">
            <v>5</v>
          </cell>
          <cell r="K846">
            <v>1.6</v>
          </cell>
          <cell r="N846">
            <v>102.4</v>
          </cell>
          <cell r="O846">
            <v>10.24</v>
          </cell>
          <cell r="P846">
            <v>160</v>
          </cell>
          <cell r="Q846">
            <v>80</v>
          </cell>
          <cell r="R846">
            <v>17.07</v>
          </cell>
          <cell r="S846">
            <v>1.71</v>
          </cell>
        </row>
        <row r="847">
          <cell r="D847">
            <v>3</v>
          </cell>
          <cell r="K847">
            <v>1.4</v>
          </cell>
          <cell r="N847">
            <v>85.87</v>
          </cell>
          <cell r="O847">
            <v>8.59</v>
          </cell>
          <cell r="P847">
            <v>166.95599999999999</v>
          </cell>
          <cell r="Q847">
            <v>83.48</v>
          </cell>
          <cell r="R847">
            <v>10.73</v>
          </cell>
          <cell r="S847">
            <v>1.07</v>
          </cell>
        </row>
        <row r="848">
          <cell r="D848">
            <v>2</v>
          </cell>
          <cell r="K848">
            <v>1.3</v>
          </cell>
          <cell r="N848">
            <v>62.4</v>
          </cell>
          <cell r="O848">
            <v>6.24</v>
          </cell>
          <cell r="P848">
            <v>213.334</v>
          </cell>
          <cell r="Q848">
            <v>106.67</v>
          </cell>
          <cell r="R848">
            <v>12.48</v>
          </cell>
          <cell r="S848">
            <v>1.25</v>
          </cell>
        </row>
        <row r="849">
          <cell r="D849">
            <v>4</v>
          </cell>
          <cell r="K849">
            <v>1.3</v>
          </cell>
          <cell r="N849">
            <v>83.2</v>
          </cell>
          <cell r="O849">
            <v>8.32</v>
          </cell>
          <cell r="P849">
            <v>160</v>
          </cell>
          <cell r="Q849">
            <v>80</v>
          </cell>
          <cell r="R849">
            <v>8.32</v>
          </cell>
          <cell r="S849">
            <v>0.83</v>
          </cell>
        </row>
        <row r="850">
          <cell r="D850">
            <v>2</v>
          </cell>
          <cell r="K850">
            <v>1.8</v>
          </cell>
          <cell r="N850">
            <v>86.4</v>
          </cell>
          <cell r="O850">
            <v>8.64</v>
          </cell>
          <cell r="P850">
            <v>213.334</v>
          </cell>
          <cell r="Q850">
            <v>106.67</v>
          </cell>
          <cell r="R850">
            <v>17.28</v>
          </cell>
          <cell r="S850">
            <v>1.73</v>
          </cell>
        </row>
        <row r="851">
          <cell r="D851">
            <v>4</v>
          </cell>
          <cell r="K851">
            <v>1.5</v>
          </cell>
          <cell r="N851">
            <v>100</v>
          </cell>
          <cell r="O851">
            <v>10</v>
          </cell>
          <cell r="P851">
            <v>153.6</v>
          </cell>
          <cell r="Q851">
            <v>76.8</v>
          </cell>
          <cell r="R851">
            <v>10</v>
          </cell>
          <cell r="S851">
            <v>1</v>
          </cell>
        </row>
        <row r="852">
          <cell r="D852">
            <v>3</v>
          </cell>
          <cell r="K852">
            <v>1.3</v>
          </cell>
          <cell r="N852">
            <v>76.27</v>
          </cell>
          <cell r="O852">
            <v>7.63</v>
          </cell>
          <cell r="P852">
            <v>174.54599999999999</v>
          </cell>
          <cell r="Q852">
            <v>87.27</v>
          </cell>
          <cell r="R852">
            <v>9.5299999999999994</v>
          </cell>
          <cell r="S852">
            <v>0.95</v>
          </cell>
        </row>
        <row r="853">
          <cell r="D853">
            <v>5</v>
          </cell>
          <cell r="K853">
            <v>1.8</v>
          </cell>
          <cell r="N853">
            <v>105.6</v>
          </cell>
          <cell r="O853">
            <v>10.56</v>
          </cell>
          <cell r="P853">
            <v>174.54599999999999</v>
          </cell>
          <cell r="Q853">
            <v>87.27</v>
          </cell>
          <cell r="R853">
            <v>17.600000000000001</v>
          </cell>
          <cell r="S853">
            <v>1.76</v>
          </cell>
        </row>
        <row r="854">
          <cell r="D854">
            <v>2</v>
          </cell>
          <cell r="K854">
            <v>1.6</v>
          </cell>
          <cell r="N854">
            <v>76.8</v>
          </cell>
          <cell r="O854">
            <v>7.68</v>
          </cell>
          <cell r="P854">
            <v>213.334</v>
          </cell>
          <cell r="Q854">
            <v>106.67</v>
          </cell>
          <cell r="R854">
            <v>15.36</v>
          </cell>
          <cell r="S854">
            <v>1.54</v>
          </cell>
        </row>
        <row r="855">
          <cell r="D855">
            <v>4</v>
          </cell>
          <cell r="K855">
            <v>1.4</v>
          </cell>
          <cell r="N855">
            <v>97.07</v>
          </cell>
          <cell r="O855">
            <v>9.7100000000000009</v>
          </cell>
          <cell r="P855">
            <v>147.69200000000001</v>
          </cell>
          <cell r="Q855">
            <v>73.849999999999994</v>
          </cell>
          <cell r="R855">
            <v>9.7100000000000009</v>
          </cell>
          <cell r="S855">
            <v>0.97</v>
          </cell>
        </row>
        <row r="856">
          <cell r="D856">
            <v>2</v>
          </cell>
          <cell r="K856">
            <v>1.4</v>
          </cell>
          <cell r="N856">
            <v>67.2</v>
          </cell>
          <cell r="O856">
            <v>6.72</v>
          </cell>
          <cell r="P856">
            <v>213.334</v>
          </cell>
          <cell r="Q856">
            <v>106.67</v>
          </cell>
          <cell r="R856">
            <v>13.44</v>
          </cell>
          <cell r="S856">
            <v>1.34</v>
          </cell>
        </row>
        <row r="857">
          <cell r="D857">
            <v>4</v>
          </cell>
          <cell r="K857">
            <v>1.6</v>
          </cell>
          <cell r="N857">
            <v>110.93</v>
          </cell>
          <cell r="O857">
            <v>11.09</v>
          </cell>
          <cell r="P857">
            <v>147.69200000000001</v>
          </cell>
          <cell r="Q857">
            <v>73.849999999999994</v>
          </cell>
          <cell r="R857">
            <v>11.09</v>
          </cell>
          <cell r="S857">
            <v>1.1100000000000001</v>
          </cell>
        </row>
        <row r="858">
          <cell r="D858">
            <v>5</v>
          </cell>
          <cell r="K858">
            <v>1.6</v>
          </cell>
          <cell r="N858">
            <v>102.4</v>
          </cell>
          <cell r="O858">
            <v>10.24</v>
          </cell>
          <cell r="P858">
            <v>160</v>
          </cell>
          <cell r="Q858">
            <v>80</v>
          </cell>
          <cell r="R858">
            <v>17.07</v>
          </cell>
          <cell r="S858">
            <v>1.71</v>
          </cell>
        </row>
        <row r="859">
          <cell r="D859">
            <v>3</v>
          </cell>
          <cell r="K859">
            <v>1.4</v>
          </cell>
          <cell r="N859">
            <v>85.87</v>
          </cell>
          <cell r="O859">
            <v>8.59</v>
          </cell>
          <cell r="P859">
            <v>166.95599999999999</v>
          </cell>
          <cell r="Q859">
            <v>83.48</v>
          </cell>
          <cell r="R859">
            <v>10.73</v>
          </cell>
          <cell r="S859">
            <v>1.07</v>
          </cell>
        </row>
        <row r="860">
          <cell r="D860">
            <v>2</v>
          </cell>
          <cell r="K860">
            <v>1.6</v>
          </cell>
          <cell r="N860">
            <v>299</v>
          </cell>
          <cell r="O860">
            <v>1</v>
          </cell>
          <cell r="P860">
            <v>799</v>
          </cell>
          <cell r="Q860">
            <v>1</v>
          </cell>
          <cell r="R860">
            <v>1</v>
          </cell>
          <cell r="S860">
            <v>1</v>
          </cell>
        </row>
        <row r="861">
          <cell r="D861">
            <v>3</v>
          </cell>
          <cell r="K861">
            <v>1.4</v>
          </cell>
          <cell r="N861">
            <v>200</v>
          </cell>
          <cell r="O861">
            <v>1</v>
          </cell>
          <cell r="P861">
            <v>1000</v>
          </cell>
          <cell r="Q861">
            <v>1</v>
          </cell>
          <cell r="R861">
            <v>1</v>
          </cell>
          <cell r="S861">
            <v>1</v>
          </cell>
        </row>
        <row r="862">
          <cell r="D862">
            <v>2</v>
          </cell>
          <cell r="K862">
            <v>1.8</v>
          </cell>
          <cell r="N862">
            <v>200</v>
          </cell>
          <cell r="O862">
            <v>1</v>
          </cell>
          <cell r="P862">
            <v>1000</v>
          </cell>
          <cell r="Q862">
            <v>1</v>
          </cell>
          <cell r="R862">
            <v>1</v>
          </cell>
          <cell r="S862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">
  <a:themeElements>
    <a:clrScheme name="Office 主题">
      <a:dk1>
        <a:srgbClr val="000000"/>
      </a:dk1>
      <a:lt1>
        <a:srgbClr val="FFFFFF"/>
      </a:lt1>
      <a:dk2>
        <a:srgbClr val="A7A7A7"/>
      </a:dk2>
      <a:lt2>
        <a:srgbClr val="535353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FF"/>
      </a:hlink>
      <a:folHlink>
        <a:srgbClr val="FF00FF"/>
      </a:folHlink>
    </a:clrScheme>
    <a:fontScheme name="Office 主题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Office 主题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12700" cap="flat">
          <a:solidFill>
            <a:schemeClr val="accent1"/>
          </a:solidFill>
          <a:prstDash val="solid"/>
          <a:miter lim="800000"/>
        </a:ln>
      </a:spPr>
      <a:bodyPr rot="0" spcFirstLastPara="1" vertOverflow="overflow" horzOverflow="overflow" vert="horz" wrap="square" lIns="45719" tIns="45719" rIns="45719" bIns="45719" numCol="1" spcCol="38100" rtlCol="0" anchor="ctr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chemeClr val="accent1"/>
          </a:solidFill>
          <a:prstDash val="solid"/>
          <a:miter lim="800000"/>
        </a:ln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</a:spPr>
      <a:bodyPr rot="0" spcFirstLastPara="1" vertOverflow="overflow" horzOverflow="overflow" vert="horz" wrap="square" lIns="45719" tIns="45719" rIns="45719" bIns="45719" numCol="1" spcCol="38100" rtlCol="0" anchor="t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A1002"/>
  <sheetViews>
    <sheetView tabSelected="1" zoomScale="85" zoomScaleNormal="85" workbookViewId="0">
      <pane xSplit="1" ySplit="3" topLeftCell="B4" activePane="bottomRight" state="frozenSplit"/>
      <selection pane="topRight"/>
      <selection pane="bottomLeft"/>
      <selection pane="bottomRight" activeCell="P4" sqref="P4:P803"/>
    </sheetView>
  </sheetViews>
  <sheetFormatPr defaultColWidth="8.875" defaultRowHeight="13.5" customHeight="1"/>
  <cols>
    <col min="1" max="1" width="10.625" style="9" customWidth="1"/>
    <col min="2" max="2" width="19.125" style="9" customWidth="1"/>
    <col min="3" max="4" width="13.125" style="9" customWidth="1"/>
    <col min="5" max="5" width="32.75" style="9" customWidth="1"/>
    <col min="6" max="6" width="12.75" style="9" customWidth="1"/>
    <col min="7" max="8" width="26.125" style="9" customWidth="1"/>
    <col min="9" max="9" width="12.75" style="9" customWidth="1"/>
    <col min="10" max="14" width="15" style="9" customWidth="1"/>
    <col min="15" max="15" width="8.875" style="9" customWidth="1"/>
    <col min="16" max="16" width="16.375" style="9" customWidth="1"/>
    <col min="17" max="22" width="8.5" style="9" customWidth="1"/>
    <col min="23" max="25" width="8.125" style="9" customWidth="1"/>
    <col min="26" max="26" width="12.625" style="9" customWidth="1"/>
    <col min="27" max="28" width="8.125" style="9" customWidth="1"/>
    <col min="29" max="29" width="8.5" style="9" customWidth="1"/>
    <col min="30" max="34" width="6.375" style="9" customWidth="1"/>
    <col min="35" max="40" width="12.625" style="9" customWidth="1"/>
    <col min="41" max="41" width="8.875" style="10" customWidth="1"/>
    <col min="42" max="46" width="8.875" style="9" customWidth="1"/>
    <col min="47" max="47" width="10" style="10" customWidth="1"/>
    <col min="48" max="50" width="8.875" style="9" customWidth="1"/>
    <col min="51" max="52" width="8.875" style="9" hidden="1" customWidth="1"/>
    <col min="53" max="53" width="12.75" style="9" hidden="1" customWidth="1"/>
    <col min="54" max="54" width="8.5" style="9" customWidth="1"/>
    <col min="55" max="74" width="8.875" style="9" customWidth="1"/>
    <col min="75" max="77" width="13" style="9" customWidth="1"/>
    <col min="78" max="78" width="8.875" style="9" customWidth="1"/>
    <col min="79" max="79" width="10.5" style="9" customWidth="1"/>
    <col min="80" max="133" width="8.875" style="9" customWidth="1"/>
    <col min="134" max="135" width="11" style="9" customWidth="1"/>
    <col min="136" max="136" width="8.875" style="9" customWidth="1"/>
    <col min="137" max="137" width="96.125" style="9" customWidth="1"/>
    <col min="138" max="235" width="8.875" style="9" customWidth="1"/>
  </cols>
  <sheetData>
    <row r="1" spans="1:148" ht="15.95" customHeight="1">
      <c r="A1" s="9" t="s">
        <v>0</v>
      </c>
      <c r="B1" s="9" t="s">
        <v>1</v>
      </c>
      <c r="C1" s="9" t="s">
        <v>2</v>
      </c>
      <c r="D1" s="11" t="s">
        <v>3</v>
      </c>
      <c r="E1" s="9" t="s">
        <v>4</v>
      </c>
      <c r="F1" s="9" t="s">
        <v>5</v>
      </c>
      <c r="G1" s="9" t="s">
        <v>6</v>
      </c>
      <c r="H1" s="3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R1" s="9">
        <f>1600*5</f>
        <v>8000</v>
      </c>
      <c r="W1" s="5">
        <v>80</v>
      </c>
      <c r="X1" s="5">
        <v>960</v>
      </c>
      <c r="Y1" s="5">
        <v>3000</v>
      </c>
      <c r="Z1" s="5">
        <f>W1*X1/1.5*0.9*1.05/Y1</f>
        <v>16.128</v>
      </c>
      <c r="AC1" s="9">
        <v>5</v>
      </c>
      <c r="BR1" s="3" t="s">
        <v>13</v>
      </c>
    </row>
    <row r="2" spans="1:148" ht="15.95" customHeight="1">
      <c r="A2" s="9" t="s">
        <v>14</v>
      </c>
      <c r="B2" s="9" t="s">
        <v>15</v>
      </c>
      <c r="C2" s="9" t="s">
        <v>15</v>
      </c>
      <c r="D2" s="12" t="s">
        <v>16</v>
      </c>
      <c r="E2" s="9" t="s">
        <v>17</v>
      </c>
      <c r="F2" s="9" t="s">
        <v>18</v>
      </c>
      <c r="G2" s="9" t="s">
        <v>18</v>
      </c>
      <c r="H2" s="3" t="s">
        <v>16</v>
      </c>
      <c r="I2" s="12" t="s">
        <v>17</v>
      </c>
      <c r="J2" s="13" t="s">
        <v>18</v>
      </c>
      <c r="K2" s="13" t="s">
        <v>18</v>
      </c>
      <c r="L2" s="13" t="s">
        <v>18</v>
      </c>
      <c r="M2" s="13" t="s">
        <v>18</v>
      </c>
      <c r="DC2" s="9" t="str">
        <f>REPLACE(1234567,1,1,9)</f>
        <v>9234567</v>
      </c>
    </row>
    <row r="3" spans="1:148" ht="15.95" customHeight="1">
      <c r="A3" s="9" t="s">
        <v>19</v>
      </c>
      <c r="B3" s="9" t="s">
        <v>20</v>
      </c>
      <c r="C3" s="9" t="s">
        <v>21</v>
      </c>
      <c r="D3" s="11" t="s">
        <v>22</v>
      </c>
      <c r="E3" s="9" t="s">
        <v>23</v>
      </c>
      <c r="F3" s="9" t="s">
        <v>24</v>
      </c>
      <c r="G3" s="9" t="s">
        <v>25</v>
      </c>
      <c r="H3" s="3" t="s">
        <v>26</v>
      </c>
      <c r="I3" s="9" t="s">
        <v>27</v>
      </c>
      <c r="J3" s="9" t="s">
        <v>28</v>
      </c>
      <c r="K3" s="9" t="s">
        <v>28</v>
      </c>
      <c r="L3" s="9" t="s">
        <v>28</v>
      </c>
      <c r="M3" s="9" t="s">
        <v>29</v>
      </c>
      <c r="O3" s="9" t="s">
        <v>30</v>
      </c>
      <c r="P3" s="3"/>
      <c r="Q3" s="3" t="s">
        <v>31</v>
      </c>
      <c r="R3" s="3" t="s">
        <v>32</v>
      </c>
      <c r="S3" s="3" t="s">
        <v>33</v>
      </c>
      <c r="T3" s="3" t="s">
        <v>34</v>
      </c>
      <c r="U3" s="3" t="s">
        <v>35</v>
      </c>
      <c r="V3" s="3" t="s">
        <v>36</v>
      </c>
      <c r="W3" s="3" t="s">
        <v>37</v>
      </c>
      <c r="X3" s="3" t="s">
        <v>38</v>
      </c>
      <c r="Y3" s="3" t="s">
        <v>39</v>
      </c>
      <c r="Z3" s="3" t="s">
        <v>40</v>
      </c>
      <c r="AA3" s="3" t="s">
        <v>41</v>
      </c>
      <c r="AB3" s="3" t="s">
        <v>42</v>
      </c>
      <c r="AC3" s="3" t="s">
        <v>43</v>
      </c>
      <c r="AD3" s="3" t="s">
        <v>44</v>
      </c>
      <c r="AE3" s="3" t="s">
        <v>45</v>
      </c>
      <c r="AF3" s="3" t="s">
        <v>46</v>
      </c>
      <c r="AG3" s="3" t="s">
        <v>47</v>
      </c>
      <c r="AH3" s="3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  <c r="AO3" s="15"/>
      <c r="AP3" s="3"/>
      <c r="AQ3" s="3" t="s">
        <v>55</v>
      </c>
      <c r="AR3" s="3" t="s">
        <v>26</v>
      </c>
      <c r="AS3" s="3"/>
      <c r="AT3" s="3"/>
      <c r="AU3" s="15"/>
      <c r="AV3" s="3"/>
      <c r="AW3" s="3"/>
      <c r="AX3" s="3"/>
      <c r="AY3" s="3" t="s">
        <v>56</v>
      </c>
      <c r="AZ3" s="3" t="s">
        <v>57</v>
      </c>
      <c r="BC3" s="6" t="s">
        <v>58</v>
      </c>
      <c r="BD3" s="5">
        <v>1</v>
      </c>
      <c r="BE3" s="18">
        <v>2</v>
      </c>
      <c r="BF3" s="18">
        <v>3</v>
      </c>
      <c r="BG3" s="18">
        <v>4</v>
      </c>
      <c r="BH3" s="18">
        <v>5</v>
      </c>
      <c r="BI3" s="18">
        <v>6</v>
      </c>
      <c r="BJ3" s="18">
        <v>7</v>
      </c>
      <c r="BK3" s="18">
        <v>8</v>
      </c>
      <c r="BL3" s="18">
        <v>9</v>
      </c>
      <c r="BM3" s="18">
        <v>10</v>
      </c>
      <c r="BN3" s="18">
        <v>11</v>
      </c>
      <c r="BO3" s="18">
        <v>12</v>
      </c>
      <c r="BP3" s="9">
        <v>13</v>
      </c>
      <c r="BQ3" s="9">
        <v>14</v>
      </c>
      <c r="BR3" s="18" t="s">
        <v>59</v>
      </c>
      <c r="BS3" s="18" t="s">
        <v>60</v>
      </c>
      <c r="BT3" s="7" t="s">
        <v>61</v>
      </c>
      <c r="BU3" s="18" t="s">
        <v>62</v>
      </c>
      <c r="BV3" s="18" t="s">
        <v>63</v>
      </c>
      <c r="BW3" s="18" t="s">
        <v>64</v>
      </c>
      <c r="BX3" s="18" t="s">
        <v>65</v>
      </c>
      <c r="BY3" s="18" t="s">
        <v>66</v>
      </c>
      <c r="BZ3" s="21" t="s">
        <v>67</v>
      </c>
      <c r="CA3" s="22" t="s">
        <v>68</v>
      </c>
      <c r="CB3" s="22" t="s">
        <v>69</v>
      </c>
      <c r="CC3" s="22" t="s">
        <v>70</v>
      </c>
      <c r="CD3" s="23" t="s">
        <v>71</v>
      </c>
      <c r="CE3" s="5"/>
      <c r="CF3" s="5"/>
      <c r="CG3" s="23" t="s">
        <v>72</v>
      </c>
      <c r="CH3" s="5"/>
      <c r="CI3" s="5"/>
      <c r="CJ3" s="5"/>
      <c r="CK3" s="5"/>
      <c r="CL3" s="5"/>
      <c r="CM3" s="5"/>
      <c r="CN3" s="5"/>
      <c r="CO3" s="5"/>
      <c r="CP3" s="5"/>
      <c r="CR3" s="3" t="s">
        <v>73</v>
      </c>
      <c r="CS3" s="3" t="s">
        <v>74</v>
      </c>
      <c r="CT3" s="3" t="s">
        <v>75</v>
      </c>
      <c r="CU3" s="3" t="s">
        <v>76</v>
      </c>
      <c r="CV3" s="3" t="s">
        <v>77</v>
      </c>
      <c r="CW3" s="3" t="s">
        <v>78</v>
      </c>
      <c r="CX3" s="3" t="s">
        <v>79</v>
      </c>
      <c r="CY3" s="3" t="s">
        <v>80</v>
      </c>
      <c r="CZ3" s="3" t="s">
        <v>81</v>
      </c>
      <c r="DA3" s="3" t="s">
        <v>82</v>
      </c>
      <c r="DB3" s="3" t="s">
        <v>83</v>
      </c>
      <c r="DC3" s="3" t="s">
        <v>84</v>
      </c>
      <c r="DD3" s="3" t="s">
        <v>37</v>
      </c>
      <c r="DE3" s="3" t="s">
        <v>38</v>
      </c>
      <c r="DF3" s="3" t="s">
        <v>39</v>
      </c>
      <c r="DG3" s="3" t="s">
        <v>40</v>
      </c>
      <c r="DH3" s="3" t="s">
        <v>41</v>
      </c>
      <c r="DI3" s="3" t="s">
        <v>42</v>
      </c>
      <c r="DJ3" s="3" t="s">
        <v>85</v>
      </c>
      <c r="DK3" s="3" t="s">
        <v>86</v>
      </c>
      <c r="DL3" s="3" t="s">
        <v>87</v>
      </c>
      <c r="DM3" s="3" t="s">
        <v>88</v>
      </c>
      <c r="DN3" s="3" t="s">
        <v>89</v>
      </c>
      <c r="DO3" s="3" t="s">
        <v>90</v>
      </c>
      <c r="DP3" s="3" t="s">
        <v>91</v>
      </c>
      <c r="DQ3" s="3" t="s">
        <v>92</v>
      </c>
      <c r="DR3" s="3" t="s">
        <v>93</v>
      </c>
      <c r="DS3" s="3" t="s">
        <v>94</v>
      </c>
      <c r="DT3" s="3" t="s">
        <v>95</v>
      </c>
      <c r="DU3" s="3" t="s">
        <v>96</v>
      </c>
      <c r="DV3" s="3"/>
      <c r="DW3" s="3"/>
      <c r="DX3" s="3"/>
      <c r="DY3" s="3"/>
      <c r="DZ3" s="3"/>
      <c r="EC3" s="3" t="s">
        <v>97</v>
      </c>
      <c r="ED3" s="3" t="s">
        <v>98</v>
      </c>
      <c r="EE3" s="3" t="s">
        <v>99</v>
      </c>
      <c r="EF3" s="3" t="s">
        <v>100</v>
      </c>
    </row>
    <row r="4" spans="1:148" ht="15.95" customHeight="1">
      <c r="A4" s="9">
        <v>1</v>
      </c>
      <c r="B4" s="9">
        <v>1</v>
      </c>
      <c r="C4" s="9">
        <v>2001</v>
      </c>
      <c r="D4" s="9">
        <f>O4</f>
        <v>3458</v>
      </c>
      <c r="E4" s="9" t="str">
        <f>Q4&amp;","&amp;R4&amp;","&amp;S4&amp;","&amp;T4&amp;","&amp;U4&amp;","&amp;V4</f>
        <v>3301031,3301031,3302033,3500032,3500032,3400032</v>
      </c>
      <c r="F4" s="9" t="str">
        <f>W4&amp;","&amp;X4&amp;","&amp;Y4&amp;","&amp;Z4&amp;","&amp;AA4&amp;","&amp;AB4</f>
        <v>3,3,3,3,3,3</v>
      </c>
      <c r="G4" s="9" t="str">
        <f>AC4&amp;","&amp;AD4&amp;","&amp;AE4&amp;","&amp;AF4&amp;","&amp;AG4&amp;","&amp;AH4</f>
        <v>35,35,35,35,35,35</v>
      </c>
      <c r="H4" s="9">
        <v>20</v>
      </c>
      <c r="I4" s="3" t="s">
        <v>278</v>
      </c>
      <c r="J4" s="9" t="s">
        <v>279</v>
      </c>
      <c r="K4" s="9" t="s">
        <v>279</v>
      </c>
      <c r="L4" s="9" t="s">
        <v>279</v>
      </c>
      <c r="M4" s="9" t="s">
        <v>280</v>
      </c>
      <c r="O4" s="3">
        <f>ROUND(P4*1.1*1,0)</f>
        <v>3458</v>
      </c>
      <c r="P4" s="9">
        <v>3143.4</v>
      </c>
      <c r="Q4" s="9">
        <v>3301031</v>
      </c>
      <c r="R4" s="9">
        <v>3301031</v>
      </c>
      <c r="S4" s="9">
        <v>3302033</v>
      </c>
      <c r="T4" s="9">
        <v>3500032</v>
      </c>
      <c r="U4" s="9">
        <v>3500032</v>
      </c>
      <c r="V4" s="9">
        <v>3400032</v>
      </c>
      <c r="W4" s="9">
        <v>3</v>
      </c>
      <c r="X4" s="9">
        <v>3</v>
      </c>
      <c r="Y4" s="9">
        <v>3</v>
      </c>
      <c r="Z4" s="9">
        <v>3</v>
      </c>
      <c r="AA4" s="9">
        <v>3</v>
      </c>
      <c r="AB4" s="9">
        <v>3</v>
      </c>
      <c r="AC4" s="9">
        <f>IF(AI4&gt;0,FLOOR((POWER((AI4/IF(AND(W4&gt;=2,W4&lt;4),1.1,IF(AND(W4&gt;=4,W4&lt;6),1.2,IF(W4&gt;=6,1.4,1)))/$Z$1),0.5)/INDEX($BD$4:$BQ$4,MATCH(W4,$BD$3:$BQ$3,0))-1)*10,1),"")</f>
        <v>35</v>
      </c>
      <c r="AD4" s="9">
        <f t="shared" ref="AD4:AH4" si="0">IF(AJ4&gt;0,FLOOR((POWER((AJ4/IF(AND(X4&gt;=2,X4&lt;4),1.1,IF(AND(X4&gt;=4,X4&lt;6),1.15,IF(X4&gt;=6,1.2,1)))/$Z$1),0.5)/INDEX($BD$4:$BQ$4,MATCH(X4,$BD$3:$BQ$3,0))-1)*10,1),"")</f>
        <v>35</v>
      </c>
      <c r="AE4" s="9">
        <f t="shared" si="0"/>
        <v>35</v>
      </c>
      <c r="AF4" s="9">
        <f t="shared" si="0"/>
        <v>35</v>
      </c>
      <c r="AG4" s="9">
        <f t="shared" si="0"/>
        <v>35</v>
      </c>
      <c r="AH4" s="9">
        <f t="shared" si="0"/>
        <v>35</v>
      </c>
      <c r="AI4" s="7">
        <f>$P4/6</f>
        <v>523.9</v>
      </c>
      <c r="AJ4" s="7">
        <f t="shared" ref="AJ4:AN19" si="1">$P4/6</f>
        <v>523.9</v>
      </c>
      <c r="AK4" s="7">
        <f t="shared" si="1"/>
        <v>523.9</v>
      </c>
      <c r="AL4" s="7">
        <f t="shared" si="1"/>
        <v>523.9</v>
      </c>
      <c r="AM4" s="7">
        <f t="shared" si="1"/>
        <v>523.9</v>
      </c>
      <c r="AN4" s="7">
        <f t="shared" si="1"/>
        <v>523.9</v>
      </c>
      <c r="AO4" s="16"/>
      <c r="AP4" s="7"/>
      <c r="AQ4" s="9">
        <v>3</v>
      </c>
      <c r="AR4" s="9">
        <f>IF(AI4&gt;0,FLOOR((POWER((AI4/IF(AND(AQ4&gt;=2,AQ4&lt;4),1.2,IF(AND(AQ4&gt;=4,AQ4&lt;6),1.4,IF(AQ4&gt;=6,1.6,1)))/$Z$1),0.5)/INDEX($BD$4:$BQ$4,MATCH(AQ4,$BD$3:$BQ$3,0))-1)*10,1),"")</f>
        <v>33</v>
      </c>
      <c r="AS4" s="7">
        <f>FLOOR(A4/1,1)+25</f>
        <v>26</v>
      </c>
      <c r="AT4" s="7"/>
      <c r="AU4" s="16"/>
      <c r="AV4" s="7"/>
      <c r="AW4" s="7"/>
      <c r="AX4" s="7"/>
      <c r="AY4" s="9">
        <v>4</v>
      </c>
      <c r="AZ4" s="7">
        <v>20</v>
      </c>
      <c r="BA4" s="3">
        <v>3000</v>
      </c>
      <c r="BC4" s="5">
        <f>FLOOR(POWER(((3000*1.5/0.9/1.05)/(96*INDEX($BD$4:$BO$4,MATCH(W4,$BD$3:$BO$3,0))*8*INDEX($BD$4:$BO$4,MATCH(W4,$BD$3:$BO$3,0)))*AI4/IF(AND(W4&gt;=2,W4&lt;4),1.2,IF(AND(W4&gt;=4,W4&lt;6),1.4,IF(W4&gt;=6,1.6,1)))),1/2)-10,1)</f>
        <v>33</v>
      </c>
      <c r="BD4" s="5">
        <v>1</v>
      </c>
      <c r="BE4" s="18">
        <v>1.1000000000000001</v>
      </c>
      <c r="BF4" s="5">
        <v>1.2</v>
      </c>
      <c r="BG4" s="18">
        <v>1.4</v>
      </c>
      <c r="BH4" s="5">
        <v>1.6</v>
      </c>
      <c r="BI4" s="18">
        <v>1.8</v>
      </c>
      <c r="BJ4" s="5">
        <v>2</v>
      </c>
      <c r="BK4" s="18">
        <v>2.2000000000000002</v>
      </c>
      <c r="BL4" s="5">
        <v>2.4</v>
      </c>
      <c r="BM4" s="18">
        <v>2.6</v>
      </c>
      <c r="BN4" s="5">
        <v>2.8</v>
      </c>
      <c r="BO4" s="18">
        <v>3</v>
      </c>
      <c r="BP4" s="5">
        <v>3.2</v>
      </c>
      <c r="BQ4" s="18">
        <v>3.4</v>
      </c>
      <c r="BR4" s="7">
        <v>3201031</v>
      </c>
      <c r="BS4" s="18">
        <f>[1]monsters!$N4</f>
        <v>103.68</v>
      </c>
      <c r="BT4" s="18">
        <f>[1]monsters!$O4</f>
        <v>10.37</v>
      </c>
      <c r="BU4" s="18">
        <f>[1]monsters!$P4</f>
        <v>1280</v>
      </c>
      <c r="BV4" s="18">
        <f>[1]monsters!$Q4</f>
        <v>128</v>
      </c>
      <c r="BW4" s="18">
        <f>[1]monsters!$R4</f>
        <v>20.74</v>
      </c>
      <c r="BX4" s="18">
        <f>[1]monsters!$S4</f>
        <v>2.0699999999999998</v>
      </c>
      <c r="BY4" s="18">
        <f>[1]monsters!$K4</f>
        <v>1.8</v>
      </c>
      <c r="BZ4" s="5">
        <f>[1]monsters!$D4</f>
        <v>2</v>
      </c>
      <c r="CA4" s="5">
        <f>INDEX($CH$5:$CH$10,MATCH($BZ4,$CG$5:$CG$10))</f>
        <v>0.1</v>
      </c>
      <c r="CB4" s="5">
        <f>(BU4/33/(1-CA4)/(1-0)+BS4*(1+0.5*0.1)*0.9)</f>
        <v>141.07524309764312</v>
      </c>
      <c r="CC4" s="5">
        <f>(BU4/33/(1-CA4)/(1-0)+BS4*(1+0.5*0.1)*0.9)*0.1</f>
        <v>14.107524309764313</v>
      </c>
      <c r="CD4" s="5">
        <v>1000</v>
      </c>
      <c r="CE4" s="5">
        <v>1E-4</v>
      </c>
      <c r="CF4" s="5"/>
      <c r="CG4" s="21" t="s">
        <v>103</v>
      </c>
      <c r="CH4" s="21" t="s">
        <v>104</v>
      </c>
      <c r="CI4" s="5"/>
      <c r="CJ4" s="5"/>
      <c r="CK4" s="6" t="s">
        <v>105</v>
      </c>
      <c r="CL4" s="6" t="s">
        <v>106</v>
      </c>
      <c r="CM4" s="6" t="s">
        <v>69</v>
      </c>
      <c r="CN4" s="5"/>
      <c r="CO4" s="5"/>
      <c r="CP4" s="5">
        <v>0</v>
      </c>
      <c r="CR4" s="3" t="b">
        <f t="shared" ref="CR4:CR67" si="2">IF(ISERROR(MATCH(INT(CX4),$EC$4:$EC$426,0))=FALSE,TRUE)</f>
        <v>1</v>
      </c>
      <c r="CS4" s="3" t="b">
        <f t="shared" ref="CS4:CS67" si="3">IF(ISERROR(MATCH(INT(CY4),$EC$4:$EC$426,0))=FALSE,TRUE)</f>
        <v>1</v>
      </c>
      <c r="CT4" s="3" t="b">
        <f t="shared" ref="CT4:CT67" si="4">IF(ISERROR(MATCH(INT(CZ4),$EC$4:$EC$426,0))=FALSE,TRUE)</f>
        <v>1</v>
      </c>
      <c r="CU4" s="3" t="b">
        <f t="shared" ref="CU4:CU67" si="5">IF(ISERROR(MATCH(INT(DA4),$EC$4:$EC$426,0))=FALSE,TRUE)</f>
        <v>1</v>
      </c>
      <c r="CV4" s="3" t="b">
        <f t="shared" ref="CV4:CV67" si="6">IF(ISERROR(MATCH(INT(DB4),$EC$4:$EC$426,0))=FALSE,TRUE)</f>
        <v>1</v>
      </c>
      <c r="CW4" s="3" t="b">
        <f t="shared" ref="CW4:CW67" si="7">IF(ISERROR(MATCH(INT(DC4),$EC$4:$EC$426,0))=FALSE,TRUE)</f>
        <v>1</v>
      </c>
      <c r="CX4" s="9" t="str">
        <f t="shared" ref="CX4:CX67" si="8">REPLACE(REPLACE(INDEX($EC$4:$EC$426,MATCH(DP4,$ED$4:$ED$426,0)),IF(DD4&gt;9,5,6),IF(DD4&gt;9,2,1),DD4),1,1,DJ4)</f>
        <v>3301031</v>
      </c>
      <c r="CY4" s="9" t="str">
        <f t="shared" ref="CY4:CY67" si="9">REPLACE(REPLACE(INDEX($EC$4:$EC$426,MATCH(DQ4,$ED$4:$ED$426,0)),IF(DE4&gt;9,5,6),IF(DE4&gt;9,2,1),DE4),1,1,DK4)</f>
        <v>3301031</v>
      </c>
      <c r="CZ4" s="9" t="str">
        <f t="shared" ref="CZ4:CZ67" si="10">REPLACE(REPLACE(INDEX($EC$4:$EC$426,MATCH(DR4,$ED$4:$ED$426,0)),IF(DF4&gt;9,5,6),IF(DF4&gt;9,2,1),DF4),1,1,DL4)</f>
        <v>3302033</v>
      </c>
      <c r="DA4" s="9" t="str">
        <f t="shared" ref="DA4:DA67" si="11">REPLACE(REPLACE(INDEX($EC$4:$EC$426,MATCH(DS4,$ED$4:$ED$426,0)),IF(DG4&gt;9,5,6),IF(DG4&gt;9,2,1),DG4),1,1,DM4)</f>
        <v>3500032</v>
      </c>
      <c r="DB4" s="9" t="str">
        <f t="shared" ref="DB4:DB67" si="12">REPLACE(REPLACE(INDEX($EC$4:$EC$426,MATCH(DT4,$ED$4:$ED$426,0)),IF(DH4&gt;9,5,6),IF(DH4&gt;9,2,1),DH4),1,1,DN4)</f>
        <v>3500032</v>
      </c>
      <c r="DC4" s="9" t="str">
        <f t="shared" ref="DC4:DC67" si="13">REPLACE(REPLACE(INDEX($EC$4:$EC$426,MATCH(DU4,$ED$4:$ED$426,0)),IF(DI4&gt;9,5,6),IF(DI4&gt;9,2,1),DI4),1,1,DO4)</f>
        <v>3400032</v>
      </c>
      <c r="DD4" s="9">
        <v>3</v>
      </c>
      <c r="DE4" s="9">
        <v>3</v>
      </c>
      <c r="DF4" s="9">
        <v>3</v>
      </c>
      <c r="DG4" s="9">
        <v>3</v>
      </c>
      <c r="DH4" s="9">
        <v>3</v>
      </c>
      <c r="DI4" s="9">
        <v>3</v>
      </c>
      <c r="DJ4" s="9">
        <v>3</v>
      </c>
      <c r="DK4" s="9">
        <v>3</v>
      </c>
      <c r="DL4" s="9">
        <v>3</v>
      </c>
      <c r="DM4" s="9">
        <v>3</v>
      </c>
      <c r="DN4" s="9">
        <v>3</v>
      </c>
      <c r="DO4" s="9">
        <v>3</v>
      </c>
      <c r="DP4" s="3" t="s">
        <v>107</v>
      </c>
      <c r="DQ4" s="3" t="s">
        <v>107</v>
      </c>
      <c r="DR4" s="3" t="s">
        <v>108</v>
      </c>
      <c r="DS4" s="3" t="s">
        <v>109</v>
      </c>
      <c r="DT4" s="3" t="s">
        <v>109</v>
      </c>
      <c r="DU4" s="3" t="s">
        <v>110</v>
      </c>
      <c r="DV4" s="3">
        <f t="shared" ref="DV4:DV67" si="14">INDEX($EE$4:$EE$426,MATCH(DP4,$ED$4:$ED$426,0))</f>
        <v>1</v>
      </c>
      <c r="DW4" s="3">
        <f t="shared" ref="DW4:DW67" si="15">INDEX($EE$4:$EE$426,MATCH(DQ4,$ED$4:$ED$426,0))</f>
        <v>1</v>
      </c>
      <c r="DX4" s="3">
        <f t="shared" ref="DX4:DX67" si="16">INDEX($EE$4:$EE$426,MATCH(DR4,$ED$4:$ED$426,0))</f>
        <v>1</v>
      </c>
      <c r="DY4" s="3">
        <f t="shared" ref="DY4:DY67" si="17">INDEX($EE$4:$EE$426,MATCH(DS4,$ED$4:$ED$426,0))</f>
        <v>2</v>
      </c>
      <c r="DZ4" s="3">
        <f t="shared" ref="DZ4:DZ67" si="18">INDEX($EE$4:$EE$426,MATCH(DT4,$ED$4:$ED$426,0))</f>
        <v>2</v>
      </c>
      <c r="EA4" s="3">
        <f t="shared" ref="EA4:EA67" si="19">INDEX($EE$4:$EE$426,MATCH(DU4,$ED$4:$ED$426,0))</f>
        <v>2</v>
      </c>
      <c r="EB4" s="29"/>
      <c r="EC4" s="5">
        <v>3202031</v>
      </c>
      <c r="ED4" s="30" t="s">
        <v>111</v>
      </c>
      <c r="EE4" s="8">
        <v>1</v>
      </c>
      <c r="EF4" s="9">
        <v>303120001</v>
      </c>
      <c r="EG4" s="3" t="str">
        <f t="shared" ref="EG4:EG36" si="20">INDEX($ER$4:$ER$153,MATCH($EF4,$EQ$4:$EQ$153,0))</f>
        <v>对距离最近的1名敌人造成320%攻击伤害。</v>
      </c>
      <c r="EQ4" s="9">
        <v>505120001</v>
      </c>
      <c r="ER4" s="9" t="s">
        <v>112</v>
      </c>
    </row>
    <row r="5" spans="1:148" ht="15.95" customHeight="1">
      <c r="A5" s="9">
        <v>2</v>
      </c>
      <c r="B5" s="9">
        <v>1</v>
      </c>
      <c r="C5" s="9">
        <v>2001</v>
      </c>
      <c r="D5" s="9">
        <f t="shared" ref="D5:D16" si="21">O5</f>
        <v>3632</v>
      </c>
      <c r="E5" s="9" t="str">
        <f t="shared" ref="E5:E63" si="22">Q5&amp;","&amp;R5&amp;","&amp;S5&amp;","&amp;T5&amp;","&amp;U5&amp;","&amp;V5</f>
        <v>3200033,3200033,3201032,3300032,3500032,3300032</v>
      </c>
      <c r="F5" s="9" t="str">
        <f t="shared" ref="F5:F63" si="23">W5&amp;","&amp;X5&amp;","&amp;Y5&amp;","&amp;Z5&amp;","&amp;AA5&amp;","&amp;AB5</f>
        <v>3,3,3,3,3,3</v>
      </c>
      <c r="G5" s="9" t="str">
        <f t="shared" ref="G5:G63" si="24">AC5&amp;","&amp;AD5&amp;","&amp;AE5&amp;","&amp;AF5&amp;","&amp;AG5&amp;","&amp;AH5</f>
        <v>36,36,36,36,36,36</v>
      </c>
      <c r="H5" s="9">
        <v>20</v>
      </c>
      <c r="I5" s="9" t="s">
        <v>278</v>
      </c>
      <c r="J5" s="9" t="s">
        <v>279</v>
      </c>
      <c r="K5" s="9" t="s">
        <v>279</v>
      </c>
      <c r="L5" s="9" t="s">
        <v>279</v>
      </c>
      <c r="M5" s="9" t="s">
        <v>280</v>
      </c>
      <c r="O5" s="3">
        <f t="shared" ref="O5:O28" si="25">ROUND(P5*1.1*1,0)</f>
        <v>3632</v>
      </c>
      <c r="P5" s="9">
        <v>3302</v>
      </c>
      <c r="Q5" s="9">
        <v>3200033</v>
      </c>
      <c r="R5" s="9">
        <v>3200033</v>
      </c>
      <c r="S5" s="9">
        <v>3201032</v>
      </c>
      <c r="T5" s="9">
        <v>3300032</v>
      </c>
      <c r="U5" s="9">
        <v>3500032</v>
      </c>
      <c r="V5" s="9">
        <v>3300032</v>
      </c>
      <c r="W5" s="9">
        <v>3</v>
      </c>
      <c r="X5" s="9">
        <v>3</v>
      </c>
      <c r="Y5" s="9">
        <v>3</v>
      </c>
      <c r="Z5" s="9">
        <v>3</v>
      </c>
      <c r="AA5" s="9">
        <v>3</v>
      </c>
      <c r="AB5" s="9">
        <v>3</v>
      </c>
      <c r="AC5" s="9">
        <f t="shared" ref="AC5:AC68" si="26">IF(AI5&gt;0,FLOOR((POWER((AI5/IF(AND(W5&gt;=2,W5&lt;4),1.1,IF(AND(W5&gt;=4,W5&lt;6),1.2,IF(W5&gt;=6,1.4,1)))/$Z$1),0.5)/INDEX($BD$4:$BQ$4,MATCH(W5,$BD$3:$BQ$3,0))-1)*10,1),"")</f>
        <v>36</v>
      </c>
      <c r="AD5" s="9">
        <f t="shared" ref="AD5:AD68" si="27">IF(AJ5&gt;0,FLOOR((POWER((AJ5/IF(AND(X5&gt;=2,X5&lt;4),1.1,IF(AND(X5&gt;=4,X5&lt;6),1.15,IF(X5&gt;=6,1.2,1)))/$Z$1),0.5)/INDEX($BD$4:$BQ$4,MATCH(X5,$BD$3:$BQ$3,0))-1)*10,1),"")</f>
        <v>36</v>
      </c>
      <c r="AE5" s="9">
        <f t="shared" ref="AE5:AE68" si="28">IF(AK5&gt;0,FLOOR((POWER((AK5/IF(AND(Y5&gt;=2,Y5&lt;4),1.1,IF(AND(Y5&gt;=4,Y5&lt;6),1.15,IF(Y5&gt;=6,1.2,1)))/$Z$1),0.5)/INDEX($BD$4:$BQ$4,MATCH(Y5,$BD$3:$BQ$3,0))-1)*10,1),"")</f>
        <v>36</v>
      </c>
      <c r="AF5" s="9">
        <f t="shared" ref="AF5:AF68" si="29">IF(AL5&gt;0,FLOOR((POWER((AL5/IF(AND(Z5&gt;=2,Z5&lt;4),1.1,IF(AND(Z5&gt;=4,Z5&lt;6),1.15,IF(Z5&gt;=6,1.2,1)))/$Z$1),0.5)/INDEX($BD$4:$BQ$4,MATCH(Z5,$BD$3:$BQ$3,0))-1)*10,1),"")</f>
        <v>36</v>
      </c>
      <c r="AG5" s="9">
        <f t="shared" ref="AG5:AG68" si="30">IF(AM5&gt;0,FLOOR((POWER((AM5/IF(AND(AA5&gt;=2,AA5&lt;4),1.1,IF(AND(AA5&gt;=4,AA5&lt;6),1.15,IF(AA5&gt;=6,1.2,1)))/$Z$1),0.5)/INDEX($BD$4:$BQ$4,MATCH(AA5,$BD$3:$BQ$3,0))-1)*10,1),"")</f>
        <v>36</v>
      </c>
      <c r="AH5" s="9">
        <f t="shared" ref="AH5:AH68" si="31">IF(AN5&gt;0,FLOOR((POWER((AN5/IF(AND(AB5&gt;=2,AB5&lt;4),1.1,IF(AND(AB5&gt;=4,AB5&lt;6),1.15,IF(AB5&gt;=6,1.2,1)))/$Z$1),0.5)/INDEX($BD$4:$BQ$4,MATCH(AB5,$BD$3:$BQ$3,0))-1)*10,1),"")</f>
        <v>36</v>
      </c>
      <c r="AI5" s="7">
        <f t="shared" ref="AI5:AN59" si="32">$P5/6</f>
        <v>550.33333333333337</v>
      </c>
      <c r="AJ5" s="7">
        <f t="shared" si="1"/>
        <v>550.33333333333337</v>
      </c>
      <c r="AK5" s="7">
        <f t="shared" si="1"/>
        <v>550.33333333333337</v>
      </c>
      <c r="AL5" s="7">
        <f t="shared" si="1"/>
        <v>550.33333333333337</v>
      </c>
      <c r="AM5" s="7">
        <f t="shared" si="1"/>
        <v>550.33333333333337</v>
      </c>
      <c r="AN5" s="7">
        <f t="shared" si="1"/>
        <v>550.33333333333337</v>
      </c>
      <c r="AO5" s="16"/>
      <c r="AP5" s="7"/>
      <c r="AQ5" s="9">
        <v>3</v>
      </c>
      <c r="AR5" s="9">
        <f t="shared" ref="AR5:AR68" si="33">IF(AI5&gt;0,FLOOR((POWER((AI5/IF(AND(AQ5&gt;=2,AQ5&lt;4),1.2,IF(AND(AQ5&gt;=4,AQ5&lt;6),1.4,IF(AQ5&gt;=6,1.6,1)))/$Z$1),0.5)/INDEX($BD$4:$BQ$4,MATCH(AQ5,$BD$3:$BQ$3,0))-1)*10,1),"")</f>
        <v>34</v>
      </c>
      <c r="AS5" s="7">
        <f t="shared" ref="AS5:AS68" si="34">FLOOR(A5/1,1)+25</f>
        <v>27</v>
      </c>
      <c r="AT5" s="7"/>
      <c r="AU5" s="16"/>
      <c r="AV5" s="7"/>
      <c r="AW5" s="7"/>
      <c r="AX5" s="7"/>
      <c r="AZ5" s="7"/>
      <c r="BA5" s="9">
        <f>BA4+($BA$43-$BA$4)/($A$43-$A$4)</f>
        <v>3089.2307692307691</v>
      </c>
      <c r="BC5" s="5">
        <f t="shared" ref="BC5:BC68" si="35">FLOOR(POWER(((3000*1.5/0.9/1.05)/(96*INDEX($BD$4:$BO$4,MATCH(W5,$BD$3:$BO$3,0))*8*INDEX($BD$4:$BO$4,MATCH(W5,$BD$3:$BO$3,0)))*AI5/IF(AND(W5&gt;=2,W5&lt;4),1.2,IF(AND(W5&gt;=4,W5&lt;6),1.4,IF(W5&gt;=6,1.6,1)))),1/2)-10,1)</f>
        <v>34</v>
      </c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18"/>
      <c r="BQ5" s="18"/>
      <c r="BR5" s="18">
        <v>3302031</v>
      </c>
      <c r="BS5" s="18">
        <f>[1]monsters!$N5</f>
        <v>69.12</v>
      </c>
      <c r="BT5" s="18">
        <f>[1]monsters!$O5</f>
        <v>6.91</v>
      </c>
      <c r="BU5" s="18">
        <f>[1]monsters!$P5</f>
        <v>1280</v>
      </c>
      <c r="BV5" s="18">
        <f>[1]monsters!$Q5</f>
        <v>128</v>
      </c>
      <c r="BW5" s="18">
        <f>[1]monsters!$R5</f>
        <v>13.82</v>
      </c>
      <c r="BX5" s="18">
        <f>[1]monsters!$S5</f>
        <v>1.38</v>
      </c>
      <c r="BY5" s="18">
        <f>[1]monsters!$K5</f>
        <v>1.2</v>
      </c>
      <c r="BZ5" s="5">
        <f>[1]monsters!$D5</f>
        <v>3</v>
      </c>
      <c r="CA5" s="5">
        <f t="shared" ref="CA5:CA68" si="36">INDEX($CH$5:$CH$10,MATCH($BZ5,$CG$5:$CG$10))</f>
        <v>0.1</v>
      </c>
      <c r="CB5" s="5">
        <f t="shared" ref="CB5:CB68" si="37">(BU5/33/(1-CA5)/(1-0)+BS5*(1+0.5*0.1)*0.9)</f>
        <v>108.41604309764311</v>
      </c>
      <c r="CC5" s="5">
        <f t="shared" ref="CC5:CC68" si="38">(BU5/33/(1-CA5)/(1-0)+BS5*(1+0.5*0.1)*0.9)*0.1</f>
        <v>10.841604309764312</v>
      </c>
      <c r="CD5" s="5">
        <v>4000</v>
      </c>
      <c r="CE5" s="5">
        <v>5.0000000000000002E-5</v>
      </c>
      <c r="CF5" s="5"/>
      <c r="CG5" s="5">
        <v>1</v>
      </c>
      <c r="CH5" s="5">
        <v>0.1</v>
      </c>
      <c r="CI5" s="5"/>
      <c r="CJ5" s="5"/>
      <c r="CK5" s="5">
        <v>30</v>
      </c>
      <c r="CL5" s="5">
        <v>1200</v>
      </c>
      <c r="CM5" s="5"/>
      <c r="CN5" s="5"/>
      <c r="CO5" s="5"/>
      <c r="CP5" s="5">
        <v>0</v>
      </c>
      <c r="CR5" s="3" t="b">
        <f t="shared" si="2"/>
        <v>1</v>
      </c>
      <c r="CS5" s="3" t="b">
        <f t="shared" si="3"/>
        <v>1</v>
      </c>
      <c r="CT5" s="3" t="b">
        <f t="shared" si="4"/>
        <v>1</v>
      </c>
      <c r="CU5" s="3" t="b">
        <f t="shared" si="5"/>
        <v>1</v>
      </c>
      <c r="CV5" s="3" t="b">
        <f t="shared" si="6"/>
        <v>1</v>
      </c>
      <c r="CW5" s="3" t="b">
        <f t="shared" si="7"/>
        <v>1</v>
      </c>
      <c r="CX5" s="9" t="str">
        <f t="shared" si="8"/>
        <v>3200033</v>
      </c>
      <c r="CY5" s="9" t="str">
        <f t="shared" si="9"/>
        <v>3200033</v>
      </c>
      <c r="CZ5" s="9" t="str">
        <f t="shared" si="10"/>
        <v>3201032</v>
      </c>
      <c r="DA5" s="9" t="str">
        <f t="shared" si="11"/>
        <v>3300032</v>
      </c>
      <c r="DB5" s="9" t="str">
        <f t="shared" si="12"/>
        <v>3500032</v>
      </c>
      <c r="DC5" s="9" t="str">
        <f t="shared" si="13"/>
        <v>3300032</v>
      </c>
      <c r="DD5" s="9">
        <v>3</v>
      </c>
      <c r="DE5" s="9">
        <v>3</v>
      </c>
      <c r="DF5" s="9">
        <v>3</v>
      </c>
      <c r="DG5" s="9">
        <v>3</v>
      </c>
      <c r="DH5" s="9">
        <v>3</v>
      </c>
      <c r="DI5" s="9">
        <v>3</v>
      </c>
      <c r="DJ5" s="9">
        <v>3</v>
      </c>
      <c r="DK5" s="9">
        <v>3</v>
      </c>
      <c r="DL5" s="9">
        <v>3</v>
      </c>
      <c r="DM5" s="9">
        <v>3</v>
      </c>
      <c r="DN5" s="9">
        <v>3</v>
      </c>
      <c r="DO5" s="9">
        <v>3</v>
      </c>
      <c r="DP5" s="3" t="s">
        <v>113</v>
      </c>
      <c r="DQ5" s="3" t="s">
        <v>113</v>
      </c>
      <c r="DR5" s="3" t="s">
        <v>114</v>
      </c>
      <c r="DS5" s="25" t="s">
        <v>115</v>
      </c>
      <c r="DT5" s="25" t="s">
        <v>109</v>
      </c>
      <c r="DU5" s="27" t="s">
        <v>115</v>
      </c>
      <c r="DV5" s="25">
        <f t="shared" si="14"/>
        <v>1</v>
      </c>
      <c r="DW5" s="25">
        <f t="shared" si="15"/>
        <v>1</v>
      </c>
      <c r="DX5" s="25">
        <f t="shared" si="16"/>
        <v>1</v>
      </c>
      <c r="DY5" s="25">
        <f t="shared" si="17"/>
        <v>2</v>
      </c>
      <c r="DZ5" s="25">
        <f t="shared" si="18"/>
        <v>2</v>
      </c>
      <c r="EA5" s="3">
        <f t="shared" si="19"/>
        <v>2</v>
      </c>
      <c r="EB5" s="30"/>
      <c r="EC5" s="5">
        <v>3301031</v>
      </c>
      <c r="ED5" s="30" t="s">
        <v>107</v>
      </c>
      <c r="EE5" s="8">
        <v>1</v>
      </c>
      <c r="EF5" s="9">
        <v>303120101</v>
      </c>
      <c r="EG5" s="3" t="str">
        <f t="shared" si="20"/>
        <v>对随机2名敌人造成173%攻击伤害，并嘲讽目标，使对方强制攻击自己。</v>
      </c>
      <c r="EQ5" s="9">
        <v>505120101</v>
      </c>
      <c r="ER5" s="9" t="s">
        <v>116</v>
      </c>
    </row>
    <row r="6" spans="1:148" ht="15.95" customHeight="1">
      <c r="A6" s="9">
        <v>3</v>
      </c>
      <c r="B6" s="9">
        <v>1</v>
      </c>
      <c r="C6" s="9">
        <v>2001</v>
      </c>
      <c r="D6" s="9">
        <f t="shared" si="21"/>
        <v>3812</v>
      </c>
      <c r="E6" s="9" t="str">
        <f t="shared" si="22"/>
        <v>3202031,3201032,3201032,3401031,3402033,3402033</v>
      </c>
      <c r="F6" s="9" t="str">
        <f t="shared" si="23"/>
        <v>3,3,3,3,3,3</v>
      </c>
      <c r="G6" s="9" t="str">
        <f t="shared" si="24"/>
        <v>37,37,37,37,37,37</v>
      </c>
      <c r="H6" s="9">
        <v>20</v>
      </c>
      <c r="I6" s="9" t="s">
        <v>278</v>
      </c>
      <c r="J6" s="9" t="s">
        <v>279</v>
      </c>
      <c r="K6" s="9" t="s">
        <v>279</v>
      </c>
      <c r="L6" s="9" t="s">
        <v>279</v>
      </c>
      <c r="M6" s="9" t="s">
        <v>280</v>
      </c>
      <c r="O6" s="3">
        <f t="shared" si="25"/>
        <v>3812</v>
      </c>
      <c r="P6" s="9">
        <v>3465.8</v>
      </c>
      <c r="Q6" s="9">
        <v>3202031</v>
      </c>
      <c r="R6" s="9">
        <v>3201032</v>
      </c>
      <c r="S6" s="9">
        <v>3201032</v>
      </c>
      <c r="T6" s="9">
        <v>3401031</v>
      </c>
      <c r="U6" s="9">
        <v>3402033</v>
      </c>
      <c r="V6" s="9">
        <v>3402033</v>
      </c>
      <c r="W6" s="9">
        <v>3</v>
      </c>
      <c r="X6" s="9">
        <v>3</v>
      </c>
      <c r="Y6" s="9">
        <v>3</v>
      </c>
      <c r="Z6" s="9">
        <v>3</v>
      </c>
      <c r="AA6" s="9">
        <v>3</v>
      </c>
      <c r="AB6" s="9">
        <v>3</v>
      </c>
      <c r="AC6" s="9">
        <f t="shared" si="26"/>
        <v>37</v>
      </c>
      <c r="AD6" s="9">
        <f t="shared" si="27"/>
        <v>37</v>
      </c>
      <c r="AE6" s="9">
        <f t="shared" si="28"/>
        <v>37</v>
      </c>
      <c r="AF6" s="9">
        <f t="shared" si="29"/>
        <v>37</v>
      </c>
      <c r="AG6" s="9">
        <f t="shared" si="30"/>
        <v>37</v>
      </c>
      <c r="AH6" s="9">
        <f t="shared" si="31"/>
        <v>37</v>
      </c>
      <c r="AI6" s="7">
        <f t="shared" si="32"/>
        <v>577.63333333333333</v>
      </c>
      <c r="AJ6" s="7">
        <f t="shared" si="1"/>
        <v>577.63333333333333</v>
      </c>
      <c r="AK6" s="7">
        <f t="shared" si="1"/>
        <v>577.63333333333333</v>
      </c>
      <c r="AL6" s="7">
        <f t="shared" si="1"/>
        <v>577.63333333333333</v>
      </c>
      <c r="AM6" s="7">
        <f t="shared" si="1"/>
        <v>577.63333333333333</v>
      </c>
      <c r="AN6" s="7">
        <f t="shared" si="1"/>
        <v>577.63333333333333</v>
      </c>
      <c r="AO6" s="16"/>
      <c r="AP6" s="7"/>
      <c r="AQ6" s="9">
        <v>3</v>
      </c>
      <c r="AR6" s="9">
        <f t="shared" si="33"/>
        <v>35</v>
      </c>
      <c r="AS6" s="7">
        <f t="shared" si="34"/>
        <v>28</v>
      </c>
      <c r="AT6" s="7"/>
      <c r="AU6" s="16"/>
      <c r="AV6" s="7"/>
      <c r="AW6" s="7"/>
      <c r="AX6" s="7"/>
      <c r="AZ6" s="7"/>
      <c r="BA6" s="9">
        <f t="shared" ref="BA6:BA42" si="39">BA5+($BA$43-$BA$4)/($A$43-$A$4)</f>
        <v>3178.4615384615381</v>
      </c>
      <c r="BC6" s="5">
        <f t="shared" si="35"/>
        <v>35</v>
      </c>
      <c r="BD6" s="17"/>
      <c r="BE6" s="19"/>
      <c r="BF6" s="19"/>
      <c r="BG6" s="19"/>
      <c r="BH6" s="19"/>
      <c r="BI6" s="19"/>
      <c r="BJ6" s="19"/>
      <c r="BK6" s="5"/>
      <c r="BL6" s="5"/>
      <c r="BM6" s="5"/>
      <c r="BN6" s="5"/>
      <c r="BO6" s="5"/>
      <c r="BP6" s="18"/>
      <c r="BQ6" s="18"/>
      <c r="BR6" s="18">
        <v>3401031</v>
      </c>
      <c r="BS6" s="18">
        <f>[1]monsters!$N6</f>
        <v>125.44</v>
      </c>
      <c r="BT6" s="18">
        <f>[1]monsters!$O6</f>
        <v>12.54</v>
      </c>
      <c r="BU6" s="18">
        <f>[1]monsters!$P6</f>
        <v>822.86</v>
      </c>
      <c r="BV6" s="18">
        <f>[1]monsters!$Q6</f>
        <v>82.29</v>
      </c>
      <c r="BW6" s="18">
        <f>[1]monsters!$R6</f>
        <v>15.68</v>
      </c>
      <c r="BX6" s="18">
        <f>[1]monsters!$S6</f>
        <v>1.57</v>
      </c>
      <c r="BY6" s="18">
        <f>[1]monsters!$K6</f>
        <v>1.4</v>
      </c>
      <c r="BZ6" s="5">
        <f>[1]monsters!$D6</f>
        <v>5</v>
      </c>
      <c r="CA6" s="5">
        <f t="shared" si="36"/>
        <v>0.1</v>
      </c>
      <c r="CB6" s="5">
        <f t="shared" si="37"/>
        <v>146.2465239057239</v>
      </c>
      <c r="CC6" s="5">
        <f t="shared" si="38"/>
        <v>14.624652390572392</v>
      </c>
      <c r="CD6" s="5">
        <v>10000</v>
      </c>
      <c r="CE6" s="5">
        <v>2.0000000000000002E-5</v>
      </c>
      <c r="CF6" s="5"/>
      <c r="CG6" s="5">
        <v>2</v>
      </c>
      <c r="CH6" s="5">
        <v>0.1</v>
      </c>
      <c r="CI6" s="5"/>
      <c r="CJ6" s="5"/>
      <c r="CK6" s="5">
        <v>1</v>
      </c>
      <c r="CL6" s="5">
        <v>1</v>
      </c>
      <c r="CM6" s="5"/>
      <c r="CN6" s="5"/>
      <c r="CO6" s="5"/>
      <c r="CP6" s="5">
        <v>0</v>
      </c>
      <c r="CR6" s="3" t="b">
        <f t="shared" si="2"/>
        <v>1</v>
      </c>
      <c r="CS6" s="3" t="b">
        <f t="shared" si="3"/>
        <v>1</v>
      </c>
      <c r="CT6" s="3" t="b">
        <f t="shared" si="4"/>
        <v>1</v>
      </c>
      <c r="CU6" s="3" t="b">
        <f t="shared" si="5"/>
        <v>1</v>
      </c>
      <c r="CV6" s="3" t="b">
        <f t="shared" si="6"/>
        <v>1</v>
      </c>
      <c r="CW6" s="3" t="b">
        <f t="shared" si="7"/>
        <v>1</v>
      </c>
      <c r="CX6" s="9" t="str">
        <f t="shared" si="8"/>
        <v>3202031</v>
      </c>
      <c r="CY6" s="9" t="str">
        <f t="shared" si="9"/>
        <v>3201032</v>
      </c>
      <c r="CZ6" s="9" t="str">
        <f t="shared" si="10"/>
        <v>3201032</v>
      </c>
      <c r="DA6" s="9" t="str">
        <f t="shared" si="11"/>
        <v>3401031</v>
      </c>
      <c r="DB6" s="9" t="str">
        <f t="shared" si="12"/>
        <v>3402033</v>
      </c>
      <c r="DC6" s="9" t="str">
        <f t="shared" si="13"/>
        <v>3402033</v>
      </c>
      <c r="DD6" s="9">
        <v>3</v>
      </c>
      <c r="DE6" s="9">
        <v>3</v>
      </c>
      <c r="DF6" s="9">
        <v>3</v>
      </c>
      <c r="DG6" s="9">
        <v>3</v>
      </c>
      <c r="DH6" s="9">
        <v>3</v>
      </c>
      <c r="DI6" s="9">
        <v>3</v>
      </c>
      <c r="DJ6" s="9">
        <v>3</v>
      </c>
      <c r="DK6" s="9">
        <v>3</v>
      </c>
      <c r="DL6" s="9">
        <v>3</v>
      </c>
      <c r="DM6" s="9">
        <v>3</v>
      </c>
      <c r="DN6" s="9">
        <v>3</v>
      </c>
      <c r="DO6" s="9">
        <v>3</v>
      </c>
      <c r="DP6" s="3" t="s">
        <v>111</v>
      </c>
      <c r="DQ6" s="3" t="s">
        <v>114</v>
      </c>
      <c r="DR6" s="3" t="s">
        <v>114</v>
      </c>
      <c r="DS6" s="3" t="s">
        <v>117</v>
      </c>
      <c r="DT6" s="3" t="s">
        <v>118</v>
      </c>
      <c r="DU6" s="3" t="s">
        <v>118</v>
      </c>
      <c r="DV6" s="3">
        <f t="shared" si="14"/>
        <v>1</v>
      </c>
      <c r="DW6" s="3">
        <f t="shared" si="15"/>
        <v>1</v>
      </c>
      <c r="DX6" s="3">
        <f t="shared" si="16"/>
        <v>1</v>
      </c>
      <c r="DY6" s="3">
        <f t="shared" si="17"/>
        <v>2</v>
      </c>
      <c r="DZ6" s="3">
        <f t="shared" si="18"/>
        <v>2</v>
      </c>
      <c r="EA6" s="3">
        <f t="shared" si="19"/>
        <v>2</v>
      </c>
      <c r="EB6" s="30"/>
      <c r="EC6" s="5">
        <v>3502031</v>
      </c>
      <c r="ED6" s="31" t="s">
        <v>119</v>
      </c>
      <c r="EE6" s="8">
        <v>2</v>
      </c>
      <c r="EF6" s="9">
        <v>303120201</v>
      </c>
      <c r="EG6" s="3" t="str">
        <f t="shared" si="20"/>
        <v>对随机3名敌人造成124%攻击伤害。</v>
      </c>
      <c r="EQ6" s="9">
        <v>505120201</v>
      </c>
      <c r="ER6" s="9" t="s">
        <v>120</v>
      </c>
    </row>
    <row r="7" spans="1:148" ht="15.95" customHeight="1">
      <c r="A7" s="9">
        <v>4</v>
      </c>
      <c r="B7" s="9">
        <v>1</v>
      </c>
      <c r="C7" s="9">
        <v>2001</v>
      </c>
      <c r="D7" s="9">
        <f t="shared" si="21"/>
        <v>3997</v>
      </c>
      <c r="E7" s="9" t="str">
        <f t="shared" si="22"/>
        <v>3302033,3202031,3200033,3501033,3500032,3501033</v>
      </c>
      <c r="F7" s="9" t="str">
        <f t="shared" si="23"/>
        <v>3,3,3,3,3,3</v>
      </c>
      <c r="G7" s="9" t="str">
        <f t="shared" si="24"/>
        <v>38,38,38,38,38,38</v>
      </c>
      <c r="H7" s="9">
        <v>20</v>
      </c>
      <c r="I7" s="9" t="s">
        <v>278</v>
      </c>
      <c r="J7" s="9" t="s">
        <v>279</v>
      </c>
      <c r="K7" s="9" t="s">
        <v>279</v>
      </c>
      <c r="L7" s="9" t="s">
        <v>279</v>
      </c>
      <c r="M7" s="9" t="s">
        <v>280</v>
      </c>
      <c r="O7" s="3">
        <f t="shared" si="25"/>
        <v>3997</v>
      </c>
      <c r="P7" s="9">
        <v>3633.5</v>
      </c>
      <c r="Q7" s="9">
        <v>3302033</v>
      </c>
      <c r="R7" s="9">
        <v>3202031</v>
      </c>
      <c r="S7" s="9">
        <v>3200033</v>
      </c>
      <c r="T7" s="9">
        <v>3501033</v>
      </c>
      <c r="U7" s="9">
        <v>3500032</v>
      </c>
      <c r="V7" s="9">
        <v>3501033</v>
      </c>
      <c r="W7" s="9">
        <v>3</v>
      </c>
      <c r="X7" s="9">
        <v>3</v>
      </c>
      <c r="Y7" s="9">
        <v>3</v>
      </c>
      <c r="Z7" s="9">
        <v>3</v>
      </c>
      <c r="AA7" s="9">
        <v>3</v>
      </c>
      <c r="AB7" s="9">
        <v>3</v>
      </c>
      <c r="AC7" s="9">
        <f t="shared" si="26"/>
        <v>38</v>
      </c>
      <c r="AD7" s="9">
        <f t="shared" si="27"/>
        <v>38</v>
      </c>
      <c r="AE7" s="9">
        <f t="shared" si="28"/>
        <v>38</v>
      </c>
      <c r="AF7" s="9">
        <f t="shared" si="29"/>
        <v>38</v>
      </c>
      <c r="AG7" s="9">
        <f t="shared" si="30"/>
        <v>38</v>
      </c>
      <c r="AH7" s="9">
        <f t="shared" si="31"/>
        <v>38</v>
      </c>
      <c r="AI7" s="7">
        <f t="shared" si="32"/>
        <v>605.58333333333337</v>
      </c>
      <c r="AJ7" s="7">
        <f t="shared" si="1"/>
        <v>605.58333333333337</v>
      </c>
      <c r="AK7" s="7">
        <f t="shared" si="1"/>
        <v>605.58333333333337</v>
      </c>
      <c r="AL7" s="7">
        <f t="shared" si="1"/>
        <v>605.58333333333337</v>
      </c>
      <c r="AM7" s="7">
        <f t="shared" si="1"/>
        <v>605.58333333333337</v>
      </c>
      <c r="AN7" s="7">
        <f t="shared" si="1"/>
        <v>605.58333333333337</v>
      </c>
      <c r="AO7" s="16"/>
      <c r="AP7" s="7"/>
      <c r="AQ7" s="9">
        <v>3</v>
      </c>
      <c r="AR7" s="9">
        <f t="shared" si="33"/>
        <v>36</v>
      </c>
      <c r="AS7" s="7">
        <f t="shared" si="34"/>
        <v>29</v>
      </c>
      <c r="AT7" s="7"/>
      <c r="AU7" s="16"/>
      <c r="AV7" s="7"/>
      <c r="AW7" s="7"/>
      <c r="AX7" s="7"/>
      <c r="AZ7" s="7"/>
      <c r="BA7" s="9">
        <f t="shared" si="39"/>
        <v>3267.6923076923072</v>
      </c>
      <c r="BC7" s="5">
        <f t="shared" si="35"/>
        <v>36</v>
      </c>
      <c r="BD7" s="5"/>
      <c r="BE7" s="5"/>
      <c r="BF7" s="5"/>
      <c r="BG7" s="5"/>
      <c r="BH7" s="5"/>
      <c r="BI7" s="5"/>
      <c r="BJ7" s="5"/>
      <c r="BK7" s="5"/>
      <c r="BL7" s="5"/>
      <c r="BM7" s="5"/>
      <c r="BP7" s="18"/>
      <c r="BQ7" s="18"/>
      <c r="BR7" s="18">
        <v>3500031</v>
      </c>
      <c r="BS7" s="18">
        <f>[1]monsters!$N7</f>
        <v>92.16</v>
      </c>
      <c r="BT7" s="18">
        <f>[1]monsters!$O7</f>
        <v>9.2200000000000006</v>
      </c>
      <c r="BU7" s="18">
        <f>[1]monsters!$P7</f>
        <v>1440</v>
      </c>
      <c r="BV7" s="18">
        <f>[1]monsters!$Q7</f>
        <v>144</v>
      </c>
      <c r="BW7" s="18">
        <f>[1]monsters!$R7</f>
        <v>30.72</v>
      </c>
      <c r="BX7" s="18">
        <f>[1]monsters!$S7</f>
        <v>3.07</v>
      </c>
      <c r="BY7" s="18">
        <f>[1]monsters!$K7</f>
        <v>1.8</v>
      </c>
      <c r="BZ7" s="5">
        <f>[1]monsters!$D7</f>
        <v>2</v>
      </c>
      <c r="CA7" s="5">
        <f t="shared" si="36"/>
        <v>0.1</v>
      </c>
      <c r="CB7" s="5">
        <f t="shared" si="37"/>
        <v>135.57604848484849</v>
      </c>
      <c r="CC7" s="5">
        <f t="shared" si="38"/>
        <v>13.55760484848485</v>
      </c>
      <c r="CD7" s="5">
        <v>20000</v>
      </c>
      <c r="CE7" s="5">
        <v>7.9999999999999996E-6</v>
      </c>
      <c r="CF7" s="5"/>
      <c r="CG7" s="5">
        <v>3</v>
      </c>
      <c r="CH7" s="5">
        <v>0.1</v>
      </c>
      <c r="CI7" s="5"/>
      <c r="CJ7" s="5"/>
      <c r="CK7" s="5">
        <f>CK5*CK6</f>
        <v>30</v>
      </c>
      <c r="CL7" s="5">
        <f>CL6*CL5</f>
        <v>1200</v>
      </c>
      <c r="CM7" s="24">
        <f>(CL7*CK7*0.9*1.05*1/1/1)/3000</f>
        <v>11.34</v>
      </c>
      <c r="CN7" s="6"/>
      <c r="CO7" s="5"/>
      <c r="CP7" s="5">
        <v>0</v>
      </c>
      <c r="CR7" s="3" t="b">
        <f t="shared" si="2"/>
        <v>1</v>
      </c>
      <c r="CS7" s="3" t="b">
        <f t="shared" si="3"/>
        <v>1</v>
      </c>
      <c r="CT7" s="3" t="b">
        <f t="shared" si="4"/>
        <v>1</v>
      </c>
      <c r="CU7" s="3" t="b">
        <f t="shared" si="5"/>
        <v>1</v>
      </c>
      <c r="CV7" s="3" t="b">
        <f t="shared" si="6"/>
        <v>1</v>
      </c>
      <c r="CW7" s="3" t="b">
        <f t="shared" si="7"/>
        <v>1</v>
      </c>
      <c r="CX7" s="9" t="str">
        <f t="shared" si="8"/>
        <v>3302033</v>
      </c>
      <c r="CY7" s="9" t="str">
        <f t="shared" si="9"/>
        <v>3202031</v>
      </c>
      <c r="CZ7" s="9" t="str">
        <f t="shared" si="10"/>
        <v>3200033</v>
      </c>
      <c r="DA7" s="9" t="str">
        <f t="shared" si="11"/>
        <v>3501033</v>
      </c>
      <c r="DB7" s="9" t="str">
        <f t="shared" si="12"/>
        <v>3500032</v>
      </c>
      <c r="DC7" s="9" t="str">
        <f t="shared" si="13"/>
        <v>3501033</v>
      </c>
      <c r="DD7" s="9">
        <v>3</v>
      </c>
      <c r="DE7" s="9">
        <v>3</v>
      </c>
      <c r="DF7" s="9">
        <v>3</v>
      </c>
      <c r="DG7" s="9">
        <v>3</v>
      </c>
      <c r="DH7" s="9">
        <v>3</v>
      </c>
      <c r="DI7" s="9">
        <v>3</v>
      </c>
      <c r="DJ7" s="9">
        <v>3</v>
      </c>
      <c r="DK7" s="9">
        <v>3</v>
      </c>
      <c r="DL7" s="9">
        <v>3</v>
      </c>
      <c r="DM7" s="9">
        <v>3</v>
      </c>
      <c r="DN7" s="9">
        <v>3</v>
      </c>
      <c r="DO7" s="9">
        <v>3</v>
      </c>
      <c r="DP7" s="3" t="s">
        <v>108</v>
      </c>
      <c r="DQ7" s="3" t="s">
        <v>111</v>
      </c>
      <c r="DR7" s="3" t="s">
        <v>113</v>
      </c>
      <c r="DS7" s="3" t="s">
        <v>121</v>
      </c>
      <c r="DT7" s="3" t="s">
        <v>109</v>
      </c>
      <c r="DU7" s="3" t="s">
        <v>121</v>
      </c>
      <c r="DV7" s="3">
        <f t="shared" si="14"/>
        <v>1</v>
      </c>
      <c r="DW7" s="3">
        <f t="shared" si="15"/>
        <v>1</v>
      </c>
      <c r="DX7" s="3">
        <f t="shared" si="16"/>
        <v>1</v>
      </c>
      <c r="DY7" s="3">
        <f t="shared" si="17"/>
        <v>2</v>
      </c>
      <c r="DZ7" s="3">
        <f t="shared" si="18"/>
        <v>2</v>
      </c>
      <c r="EA7" s="3">
        <f t="shared" si="19"/>
        <v>2</v>
      </c>
      <c r="EB7" s="30"/>
      <c r="EC7" s="5">
        <v>3201032</v>
      </c>
      <c r="ED7" s="31" t="s">
        <v>114</v>
      </c>
      <c r="EE7" s="8">
        <v>1</v>
      </c>
      <c r="EF7" s="9">
        <v>303130101</v>
      </c>
      <c r="EG7" s="3" t="str">
        <f t="shared" si="20"/>
        <v>对距离最远的1名敌人造成431%攻击伤害。</v>
      </c>
      <c r="EQ7" s="9">
        <v>505130101</v>
      </c>
      <c r="ER7" s="9" t="s">
        <v>122</v>
      </c>
    </row>
    <row r="8" spans="1:148" ht="15.95" customHeight="1">
      <c r="A8" s="9">
        <v>5</v>
      </c>
      <c r="B8" s="9">
        <v>1</v>
      </c>
      <c r="C8" s="9">
        <v>2001</v>
      </c>
      <c r="D8" s="9">
        <f t="shared" si="21"/>
        <v>4186</v>
      </c>
      <c r="E8" s="9" t="str">
        <f t="shared" si="22"/>
        <v>3202031,3301031,3301031,3502031,3501033,3501033</v>
      </c>
      <c r="F8" s="9" t="str">
        <f t="shared" si="23"/>
        <v>3,3,3,3,3,3</v>
      </c>
      <c r="G8" s="9" t="str">
        <f t="shared" si="24"/>
        <v>39,39,39,39,39,39</v>
      </c>
      <c r="H8" s="9">
        <v>22</v>
      </c>
      <c r="I8" s="9" t="s">
        <v>278</v>
      </c>
      <c r="J8" s="9" t="s">
        <v>279</v>
      </c>
      <c r="K8" s="9" t="s">
        <v>279</v>
      </c>
      <c r="L8" s="9" t="s">
        <v>279</v>
      </c>
      <c r="M8" s="9" t="s">
        <v>280</v>
      </c>
      <c r="O8" s="3">
        <f t="shared" si="25"/>
        <v>4186</v>
      </c>
      <c r="P8" s="9">
        <v>3805.1</v>
      </c>
      <c r="Q8" s="9">
        <v>3202031</v>
      </c>
      <c r="R8" s="9">
        <v>3301031</v>
      </c>
      <c r="S8" s="9">
        <v>3301031</v>
      </c>
      <c r="T8" s="9">
        <v>3502031</v>
      </c>
      <c r="U8" s="9">
        <v>3501033</v>
      </c>
      <c r="V8" s="9">
        <v>3501033</v>
      </c>
      <c r="W8" s="9">
        <v>3</v>
      </c>
      <c r="X8" s="9">
        <v>3</v>
      </c>
      <c r="Y8" s="9">
        <v>3</v>
      </c>
      <c r="Z8" s="9">
        <v>3</v>
      </c>
      <c r="AA8" s="9">
        <v>3</v>
      </c>
      <c r="AB8" s="9">
        <v>3</v>
      </c>
      <c r="AC8" s="9">
        <f t="shared" si="26"/>
        <v>39</v>
      </c>
      <c r="AD8" s="9">
        <f t="shared" si="27"/>
        <v>39</v>
      </c>
      <c r="AE8" s="9">
        <f t="shared" si="28"/>
        <v>39</v>
      </c>
      <c r="AF8" s="9">
        <f t="shared" si="29"/>
        <v>39</v>
      </c>
      <c r="AG8" s="9">
        <f t="shared" si="30"/>
        <v>39</v>
      </c>
      <c r="AH8" s="9">
        <f t="shared" si="31"/>
        <v>39</v>
      </c>
      <c r="AI8" s="7">
        <f t="shared" si="32"/>
        <v>634.18333333333328</v>
      </c>
      <c r="AJ8" s="7">
        <f t="shared" si="1"/>
        <v>634.18333333333328</v>
      </c>
      <c r="AK8" s="7">
        <f t="shared" si="1"/>
        <v>634.18333333333328</v>
      </c>
      <c r="AL8" s="7">
        <f t="shared" si="1"/>
        <v>634.18333333333328</v>
      </c>
      <c r="AM8" s="7">
        <f t="shared" si="1"/>
        <v>634.18333333333328</v>
      </c>
      <c r="AN8" s="7">
        <f t="shared" si="1"/>
        <v>634.18333333333328</v>
      </c>
      <c r="AO8" s="16"/>
      <c r="AP8" s="7"/>
      <c r="AQ8" s="9">
        <v>3</v>
      </c>
      <c r="AR8" s="9">
        <f t="shared" si="33"/>
        <v>37</v>
      </c>
      <c r="AS8" s="7">
        <f t="shared" si="34"/>
        <v>30</v>
      </c>
      <c r="AT8" s="7"/>
      <c r="AU8" s="16"/>
      <c r="AV8" s="7"/>
      <c r="AW8" s="7"/>
      <c r="AX8" s="7"/>
      <c r="AZ8" s="7"/>
      <c r="BA8" s="9">
        <f t="shared" si="39"/>
        <v>3356.9230769230762</v>
      </c>
      <c r="BC8" s="5">
        <f t="shared" si="35"/>
        <v>37</v>
      </c>
      <c r="BD8" s="5"/>
      <c r="BE8" s="5"/>
      <c r="BF8" s="5"/>
      <c r="BG8" s="5"/>
      <c r="BH8" s="5"/>
      <c r="BI8" s="5"/>
      <c r="BJ8" s="5"/>
      <c r="BK8" s="5"/>
      <c r="BL8" s="5"/>
      <c r="BM8" s="5"/>
      <c r="BP8" s="18"/>
      <c r="BQ8" s="18"/>
      <c r="BR8" s="18">
        <v>3601031</v>
      </c>
      <c r="BS8" s="18">
        <f>[1]monsters!$N8</f>
        <v>134.4</v>
      </c>
      <c r="BT8" s="18">
        <f>[1]monsters!$O8</f>
        <v>13.44</v>
      </c>
      <c r="BU8" s="18">
        <f>[1]monsters!$P8</f>
        <v>822.86</v>
      </c>
      <c r="BV8" s="18">
        <f>[1]monsters!$Q8</f>
        <v>82.29</v>
      </c>
      <c r="BW8" s="18">
        <f>[1]monsters!$R8</f>
        <v>16.8</v>
      </c>
      <c r="BX8" s="18">
        <f>[1]monsters!$S8</f>
        <v>1.68</v>
      </c>
      <c r="BY8" s="18">
        <f>[1]monsters!$K8</f>
        <v>1.5</v>
      </c>
      <c r="BZ8" s="5">
        <f>[1]monsters!$D8</f>
        <v>5</v>
      </c>
      <c r="CA8" s="5">
        <f t="shared" si="36"/>
        <v>0.1</v>
      </c>
      <c r="CB8" s="5">
        <f t="shared" si="37"/>
        <v>154.71372390572392</v>
      </c>
      <c r="CC8" s="5">
        <f t="shared" si="38"/>
        <v>15.471372390572393</v>
      </c>
      <c r="CD8" s="5">
        <v>40000</v>
      </c>
      <c r="CE8" s="5">
        <v>2.5000000000000002E-6</v>
      </c>
      <c r="CF8" s="5"/>
      <c r="CG8" s="5">
        <v>4</v>
      </c>
      <c r="CH8" s="5">
        <v>0.1</v>
      </c>
      <c r="CI8" s="5"/>
      <c r="CJ8" s="5"/>
      <c r="CK8" s="5"/>
      <c r="CL8" s="5"/>
      <c r="CM8" s="5"/>
      <c r="CN8" s="5"/>
      <c r="CO8" s="5"/>
      <c r="CP8" s="5">
        <v>1</v>
      </c>
      <c r="CR8" s="3" t="b">
        <f t="shared" si="2"/>
        <v>1</v>
      </c>
      <c r="CS8" s="3" t="b">
        <f t="shared" si="3"/>
        <v>1</v>
      </c>
      <c r="CT8" s="3" t="b">
        <f t="shared" si="4"/>
        <v>1</v>
      </c>
      <c r="CU8" s="3" t="b">
        <f t="shared" si="5"/>
        <v>1</v>
      </c>
      <c r="CV8" s="3" t="b">
        <f t="shared" si="6"/>
        <v>1</v>
      </c>
      <c r="CW8" s="3" t="b">
        <f t="shared" si="7"/>
        <v>1</v>
      </c>
      <c r="CX8" s="9" t="str">
        <f t="shared" si="8"/>
        <v>3202031</v>
      </c>
      <c r="CY8" s="9" t="str">
        <f t="shared" si="9"/>
        <v>3301031</v>
      </c>
      <c r="CZ8" s="9" t="str">
        <f t="shared" si="10"/>
        <v>3301031</v>
      </c>
      <c r="DA8" s="9" t="str">
        <f t="shared" si="11"/>
        <v>3502031</v>
      </c>
      <c r="DB8" s="9" t="str">
        <f t="shared" si="12"/>
        <v>3501033</v>
      </c>
      <c r="DC8" s="9" t="str">
        <f t="shared" si="13"/>
        <v>3501033</v>
      </c>
      <c r="DD8" s="9">
        <v>3</v>
      </c>
      <c r="DE8" s="9">
        <v>3</v>
      </c>
      <c r="DF8" s="9">
        <v>3</v>
      </c>
      <c r="DG8" s="9">
        <v>3</v>
      </c>
      <c r="DH8" s="9">
        <v>3</v>
      </c>
      <c r="DI8" s="9">
        <v>3</v>
      </c>
      <c r="DJ8" s="9">
        <v>3</v>
      </c>
      <c r="DK8" s="9">
        <v>3</v>
      </c>
      <c r="DL8" s="9">
        <v>3</v>
      </c>
      <c r="DM8" s="9">
        <v>3</v>
      </c>
      <c r="DN8" s="9">
        <v>3</v>
      </c>
      <c r="DO8" s="9">
        <v>3</v>
      </c>
      <c r="DP8" s="3" t="s">
        <v>111</v>
      </c>
      <c r="DQ8" s="3" t="s">
        <v>107</v>
      </c>
      <c r="DR8" s="3" t="s">
        <v>107</v>
      </c>
      <c r="DS8" s="3" t="s">
        <v>119</v>
      </c>
      <c r="DT8" s="3" t="s">
        <v>121</v>
      </c>
      <c r="DU8" s="3" t="s">
        <v>121</v>
      </c>
      <c r="DV8" s="3">
        <f t="shared" si="14"/>
        <v>1</v>
      </c>
      <c r="DW8" s="3">
        <f t="shared" si="15"/>
        <v>1</v>
      </c>
      <c r="DX8" s="3">
        <f t="shared" si="16"/>
        <v>1</v>
      </c>
      <c r="DY8" s="3">
        <f t="shared" si="17"/>
        <v>2</v>
      </c>
      <c r="DZ8" s="3">
        <f t="shared" si="18"/>
        <v>2</v>
      </c>
      <c r="EA8" s="3">
        <f t="shared" si="19"/>
        <v>2</v>
      </c>
      <c r="EB8" s="29"/>
      <c r="EC8" s="5">
        <v>3500032</v>
      </c>
      <c r="ED8" s="31" t="s">
        <v>109</v>
      </c>
      <c r="EE8" s="8">
        <v>2</v>
      </c>
      <c r="EF8" s="9">
        <v>303140101</v>
      </c>
      <c r="EG8" s="3" t="str">
        <f t="shared" si="20"/>
        <v>对随机3名敌人造成141%攻击伤害。</v>
      </c>
      <c r="EQ8" s="9">
        <v>505140101</v>
      </c>
      <c r="ER8" s="9" t="s">
        <v>123</v>
      </c>
    </row>
    <row r="9" spans="1:148" ht="15.95" customHeight="1">
      <c r="A9" s="9">
        <v>6</v>
      </c>
      <c r="B9" s="9">
        <v>1</v>
      </c>
      <c r="C9" s="9">
        <v>2001</v>
      </c>
      <c r="D9" s="9">
        <f t="shared" si="21"/>
        <v>6248</v>
      </c>
      <c r="E9" s="9" t="str">
        <f t="shared" si="22"/>
        <v>3202031,3202031,3202031,3300032,3400032,3300032</v>
      </c>
      <c r="F9" s="9" t="str">
        <f t="shared" si="23"/>
        <v>3,3,3,3,3,3</v>
      </c>
      <c r="G9" s="9" t="str">
        <f t="shared" si="24"/>
        <v>50,50,50,50,50,50</v>
      </c>
      <c r="H9" s="9">
        <v>23</v>
      </c>
      <c r="I9" s="9" t="s">
        <v>278</v>
      </c>
      <c r="J9" s="9" t="s">
        <v>279</v>
      </c>
      <c r="K9" s="9" t="s">
        <v>279</v>
      </c>
      <c r="L9" s="9" t="s">
        <v>279</v>
      </c>
      <c r="M9" s="9" t="s">
        <v>280</v>
      </c>
      <c r="O9" s="3">
        <f t="shared" si="25"/>
        <v>6248</v>
      </c>
      <c r="P9" s="9">
        <v>5679.7</v>
      </c>
      <c r="Q9" s="9">
        <v>3202031</v>
      </c>
      <c r="R9" s="9">
        <v>3202031</v>
      </c>
      <c r="S9" s="9">
        <v>3202031</v>
      </c>
      <c r="T9" s="9">
        <v>3300032</v>
      </c>
      <c r="U9" s="9">
        <v>3400032</v>
      </c>
      <c r="V9" s="9">
        <v>3300032</v>
      </c>
      <c r="W9" s="9">
        <v>3</v>
      </c>
      <c r="X9" s="9">
        <v>3</v>
      </c>
      <c r="Y9" s="9">
        <v>3</v>
      </c>
      <c r="Z9" s="9">
        <v>3</v>
      </c>
      <c r="AA9" s="9">
        <v>3</v>
      </c>
      <c r="AB9" s="9">
        <v>3</v>
      </c>
      <c r="AC9" s="9">
        <f t="shared" si="26"/>
        <v>50</v>
      </c>
      <c r="AD9" s="9">
        <f t="shared" si="27"/>
        <v>50</v>
      </c>
      <c r="AE9" s="9">
        <f t="shared" si="28"/>
        <v>50</v>
      </c>
      <c r="AF9" s="9">
        <f t="shared" si="29"/>
        <v>50</v>
      </c>
      <c r="AG9" s="9">
        <f t="shared" si="30"/>
        <v>50</v>
      </c>
      <c r="AH9" s="9">
        <f t="shared" si="31"/>
        <v>50</v>
      </c>
      <c r="AI9" s="7">
        <f t="shared" si="32"/>
        <v>946.61666666666667</v>
      </c>
      <c r="AJ9" s="7">
        <f t="shared" si="1"/>
        <v>946.61666666666667</v>
      </c>
      <c r="AK9" s="7">
        <f t="shared" si="1"/>
        <v>946.61666666666667</v>
      </c>
      <c r="AL9" s="7">
        <f t="shared" si="1"/>
        <v>946.61666666666667</v>
      </c>
      <c r="AM9" s="7">
        <f t="shared" si="1"/>
        <v>946.61666666666667</v>
      </c>
      <c r="AN9" s="7">
        <f t="shared" si="1"/>
        <v>946.61666666666667</v>
      </c>
      <c r="AO9" s="16"/>
      <c r="AP9" s="7"/>
      <c r="AQ9" s="9">
        <v>3</v>
      </c>
      <c r="AR9" s="9">
        <f t="shared" si="33"/>
        <v>48</v>
      </c>
      <c r="AS9" s="7">
        <f t="shared" si="34"/>
        <v>31</v>
      </c>
      <c r="AT9" s="7"/>
      <c r="AU9" s="16"/>
      <c r="AV9" s="7"/>
      <c r="AW9" s="7"/>
      <c r="AX9" s="7"/>
      <c r="AZ9" s="7"/>
      <c r="BA9" s="9">
        <f t="shared" si="39"/>
        <v>3446.1538461538453</v>
      </c>
      <c r="BC9" s="5">
        <f t="shared" si="35"/>
        <v>48</v>
      </c>
      <c r="BD9" s="5"/>
      <c r="BE9" s="5"/>
      <c r="BF9" s="5"/>
      <c r="BG9" s="5"/>
      <c r="BH9" s="5"/>
      <c r="BI9" s="5"/>
      <c r="BJ9" s="5"/>
      <c r="BK9" s="5"/>
      <c r="BL9" s="5"/>
      <c r="BM9" s="5"/>
      <c r="BP9" s="18"/>
      <c r="BQ9" s="18"/>
      <c r="BR9" s="18">
        <v>3200032</v>
      </c>
      <c r="BS9" s="18">
        <f>[1]monsters!$N9</f>
        <v>148.80000000000001</v>
      </c>
      <c r="BT9" s="18">
        <f>[1]monsters!$O9</f>
        <v>14.88</v>
      </c>
      <c r="BU9" s="18">
        <f>[1]monsters!$P9</f>
        <v>743.23</v>
      </c>
      <c r="BV9" s="18">
        <f>[1]monsters!$Q9</f>
        <v>74.319999999999993</v>
      </c>
      <c r="BW9" s="18">
        <f>[1]monsters!$R9</f>
        <v>14.88</v>
      </c>
      <c r="BX9" s="18">
        <f>[1]monsters!$S9</f>
        <v>1.49</v>
      </c>
      <c r="BY9" s="18">
        <f>[1]monsters!$K9</f>
        <v>1.5</v>
      </c>
      <c r="BZ9" s="5">
        <f>[1]monsters!$D9</f>
        <v>6</v>
      </c>
      <c r="CA9" s="5">
        <f t="shared" si="36"/>
        <v>0.1</v>
      </c>
      <c r="CB9" s="5">
        <f t="shared" si="37"/>
        <v>165.64057912457915</v>
      </c>
      <c r="CC9" s="5">
        <f t="shared" si="38"/>
        <v>16.564057912457915</v>
      </c>
      <c r="CD9" s="5">
        <v>100000</v>
      </c>
      <c r="CE9" s="5">
        <v>9.9999999999999995E-7</v>
      </c>
      <c r="CF9" s="5"/>
      <c r="CG9" s="5">
        <v>5</v>
      </c>
      <c r="CH9" s="5">
        <v>0.1</v>
      </c>
      <c r="CI9" s="5"/>
      <c r="CJ9" s="5"/>
      <c r="CK9" s="5"/>
      <c r="CL9" s="5">
        <f>1/26/1.5</f>
        <v>2.5641025641025644E-2</v>
      </c>
      <c r="CM9" s="5"/>
      <c r="CN9" s="5"/>
      <c r="CO9" s="5"/>
      <c r="CP9" s="5">
        <v>0</v>
      </c>
      <c r="CR9" s="3" t="b">
        <f t="shared" si="2"/>
        <v>1</v>
      </c>
      <c r="CS9" s="3" t="b">
        <f t="shared" si="3"/>
        <v>1</v>
      </c>
      <c r="CT9" s="3" t="b">
        <f t="shared" si="4"/>
        <v>1</v>
      </c>
      <c r="CU9" s="3" t="b">
        <f t="shared" si="5"/>
        <v>1</v>
      </c>
      <c r="CV9" s="3" t="b">
        <f t="shared" si="6"/>
        <v>1</v>
      </c>
      <c r="CW9" s="3" t="b">
        <f t="shared" si="7"/>
        <v>1</v>
      </c>
      <c r="CX9" s="9" t="str">
        <f t="shared" si="8"/>
        <v>3202031</v>
      </c>
      <c r="CY9" s="9" t="str">
        <f t="shared" si="9"/>
        <v>3202031</v>
      </c>
      <c r="CZ9" s="9" t="str">
        <f t="shared" si="10"/>
        <v>3202031</v>
      </c>
      <c r="DA9" s="9" t="str">
        <f t="shared" si="11"/>
        <v>3300032</v>
      </c>
      <c r="DB9" s="9" t="str">
        <f t="shared" si="12"/>
        <v>3400032</v>
      </c>
      <c r="DC9" s="9" t="str">
        <f t="shared" si="13"/>
        <v>3300032</v>
      </c>
      <c r="DD9" s="9">
        <v>3</v>
      </c>
      <c r="DE9" s="9">
        <v>3</v>
      </c>
      <c r="DF9" s="9">
        <v>3</v>
      </c>
      <c r="DG9" s="9">
        <v>3</v>
      </c>
      <c r="DH9" s="9">
        <v>3</v>
      </c>
      <c r="DI9" s="9">
        <v>3</v>
      </c>
      <c r="DJ9" s="9">
        <v>3</v>
      </c>
      <c r="DK9" s="9">
        <v>3</v>
      </c>
      <c r="DL9" s="9">
        <v>3</v>
      </c>
      <c r="DM9" s="9">
        <v>3</v>
      </c>
      <c r="DN9" s="9">
        <v>3</v>
      </c>
      <c r="DO9" s="9">
        <v>3</v>
      </c>
      <c r="DP9" s="25" t="s">
        <v>111</v>
      </c>
      <c r="DQ9" s="25" t="s">
        <v>111</v>
      </c>
      <c r="DR9" s="25" t="s">
        <v>111</v>
      </c>
      <c r="DS9" s="25" t="s">
        <v>115</v>
      </c>
      <c r="DT9" s="27" t="s">
        <v>110</v>
      </c>
      <c r="DU9" s="25" t="s">
        <v>115</v>
      </c>
      <c r="DV9" s="25">
        <f t="shared" si="14"/>
        <v>1</v>
      </c>
      <c r="DW9" s="25">
        <f t="shared" si="15"/>
        <v>1</v>
      </c>
      <c r="DX9" s="25">
        <f t="shared" si="16"/>
        <v>1</v>
      </c>
      <c r="DY9" s="25">
        <f t="shared" si="17"/>
        <v>2</v>
      </c>
      <c r="DZ9" s="25">
        <f t="shared" si="18"/>
        <v>2</v>
      </c>
      <c r="EA9" s="3">
        <f t="shared" si="19"/>
        <v>2</v>
      </c>
      <c r="EB9" s="29"/>
      <c r="EC9" s="5">
        <v>3601032</v>
      </c>
      <c r="ED9" s="31" t="s">
        <v>124</v>
      </c>
      <c r="EE9" s="8">
        <v>2</v>
      </c>
      <c r="EF9" s="9">
        <v>303140201</v>
      </c>
      <c r="EG9" s="3" t="str">
        <f t="shared" si="20"/>
        <v>对随机2名敌人造成181%攻击伤害。</v>
      </c>
      <c r="EQ9" s="9">
        <v>505140201</v>
      </c>
      <c r="ER9" s="9" t="s">
        <v>125</v>
      </c>
    </row>
    <row r="10" spans="1:148" ht="15.95" customHeight="1">
      <c r="A10" s="9">
        <v>7</v>
      </c>
      <c r="B10" s="9">
        <v>1</v>
      </c>
      <c r="C10" s="9">
        <v>2001</v>
      </c>
      <c r="D10" s="9">
        <f t="shared" si="21"/>
        <v>6522</v>
      </c>
      <c r="E10" s="9" t="str">
        <f t="shared" si="22"/>
        <v>3301031,3301031,3301031,3501033,3300032,3502031</v>
      </c>
      <c r="F10" s="9" t="str">
        <f t="shared" si="23"/>
        <v>3,3,3,3,3,3</v>
      </c>
      <c r="G10" s="9" t="str">
        <f t="shared" si="24"/>
        <v>52,52,52,52,52,52</v>
      </c>
      <c r="H10" s="9">
        <v>23</v>
      </c>
      <c r="I10" s="9" t="s">
        <v>278</v>
      </c>
      <c r="J10" s="9" t="s">
        <v>279</v>
      </c>
      <c r="K10" s="9" t="s">
        <v>279</v>
      </c>
      <c r="L10" s="9" t="s">
        <v>279</v>
      </c>
      <c r="M10" s="9" t="s">
        <v>280</v>
      </c>
      <c r="O10" s="3">
        <f t="shared" si="25"/>
        <v>6522</v>
      </c>
      <c r="P10" s="9">
        <v>5929.3</v>
      </c>
      <c r="Q10" s="9">
        <v>3301031</v>
      </c>
      <c r="R10" s="9">
        <v>3301031</v>
      </c>
      <c r="S10" s="9">
        <v>3301031</v>
      </c>
      <c r="T10" s="9">
        <v>3501033</v>
      </c>
      <c r="U10" s="9">
        <v>3300032</v>
      </c>
      <c r="V10" s="9">
        <v>3502031</v>
      </c>
      <c r="W10" s="9">
        <v>3</v>
      </c>
      <c r="X10" s="9">
        <v>3</v>
      </c>
      <c r="Y10" s="9">
        <v>3</v>
      </c>
      <c r="Z10" s="9">
        <v>3</v>
      </c>
      <c r="AA10" s="9">
        <v>3</v>
      </c>
      <c r="AB10" s="9">
        <v>3</v>
      </c>
      <c r="AC10" s="9">
        <f t="shared" si="26"/>
        <v>52</v>
      </c>
      <c r="AD10" s="9">
        <f t="shared" si="27"/>
        <v>52</v>
      </c>
      <c r="AE10" s="9">
        <f t="shared" si="28"/>
        <v>52</v>
      </c>
      <c r="AF10" s="9">
        <f t="shared" si="29"/>
        <v>52</v>
      </c>
      <c r="AG10" s="9">
        <f t="shared" si="30"/>
        <v>52</v>
      </c>
      <c r="AH10" s="9">
        <f t="shared" si="31"/>
        <v>52</v>
      </c>
      <c r="AI10" s="7">
        <f t="shared" si="32"/>
        <v>988.2166666666667</v>
      </c>
      <c r="AJ10" s="7">
        <f t="shared" si="1"/>
        <v>988.2166666666667</v>
      </c>
      <c r="AK10" s="7">
        <f t="shared" si="1"/>
        <v>988.2166666666667</v>
      </c>
      <c r="AL10" s="7">
        <f t="shared" si="1"/>
        <v>988.2166666666667</v>
      </c>
      <c r="AM10" s="7">
        <f t="shared" si="1"/>
        <v>988.2166666666667</v>
      </c>
      <c r="AN10" s="7">
        <f t="shared" si="1"/>
        <v>988.2166666666667</v>
      </c>
      <c r="AO10" s="16"/>
      <c r="AP10" s="7"/>
      <c r="AQ10" s="9">
        <v>3</v>
      </c>
      <c r="AR10" s="9">
        <f t="shared" si="33"/>
        <v>49</v>
      </c>
      <c r="AS10" s="7">
        <f t="shared" si="34"/>
        <v>32</v>
      </c>
      <c r="AT10" s="7"/>
      <c r="AU10" s="16"/>
      <c r="AV10" s="7"/>
      <c r="AW10" s="7"/>
      <c r="AX10" s="7"/>
      <c r="AZ10" s="7"/>
      <c r="BA10" s="9">
        <f t="shared" si="39"/>
        <v>3535.3846153846143</v>
      </c>
      <c r="BC10" s="5">
        <f t="shared" si="35"/>
        <v>49</v>
      </c>
      <c r="BD10" s="5"/>
      <c r="BE10" s="5"/>
      <c r="BF10" s="5"/>
      <c r="BG10" s="5"/>
      <c r="BH10" s="5"/>
      <c r="BI10" s="5"/>
      <c r="BJ10" s="5"/>
      <c r="BK10" s="5"/>
      <c r="BL10" s="5"/>
      <c r="BM10" s="5"/>
      <c r="BP10" s="18"/>
      <c r="BQ10" s="18"/>
      <c r="BR10" s="18">
        <v>3300032</v>
      </c>
      <c r="BS10" s="18">
        <f>[1]monsters!$N10</f>
        <v>96</v>
      </c>
      <c r="BT10" s="18">
        <f>[1]monsters!$O10</f>
        <v>9.6</v>
      </c>
      <c r="BU10" s="18">
        <f>[1]monsters!$P10</f>
        <v>1152</v>
      </c>
      <c r="BV10" s="18">
        <f>[1]monsters!$Q10</f>
        <v>115.2</v>
      </c>
      <c r="BW10" s="18">
        <f>[1]monsters!$R10</f>
        <v>24</v>
      </c>
      <c r="BX10" s="18">
        <f>[1]monsters!$S10</f>
        <v>2.4</v>
      </c>
      <c r="BY10" s="18">
        <f>[1]monsters!$K10</f>
        <v>1.5</v>
      </c>
      <c r="BZ10" s="5">
        <f>[1]monsters!$D10</f>
        <v>2</v>
      </c>
      <c r="CA10" s="5">
        <f t="shared" si="36"/>
        <v>0.1</v>
      </c>
      <c r="CB10" s="5">
        <f t="shared" si="37"/>
        <v>129.50787878787878</v>
      </c>
      <c r="CC10" s="5">
        <f t="shared" si="38"/>
        <v>12.950787878787878</v>
      </c>
      <c r="CD10" s="5"/>
      <c r="CE10" s="5"/>
      <c r="CF10" s="5"/>
      <c r="CG10" s="5">
        <v>6</v>
      </c>
      <c r="CH10" s="5">
        <v>0.1</v>
      </c>
      <c r="CI10" s="5"/>
      <c r="CJ10" s="5"/>
      <c r="CK10" s="5"/>
      <c r="CL10" s="5">
        <f>1/39</f>
        <v>2.564102564102564E-2</v>
      </c>
      <c r="CM10" s="5"/>
      <c r="CN10" s="5"/>
      <c r="CO10" s="5"/>
      <c r="CP10" s="5">
        <v>0</v>
      </c>
      <c r="CR10" s="3" t="b">
        <f t="shared" si="2"/>
        <v>1</v>
      </c>
      <c r="CS10" s="3" t="b">
        <f t="shared" si="3"/>
        <v>1</v>
      </c>
      <c r="CT10" s="3" t="b">
        <f t="shared" si="4"/>
        <v>1</v>
      </c>
      <c r="CU10" s="3" t="b">
        <f t="shared" si="5"/>
        <v>1</v>
      </c>
      <c r="CV10" s="3" t="b">
        <f t="shared" si="6"/>
        <v>1</v>
      </c>
      <c r="CW10" s="3" t="b">
        <f t="shared" si="7"/>
        <v>1</v>
      </c>
      <c r="CX10" s="9" t="str">
        <f t="shared" si="8"/>
        <v>3301031</v>
      </c>
      <c r="CY10" s="9" t="str">
        <f t="shared" si="9"/>
        <v>3301031</v>
      </c>
      <c r="CZ10" s="9" t="str">
        <f t="shared" si="10"/>
        <v>3301031</v>
      </c>
      <c r="DA10" s="9" t="str">
        <f t="shared" si="11"/>
        <v>3501033</v>
      </c>
      <c r="DB10" s="9" t="str">
        <f t="shared" si="12"/>
        <v>3300032</v>
      </c>
      <c r="DC10" s="9" t="str">
        <f t="shared" si="13"/>
        <v>3502031</v>
      </c>
      <c r="DD10" s="9">
        <v>3</v>
      </c>
      <c r="DE10" s="9">
        <v>3</v>
      </c>
      <c r="DF10" s="9">
        <v>3</v>
      </c>
      <c r="DG10" s="9">
        <v>3</v>
      </c>
      <c r="DH10" s="9">
        <v>3</v>
      </c>
      <c r="DI10" s="9">
        <v>3</v>
      </c>
      <c r="DJ10" s="9">
        <v>3</v>
      </c>
      <c r="DK10" s="9">
        <v>3</v>
      </c>
      <c r="DL10" s="9">
        <v>3</v>
      </c>
      <c r="DM10" s="9">
        <v>3</v>
      </c>
      <c r="DN10" s="9">
        <v>3</v>
      </c>
      <c r="DO10" s="9">
        <v>3</v>
      </c>
      <c r="DP10" s="26" t="s">
        <v>107</v>
      </c>
      <c r="DQ10" s="26" t="s">
        <v>107</v>
      </c>
      <c r="DR10" s="26" t="s">
        <v>107</v>
      </c>
      <c r="DS10" s="26" t="s">
        <v>121</v>
      </c>
      <c r="DT10" s="26" t="s">
        <v>115</v>
      </c>
      <c r="DU10" s="26" t="s">
        <v>119</v>
      </c>
      <c r="DV10" s="26">
        <f t="shared" si="14"/>
        <v>1</v>
      </c>
      <c r="DW10" s="26">
        <f t="shared" si="15"/>
        <v>1</v>
      </c>
      <c r="DX10" s="26">
        <f t="shared" si="16"/>
        <v>1</v>
      </c>
      <c r="DY10" s="26">
        <f t="shared" si="17"/>
        <v>2</v>
      </c>
      <c r="DZ10" s="26">
        <f t="shared" si="18"/>
        <v>2</v>
      </c>
      <c r="EA10" s="3">
        <f t="shared" si="19"/>
        <v>2</v>
      </c>
      <c r="EB10" s="29"/>
      <c r="EC10" s="5">
        <v>3200033</v>
      </c>
      <c r="ED10" s="31" t="s">
        <v>113</v>
      </c>
      <c r="EE10" s="8">
        <v>1</v>
      </c>
      <c r="EF10" s="9">
        <v>303150001</v>
      </c>
      <c r="EG10" s="3" t="str">
        <f t="shared" si="20"/>
        <v>对随机3名敌人造成132%攻击伤害。</v>
      </c>
      <c r="EQ10" s="9">
        <v>505150001</v>
      </c>
      <c r="ER10" s="9" t="s">
        <v>126</v>
      </c>
    </row>
    <row r="11" spans="1:148" ht="15.95" customHeight="1">
      <c r="A11" s="9">
        <v>8</v>
      </c>
      <c r="B11" s="9">
        <v>1</v>
      </c>
      <c r="C11" s="9">
        <v>2001</v>
      </c>
      <c r="D11" s="9">
        <f t="shared" si="21"/>
        <v>6804</v>
      </c>
      <c r="E11" s="9" t="str">
        <f t="shared" si="22"/>
        <v>3200033,3200033,3200033,3402033,3500032,3501033</v>
      </c>
      <c r="F11" s="9" t="str">
        <f t="shared" si="23"/>
        <v>3,3,3,3,3,3</v>
      </c>
      <c r="G11" s="9" t="str">
        <f t="shared" si="24"/>
        <v>53,53,53,53,53,53</v>
      </c>
      <c r="H11" s="9">
        <v>23</v>
      </c>
      <c r="I11" s="9" t="s">
        <v>278</v>
      </c>
      <c r="J11" s="9" t="s">
        <v>279</v>
      </c>
      <c r="K11" s="9" t="s">
        <v>279</v>
      </c>
      <c r="L11" s="9" t="s">
        <v>279</v>
      </c>
      <c r="M11" s="9" t="s">
        <v>280</v>
      </c>
      <c r="O11" s="3">
        <f t="shared" si="25"/>
        <v>6804</v>
      </c>
      <c r="P11" s="9">
        <v>6185.4</v>
      </c>
      <c r="Q11" s="9">
        <v>3200033</v>
      </c>
      <c r="R11" s="9">
        <v>3200033</v>
      </c>
      <c r="S11" s="9">
        <v>3200033</v>
      </c>
      <c r="T11" s="9">
        <v>3402033</v>
      </c>
      <c r="U11" s="9">
        <v>3500032</v>
      </c>
      <c r="V11" s="9">
        <v>3501033</v>
      </c>
      <c r="W11" s="9">
        <v>3</v>
      </c>
      <c r="X11" s="9">
        <v>3</v>
      </c>
      <c r="Y11" s="9">
        <v>3</v>
      </c>
      <c r="Z11" s="9">
        <v>3</v>
      </c>
      <c r="AA11" s="9">
        <v>3</v>
      </c>
      <c r="AB11" s="9">
        <v>3</v>
      </c>
      <c r="AC11" s="9">
        <f t="shared" si="26"/>
        <v>53</v>
      </c>
      <c r="AD11" s="9">
        <f t="shared" si="27"/>
        <v>53</v>
      </c>
      <c r="AE11" s="9">
        <f t="shared" si="28"/>
        <v>53</v>
      </c>
      <c r="AF11" s="9">
        <f t="shared" si="29"/>
        <v>53</v>
      </c>
      <c r="AG11" s="9">
        <f t="shared" si="30"/>
        <v>53</v>
      </c>
      <c r="AH11" s="9">
        <f t="shared" si="31"/>
        <v>53</v>
      </c>
      <c r="AI11" s="7">
        <f t="shared" si="32"/>
        <v>1030.8999999999999</v>
      </c>
      <c r="AJ11" s="7">
        <f t="shared" si="1"/>
        <v>1030.8999999999999</v>
      </c>
      <c r="AK11" s="7">
        <f t="shared" si="1"/>
        <v>1030.8999999999999</v>
      </c>
      <c r="AL11" s="7">
        <f t="shared" si="1"/>
        <v>1030.8999999999999</v>
      </c>
      <c r="AM11" s="7">
        <f t="shared" si="1"/>
        <v>1030.8999999999999</v>
      </c>
      <c r="AN11" s="7">
        <f t="shared" si="1"/>
        <v>1030.8999999999999</v>
      </c>
      <c r="AO11" s="16"/>
      <c r="AP11" s="7"/>
      <c r="AQ11" s="9">
        <v>3</v>
      </c>
      <c r="AR11" s="9">
        <f t="shared" si="33"/>
        <v>50</v>
      </c>
      <c r="AS11" s="7">
        <f t="shared" si="34"/>
        <v>33</v>
      </c>
      <c r="AT11" s="7"/>
      <c r="AU11" s="16"/>
      <c r="AV11" s="7"/>
      <c r="AW11" s="7"/>
      <c r="AX11" s="7"/>
      <c r="AZ11" s="7"/>
      <c r="BA11" s="9">
        <f t="shared" si="39"/>
        <v>3624.6153846153834</v>
      </c>
      <c r="BC11" s="5">
        <f t="shared" si="35"/>
        <v>50</v>
      </c>
      <c r="BF11" s="20"/>
      <c r="BG11" s="20"/>
      <c r="BH11" s="20"/>
      <c r="BI11" s="5"/>
      <c r="BJ11" s="5"/>
      <c r="BK11" s="5"/>
      <c r="BL11" s="5"/>
      <c r="BM11" s="5"/>
      <c r="BP11" s="18"/>
      <c r="BQ11" s="18"/>
      <c r="BR11" s="18">
        <v>3402032</v>
      </c>
      <c r="BS11" s="18">
        <f>[1]monsters!$N11</f>
        <v>122.88</v>
      </c>
      <c r="BT11" s="18">
        <f>[1]monsters!$O11</f>
        <v>12.29</v>
      </c>
      <c r="BU11" s="18">
        <f>[1]monsters!$P11</f>
        <v>960</v>
      </c>
      <c r="BV11" s="18">
        <f>[1]monsters!$Q11</f>
        <v>96</v>
      </c>
      <c r="BW11" s="18">
        <f>[1]monsters!$R11</f>
        <v>17.55</v>
      </c>
      <c r="BX11" s="18">
        <f>[1]monsters!$S11</f>
        <v>1.76</v>
      </c>
      <c r="BY11" s="18">
        <f>[1]monsters!$K11</f>
        <v>1.6</v>
      </c>
      <c r="BZ11" s="5">
        <f>[1]monsters!$D11</f>
        <v>4</v>
      </c>
      <c r="CA11" s="5">
        <f t="shared" si="36"/>
        <v>0.1</v>
      </c>
      <c r="CB11" s="5">
        <f t="shared" si="37"/>
        <v>148.44483232323233</v>
      </c>
      <c r="CC11" s="5">
        <f t="shared" si="38"/>
        <v>14.844483232323235</v>
      </c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>
        <v>0</v>
      </c>
      <c r="CR11" s="3" t="b">
        <f t="shared" si="2"/>
        <v>1</v>
      </c>
      <c r="CS11" s="3" t="b">
        <f t="shared" si="3"/>
        <v>1</v>
      </c>
      <c r="CT11" s="3" t="b">
        <f t="shared" si="4"/>
        <v>1</v>
      </c>
      <c r="CU11" s="3" t="b">
        <f t="shared" si="5"/>
        <v>1</v>
      </c>
      <c r="CV11" s="3" t="b">
        <f t="shared" si="6"/>
        <v>1</v>
      </c>
      <c r="CW11" s="3" t="b">
        <f t="shared" si="7"/>
        <v>1</v>
      </c>
      <c r="CX11" s="9" t="str">
        <f t="shared" si="8"/>
        <v>3200033</v>
      </c>
      <c r="CY11" s="9" t="str">
        <f t="shared" si="9"/>
        <v>3200033</v>
      </c>
      <c r="CZ11" s="9" t="str">
        <f t="shared" si="10"/>
        <v>3200033</v>
      </c>
      <c r="DA11" s="9" t="str">
        <f t="shared" si="11"/>
        <v>3402033</v>
      </c>
      <c r="DB11" s="9" t="str">
        <f t="shared" si="12"/>
        <v>3500032</v>
      </c>
      <c r="DC11" s="9" t="str">
        <f t="shared" si="13"/>
        <v>3501033</v>
      </c>
      <c r="DD11" s="9">
        <v>3</v>
      </c>
      <c r="DE11" s="9">
        <v>3</v>
      </c>
      <c r="DF11" s="9">
        <v>3</v>
      </c>
      <c r="DG11" s="9">
        <v>3</v>
      </c>
      <c r="DH11" s="9">
        <v>3</v>
      </c>
      <c r="DI11" s="9">
        <v>3</v>
      </c>
      <c r="DJ11" s="9">
        <v>3</v>
      </c>
      <c r="DK11" s="9">
        <v>3</v>
      </c>
      <c r="DL11" s="9">
        <v>3</v>
      </c>
      <c r="DM11" s="9">
        <v>3</v>
      </c>
      <c r="DN11" s="9">
        <v>3</v>
      </c>
      <c r="DO11" s="9">
        <v>3</v>
      </c>
      <c r="DP11" s="25" t="s">
        <v>113</v>
      </c>
      <c r="DQ11" s="25" t="s">
        <v>113</v>
      </c>
      <c r="DR11" s="25" t="s">
        <v>113</v>
      </c>
      <c r="DS11" s="26" t="s">
        <v>118</v>
      </c>
      <c r="DT11" s="26" t="s">
        <v>109</v>
      </c>
      <c r="DU11" s="26" t="s">
        <v>121</v>
      </c>
      <c r="DV11" s="26">
        <f t="shared" si="14"/>
        <v>1</v>
      </c>
      <c r="DW11" s="26">
        <f t="shared" si="15"/>
        <v>1</v>
      </c>
      <c r="DX11" s="26">
        <f t="shared" si="16"/>
        <v>1</v>
      </c>
      <c r="DY11" s="26">
        <f t="shared" si="17"/>
        <v>2</v>
      </c>
      <c r="DZ11" s="26">
        <f t="shared" si="18"/>
        <v>2</v>
      </c>
      <c r="EA11" s="3">
        <f t="shared" si="19"/>
        <v>2</v>
      </c>
      <c r="EB11" s="30"/>
      <c r="EC11" s="5">
        <v>3401031</v>
      </c>
      <c r="ED11" s="31" t="s">
        <v>117</v>
      </c>
      <c r="EE11" s="8">
        <v>2</v>
      </c>
      <c r="EF11" s="9">
        <v>303150201</v>
      </c>
      <c r="EG11" s="3" t="str">
        <f t="shared" si="20"/>
        <v>对距离最近的2名敌人造成221%攻击伤害。</v>
      </c>
      <c r="EQ11" s="9">
        <v>505150201</v>
      </c>
      <c r="ER11" s="9" t="s">
        <v>127</v>
      </c>
    </row>
    <row r="12" spans="1:148" ht="15.95" customHeight="1">
      <c r="A12" s="9">
        <v>9</v>
      </c>
      <c r="B12" s="9">
        <v>1</v>
      </c>
      <c r="C12" s="9">
        <v>2001</v>
      </c>
      <c r="D12" s="9">
        <f t="shared" si="21"/>
        <v>7187</v>
      </c>
      <c r="E12" s="9" t="str">
        <f t="shared" si="22"/>
        <v>3302033,3202031,3200033,3400032,3300032,3400032</v>
      </c>
      <c r="F12" s="9" t="str">
        <f t="shared" si="23"/>
        <v>3,3,3,3,3,3</v>
      </c>
      <c r="G12" s="9" t="str">
        <f t="shared" si="24"/>
        <v>55,55,55,55,55,55</v>
      </c>
      <c r="H12" s="9">
        <v>23</v>
      </c>
      <c r="I12" s="9" t="s">
        <v>278</v>
      </c>
      <c r="J12" s="9" t="s">
        <v>279</v>
      </c>
      <c r="K12" s="9" t="s">
        <v>279</v>
      </c>
      <c r="L12" s="9" t="s">
        <v>279</v>
      </c>
      <c r="M12" s="9" t="s">
        <v>280</v>
      </c>
      <c r="O12" s="3">
        <f t="shared" si="25"/>
        <v>7187</v>
      </c>
      <c r="P12" s="9">
        <v>6533.8</v>
      </c>
      <c r="Q12" s="9">
        <v>3302033</v>
      </c>
      <c r="R12" s="9">
        <v>3202031</v>
      </c>
      <c r="S12" s="9">
        <v>3200033</v>
      </c>
      <c r="T12" s="9">
        <v>3400032</v>
      </c>
      <c r="U12" s="9">
        <v>3300032</v>
      </c>
      <c r="V12" s="9">
        <v>3400032</v>
      </c>
      <c r="W12" s="9">
        <v>3</v>
      </c>
      <c r="X12" s="9">
        <v>3</v>
      </c>
      <c r="Y12" s="9">
        <v>3</v>
      </c>
      <c r="Z12" s="9">
        <v>3</v>
      </c>
      <c r="AA12" s="9">
        <v>3</v>
      </c>
      <c r="AB12" s="9">
        <v>3</v>
      </c>
      <c r="AC12" s="9">
        <f t="shared" si="26"/>
        <v>55</v>
      </c>
      <c r="AD12" s="9">
        <f t="shared" si="27"/>
        <v>55</v>
      </c>
      <c r="AE12" s="9">
        <f t="shared" si="28"/>
        <v>55</v>
      </c>
      <c r="AF12" s="9">
        <f t="shared" si="29"/>
        <v>55</v>
      </c>
      <c r="AG12" s="9">
        <f t="shared" si="30"/>
        <v>55</v>
      </c>
      <c r="AH12" s="9">
        <f t="shared" si="31"/>
        <v>55</v>
      </c>
      <c r="AI12" s="7">
        <f t="shared" si="32"/>
        <v>1088.9666666666667</v>
      </c>
      <c r="AJ12" s="7">
        <f t="shared" si="1"/>
        <v>1088.9666666666667</v>
      </c>
      <c r="AK12" s="7">
        <f t="shared" si="1"/>
        <v>1088.9666666666667</v>
      </c>
      <c r="AL12" s="7">
        <f t="shared" si="1"/>
        <v>1088.9666666666667</v>
      </c>
      <c r="AM12" s="7">
        <f t="shared" si="1"/>
        <v>1088.9666666666667</v>
      </c>
      <c r="AN12" s="7">
        <f t="shared" si="1"/>
        <v>1088.9666666666667</v>
      </c>
      <c r="AO12" s="16"/>
      <c r="AP12" s="7"/>
      <c r="AQ12" s="9">
        <v>3</v>
      </c>
      <c r="AR12" s="9">
        <f t="shared" si="33"/>
        <v>52</v>
      </c>
      <c r="AS12" s="7">
        <f t="shared" si="34"/>
        <v>34</v>
      </c>
      <c r="AT12" s="7"/>
      <c r="AU12" s="16"/>
      <c r="AV12" s="7"/>
      <c r="AW12" s="7"/>
      <c r="AX12" s="7"/>
      <c r="AZ12" s="7"/>
      <c r="BA12" s="9">
        <f t="shared" si="39"/>
        <v>3713.8461538461524</v>
      </c>
      <c r="BC12" s="5">
        <f t="shared" si="35"/>
        <v>52</v>
      </c>
      <c r="BF12" s="20"/>
      <c r="BG12" s="20"/>
      <c r="BH12" s="20"/>
      <c r="BI12" s="5"/>
      <c r="BJ12" s="5"/>
      <c r="BK12" s="5"/>
      <c r="BL12" s="5"/>
      <c r="BM12" s="5"/>
      <c r="BP12" s="18"/>
      <c r="BQ12" s="18"/>
      <c r="BR12" s="18">
        <v>3502032</v>
      </c>
      <c r="BS12" s="18">
        <f>[1]monsters!$N12</f>
        <v>115.2</v>
      </c>
      <c r="BT12" s="18">
        <f>[1]monsters!$O12</f>
        <v>11.52</v>
      </c>
      <c r="BU12" s="18">
        <f>[1]monsters!$P12</f>
        <v>960</v>
      </c>
      <c r="BV12" s="18">
        <f>[1]monsters!$Q12</f>
        <v>96</v>
      </c>
      <c r="BW12" s="18">
        <f>[1]monsters!$R12</f>
        <v>16.46</v>
      </c>
      <c r="BX12" s="18">
        <f>[1]monsters!$S12</f>
        <v>1.65</v>
      </c>
      <c r="BY12" s="18">
        <f>[1]monsters!$K12</f>
        <v>1.5</v>
      </c>
      <c r="BZ12" s="5">
        <f>[1]monsters!$D12</f>
        <v>4</v>
      </c>
      <c r="CA12" s="5">
        <f t="shared" si="36"/>
        <v>0.1</v>
      </c>
      <c r="CB12" s="5">
        <f t="shared" si="37"/>
        <v>141.18723232323231</v>
      </c>
      <c r="CC12" s="5">
        <f t="shared" si="38"/>
        <v>14.118723232323232</v>
      </c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>
        <v>0</v>
      </c>
      <c r="CR12" s="3" t="b">
        <f t="shared" si="2"/>
        <v>1</v>
      </c>
      <c r="CS12" s="3" t="b">
        <f t="shared" si="3"/>
        <v>1</v>
      </c>
      <c r="CT12" s="3" t="b">
        <f t="shared" si="4"/>
        <v>1</v>
      </c>
      <c r="CU12" s="3" t="b">
        <f t="shared" si="5"/>
        <v>1</v>
      </c>
      <c r="CV12" s="3" t="b">
        <f t="shared" si="6"/>
        <v>1</v>
      </c>
      <c r="CW12" s="3" t="b">
        <f t="shared" si="7"/>
        <v>1</v>
      </c>
      <c r="CX12" s="9" t="str">
        <f t="shared" si="8"/>
        <v>3302033</v>
      </c>
      <c r="CY12" s="9" t="str">
        <f t="shared" si="9"/>
        <v>3202031</v>
      </c>
      <c r="CZ12" s="9" t="str">
        <f t="shared" si="10"/>
        <v>3200033</v>
      </c>
      <c r="DA12" s="9" t="str">
        <f t="shared" si="11"/>
        <v>3400032</v>
      </c>
      <c r="DB12" s="9" t="str">
        <f t="shared" si="12"/>
        <v>3300032</v>
      </c>
      <c r="DC12" s="9" t="str">
        <f t="shared" si="13"/>
        <v>3400032</v>
      </c>
      <c r="DD12" s="9">
        <v>3</v>
      </c>
      <c r="DE12" s="9">
        <v>3</v>
      </c>
      <c r="DF12" s="9">
        <v>3</v>
      </c>
      <c r="DG12" s="9">
        <v>3</v>
      </c>
      <c r="DH12" s="9">
        <v>3</v>
      </c>
      <c r="DI12" s="9">
        <v>3</v>
      </c>
      <c r="DJ12" s="9">
        <v>3</v>
      </c>
      <c r="DK12" s="9">
        <v>3</v>
      </c>
      <c r="DL12" s="9">
        <v>3</v>
      </c>
      <c r="DM12" s="9">
        <v>3</v>
      </c>
      <c r="DN12" s="9">
        <v>3</v>
      </c>
      <c r="DO12" s="9">
        <v>3</v>
      </c>
      <c r="DP12" s="27" t="s">
        <v>108</v>
      </c>
      <c r="DQ12" s="25" t="s">
        <v>111</v>
      </c>
      <c r="DR12" s="25" t="s">
        <v>113</v>
      </c>
      <c r="DS12" s="26" t="s">
        <v>110</v>
      </c>
      <c r="DT12" s="26" t="s">
        <v>115</v>
      </c>
      <c r="DU12" s="26" t="s">
        <v>110</v>
      </c>
      <c r="DV12" s="26">
        <f t="shared" si="14"/>
        <v>1</v>
      </c>
      <c r="DW12" s="26">
        <f t="shared" si="15"/>
        <v>1</v>
      </c>
      <c r="DX12" s="26">
        <f t="shared" si="16"/>
        <v>1</v>
      </c>
      <c r="DY12" s="26">
        <f t="shared" si="17"/>
        <v>2</v>
      </c>
      <c r="DZ12" s="26">
        <f t="shared" si="18"/>
        <v>2</v>
      </c>
      <c r="EA12" s="3">
        <f t="shared" si="19"/>
        <v>2</v>
      </c>
      <c r="EB12" s="30"/>
      <c r="EC12" s="5">
        <v>3402033</v>
      </c>
      <c r="ED12" s="31" t="s">
        <v>118</v>
      </c>
      <c r="EE12" s="8">
        <v>2</v>
      </c>
      <c r="EF12" s="9">
        <v>303160101</v>
      </c>
      <c r="EG12" s="3" t="str">
        <f t="shared" si="20"/>
        <v>治疗血量最少的2名友军，恢复206%攻击等量的生命。</v>
      </c>
      <c r="EQ12" s="9">
        <v>505160101</v>
      </c>
      <c r="ER12" s="9" t="s">
        <v>128</v>
      </c>
    </row>
    <row r="13" spans="1:148" ht="15.95" customHeight="1">
      <c r="A13" s="9">
        <v>10</v>
      </c>
      <c r="B13" s="9">
        <v>1</v>
      </c>
      <c r="C13" s="9">
        <v>2001</v>
      </c>
      <c r="D13" s="9">
        <f t="shared" si="21"/>
        <v>7485</v>
      </c>
      <c r="E13" s="9" t="str">
        <f t="shared" si="22"/>
        <v>3202031,3200033,3200033,3502031,3500032,3401031</v>
      </c>
      <c r="F13" s="9" t="str">
        <f t="shared" si="23"/>
        <v>3,3,3,3,3,3</v>
      </c>
      <c r="G13" s="9" t="str">
        <f t="shared" si="24"/>
        <v>56,56,56,56,56,56</v>
      </c>
      <c r="H13" s="9">
        <v>24</v>
      </c>
      <c r="I13" s="9" t="s">
        <v>278</v>
      </c>
      <c r="J13" s="9" t="s">
        <v>279</v>
      </c>
      <c r="K13" s="9" t="s">
        <v>279</v>
      </c>
      <c r="L13" s="9" t="s">
        <v>279</v>
      </c>
      <c r="M13" s="9" t="s">
        <v>280</v>
      </c>
      <c r="O13" s="3">
        <f t="shared" si="25"/>
        <v>7485</v>
      </c>
      <c r="P13" s="9">
        <v>6804.2</v>
      </c>
      <c r="Q13" s="9">
        <v>3202031</v>
      </c>
      <c r="R13" s="9">
        <v>3200033</v>
      </c>
      <c r="S13" s="9">
        <v>3200033</v>
      </c>
      <c r="T13" s="9">
        <v>3502031</v>
      </c>
      <c r="U13" s="9">
        <v>3500032</v>
      </c>
      <c r="V13" s="9">
        <v>3401031</v>
      </c>
      <c r="W13" s="9">
        <v>3</v>
      </c>
      <c r="X13" s="9">
        <v>3</v>
      </c>
      <c r="Y13" s="9">
        <v>3</v>
      </c>
      <c r="Z13" s="9">
        <v>3</v>
      </c>
      <c r="AA13" s="9">
        <v>3</v>
      </c>
      <c r="AB13" s="9">
        <v>3</v>
      </c>
      <c r="AC13" s="9">
        <f t="shared" si="26"/>
        <v>56</v>
      </c>
      <c r="AD13" s="9">
        <f t="shared" si="27"/>
        <v>56</v>
      </c>
      <c r="AE13" s="9">
        <f t="shared" si="28"/>
        <v>56</v>
      </c>
      <c r="AF13" s="9">
        <f t="shared" si="29"/>
        <v>56</v>
      </c>
      <c r="AG13" s="9">
        <f t="shared" si="30"/>
        <v>56</v>
      </c>
      <c r="AH13" s="9">
        <f t="shared" si="31"/>
        <v>56</v>
      </c>
      <c r="AI13" s="7">
        <f t="shared" si="32"/>
        <v>1134.0333333333333</v>
      </c>
      <c r="AJ13" s="7">
        <f t="shared" si="1"/>
        <v>1134.0333333333333</v>
      </c>
      <c r="AK13" s="7">
        <f t="shared" si="1"/>
        <v>1134.0333333333333</v>
      </c>
      <c r="AL13" s="7">
        <f t="shared" si="1"/>
        <v>1134.0333333333333</v>
      </c>
      <c r="AM13" s="7">
        <f t="shared" si="1"/>
        <v>1134.0333333333333</v>
      </c>
      <c r="AN13" s="7">
        <f t="shared" si="1"/>
        <v>1134.0333333333333</v>
      </c>
      <c r="AO13" s="16"/>
      <c r="AP13" s="7"/>
      <c r="AQ13" s="9">
        <v>3</v>
      </c>
      <c r="AR13" s="9">
        <f t="shared" si="33"/>
        <v>53</v>
      </c>
      <c r="AS13" s="7">
        <f t="shared" si="34"/>
        <v>35</v>
      </c>
      <c r="AT13" s="7"/>
      <c r="AU13" s="16"/>
      <c r="AV13" s="7"/>
      <c r="AW13" s="7"/>
      <c r="AX13" s="7"/>
      <c r="AZ13" s="7"/>
      <c r="BA13" s="9">
        <f t="shared" si="39"/>
        <v>3803.0769230769215</v>
      </c>
      <c r="BC13" s="5">
        <f t="shared" si="35"/>
        <v>53</v>
      </c>
      <c r="BF13" s="20"/>
      <c r="BG13" s="20"/>
      <c r="BH13" s="20"/>
      <c r="BI13" s="5"/>
      <c r="BJ13" s="5"/>
      <c r="BK13" s="5"/>
      <c r="BL13" s="5"/>
      <c r="BM13" s="5"/>
      <c r="BP13" s="18"/>
      <c r="BQ13" s="18"/>
      <c r="BR13" s="18">
        <v>3602032</v>
      </c>
      <c r="BS13" s="18">
        <f>[1]monsters!$N13</f>
        <v>143.36000000000001</v>
      </c>
      <c r="BT13" s="18">
        <f>[1]monsters!$O13</f>
        <v>14.34</v>
      </c>
      <c r="BU13" s="18">
        <f>[1]monsters!$P13</f>
        <v>822.86</v>
      </c>
      <c r="BV13" s="18">
        <f>[1]monsters!$Q13</f>
        <v>82.29</v>
      </c>
      <c r="BW13" s="18">
        <f>[1]monsters!$R13</f>
        <v>17.920000000000002</v>
      </c>
      <c r="BX13" s="18">
        <f>[1]monsters!$S13</f>
        <v>1.79</v>
      </c>
      <c r="BY13" s="18">
        <f>[1]monsters!$K13</f>
        <v>1.6</v>
      </c>
      <c r="BZ13" s="5">
        <f>[1]monsters!$D13</f>
        <v>5</v>
      </c>
      <c r="CA13" s="5">
        <f t="shared" si="36"/>
        <v>0.1</v>
      </c>
      <c r="CB13" s="5">
        <f t="shared" si="37"/>
        <v>163.18092390572394</v>
      </c>
      <c r="CC13" s="5">
        <f t="shared" si="38"/>
        <v>16.318092390572396</v>
      </c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>
        <v>1</v>
      </c>
      <c r="CR13" s="3" t="b">
        <f t="shared" si="2"/>
        <v>1</v>
      </c>
      <c r="CS13" s="3" t="b">
        <f t="shared" si="3"/>
        <v>1</v>
      </c>
      <c r="CT13" s="3" t="b">
        <f t="shared" si="4"/>
        <v>1</v>
      </c>
      <c r="CU13" s="3" t="b">
        <f t="shared" si="5"/>
        <v>1</v>
      </c>
      <c r="CV13" s="3" t="b">
        <f t="shared" si="6"/>
        <v>1</v>
      </c>
      <c r="CW13" s="3" t="b">
        <f t="shared" si="7"/>
        <v>1</v>
      </c>
      <c r="CX13" s="9" t="str">
        <f t="shared" si="8"/>
        <v>3202031</v>
      </c>
      <c r="CY13" s="9" t="str">
        <f t="shared" si="9"/>
        <v>3200033</v>
      </c>
      <c r="CZ13" s="9" t="str">
        <f t="shared" si="10"/>
        <v>3200033</v>
      </c>
      <c r="DA13" s="9" t="str">
        <f t="shared" si="11"/>
        <v>3502031</v>
      </c>
      <c r="DB13" s="9" t="str">
        <f t="shared" si="12"/>
        <v>3500032</v>
      </c>
      <c r="DC13" s="9" t="str">
        <f t="shared" si="13"/>
        <v>3401031</v>
      </c>
      <c r="DD13" s="9">
        <v>3</v>
      </c>
      <c r="DE13" s="9">
        <v>3</v>
      </c>
      <c r="DF13" s="9">
        <v>3</v>
      </c>
      <c r="DG13" s="9">
        <v>3</v>
      </c>
      <c r="DH13" s="9">
        <v>3</v>
      </c>
      <c r="DI13" s="9">
        <v>3</v>
      </c>
      <c r="DJ13" s="9">
        <v>3</v>
      </c>
      <c r="DK13" s="9">
        <v>3</v>
      </c>
      <c r="DL13" s="9">
        <v>3</v>
      </c>
      <c r="DM13" s="9">
        <v>3</v>
      </c>
      <c r="DN13" s="9">
        <v>3</v>
      </c>
      <c r="DO13" s="9">
        <v>3</v>
      </c>
      <c r="DP13" s="25" t="s">
        <v>111</v>
      </c>
      <c r="DQ13" s="25" t="s">
        <v>113</v>
      </c>
      <c r="DR13" s="25" t="s">
        <v>113</v>
      </c>
      <c r="DS13" s="28" t="s">
        <v>119</v>
      </c>
      <c r="DT13" s="26" t="s">
        <v>109</v>
      </c>
      <c r="DU13" s="26" t="s">
        <v>117</v>
      </c>
      <c r="DV13" s="26">
        <f t="shared" si="14"/>
        <v>1</v>
      </c>
      <c r="DW13" s="26">
        <f t="shared" si="15"/>
        <v>1</v>
      </c>
      <c r="DX13" s="26">
        <f t="shared" si="16"/>
        <v>1</v>
      </c>
      <c r="DY13" s="26">
        <f t="shared" si="17"/>
        <v>2</v>
      </c>
      <c r="DZ13" s="26">
        <f t="shared" si="18"/>
        <v>2</v>
      </c>
      <c r="EA13" s="3">
        <f t="shared" si="19"/>
        <v>2</v>
      </c>
      <c r="EB13" s="30"/>
      <c r="EC13" s="5">
        <v>3501033</v>
      </c>
      <c r="ED13" s="31" t="s">
        <v>121</v>
      </c>
      <c r="EE13" s="8">
        <v>2</v>
      </c>
      <c r="EF13" s="9">
        <v>303220001</v>
      </c>
      <c r="EG13" s="3" t="str">
        <f t="shared" si="20"/>
        <v>对随机1名敌人造成160%攻击伤害。</v>
      </c>
      <c r="EQ13" s="9">
        <v>505220001</v>
      </c>
      <c r="ER13" s="9" t="s">
        <v>129</v>
      </c>
    </row>
    <row r="14" spans="1:148" ht="15.95" customHeight="1">
      <c r="A14" s="9">
        <v>11</v>
      </c>
      <c r="B14" s="9">
        <v>1</v>
      </c>
      <c r="C14" s="9">
        <v>2001</v>
      </c>
      <c r="D14" s="9">
        <f t="shared" si="21"/>
        <v>10184</v>
      </c>
      <c r="E14" s="9" t="str">
        <f t="shared" si="22"/>
        <v>3200033,3200033,3200033,3501033,3500032,3501033</v>
      </c>
      <c r="F14" s="9" t="str">
        <f t="shared" si="23"/>
        <v>3,3,3,3,3,3</v>
      </c>
      <c r="G14" s="9" t="str">
        <f t="shared" si="24"/>
        <v>67,67,67,67,67,67</v>
      </c>
      <c r="H14" s="9">
        <v>25</v>
      </c>
      <c r="I14" s="9" t="s">
        <v>278</v>
      </c>
      <c r="J14" s="9" t="s">
        <v>279</v>
      </c>
      <c r="K14" s="9" t="s">
        <v>279</v>
      </c>
      <c r="L14" s="9" t="s">
        <v>279</v>
      </c>
      <c r="M14" s="9" t="s">
        <v>281</v>
      </c>
      <c r="O14" s="3">
        <f t="shared" si="25"/>
        <v>10184</v>
      </c>
      <c r="P14" s="9">
        <v>9258.2000000000007</v>
      </c>
      <c r="Q14" s="9">
        <v>3200033</v>
      </c>
      <c r="R14" s="9">
        <v>3200033</v>
      </c>
      <c r="S14" s="9">
        <v>3200033</v>
      </c>
      <c r="T14" s="9">
        <v>3501033</v>
      </c>
      <c r="U14" s="9">
        <v>3500032</v>
      </c>
      <c r="V14" s="9">
        <v>3501033</v>
      </c>
      <c r="W14" s="9">
        <v>3</v>
      </c>
      <c r="X14" s="9">
        <v>3</v>
      </c>
      <c r="Y14" s="9">
        <v>3</v>
      </c>
      <c r="Z14" s="9">
        <v>3</v>
      </c>
      <c r="AA14" s="9">
        <v>3</v>
      </c>
      <c r="AB14" s="9">
        <v>3</v>
      </c>
      <c r="AC14" s="9">
        <f t="shared" si="26"/>
        <v>67</v>
      </c>
      <c r="AD14" s="9">
        <f t="shared" si="27"/>
        <v>67</v>
      </c>
      <c r="AE14" s="9">
        <f t="shared" si="28"/>
        <v>67</v>
      </c>
      <c r="AF14" s="9">
        <f t="shared" si="29"/>
        <v>67</v>
      </c>
      <c r="AG14" s="9">
        <f t="shared" si="30"/>
        <v>67</v>
      </c>
      <c r="AH14" s="9">
        <f t="shared" si="31"/>
        <v>67</v>
      </c>
      <c r="AI14" s="7">
        <f t="shared" si="32"/>
        <v>1543.0333333333335</v>
      </c>
      <c r="AJ14" s="7">
        <f t="shared" si="1"/>
        <v>1543.0333333333335</v>
      </c>
      <c r="AK14" s="7">
        <f t="shared" si="1"/>
        <v>1543.0333333333335</v>
      </c>
      <c r="AL14" s="7">
        <f t="shared" si="1"/>
        <v>1543.0333333333335</v>
      </c>
      <c r="AM14" s="7">
        <f t="shared" si="1"/>
        <v>1543.0333333333335</v>
      </c>
      <c r="AN14" s="7">
        <f t="shared" si="1"/>
        <v>1543.0333333333335</v>
      </c>
      <c r="AO14" s="16"/>
      <c r="AP14" s="7"/>
      <c r="AQ14" s="9">
        <v>3</v>
      </c>
      <c r="AR14" s="9">
        <f t="shared" si="33"/>
        <v>64</v>
      </c>
      <c r="AS14" s="7">
        <f t="shared" si="34"/>
        <v>36</v>
      </c>
      <c r="AT14" s="7"/>
      <c r="AU14" s="16"/>
      <c r="AV14" s="7"/>
      <c r="AW14" s="7"/>
      <c r="AX14" s="7"/>
      <c r="AZ14" s="7"/>
      <c r="BA14" s="9">
        <f t="shared" si="39"/>
        <v>3892.3076923076906</v>
      </c>
      <c r="BC14" s="5">
        <f t="shared" si="35"/>
        <v>64</v>
      </c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18"/>
      <c r="BQ14" s="18"/>
      <c r="BR14" s="18">
        <v>3202033</v>
      </c>
      <c r="BS14" s="18">
        <f>[1]monsters!$N14</f>
        <v>138.88</v>
      </c>
      <c r="BT14" s="18">
        <f>[1]monsters!$O14</f>
        <v>13.89</v>
      </c>
      <c r="BU14" s="18">
        <f>[1]monsters!$P14</f>
        <v>743.23</v>
      </c>
      <c r="BV14" s="18">
        <f>[1]monsters!$Q14</f>
        <v>74.319999999999993</v>
      </c>
      <c r="BW14" s="18">
        <f>[1]monsters!$R14</f>
        <v>13.89</v>
      </c>
      <c r="BX14" s="18">
        <f>[1]monsters!$S14</f>
        <v>1.39</v>
      </c>
      <c r="BY14" s="18">
        <f>[1]monsters!$K14</f>
        <v>1.4</v>
      </c>
      <c r="BZ14" s="5">
        <f>[1]monsters!$D14</f>
        <v>6</v>
      </c>
      <c r="CA14" s="5">
        <f t="shared" si="36"/>
        <v>0.1</v>
      </c>
      <c r="CB14" s="5">
        <f t="shared" si="37"/>
        <v>156.26617912457914</v>
      </c>
      <c r="CC14" s="5">
        <f t="shared" si="38"/>
        <v>15.626617912457915</v>
      </c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>
        <v>0</v>
      </c>
      <c r="CR14" s="3" t="b">
        <f t="shared" si="2"/>
        <v>1</v>
      </c>
      <c r="CS14" s="3" t="b">
        <f t="shared" si="3"/>
        <v>1</v>
      </c>
      <c r="CT14" s="3" t="b">
        <f t="shared" si="4"/>
        <v>1</v>
      </c>
      <c r="CU14" s="3" t="b">
        <f t="shared" si="5"/>
        <v>1</v>
      </c>
      <c r="CV14" s="3" t="b">
        <f t="shared" si="6"/>
        <v>1</v>
      </c>
      <c r="CW14" s="3" t="b">
        <f t="shared" si="7"/>
        <v>1</v>
      </c>
      <c r="CX14" s="9" t="str">
        <f t="shared" si="8"/>
        <v>3200033</v>
      </c>
      <c r="CY14" s="9" t="str">
        <f t="shared" si="9"/>
        <v>3200033</v>
      </c>
      <c r="CZ14" s="9" t="str">
        <f t="shared" si="10"/>
        <v>3200033</v>
      </c>
      <c r="DA14" s="9" t="str">
        <f t="shared" si="11"/>
        <v>3501033</v>
      </c>
      <c r="DB14" s="9" t="str">
        <f t="shared" si="12"/>
        <v>3500032</v>
      </c>
      <c r="DC14" s="9" t="str">
        <f t="shared" si="13"/>
        <v>3501033</v>
      </c>
      <c r="DD14" s="9">
        <v>3</v>
      </c>
      <c r="DE14" s="9">
        <v>3</v>
      </c>
      <c r="DF14" s="9">
        <v>3</v>
      </c>
      <c r="DG14" s="9">
        <v>3</v>
      </c>
      <c r="DH14" s="9">
        <v>3</v>
      </c>
      <c r="DI14" s="9">
        <v>3</v>
      </c>
      <c r="DJ14" s="9">
        <v>3</v>
      </c>
      <c r="DK14" s="9">
        <v>3</v>
      </c>
      <c r="DL14" s="9">
        <v>3</v>
      </c>
      <c r="DM14" s="9">
        <v>3</v>
      </c>
      <c r="DN14" s="9">
        <v>3</v>
      </c>
      <c r="DO14" s="9">
        <v>3</v>
      </c>
      <c r="DP14" s="25" t="s">
        <v>113</v>
      </c>
      <c r="DQ14" s="25" t="s">
        <v>113</v>
      </c>
      <c r="DR14" s="25" t="s">
        <v>113</v>
      </c>
      <c r="DS14" s="26" t="s">
        <v>121</v>
      </c>
      <c r="DT14" s="26" t="s">
        <v>109</v>
      </c>
      <c r="DU14" s="26" t="s">
        <v>121</v>
      </c>
      <c r="DV14" s="26">
        <f t="shared" si="14"/>
        <v>1</v>
      </c>
      <c r="DW14" s="26">
        <f t="shared" si="15"/>
        <v>1</v>
      </c>
      <c r="DX14" s="26">
        <f t="shared" si="16"/>
        <v>1</v>
      </c>
      <c r="DY14" s="26">
        <f t="shared" si="17"/>
        <v>2</v>
      </c>
      <c r="DZ14" s="26">
        <f t="shared" si="18"/>
        <v>2</v>
      </c>
      <c r="EA14" s="3">
        <f t="shared" si="19"/>
        <v>2</v>
      </c>
      <c r="EB14" s="29"/>
      <c r="EC14" s="5">
        <v>3600033</v>
      </c>
      <c r="ED14" s="31" t="s">
        <v>131</v>
      </c>
      <c r="EE14" s="8">
        <v>1</v>
      </c>
      <c r="EF14" s="9">
        <v>303220101</v>
      </c>
      <c r="EG14" s="3" t="str">
        <f t="shared" si="20"/>
        <v>对随机2名敌人造成173%攻击伤害，并嘲讽目标，使对方强制攻击自己。</v>
      </c>
      <c r="EQ14" s="9">
        <v>505220101</v>
      </c>
      <c r="ER14" s="9" t="s">
        <v>132</v>
      </c>
    </row>
    <row r="15" spans="1:148" ht="15.95" customHeight="1">
      <c r="A15" s="9">
        <v>12</v>
      </c>
      <c r="B15" s="9">
        <v>1</v>
      </c>
      <c r="C15" s="9">
        <v>2001</v>
      </c>
      <c r="D15" s="9">
        <f t="shared" si="21"/>
        <v>10588</v>
      </c>
      <c r="E15" s="9" t="str">
        <f t="shared" si="22"/>
        <v>3202031,3201032,3301031,3300032,3400032,3300032</v>
      </c>
      <c r="F15" s="9" t="str">
        <f t="shared" si="23"/>
        <v>3,3,3,3,3,3</v>
      </c>
      <c r="G15" s="9" t="str">
        <f t="shared" si="24"/>
        <v>69,69,69,69,69,69</v>
      </c>
      <c r="H15" s="9">
        <v>25</v>
      </c>
      <c r="I15" s="9" t="s">
        <v>278</v>
      </c>
      <c r="J15" s="9" t="s">
        <v>279</v>
      </c>
      <c r="K15" s="9" t="s">
        <v>279</v>
      </c>
      <c r="L15" s="9" t="s">
        <v>279</v>
      </c>
      <c r="M15" s="9" t="s">
        <v>281</v>
      </c>
      <c r="O15" s="3">
        <f t="shared" si="25"/>
        <v>10588</v>
      </c>
      <c r="P15" s="9">
        <v>9625.4</v>
      </c>
      <c r="Q15" s="9">
        <v>3202031</v>
      </c>
      <c r="R15" s="9">
        <v>3201032</v>
      </c>
      <c r="S15" s="9">
        <v>3301031</v>
      </c>
      <c r="T15" s="9">
        <v>3300032</v>
      </c>
      <c r="U15" s="9">
        <v>3400032</v>
      </c>
      <c r="V15" s="9">
        <v>3300032</v>
      </c>
      <c r="W15" s="9">
        <v>3</v>
      </c>
      <c r="X15" s="9">
        <v>3</v>
      </c>
      <c r="Y15" s="9">
        <v>3</v>
      </c>
      <c r="Z15" s="9">
        <v>3</v>
      </c>
      <c r="AA15" s="9">
        <v>3</v>
      </c>
      <c r="AB15" s="9">
        <v>3</v>
      </c>
      <c r="AC15" s="9">
        <f t="shared" si="26"/>
        <v>69</v>
      </c>
      <c r="AD15" s="9">
        <f t="shared" si="27"/>
        <v>69</v>
      </c>
      <c r="AE15" s="9">
        <f t="shared" si="28"/>
        <v>69</v>
      </c>
      <c r="AF15" s="9">
        <f t="shared" si="29"/>
        <v>69</v>
      </c>
      <c r="AG15" s="9">
        <f t="shared" si="30"/>
        <v>69</v>
      </c>
      <c r="AH15" s="9">
        <f t="shared" si="31"/>
        <v>69</v>
      </c>
      <c r="AI15" s="7">
        <f t="shared" si="32"/>
        <v>1604.2333333333333</v>
      </c>
      <c r="AJ15" s="7">
        <f t="shared" si="1"/>
        <v>1604.2333333333333</v>
      </c>
      <c r="AK15" s="7">
        <f t="shared" si="1"/>
        <v>1604.2333333333333</v>
      </c>
      <c r="AL15" s="7">
        <f t="shared" si="1"/>
        <v>1604.2333333333333</v>
      </c>
      <c r="AM15" s="7">
        <f t="shared" si="1"/>
        <v>1604.2333333333333</v>
      </c>
      <c r="AN15" s="7">
        <f t="shared" si="1"/>
        <v>1604.2333333333333</v>
      </c>
      <c r="AO15" s="16"/>
      <c r="AP15" s="7"/>
      <c r="AQ15" s="9">
        <v>3</v>
      </c>
      <c r="AR15" s="9">
        <f t="shared" si="33"/>
        <v>65</v>
      </c>
      <c r="AS15" s="7">
        <f t="shared" si="34"/>
        <v>37</v>
      </c>
      <c r="AT15" s="7"/>
      <c r="AU15" s="16"/>
      <c r="AV15" s="7"/>
      <c r="AW15" s="7"/>
      <c r="AX15" s="7"/>
      <c r="AZ15" s="7"/>
      <c r="BA15" s="9">
        <f t="shared" si="39"/>
        <v>3981.5384615384596</v>
      </c>
      <c r="BC15" s="5">
        <f t="shared" si="35"/>
        <v>65</v>
      </c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18"/>
      <c r="BQ15" s="18"/>
      <c r="BR15" s="18">
        <v>3302033</v>
      </c>
      <c r="BS15" s="18">
        <f>[1]monsters!$N15</f>
        <v>178.56</v>
      </c>
      <c r="BT15" s="18">
        <f>[1]monsters!$O15</f>
        <v>17.86</v>
      </c>
      <c r="BU15" s="18">
        <f>[1]monsters!$P15</f>
        <v>743.23</v>
      </c>
      <c r="BV15" s="18">
        <f>[1]monsters!$Q15</f>
        <v>74.319999999999993</v>
      </c>
      <c r="BW15" s="18">
        <f>[1]monsters!$R15</f>
        <v>17.86</v>
      </c>
      <c r="BX15" s="18">
        <f>[1]monsters!$S15</f>
        <v>1.79</v>
      </c>
      <c r="BY15" s="18">
        <f>[1]monsters!$K15</f>
        <v>1.8</v>
      </c>
      <c r="BZ15" s="5">
        <f>[1]monsters!$D15</f>
        <v>6</v>
      </c>
      <c r="CA15" s="5">
        <f t="shared" si="36"/>
        <v>0.1</v>
      </c>
      <c r="CB15" s="5">
        <f t="shared" si="37"/>
        <v>193.76377912457914</v>
      </c>
      <c r="CC15" s="5">
        <f t="shared" si="38"/>
        <v>19.376377912457915</v>
      </c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>
        <v>0</v>
      </c>
      <c r="CR15" s="3" t="b">
        <f t="shared" si="2"/>
        <v>1</v>
      </c>
      <c r="CS15" s="3" t="b">
        <f t="shared" si="3"/>
        <v>1</v>
      </c>
      <c r="CT15" s="3" t="b">
        <f t="shared" si="4"/>
        <v>1</v>
      </c>
      <c r="CU15" s="3" t="b">
        <f t="shared" si="5"/>
        <v>1</v>
      </c>
      <c r="CV15" s="3" t="b">
        <f t="shared" si="6"/>
        <v>1</v>
      </c>
      <c r="CW15" s="3" t="b">
        <f t="shared" si="7"/>
        <v>1</v>
      </c>
      <c r="CX15" s="9" t="str">
        <f t="shared" si="8"/>
        <v>3202031</v>
      </c>
      <c r="CY15" s="9" t="str">
        <f t="shared" si="9"/>
        <v>3201032</v>
      </c>
      <c r="CZ15" s="9" t="str">
        <f t="shared" si="10"/>
        <v>3301031</v>
      </c>
      <c r="DA15" s="9" t="str">
        <f t="shared" si="11"/>
        <v>3300032</v>
      </c>
      <c r="DB15" s="9" t="str">
        <f t="shared" si="12"/>
        <v>3400032</v>
      </c>
      <c r="DC15" s="9" t="str">
        <f t="shared" si="13"/>
        <v>3300032</v>
      </c>
      <c r="DD15" s="9">
        <v>3</v>
      </c>
      <c r="DE15" s="9">
        <v>3</v>
      </c>
      <c r="DF15" s="9">
        <v>3</v>
      </c>
      <c r="DG15" s="9">
        <v>3</v>
      </c>
      <c r="DH15" s="9">
        <v>3</v>
      </c>
      <c r="DI15" s="9">
        <v>3</v>
      </c>
      <c r="DJ15" s="9">
        <v>3</v>
      </c>
      <c r="DK15" s="9">
        <v>3</v>
      </c>
      <c r="DL15" s="9">
        <v>3</v>
      </c>
      <c r="DM15" s="9">
        <v>3</v>
      </c>
      <c r="DN15" s="9">
        <v>3</v>
      </c>
      <c r="DO15" s="9">
        <v>3</v>
      </c>
      <c r="DP15" s="25" t="s">
        <v>111</v>
      </c>
      <c r="DQ15" s="25" t="s">
        <v>114</v>
      </c>
      <c r="DR15" s="25" t="s">
        <v>107</v>
      </c>
      <c r="DS15" s="25" t="s">
        <v>115</v>
      </c>
      <c r="DT15" s="25" t="s">
        <v>110</v>
      </c>
      <c r="DU15" s="25" t="s">
        <v>115</v>
      </c>
      <c r="DV15" s="25">
        <f t="shared" si="14"/>
        <v>1</v>
      </c>
      <c r="DW15" s="25">
        <f t="shared" si="15"/>
        <v>1</v>
      </c>
      <c r="DX15" s="25">
        <f t="shared" si="16"/>
        <v>1</v>
      </c>
      <c r="DY15" s="25">
        <f t="shared" si="17"/>
        <v>2</v>
      </c>
      <c r="DZ15" s="25">
        <f t="shared" si="18"/>
        <v>2</v>
      </c>
      <c r="EA15" s="3">
        <f t="shared" si="19"/>
        <v>2</v>
      </c>
      <c r="EB15" s="29"/>
      <c r="EC15" s="5">
        <v>3602031</v>
      </c>
      <c r="ED15" s="31" t="s">
        <v>133</v>
      </c>
      <c r="EE15" s="8">
        <v>2</v>
      </c>
      <c r="EF15" s="9">
        <v>303220201</v>
      </c>
      <c r="EG15" s="3" t="str">
        <f t="shared" si="20"/>
        <v>对距离最远的1名敌人造成350%攻击伤害。</v>
      </c>
      <c r="EQ15" s="9">
        <v>505220201</v>
      </c>
      <c r="ER15" s="9" t="s">
        <v>134</v>
      </c>
    </row>
    <row r="16" spans="1:148" ht="15.95" customHeight="1">
      <c r="A16" s="9">
        <v>13</v>
      </c>
      <c r="B16" s="9">
        <v>1</v>
      </c>
      <c r="C16" s="9">
        <v>2001</v>
      </c>
      <c r="D16" s="9">
        <f t="shared" si="21"/>
        <v>10930</v>
      </c>
      <c r="E16" s="9" t="str">
        <f t="shared" si="22"/>
        <v>3301031,3301031,3301031,3500032,3500032,3500032</v>
      </c>
      <c r="F16" s="9" t="str">
        <f t="shared" si="23"/>
        <v>3,3,3,3,3,3</v>
      </c>
      <c r="G16" s="9" t="str">
        <f t="shared" si="24"/>
        <v>70,70,70,70,70,70</v>
      </c>
      <c r="H16" s="9">
        <v>25</v>
      </c>
      <c r="I16" s="9" t="s">
        <v>278</v>
      </c>
      <c r="J16" s="9" t="s">
        <v>279</v>
      </c>
      <c r="K16" s="9" t="s">
        <v>279</v>
      </c>
      <c r="L16" s="9" t="s">
        <v>279</v>
      </c>
      <c r="M16" s="9" t="s">
        <v>281</v>
      </c>
      <c r="O16" s="3">
        <f t="shared" si="25"/>
        <v>10930</v>
      </c>
      <c r="P16" s="9">
        <v>9936.5</v>
      </c>
      <c r="Q16" s="9">
        <v>3301031</v>
      </c>
      <c r="R16" s="9">
        <v>3301031</v>
      </c>
      <c r="S16" s="9">
        <v>3301031</v>
      </c>
      <c r="T16" s="9">
        <v>3500032</v>
      </c>
      <c r="U16" s="9">
        <v>3500032</v>
      </c>
      <c r="V16" s="9">
        <v>3500032</v>
      </c>
      <c r="W16" s="9">
        <v>3</v>
      </c>
      <c r="X16" s="9">
        <v>3</v>
      </c>
      <c r="Y16" s="9">
        <v>3</v>
      </c>
      <c r="Z16" s="9">
        <v>3</v>
      </c>
      <c r="AA16" s="9">
        <v>3</v>
      </c>
      <c r="AB16" s="9">
        <v>3</v>
      </c>
      <c r="AC16" s="9">
        <f t="shared" si="26"/>
        <v>70</v>
      </c>
      <c r="AD16" s="9">
        <f t="shared" si="27"/>
        <v>70</v>
      </c>
      <c r="AE16" s="9">
        <f t="shared" si="28"/>
        <v>70</v>
      </c>
      <c r="AF16" s="9">
        <f t="shared" si="29"/>
        <v>70</v>
      </c>
      <c r="AG16" s="9">
        <f t="shared" si="30"/>
        <v>70</v>
      </c>
      <c r="AH16" s="9">
        <f t="shared" si="31"/>
        <v>70</v>
      </c>
      <c r="AI16" s="7">
        <f t="shared" si="32"/>
        <v>1656.0833333333333</v>
      </c>
      <c r="AJ16" s="7">
        <f t="shared" si="1"/>
        <v>1656.0833333333333</v>
      </c>
      <c r="AK16" s="7">
        <f t="shared" si="1"/>
        <v>1656.0833333333333</v>
      </c>
      <c r="AL16" s="7">
        <f t="shared" si="1"/>
        <v>1656.0833333333333</v>
      </c>
      <c r="AM16" s="7">
        <f t="shared" si="1"/>
        <v>1656.0833333333333</v>
      </c>
      <c r="AN16" s="7">
        <f t="shared" si="1"/>
        <v>1656.0833333333333</v>
      </c>
      <c r="AO16" s="16"/>
      <c r="AP16" s="7"/>
      <c r="AQ16" s="9">
        <v>3</v>
      </c>
      <c r="AR16" s="9">
        <f t="shared" si="33"/>
        <v>67</v>
      </c>
      <c r="AS16" s="7">
        <f t="shared" si="34"/>
        <v>38</v>
      </c>
      <c r="AT16" s="7"/>
      <c r="AU16" s="16"/>
      <c r="AV16" s="7"/>
      <c r="AW16" s="7"/>
      <c r="AX16" s="7"/>
      <c r="AZ16" s="7"/>
      <c r="BA16" s="9">
        <f t="shared" si="39"/>
        <v>4070.7692307692287</v>
      </c>
      <c r="BC16" s="5">
        <f t="shared" si="35"/>
        <v>67</v>
      </c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18"/>
      <c r="BQ16" s="18"/>
      <c r="BR16" s="18">
        <v>3400033</v>
      </c>
      <c r="BS16" s="18">
        <f>[1]monsters!$N16</f>
        <v>74.88</v>
      </c>
      <c r="BT16" s="18">
        <f>[1]monsters!$O16</f>
        <v>7.49</v>
      </c>
      <c r="BU16" s="18">
        <f>[1]monsters!$P16</f>
        <v>1280</v>
      </c>
      <c r="BV16" s="18">
        <f>[1]monsters!$Q16</f>
        <v>128</v>
      </c>
      <c r="BW16" s="18">
        <f>[1]monsters!$R16</f>
        <v>14.98</v>
      </c>
      <c r="BX16" s="18">
        <f>[1]monsters!$S16</f>
        <v>1.5</v>
      </c>
      <c r="BY16" s="18">
        <f>[1]monsters!$K16</f>
        <v>1.3</v>
      </c>
      <c r="BZ16" s="5">
        <f>[1]monsters!$D16</f>
        <v>3</v>
      </c>
      <c r="CA16" s="5">
        <f t="shared" si="36"/>
        <v>0.1</v>
      </c>
      <c r="CB16" s="5">
        <f t="shared" si="37"/>
        <v>113.8592430976431</v>
      </c>
      <c r="CC16" s="5">
        <f t="shared" si="38"/>
        <v>11.385924309764311</v>
      </c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>
        <v>0</v>
      </c>
      <c r="CR16" s="3" t="b">
        <f t="shared" si="2"/>
        <v>1</v>
      </c>
      <c r="CS16" s="3" t="b">
        <f t="shared" si="3"/>
        <v>1</v>
      </c>
      <c r="CT16" s="3" t="b">
        <f t="shared" si="4"/>
        <v>1</v>
      </c>
      <c r="CU16" s="3" t="b">
        <f t="shared" si="5"/>
        <v>1</v>
      </c>
      <c r="CV16" s="3" t="b">
        <f t="shared" si="6"/>
        <v>1</v>
      </c>
      <c r="CW16" s="3" t="b">
        <f t="shared" si="7"/>
        <v>1</v>
      </c>
      <c r="CX16" s="9" t="str">
        <f t="shared" si="8"/>
        <v>3301031</v>
      </c>
      <c r="CY16" s="9" t="str">
        <f t="shared" si="9"/>
        <v>3301031</v>
      </c>
      <c r="CZ16" s="9" t="str">
        <f t="shared" si="10"/>
        <v>3301031</v>
      </c>
      <c r="DA16" s="9" t="str">
        <f t="shared" si="11"/>
        <v>3500032</v>
      </c>
      <c r="DB16" s="9" t="str">
        <f t="shared" si="12"/>
        <v>3500032</v>
      </c>
      <c r="DC16" s="9" t="str">
        <f t="shared" si="13"/>
        <v>3500032</v>
      </c>
      <c r="DD16" s="9">
        <v>3</v>
      </c>
      <c r="DE16" s="9">
        <v>3</v>
      </c>
      <c r="DF16" s="9">
        <v>3</v>
      </c>
      <c r="DG16" s="9">
        <v>3</v>
      </c>
      <c r="DH16" s="9">
        <v>3</v>
      </c>
      <c r="DI16" s="9">
        <v>3</v>
      </c>
      <c r="DJ16" s="9">
        <v>3</v>
      </c>
      <c r="DK16" s="9">
        <v>3</v>
      </c>
      <c r="DL16" s="9">
        <v>3</v>
      </c>
      <c r="DM16" s="9">
        <v>3</v>
      </c>
      <c r="DN16" s="9">
        <v>3</v>
      </c>
      <c r="DO16" s="9">
        <v>3</v>
      </c>
      <c r="DP16" s="26" t="s">
        <v>107</v>
      </c>
      <c r="DQ16" s="26" t="s">
        <v>107</v>
      </c>
      <c r="DR16" s="26" t="s">
        <v>107</v>
      </c>
      <c r="DS16" s="26" t="s">
        <v>109</v>
      </c>
      <c r="DT16" s="26" t="s">
        <v>109</v>
      </c>
      <c r="DU16" s="26" t="s">
        <v>109</v>
      </c>
      <c r="DV16" s="26">
        <f t="shared" si="14"/>
        <v>1</v>
      </c>
      <c r="DW16" s="26">
        <f t="shared" si="15"/>
        <v>1</v>
      </c>
      <c r="DX16" s="26">
        <f t="shared" si="16"/>
        <v>1</v>
      </c>
      <c r="DY16" s="26">
        <f t="shared" si="17"/>
        <v>2</v>
      </c>
      <c r="DZ16" s="26">
        <f t="shared" si="18"/>
        <v>2</v>
      </c>
      <c r="EA16" s="3">
        <f t="shared" si="19"/>
        <v>2</v>
      </c>
      <c r="EB16" s="30"/>
      <c r="EC16" s="5">
        <v>3300032</v>
      </c>
      <c r="ED16" s="31" t="s">
        <v>115</v>
      </c>
      <c r="EE16" s="8">
        <v>2</v>
      </c>
      <c r="EF16" s="9">
        <v>303230101</v>
      </c>
      <c r="EG16" s="3" t="str">
        <f t="shared" si="20"/>
        <v>对随机3名敌人造成151%攻击伤害。</v>
      </c>
      <c r="EQ16" s="9">
        <v>505230101</v>
      </c>
      <c r="ER16" s="9" t="s">
        <v>135</v>
      </c>
    </row>
    <row r="17" spans="1:148" ht="15.95" customHeight="1">
      <c r="A17" s="9">
        <v>14</v>
      </c>
      <c r="B17" s="9">
        <v>1</v>
      </c>
      <c r="C17" s="9">
        <v>2001</v>
      </c>
      <c r="D17" s="9">
        <f t="shared" ref="D17:D80" si="40">O17</f>
        <v>11349</v>
      </c>
      <c r="E17" s="9" t="str">
        <f t="shared" si="22"/>
        <v>3201032,3301031,3201032,3300032,3400032,3300032</v>
      </c>
      <c r="F17" s="9" t="str">
        <f t="shared" si="23"/>
        <v>3,3,3,3,3,3</v>
      </c>
      <c r="G17" s="9" t="str">
        <f t="shared" si="24"/>
        <v>72,72,72,72,72,72</v>
      </c>
      <c r="H17" s="9">
        <v>25</v>
      </c>
      <c r="I17" s="9" t="s">
        <v>278</v>
      </c>
      <c r="J17" s="9" t="s">
        <v>279</v>
      </c>
      <c r="K17" s="9" t="s">
        <v>279</v>
      </c>
      <c r="L17" s="9" t="s">
        <v>279</v>
      </c>
      <c r="M17" s="9" t="s">
        <v>281</v>
      </c>
      <c r="O17" s="3">
        <f t="shared" si="25"/>
        <v>11349</v>
      </c>
      <c r="P17" s="9">
        <v>10317.299999999999</v>
      </c>
      <c r="Q17" s="9">
        <v>3201032</v>
      </c>
      <c r="R17" s="9">
        <v>3301031</v>
      </c>
      <c r="S17" s="9">
        <v>3201032</v>
      </c>
      <c r="T17" s="9">
        <v>3300032</v>
      </c>
      <c r="U17" s="9">
        <v>3400032</v>
      </c>
      <c r="V17" s="9">
        <v>3300032</v>
      </c>
      <c r="W17" s="9">
        <v>3</v>
      </c>
      <c r="X17" s="9">
        <v>3</v>
      </c>
      <c r="Y17" s="9">
        <v>3</v>
      </c>
      <c r="Z17" s="9">
        <v>3</v>
      </c>
      <c r="AA17" s="9">
        <v>3</v>
      </c>
      <c r="AB17" s="9">
        <v>3</v>
      </c>
      <c r="AC17" s="9">
        <f t="shared" si="26"/>
        <v>72</v>
      </c>
      <c r="AD17" s="9">
        <f t="shared" si="27"/>
        <v>72</v>
      </c>
      <c r="AE17" s="9">
        <f t="shared" si="28"/>
        <v>72</v>
      </c>
      <c r="AF17" s="9">
        <f t="shared" si="29"/>
        <v>72</v>
      </c>
      <c r="AG17" s="9">
        <f t="shared" si="30"/>
        <v>72</v>
      </c>
      <c r="AH17" s="9">
        <f t="shared" si="31"/>
        <v>72</v>
      </c>
      <c r="AI17" s="7">
        <f t="shared" si="32"/>
        <v>1719.55</v>
      </c>
      <c r="AJ17" s="7">
        <f t="shared" si="1"/>
        <v>1719.55</v>
      </c>
      <c r="AK17" s="7">
        <f t="shared" si="1"/>
        <v>1719.55</v>
      </c>
      <c r="AL17" s="7">
        <f t="shared" si="1"/>
        <v>1719.55</v>
      </c>
      <c r="AM17" s="7">
        <f t="shared" si="1"/>
        <v>1719.55</v>
      </c>
      <c r="AN17" s="7">
        <f t="shared" si="1"/>
        <v>1719.55</v>
      </c>
      <c r="AO17" s="16"/>
      <c r="AP17" s="7"/>
      <c r="AQ17" s="9">
        <v>3</v>
      </c>
      <c r="AR17" s="9">
        <f t="shared" si="33"/>
        <v>68</v>
      </c>
      <c r="AS17" s="7">
        <f t="shared" si="34"/>
        <v>39</v>
      </c>
      <c r="AT17" s="7"/>
      <c r="AU17" s="16"/>
      <c r="AV17" s="7"/>
      <c r="AW17" s="7"/>
      <c r="AX17" s="7"/>
      <c r="AZ17" s="7"/>
      <c r="BA17" s="9">
        <f t="shared" si="39"/>
        <v>4159.9999999999982</v>
      </c>
      <c r="BC17" s="5">
        <f t="shared" si="35"/>
        <v>68</v>
      </c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18"/>
      <c r="BQ17" s="18"/>
      <c r="BR17" s="18">
        <v>3501033</v>
      </c>
      <c r="BS17" s="18">
        <f>[1]monsters!$N17</f>
        <v>80.64</v>
      </c>
      <c r="BT17" s="18">
        <f>[1]monsters!$O17</f>
        <v>8.06</v>
      </c>
      <c r="BU17" s="18">
        <f>[1]monsters!$P17</f>
        <v>1280</v>
      </c>
      <c r="BV17" s="18">
        <f>[1]monsters!$Q17</f>
        <v>128</v>
      </c>
      <c r="BW17" s="18">
        <f>[1]monsters!$R17</f>
        <v>16.13</v>
      </c>
      <c r="BX17" s="18">
        <f>[1]monsters!$S17</f>
        <v>1.61</v>
      </c>
      <c r="BY17" s="18">
        <f>[1]monsters!$K17</f>
        <v>1.4</v>
      </c>
      <c r="BZ17" s="5">
        <f>[1]monsters!$D17</f>
        <v>3</v>
      </c>
      <c r="CA17" s="5">
        <f t="shared" si="36"/>
        <v>0.1</v>
      </c>
      <c r="CB17" s="5">
        <f t="shared" si="37"/>
        <v>119.30244309764311</v>
      </c>
      <c r="CC17" s="5">
        <f t="shared" si="38"/>
        <v>11.930244309764312</v>
      </c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>
        <v>0</v>
      </c>
      <c r="CR17" s="3" t="b">
        <f t="shared" si="2"/>
        <v>1</v>
      </c>
      <c r="CS17" s="3" t="b">
        <f t="shared" si="3"/>
        <v>1</v>
      </c>
      <c r="CT17" s="3" t="b">
        <f t="shared" si="4"/>
        <v>1</v>
      </c>
      <c r="CU17" s="3" t="b">
        <f t="shared" si="5"/>
        <v>1</v>
      </c>
      <c r="CV17" s="3" t="b">
        <f t="shared" si="6"/>
        <v>1</v>
      </c>
      <c r="CW17" s="3" t="b">
        <f t="shared" si="7"/>
        <v>1</v>
      </c>
      <c r="CX17" s="9" t="str">
        <f t="shared" si="8"/>
        <v>3201032</v>
      </c>
      <c r="CY17" s="9" t="str">
        <f t="shared" si="9"/>
        <v>3301031</v>
      </c>
      <c r="CZ17" s="9" t="str">
        <f t="shared" si="10"/>
        <v>3201032</v>
      </c>
      <c r="DA17" s="9" t="str">
        <f t="shared" si="11"/>
        <v>3300032</v>
      </c>
      <c r="DB17" s="9" t="str">
        <f t="shared" si="12"/>
        <v>3400032</v>
      </c>
      <c r="DC17" s="9" t="str">
        <f t="shared" si="13"/>
        <v>3300032</v>
      </c>
      <c r="DD17" s="9">
        <v>3</v>
      </c>
      <c r="DE17" s="9">
        <v>3</v>
      </c>
      <c r="DF17" s="9">
        <v>3</v>
      </c>
      <c r="DG17" s="9">
        <v>3</v>
      </c>
      <c r="DH17" s="9">
        <v>3</v>
      </c>
      <c r="DI17" s="9">
        <v>3</v>
      </c>
      <c r="DJ17" s="9">
        <v>3</v>
      </c>
      <c r="DK17" s="9">
        <v>3</v>
      </c>
      <c r="DL17" s="9">
        <v>3</v>
      </c>
      <c r="DM17" s="9">
        <v>3</v>
      </c>
      <c r="DN17" s="9">
        <v>3</v>
      </c>
      <c r="DO17" s="9">
        <v>3</v>
      </c>
      <c r="DP17" s="25" t="s">
        <v>114</v>
      </c>
      <c r="DQ17" s="27" t="s">
        <v>107</v>
      </c>
      <c r="DR17" s="25" t="s">
        <v>114</v>
      </c>
      <c r="DS17" s="25" t="s">
        <v>115</v>
      </c>
      <c r="DT17" s="25" t="s">
        <v>110</v>
      </c>
      <c r="DU17" s="25" t="s">
        <v>115</v>
      </c>
      <c r="DV17" s="25">
        <f t="shared" si="14"/>
        <v>1</v>
      </c>
      <c r="DW17" s="25">
        <f t="shared" si="15"/>
        <v>1</v>
      </c>
      <c r="DX17" s="25">
        <f t="shared" si="16"/>
        <v>1</v>
      </c>
      <c r="DY17" s="25">
        <f t="shared" si="17"/>
        <v>2</v>
      </c>
      <c r="DZ17" s="25">
        <f t="shared" si="18"/>
        <v>2</v>
      </c>
      <c r="EA17" s="3">
        <f t="shared" si="19"/>
        <v>2</v>
      </c>
      <c r="EB17" s="30"/>
      <c r="EC17" s="5">
        <v>3302033</v>
      </c>
      <c r="ED17" s="31" t="s">
        <v>108</v>
      </c>
      <c r="EE17" s="8">
        <v>1</v>
      </c>
      <c r="EF17" s="9">
        <v>303240101</v>
      </c>
      <c r="EG17" s="3" t="str">
        <f t="shared" si="20"/>
        <v>对随机3名敌人造成141%攻击伤害。</v>
      </c>
      <c r="EQ17" s="9">
        <v>505240101</v>
      </c>
      <c r="ER17" s="9" t="s">
        <v>136</v>
      </c>
    </row>
    <row r="18" spans="1:148" ht="15.95" customHeight="1">
      <c r="A18" s="9">
        <v>15</v>
      </c>
      <c r="B18" s="9">
        <v>1</v>
      </c>
      <c r="C18" s="9">
        <v>2001</v>
      </c>
      <c r="D18" s="9">
        <f t="shared" si="40"/>
        <v>11702</v>
      </c>
      <c r="E18" s="9" t="str">
        <f t="shared" si="22"/>
        <v>3600033,3202031,3202031,3501033,3501033,3501033</v>
      </c>
      <c r="F18" s="9" t="str">
        <f t="shared" si="23"/>
        <v>3,3,3,3,3,3</v>
      </c>
      <c r="G18" s="9" t="str">
        <f t="shared" si="24"/>
        <v>73,73,73,73,73,73</v>
      </c>
      <c r="H18" s="9">
        <v>26</v>
      </c>
      <c r="I18" s="9" t="s">
        <v>278</v>
      </c>
      <c r="J18" s="9" t="s">
        <v>279</v>
      </c>
      <c r="K18" s="9" t="s">
        <v>279</v>
      </c>
      <c r="L18" s="9" t="s">
        <v>279</v>
      </c>
      <c r="M18" s="9" t="s">
        <v>281</v>
      </c>
      <c r="O18" s="3">
        <f t="shared" si="25"/>
        <v>11702</v>
      </c>
      <c r="P18" s="9">
        <v>10638.6</v>
      </c>
      <c r="Q18" s="9">
        <v>3600033</v>
      </c>
      <c r="R18" s="9">
        <v>3202031</v>
      </c>
      <c r="S18" s="9">
        <v>3202031</v>
      </c>
      <c r="T18" s="9">
        <v>3501033</v>
      </c>
      <c r="U18" s="9">
        <v>3501033</v>
      </c>
      <c r="V18" s="9">
        <v>3501033</v>
      </c>
      <c r="W18" s="9">
        <v>3</v>
      </c>
      <c r="X18" s="9">
        <v>3</v>
      </c>
      <c r="Y18" s="9">
        <v>3</v>
      </c>
      <c r="Z18" s="9">
        <v>3</v>
      </c>
      <c r="AA18" s="9">
        <v>3</v>
      </c>
      <c r="AB18" s="9">
        <v>3</v>
      </c>
      <c r="AC18" s="9">
        <f t="shared" si="26"/>
        <v>73</v>
      </c>
      <c r="AD18" s="9">
        <f t="shared" si="27"/>
        <v>73</v>
      </c>
      <c r="AE18" s="9">
        <f t="shared" si="28"/>
        <v>73</v>
      </c>
      <c r="AF18" s="9">
        <f t="shared" si="29"/>
        <v>73</v>
      </c>
      <c r="AG18" s="9">
        <f t="shared" si="30"/>
        <v>73</v>
      </c>
      <c r="AH18" s="9">
        <f t="shared" si="31"/>
        <v>73</v>
      </c>
      <c r="AI18" s="7">
        <f t="shared" si="32"/>
        <v>1773.1000000000001</v>
      </c>
      <c r="AJ18" s="7">
        <f t="shared" si="1"/>
        <v>1773.1000000000001</v>
      </c>
      <c r="AK18" s="7">
        <f t="shared" si="1"/>
        <v>1773.1000000000001</v>
      </c>
      <c r="AL18" s="7">
        <f t="shared" si="1"/>
        <v>1773.1000000000001</v>
      </c>
      <c r="AM18" s="7">
        <f t="shared" si="1"/>
        <v>1773.1000000000001</v>
      </c>
      <c r="AN18" s="7">
        <f t="shared" si="1"/>
        <v>1773.1000000000001</v>
      </c>
      <c r="AO18" s="16"/>
      <c r="AP18" s="7"/>
      <c r="AQ18" s="9">
        <v>3</v>
      </c>
      <c r="AR18" s="9">
        <f t="shared" si="33"/>
        <v>69</v>
      </c>
      <c r="AS18" s="7">
        <f t="shared" si="34"/>
        <v>40</v>
      </c>
      <c r="AT18" s="7"/>
      <c r="AU18" s="16"/>
      <c r="AV18" s="7"/>
      <c r="AW18" s="7"/>
      <c r="AX18" s="7"/>
      <c r="AZ18" s="7"/>
      <c r="BA18" s="9">
        <f t="shared" si="39"/>
        <v>4249.2307692307677</v>
      </c>
      <c r="BC18" s="5">
        <f t="shared" si="35"/>
        <v>69</v>
      </c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18"/>
      <c r="BQ18" s="18"/>
      <c r="BR18" s="18">
        <v>3600033</v>
      </c>
      <c r="BS18" s="18">
        <f>[1]monsters!$N18</f>
        <v>107.52</v>
      </c>
      <c r="BT18" s="18">
        <f>[1]monsters!$O18</f>
        <v>10.75</v>
      </c>
      <c r="BU18" s="18">
        <f>[1]monsters!$P18</f>
        <v>960</v>
      </c>
      <c r="BV18" s="18">
        <f>[1]monsters!$Q18</f>
        <v>96</v>
      </c>
      <c r="BW18" s="18">
        <f>[1]monsters!$R18</f>
        <v>15.36</v>
      </c>
      <c r="BX18" s="18">
        <f>[1]monsters!$S18</f>
        <v>1.54</v>
      </c>
      <c r="BY18" s="18">
        <f>[1]monsters!$K18</f>
        <v>1.4</v>
      </c>
      <c r="BZ18" s="5">
        <f>[1]monsters!$D18</f>
        <v>4</v>
      </c>
      <c r="CA18" s="5">
        <f t="shared" si="36"/>
        <v>0.1</v>
      </c>
      <c r="CB18" s="5">
        <f t="shared" si="37"/>
        <v>133.92963232323234</v>
      </c>
      <c r="CC18" s="5">
        <f t="shared" si="38"/>
        <v>13.392963232323234</v>
      </c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>
        <v>1</v>
      </c>
      <c r="CR18" s="3" t="b">
        <f t="shared" si="2"/>
        <v>1</v>
      </c>
      <c r="CS18" s="3" t="b">
        <f t="shared" si="3"/>
        <v>1</v>
      </c>
      <c r="CT18" s="3" t="b">
        <f t="shared" si="4"/>
        <v>1</v>
      </c>
      <c r="CU18" s="3" t="b">
        <f t="shared" si="5"/>
        <v>1</v>
      </c>
      <c r="CV18" s="3" t="b">
        <f t="shared" si="6"/>
        <v>1</v>
      </c>
      <c r="CW18" s="3" t="b">
        <f t="shared" si="7"/>
        <v>1</v>
      </c>
      <c r="CX18" s="9" t="str">
        <f t="shared" si="8"/>
        <v>3600033</v>
      </c>
      <c r="CY18" s="9" t="str">
        <f t="shared" si="9"/>
        <v>3202031</v>
      </c>
      <c r="CZ18" s="9" t="str">
        <f t="shared" si="10"/>
        <v>3202031</v>
      </c>
      <c r="DA18" s="9" t="str">
        <f t="shared" si="11"/>
        <v>3501033</v>
      </c>
      <c r="DB18" s="9" t="str">
        <f t="shared" si="12"/>
        <v>3501033</v>
      </c>
      <c r="DC18" s="9" t="str">
        <f t="shared" si="13"/>
        <v>3501033</v>
      </c>
      <c r="DD18" s="9">
        <v>3</v>
      </c>
      <c r="DE18" s="9">
        <v>3</v>
      </c>
      <c r="DF18" s="9">
        <v>3</v>
      </c>
      <c r="DG18" s="9">
        <v>3</v>
      </c>
      <c r="DH18" s="9">
        <v>3</v>
      </c>
      <c r="DI18" s="9">
        <v>3</v>
      </c>
      <c r="DJ18" s="9">
        <v>3</v>
      </c>
      <c r="DK18" s="9">
        <v>3</v>
      </c>
      <c r="DL18" s="9">
        <v>3</v>
      </c>
      <c r="DM18" s="9">
        <v>3</v>
      </c>
      <c r="DN18" s="9">
        <v>3</v>
      </c>
      <c r="DO18" s="9">
        <v>3</v>
      </c>
      <c r="DP18" s="27" t="s">
        <v>131</v>
      </c>
      <c r="DQ18" s="25" t="s">
        <v>111</v>
      </c>
      <c r="DR18" s="25" t="s">
        <v>111</v>
      </c>
      <c r="DS18" s="25" t="s">
        <v>121</v>
      </c>
      <c r="DT18" s="25" t="s">
        <v>121</v>
      </c>
      <c r="DU18" s="25" t="s">
        <v>121</v>
      </c>
      <c r="DV18" s="25">
        <f t="shared" si="14"/>
        <v>1</v>
      </c>
      <c r="DW18" s="25">
        <f t="shared" si="15"/>
        <v>1</v>
      </c>
      <c r="DX18" s="25">
        <f t="shared" si="16"/>
        <v>1</v>
      </c>
      <c r="DY18" s="25">
        <f t="shared" si="17"/>
        <v>2</v>
      </c>
      <c r="DZ18" s="25">
        <f t="shared" si="18"/>
        <v>2</v>
      </c>
      <c r="EA18" s="3">
        <f t="shared" si="19"/>
        <v>2</v>
      </c>
      <c r="EB18" s="30"/>
      <c r="EC18" s="5">
        <v>3400032</v>
      </c>
      <c r="ED18" s="31" t="s">
        <v>110</v>
      </c>
      <c r="EE18" s="8">
        <v>2</v>
      </c>
      <c r="EF18" s="9">
        <v>303240201</v>
      </c>
      <c r="EG18" s="3" t="str">
        <f t="shared" si="20"/>
        <v>对随机2名敌人造成181%攻击伤害。</v>
      </c>
      <c r="EQ18" s="9">
        <v>505240201</v>
      </c>
      <c r="ER18" s="9" t="s">
        <v>137</v>
      </c>
    </row>
    <row r="19" spans="1:148" ht="15.95" customHeight="1">
      <c r="A19" s="9">
        <v>16</v>
      </c>
      <c r="B19" s="9">
        <v>1</v>
      </c>
      <c r="C19" s="9">
        <v>2001</v>
      </c>
      <c r="D19" s="9">
        <f t="shared" si="40"/>
        <v>11422</v>
      </c>
      <c r="E19" s="9" t="str">
        <f t="shared" si="22"/>
        <v>3202031,3201032,3200033,3402033,3300032,3400032</v>
      </c>
      <c r="F19" s="9" t="str">
        <f t="shared" si="23"/>
        <v>3,3,3,3,3,3</v>
      </c>
      <c r="G19" s="9" t="str">
        <f t="shared" si="24"/>
        <v>72,72,72,72,72,72</v>
      </c>
      <c r="H19" s="9">
        <v>28</v>
      </c>
      <c r="I19" s="9" t="s">
        <v>278</v>
      </c>
      <c r="J19" s="9" t="s">
        <v>279</v>
      </c>
      <c r="K19" s="9" t="s">
        <v>279</v>
      </c>
      <c r="L19" s="9" t="s">
        <v>279</v>
      </c>
      <c r="M19" s="9" t="s">
        <v>281</v>
      </c>
      <c r="O19" s="3">
        <f t="shared" si="25"/>
        <v>11422</v>
      </c>
      <c r="P19" s="9">
        <v>10384</v>
      </c>
      <c r="Q19" s="9">
        <v>3202031</v>
      </c>
      <c r="R19" s="9">
        <v>3201032</v>
      </c>
      <c r="S19" s="9">
        <v>3200033</v>
      </c>
      <c r="T19" s="9">
        <v>3402033</v>
      </c>
      <c r="U19" s="9">
        <v>3300032</v>
      </c>
      <c r="V19" s="9">
        <v>3400032</v>
      </c>
      <c r="W19" s="9">
        <v>3</v>
      </c>
      <c r="X19" s="9">
        <v>3</v>
      </c>
      <c r="Y19" s="9">
        <v>3</v>
      </c>
      <c r="Z19" s="9">
        <v>3</v>
      </c>
      <c r="AA19" s="9">
        <v>3</v>
      </c>
      <c r="AB19" s="9">
        <v>3</v>
      </c>
      <c r="AC19" s="9">
        <f t="shared" si="26"/>
        <v>72</v>
      </c>
      <c r="AD19" s="9">
        <f t="shared" si="27"/>
        <v>72</v>
      </c>
      <c r="AE19" s="9">
        <f t="shared" si="28"/>
        <v>72</v>
      </c>
      <c r="AF19" s="9">
        <f t="shared" si="29"/>
        <v>72</v>
      </c>
      <c r="AG19" s="9">
        <f t="shared" si="30"/>
        <v>72</v>
      </c>
      <c r="AH19" s="9">
        <f t="shared" si="31"/>
        <v>72</v>
      </c>
      <c r="AI19" s="7">
        <f t="shared" si="32"/>
        <v>1730.6666666666667</v>
      </c>
      <c r="AJ19" s="7">
        <f t="shared" si="1"/>
        <v>1730.6666666666667</v>
      </c>
      <c r="AK19" s="7">
        <f t="shared" si="1"/>
        <v>1730.6666666666667</v>
      </c>
      <c r="AL19" s="7">
        <f t="shared" si="1"/>
        <v>1730.6666666666667</v>
      </c>
      <c r="AM19" s="7">
        <f t="shared" si="1"/>
        <v>1730.6666666666667</v>
      </c>
      <c r="AN19" s="7">
        <f t="shared" si="1"/>
        <v>1730.6666666666667</v>
      </c>
      <c r="AO19" s="16"/>
      <c r="AP19" s="7"/>
      <c r="AQ19" s="9">
        <v>3</v>
      </c>
      <c r="AR19" s="9">
        <f t="shared" si="33"/>
        <v>68</v>
      </c>
      <c r="AS19" s="7">
        <f t="shared" si="34"/>
        <v>41</v>
      </c>
      <c r="AT19" s="7"/>
      <c r="AU19" s="16"/>
      <c r="AV19" s="7"/>
      <c r="AW19" s="7"/>
      <c r="AX19" s="7"/>
      <c r="AZ19" s="7"/>
      <c r="BA19" s="9">
        <f t="shared" si="39"/>
        <v>4338.4615384615372</v>
      </c>
      <c r="BC19" s="5">
        <f t="shared" si="35"/>
        <v>68</v>
      </c>
      <c r="BD19" s="5"/>
      <c r="BE19" s="21"/>
      <c r="BF19" s="21"/>
      <c r="BG19" s="5"/>
      <c r="BH19" s="5"/>
      <c r="BI19" s="5"/>
      <c r="BJ19" s="5"/>
      <c r="BK19" s="5"/>
      <c r="BL19" s="5"/>
      <c r="BM19" s="5"/>
      <c r="BN19" s="5"/>
      <c r="BO19" s="5"/>
      <c r="BP19" s="18"/>
      <c r="BQ19" s="18"/>
      <c r="BR19" s="18">
        <v>3201034</v>
      </c>
      <c r="BS19" s="18">
        <f>[1]monsters!$N19</f>
        <v>120.96</v>
      </c>
      <c r="BT19" s="18">
        <f>[1]monsters!$O19</f>
        <v>12.1</v>
      </c>
      <c r="BU19" s="18">
        <f>[1]monsters!$P19</f>
        <v>1493.33</v>
      </c>
      <c r="BV19" s="18">
        <f>[1]monsters!$Q19</f>
        <v>149.33000000000001</v>
      </c>
      <c r="BW19" s="18">
        <f>[1]monsters!$R19</f>
        <v>24.19</v>
      </c>
      <c r="BX19" s="18">
        <f>[1]monsters!$S19</f>
        <v>2.42</v>
      </c>
      <c r="BY19" s="18">
        <f>[1]monsters!$K19</f>
        <v>1.8</v>
      </c>
      <c r="BZ19" s="5">
        <f>[1]monsters!$D19</f>
        <v>2</v>
      </c>
      <c r="CA19" s="5">
        <f t="shared" si="36"/>
        <v>0.1</v>
      </c>
      <c r="CB19" s="5">
        <f t="shared" si="37"/>
        <v>164.58767138047136</v>
      </c>
      <c r="CC19" s="5">
        <f t="shared" si="38"/>
        <v>16.458767138047136</v>
      </c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>
        <v>0</v>
      </c>
      <c r="CR19" s="3" t="b">
        <f t="shared" si="2"/>
        <v>1</v>
      </c>
      <c r="CS19" s="3" t="b">
        <f t="shared" si="3"/>
        <v>1</v>
      </c>
      <c r="CT19" s="3" t="b">
        <f t="shared" si="4"/>
        <v>1</v>
      </c>
      <c r="CU19" s="3" t="b">
        <f t="shared" si="5"/>
        <v>1</v>
      </c>
      <c r="CV19" s="3" t="b">
        <f t="shared" si="6"/>
        <v>1</v>
      </c>
      <c r="CW19" s="3" t="b">
        <f t="shared" si="7"/>
        <v>1</v>
      </c>
      <c r="CX19" s="9" t="str">
        <f t="shared" si="8"/>
        <v>3202031</v>
      </c>
      <c r="CY19" s="9" t="str">
        <f t="shared" si="9"/>
        <v>3201032</v>
      </c>
      <c r="CZ19" s="9" t="str">
        <f t="shared" si="10"/>
        <v>3200033</v>
      </c>
      <c r="DA19" s="9" t="str">
        <f t="shared" si="11"/>
        <v>3402033</v>
      </c>
      <c r="DB19" s="9" t="str">
        <f t="shared" si="12"/>
        <v>3300032</v>
      </c>
      <c r="DC19" s="9" t="str">
        <f t="shared" si="13"/>
        <v>3400032</v>
      </c>
      <c r="DD19" s="9">
        <v>3</v>
      </c>
      <c r="DE19" s="9">
        <v>3</v>
      </c>
      <c r="DF19" s="9">
        <v>3</v>
      </c>
      <c r="DG19" s="9">
        <v>3</v>
      </c>
      <c r="DH19" s="9">
        <v>3</v>
      </c>
      <c r="DI19" s="9">
        <v>3</v>
      </c>
      <c r="DJ19" s="9">
        <v>3</v>
      </c>
      <c r="DK19" s="9">
        <v>3</v>
      </c>
      <c r="DL19" s="9">
        <v>3</v>
      </c>
      <c r="DM19" s="9">
        <v>3</v>
      </c>
      <c r="DN19" s="9">
        <v>3</v>
      </c>
      <c r="DO19" s="9">
        <v>3</v>
      </c>
      <c r="DP19" s="26" t="s">
        <v>111</v>
      </c>
      <c r="DQ19" s="26" t="s">
        <v>114</v>
      </c>
      <c r="DR19" s="26" t="s">
        <v>113</v>
      </c>
      <c r="DS19" s="26" t="s">
        <v>118</v>
      </c>
      <c r="DT19" s="26" t="s">
        <v>115</v>
      </c>
      <c r="DU19" s="26" t="s">
        <v>110</v>
      </c>
      <c r="DV19" s="26">
        <f t="shared" si="14"/>
        <v>1</v>
      </c>
      <c r="DW19" s="26">
        <f t="shared" si="15"/>
        <v>1</v>
      </c>
      <c r="DX19" s="26">
        <f t="shared" si="16"/>
        <v>1</v>
      </c>
      <c r="DY19" s="26">
        <f t="shared" si="17"/>
        <v>2</v>
      </c>
      <c r="DZ19" s="26">
        <f t="shared" si="18"/>
        <v>2</v>
      </c>
      <c r="EA19" s="3">
        <f t="shared" si="19"/>
        <v>2</v>
      </c>
      <c r="EB19" s="29"/>
      <c r="EC19" s="5">
        <v>3202041</v>
      </c>
      <c r="ED19" s="30" t="s">
        <v>111</v>
      </c>
      <c r="EE19" s="8">
        <v>1</v>
      </c>
      <c r="EF19" s="9">
        <v>303250001</v>
      </c>
      <c r="EG19" s="3" t="str">
        <f t="shared" si="20"/>
        <v>对随机1名敌人造成373%攻击伤害。</v>
      </c>
      <c r="EQ19" s="9">
        <v>505250001</v>
      </c>
      <c r="ER19" s="9" t="s">
        <v>138</v>
      </c>
    </row>
    <row r="20" spans="1:148" ht="15.95" customHeight="1">
      <c r="A20" s="9">
        <v>17</v>
      </c>
      <c r="B20" s="9">
        <v>1</v>
      </c>
      <c r="C20" s="9">
        <v>2001</v>
      </c>
      <c r="D20" s="9">
        <f t="shared" si="40"/>
        <v>11767</v>
      </c>
      <c r="E20" s="9" t="str">
        <f t="shared" si="22"/>
        <v>3302033,3202031,3301031,3500032,3300032,3300032</v>
      </c>
      <c r="F20" s="9" t="str">
        <f t="shared" si="23"/>
        <v>3,3,3,3,3,3</v>
      </c>
      <c r="G20" s="9" t="str">
        <f t="shared" si="24"/>
        <v>73,73,73,73,73,73</v>
      </c>
      <c r="H20" s="9">
        <v>28</v>
      </c>
      <c r="I20" s="9" t="s">
        <v>278</v>
      </c>
      <c r="J20" s="9" t="s">
        <v>279</v>
      </c>
      <c r="K20" s="9" t="s">
        <v>279</v>
      </c>
      <c r="L20" s="9" t="s">
        <v>279</v>
      </c>
      <c r="M20" s="9" t="s">
        <v>281</v>
      </c>
      <c r="O20" s="3">
        <f t="shared" si="25"/>
        <v>11767</v>
      </c>
      <c r="P20" s="9">
        <v>10697.6</v>
      </c>
      <c r="Q20" s="9">
        <v>3302033</v>
      </c>
      <c r="R20" s="9">
        <v>3202031</v>
      </c>
      <c r="S20" s="9">
        <v>3301031</v>
      </c>
      <c r="T20" s="9">
        <v>3500032</v>
      </c>
      <c r="U20" s="9">
        <v>3300032</v>
      </c>
      <c r="V20" s="9">
        <v>3300032</v>
      </c>
      <c r="W20" s="9">
        <v>3</v>
      </c>
      <c r="X20" s="9">
        <v>3</v>
      </c>
      <c r="Y20" s="9">
        <v>3</v>
      </c>
      <c r="Z20" s="9">
        <v>3</v>
      </c>
      <c r="AA20" s="9">
        <v>3</v>
      </c>
      <c r="AB20" s="9">
        <v>3</v>
      </c>
      <c r="AC20" s="9">
        <f t="shared" si="26"/>
        <v>73</v>
      </c>
      <c r="AD20" s="9">
        <f t="shared" si="27"/>
        <v>73</v>
      </c>
      <c r="AE20" s="9">
        <f t="shared" si="28"/>
        <v>73</v>
      </c>
      <c r="AF20" s="9">
        <f t="shared" si="29"/>
        <v>73</v>
      </c>
      <c r="AG20" s="9">
        <f t="shared" si="30"/>
        <v>73</v>
      </c>
      <c r="AH20" s="9">
        <f t="shared" si="31"/>
        <v>73</v>
      </c>
      <c r="AI20" s="7">
        <f t="shared" si="32"/>
        <v>1782.9333333333334</v>
      </c>
      <c r="AJ20" s="7">
        <f t="shared" si="32"/>
        <v>1782.9333333333334</v>
      </c>
      <c r="AK20" s="7">
        <f t="shared" si="32"/>
        <v>1782.9333333333334</v>
      </c>
      <c r="AL20" s="7">
        <f t="shared" si="32"/>
        <v>1782.9333333333334</v>
      </c>
      <c r="AM20" s="7">
        <f t="shared" si="32"/>
        <v>1782.9333333333334</v>
      </c>
      <c r="AN20" s="7">
        <f t="shared" si="32"/>
        <v>1782.9333333333334</v>
      </c>
      <c r="AO20" s="16"/>
      <c r="AP20" s="7"/>
      <c r="AQ20" s="9">
        <v>3</v>
      </c>
      <c r="AR20" s="9">
        <f t="shared" si="33"/>
        <v>69</v>
      </c>
      <c r="AS20" s="7">
        <f t="shared" si="34"/>
        <v>42</v>
      </c>
      <c r="AT20" s="7"/>
      <c r="AU20" s="16"/>
      <c r="AV20" s="7"/>
      <c r="AW20" s="7"/>
      <c r="AX20" s="7"/>
      <c r="AZ20" s="7"/>
      <c r="BA20" s="9">
        <f t="shared" si="39"/>
        <v>4427.6923076923067</v>
      </c>
      <c r="BC20" s="5">
        <f t="shared" si="35"/>
        <v>69</v>
      </c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18"/>
      <c r="BQ20" s="18"/>
      <c r="BR20" s="18">
        <v>3301034</v>
      </c>
      <c r="BS20" s="18">
        <f>[1]monsters!$N20</f>
        <v>80.64</v>
      </c>
      <c r="BT20" s="18">
        <f>[1]monsters!$O20</f>
        <v>8.06</v>
      </c>
      <c r="BU20" s="18">
        <f>[1]monsters!$P20</f>
        <v>1493.33</v>
      </c>
      <c r="BV20" s="18">
        <f>[1]monsters!$Q20</f>
        <v>149.33000000000001</v>
      </c>
      <c r="BW20" s="18">
        <f>[1]monsters!$R20</f>
        <v>16.13</v>
      </c>
      <c r="BX20" s="18">
        <f>[1]monsters!$S20</f>
        <v>1.61</v>
      </c>
      <c r="BY20" s="18">
        <f>[1]monsters!$K20</f>
        <v>1.2</v>
      </c>
      <c r="BZ20" s="5">
        <f>[1]monsters!$D20</f>
        <v>3</v>
      </c>
      <c r="CA20" s="5">
        <f t="shared" si="36"/>
        <v>0.1</v>
      </c>
      <c r="CB20" s="5">
        <f t="shared" si="37"/>
        <v>126.48527138047137</v>
      </c>
      <c r="CC20" s="5">
        <f t="shared" si="38"/>
        <v>12.648527138047138</v>
      </c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>
        <v>0</v>
      </c>
      <c r="CR20" s="3" t="b">
        <f t="shared" si="2"/>
        <v>1</v>
      </c>
      <c r="CS20" s="3" t="b">
        <f t="shared" si="3"/>
        <v>1</v>
      </c>
      <c r="CT20" s="3" t="b">
        <f t="shared" si="4"/>
        <v>1</v>
      </c>
      <c r="CU20" s="3" t="b">
        <f t="shared" si="5"/>
        <v>1</v>
      </c>
      <c r="CV20" s="3" t="b">
        <f t="shared" si="6"/>
        <v>1</v>
      </c>
      <c r="CW20" s="3" t="b">
        <f t="shared" si="7"/>
        <v>1</v>
      </c>
      <c r="CX20" s="9" t="str">
        <f t="shared" si="8"/>
        <v>3302033</v>
      </c>
      <c r="CY20" s="9" t="str">
        <f t="shared" si="9"/>
        <v>3202031</v>
      </c>
      <c r="CZ20" s="9" t="str">
        <f t="shared" si="10"/>
        <v>3301031</v>
      </c>
      <c r="DA20" s="9" t="str">
        <f t="shared" si="11"/>
        <v>3500032</v>
      </c>
      <c r="DB20" s="9" t="str">
        <f t="shared" si="12"/>
        <v>3300032</v>
      </c>
      <c r="DC20" s="9" t="str">
        <f t="shared" si="13"/>
        <v>3300032</v>
      </c>
      <c r="DD20" s="9">
        <v>3</v>
      </c>
      <c r="DE20" s="9">
        <v>3</v>
      </c>
      <c r="DF20" s="9">
        <v>3</v>
      </c>
      <c r="DG20" s="9">
        <v>3</v>
      </c>
      <c r="DH20" s="9">
        <v>3</v>
      </c>
      <c r="DI20" s="9">
        <v>3</v>
      </c>
      <c r="DJ20" s="9">
        <v>3</v>
      </c>
      <c r="DK20" s="9">
        <v>3</v>
      </c>
      <c r="DL20" s="9">
        <v>3</v>
      </c>
      <c r="DM20" s="9">
        <v>3</v>
      </c>
      <c r="DN20" s="9">
        <v>3</v>
      </c>
      <c r="DO20" s="9">
        <v>3</v>
      </c>
      <c r="DP20" s="25" t="s">
        <v>108</v>
      </c>
      <c r="DQ20" s="25" t="s">
        <v>111</v>
      </c>
      <c r="DR20" s="26" t="s">
        <v>107</v>
      </c>
      <c r="DS20" s="26" t="s">
        <v>109</v>
      </c>
      <c r="DT20" s="25" t="s">
        <v>115</v>
      </c>
      <c r="DU20" s="25" t="s">
        <v>115</v>
      </c>
      <c r="DV20" s="25">
        <f t="shared" si="14"/>
        <v>1</v>
      </c>
      <c r="DW20" s="25">
        <f t="shared" si="15"/>
        <v>1</v>
      </c>
      <c r="DX20" s="25">
        <f t="shared" si="16"/>
        <v>1</v>
      </c>
      <c r="DY20" s="25">
        <f t="shared" si="17"/>
        <v>2</v>
      </c>
      <c r="DZ20" s="25">
        <f t="shared" si="18"/>
        <v>2</v>
      </c>
      <c r="EA20" s="3">
        <f t="shared" si="19"/>
        <v>2</v>
      </c>
      <c r="EB20" s="30"/>
      <c r="EC20" s="5">
        <v>3301041</v>
      </c>
      <c r="ED20" s="30" t="s">
        <v>107</v>
      </c>
      <c r="EE20" s="8">
        <v>1</v>
      </c>
      <c r="EF20" s="9">
        <v>303250201</v>
      </c>
      <c r="EG20" s="3" t="str">
        <f t="shared" si="20"/>
        <v>对血最少的1名敌人造成431%攻击伤害。</v>
      </c>
      <c r="EQ20" s="9">
        <v>505250201</v>
      </c>
      <c r="ER20" s="9" t="s">
        <v>139</v>
      </c>
    </row>
    <row r="21" spans="1:148" ht="15.95" customHeight="1">
      <c r="A21" s="9">
        <v>18</v>
      </c>
      <c r="B21" s="9">
        <v>1</v>
      </c>
      <c r="C21" s="9">
        <v>2001</v>
      </c>
      <c r="D21" s="9">
        <f t="shared" si="40"/>
        <v>12875</v>
      </c>
      <c r="E21" s="9" t="str">
        <f t="shared" si="22"/>
        <v>3202031,3202031,3202031,3501033,3500032,3501033</v>
      </c>
      <c r="F21" s="9" t="str">
        <f t="shared" si="23"/>
        <v>3,3,3,3,3,3</v>
      </c>
      <c r="G21" s="9" t="str">
        <f t="shared" si="24"/>
        <v>77,77,77,77,77,77</v>
      </c>
      <c r="H21" s="9">
        <v>28</v>
      </c>
      <c r="I21" s="9" t="s">
        <v>278</v>
      </c>
      <c r="J21" s="9" t="s">
        <v>279</v>
      </c>
      <c r="K21" s="9" t="s">
        <v>279</v>
      </c>
      <c r="L21" s="9" t="s">
        <v>279</v>
      </c>
      <c r="M21" s="9" t="s">
        <v>281</v>
      </c>
      <c r="O21" s="3">
        <f t="shared" si="25"/>
        <v>12875</v>
      </c>
      <c r="P21" s="9">
        <v>11704.5</v>
      </c>
      <c r="Q21" s="9">
        <v>3202031</v>
      </c>
      <c r="R21" s="9">
        <v>3202031</v>
      </c>
      <c r="S21" s="9">
        <v>3202031</v>
      </c>
      <c r="T21" s="9">
        <v>3501033</v>
      </c>
      <c r="U21" s="9">
        <v>3500032</v>
      </c>
      <c r="V21" s="9">
        <v>3501033</v>
      </c>
      <c r="W21" s="9">
        <v>3</v>
      </c>
      <c r="X21" s="9">
        <v>3</v>
      </c>
      <c r="Y21" s="9">
        <v>3</v>
      </c>
      <c r="Z21" s="9">
        <v>3</v>
      </c>
      <c r="AA21" s="9">
        <v>3</v>
      </c>
      <c r="AB21" s="9">
        <v>3</v>
      </c>
      <c r="AC21" s="9">
        <f t="shared" si="26"/>
        <v>77</v>
      </c>
      <c r="AD21" s="9">
        <f t="shared" si="27"/>
        <v>77</v>
      </c>
      <c r="AE21" s="9">
        <f t="shared" si="28"/>
        <v>77</v>
      </c>
      <c r="AF21" s="9">
        <f t="shared" si="29"/>
        <v>77</v>
      </c>
      <c r="AG21" s="9">
        <f t="shared" si="30"/>
        <v>77</v>
      </c>
      <c r="AH21" s="9">
        <f t="shared" si="31"/>
        <v>77</v>
      </c>
      <c r="AI21" s="7">
        <f t="shared" si="32"/>
        <v>1950.75</v>
      </c>
      <c r="AJ21" s="7">
        <f t="shared" si="32"/>
        <v>1950.75</v>
      </c>
      <c r="AK21" s="7">
        <f t="shared" si="32"/>
        <v>1950.75</v>
      </c>
      <c r="AL21" s="7">
        <f t="shared" si="32"/>
        <v>1950.75</v>
      </c>
      <c r="AM21" s="7">
        <f t="shared" si="32"/>
        <v>1950.75</v>
      </c>
      <c r="AN21" s="7">
        <f t="shared" si="32"/>
        <v>1950.75</v>
      </c>
      <c r="AO21" s="16"/>
      <c r="AP21" s="7"/>
      <c r="AQ21" s="9">
        <v>3</v>
      </c>
      <c r="AR21" s="9">
        <f t="shared" si="33"/>
        <v>73</v>
      </c>
      <c r="AS21" s="7">
        <f t="shared" si="34"/>
        <v>43</v>
      </c>
      <c r="AT21" s="7"/>
      <c r="AU21" s="16"/>
      <c r="AV21" s="7"/>
      <c r="AW21" s="7"/>
      <c r="AX21" s="7"/>
      <c r="AZ21" s="7"/>
      <c r="BA21" s="9">
        <f t="shared" si="39"/>
        <v>4516.9230769230762</v>
      </c>
      <c r="BC21" s="5">
        <f t="shared" si="35"/>
        <v>73</v>
      </c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18"/>
      <c r="BQ21" s="18"/>
      <c r="BR21" s="18">
        <v>3402034</v>
      </c>
      <c r="BS21" s="18">
        <f>[1]monsters!$N21</f>
        <v>146.35</v>
      </c>
      <c r="BT21" s="18">
        <f>[1]monsters!$O21</f>
        <v>14.63</v>
      </c>
      <c r="BU21" s="18">
        <f>[1]monsters!$P21</f>
        <v>960</v>
      </c>
      <c r="BV21" s="18">
        <f>[1]monsters!$Q21</f>
        <v>96</v>
      </c>
      <c r="BW21" s="18">
        <f>[1]monsters!$R21</f>
        <v>18.29</v>
      </c>
      <c r="BX21" s="18">
        <f>[1]monsters!$S21</f>
        <v>1.83</v>
      </c>
      <c r="BY21" s="18">
        <f>[1]monsters!$K21</f>
        <v>1.4</v>
      </c>
      <c r="BZ21" s="5">
        <f>[1]monsters!$D21</f>
        <v>5</v>
      </c>
      <c r="CA21" s="5">
        <f t="shared" si="36"/>
        <v>0.1</v>
      </c>
      <c r="CB21" s="5">
        <f t="shared" si="37"/>
        <v>170.62398232323233</v>
      </c>
      <c r="CC21" s="5">
        <f t="shared" si="38"/>
        <v>17.062398232323233</v>
      </c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>
        <v>0</v>
      </c>
      <c r="CR21" s="3" t="b">
        <f t="shared" si="2"/>
        <v>1</v>
      </c>
      <c r="CS21" s="3" t="b">
        <f t="shared" si="3"/>
        <v>1</v>
      </c>
      <c r="CT21" s="3" t="b">
        <f t="shared" si="4"/>
        <v>1</v>
      </c>
      <c r="CU21" s="3" t="b">
        <f t="shared" si="5"/>
        <v>1</v>
      </c>
      <c r="CV21" s="3" t="b">
        <f t="shared" si="6"/>
        <v>1</v>
      </c>
      <c r="CW21" s="3" t="b">
        <f t="shared" si="7"/>
        <v>1</v>
      </c>
      <c r="CX21" s="9" t="str">
        <f t="shared" si="8"/>
        <v>3202031</v>
      </c>
      <c r="CY21" s="9" t="str">
        <f t="shared" si="9"/>
        <v>3202031</v>
      </c>
      <c r="CZ21" s="9" t="str">
        <f t="shared" si="10"/>
        <v>3202031</v>
      </c>
      <c r="DA21" s="9" t="str">
        <f t="shared" si="11"/>
        <v>3501033</v>
      </c>
      <c r="DB21" s="9" t="str">
        <f t="shared" si="12"/>
        <v>3500032</v>
      </c>
      <c r="DC21" s="9" t="str">
        <f t="shared" si="13"/>
        <v>3501033</v>
      </c>
      <c r="DD21" s="9">
        <v>3</v>
      </c>
      <c r="DE21" s="9">
        <v>3</v>
      </c>
      <c r="DF21" s="9">
        <v>3</v>
      </c>
      <c r="DG21" s="9">
        <v>3</v>
      </c>
      <c r="DH21" s="9">
        <v>3</v>
      </c>
      <c r="DI21" s="9">
        <v>3</v>
      </c>
      <c r="DJ21" s="9">
        <v>3</v>
      </c>
      <c r="DK21" s="9">
        <v>3</v>
      </c>
      <c r="DL21" s="9">
        <v>3</v>
      </c>
      <c r="DM21" s="9">
        <v>3</v>
      </c>
      <c r="DN21" s="9">
        <v>3</v>
      </c>
      <c r="DO21" s="9">
        <v>3</v>
      </c>
      <c r="DP21" s="25" t="s">
        <v>111</v>
      </c>
      <c r="DQ21" s="25" t="s">
        <v>111</v>
      </c>
      <c r="DR21" s="25" t="s">
        <v>111</v>
      </c>
      <c r="DS21" s="26" t="s">
        <v>121</v>
      </c>
      <c r="DT21" s="26" t="s">
        <v>109</v>
      </c>
      <c r="DU21" s="26" t="s">
        <v>121</v>
      </c>
      <c r="DV21" s="26">
        <f t="shared" si="14"/>
        <v>1</v>
      </c>
      <c r="DW21" s="26">
        <f t="shared" si="15"/>
        <v>1</v>
      </c>
      <c r="DX21" s="26">
        <f t="shared" si="16"/>
        <v>1</v>
      </c>
      <c r="DY21" s="26">
        <f t="shared" si="17"/>
        <v>2</v>
      </c>
      <c r="DZ21" s="26">
        <f t="shared" si="18"/>
        <v>2</v>
      </c>
      <c r="EA21" s="3">
        <f t="shared" si="19"/>
        <v>2</v>
      </c>
      <c r="EB21" s="30"/>
      <c r="EC21" s="5">
        <v>3502041</v>
      </c>
      <c r="ED21" s="31" t="s">
        <v>119</v>
      </c>
      <c r="EE21" s="8">
        <v>2</v>
      </c>
      <c r="EF21" s="9">
        <v>303260101</v>
      </c>
      <c r="EG21" s="3" t="str">
        <f t="shared" si="20"/>
        <v>对距离最远的2名敌人造成206%攻击伤害。</v>
      </c>
      <c r="EQ21" s="9">
        <v>505260101</v>
      </c>
      <c r="ER21" s="9" t="s">
        <v>140</v>
      </c>
    </row>
    <row r="22" spans="1:148" ht="15.95" customHeight="1">
      <c r="A22" s="9">
        <v>19</v>
      </c>
      <c r="B22" s="9">
        <v>1</v>
      </c>
      <c r="C22" s="9">
        <v>2001</v>
      </c>
      <c r="D22" s="9">
        <f t="shared" si="40"/>
        <v>13329</v>
      </c>
      <c r="E22" s="9" t="str">
        <f t="shared" si="22"/>
        <v>3202031,3202031,3202031,3402033,3500032,3500032</v>
      </c>
      <c r="F22" s="9" t="str">
        <f t="shared" si="23"/>
        <v>3,3,3,3,3,3</v>
      </c>
      <c r="G22" s="9" t="str">
        <f t="shared" si="24"/>
        <v>78,78,78,78,78,78</v>
      </c>
      <c r="H22" s="9">
        <v>28</v>
      </c>
      <c r="I22" s="9" t="s">
        <v>278</v>
      </c>
      <c r="J22" s="9" t="s">
        <v>279</v>
      </c>
      <c r="K22" s="9" t="s">
        <v>279</v>
      </c>
      <c r="L22" s="9" t="s">
        <v>279</v>
      </c>
      <c r="M22" s="9" t="s">
        <v>281</v>
      </c>
      <c r="O22" s="3">
        <f t="shared" si="25"/>
        <v>13329</v>
      </c>
      <c r="P22" s="9">
        <v>12117.6</v>
      </c>
      <c r="Q22" s="9">
        <v>3202031</v>
      </c>
      <c r="R22" s="9">
        <v>3202031</v>
      </c>
      <c r="S22" s="9">
        <v>3202031</v>
      </c>
      <c r="T22" s="9">
        <v>3402033</v>
      </c>
      <c r="U22" s="9">
        <v>3500032</v>
      </c>
      <c r="V22" s="9">
        <v>3500032</v>
      </c>
      <c r="W22" s="9">
        <v>3</v>
      </c>
      <c r="X22" s="9">
        <v>3</v>
      </c>
      <c r="Y22" s="9">
        <v>3</v>
      </c>
      <c r="Z22" s="9">
        <v>3</v>
      </c>
      <c r="AA22" s="9">
        <v>3</v>
      </c>
      <c r="AB22" s="9">
        <v>3</v>
      </c>
      <c r="AC22" s="9">
        <f t="shared" si="26"/>
        <v>78</v>
      </c>
      <c r="AD22" s="9">
        <f t="shared" si="27"/>
        <v>78</v>
      </c>
      <c r="AE22" s="9">
        <f t="shared" si="28"/>
        <v>78</v>
      </c>
      <c r="AF22" s="9">
        <f t="shared" si="29"/>
        <v>78</v>
      </c>
      <c r="AG22" s="9">
        <f t="shared" si="30"/>
        <v>78</v>
      </c>
      <c r="AH22" s="9">
        <f t="shared" si="31"/>
        <v>78</v>
      </c>
      <c r="AI22" s="7">
        <f t="shared" si="32"/>
        <v>2019.6000000000001</v>
      </c>
      <c r="AJ22" s="7">
        <f t="shared" si="32"/>
        <v>2019.6000000000001</v>
      </c>
      <c r="AK22" s="7">
        <f t="shared" si="32"/>
        <v>2019.6000000000001</v>
      </c>
      <c r="AL22" s="7">
        <f t="shared" si="32"/>
        <v>2019.6000000000001</v>
      </c>
      <c r="AM22" s="7">
        <f t="shared" si="32"/>
        <v>2019.6000000000001</v>
      </c>
      <c r="AN22" s="7">
        <f t="shared" si="32"/>
        <v>2019.6000000000001</v>
      </c>
      <c r="AO22" s="16"/>
      <c r="AP22" s="7"/>
      <c r="AQ22" s="9">
        <v>3</v>
      </c>
      <c r="AR22" s="9">
        <f t="shared" si="33"/>
        <v>75</v>
      </c>
      <c r="AS22" s="7">
        <f t="shared" si="34"/>
        <v>44</v>
      </c>
      <c r="AT22" s="7"/>
      <c r="AU22" s="16"/>
      <c r="AV22" s="7"/>
      <c r="AW22" s="7"/>
      <c r="AX22" s="7"/>
      <c r="AZ22" s="7"/>
      <c r="BA22" s="9">
        <f t="shared" si="39"/>
        <v>4606.1538461538457</v>
      </c>
      <c r="BC22" s="5">
        <f t="shared" si="35"/>
        <v>75</v>
      </c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18"/>
      <c r="BQ22" s="18"/>
      <c r="BR22" s="18">
        <v>3502034</v>
      </c>
      <c r="BS22" s="18">
        <f>[1]monsters!$N22</f>
        <v>107.52</v>
      </c>
      <c r="BT22" s="18">
        <f>[1]monsters!$O22</f>
        <v>10.75</v>
      </c>
      <c r="BU22" s="18">
        <f>[1]monsters!$P22</f>
        <v>1680</v>
      </c>
      <c r="BV22" s="18">
        <f>[1]monsters!$Q22</f>
        <v>168</v>
      </c>
      <c r="BW22" s="18">
        <f>[1]monsters!$R22</f>
        <v>35.840000000000003</v>
      </c>
      <c r="BX22" s="18">
        <f>[1]monsters!$S22</f>
        <v>3.58</v>
      </c>
      <c r="BY22" s="18">
        <f>[1]monsters!$K22</f>
        <v>1.8</v>
      </c>
      <c r="BZ22" s="5">
        <f>[1]monsters!$D22</f>
        <v>2</v>
      </c>
      <c r="CA22" s="5">
        <f t="shared" si="36"/>
        <v>0.1</v>
      </c>
      <c r="CB22" s="5">
        <f t="shared" si="37"/>
        <v>158.17205656565656</v>
      </c>
      <c r="CC22" s="5">
        <f t="shared" si="38"/>
        <v>15.817205656565656</v>
      </c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>
        <v>0</v>
      </c>
      <c r="CR22" s="3" t="b">
        <f t="shared" si="2"/>
        <v>1</v>
      </c>
      <c r="CS22" s="3" t="b">
        <f t="shared" si="3"/>
        <v>1</v>
      </c>
      <c r="CT22" s="3" t="b">
        <f t="shared" si="4"/>
        <v>1</v>
      </c>
      <c r="CU22" s="3" t="b">
        <f t="shared" si="5"/>
        <v>1</v>
      </c>
      <c r="CV22" s="3" t="b">
        <f t="shared" si="6"/>
        <v>1</v>
      </c>
      <c r="CW22" s="3" t="b">
        <f t="shared" si="7"/>
        <v>1</v>
      </c>
      <c r="CX22" s="9" t="str">
        <f t="shared" si="8"/>
        <v>3202031</v>
      </c>
      <c r="CY22" s="9" t="str">
        <f t="shared" si="9"/>
        <v>3202031</v>
      </c>
      <c r="CZ22" s="9" t="str">
        <f t="shared" si="10"/>
        <v>3202031</v>
      </c>
      <c r="DA22" s="9" t="str">
        <f t="shared" si="11"/>
        <v>3402033</v>
      </c>
      <c r="DB22" s="9" t="str">
        <f t="shared" si="12"/>
        <v>3500032</v>
      </c>
      <c r="DC22" s="9" t="str">
        <f t="shared" si="13"/>
        <v>3500032</v>
      </c>
      <c r="DD22" s="9">
        <v>3</v>
      </c>
      <c r="DE22" s="9">
        <v>3</v>
      </c>
      <c r="DF22" s="9">
        <v>3</v>
      </c>
      <c r="DG22" s="9">
        <v>3</v>
      </c>
      <c r="DH22" s="9">
        <v>3</v>
      </c>
      <c r="DI22" s="9">
        <v>3</v>
      </c>
      <c r="DJ22" s="9">
        <v>3</v>
      </c>
      <c r="DK22" s="9">
        <v>3</v>
      </c>
      <c r="DL22" s="9">
        <v>3</v>
      </c>
      <c r="DM22" s="9">
        <v>3</v>
      </c>
      <c r="DN22" s="9">
        <v>3</v>
      </c>
      <c r="DO22" s="9">
        <v>3</v>
      </c>
      <c r="DP22" s="25" t="s">
        <v>111</v>
      </c>
      <c r="DQ22" s="27" t="s">
        <v>111</v>
      </c>
      <c r="DR22" s="25" t="s">
        <v>111</v>
      </c>
      <c r="DS22" s="25" t="s">
        <v>118</v>
      </c>
      <c r="DT22" s="26" t="s">
        <v>109</v>
      </c>
      <c r="DU22" s="26" t="s">
        <v>109</v>
      </c>
      <c r="DV22" s="26">
        <f t="shared" si="14"/>
        <v>1</v>
      </c>
      <c r="DW22" s="26">
        <f t="shared" si="15"/>
        <v>1</v>
      </c>
      <c r="DX22" s="26">
        <f t="shared" si="16"/>
        <v>1</v>
      </c>
      <c r="DY22" s="26">
        <f t="shared" si="17"/>
        <v>2</v>
      </c>
      <c r="DZ22" s="26">
        <f t="shared" si="18"/>
        <v>2</v>
      </c>
      <c r="EA22" s="3">
        <f t="shared" si="19"/>
        <v>2</v>
      </c>
      <c r="EB22" s="30"/>
      <c r="EC22" s="5">
        <v>3201042</v>
      </c>
      <c r="ED22" s="31" t="s">
        <v>114</v>
      </c>
      <c r="EE22" s="8">
        <v>1</v>
      </c>
      <c r="EF22" s="9">
        <v>303320001</v>
      </c>
      <c r="EG22" s="3" t="str">
        <f t="shared" si="20"/>
        <v>对随机2名敌人造成166%攻击伤害。</v>
      </c>
      <c r="EQ22" s="9">
        <v>505320001</v>
      </c>
      <c r="ER22" s="9" t="s">
        <v>141</v>
      </c>
    </row>
    <row r="23" spans="1:148" ht="15.95" customHeight="1">
      <c r="A23" s="9">
        <v>20</v>
      </c>
      <c r="B23" s="9">
        <v>1</v>
      </c>
      <c r="C23" s="9">
        <v>2001</v>
      </c>
      <c r="D23" s="9">
        <f t="shared" si="40"/>
        <v>17572</v>
      </c>
      <c r="E23" s="9" t="str">
        <f t="shared" si="22"/>
        <v>3201032,3201032,3201032,3402033,3402033,3402033</v>
      </c>
      <c r="F23" s="9" t="str">
        <f t="shared" si="23"/>
        <v>3,3,3,3,3,3</v>
      </c>
      <c r="G23" s="9" t="str">
        <f t="shared" si="24"/>
        <v>92,92,92,92,92,92</v>
      </c>
      <c r="H23" s="9">
        <v>30</v>
      </c>
      <c r="I23" s="9" t="s">
        <v>278</v>
      </c>
      <c r="J23" s="9" t="s">
        <v>279</v>
      </c>
      <c r="K23" s="9" t="s">
        <v>279</v>
      </c>
      <c r="L23" s="9" t="s">
        <v>279</v>
      </c>
      <c r="M23" s="9" t="s">
        <v>281</v>
      </c>
      <c r="O23" s="3">
        <f t="shared" si="25"/>
        <v>17572</v>
      </c>
      <c r="P23" s="9">
        <v>15974.9</v>
      </c>
      <c r="Q23" s="9">
        <v>3201032</v>
      </c>
      <c r="R23" s="9">
        <v>3201032</v>
      </c>
      <c r="S23" s="9">
        <v>3201032</v>
      </c>
      <c r="T23" s="9">
        <v>3402033</v>
      </c>
      <c r="U23" s="9">
        <v>3402033</v>
      </c>
      <c r="V23" s="9">
        <v>3402033</v>
      </c>
      <c r="W23" s="9">
        <v>3</v>
      </c>
      <c r="X23" s="9">
        <v>3</v>
      </c>
      <c r="Y23" s="9">
        <v>3</v>
      </c>
      <c r="Z23" s="9">
        <v>3</v>
      </c>
      <c r="AA23" s="9">
        <v>3</v>
      </c>
      <c r="AB23" s="9">
        <v>3</v>
      </c>
      <c r="AC23" s="9">
        <f t="shared" si="26"/>
        <v>92</v>
      </c>
      <c r="AD23" s="9">
        <f t="shared" si="27"/>
        <v>92</v>
      </c>
      <c r="AE23" s="9">
        <f t="shared" si="28"/>
        <v>92</v>
      </c>
      <c r="AF23" s="9">
        <f t="shared" si="29"/>
        <v>92</v>
      </c>
      <c r="AG23" s="9">
        <f t="shared" si="30"/>
        <v>92</v>
      </c>
      <c r="AH23" s="9">
        <f t="shared" si="31"/>
        <v>92</v>
      </c>
      <c r="AI23" s="7">
        <f t="shared" si="32"/>
        <v>2662.4833333333331</v>
      </c>
      <c r="AJ23" s="7">
        <f t="shared" si="32"/>
        <v>2662.4833333333331</v>
      </c>
      <c r="AK23" s="7">
        <f t="shared" si="32"/>
        <v>2662.4833333333331</v>
      </c>
      <c r="AL23" s="7">
        <f t="shared" si="32"/>
        <v>2662.4833333333331</v>
      </c>
      <c r="AM23" s="7">
        <f t="shared" si="32"/>
        <v>2662.4833333333331</v>
      </c>
      <c r="AN23" s="7">
        <f t="shared" si="32"/>
        <v>2662.4833333333331</v>
      </c>
      <c r="AO23" s="16"/>
      <c r="AP23" s="7"/>
      <c r="AQ23" s="9">
        <v>3</v>
      </c>
      <c r="AR23" s="9">
        <f t="shared" si="33"/>
        <v>87</v>
      </c>
      <c r="AS23" s="7">
        <f t="shared" si="34"/>
        <v>45</v>
      </c>
      <c r="AT23" s="7"/>
      <c r="AU23" s="16"/>
      <c r="AV23" s="7"/>
      <c r="AW23" s="7"/>
      <c r="AX23" s="7"/>
      <c r="AZ23" s="7"/>
      <c r="BA23" s="9">
        <f t="shared" si="39"/>
        <v>4695.3846153846152</v>
      </c>
      <c r="BC23" s="5">
        <f t="shared" si="35"/>
        <v>87</v>
      </c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18"/>
      <c r="BQ23" s="18"/>
      <c r="BR23" s="18">
        <v>3601034</v>
      </c>
      <c r="BS23" s="18">
        <f>[1]monsters!$N23</f>
        <v>156.80000000000001</v>
      </c>
      <c r="BT23" s="18">
        <f>[1]monsters!$O23</f>
        <v>15.68</v>
      </c>
      <c r="BU23" s="18">
        <f>[1]monsters!$P23</f>
        <v>960</v>
      </c>
      <c r="BV23" s="18">
        <f>[1]monsters!$Q23</f>
        <v>96</v>
      </c>
      <c r="BW23" s="18">
        <f>[1]monsters!$R23</f>
        <v>19.600000000000001</v>
      </c>
      <c r="BX23" s="18">
        <f>[1]monsters!$S23</f>
        <v>1.96</v>
      </c>
      <c r="BY23" s="18">
        <f>[1]monsters!$K23</f>
        <v>1.5</v>
      </c>
      <c r="BZ23" s="5">
        <f>[1]monsters!$D23</f>
        <v>5</v>
      </c>
      <c r="CA23" s="5">
        <f t="shared" si="36"/>
        <v>0.1</v>
      </c>
      <c r="CB23" s="5">
        <f t="shared" si="37"/>
        <v>180.49923232323232</v>
      </c>
      <c r="CC23" s="5">
        <f t="shared" si="38"/>
        <v>18.049923232323234</v>
      </c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>
        <v>1</v>
      </c>
      <c r="CR23" s="3" t="b">
        <f t="shared" si="2"/>
        <v>1</v>
      </c>
      <c r="CS23" s="3" t="b">
        <f t="shared" si="3"/>
        <v>1</v>
      </c>
      <c r="CT23" s="3" t="b">
        <f t="shared" si="4"/>
        <v>1</v>
      </c>
      <c r="CU23" s="3" t="b">
        <f t="shared" si="5"/>
        <v>1</v>
      </c>
      <c r="CV23" s="3" t="b">
        <f t="shared" si="6"/>
        <v>1</v>
      </c>
      <c r="CW23" s="3" t="b">
        <f t="shared" si="7"/>
        <v>1</v>
      </c>
      <c r="CX23" s="9" t="str">
        <f t="shared" si="8"/>
        <v>3201032</v>
      </c>
      <c r="CY23" s="9" t="str">
        <f t="shared" si="9"/>
        <v>3201032</v>
      </c>
      <c r="CZ23" s="9" t="str">
        <f t="shared" si="10"/>
        <v>3201032</v>
      </c>
      <c r="DA23" s="9" t="str">
        <f t="shared" si="11"/>
        <v>3402033</v>
      </c>
      <c r="DB23" s="9" t="str">
        <f t="shared" si="12"/>
        <v>3402033</v>
      </c>
      <c r="DC23" s="9" t="str">
        <f t="shared" si="13"/>
        <v>3402033</v>
      </c>
      <c r="DD23" s="9">
        <v>3</v>
      </c>
      <c r="DE23" s="9">
        <v>3</v>
      </c>
      <c r="DF23" s="9">
        <v>3</v>
      </c>
      <c r="DG23" s="9">
        <v>3</v>
      </c>
      <c r="DH23" s="9">
        <v>3</v>
      </c>
      <c r="DI23" s="9">
        <v>3</v>
      </c>
      <c r="DJ23" s="9">
        <v>3</v>
      </c>
      <c r="DK23" s="9">
        <v>3</v>
      </c>
      <c r="DL23" s="9">
        <v>3</v>
      </c>
      <c r="DM23" s="9">
        <v>3</v>
      </c>
      <c r="DN23" s="9">
        <v>3</v>
      </c>
      <c r="DO23" s="9">
        <v>3</v>
      </c>
      <c r="DP23" s="25" t="s">
        <v>114</v>
      </c>
      <c r="DQ23" s="25" t="s">
        <v>114</v>
      </c>
      <c r="DR23" s="25" t="s">
        <v>114</v>
      </c>
      <c r="DS23" s="26" t="s">
        <v>118</v>
      </c>
      <c r="DT23" s="26" t="s">
        <v>118</v>
      </c>
      <c r="DU23" s="26" t="s">
        <v>118</v>
      </c>
      <c r="DV23" s="26">
        <f t="shared" si="14"/>
        <v>1</v>
      </c>
      <c r="DW23" s="26">
        <f t="shared" si="15"/>
        <v>1</v>
      </c>
      <c r="DX23" s="26">
        <f t="shared" si="16"/>
        <v>1</v>
      </c>
      <c r="DY23" s="26">
        <f t="shared" si="17"/>
        <v>2</v>
      </c>
      <c r="DZ23" s="26">
        <f t="shared" si="18"/>
        <v>2</v>
      </c>
      <c r="EA23" s="3">
        <f t="shared" si="19"/>
        <v>2</v>
      </c>
      <c r="EB23" s="29"/>
      <c r="EC23" s="5">
        <v>3500042</v>
      </c>
      <c r="ED23" s="31" t="s">
        <v>109</v>
      </c>
      <c r="EE23" s="8">
        <v>2</v>
      </c>
      <c r="EF23" s="9">
        <v>303320101</v>
      </c>
      <c r="EG23" s="3" t="str">
        <f t="shared" si="20"/>
        <v>对随机1名敌人造成335%攻击伤害，并嘲讽目标，使对方强制攻击自己。</v>
      </c>
      <c r="EQ23" s="9">
        <v>505320101</v>
      </c>
      <c r="ER23" s="9" t="s">
        <v>142</v>
      </c>
    </row>
    <row r="24" spans="1:148" ht="13.5" customHeight="1">
      <c r="A24" s="9">
        <v>21</v>
      </c>
      <c r="B24" s="9">
        <v>1</v>
      </c>
      <c r="C24" s="9">
        <v>2001</v>
      </c>
      <c r="D24" s="9">
        <f t="shared" si="40"/>
        <v>18165</v>
      </c>
      <c r="E24" s="9" t="str">
        <f t="shared" si="22"/>
        <v>3302033,3202031,3200033,3502031,3500032,3502031</v>
      </c>
      <c r="F24" s="9" t="str">
        <f t="shared" si="23"/>
        <v>3,3,3,3,3,3</v>
      </c>
      <c r="G24" s="9" t="str">
        <f t="shared" si="24"/>
        <v>93,93,93,93,93,93</v>
      </c>
      <c r="H24" s="9">
        <v>33</v>
      </c>
      <c r="I24" s="9" t="s">
        <v>278</v>
      </c>
      <c r="J24" s="9" t="s">
        <v>279</v>
      </c>
      <c r="K24" s="9" t="s">
        <v>279</v>
      </c>
      <c r="L24" s="9" t="s">
        <v>279</v>
      </c>
      <c r="M24" s="9" t="s">
        <v>282</v>
      </c>
      <c r="O24" s="3">
        <f t="shared" si="25"/>
        <v>18165</v>
      </c>
      <c r="P24" s="9">
        <v>16513.8</v>
      </c>
      <c r="Q24" s="9">
        <v>3302033</v>
      </c>
      <c r="R24" s="9">
        <v>3202031</v>
      </c>
      <c r="S24" s="9">
        <v>3200033</v>
      </c>
      <c r="T24" s="9">
        <v>3502031</v>
      </c>
      <c r="U24" s="9">
        <v>3500032</v>
      </c>
      <c r="V24" s="9">
        <v>3502031</v>
      </c>
      <c r="W24" s="9">
        <v>3</v>
      </c>
      <c r="X24" s="9">
        <v>3</v>
      </c>
      <c r="Y24" s="9">
        <v>3</v>
      </c>
      <c r="Z24" s="9">
        <v>3</v>
      </c>
      <c r="AA24" s="9">
        <v>3</v>
      </c>
      <c r="AB24" s="9">
        <v>3</v>
      </c>
      <c r="AC24" s="9">
        <f t="shared" si="26"/>
        <v>93</v>
      </c>
      <c r="AD24" s="9">
        <f t="shared" si="27"/>
        <v>93</v>
      </c>
      <c r="AE24" s="9">
        <f t="shared" si="28"/>
        <v>93</v>
      </c>
      <c r="AF24" s="9">
        <f t="shared" si="29"/>
        <v>93</v>
      </c>
      <c r="AG24" s="9">
        <f t="shared" si="30"/>
        <v>93</v>
      </c>
      <c r="AH24" s="9">
        <f t="shared" si="31"/>
        <v>93</v>
      </c>
      <c r="AI24" s="7">
        <f t="shared" si="32"/>
        <v>2752.2999999999997</v>
      </c>
      <c r="AJ24" s="7">
        <f t="shared" si="32"/>
        <v>2752.2999999999997</v>
      </c>
      <c r="AK24" s="7">
        <f t="shared" si="32"/>
        <v>2752.2999999999997</v>
      </c>
      <c r="AL24" s="7">
        <f t="shared" si="32"/>
        <v>2752.2999999999997</v>
      </c>
      <c r="AM24" s="7">
        <f t="shared" si="32"/>
        <v>2752.2999999999997</v>
      </c>
      <c r="AN24" s="7">
        <f t="shared" si="32"/>
        <v>2752.2999999999997</v>
      </c>
      <c r="AO24" s="16"/>
      <c r="AP24" s="7"/>
      <c r="AQ24" s="9">
        <v>4</v>
      </c>
      <c r="AR24" s="9">
        <f t="shared" si="33"/>
        <v>68</v>
      </c>
      <c r="AS24" s="7">
        <f t="shared" si="34"/>
        <v>46</v>
      </c>
      <c r="AT24" s="7"/>
      <c r="AU24" s="16"/>
      <c r="AV24" s="7"/>
      <c r="AW24" s="7"/>
      <c r="AX24" s="7"/>
      <c r="AZ24" s="7"/>
      <c r="BA24" s="9">
        <f t="shared" si="39"/>
        <v>4784.6153846153848</v>
      </c>
      <c r="BC24" s="5">
        <f t="shared" si="35"/>
        <v>89</v>
      </c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18"/>
      <c r="BQ24" s="18"/>
      <c r="BR24" s="18">
        <v>3202035</v>
      </c>
      <c r="BS24" s="18">
        <f>[1]monsters!$N24</f>
        <v>173.6</v>
      </c>
      <c r="BT24" s="18">
        <f>[1]monsters!$O24</f>
        <v>17.36</v>
      </c>
      <c r="BU24" s="18">
        <f>[1]monsters!$P24</f>
        <v>867.1</v>
      </c>
      <c r="BV24" s="18">
        <f>[1]monsters!$Q24</f>
        <v>86.71</v>
      </c>
      <c r="BW24" s="18">
        <f>[1]monsters!$R24</f>
        <v>17.36</v>
      </c>
      <c r="BX24" s="18">
        <f>[1]monsters!$S24</f>
        <v>1.74</v>
      </c>
      <c r="BY24" s="18">
        <f>[1]monsters!$K24</f>
        <v>1.5</v>
      </c>
      <c r="BZ24" s="5">
        <f>[1]monsters!$D24</f>
        <v>6</v>
      </c>
      <c r="CA24" s="5">
        <f t="shared" si="36"/>
        <v>0.1</v>
      </c>
      <c r="CB24" s="5">
        <f t="shared" si="37"/>
        <v>193.24728619528619</v>
      </c>
      <c r="CC24" s="5">
        <f t="shared" si="38"/>
        <v>19.324728619528621</v>
      </c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>
        <v>0</v>
      </c>
      <c r="CR24" s="3" t="b">
        <f t="shared" si="2"/>
        <v>1</v>
      </c>
      <c r="CS24" s="3" t="b">
        <f t="shared" si="3"/>
        <v>1</v>
      </c>
      <c r="CT24" s="3" t="b">
        <f t="shared" si="4"/>
        <v>1</v>
      </c>
      <c r="CU24" s="3" t="b">
        <f t="shared" si="5"/>
        <v>1</v>
      </c>
      <c r="CV24" s="3" t="b">
        <f t="shared" si="6"/>
        <v>1</v>
      </c>
      <c r="CW24" s="3" t="b">
        <f t="shared" si="7"/>
        <v>1</v>
      </c>
      <c r="CX24" s="9" t="str">
        <f t="shared" si="8"/>
        <v>3302033</v>
      </c>
      <c r="CY24" s="9" t="str">
        <f t="shared" si="9"/>
        <v>3202031</v>
      </c>
      <c r="CZ24" s="9" t="str">
        <f t="shared" si="10"/>
        <v>3200033</v>
      </c>
      <c r="DA24" s="9" t="str">
        <f t="shared" si="11"/>
        <v>3502031</v>
      </c>
      <c r="DB24" s="9" t="str">
        <f t="shared" si="12"/>
        <v>3500032</v>
      </c>
      <c r="DC24" s="9" t="str">
        <f t="shared" si="13"/>
        <v>3502031</v>
      </c>
      <c r="DD24" s="9">
        <v>3</v>
      </c>
      <c r="DE24" s="9">
        <v>3</v>
      </c>
      <c r="DF24" s="9">
        <v>3</v>
      </c>
      <c r="DG24" s="9">
        <v>3</v>
      </c>
      <c r="DH24" s="9">
        <v>3</v>
      </c>
      <c r="DI24" s="9">
        <v>3</v>
      </c>
      <c r="DJ24" s="9">
        <v>3</v>
      </c>
      <c r="DK24" s="9">
        <v>3</v>
      </c>
      <c r="DL24" s="9">
        <v>3</v>
      </c>
      <c r="DM24" s="9">
        <v>3</v>
      </c>
      <c r="DN24" s="9">
        <v>3</v>
      </c>
      <c r="DO24" s="9">
        <v>3</v>
      </c>
      <c r="DP24" s="25" t="s">
        <v>108</v>
      </c>
      <c r="DQ24" s="25" t="s">
        <v>111</v>
      </c>
      <c r="DR24" s="25" t="s">
        <v>113</v>
      </c>
      <c r="DS24" s="26" t="s">
        <v>119</v>
      </c>
      <c r="DT24" s="26" t="s">
        <v>109</v>
      </c>
      <c r="DU24" s="26" t="s">
        <v>119</v>
      </c>
      <c r="DV24" s="26">
        <f t="shared" si="14"/>
        <v>1</v>
      </c>
      <c r="DW24" s="26">
        <f t="shared" si="15"/>
        <v>1</v>
      </c>
      <c r="DX24" s="26">
        <f t="shared" si="16"/>
        <v>1</v>
      </c>
      <c r="DY24" s="26">
        <f t="shared" si="17"/>
        <v>2</v>
      </c>
      <c r="DZ24" s="26">
        <f t="shared" si="18"/>
        <v>2</v>
      </c>
      <c r="EA24" s="3">
        <f t="shared" si="19"/>
        <v>2</v>
      </c>
      <c r="EB24" s="29"/>
      <c r="EC24" s="5">
        <v>3601042</v>
      </c>
      <c r="ED24" s="31" t="s">
        <v>124</v>
      </c>
      <c r="EE24" s="8">
        <v>2</v>
      </c>
      <c r="EF24" s="9">
        <v>303320201</v>
      </c>
      <c r="EG24" s="3" t="str">
        <f t="shared" si="20"/>
        <v>对随机2名敌人造成181%攻击伤害。</v>
      </c>
      <c r="EQ24" s="9">
        <v>505320201</v>
      </c>
      <c r="ER24" s="9" t="s">
        <v>144</v>
      </c>
    </row>
    <row r="25" spans="1:148" ht="13.5" customHeight="1">
      <c r="A25" s="9">
        <v>22</v>
      </c>
      <c r="B25" s="9">
        <v>1</v>
      </c>
      <c r="C25" s="9">
        <v>2001</v>
      </c>
      <c r="D25" s="9">
        <f t="shared" si="40"/>
        <v>18678</v>
      </c>
      <c r="E25" s="9" t="str">
        <f t="shared" si="22"/>
        <v>3200033,3200033,3200033,3401031,3401031,3402033</v>
      </c>
      <c r="F25" s="9" t="str">
        <f t="shared" si="23"/>
        <v>3,3,3,3,3,3</v>
      </c>
      <c r="G25" s="9" t="str">
        <f t="shared" si="24"/>
        <v>95,95,95,95,95,95</v>
      </c>
      <c r="H25" s="9">
        <v>33</v>
      </c>
      <c r="I25" s="9" t="s">
        <v>278</v>
      </c>
      <c r="J25" s="9" t="s">
        <v>279</v>
      </c>
      <c r="K25" s="9" t="s">
        <v>279</v>
      </c>
      <c r="L25" s="9" t="s">
        <v>279</v>
      </c>
      <c r="M25" s="9" t="s">
        <v>282</v>
      </c>
      <c r="O25" s="3">
        <f t="shared" si="25"/>
        <v>18678</v>
      </c>
      <c r="P25" s="9">
        <v>16979.599999999999</v>
      </c>
      <c r="Q25" s="9">
        <v>3200033</v>
      </c>
      <c r="R25" s="9">
        <v>3200033</v>
      </c>
      <c r="S25" s="9">
        <v>3200033</v>
      </c>
      <c r="T25" s="9">
        <v>3401031</v>
      </c>
      <c r="U25" s="9">
        <v>3401031</v>
      </c>
      <c r="V25" s="9">
        <v>3402033</v>
      </c>
      <c r="W25" s="9">
        <v>3</v>
      </c>
      <c r="X25" s="9">
        <v>3</v>
      </c>
      <c r="Y25" s="9">
        <v>3</v>
      </c>
      <c r="Z25" s="9">
        <v>3</v>
      </c>
      <c r="AA25" s="9">
        <v>3</v>
      </c>
      <c r="AB25" s="9">
        <v>3</v>
      </c>
      <c r="AC25" s="9">
        <f t="shared" si="26"/>
        <v>95</v>
      </c>
      <c r="AD25" s="9">
        <f t="shared" si="27"/>
        <v>95</v>
      </c>
      <c r="AE25" s="9">
        <f t="shared" si="28"/>
        <v>95</v>
      </c>
      <c r="AF25" s="9">
        <f t="shared" si="29"/>
        <v>95</v>
      </c>
      <c r="AG25" s="9">
        <f t="shared" si="30"/>
        <v>95</v>
      </c>
      <c r="AH25" s="9">
        <f t="shared" si="31"/>
        <v>95</v>
      </c>
      <c r="AI25" s="7">
        <f t="shared" si="32"/>
        <v>2829.9333333333329</v>
      </c>
      <c r="AJ25" s="7">
        <f t="shared" si="32"/>
        <v>2829.9333333333329</v>
      </c>
      <c r="AK25" s="7">
        <f t="shared" si="32"/>
        <v>2829.9333333333329</v>
      </c>
      <c r="AL25" s="7">
        <f t="shared" si="32"/>
        <v>2829.9333333333329</v>
      </c>
      <c r="AM25" s="7">
        <f t="shared" si="32"/>
        <v>2829.9333333333329</v>
      </c>
      <c r="AN25" s="7">
        <f t="shared" si="32"/>
        <v>2829.9333333333329</v>
      </c>
      <c r="AO25" s="16"/>
      <c r="AP25" s="7"/>
      <c r="AQ25" s="9">
        <v>4</v>
      </c>
      <c r="AR25" s="9">
        <f t="shared" si="33"/>
        <v>69</v>
      </c>
      <c r="AS25" s="7">
        <f t="shared" si="34"/>
        <v>47</v>
      </c>
      <c r="AT25" s="7"/>
      <c r="AU25" s="16"/>
      <c r="AV25" s="7"/>
      <c r="AW25" s="7"/>
      <c r="AX25" s="7"/>
      <c r="AZ25" s="7"/>
      <c r="BA25" s="9">
        <f t="shared" si="39"/>
        <v>4873.8461538461543</v>
      </c>
      <c r="BC25" s="5">
        <f t="shared" si="35"/>
        <v>90</v>
      </c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18"/>
      <c r="BQ25" s="18"/>
      <c r="BR25" s="18">
        <v>3302035</v>
      </c>
      <c r="BS25" s="18">
        <f>[1]monsters!$N25</f>
        <v>112</v>
      </c>
      <c r="BT25" s="18">
        <f>[1]monsters!$O25</f>
        <v>11.2</v>
      </c>
      <c r="BU25" s="18">
        <f>[1]monsters!$P25</f>
        <v>1344</v>
      </c>
      <c r="BV25" s="18">
        <f>[1]monsters!$Q25</f>
        <v>134.4</v>
      </c>
      <c r="BW25" s="18">
        <f>[1]monsters!$R25</f>
        <v>28</v>
      </c>
      <c r="BX25" s="18">
        <f>[1]monsters!$S25</f>
        <v>2.8</v>
      </c>
      <c r="BY25" s="18">
        <f>[1]monsters!$K25</f>
        <v>1.5</v>
      </c>
      <c r="BZ25" s="5">
        <f>[1]monsters!$D25</f>
        <v>2</v>
      </c>
      <c r="CA25" s="5">
        <f t="shared" si="36"/>
        <v>0.1</v>
      </c>
      <c r="CB25" s="5">
        <f t="shared" si="37"/>
        <v>151.09252525252526</v>
      </c>
      <c r="CC25" s="5">
        <f t="shared" si="38"/>
        <v>15.109252525252527</v>
      </c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>
        <v>0</v>
      </c>
      <c r="CR25" s="3" t="b">
        <f t="shared" si="2"/>
        <v>1</v>
      </c>
      <c r="CS25" s="3" t="b">
        <f t="shared" si="3"/>
        <v>1</v>
      </c>
      <c r="CT25" s="3" t="b">
        <f t="shared" si="4"/>
        <v>1</v>
      </c>
      <c r="CU25" s="3" t="b">
        <f t="shared" si="5"/>
        <v>1</v>
      </c>
      <c r="CV25" s="3" t="b">
        <f t="shared" si="6"/>
        <v>1</v>
      </c>
      <c r="CW25" s="3" t="b">
        <f t="shared" si="7"/>
        <v>1</v>
      </c>
      <c r="CX25" s="9" t="str">
        <f t="shared" si="8"/>
        <v>3200033</v>
      </c>
      <c r="CY25" s="9" t="str">
        <f t="shared" si="9"/>
        <v>3200033</v>
      </c>
      <c r="CZ25" s="9" t="str">
        <f t="shared" si="10"/>
        <v>3200033</v>
      </c>
      <c r="DA25" s="9" t="str">
        <f t="shared" si="11"/>
        <v>3401031</v>
      </c>
      <c r="DB25" s="9" t="str">
        <f t="shared" si="12"/>
        <v>3401031</v>
      </c>
      <c r="DC25" s="9" t="str">
        <f t="shared" si="13"/>
        <v>3402033</v>
      </c>
      <c r="DD25" s="9">
        <v>3</v>
      </c>
      <c r="DE25" s="9">
        <v>3</v>
      </c>
      <c r="DF25" s="9">
        <v>3</v>
      </c>
      <c r="DG25" s="9">
        <v>3</v>
      </c>
      <c r="DH25" s="9">
        <v>3</v>
      </c>
      <c r="DI25" s="9">
        <v>3</v>
      </c>
      <c r="DJ25" s="9">
        <v>3</v>
      </c>
      <c r="DK25" s="9">
        <v>3</v>
      </c>
      <c r="DL25" s="9">
        <v>3</v>
      </c>
      <c r="DM25" s="9">
        <v>3</v>
      </c>
      <c r="DN25" s="9">
        <v>3</v>
      </c>
      <c r="DO25" s="9">
        <v>3</v>
      </c>
      <c r="DP25" s="25" t="s">
        <v>113</v>
      </c>
      <c r="DQ25" s="25" t="s">
        <v>113</v>
      </c>
      <c r="DR25" s="25" t="s">
        <v>113</v>
      </c>
      <c r="DS25" s="26" t="s">
        <v>117</v>
      </c>
      <c r="DT25" s="26" t="s">
        <v>117</v>
      </c>
      <c r="DU25" s="26" t="s">
        <v>118</v>
      </c>
      <c r="DV25" s="26">
        <f t="shared" si="14"/>
        <v>1</v>
      </c>
      <c r="DW25" s="26">
        <f t="shared" si="15"/>
        <v>1</v>
      </c>
      <c r="DX25" s="26">
        <f t="shared" si="16"/>
        <v>1</v>
      </c>
      <c r="DY25" s="26">
        <f t="shared" si="17"/>
        <v>2</v>
      </c>
      <c r="DZ25" s="26">
        <f t="shared" si="18"/>
        <v>2</v>
      </c>
      <c r="EA25" s="3">
        <f t="shared" si="19"/>
        <v>2</v>
      </c>
      <c r="EB25" s="29"/>
      <c r="EC25" s="5">
        <v>3200043</v>
      </c>
      <c r="ED25" s="31" t="s">
        <v>113</v>
      </c>
      <c r="EE25" s="8">
        <v>1</v>
      </c>
      <c r="EF25" s="9">
        <v>303330101</v>
      </c>
      <c r="EG25" s="3" t="str">
        <f t="shared" si="20"/>
        <v>对随机2名敌人造成221%攻击伤害。</v>
      </c>
      <c r="EQ25" s="9">
        <v>505330101</v>
      </c>
      <c r="ER25" s="9" t="s">
        <v>145</v>
      </c>
    </row>
    <row r="26" spans="1:148" ht="13.5" customHeight="1">
      <c r="A26" s="9">
        <v>23</v>
      </c>
      <c r="B26" s="9">
        <v>1</v>
      </c>
      <c r="C26" s="9">
        <v>2001</v>
      </c>
      <c r="D26" s="9">
        <f t="shared" si="40"/>
        <v>19287</v>
      </c>
      <c r="E26" s="9" t="str">
        <f t="shared" si="22"/>
        <v>3202031,3202031,3200033,3502031,3500032,3502031</v>
      </c>
      <c r="F26" s="9" t="str">
        <f t="shared" si="23"/>
        <v>3,3,3,3,3,3</v>
      </c>
      <c r="G26" s="9" t="str">
        <f t="shared" si="24"/>
        <v>96,96,96,96,96,96</v>
      </c>
      <c r="H26" s="9">
        <v>33</v>
      </c>
      <c r="I26" s="9" t="s">
        <v>278</v>
      </c>
      <c r="J26" s="9" t="s">
        <v>279</v>
      </c>
      <c r="K26" s="9" t="s">
        <v>279</v>
      </c>
      <c r="L26" s="9" t="s">
        <v>279</v>
      </c>
      <c r="M26" s="9" t="s">
        <v>282</v>
      </c>
      <c r="O26" s="3">
        <f t="shared" si="25"/>
        <v>19287</v>
      </c>
      <c r="P26" s="9">
        <v>17533.8</v>
      </c>
      <c r="Q26" s="9">
        <v>3202031</v>
      </c>
      <c r="R26" s="9">
        <v>3202031</v>
      </c>
      <c r="S26" s="9">
        <v>3200033</v>
      </c>
      <c r="T26" s="9">
        <v>3502031</v>
      </c>
      <c r="U26" s="9">
        <v>3500032</v>
      </c>
      <c r="V26" s="9">
        <v>3502031</v>
      </c>
      <c r="W26" s="9">
        <v>3</v>
      </c>
      <c r="X26" s="9">
        <v>3</v>
      </c>
      <c r="Y26" s="9">
        <v>3</v>
      </c>
      <c r="Z26" s="9">
        <v>3</v>
      </c>
      <c r="AA26" s="9">
        <v>3</v>
      </c>
      <c r="AB26" s="9">
        <v>3</v>
      </c>
      <c r="AC26" s="9">
        <f t="shared" si="26"/>
        <v>96</v>
      </c>
      <c r="AD26" s="9">
        <f t="shared" si="27"/>
        <v>96</v>
      </c>
      <c r="AE26" s="9">
        <f t="shared" si="28"/>
        <v>96</v>
      </c>
      <c r="AF26" s="9">
        <f t="shared" si="29"/>
        <v>96</v>
      </c>
      <c r="AG26" s="9">
        <f t="shared" si="30"/>
        <v>96</v>
      </c>
      <c r="AH26" s="9">
        <f t="shared" si="31"/>
        <v>96</v>
      </c>
      <c r="AI26" s="7">
        <f t="shared" si="32"/>
        <v>2922.2999999999997</v>
      </c>
      <c r="AJ26" s="7">
        <f t="shared" si="32"/>
        <v>2922.2999999999997</v>
      </c>
      <c r="AK26" s="7">
        <f t="shared" si="32"/>
        <v>2922.2999999999997</v>
      </c>
      <c r="AL26" s="7">
        <f t="shared" si="32"/>
        <v>2922.2999999999997</v>
      </c>
      <c r="AM26" s="7">
        <f t="shared" si="32"/>
        <v>2922.2999999999997</v>
      </c>
      <c r="AN26" s="7">
        <f t="shared" si="32"/>
        <v>2922.2999999999997</v>
      </c>
      <c r="AO26" s="16"/>
      <c r="AP26" s="7"/>
      <c r="AQ26" s="9">
        <v>4</v>
      </c>
      <c r="AR26" s="9">
        <f t="shared" si="33"/>
        <v>71</v>
      </c>
      <c r="AS26" s="7">
        <f t="shared" si="34"/>
        <v>48</v>
      </c>
      <c r="AT26" s="7"/>
      <c r="AU26" s="16"/>
      <c r="AV26" s="7"/>
      <c r="AW26" s="7"/>
      <c r="AX26" s="7"/>
      <c r="AZ26" s="7"/>
      <c r="BA26" s="9">
        <f t="shared" si="39"/>
        <v>4963.0769230769238</v>
      </c>
      <c r="BC26" s="5">
        <f t="shared" si="35"/>
        <v>92</v>
      </c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18"/>
      <c r="BQ26" s="18"/>
      <c r="BR26" s="18">
        <v>3400035</v>
      </c>
      <c r="BS26" s="18">
        <f>[1]monsters!$N26</f>
        <v>143.36000000000001</v>
      </c>
      <c r="BT26" s="18">
        <f>[1]monsters!$O26</f>
        <v>14.34</v>
      </c>
      <c r="BU26" s="18">
        <f>[1]monsters!$P26</f>
        <v>1120</v>
      </c>
      <c r="BV26" s="18">
        <f>[1]monsters!$Q26</f>
        <v>112</v>
      </c>
      <c r="BW26" s="18">
        <f>[1]monsters!$R26</f>
        <v>20.48</v>
      </c>
      <c r="BX26" s="18">
        <f>[1]monsters!$S26</f>
        <v>2.0499999999999998</v>
      </c>
      <c r="BY26" s="18">
        <f>[1]monsters!$K26</f>
        <v>1.6</v>
      </c>
      <c r="BZ26" s="5">
        <f>[1]monsters!$D26</f>
        <v>4</v>
      </c>
      <c r="CA26" s="5">
        <f t="shared" si="36"/>
        <v>0.1</v>
      </c>
      <c r="CB26" s="5">
        <f t="shared" si="37"/>
        <v>173.18563771043773</v>
      </c>
      <c r="CC26" s="5">
        <f t="shared" si="38"/>
        <v>17.318563771043774</v>
      </c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>
        <v>0</v>
      </c>
      <c r="CR26" s="3" t="b">
        <f t="shared" si="2"/>
        <v>1</v>
      </c>
      <c r="CS26" s="3" t="b">
        <f t="shared" si="3"/>
        <v>1</v>
      </c>
      <c r="CT26" s="3" t="b">
        <f t="shared" si="4"/>
        <v>1</v>
      </c>
      <c r="CU26" s="3" t="b">
        <f t="shared" si="5"/>
        <v>1</v>
      </c>
      <c r="CV26" s="3" t="b">
        <f t="shared" si="6"/>
        <v>1</v>
      </c>
      <c r="CW26" s="3" t="b">
        <f t="shared" si="7"/>
        <v>1</v>
      </c>
      <c r="CX26" s="9" t="str">
        <f t="shared" si="8"/>
        <v>3202031</v>
      </c>
      <c r="CY26" s="9" t="str">
        <f t="shared" si="9"/>
        <v>3202031</v>
      </c>
      <c r="CZ26" s="9" t="str">
        <f t="shared" si="10"/>
        <v>3200033</v>
      </c>
      <c r="DA26" s="9" t="str">
        <f t="shared" si="11"/>
        <v>3502031</v>
      </c>
      <c r="DB26" s="9" t="str">
        <f t="shared" si="12"/>
        <v>3500032</v>
      </c>
      <c r="DC26" s="9" t="str">
        <f t="shared" si="13"/>
        <v>3502031</v>
      </c>
      <c r="DD26" s="9">
        <v>3</v>
      </c>
      <c r="DE26" s="9">
        <v>3</v>
      </c>
      <c r="DF26" s="9">
        <v>3</v>
      </c>
      <c r="DG26" s="9">
        <v>3</v>
      </c>
      <c r="DH26" s="9">
        <v>3</v>
      </c>
      <c r="DI26" s="9">
        <v>3</v>
      </c>
      <c r="DJ26" s="9">
        <v>3</v>
      </c>
      <c r="DK26" s="9">
        <v>3</v>
      </c>
      <c r="DL26" s="9">
        <v>3</v>
      </c>
      <c r="DM26" s="9">
        <v>3</v>
      </c>
      <c r="DN26" s="9">
        <v>3</v>
      </c>
      <c r="DO26" s="9">
        <v>3</v>
      </c>
      <c r="DP26" s="25" t="s">
        <v>111</v>
      </c>
      <c r="DQ26" s="25" t="s">
        <v>111</v>
      </c>
      <c r="DR26" s="25" t="s">
        <v>113</v>
      </c>
      <c r="DS26" s="26" t="s">
        <v>119</v>
      </c>
      <c r="DT26" s="26" t="s">
        <v>109</v>
      </c>
      <c r="DU26" s="26" t="s">
        <v>119</v>
      </c>
      <c r="DV26" s="26">
        <f t="shared" si="14"/>
        <v>1</v>
      </c>
      <c r="DW26" s="26">
        <f t="shared" si="15"/>
        <v>1</v>
      </c>
      <c r="DX26" s="26">
        <f t="shared" si="16"/>
        <v>1</v>
      </c>
      <c r="DY26" s="26">
        <f t="shared" si="17"/>
        <v>2</v>
      </c>
      <c r="DZ26" s="26">
        <f t="shared" si="18"/>
        <v>2</v>
      </c>
      <c r="EA26" s="3">
        <f t="shared" si="19"/>
        <v>2</v>
      </c>
      <c r="EB26" s="30"/>
      <c r="EC26" s="5">
        <v>3401041</v>
      </c>
      <c r="ED26" s="31" t="s">
        <v>117</v>
      </c>
      <c r="EE26" s="8">
        <v>2</v>
      </c>
      <c r="EF26" s="9">
        <v>303340101</v>
      </c>
      <c r="EG26" s="3" t="str">
        <f t="shared" si="20"/>
        <v>对随机3名敌人造成141%攻击伤害。</v>
      </c>
      <c r="EQ26" s="9">
        <v>505340101</v>
      </c>
      <c r="ER26" s="9" t="s">
        <v>146</v>
      </c>
    </row>
    <row r="27" spans="1:148" ht="13.5" customHeight="1">
      <c r="A27" s="9">
        <v>24</v>
      </c>
      <c r="B27" s="9">
        <v>1</v>
      </c>
      <c r="C27" s="9">
        <v>2001</v>
      </c>
      <c r="D27" s="9">
        <f t="shared" si="40"/>
        <v>19816</v>
      </c>
      <c r="E27" s="9" t="str">
        <f t="shared" si="22"/>
        <v>3302033,3202031,3200033,3300032,3502031,3502031</v>
      </c>
      <c r="F27" s="9" t="str">
        <f t="shared" si="23"/>
        <v>3,3,3,3,3,3</v>
      </c>
      <c r="G27" s="9" t="str">
        <f t="shared" si="24"/>
        <v>98,98,98,98,98,98</v>
      </c>
      <c r="H27" s="9">
        <v>33</v>
      </c>
      <c r="I27" s="9" t="s">
        <v>278</v>
      </c>
      <c r="J27" s="9" t="s">
        <v>279</v>
      </c>
      <c r="K27" s="9" t="s">
        <v>279</v>
      </c>
      <c r="L27" s="9" t="s">
        <v>279</v>
      </c>
      <c r="M27" s="9" t="s">
        <v>282</v>
      </c>
      <c r="O27" s="3">
        <f t="shared" si="25"/>
        <v>19816</v>
      </c>
      <c r="P27" s="9">
        <v>18014.900000000001</v>
      </c>
      <c r="Q27" s="9">
        <v>3302033</v>
      </c>
      <c r="R27" s="9">
        <v>3202031</v>
      </c>
      <c r="S27" s="9">
        <v>3200033</v>
      </c>
      <c r="T27" s="9">
        <v>3300032</v>
      </c>
      <c r="U27" s="9">
        <v>3502031</v>
      </c>
      <c r="V27" s="9">
        <v>3502031</v>
      </c>
      <c r="W27" s="9">
        <v>3</v>
      </c>
      <c r="X27" s="9">
        <v>3</v>
      </c>
      <c r="Y27" s="9">
        <v>3</v>
      </c>
      <c r="Z27" s="9">
        <v>3</v>
      </c>
      <c r="AA27" s="9">
        <v>3</v>
      </c>
      <c r="AB27" s="9">
        <v>3</v>
      </c>
      <c r="AC27" s="9">
        <f t="shared" si="26"/>
        <v>98</v>
      </c>
      <c r="AD27" s="9">
        <f t="shared" si="27"/>
        <v>98</v>
      </c>
      <c r="AE27" s="9">
        <f t="shared" si="28"/>
        <v>98</v>
      </c>
      <c r="AF27" s="9">
        <f t="shared" si="29"/>
        <v>98</v>
      </c>
      <c r="AG27" s="9">
        <f t="shared" si="30"/>
        <v>98</v>
      </c>
      <c r="AH27" s="9">
        <f t="shared" si="31"/>
        <v>98</v>
      </c>
      <c r="AI27" s="7">
        <f t="shared" si="32"/>
        <v>3002.4833333333336</v>
      </c>
      <c r="AJ27" s="7">
        <f t="shared" si="32"/>
        <v>3002.4833333333336</v>
      </c>
      <c r="AK27" s="7">
        <f t="shared" si="32"/>
        <v>3002.4833333333336</v>
      </c>
      <c r="AL27" s="7">
        <f t="shared" si="32"/>
        <v>3002.4833333333336</v>
      </c>
      <c r="AM27" s="7">
        <f t="shared" si="32"/>
        <v>3002.4833333333336</v>
      </c>
      <c r="AN27" s="7">
        <f t="shared" si="32"/>
        <v>3002.4833333333336</v>
      </c>
      <c r="AO27" s="16"/>
      <c r="AP27" s="7"/>
      <c r="AQ27" s="9">
        <v>4</v>
      </c>
      <c r="AR27" s="9">
        <f t="shared" si="33"/>
        <v>72</v>
      </c>
      <c r="AS27" s="7">
        <f t="shared" si="34"/>
        <v>49</v>
      </c>
      <c r="AT27" s="7"/>
      <c r="AU27" s="16"/>
      <c r="AV27" s="7"/>
      <c r="AW27" s="7"/>
      <c r="AX27" s="7"/>
      <c r="AZ27" s="7"/>
      <c r="BA27" s="9">
        <f t="shared" si="39"/>
        <v>5052.3076923076933</v>
      </c>
      <c r="BC27" s="5">
        <f t="shared" si="35"/>
        <v>93</v>
      </c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18"/>
      <c r="BQ27" s="18"/>
      <c r="BR27" s="18">
        <v>3500035</v>
      </c>
      <c r="BS27" s="18">
        <f>[1]monsters!$N27</f>
        <v>134.4</v>
      </c>
      <c r="BT27" s="18">
        <f>[1]monsters!$O27</f>
        <v>13.44</v>
      </c>
      <c r="BU27" s="18">
        <f>[1]monsters!$P27</f>
        <v>1120</v>
      </c>
      <c r="BV27" s="18">
        <f>[1]monsters!$Q27</f>
        <v>112</v>
      </c>
      <c r="BW27" s="18">
        <f>[1]monsters!$R27</f>
        <v>19.2</v>
      </c>
      <c r="BX27" s="18">
        <f>[1]monsters!$S27</f>
        <v>1.92</v>
      </c>
      <c r="BY27" s="18">
        <f>[1]monsters!$K27</f>
        <v>1.5</v>
      </c>
      <c r="BZ27" s="5">
        <f>[1]monsters!$D27</f>
        <v>4</v>
      </c>
      <c r="CA27" s="5">
        <f t="shared" si="36"/>
        <v>0.1</v>
      </c>
      <c r="CB27" s="5">
        <f t="shared" si="37"/>
        <v>164.71843771043771</v>
      </c>
      <c r="CC27" s="5">
        <f t="shared" si="38"/>
        <v>16.471843771043773</v>
      </c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>
        <v>0</v>
      </c>
      <c r="CR27" s="3" t="b">
        <f t="shared" si="2"/>
        <v>1</v>
      </c>
      <c r="CS27" s="3" t="b">
        <f t="shared" si="3"/>
        <v>1</v>
      </c>
      <c r="CT27" s="3" t="b">
        <f t="shared" si="4"/>
        <v>1</v>
      </c>
      <c r="CU27" s="3" t="b">
        <f t="shared" si="5"/>
        <v>1</v>
      </c>
      <c r="CV27" s="3" t="b">
        <f t="shared" si="6"/>
        <v>1</v>
      </c>
      <c r="CW27" s="3" t="b">
        <f t="shared" si="7"/>
        <v>1</v>
      </c>
      <c r="CX27" s="9" t="str">
        <f t="shared" si="8"/>
        <v>3302033</v>
      </c>
      <c r="CY27" s="9" t="str">
        <f t="shared" si="9"/>
        <v>3202031</v>
      </c>
      <c r="CZ27" s="9" t="str">
        <f t="shared" si="10"/>
        <v>3200033</v>
      </c>
      <c r="DA27" s="9" t="str">
        <f t="shared" si="11"/>
        <v>3300032</v>
      </c>
      <c r="DB27" s="9" t="str">
        <f t="shared" si="12"/>
        <v>3502031</v>
      </c>
      <c r="DC27" s="9" t="str">
        <f t="shared" si="13"/>
        <v>3502031</v>
      </c>
      <c r="DD27" s="9">
        <v>3</v>
      </c>
      <c r="DE27" s="9">
        <v>3</v>
      </c>
      <c r="DF27" s="9">
        <v>3</v>
      </c>
      <c r="DG27" s="9">
        <v>3</v>
      </c>
      <c r="DH27" s="9">
        <v>3</v>
      </c>
      <c r="DI27" s="9">
        <v>3</v>
      </c>
      <c r="DJ27" s="9">
        <v>3</v>
      </c>
      <c r="DK27" s="9">
        <v>3</v>
      </c>
      <c r="DL27" s="9">
        <v>3</v>
      </c>
      <c r="DM27" s="9">
        <v>3</v>
      </c>
      <c r="DN27" s="9">
        <v>3</v>
      </c>
      <c r="DO27" s="9">
        <v>3</v>
      </c>
      <c r="DP27" s="27" t="s">
        <v>108</v>
      </c>
      <c r="DQ27" s="27" t="s">
        <v>111</v>
      </c>
      <c r="DR27" s="27" t="s">
        <v>113</v>
      </c>
      <c r="DS27" s="25" t="s">
        <v>115</v>
      </c>
      <c r="DT27" s="28" t="s">
        <v>119</v>
      </c>
      <c r="DU27" s="28" t="s">
        <v>119</v>
      </c>
      <c r="DV27" s="28">
        <f t="shared" si="14"/>
        <v>1</v>
      </c>
      <c r="DW27" s="28">
        <f t="shared" si="15"/>
        <v>1</v>
      </c>
      <c r="DX27" s="28">
        <f t="shared" si="16"/>
        <v>1</v>
      </c>
      <c r="DY27" s="28">
        <f t="shared" si="17"/>
        <v>2</v>
      </c>
      <c r="DZ27" s="28">
        <f t="shared" si="18"/>
        <v>2</v>
      </c>
      <c r="EA27" s="3">
        <f t="shared" si="19"/>
        <v>2</v>
      </c>
      <c r="EB27" s="30"/>
      <c r="EC27" s="5">
        <v>3402043</v>
      </c>
      <c r="ED27" s="31" t="s">
        <v>118</v>
      </c>
      <c r="EE27" s="8">
        <v>2</v>
      </c>
      <c r="EF27" s="9">
        <v>303340201</v>
      </c>
      <c r="EG27" s="3" t="str">
        <f t="shared" si="20"/>
        <v>对距离最远的2名敌人造成181%攻击伤害。</v>
      </c>
      <c r="EQ27" s="9">
        <v>505340201</v>
      </c>
      <c r="ER27" s="9" t="s">
        <v>147</v>
      </c>
    </row>
    <row r="28" spans="1:148" ht="13.5" customHeight="1">
      <c r="A28" s="9">
        <v>25</v>
      </c>
      <c r="B28" s="9">
        <v>1</v>
      </c>
      <c r="C28" s="9">
        <v>2001</v>
      </c>
      <c r="D28" s="9">
        <f t="shared" si="40"/>
        <v>20445</v>
      </c>
      <c r="E28" s="9" t="str">
        <f t="shared" si="22"/>
        <v>3201032,3201032,3301031,3402033,3502031,3500032</v>
      </c>
      <c r="F28" s="9" t="str">
        <f t="shared" si="23"/>
        <v>3,3,3,3,3,3</v>
      </c>
      <c r="G28" s="9" t="str">
        <f t="shared" si="24"/>
        <v>100,100,100,100,100,100</v>
      </c>
      <c r="H28" s="9">
        <v>35</v>
      </c>
      <c r="I28" s="9" t="s">
        <v>278</v>
      </c>
      <c r="J28" s="3" t="s">
        <v>279</v>
      </c>
      <c r="K28" s="9" t="s">
        <v>279</v>
      </c>
      <c r="L28" s="9" t="s">
        <v>279</v>
      </c>
      <c r="M28" s="9" t="s">
        <v>282</v>
      </c>
      <c r="O28" s="3">
        <f t="shared" si="25"/>
        <v>20445</v>
      </c>
      <c r="P28" s="9">
        <v>18586.099999999999</v>
      </c>
      <c r="Q28" s="9">
        <v>3201032</v>
      </c>
      <c r="R28" s="9">
        <v>3201032</v>
      </c>
      <c r="S28" s="9">
        <v>3301031</v>
      </c>
      <c r="T28" s="9">
        <v>3402033</v>
      </c>
      <c r="U28" s="9">
        <v>3502031</v>
      </c>
      <c r="V28" s="9">
        <v>3500032</v>
      </c>
      <c r="W28" s="9">
        <v>3</v>
      </c>
      <c r="X28" s="9">
        <v>3</v>
      </c>
      <c r="Y28" s="9">
        <v>3</v>
      </c>
      <c r="Z28" s="9">
        <v>3</v>
      </c>
      <c r="AA28" s="9">
        <v>3</v>
      </c>
      <c r="AB28" s="9">
        <v>3</v>
      </c>
      <c r="AC28" s="9">
        <f t="shared" si="26"/>
        <v>100</v>
      </c>
      <c r="AD28" s="9">
        <f t="shared" si="27"/>
        <v>100</v>
      </c>
      <c r="AE28" s="9">
        <f t="shared" si="28"/>
        <v>100</v>
      </c>
      <c r="AF28" s="9">
        <f t="shared" si="29"/>
        <v>100</v>
      </c>
      <c r="AG28" s="9">
        <f t="shared" si="30"/>
        <v>100</v>
      </c>
      <c r="AH28" s="9">
        <f t="shared" si="31"/>
        <v>100</v>
      </c>
      <c r="AI28" s="7">
        <f t="shared" si="32"/>
        <v>3097.6833333333329</v>
      </c>
      <c r="AJ28" s="7">
        <f t="shared" si="32"/>
        <v>3097.6833333333329</v>
      </c>
      <c r="AK28" s="7">
        <f t="shared" si="32"/>
        <v>3097.6833333333329</v>
      </c>
      <c r="AL28" s="7">
        <f t="shared" si="32"/>
        <v>3097.6833333333329</v>
      </c>
      <c r="AM28" s="7">
        <f t="shared" si="32"/>
        <v>3097.6833333333329</v>
      </c>
      <c r="AN28" s="7">
        <f t="shared" si="32"/>
        <v>3097.6833333333329</v>
      </c>
      <c r="AO28" s="16"/>
      <c r="AP28" s="7"/>
      <c r="AQ28" s="9">
        <v>4</v>
      </c>
      <c r="AR28" s="9">
        <f t="shared" si="33"/>
        <v>73</v>
      </c>
      <c r="AS28" s="7">
        <f t="shared" si="34"/>
        <v>50</v>
      </c>
      <c r="AT28" s="7"/>
      <c r="AU28" s="16"/>
      <c r="AV28" s="7"/>
      <c r="AW28" s="7"/>
      <c r="AX28" s="7"/>
      <c r="AZ28" s="7"/>
      <c r="BA28" s="9">
        <f t="shared" si="39"/>
        <v>5141.5384615384628</v>
      </c>
      <c r="BC28" s="5">
        <f t="shared" si="35"/>
        <v>95</v>
      </c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7"/>
      <c r="BQ28" s="18"/>
      <c r="BR28" s="18">
        <v>3601035</v>
      </c>
      <c r="BS28" s="18">
        <f>[1]monsters!$N28</f>
        <v>167.25</v>
      </c>
      <c r="BT28" s="18">
        <f>[1]monsters!$O28</f>
        <v>16.73</v>
      </c>
      <c r="BU28" s="18">
        <f>[1]monsters!$P28</f>
        <v>960</v>
      </c>
      <c r="BV28" s="18">
        <f>[1]monsters!$Q28</f>
        <v>96</v>
      </c>
      <c r="BW28" s="18">
        <f>[1]monsters!$R28</f>
        <v>20.91</v>
      </c>
      <c r="BX28" s="18">
        <f>[1]monsters!$S28</f>
        <v>2.09</v>
      </c>
      <c r="BY28" s="18">
        <f>[1]monsters!$K28</f>
        <v>1.6</v>
      </c>
      <c r="BZ28" s="5">
        <f>[1]monsters!$D28</f>
        <v>5</v>
      </c>
      <c r="CA28" s="5">
        <f t="shared" si="36"/>
        <v>0.1</v>
      </c>
      <c r="CB28" s="5">
        <f t="shared" si="37"/>
        <v>190.37448232323231</v>
      </c>
      <c r="CC28" s="5">
        <f t="shared" si="38"/>
        <v>19.037448232323232</v>
      </c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>
        <v>1</v>
      </c>
      <c r="CR28" s="3" t="b">
        <f t="shared" si="2"/>
        <v>1</v>
      </c>
      <c r="CS28" s="3" t="b">
        <f t="shared" si="3"/>
        <v>1</v>
      </c>
      <c r="CT28" s="3" t="b">
        <f t="shared" si="4"/>
        <v>1</v>
      </c>
      <c r="CU28" s="3" t="b">
        <f t="shared" si="5"/>
        <v>1</v>
      </c>
      <c r="CV28" s="3" t="b">
        <f t="shared" si="6"/>
        <v>1</v>
      </c>
      <c r="CW28" s="3" t="b">
        <f t="shared" si="7"/>
        <v>1</v>
      </c>
      <c r="CX28" s="9" t="str">
        <f t="shared" si="8"/>
        <v>3201032</v>
      </c>
      <c r="CY28" s="9" t="str">
        <f t="shared" si="9"/>
        <v>3201032</v>
      </c>
      <c r="CZ28" s="9" t="str">
        <f t="shared" si="10"/>
        <v>3301031</v>
      </c>
      <c r="DA28" s="9" t="str">
        <f t="shared" si="11"/>
        <v>3402033</v>
      </c>
      <c r="DB28" s="9" t="str">
        <f t="shared" si="12"/>
        <v>3502031</v>
      </c>
      <c r="DC28" s="9" t="str">
        <f t="shared" si="13"/>
        <v>3500032</v>
      </c>
      <c r="DD28" s="9">
        <v>3</v>
      </c>
      <c r="DE28" s="9">
        <v>3</v>
      </c>
      <c r="DF28" s="9">
        <v>3</v>
      </c>
      <c r="DG28" s="9">
        <v>3</v>
      </c>
      <c r="DH28" s="9">
        <v>3</v>
      </c>
      <c r="DI28" s="9">
        <v>3</v>
      </c>
      <c r="DJ28" s="9">
        <v>3</v>
      </c>
      <c r="DK28" s="9">
        <v>3</v>
      </c>
      <c r="DL28" s="9">
        <v>3</v>
      </c>
      <c r="DM28" s="9">
        <v>3</v>
      </c>
      <c r="DN28" s="9">
        <v>3</v>
      </c>
      <c r="DO28" s="9">
        <v>3</v>
      </c>
      <c r="DP28" s="25" t="s">
        <v>114</v>
      </c>
      <c r="DQ28" s="25" t="s">
        <v>114</v>
      </c>
      <c r="DR28" s="27" t="s">
        <v>107</v>
      </c>
      <c r="DS28" s="26" t="s">
        <v>118</v>
      </c>
      <c r="DT28" s="25" t="s">
        <v>119</v>
      </c>
      <c r="DU28" s="27" t="s">
        <v>109</v>
      </c>
      <c r="DV28" s="25">
        <f t="shared" si="14"/>
        <v>1</v>
      </c>
      <c r="DW28" s="25">
        <f t="shared" si="15"/>
        <v>1</v>
      </c>
      <c r="DX28" s="25">
        <f t="shared" si="16"/>
        <v>1</v>
      </c>
      <c r="DY28" s="25">
        <f t="shared" si="17"/>
        <v>2</v>
      </c>
      <c r="DZ28" s="25">
        <f t="shared" si="18"/>
        <v>2</v>
      </c>
      <c r="EA28" s="3">
        <f t="shared" si="19"/>
        <v>2</v>
      </c>
      <c r="EB28" s="29"/>
      <c r="EC28" s="5">
        <v>3501043</v>
      </c>
      <c r="ED28" s="31" t="s">
        <v>121</v>
      </c>
      <c r="EE28" s="8">
        <v>2</v>
      </c>
      <c r="EF28" s="9">
        <v>303350001</v>
      </c>
      <c r="EG28" s="3" t="str">
        <f t="shared" si="20"/>
        <v>对随机3名敌人造成132%攻击伤害。</v>
      </c>
      <c r="EQ28" s="9">
        <v>505350001</v>
      </c>
      <c r="ER28" s="9" t="s">
        <v>148</v>
      </c>
    </row>
    <row r="29" spans="1:148" ht="13.5" customHeight="1">
      <c r="A29" s="9">
        <v>26</v>
      </c>
      <c r="B29" s="9">
        <v>1</v>
      </c>
      <c r="C29" s="9">
        <v>2001</v>
      </c>
      <c r="D29" s="9">
        <f t="shared" si="40"/>
        <v>22357</v>
      </c>
      <c r="E29" s="9" t="str">
        <f t="shared" si="22"/>
        <v>3200033,3200033,3200033,3502031,3500032,3502031</v>
      </c>
      <c r="F29" s="9" t="str">
        <f t="shared" si="23"/>
        <v>3,3,3,3,3,3</v>
      </c>
      <c r="G29" s="9" t="str">
        <f t="shared" si="24"/>
        <v>104,104,104,104,104,104</v>
      </c>
      <c r="H29" s="9">
        <v>38</v>
      </c>
      <c r="I29" s="9" t="s">
        <v>278</v>
      </c>
      <c r="J29" s="9" t="s">
        <v>279</v>
      </c>
      <c r="K29" s="9" t="s">
        <v>279</v>
      </c>
      <c r="L29" s="9" t="s">
        <v>279</v>
      </c>
      <c r="M29" s="9" t="s">
        <v>282</v>
      </c>
      <c r="O29" s="3">
        <f>ROUND(P29*1.1*1.01,0)</f>
        <v>22357</v>
      </c>
      <c r="P29" s="9">
        <v>20122.900000000001</v>
      </c>
      <c r="Q29" s="9">
        <v>3200033</v>
      </c>
      <c r="R29" s="9">
        <v>3200033</v>
      </c>
      <c r="S29" s="9">
        <v>3200033</v>
      </c>
      <c r="T29" s="9">
        <v>3502031</v>
      </c>
      <c r="U29" s="9">
        <v>3500032</v>
      </c>
      <c r="V29" s="9">
        <v>3502031</v>
      </c>
      <c r="W29" s="9">
        <v>3</v>
      </c>
      <c r="X29" s="9">
        <v>3</v>
      </c>
      <c r="Y29" s="9">
        <v>3</v>
      </c>
      <c r="Z29" s="9">
        <v>3</v>
      </c>
      <c r="AA29" s="9">
        <v>3</v>
      </c>
      <c r="AB29" s="9">
        <v>3</v>
      </c>
      <c r="AC29" s="9">
        <f t="shared" si="26"/>
        <v>104</v>
      </c>
      <c r="AD29" s="9">
        <f t="shared" si="27"/>
        <v>104</v>
      </c>
      <c r="AE29" s="9">
        <f t="shared" si="28"/>
        <v>104</v>
      </c>
      <c r="AF29" s="9">
        <f t="shared" si="29"/>
        <v>104</v>
      </c>
      <c r="AG29" s="9">
        <f t="shared" si="30"/>
        <v>104</v>
      </c>
      <c r="AH29" s="9">
        <f t="shared" si="31"/>
        <v>104</v>
      </c>
      <c r="AI29" s="7">
        <f t="shared" si="32"/>
        <v>3353.8166666666671</v>
      </c>
      <c r="AJ29" s="7">
        <f t="shared" si="32"/>
        <v>3353.8166666666671</v>
      </c>
      <c r="AK29" s="7">
        <f t="shared" si="32"/>
        <v>3353.8166666666671</v>
      </c>
      <c r="AL29" s="7">
        <f t="shared" si="32"/>
        <v>3353.8166666666671</v>
      </c>
      <c r="AM29" s="7">
        <f t="shared" si="32"/>
        <v>3353.8166666666671</v>
      </c>
      <c r="AN29" s="7">
        <f t="shared" si="32"/>
        <v>3353.8166666666671</v>
      </c>
      <c r="AO29" s="16"/>
      <c r="AP29" s="7"/>
      <c r="AQ29" s="9">
        <v>4</v>
      </c>
      <c r="AR29" s="9">
        <f t="shared" si="33"/>
        <v>77</v>
      </c>
      <c r="AS29" s="7">
        <f t="shared" si="34"/>
        <v>51</v>
      </c>
      <c r="AT29" s="7"/>
      <c r="AU29" s="16"/>
      <c r="AV29" s="7"/>
      <c r="AW29" s="7"/>
      <c r="AX29" s="7"/>
      <c r="AZ29" s="7"/>
      <c r="BA29" s="9">
        <f t="shared" si="39"/>
        <v>5230.7692307692323</v>
      </c>
      <c r="BC29" s="5">
        <f t="shared" si="35"/>
        <v>99</v>
      </c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7"/>
      <c r="BQ29" s="18"/>
      <c r="BR29" s="18">
        <v>4201041</v>
      </c>
      <c r="BS29" s="18">
        <f>[1]monsters!$N29</f>
        <v>162.03</v>
      </c>
      <c r="BT29" s="18">
        <f>[1]monsters!$O29</f>
        <v>16.2</v>
      </c>
      <c r="BU29" s="18">
        <f>[1]monsters!$P29</f>
        <v>867.1</v>
      </c>
      <c r="BV29" s="18">
        <f>[1]monsters!$Q29</f>
        <v>86.71</v>
      </c>
      <c r="BW29" s="18">
        <f>[1]monsters!$R29</f>
        <v>16.2</v>
      </c>
      <c r="BX29" s="18">
        <f>[1]monsters!$S29</f>
        <v>1.62</v>
      </c>
      <c r="BY29" s="18">
        <f>[1]monsters!$K29</f>
        <v>1.4</v>
      </c>
      <c r="BZ29" s="5">
        <f>[1]monsters!$D29</f>
        <v>6</v>
      </c>
      <c r="CA29" s="5">
        <f t="shared" si="36"/>
        <v>0.1</v>
      </c>
      <c r="CB29" s="5">
        <f t="shared" si="37"/>
        <v>182.31363619528622</v>
      </c>
      <c r="CC29" s="5">
        <f t="shared" si="38"/>
        <v>18.231363619528622</v>
      </c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>
        <v>0</v>
      </c>
      <c r="CR29" s="3" t="b">
        <f t="shared" si="2"/>
        <v>1</v>
      </c>
      <c r="CS29" s="3" t="b">
        <f t="shared" si="3"/>
        <v>1</v>
      </c>
      <c r="CT29" s="3" t="b">
        <f t="shared" si="4"/>
        <v>1</v>
      </c>
      <c r="CU29" s="3" t="b">
        <f t="shared" si="5"/>
        <v>1</v>
      </c>
      <c r="CV29" s="3" t="b">
        <f t="shared" si="6"/>
        <v>1</v>
      </c>
      <c r="CW29" s="3" t="b">
        <f t="shared" si="7"/>
        <v>1</v>
      </c>
      <c r="CX29" s="9" t="str">
        <f t="shared" si="8"/>
        <v>3200033</v>
      </c>
      <c r="CY29" s="9" t="str">
        <f t="shared" si="9"/>
        <v>3200033</v>
      </c>
      <c r="CZ29" s="9" t="str">
        <f t="shared" si="10"/>
        <v>3200033</v>
      </c>
      <c r="DA29" s="9" t="str">
        <f t="shared" si="11"/>
        <v>3502031</v>
      </c>
      <c r="DB29" s="9" t="str">
        <f t="shared" si="12"/>
        <v>3500032</v>
      </c>
      <c r="DC29" s="9" t="str">
        <f t="shared" si="13"/>
        <v>3502031</v>
      </c>
      <c r="DD29" s="9">
        <v>3</v>
      </c>
      <c r="DE29" s="9">
        <v>3</v>
      </c>
      <c r="DF29" s="9">
        <v>3</v>
      </c>
      <c r="DG29" s="9">
        <v>3</v>
      </c>
      <c r="DH29" s="9">
        <v>3</v>
      </c>
      <c r="DI29" s="9">
        <v>3</v>
      </c>
      <c r="DJ29" s="9">
        <v>3</v>
      </c>
      <c r="DK29" s="9">
        <v>3</v>
      </c>
      <c r="DL29" s="9">
        <v>3</v>
      </c>
      <c r="DM29" s="9">
        <v>3</v>
      </c>
      <c r="DN29" s="9">
        <v>3</v>
      </c>
      <c r="DO29" s="9">
        <v>3</v>
      </c>
      <c r="DP29" s="25" t="s">
        <v>113</v>
      </c>
      <c r="DQ29" s="25" t="s">
        <v>113</v>
      </c>
      <c r="DR29" s="25" t="s">
        <v>113</v>
      </c>
      <c r="DS29" s="28" t="s">
        <v>119</v>
      </c>
      <c r="DT29" s="26" t="s">
        <v>109</v>
      </c>
      <c r="DU29" s="26" t="s">
        <v>119</v>
      </c>
      <c r="DV29" s="28">
        <f t="shared" si="14"/>
        <v>1</v>
      </c>
      <c r="DW29" s="28">
        <f t="shared" si="15"/>
        <v>1</v>
      </c>
      <c r="DX29" s="28">
        <f t="shared" si="16"/>
        <v>1</v>
      </c>
      <c r="DY29" s="28">
        <f t="shared" si="17"/>
        <v>2</v>
      </c>
      <c r="DZ29" s="28">
        <f t="shared" si="18"/>
        <v>2</v>
      </c>
      <c r="EA29" s="3">
        <f t="shared" si="19"/>
        <v>2</v>
      </c>
      <c r="EB29" s="32"/>
      <c r="EC29" s="5">
        <v>3600043</v>
      </c>
      <c r="ED29" s="31" t="s">
        <v>131</v>
      </c>
      <c r="EE29" s="8">
        <v>1</v>
      </c>
      <c r="EF29" s="9">
        <v>303350201</v>
      </c>
      <c r="EG29" s="3" t="str">
        <f t="shared" si="20"/>
        <v>对随机3名敌人造成151%攻击伤害。</v>
      </c>
      <c r="EQ29" s="9">
        <v>505350201</v>
      </c>
      <c r="ER29" s="9" t="s">
        <v>149</v>
      </c>
    </row>
    <row r="30" spans="1:148" ht="13.5" customHeight="1">
      <c r="A30" s="9">
        <v>27</v>
      </c>
      <c r="B30" s="9">
        <v>1</v>
      </c>
      <c r="C30" s="9">
        <v>2001</v>
      </c>
      <c r="D30" s="9">
        <f t="shared" si="40"/>
        <v>25687</v>
      </c>
      <c r="E30" s="9" t="str">
        <f t="shared" si="22"/>
        <v>3202031,3202031,3202031,3401031,3300032,3300032</v>
      </c>
      <c r="F30" s="9" t="str">
        <f t="shared" si="23"/>
        <v>3,3,3,3,3,3</v>
      </c>
      <c r="G30" s="9" t="str">
        <f t="shared" si="24"/>
        <v>112,112,112,112,112,112</v>
      </c>
      <c r="H30" s="9">
        <v>38</v>
      </c>
      <c r="I30" s="9" t="s">
        <v>278</v>
      </c>
      <c r="J30" s="9" t="s">
        <v>279</v>
      </c>
      <c r="K30" s="9" t="s">
        <v>279</v>
      </c>
      <c r="L30" s="9" t="s">
        <v>279</v>
      </c>
      <c r="M30" s="9" t="s">
        <v>282</v>
      </c>
      <c r="O30" s="3">
        <f>ROUND(P30*1.1*1.02,0)</f>
        <v>25687</v>
      </c>
      <c r="P30" s="9">
        <v>22893.9</v>
      </c>
      <c r="Q30" s="9">
        <v>3202031</v>
      </c>
      <c r="R30" s="9">
        <v>3202031</v>
      </c>
      <c r="S30" s="9">
        <v>3202031</v>
      </c>
      <c r="T30" s="9">
        <v>3401031</v>
      </c>
      <c r="U30" s="9">
        <v>3300032</v>
      </c>
      <c r="V30" s="9">
        <v>3300032</v>
      </c>
      <c r="W30" s="9">
        <v>3</v>
      </c>
      <c r="X30" s="9">
        <v>3</v>
      </c>
      <c r="Y30" s="9">
        <v>3</v>
      </c>
      <c r="Z30" s="9">
        <v>3</v>
      </c>
      <c r="AA30" s="9">
        <v>3</v>
      </c>
      <c r="AB30" s="9">
        <v>3</v>
      </c>
      <c r="AC30" s="9">
        <f t="shared" si="26"/>
        <v>112</v>
      </c>
      <c r="AD30" s="9">
        <f t="shared" si="27"/>
        <v>112</v>
      </c>
      <c r="AE30" s="9">
        <f t="shared" si="28"/>
        <v>112</v>
      </c>
      <c r="AF30" s="9">
        <f t="shared" si="29"/>
        <v>112</v>
      </c>
      <c r="AG30" s="9">
        <f t="shared" si="30"/>
        <v>112</v>
      </c>
      <c r="AH30" s="9">
        <f t="shared" si="31"/>
        <v>112</v>
      </c>
      <c r="AI30" s="7">
        <f t="shared" si="32"/>
        <v>3815.65</v>
      </c>
      <c r="AJ30" s="7">
        <f t="shared" si="32"/>
        <v>3815.65</v>
      </c>
      <c r="AK30" s="7">
        <f t="shared" si="32"/>
        <v>3815.65</v>
      </c>
      <c r="AL30" s="7">
        <f t="shared" si="32"/>
        <v>3815.65</v>
      </c>
      <c r="AM30" s="7">
        <f t="shared" si="32"/>
        <v>3815.65</v>
      </c>
      <c r="AN30" s="7">
        <f t="shared" si="32"/>
        <v>3815.65</v>
      </c>
      <c r="AO30" s="16"/>
      <c r="AP30" s="7"/>
      <c r="AQ30" s="9">
        <v>4</v>
      </c>
      <c r="AR30" s="9">
        <f t="shared" si="33"/>
        <v>82</v>
      </c>
      <c r="AS30" s="7">
        <f t="shared" si="34"/>
        <v>52</v>
      </c>
      <c r="AT30" s="7"/>
      <c r="AU30" s="16"/>
      <c r="AV30" s="7"/>
      <c r="AW30" s="7"/>
      <c r="AX30" s="7"/>
      <c r="AZ30" s="7"/>
      <c r="BA30" s="9">
        <f t="shared" si="39"/>
        <v>5320.0000000000018</v>
      </c>
      <c r="BC30" s="5">
        <f t="shared" si="35"/>
        <v>107</v>
      </c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7"/>
      <c r="BQ30" s="18"/>
      <c r="BR30" s="18">
        <v>4300041</v>
      </c>
      <c r="BS30" s="18">
        <f>[1]monsters!$N30</f>
        <v>208.32</v>
      </c>
      <c r="BT30" s="18">
        <f>[1]monsters!$O30</f>
        <v>20.83</v>
      </c>
      <c r="BU30" s="18">
        <f>[1]monsters!$P30</f>
        <v>867.1</v>
      </c>
      <c r="BV30" s="18">
        <f>[1]monsters!$Q30</f>
        <v>86.71</v>
      </c>
      <c r="BW30" s="18">
        <f>[1]monsters!$R30</f>
        <v>20.83</v>
      </c>
      <c r="BX30" s="18">
        <f>[1]monsters!$S30</f>
        <v>2.08</v>
      </c>
      <c r="BY30" s="18">
        <f>[1]monsters!$K30</f>
        <v>1.8</v>
      </c>
      <c r="BZ30" s="5">
        <f>[1]monsters!$D30</f>
        <v>6</v>
      </c>
      <c r="CA30" s="5">
        <f t="shared" si="36"/>
        <v>0.1</v>
      </c>
      <c r="CB30" s="5">
        <f t="shared" si="37"/>
        <v>226.05768619528621</v>
      </c>
      <c r="CC30" s="5">
        <f t="shared" si="38"/>
        <v>22.605768619528622</v>
      </c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>
        <v>0</v>
      </c>
      <c r="CR30" s="3" t="b">
        <f t="shared" si="2"/>
        <v>1</v>
      </c>
      <c r="CS30" s="3" t="b">
        <f t="shared" si="3"/>
        <v>1</v>
      </c>
      <c r="CT30" s="3" t="b">
        <f t="shared" si="4"/>
        <v>1</v>
      </c>
      <c r="CU30" s="3" t="b">
        <f t="shared" si="5"/>
        <v>1</v>
      </c>
      <c r="CV30" s="3" t="b">
        <f t="shared" si="6"/>
        <v>1</v>
      </c>
      <c r="CW30" s="3" t="b">
        <f t="shared" si="7"/>
        <v>1</v>
      </c>
      <c r="CX30" s="9" t="str">
        <f t="shared" si="8"/>
        <v>3202031</v>
      </c>
      <c r="CY30" s="9" t="str">
        <f t="shared" si="9"/>
        <v>3202031</v>
      </c>
      <c r="CZ30" s="9" t="str">
        <f t="shared" si="10"/>
        <v>3202031</v>
      </c>
      <c r="DA30" s="9" t="str">
        <f t="shared" si="11"/>
        <v>3401031</v>
      </c>
      <c r="DB30" s="9" t="str">
        <f t="shared" si="12"/>
        <v>3300032</v>
      </c>
      <c r="DC30" s="9" t="str">
        <f t="shared" si="13"/>
        <v>3300032</v>
      </c>
      <c r="DD30" s="9">
        <v>3</v>
      </c>
      <c r="DE30" s="9">
        <v>3</v>
      </c>
      <c r="DF30" s="9">
        <v>3</v>
      </c>
      <c r="DG30" s="9">
        <v>3</v>
      </c>
      <c r="DH30" s="9">
        <v>3</v>
      </c>
      <c r="DI30" s="9">
        <v>3</v>
      </c>
      <c r="DJ30" s="9">
        <v>3</v>
      </c>
      <c r="DK30" s="9">
        <v>3</v>
      </c>
      <c r="DL30" s="9">
        <v>3</v>
      </c>
      <c r="DM30" s="9">
        <v>3</v>
      </c>
      <c r="DN30" s="9">
        <v>3</v>
      </c>
      <c r="DO30" s="9">
        <v>3</v>
      </c>
      <c r="DP30" s="25" t="s">
        <v>111</v>
      </c>
      <c r="DQ30" s="25" t="s">
        <v>111</v>
      </c>
      <c r="DR30" s="25" t="s">
        <v>111</v>
      </c>
      <c r="DS30" s="26" t="s">
        <v>117</v>
      </c>
      <c r="DT30" s="25" t="s">
        <v>115</v>
      </c>
      <c r="DU30" s="25" t="s">
        <v>115</v>
      </c>
      <c r="DV30" s="25">
        <f t="shared" si="14"/>
        <v>1</v>
      </c>
      <c r="DW30" s="25">
        <f t="shared" si="15"/>
        <v>1</v>
      </c>
      <c r="DX30" s="25">
        <f t="shared" si="16"/>
        <v>1</v>
      </c>
      <c r="DY30" s="25">
        <f t="shared" si="17"/>
        <v>2</v>
      </c>
      <c r="DZ30" s="25">
        <f t="shared" si="18"/>
        <v>2</v>
      </c>
      <c r="EA30" s="3">
        <f t="shared" si="19"/>
        <v>2</v>
      </c>
      <c r="EB30" s="32"/>
      <c r="EC30" s="5">
        <v>3602041</v>
      </c>
      <c r="ED30" s="31" t="s">
        <v>133</v>
      </c>
      <c r="EE30" s="8">
        <v>2</v>
      </c>
      <c r="EF30" s="9">
        <v>303360101</v>
      </c>
      <c r="EG30" s="3" t="str">
        <f t="shared" si="20"/>
        <v>治疗血量最少的2名友军，恢复206%攻击等量的生命。</v>
      </c>
      <c r="EQ30" s="9">
        <v>505360101</v>
      </c>
      <c r="ER30" s="9" t="s">
        <v>150</v>
      </c>
    </row>
    <row r="31" spans="1:148" ht="13.5" customHeight="1">
      <c r="A31" s="9">
        <v>28</v>
      </c>
      <c r="B31" s="9">
        <v>1</v>
      </c>
      <c r="C31" s="9">
        <v>2001</v>
      </c>
      <c r="D31" s="9">
        <f t="shared" si="40"/>
        <v>26615</v>
      </c>
      <c r="E31" s="9" t="str">
        <f t="shared" si="22"/>
        <v>3202031,3201032,3201032,3501033,3500032,3401031</v>
      </c>
      <c r="F31" s="9" t="str">
        <f t="shared" si="23"/>
        <v>3,3,3,3,3,3</v>
      </c>
      <c r="G31" s="9" t="str">
        <f t="shared" si="24"/>
        <v>113,113,113,113,113,113</v>
      </c>
      <c r="H31" s="9">
        <v>38</v>
      </c>
      <c r="I31" s="9" t="s">
        <v>278</v>
      </c>
      <c r="J31" s="9" t="s">
        <v>279</v>
      </c>
      <c r="K31" s="9" t="s">
        <v>279</v>
      </c>
      <c r="L31" s="9" t="s">
        <v>279</v>
      </c>
      <c r="M31" s="9" t="s">
        <v>282</v>
      </c>
      <c r="O31" s="3">
        <f>ROUND(P31*1.1*1.03,0)</f>
        <v>26615</v>
      </c>
      <c r="P31" s="9">
        <v>23490.6</v>
      </c>
      <c r="Q31" s="9">
        <v>3202031</v>
      </c>
      <c r="R31" s="9">
        <v>3201032</v>
      </c>
      <c r="S31" s="9">
        <v>3201032</v>
      </c>
      <c r="T31" s="9">
        <v>3501033</v>
      </c>
      <c r="U31" s="9">
        <v>3500032</v>
      </c>
      <c r="V31" s="9">
        <v>3401031</v>
      </c>
      <c r="W31" s="9">
        <v>3</v>
      </c>
      <c r="X31" s="9">
        <v>3</v>
      </c>
      <c r="Y31" s="9">
        <v>3</v>
      </c>
      <c r="Z31" s="9">
        <v>3</v>
      </c>
      <c r="AA31" s="9">
        <v>3</v>
      </c>
      <c r="AB31" s="9">
        <v>3</v>
      </c>
      <c r="AC31" s="9">
        <f t="shared" si="26"/>
        <v>113</v>
      </c>
      <c r="AD31" s="9">
        <f t="shared" si="27"/>
        <v>113</v>
      </c>
      <c r="AE31" s="9">
        <f t="shared" si="28"/>
        <v>113</v>
      </c>
      <c r="AF31" s="9">
        <f t="shared" si="29"/>
        <v>113</v>
      </c>
      <c r="AG31" s="9">
        <f t="shared" si="30"/>
        <v>113</v>
      </c>
      <c r="AH31" s="9">
        <f t="shared" si="31"/>
        <v>113</v>
      </c>
      <c r="AI31" s="7">
        <f t="shared" si="32"/>
        <v>3915.1</v>
      </c>
      <c r="AJ31" s="7">
        <f t="shared" si="32"/>
        <v>3915.1</v>
      </c>
      <c r="AK31" s="7">
        <f t="shared" si="32"/>
        <v>3915.1</v>
      </c>
      <c r="AL31" s="7">
        <f t="shared" si="32"/>
        <v>3915.1</v>
      </c>
      <c r="AM31" s="7">
        <f t="shared" si="32"/>
        <v>3915.1</v>
      </c>
      <c r="AN31" s="7">
        <f t="shared" si="32"/>
        <v>3915.1</v>
      </c>
      <c r="AO31" s="16"/>
      <c r="AP31" s="7"/>
      <c r="AQ31" s="9">
        <v>4</v>
      </c>
      <c r="AR31" s="9">
        <f t="shared" si="33"/>
        <v>84</v>
      </c>
      <c r="AS31" s="7">
        <f t="shared" si="34"/>
        <v>53</v>
      </c>
      <c r="AT31" s="7"/>
      <c r="AU31" s="16"/>
      <c r="AV31" s="7"/>
      <c r="AW31" s="7"/>
      <c r="AX31" s="7"/>
      <c r="AZ31" s="7"/>
      <c r="BA31" s="9">
        <f t="shared" si="39"/>
        <v>5409.2307692307713</v>
      </c>
      <c r="BC31" s="5">
        <f t="shared" si="35"/>
        <v>108</v>
      </c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7"/>
      <c r="BQ31" s="18"/>
      <c r="BR31" s="18">
        <v>4401041</v>
      </c>
      <c r="BS31" s="18">
        <f>[1]monsters!$N31</f>
        <v>87.36</v>
      </c>
      <c r="BT31" s="18">
        <f>[1]monsters!$O31</f>
        <v>8.74</v>
      </c>
      <c r="BU31" s="18">
        <f>[1]monsters!$P31</f>
        <v>1493.33</v>
      </c>
      <c r="BV31" s="18">
        <f>[1]monsters!$Q31</f>
        <v>149.33000000000001</v>
      </c>
      <c r="BW31" s="18">
        <f>[1]monsters!$R31</f>
        <v>17.47</v>
      </c>
      <c r="BX31" s="18">
        <f>[1]monsters!$S31</f>
        <v>1.75</v>
      </c>
      <c r="BY31" s="18">
        <f>[1]monsters!$K31</f>
        <v>1.3</v>
      </c>
      <c r="BZ31" s="5">
        <f>[1]monsters!$D31</f>
        <v>3</v>
      </c>
      <c r="CA31" s="5">
        <f t="shared" si="36"/>
        <v>0.1</v>
      </c>
      <c r="CB31" s="5">
        <f t="shared" si="37"/>
        <v>132.83567138047138</v>
      </c>
      <c r="CC31" s="5">
        <f t="shared" si="38"/>
        <v>13.28356713804714</v>
      </c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>
        <v>0</v>
      </c>
      <c r="CR31" s="3" t="b">
        <f t="shared" si="2"/>
        <v>1</v>
      </c>
      <c r="CS31" s="3" t="b">
        <f t="shared" si="3"/>
        <v>1</v>
      </c>
      <c r="CT31" s="3" t="b">
        <f t="shared" si="4"/>
        <v>1</v>
      </c>
      <c r="CU31" s="3" t="b">
        <f t="shared" si="5"/>
        <v>1</v>
      </c>
      <c r="CV31" s="3" t="b">
        <f t="shared" si="6"/>
        <v>1</v>
      </c>
      <c r="CW31" s="3" t="b">
        <f t="shared" si="7"/>
        <v>1</v>
      </c>
      <c r="CX31" s="9" t="str">
        <f t="shared" si="8"/>
        <v>3202031</v>
      </c>
      <c r="CY31" s="9" t="str">
        <f t="shared" si="9"/>
        <v>3201032</v>
      </c>
      <c r="CZ31" s="9" t="str">
        <f t="shared" si="10"/>
        <v>3201032</v>
      </c>
      <c r="DA31" s="9" t="str">
        <f t="shared" si="11"/>
        <v>3501033</v>
      </c>
      <c r="DB31" s="9" t="str">
        <f t="shared" si="12"/>
        <v>3500032</v>
      </c>
      <c r="DC31" s="9" t="str">
        <f t="shared" si="13"/>
        <v>3401031</v>
      </c>
      <c r="DD31" s="9">
        <v>3</v>
      </c>
      <c r="DE31" s="9">
        <v>3</v>
      </c>
      <c r="DF31" s="9">
        <v>3</v>
      </c>
      <c r="DG31" s="9">
        <v>3</v>
      </c>
      <c r="DH31" s="9">
        <v>3</v>
      </c>
      <c r="DI31" s="9">
        <v>3</v>
      </c>
      <c r="DJ31" s="9">
        <v>3</v>
      </c>
      <c r="DK31" s="9">
        <v>3</v>
      </c>
      <c r="DL31" s="9">
        <v>3</v>
      </c>
      <c r="DM31" s="9">
        <v>3</v>
      </c>
      <c r="DN31" s="9">
        <v>3</v>
      </c>
      <c r="DO31" s="9">
        <v>3</v>
      </c>
      <c r="DP31" s="25" t="s">
        <v>111</v>
      </c>
      <c r="DQ31" s="25" t="s">
        <v>114</v>
      </c>
      <c r="DR31" s="25" t="s">
        <v>114</v>
      </c>
      <c r="DS31" s="26" t="s">
        <v>121</v>
      </c>
      <c r="DT31" s="26" t="s">
        <v>109</v>
      </c>
      <c r="DU31" s="26" t="s">
        <v>117</v>
      </c>
      <c r="DV31" s="26">
        <f t="shared" si="14"/>
        <v>1</v>
      </c>
      <c r="DW31" s="26">
        <f t="shared" si="15"/>
        <v>1</v>
      </c>
      <c r="DX31" s="26">
        <f t="shared" si="16"/>
        <v>1</v>
      </c>
      <c r="DY31" s="26">
        <f t="shared" si="17"/>
        <v>2</v>
      </c>
      <c r="DZ31" s="26">
        <f t="shared" si="18"/>
        <v>2</v>
      </c>
      <c r="EA31" s="3">
        <f t="shared" si="19"/>
        <v>2</v>
      </c>
      <c r="EB31" s="32"/>
      <c r="EC31" s="5">
        <v>3300042</v>
      </c>
      <c r="ED31" s="31" t="s">
        <v>115</v>
      </c>
      <c r="EE31" s="8">
        <v>2</v>
      </c>
      <c r="EF31" s="9">
        <v>303450101</v>
      </c>
      <c r="EG31" s="3" t="str">
        <f t="shared" si="20"/>
        <v>对随机3名敌人造成137%攻击伤害。</v>
      </c>
      <c r="EQ31" s="9">
        <v>505450101</v>
      </c>
      <c r="ER31" s="9" t="s">
        <v>151</v>
      </c>
    </row>
    <row r="32" spans="1:148" ht="13.5" customHeight="1">
      <c r="A32" s="9">
        <v>29</v>
      </c>
      <c r="B32" s="9">
        <v>1</v>
      </c>
      <c r="C32" s="9">
        <v>2001</v>
      </c>
      <c r="D32" s="9">
        <f t="shared" si="40"/>
        <v>28976</v>
      </c>
      <c r="E32" s="9" t="str">
        <f t="shared" si="22"/>
        <v>3200033,3301031,3202031,3402033,3300032,3500032</v>
      </c>
      <c r="F32" s="9" t="str">
        <f t="shared" si="23"/>
        <v>3,3,3,3,3,3</v>
      </c>
      <c r="G32" s="9" t="str">
        <f t="shared" si="24"/>
        <v>118,118,118,118,118,118</v>
      </c>
      <c r="H32" s="9">
        <v>38</v>
      </c>
      <c r="I32" s="9" t="s">
        <v>278</v>
      </c>
      <c r="J32" s="9" t="s">
        <v>279</v>
      </c>
      <c r="K32" s="9" t="s">
        <v>279</v>
      </c>
      <c r="L32" s="9" t="s">
        <v>279</v>
      </c>
      <c r="M32" s="9" t="s">
        <v>282</v>
      </c>
      <c r="O32" s="3">
        <f>ROUND(P32*1.1*1.04,0)</f>
        <v>28976</v>
      </c>
      <c r="P32" s="9">
        <v>25328.3</v>
      </c>
      <c r="Q32" s="9">
        <v>3200033</v>
      </c>
      <c r="R32" s="9">
        <v>3301031</v>
      </c>
      <c r="S32" s="9">
        <v>3202031</v>
      </c>
      <c r="T32" s="9">
        <v>3402033</v>
      </c>
      <c r="U32" s="9">
        <v>3300032</v>
      </c>
      <c r="V32" s="9">
        <v>3500032</v>
      </c>
      <c r="W32" s="9">
        <v>3</v>
      </c>
      <c r="X32" s="9">
        <v>3</v>
      </c>
      <c r="Y32" s="9">
        <v>3</v>
      </c>
      <c r="Z32" s="9">
        <v>3</v>
      </c>
      <c r="AA32" s="9">
        <v>3</v>
      </c>
      <c r="AB32" s="9">
        <v>3</v>
      </c>
      <c r="AC32" s="9">
        <f t="shared" si="26"/>
        <v>118</v>
      </c>
      <c r="AD32" s="9">
        <f t="shared" si="27"/>
        <v>118</v>
      </c>
      <c r="AE32" s="9">
        <f t="shared" si="28"/>
        <v>118</v>
      </c>
      <c r="AF32" s="9">
        <f t="shared" si="29"/>
        <v>118</v>
      </c>
      <c r="AG32" s="9">
        <f t="shared" si="30"/>
        <v>118</v>
      </c>
      <c r="AH32" s="9">
        <f t="shared" si="31"/>
        <v>118</v>
      </c>
      <c r="AI32" s="7">
        <f t="shared" si="32"/>
        <v>4221.3833333333332</v>
      </c>
      <c r="AJ32" s="7">
        <f t="shared" si="32"/>
        <v>4221.3833333333332</v>
      </c>
      <c r="AK32" s="7">
        <f t="shared" si="32"/>
        <v>4221.3833333333332</v>
      </c>
      <c r="AL32" s="7">
        <f t="shared" si="32"/>
        <v>4221.3833333333332</v>
      </c>
      <c r="AM32" s="7">
        <f t="shared" si="32"/>
        <v>4221.3833333333332</v>
      </c>
      <c r="AN32" s="7">
        <f t="shared" si="32"/>
        <v>4221.3833333333332</v>
      </c>
      <c r="AO32" s="16"/>
      <c r="AP32" s="7"/>
      <c r="AQ32" s="9">
        <v>4</v>
      </c>
      <c r="AR32" s="9">
        <f t="shared" si="33"/>
        <v>87</v>
      </c>
      <c r="AS32" s="7">
        <f t="shared" si="34"/>
        <v>54</v>
      </c>
      <c r="AT32" s="7"/>
      <c r="AU32" s="16"/>
      <c r="AV32" s="7"/>
      <c r="AW32" s="7"/>
      <c r="AX32" s="7"/>
      <c r="AZ32" s="7"/>
      <c r="BA32" s="9">
        <f t="shared" si="39"/>
        <v>5498.4615384615408</v>
      </c>
      <c r="BC32" s="5">
        <f t="shared" si="35"/>
        <v>113</v>
      </c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7"/>
      <c r="BQ32" s="18"/>
      <c r="BR32" s="18">
        <v>4500041</v>
      </c>
      <c r="BS32" s="18">
        <f>[1]monsters!$N32</f>
        <v>94.08</v>
      </c>
      <c r="BT32" s="18">
        <f>[1]monsters!$O32</f>
        <v>9.41</v>
      </c>
      <c r="BU32" s="18">
        <f>[1]monsters!$P32</f>
        <v>1493.33</v>
      </c>
      <c r="BV32" s="18">
        <f>[1]monsters!$Q32</f>
        <v>149.33000000000001</v>
      </c>
      <c r="BW32" s="18">
        <f>[1]monsters!$R32</f>
        <v>18.82</v>
      </c>
      <c r="BX32" s="18">
        <f>[1]monsters!$S32</f>
        <v>1.88</v>
      </c>
      <c r="BY32" s="18">
        <f>[1]monsters!$K32</f>
        <v>1.4</v>
      </c>
      <c r="BZ32" s="5">
        <f>[1]monsters!$D32</f>
        <v>3</v>
      </c>
      <c r="CA32" s="5">
        <f t="shared" si="36"/>
        <v>0.1</v>
      </c>
      <c r="CB32" s="5">
        <f t="shared" si="37"/>
        <v>139.18607138047139</v>
      </c>
      <c r="CC32" s="5">
        <f t="shared" si="38"/>
        <v>13.91860713804714</v>
      </c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>
        <v>0</v>
      </c>
      <c r="CR32" s="3" t="b">
        <f t="shared" si="2"/>
        <v>1</v>
      </c>
      <c r="CS32" s="3" t="b">
        <f t="shared" si="3"/>
        <v>1</v>
      </c>
      <c r="CT32" s="3" t="b">
        <f t="shared" si="4"/>
        <v>1</v>
      </c>
      <c r="CU32" s="3" t="b">
        <f t="shared" si="5"/>
        <v>1</v>
      </c>
      <c r="CV32" s="3" t="b">
        <f t="shared" si="6"/>
        <v>1</v>
      </c>
      <c r="CW32" s="3" t="b">
        <f t="shared" si="7"/>
        <v>1</v>
      </c>
      <c r="CX32" s="9" t="str">
        <f t="shared" si="8"/>
        <v>3200033</v>
      </c>
      <c r="CY32" s="9" t="str">
        <f t="shared" si="9"/>
        <v>3301031</v>
      </c>
      <c r="CZ32" s="9" t="str">
        <f t="shared" si="10"/>
        <v>3202031</v>
      </c>
      <c r="DA32" s="9" t="str">
        <f t="shared" si="11"/>
        <v>3402033</v>
      </c>
      <c r="DB32" s="9" t="str">
        <f t="shared" si="12"/>
        <v>3300032</v>
      </c>
      <c r="DC32" s="9" t="str">
        <f t="shared" si="13"/>
        <v>3500032</v>
      </c>
      <c r="DD32" s="9">
        <v>3</v>
      </c>
      <c r="DE32" s="9">
        <v>3</v>
      </c>
      <c r="DF32" s="9">
        <v>3</v>
      </c>
      <c r="DG32" s="9">
        <v>3</v>
      </c>
      <c r="DH32" s="9">
        <v>3</v>
      </c>
      <c r="DI32" s="9">
        <v>3</v>
      </c>
      <c r="DJ32" s="9">
        <v>3</v>
      </c>
      <c r="DK32" s="9">
        <v>3</v>
      </c>
      <c r="DL32" s="9">
        <v>3</v>
      </c>
      <c r="DM32" s="9">
        <v>3</v>
      </c>
      <c r="DN32" s="9">
        <v>3</v>
      </c>
      <c r="DO32" s="9">
        <v>3</v>
      </c>
      <c r="DP32" s="25" t="s">
        <v>113</v>
      </c>
      <c r="DQ32" s="26" t="s">
        <v>107</v>
      </c>
      <c r="DR32" s="25" t="s">
        <v>111</v>
      </c>
      <c r="DS32" s="26" t="s">
        <v>118</v>
      </c>
      <c r="DT32" s="26" t="s">
        <v>115</v>
      </c>
      <c r="DU32" s="28" t="s">
        <v>109</v>
      </c>
      <c r="DV32" s="28">
        <f t="shared" si="14"/>
        <v>1</v>
      </c>
      <c r="DW32" s="28">
        <f t="shared" si="15"/>
        <v>1</v>
      </c>
      <c r="DX32" s="28">
        <f t="shared" si="16"/>
        <v>1</v>
      </c>
      <c r="DY32" s="28">
        <f t="shared" si="17"/>
        <v>2</v>
      </c>
      <c r="DZ32" s="28">
        <f t="shared" si="18"/>
        <v>2</v>
      </c>
      <c r="EA32" s="3">
        <f t="shared" si="19"/>
        <v>2</v>
      </c>
      <c r="EB32" s="32"/>
      <c r="EC32" s="5">
        <v>3302043</v>
      </c>
      <c r="ED32" s="31" t="s">
        <v>108</v>
      </c>
      <c r="EE32" s="8">
        <v>1</v>
      </c>
      <c r="EF32" s="9">
        <v>303460001</v>
      </c>
      <c r="EG32" s="3" t="str">
        <f t="shared" si="20"/>
        <v>治疗血量最少的3名友军，恢复147%攻击等量的生命。</v>
      </c>
      <c r="EQ32" s="9">
        <v>505460001</v>
      </c>
      <c r="ER32" s="9" t="s">
        <v>152</v>
      </c>
    </row>
    <row r="33" spans="1:148" ht="13.5" customHeight="1">
      <c r="A33" s="9">
        <v>30</v>
      </c>
      <c r="B33" s="9">
        <v>1</v>
      </c>
      <c r="C33" s="9">
        <v>2001</v>
      </c>
      <c r="D33" s="9">
        <f t="shared" si="40"/>
        <v>31351</v>
      </c>
      <c r="E33" s="9" t="str">
        <f t="shared" si="22"/>
        <v>3201032,3201032,3201032,3402033,3402033,3402033</v>
      </c>
      <c r="F33" s="9" t="str">
        <f t="shared" si="23"/>
        <v>3,3,3,3,3,3</v>
      </c>
      <c r="G33" s="9" t="str">
        <f t="shared" si="24"/>
        <v>123,123,123,123,123,123</v>
      </c>
      <c r="H33" s="9">
        <v>40</v>
      </c>
      <c r="I33" s="3" t="s">
        <v>278</v>
      </c>
      <c r="J33" s="9" t="s">
        <v>279</v>
      </c>
      <c r="K33" s="9" t="s">
        <v>279</v>
      </c>
      <c r="L33" s="9" t="s">
        <v>279</v>
      </c>
      <c r="M33" s="9" t="s">
        <v>282</v>
      </c>
      <c r="O33" s="3">
        <f t="shared" ref="O33:O67" si="41">ROUND(P33*1.1*1.05,0)</f>
        <v>31351</v>
      </c>
      <c r="P33" s="9">
        <v>27143.9</v>
      </c>
      <c r="Q33" s="9">
        <v>3201032</v>
      </c>
      <c r="R33" s="9">
        <v>3201032</v>
      </c>
      <c r="S33" s="9">
        <v>3201032</v>
      </c>
      <c r="T33" s="9">
        <v>3402033</v>
      </c>
      <c r="U33" s="9">
        <v>3402033</v>
      </c>
      <c r="V33" s="9">
        <v>3402033</v>
      </c>
      <c r="W33" s="9">
        <v>3</v>
      </c>
      <c r="X33" s="9">
        <v>3</v>
      </c>
      <c r="Y33" s="9">
        <v>3</v>
      </c>
      <c r="Z33" s="9">
        <v>3</v>
      </c>
      <c r="AA33" s="9">
        <v>3</v>
      </c>
      <c r="AB33" s="9">
        <v>3</v>
      </c>
      <c r="AC33" s="9">
        <f t="shared" si="26"/>
        <v>123</v>
      </c>
      <c r="AD33" s="9">
        <f t="shared" si="27"/>
        <v>123</v>
      </c>
      <c r="AE33" s="9">
        <f t="shared" si="28"/>
        <v>123</v>
      </c>
      <c r="AF33" s="9">
        <f t="shared" si="29"/>
        <v>123</v>
      </c>
      <c r="AG33" s="9">
        <f t="shared" si="30"/>
        <v>123</v>
      </c>
      <c r="AH33" s="9">
        <f t="shared" si="31"/>
        <v>123</v>
      </c>
      <c r="AI33" s="7">
        <f t="shared" si="32"/>
        <v>4523.9833333333336</v>
      </c>
      <c r="AJ33" s="7">
        <f t="shared" si="32"/>
        <v>4523.9833333333336</v>
      </c>
      <c r="AK33" s="7">
        <f t="shared" si="32"/>
        <v>4523.9833333333336</v>
      </c>
      <c r="AL33" s="7">
        <f t="shared" si="32"/>
        <v>4523.9833333333336</v>
      </c>
      <c r="AM33" s="7">
        <f t="shared" si="32"/>
        <v>4523.9833333333336</v>
      </c>
      <c r="AN33" s="7">
        <f t="shared" si="32"/>
        <v>4523.9833333333336</v>
      </c>
      <c r="AO33" s="16"/>
      <c r="AP33" s="7"/>
      <c r="AQ33" s="9">
        <v>4</v>
      </c>
      <c r="AR33" s="9">
        <f t="shared" si="33"/>
        <v>91</v>
      </c>
      <c r="AS33" s="7">
        <f t="shared" si="34"/>
        <v>55</v>
      </c>
      <c r="AT33" s="7"/>
      <c r="AU33" s="16"/>
      <c r="AV33" s="7"/>
      <c r="AW33" s="7"/>
      <c r="AX33" s="7"/>
      <c r="AZ33" s="7"/>
      <c r="BA33" s="9">
        <f t="shared" si="39"/>
        <v>5587.6923076923104</v>
      </c>
      <c r="BC33" s="5">
        <f t="shared" si="35"/>
        <v>117</v>
      </c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7"/>
      <c r="BQ33" s="18"/>
      <c r="BR33" s="18">
        <v>4601041</v>
      </c>
      <c r="BS33" s="18">
        <f>[1]monsters!$N33</f>
        <v>125.44</v>
      </c>
      <c r="BT33" s="18">
        <f>[1]monsters!$O33</f>
        <v>12.54</v>
      </c>
      <c r="BU33" s="18">
        <f>[1]monsters!$P33</f>
        <v>1120</v>
      </c>
      <c r="BV33" s="18">
        <f>[1]monsters!$Q33</f>
        <v>112</v>
      </c>
      <c r="BW33" s="18">
        <f>[1]monsters!$R33</f>
        <v>17.920000000000002</v>
      </c>
      <c r="BX33" s="18">
        <f>[1]monsters!$S33</f>
        <v>1.79</v>
      </c>
      <c r="BY33" s="18">
        <f>[1]monsters!$K33</f>
        <v>1.4</v>
      </c>
      <c r="BZ33" s="5">
        <f>[1]monsters!$D33</f>
        <v>4</v>
      </c>
      <c r="CA33" s="5">
        <f t="shared" si="36"/>
        <v>0.1</v>
      </c>
      <c r="CB33" s="5">
        <f t="shared" si="37"/>
        <v>156.25123771043769</v>
      </c>
      <c r="CC33" s="5">
        <f t="shared" si="38"/>
        <v>15.62512377104377</v>
      </c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>
        <v>1</v>
      </c>
      <c r="CR33" s="3" t="b">
        <f t="shared" si="2"/>
        <v>1</v>
      </c>
      <c r="CS33" s="3" t="b">
        <f t="shared" si="3"/>
        <v>1</v>
      </c>
      <c r="CT33" s="3" t="b">
        <f t="shared" si="4"/>
        <v>1</v>
      </c>
      <c r="CU33" s="3" t="b">
        <f t="shared" si="5"/>
        <v>1</v>
      </c>
      <c r="CV33" s="3" t="b">
        <f t="shared" si="6"/>
        <v>1</v>
      </c>
      <c r="CW33" s="3" t="b">
        <f t="shared" si="7"/>
        <v>1</v>
      </c>
      <c r="CX33" s="9" t="str">
        <f t="shared" si="8"/>
        <v>3201032</v>
      </c>
      <c r="CY33" s="9" t="str">
        <f t="shared" si="9"/>
        <v>3201032</v>
      </c>
      <c r="CZ33" s="9" t="str">
        <f t="shared" si="10"/>
        <v>3201032</v>
      </c>
      <c r="DA33" s="9" t="str">
        <f t="shared" si="11"/>
        <v>3402033</v>
      </c>
      <c r="DB33" s="9" t="str">
        <f t="shared" si="12"/>
        <v>3402033</v>
      </c>
      <c r="DC33" s="9" t="str">
        <f t="shared" si="13"/>
        <v>3402033</v>
      </c>
      <c r="DD33" s="9">
        <v>3</v>
      </c>
      <c r="DE33" s="9">
        <v>3</v>
      </c>
      <c r="DF33" s="9">
        <v>3</v>
      </c>
      <c r="DG33" s="9">
        <v>3</v>
      </c>
      <c r="DH33" s="9">
        <v>3</v>
      </c>
      <c r="DI33" s="9">
        <v>3</v>
      </c>
      <c r="DJ33" s="9">
        <v>3</v>
      </c>
      <c r="DK33" s="9">
        <v>3</v>
      </c>
      <c r="DL33" s="9">
        <v>3</v>
      </c>
      <c r="DM33" s="9">
        <v>3</v>
      </c>
      <c r="DN33" s="9">
        <v>3</v>
      </c>
      <c r="DO33" s="9">
        <v>3</v>
      </c>
      <c r="DP33" s="25" t="s">
        <v>114</v>
      </c>
      <c r="DQ33" s="25" t="s">
        <v>114</v>
      </c>
      <c r="DR33" s="25" t="s">
        <v>114</v>
      </c>
      <c r="DS33" s="26" t="s">
        <v>118</v>
      </c>
      <c r="DT33" s="26" t="s">
        <v>118</v>
      </c>
      <c r="DU33" s="26" t="s">
        <v>118</v>
      </c>
      <c r="DV33" s="26">
        <f t="shared" si="14"/>
        <v>1</v>
      </c>
      <c r="DW33" s="26">
        <f t="shared" si="15"/>
        <v>1</v>
      </c>
      <c r="DX33" s="26">
        <f t="shared" si="16"/>
        <v>1</v>
      </c>
      <c r="DY33" s="26">
        <f t="shared" si="17"/>
        <v>2</v>
      </c>
      <c r="DZ33" s="26">
        <f t="shared" si="18"/>
        <v>2</v>
      </c>
      <c r="EA33" s="3">
        <f t="shared" si="19"/>
        <v>2</v>
      </c>
      <c r="EB33" s="32"/>
      <c r="EC33" s="5">
        <v>3400042</v>
      </c>
      <c r="ED33" s="31" t="s">
        <v>110</v>
      </c>
      <c r="EE33" s="8">
        <v>2</v>
      </c>
      <c r="EF33" s="9">
        <v>303460201</v>
      </c>
      <c r="EG33" s="3" t="str">
        <f t="shared" si="20"/>
        <v>治疗血量最少的3名友军，恢复124%攻击等量的生命。</v>
      </c>
      <c r="EQ33" s="9">
        <v>505460201</v>
      </c>
      <c r="ER33" s="9" t="s">
        <v>153</v>
      </c>
    </row>
    <row r="34" spans="1:148" ht="13.5" customHeight="1">
      <c r="A34" s="9">
        <v>31</v>
      </c>
      <c r="B34" s="9">
        <v>1</v>
      </c>
      <c r="C34" s="9">
        <v>2001</v>
      </c>
      <c r="D34" s="9">
        <f t="shared" si="40"/>
        <v>33201</v>
      </c>
      <c r="E34" s="9" t="str">
        <f t="shared" si="22"/>
        <v>3202041,3202041,3200043,3502041,3500042,3401041</v>
      </c>
      <c r="F34" s="9" t="str">
        <f t="shared" si="23"/>
        <v>4,4,4,4,4,4</v>
      </c>
      <c r="G34" s="9" t="str">
        <f t="shared" si="24"/>
        <v>102,104,104,104,104,104</v>
      </c>
      <c r="H34" s="9">
        <v>43</v>
      </c>
      <c r="I34" s="9" t="s">
        <v>278</v>
      </c>
      <c r="J34" s="9" t="s">
        <v>279</v>
      </c>
      <c r="K34" s="9" t="s">
        <v>279</v>
      </c>
      <c r="L34" s="9" t="s">
        <v>279</v>
      </c>
      <c r="M34" s="9" t="s">
        <v>282</v>
      </c>
      <c r="O34" s="3">
        <f t="shared" si="41"/>
        <v>33201</v>
      </c>
      <c r="P34" s="9">
        <v>28745.5</v>
      </c>
      <c r="Q34" s="9">
        <v>3202041</v>
      </c>
      <c r="R34" s="9">
        <v>3202041</v>
      </c>
      <c r="S34" s="9">
        <v>3200043</v>
      </c>
      <c r="T34" s="9">
        <v>3502041</v>
      </c>
      <c r="U34" s="9">
        <v>3500042</v>
      </c>
      <c r="V34" s="9">
        <v>3401041</v>
      </c>
      <c r="W34" s="9">
        <v>4</v>
      </c>
      <c r="X34" s="9">
        <v>4</v>
      </c>
      <c r="Y34" s="9">
        <v>4</v>
      </c>
      <c r="Z34" s="9">
        <v>4</v>
      </c>
      <c r="AA34" s="9">
        <v>4</v>
      </c>
      <c r="AB34" s="9">
        <v>4</v>
      </c>
      <c r="AC34" s="9">
        <f t="shared" si="26"/>
        <v>102</v>
      </c>
      <c r="AD34" s="9">
        <f t="shared" si="27"/>
        <v>104</v>
      </c>
      <c r="AE34" s="9">
        <f t="shared" si="28"/>
        <v>104</v>
      </c>
      <c r="AF34" s="9">
        <f t="shared" si="29"/>
        <v>104</v>
      </c>
      <c r="AG34" s="9">
        <f t="shared" si="30"/>
        <v>104</v>
      </c>
      <c r="AH34" s="9">
        <f t="shared" si="31"/>
        <v>104</v>
      </c>
      <c r="AI34" s="7">
        <f t="shared" si="32"/>
        <v>4790.916666666667</v>
      </c>
      <c r="AJ34" s="7">
        <f t="shared" si="32"/>
        <v>4790.916666666667</v>
      </c>
      <c r="AK34" s="7">
        <f t="shared" si="32"/>
        <v>4790.916666666667</v>
      </c>
      <c r="AL34" s="7">
        <f t="shared" si="32"/>
        <v>4790.916666666667</v>
      </c>
      <c r="AM34" s="7">
        <f t="shared" si="32"/>
        <v>4790.916666666667</v>
      </c>
      <c r="AN34" s="7">
        <f t="shared" si="32"/>
        <v>4790.916666666667</v>
      </c>
      <c r="AO34" s="16"/>
      <c r="AP34" s="7"/>
      <c r="AQ34" s="9">
        <v>4</v>
      </c>
      <c r="AR34" s="9">
        <f t="shared" si="33"/>
        <v>94</v>
      </c>
      <c r="AS34" s="7">
        <f t="shared" si="34"/>
        <v>56</v>
      </c>
      <c r="AT34" s="7"/>
      <c r="AU34" s="16"/>
      <c r="AV34" s="7"/>
      <c r="AW34" s="7"/>
      <c r="AX34" s="7"/>
      <c r="AZ34" s="7"/>
      <c r="BA34" s="9">
        <f t="shared" si="39"/>
        <v>5676.9230769230799</v>
      </c>
      <c r="BC34" s="5">
        <f t="shared" si="35"/>
        <v>94</v>
      </c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18"/>
      <c r="BQ34" s="18"/>
      <c r="BR34" s="18">
        <v>4301041</v>
      </c>
      <c r="BS34" s="18">
        <f>[1]monsters!$N34</f>
        <v>138.24</v>
      </c>
      <c r="BT34" s="18">
        <f>[1]monsters!$O34</f>
        <v>13.82</v>
      </c>
      <c r="BU34" s="18">
        <f>[1]monsters!$P34</f>
        <v>1706.67</v>
      </c>
      <c r="BV34" s="18">
        <f>[1]monsters!$Q34</f>
        <v>170.67</v>
      </c>
      <c r="BW34" s="18">
        <f>[1]monsters!$R34</f>
        <v>27.65</v>
      </c>
      <c r="BX34" s="18">
        <f>[1]monsters!$S34</f>
        <v>2.76</v>
      </c>
      <c r="BY34" s="18">
        <f>[1]monsters!$K34</f>
        <v>1.8</v>
      </c>
      <c r="BZ34" s="5">
        <f>[1]monsters!$D34</f>
        <v>2</v>
      </c>
      <c r="CA34" s="5">
        <f t="shared" si="36"/>
        <v>0.1</v>
      </c>
      <c r="CB34" s="5">
        <f t="shared" si="37"/>
        <v>188.10043636363639</v>
      </c>
      <c r="CC34" s="5">
        <f t="shared" si="38"/>
        <v>18.810043636363641</v>
      </c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>
        <v>0</v>
      </c>
      <c r="CR34" s="3" t="b">
        <f t="shared" si="2"/>
        <v>1</v>
      </c>
      <c r="CS34" s="3" t="b">
        <f t="shared" si="3"/>
        <v>1</v>
      </c>
      <c r="CT34" s="3" t="b">
        <f t="shared" si="4"/>
        <v>1</v>
      </c>
      <c r="CU34" s="3" t="b">
        <f t="shared" si="5"/>
        <v>1</v>
      </c>
      <c r="CV34" s="3" t="b">
        <f t="shared" si="6"/>
        <v>1</v>
      </c>
      <c r="CW34" s="3" t="b">
        <f t="shared" si="7"/>
        <v>1</v>
      </c>
      <c r="CX34" s="9" t="str">
        <f t="shared" si="8"/>
        <v>3202041</v>
      </c>
      <c r="CY34" s="9" t="str">
        <f t="shared" si="9"/>
        <v>3202041</v>
      </c>
      <c r="CZ34" s="9" t="str">
        <f t="shared" si="10"/>
        <v>3200043</v>
      </c>
      <c r="DA34" s="9" t="str">
        <f t="shared" si="11"/>
        <v>3502041</v>
      </c>
      <c r="DB34" s="9" t="str">
        <f t="shared" si="12"/>
        <v>3500042</v>
      </c>
      <c r="DC34" s="9" t="str">
        <f t="shared" si="13"/>
        <v>3401041</v>
      </c>
      <c r="DD34" s="9">
        <v>4</v>
      </c>
      <c r="DE34" s="9">
        <v>4</v>
      </c>
      <c r="DF34" s="9">
        <v>4</v>
      </c>
      <c r="DG34" s="9">
        <v>4</v>
      </c>
      <c r="DH34" s="9">
        <v>4</v>
      </c>
      <c r="DI34" s="9">
        <v>4</v>
      </c>
      <c r="DJ34" s="9">
        <v>3</v>
      </c>
      <c r="DK34" s="9">
        <v>3</v>
      </c>
      <c r="DL34" s="9">
        <v>3</v>
      </c>
      <c r="DM34" s="9">
        <v>3</v>
      </c>
      <c r="DN34" s="9">
        <v>3</v>
      </c>
      <c r="DO34" s="9">
        <v>3</v>
      </c>
      <c r="DP34" s="25" t="s">
        <v>111</v>
      </c>
      <c r="DQ34" s="27" t="s">
        <v>111</v>
      </c>
      <c r="DR34" s="27" t="s">
        <v>113</v>
      </c>
      <c r="DS34" s="25" t="s">
        <v>119</v>
      </c>
      <c r="DT34" s="25" t="s">
        <v>109</v>
      </c>
      <c r="DU34" s="27" t="s">
        <v>117</v>
      </c>
      <c r="DV34" s="25">
        <f t="shared" si="14"/>
        <v>1</v>
      </c>
      <c r="DW34" s="25">
        <f t="shared" si="15"/>
        <v>1</v>
      </c>
      <c r="DX34" s="25">
        <f t="shared" si="16"/>
        <v>1</v>
      </c>
      <c r="DY34" s="25">
        <f t="shared" si="17"/>
        <v>2</v>
      </c>
      <c r="DZ34" s="25">
        <f t="shared" si="18"/>
        <v>2</v>
      </c>
      <c r="EA34" s="3">
        <f t="shared" si="19"/>
        <v>2</v>
      </c>
      <c r="EB34" s="32"/>
      <c r="EC34" s="5">
        <v>3202051</v>
      </c>
      <c r="ED34" s="30" t="s">
        <v>111</v>
      </c>
      <c r="EE34" s="8">
        <v>1</v>
      </c>
      <c r="EF34" s="9">
        <v>303530001</v>
      </c>
      <c r="EG34" s="3" t="str">
        <f t="shared" si="20"/>
        <v>对随机1名敌人造成419%攻击伤害。</v>
      </c>
      <c r="EQ34" s="9">
        <v>505530001</v>
      </c>
      <c r="ER34" s="9" t="s">
        <v>154</v>
      </c>
    </row>
    <row r="35" spans="1:148" ht="13.5" customHeight="1">
      <c r="A35" s="9">
        <v>32</v>
      </c>
      <c r="B35" s="9">
        <v>1</v>
      </c>
      <c r="C35" s="9">
        <v>2001</v>
      </c>
      <c r="D35" s="9">
        <f t="shared" si="40"/>
        <v>34024</v>
      </c>
      <c r="E35" s="9" t="str">
        <f t="shared" si="22"/>
        <v>3200043,3200043,3200043,3502041,3402043,3502041</v>
      </c>
      <c r="F35" s="9" t="str">
        <f t="shared" si="23"/>
        <v>4,4,4,4,4,4</v>
      </c>
      <c r="G35" s="9" t="str">
        <f t="shared" si="24"/>
        <v>103,106,106,106,106,106</v>
      </c>
      <c r="H35" s="9">
        <v>43</v>
      </c>
      <c r="I35" s="9" t="s">
        <v>278</v>
      </c>
      <c r="J35" s="9" t="s">
        <v>279</v>
      </c>
      <c r="K35" s="9" t="s">
        <v>279</v>
      </c>
      <c r="L35" s="9" t="s">
        <v>279</v>
      </c>
      <c r="M35" s="9" t="s">
        <v>282</v>
      </c>
      <c r="O35" s="3">
        <f t="shared" si="41"/>
        <v>34024</v>
      </c>
      <c r="P35" s="9">
        <v>29457.75</v>
      </c>
      <c r="Q35" s="9">
        <v>3200043</v>
      </c>
      <c r="R35" s="9">
        <v>3200043</v>
      </c>
      <c r="S35" s="9">
        <v>3200043</v>
      </c>
      <c r="T35" s="9">
        <v>3502041</v>
      </c>
      <c r="U35" s="9">
        <v>3402043</v>
      </c>
      <c r="V35" s="9">
        <v>3502041</v>
      </c>
      <c r="W35" s="9">
        <v>4</v>
      </c>
      <c r="X35" s="9">
        <v>4</v>
      </c>
      <c r="Y35" s="9">
        <v>4</v>
      </c>
      <c r="Z35" s="9">
        <v>4</v>
      </c>
      <c r="AA35" s="9">
        <v>4</v>
      </c>
      <c r="AB35" s="9">
        <v>4</v>
      </c>
      <c r="AC35" s="9">
        <f t="shared" si="26"/>
        <v>103</v>
      </c>
      <c r="AD35" s="9">
        <f t="shared" si="27"/>
        <v>106</v>
      </c>
      <c r="AE35" s="9">
        <f t="shared" si="28"/>
        <v>106</v>
      </c>
      <c r="AF35" s="9">
        <f t="shared" si="29"/>
        <v>106</v>
      </c>
      <c r="AG35" s="9">
        <f t="shared" si="30"/>
        <v>106</v>
      </c>
      <c r="AH35" s="9">
        <f t="shared" si="31"/>
        <v>106</v>
      </c>
      <c r="AI35" s="7">
        <f t="shared" si="32"/>
        <v>4909.625</v>
      </c>
      <c r="AJ35" s="7">
        <f t="shared" si="32"/>
        <v>4909.625</v>
      </c>
      <c r="AK35" s="7">
        <f t="shared" si="32"/>
        <v>4909.625</v>
      </c>
      <c r="AL35" s="7">
        <f t="shared" si="32"/>
        <v>4909.625</v>
      </c>
      <c r="AM35" s="7">
        <f t="shared" si="32"/>
        <v>4909.625</v>
      </c>
      <c r="AN35" s="7">
        <f t="shared" si="32"/>
        <v>4909.625</v>
      </c>
      <c r="AO35" s="16"/>
      <c r="AP35" s="7"/>
      <c r="AQ35" s="9">
        <v>4</v>
      </c>
      <c r="AR35" s="9">
        <f t="shared" si="33"/>
        <v>95</v>
      </c>
      <c r="AS35" s="7">
        <f t="shared" si="34"/>
        <v>57</v>
      </c>
      <c r="AT35" s="7"/>
      <c r="AU35" s="16"/>
      <c r="AV35" s="7"/>
      <c r="AW35" s="7"/>
      <c r="AX35" s="7"/>
      <c r="AZ35" s="7"/>
      <c r="BA35" s="9">
        <f t="shared" si="39"/>
        <v>5766.1538461538494</v>
      </c>
      <c r="BC35" s="5">
        <f t="shared" si="35"/>
        <v>95</v>
      </c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18"/>
      <c r="BQ35" s="18"/>
      <c r="BR35" s="18">
        <v>4501041</v>
      </c>
      <c r="BS35" s="18">
        <f>[1]monsters!$N35</f>
        <v>92.16</v>
      </c>
      <c r="BT35" s="18">
        <f>[1]monsters!$O35</f>
        <v>9.2200000000000006</v>
      </c>
      <c r="BU35" s="18">
        <f>[1]monsters!$P35</f>
        <v>1706.67</v>
      </c>
      <c r="BV35" s="18">
        <f>[1]monsters!$Q35</f>
        <v>170.67</v>
      </c>
      <c r="BW35" s="18">
        <f>[1]monsters!$R35</f>
        <v>18.43</v>
      </c>
      <c r="BX35" s="18">
        <f>[1]monsters!$S35</f>
        <v>1.84</v>
      </c>
      <c r="BY35" s="18">
        <f>[1]monsters!$K35</f>
        <v>1.2</v>
      </c>
      <c r="BZ35" s="5">
        <f>[1]monsters!$D35</f>
        <v>3</v>
      </c>
      <c r="CA35" s="5">
        <f t="shared" si="36"/>
        <v>0.1</v>
      </c>
      <c r="CB35" s="5">
        <f t="shared" si="37"/>
        <v>144.55483636363635</v>
      </c>
      <c r="CC35" s="5">
        <f t="shared" si="38"/>
        <v>14.455483636363637</v>
      </c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>
        <v>0</v>
      </c>
      <c r="CR35" s="3" t="b">
        <f t="shared" si="2"/>
        <v>1</v>
      </c>
      <c r="CS35" s="3" t="b">
        <f t="shared" si="3"/>
        <v>1</v>
      </c>
      <c r="CT35" s="3" t="b">
        <f t="shared" si="4"/>
        <v>1</v>
      </c>
      <c r="CU35" s="3" t="b">
        <f t="shared" si="5"/>
        <v>1</v>
      </c>
      <c r="CV35" s="3" t="b">
        <f t="shared" si="6"/>
        <v>1</v>
      </c>
      <c r="CW35" s="3" t="b">
        <f t="shared" si="7"/>
        <v>1</v>
      </c>
      <c r="CX35" s="9" t="str">
        <f t="shared" si="8"/>
        <v>3200043</v>
      </c>
      <c r="CY35" s="9" t="str">
        <f t="shared" si="9"/>
        <v>3200043</v>
      </c>
      <c r="CZ35" s="9" t="str">
        <f t="shared" si="10"/>
        <v>3200043</v>
      </c>
      <c r="DA35" s="9" t="str">
        <f t="shared" si="11"/>
        <v>3502041</v>
      </c>
      <c r="DB35" s="9" t="str">
        <f t="shared" si="12"/>
        <v>3402043</v>
      </c>
      <c r="DC35" s="9" t="str">
        <f t="shared" si="13"/>
        <v>3502041</v>
      </c>
      <c r="DD35" s="9">
        <v>4</v>
      </c>
      <c r="DE35" s="9">
        <v>4</v>
      </c>
      <c r="DF35" s="9">
        <v>4</v>
      </c>
      <c r="DG35" s="9">
        <v>4</v>
      </c>
      <c r="DH35" s="9">
        <v>4</v>
      </c>
      <c r="DI35" s="9">
        <v>4</v>
      </c>
      <c r="DJ35" s="9">
        <v>3</v>
      </c>
      <c r="DK35" s="9">
        <v>3</v>
      </c>
      <c r="DL35" s="9">
        <v>3</v>
      </c>
      <c r="DM35" s="9">
        <v>3</v>
      </c>
      <c r="DN35" s="9">
        <v>3</v>
      </c>
      <c r="DO35" s="9">
        <v>3</v>
      </c>
      <c r="DP35" s="25" t="s">
        <v>113</v>
      </c>
      <c r="DQ35" s="25" t="s">
        <v>113</v>
      </c>
      <c r="DR35" s="25" t="s">
        <v>113</v>
      </c>
      <c r="DS35" s="25" t="s">
        <v>119</v>
      </c>
      <c r="DT35" s="25" t="s">
        <v>118</v>
      </c>
      <c r="DU35" s="27" t="s">
        <v>119</v>
      </c>
      <c r="DV35" s="25">
        <f t="shared" si="14"/>
        <v>1</v>
      </c>
      <c r="DW35" s="25">
        <f t="shared" si="15"/>
        <v>1</v>
      </c>
      <c r="DX35" s="25">
        <f t="shared" si="16"/>
        <v>1</v>
      </c>
      <c r="DY35" s="25">
        <f t="shared" si="17"/>
        <v>2</v>
      </c>
      <c r="DZ35" s="25">
        <f t="shared" si="18"/>
        <v>2</v>
      </c>
      <c r="EA35" s="3">
        <f t="shared" si="19"/>
        <v>2</v>
      </c>
      <c r="EB35" s="32"/>
      <c r="EC35" s="5">
        <v>3301051</v>
      </c>
      <c r="ED35" s="30" t="s">
        <v>107</v>
      </c>
      <c r="EE35" s="8">
        <v>1</v>
      </c>
      <c r="EF35" s="9">
        <v>303530201</v>
      </c>
      <c r="EG35" s="3" t="str">
        <f t="shared" si="20"/>
        <v>对距离最远的1名敌人造成413%攻击伤害。</v>
      </c>
      <c r="EQ35" s="9">
        <v>505530201</v>
      </c>
      <c r="ER35" s="9" t="s">
        <v>155</v>
      </c>
    </row>
    <row r="36" spans="1:148" ht="13.5" customHeight="1">
      <c r="A36" s="9">
        <v>33</v>
      </c>
      <c r="B36" s="9">
        <v>1</v>
      </c>
      <c r="C36" s="9">
        <v>2001</v>
      </c>
      <c r="D36" s="9">
        <f t="shared" si="40"/>
        <v>34978</v>
      </c>
      <c r="E36" s="9" t="str">
        <f t="shared" si="22"/>
        <v>3202041,3202041,3202041,3401041,3402043,3401041</v>
      </c>
      <c r="F36" s="9" t="str">
        <f t="shared" si="23"/>
        <v>4,4,4,4,4,4</v>
      </c>
      <c r="G36" s="9" t="str">
        <f t="shared" si="24"/>
        <v>105,107,107,107,107,107</v>
      </c>
      <c r="H36" s="9">
        <v>43</v>
      </c>
      <c r="I36" s="9" t="s">
        <v>278</v>
      </c>
      <c r="J36" s="9" t="s">
        <v>279</v>
      </c>
      <c r="K36" s="9" t="s">
        <v>279</v>
      </c>
      <c r="L36" s="9" t="s">
        <v>279</v>
      </c>
      <c r="M36" s="9" t="s">
        <v>282</v>
      </c>
      <c r="O36" s="3">
        <f t="shared" si="41"/>
        <v>34978</v>
      </c>
      <c r="P36" s="9">
        <v>30283.75</v>
      </c>
      <c r="Q36" s="9">
        <v>3202041</v>
      </c>
      <c r="R36" s="9">
        <v>3202041</v>
      </c>
      <c r="S36" s="9">
        <v>3202041</v>
      </c>
      <c r="T36" s="9">
        <v>3401041</v>
      </c>
      <c r="U36" s="9">
        <v>3402043</v>
      </c>
      <c r="V36" s="9">
        <v>3401041</v>
      </c>
      <c r="W36" s="9">
        <v>4</v>
      </c>
      <c r="X36" s="9">
        <v>4</v>
      </c>
      <c r="Y36" s="9">
        <v>4</v>
      </c>
      <c r="Z36" s="9">
        <v>4</v>
      </c>
      <c r="AA36" s="9">
        <v>4</v>
      </c>
      <c r="AB36" s="9">
        <v>4</v>
      </c>
      <c r="AC36" s="9">
        <f t="shared" si="26"/>
        <v>105</v>
      </c>
      <c r="AD36" s="9">
        <f t="shared" si="27"/>
        <v>107</v>
      </c>
      <c r="AE36" s="9">
        <f t="shared" si="28"/>
        <v>107</v>
      </c>
      <c r="AF36" s="9">
        <f t="shared" si="29"/>
        <v>107</v>
      </c>
      <c r="AG36" s="9">
        <f t="shared" si="30"/>
        <v>107</v>
      </c>
      <c r="AH36" s="9">
        <f t="shared" si="31"/>
        <v>107</v>
      </c>
      <c r="AI36" s="7">
        <f t="shared" si="32"/>
        <v>5047.291666666667</v>
      </c>
      <c r="AJ36" s="7">
        <f t="shared" si="32"/>
        <v>5047.291666666667</v>
      </c>
      <c r="AK36" s="7">
        <f t="shared" si="32"/>
        <v>5047.291666666667</v>
      </c>
      <c r="AL36" s="7">
        <f t="shared" si="32"/>
        <v>5047.291666666667</v>
      </c>
      <c r="AM36" s="7">
        <f t="shared" si="32"/>
        <v>5047.291666666667</v>
      </c>
      <c r="AN36" s="7">
        <f t="shared" si="32"/>
        <v>5047.291666666667</v>
      </c>
      <c r="AO36" s="16"/>
      <c r="AP36" s="7"/>
      <c r="AQ36" s="9">
        <v>4</v>
      </c>
      <c r="AR36" s="9">
        <f t="shared" si="33"/>
        <v>96</v>
      </c>
      <c r="AS36" s="7">
        <f t="shared" si="34"/>
        <v>58</v>
      </c>
      <c r="AT36" s="7"/>
      <c r="AU36" s="16"/>
      <c r="AV36" s="7"/>
      <c r="AW36" s="7"/>
      <c r="AX36" s="7"/>
      <c r="AZ36" s="7"/>
      <c r="BA36" s="9">
        <f t="shared" si="39"/>
        <v>5855.3846153846189</v>
      </c>
      <c r="BC36" s="5">
        <f t="shared" si="35"/>
        <v>96</v>
      </c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18"/>
      <c r="BQ36" s="18"/>
      <c r="BR36" s="18">
        <v>4202041</v>
      </c>
      <c r="BS36" s="18">
        <f>[1]monsters!$N36</f>
        <v>167.25</v>
      </c>
      <c r="BT36" s="18">
        <f>[1]monsters!$O36</f>
        <v>16.73</v>
      </c>
      <c r="BU36" s="18">
        <f>[1]monsters!$P36</f>
        <v>1097.1400000000001</v>
      </c>
      <c r="BV36" s="18">
        <f>[1]monsters!$Q36</f>
        <v>109.71</v>
      </c>
      <c r="BW36" s="18">
        <f>[1]monsters!$R36</f>
        <v>20.91</v>
      </c>
      <c r="BX36" s="18">
        <f>[1]monsters!$S36</f>
        <v>2.09</v>
      </c>
      <c r="BY36" s="18">
        <f>[1]monsters!$K36</f>
        <v>1.4</v>
      </c>
      <c r="BZ36" s="5">
        <f>[1]monsters!$D36</f>
        <v>5</v>
      </c>
      <c r="CA36" s="5">
        <f t="shared" si="36"/>
        <v>0.1</v>
      </c>
      <c r="CB36" s="5">
        <f t="shared" si="37"/>
        <v>194.99199074074076</v>
      </c>
      <c r="CC36" s="5">
        <f t="shared" si="38"/>
        <v>19.499199074074077</v>
      </c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>
        <v>0</v>
      </c>
      <c r="CR36" s="3" t="b">
        <f t="shared" si="2"/>
        <v>1</v>
      </c>
      <c r="CS36" s="3" t="b">
        <f t="shared" si="3"/>
        <v>1</v>
      </c>
      <c r="CT36" s="3" t="b">
        <f t="shared" si="4"/>
        <v>1</v>
      </c>
      <c r="CU36" s="3" t="b">
        <f t="shared" si="5"/>
        <v>1</v>
      </c>
      <c r="CV36" s="3" t="b">
        <f t="shared" si="6"/>
        <v>1</v>
      </c>
      <c r="CW36" s="3" t="b">
        <f t="shared" si="7"/>
        <v>1</v>
      </c>
      <c r="CX36" s="9" t="str">
        <f t="shared" si="8"/>
        <v>3202041</v>
      </c>
      <c r="CY36" s="9" t="str">
        <f t="shared" si="9"/>
        <v>3202041</v>
      </c>
      <c r="CZ36" s="9" t="str">
        <f t="shared" si="10"/>
        <v>3202041</v>
      </c>
      <c r="DA36" s="9" t="str">
        <f t="shared" si="11"/>
        <v>3401041</v>
      </c>
      <c r="DB36" s="9" t="str">
        <f t="shared" si="12"/>
        <v>3402043</v>
      </c>
      <c r="DC36" s="9" t="str">
        <f t="shared" si="13"/>
        <v>3401041</v>
      </c>
      <c r="DD36" s="9">
        <v>4</v>
      </c>
      <c r="DE36" s="9">
        <v>4</v>
      </c>
      <c r="DF36" s="9">
        <v>4</v>
      </c>
      <c r="DG36" s="9">
        <v>4</v>
      </c>
      <c r="DH36" s="9">
        <v>4</v>
      </c>
      <c r="DI36" s="9">
        <v>4</v>
      </c>
      <c r="DJ36" s="9">
        <v>3</v>
      </c>
      <c r="DK36" s="9">
        <v>3</v>
      </c>
      <c r="DL36" s="9">
        <v>3</v>
      </c>
      <c r="DM36" s="9">
        <v>3</v>
      </c>
      <c r="DN36" s="9">
        <v>3</v>
      </c>
      <c r="DO36" s="9">
        <v>3</v>
      </c>
      <c r="DP36" s="25" t="s">
        <v>111</v>
      </c>
      <c r="DQ36" s="25" t="s">
        <v>111</v>
      </c>
      <c r="DR36" s="25" t="s">
        <v>111</v>
      </c>
      <c r="DS36" s="25" t="s">
        <v>117</v>
      </c>
      <c r="DT36" s="25" t="s">
        <v>118</v>
      </c>
      <c r="DU36" s="25" t="s">
        <v>117</v>
      </c>
      <c r="DV36" s="25">
        <f t="shared" si="14"/>
        <v>1</v>
      </c>
      <c r="DW36" s="25">
        <f t="shared" si="15"/>
        <v>1</v>
      </c>
      <c r="DX36" s="25">
        <f t="shared" si="16"/>
        <v>1</v>
      </c>
      <c r="DY36" s="25">
        <f t="shared" si="17"/>
        <v>2</v>
      </c>
      <c r="DZ36" s="25">
        <f t="shared" si="18"/>
        <v>2</v>
      </c>
      <c r="EA36" s="3">
        <f t="shared" si="19"/>
        <v>2</v>
      </c>
      <c r="EB36" s="32"/>
      <c r="EC36" s="5">
        <v>3502051</v>
      </c>
      <c r="ED36" s="31" t="s">
        <v>119</v>
      </c>
      <c r="EE36" s="8">
        <v>2</v>
      </c>
      <c r="EF36" s="9">
        <v>303540001</v>
      </c>
      <c r="EG36" s="3" t="str">
        <f t="shared" si="20"/>
        <v>对随机4名敌人造成102%攻击伤害。</v>
      </c>
      <c r="EQ36" s="9">
        <v>505540001</v>
      </c>
      <c r="ER36" s="9" t="s">
        <v>156</v>
      </c>
    </row>
    <row r="37" spans="1:148" ht="13.5" customHeight="1">
      <c r="A37" s="9">
        <v>34</v>
      </c>
      <c r="B37" s="9">
        <v>1</v>
      </c>
      <c r="C37" s="9">
        <v>2001</v>
      </c>
      <c r="D37" s="9">
        <f t="shared" si="40"/>
        <v>35821</v>
      </c>
      <c r="E37" s="9" t="str">
        <f t="shared" si="22"/>
        <v>3202041,3202041,3202041,3500042,3500042,3500042</v>
      </c>
      <c r="F37" s="9" t="str">
        <f t="shared" si="23"/>
        <v>4,4,4,4,4,4</v>
      </c>
      <c r="G37" s="9" t="str">
        <f t="shared" si="24"/>
        <v>106,109,109,109,109,109</v>
      </c>
      <c r="H37" s="9">
        <v>43</v>
      </c>
      <c r="I37" s="9" t="s">
        <v>278</v>
      </c>
      <c r="J37" s="9" t="s">
        <v>279</v>
      </c>
      <c r="K37" s="9" t="s">
        <v>279</v>
      </c>
      <c r="L37" s="9" t="s">
        <v>279</v>
      </c>
      <c r="M37" s="9" t="s">
        <v>282</v>
      </c>
      <c r="O37" s="3">
        <f t="shared" si="41"/>
        <v>35821</v>
      </c>
      <c r="P37" s="9">
        <v>31013.5</v>
      </c>
      <c r="Q37" s="9">
        <v>3202041</v>
      </c>
      <c r="R37" s="9">
        <v>3202041</v>
      </c>
      <c r="S37" s="9">
        <v>3202041</v>
      </c>
      <c r="T37" s="9">
        <v>3500042</v>
      </c>
      <c r="U37" s="9">
        <v>3500042</v>
      </c>
      <c r="V37" s="9">
        <v>3500042</v>
      </c>
      <c r="W37" s="9">
        <v>4</v>
      </c>
      <c r="X37" s="9">
        <v>4</v>
      </c>
      <c r="Y37" s="9">
        <v>4</v>
      </c>
      <c r="Z37" s="9">
        <v>4</v>
      </c>
      <c r="AA37" s="9">
        <v>4</v>
      </c>
      <c r="AB37" s="9">
        <v>4</v>
      </c>
      <c r="AC37" s="9">
        <f t="shared" si="26"/>
        <v>106</v>
      </c>
      <c r="AD37" s="9">
        <f t="shared" si="27"/>
        <v>109</v>
      </c>
      <c r="AE37" s="9">
        <f t="shared" si="28"/>
        <v>109</v>
      </c>
      <c r="AF37" s="9">
        <f t="shared" si="29"/>
        <v>109</v>
      </c>
      <c r="AG37" s="9">
        <f t="shared" si="30"/>
        <v>109</v>
      </c>
      <c r="AH37" s="9">
        <f t="shared" si="31"/>
        <v>109</v>
      </c>
      <c r="AI37" s="7">
        <f t="shared" si="32"/>
        <v>5168.916666666667</v>
      </c>
      <c r="AJ37" s="7">
        <f t="shared" si="32"/>
        <v>5168.916666666667</v>
      </c>
      <c r="AK37" s="7">
        <f t="shared" si="32"/>
        <v>5168.916666666667</v>
      </c>
      <c r="AL37" s="7">
        <f t="shared" si="32"/>
        <v>5168.916666666667</v>
      </c>
      <c r="AM37" s="7">
        <f t="shared" si="32"/>
        <v>5168.916666666667</v>
      </c>
      <c r="AN37" s="7">
        <f t="shared" si="32"/>
        <v>5168.916666666667</v>
      </c>
      <c r="AO37" s="16"/>
      <c r="AP37" s="7"/>
      <c r="AQ37" s="9">
        <v>4</v>
      </c>
      <c r="AR37" s="9">
        <f t="shared" si="33"/>
        <v>98</v>
      </c>
      <c r="AS37" s="7">
        <f t="shared" si="34"/>
        <v>59</v>
      </c>
      <c r="AT37" s="7"/>
      <c r="AU37" s="16"/>
      <c r="AV37" s="7"/>
      <c r="AW37" s="7"/>
      <c r="AX37" s="7"/>
      <c r="AZ37" s="7"/>
      <c r="BA37" s="9">
        <f t="shared" si="39"/>
        <v>5944.6153846153884</v>
      </c>
      <c r="BC37" s="5">
        <f t="shared" si="35"/>
        <v>98</v>
      </c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18"/>
      <c r="BQ37" s="18"/>
      <c r="BR37" s="18">
        <v>4200042</v>
      </c>
      <c r="BS37" s="18">
        <f>[1]monsters!$N37</f>
        <v>122.88</v>
      </c>
      <c r="BT37" s="18">
        <f>[1]monsters!$O37</f>
        <v>12.29</v>
      </c>
      <c r="BU37" s="18">
        <f>[1]monsters!$P37</f>
        <v>1920</v>
      </c>
      <c r="BV37" s="18">
        <f>[1]monsters!$Q37</f>
        <v>192</v>
      </c>
      <c r="BW37" s="18">
        <f>[1]monsters!$R37</f>
        <v>40.96</v>
      </c>
      <c r="BX37" s="18">
        <f>[1]monsters!$S37</f>
        <v>4.0999999999999996</v>
      </c>
      <c r="BY37" s="18">
        <f>[1]monsters!$K37</f>
        <v>1.8</v>
      </c>
      <c r="BZ37" s="5">
        <f>[1]monsters!$D37</f>
        <v>2</v>
      </c>
      <c r="CA37" s="5">
        <f t="shared" si="36"/>
        <v>0.1</v>
      </c>
      <c r="CB37" s="5">
        <f t="shared" si="37"/>
        <v>180.76806464646464</v>
      </c>
      <c r="CC37" s="5">
        <f t="shared" si="38"/>
        <v>18.076806464646463</v>
      </c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>
        <v>0</v>
      </c>
      <c r="CR37" s="3" t="b">
        <f t="shared" si="2"/>
        <v>1</v>
      </c>
      <c r="CS37" s="3" t="b">
        <f t="shared" si="3"/>
        <v>1</v>
      </c>
      <c r="CT37" s="3" t="b">
        <f t="shared" si="4"/>
        <v>1</v>
      </c>
      <c r="CU37" s="3" t="b">
        <f t="shared" si="5"/>
        <v>1</v>
      </c>
      <c r="CV37" s="3" t="b">
        <f t="shared" si="6"/>
        <v>1</v>
      </c>
      <c r="CW37" s="3" t="b">
        <f t="shared" si="7"/>
        <v>1</v>
      </c>
      <c r="CX37" s="9" t="str">
        <f t="shared" si="8"/>
        <v>3202041</v>
      </c>
      <c r="CY37" s="9" t="str">
        <f t="shared" si="9"/>
        <v>3202041</v>
      </c>
      <c r="CZ37" s="9" t="str">
        <f t="shared" si="10"/>
        <v>3202041</v>
      </c>
      <c r="DA37" s="9" t="str">
        <f t="shared" si="11"/>
        <v>3500042</v>
      </c>
      <c r="DB37" s="9" t="str">
        <f t="shared" si="12"/>
        <v>3500042</v>
      </c>
      <c r="DC37" s="9" t="str">
        <f t="shared" si="13"/>
        <v>3500042</v>
      </c>
      <c r="DD37" s="9">
        <v>4</v>
      </c>
      <c r="DE37" s="9">
        <v>4</v>
      </c>
      <c r="DF37" s="9">
        <v>4</v>
      </c>
      <c r="DG37" s="9">
        <v>4</v>
      </c>
      <c r="DH37" s="9">
        <v>4</v>
      </c>
      <c r="DI37" s="9">
        <v>4</v>
      </c>
      <c r="DJ37" s="9">
        <v>3</v>
      </c>
      <c r="DK37" s="9">
        <v>3</v>
      </c>
      <c r="DL37" s="9">
        <v>3</v>
      </c>
      <c r="DM37" s="9">
        <v>3</v>
      </c>
      <c r="DN37" s="9">
        <v>3</v>
      </c>
      <c r="DO37" s="9">
        <v>3</v>
      </c>
      <c r="DP37" s="25" t="s">
        <v>111</v>
      </c>
      <c r="DQ37" s="25" t="s">
        <v>111</v>
      </c>
      <c r="DR37" s="25" t="s">
        <v>111</v>
      </c>
      <c r="DS37" s="25" t="s">
        <v>109</v>
      </c>
      <c r="DT37" s="25" t="s">
        <v>109</v>
      </c>
      <c r="DU37" s="25" t="s">
        <v>109</v>
      </c>
      <c r="DV37" s="25">
        <f t="shared" si="14"/>
        <v>1</v>
      </c>
      <c r="DW37" s="25">
        <f t="shared" si="15"/>
        <v>1</v>
      </c>
      <c r="DX37" s="25">
        <f t="shared" si="16"/>
        <v>1</v>
      </c>
      <c r="DY37" s="25">
        <f t="shared" si="17"/>
        <v>2</v>
      </c>
      <c r="DZ37" s="25">
        <f t="shared" si="18"/>
        <v>2</v>
      </c>
      <c r="EA37" s="3">
        <f t="shared" si="19"/>
        <v>2</v>
      </c>
      <c r="EB37" s="32"/>
      <c r="EC37" s="5">
        <v>3201052</v>
      </c>
      <c r="ED37" s="31" t="s">
        <v>114</v>
      </c>
      <c r="EE37" s="8">
        <v>1</v>
      </c>
      <c r="EQ37" s="9">
        <v>303120001</v>
      </c>
      <c r="ER37" s="9" t="s">
        <v>157</v>
      </c>
    </row>
    <row r="38" spans="1:148" ht="13.5" customHeight="1">
      <c r="A38" s="9">
        <v>35</v>
      </c>
      <c r="B38" s="9">
        <v>1</v>
      </c>
      <c r="C38" s="9">
        <v>2001</v>
      </c>
      <c r="D38" s="9">
        <f t="shared" si="40"/>
        <v>36799</v>
      </c>
      <c r="E38" s="9" t="str">
        <f t="shared" si="22"/>
        <v>3202041,3202041,3202041,3300042,3501043,3300042</v>
      </c>
      <c r="F38" s="9" t="str">
        <f t="shared" si="23"/>
        <v>4,4,4,4,4,4</v>
      </c>
      <c r="G38" s="9" t="str">
        <f t="shared" si="24"/>
        <v>108,110,110,110,110,110</v>
      </c>
      <c r="H38" s="9">
        <v>44</v>
      </c>
      <c r="I38" s="9" t="s">
        <v>278</v>
      </c>
      <c r="J38" s="9" t="s">
        <v>279</v>
      </c>
      <c r="K38" s="9" t="s">
        <v>279</v>
      </c>
      <c r="L38" s="9" t="s">
        <v>279</v>
      </c>
      <c r="M38" s="9" t="s">
        <v>282</v>
      </c>
      <c r="O38" s="3">
        <f t="shared" si="41"/>
        <v>36799</v>
      </c>
      <c r="P38" s="9">
        <v>31860.5</v>
      </c>
      <c r="Q38" s="9">
        <v>3202041</v>
      </c>
      <c r="R38" s="9">
        <v>3202041</v>
      </c>
      <c r="S38" s="9">
        <v>3202041</v>
      </c>
      <c r="T38" s="9">
        <v>3300042</v>
      </c>
      <c r="U38" s="9">
        <v>3501043</v>
      </c>
      <c r="V38" s="9">
        <v>3300042</v>
      </c>
      <c r="W38" s="9">
        <v>4</v>
      </c>
      <c r="X38" s="9">
        <v>4</v>
      </c>
      <c r="Y38" s="9">
        <v>4</v>
      </c>
      <c r="Z38" s="9">
        <v>4</v>
      </c>
      <c r="AA38" s="9">
        <v>4</v>
      </c>
      <c r="AB38" s="9">
        <v>4</v>
      </c>
      <c r="AC38" s="9">
        <f t="shared" si="26"/>
        <v>108</v>
      </c>
      <c r="AD38" s="9">
        <f t="shared" si="27"/>
        <v>110</v>
      </c>
      <c r="AE38" s="9">
        <f t="shared" si="28"/>
        <v>110</v>
      </c>
      <c r="AF38" s="9">
        <f t="shared" si="29"/>
        <v>110</v>
      </c>
      <c r="AG38" s="9">
        <f t="shared" si="30"/>
        <v>110</v>
      </c>
      <c r="AH38" s="9">
        <f t="shared" si="31"/>
        <v>110</v>
      </c>
      <c r="AI38" s="7">
        <f t="shared" si="32"/>
        <v>5310.083333333333</v>
      </c>
      <c r="AJ38" s="7">
        <f t="shared" si="32"/>
        <v>5310.083333333333</v>
      </c>
      <c r="AK38" s="7">
        <f t="shared" si="32"/>
        <v>5310.083333333333</v>
      </c>
      <c r="AL38" s="7">
        <f t="shared" si="32"/>
        <v>5310.083333333333</v>
      </c>
      <c r="AM38" s="7">
        <f t="shared" si="32"/>
        <v>5310.083333333333</v>
      </c>
      <c r="AN38" s="7">
        <f t="shared" si="32"/>
        <v>5310.083333333333</v>
      </c>
      <c r="AO38" s="16"/>
      <c r="AP38" s="7"/>
      <c r="AQ38" s="9">
        <v>4</v>
      </c>
      <c r="AR38" s="9">
        <f t="shared" si="33"/>
        <v>99</v>
      </c>
      <c r="AS38" s="7">
        <f t="shared" si="34"/>
        <v>60</v>
      </c>
      <c r="AT38" s="7"/>
      <c r="AU38" s="16"/>
      <c r="AV38" s="7"/>
      <c r="AW38" s="7"/>
      <c r="AX38" s="7"/>
      <c r="AZ38" s="7"/>
      <c r="BA38" s="9">
        <f t="shared" si="39"/>
        <v>6033.8461538461579</v>
      </c>
      <c r="BC38" s="5">
        <f t="shared" si="35"/>
        <v>99</v>
      </c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18"/>
      <c r="BQ38" s="18"/>
      <c r="BR38" s="18">
        <v>4300042</v>
      </c>
      <c r="BS38" s="18">
        <f>[1]monsters!$N38</f>
        <v>179.2</v>
      </c>
      <c r="BT38" s="18">
        <f>[1]monsters!$O38</f>
        <v>17.920000000000002</v>
      </c>
      <c r="BU38" s="18">
        <f>[1]monsters!$P38</f>
        <v>1097.1400000000001</v>
      </c>
      <c r="BV38" s="18">
        <f>[1]monsters!$Q38</f>
        <v>109.71</v>
      </c>
      <c r="BW38" s="18">
        <f>[1]monsters!$R38</f>
        <v>22.4</v>
      </c>
      <c r="BX38" s="18">
        <f>[1]monsters!$S38</f>
        <v>2.2400000000000002</v>
      </c>
      <c r="BY38" s="18">
        <f>[1]monsters!$K38</f>
        <v>1.5</v>
      </c>
      <c r="BZ38" s="5">
        <f>[1]monsters!$D38</f>
        <v>5</v>
      </c>
      <c r="CA38" s="5">
        <f t="shared" si="36"/>
        <v>0.1</v>
      </c>
      <c r="CB38" s="5">
        <f t="shared" si="37"/>
        <v>206.28474074074074</v>
      </c>
      <c r="CC38" s="5">
        <f t="shared" si="38"/>
        <v>20.628474074074077</v>
      </c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>
        <v>1</v>
      </c>
      <c r="CR38" s="3" t="b">
        <f t="shared" si="2"/>
        <v>1</v>
      </c>
      <c r="CS38" s="3" t="b">
        <f t="shared" si="3"/>
        <v>1</v>
      </c>
      <c r="CT38" s="3" t="b">
        <f t="shared" si="4"/>
        <v>1</v>
      </c>
      <c r="CU38" s="3" t="b">
        <f t="shared" si="5"/>
        <v>1</v>
      </c>
      <c r="CV38" s="3" t="b">
        <f t="shared" si="6"/>
        <v>1</v>
      </c>
      <c r="CW38" s="3" t="b">
        <f t="shared" si="7"/>
        <v>1</v>
      </c>
      <c r="CX38" s="9" t="str">
        <f t="shared" si="8"/>
        <v>3202041</v>
      </c>
      <c r="CY38" s="9" t="str">
        <f t="shared" si="9"/>
        <v>3202041</v>
      </c>
      <c r="CZ38" s="9" t="str">
        <f t="shared" si="10"/>
        <v>3202041</v>
      </c>
      <c r="DA38" s="9" t="str">
        <f t="shared" si="11"/>
        <v>3300042</v>
      </c>
      <c r="DB38" s="9" t="str">
        <f t="shared" si="12"/>
        <v>3501043</v>
      </c>
      <c r="DC38" s="9" t="str">
        <f t="shared" si="13"/>
        <v>3300042</v>
      </c>
      <c r="DD38" s="9">
        <v>4</v>
      </c>
      <c r="DE38" s="9">
        <v>4</v>
      </c>
      <c r="DF38" s="9">
        <v>4</v>
      </c>
      <c r="DG38" s="9">
        <v>4</v>
      </c>
      <c r="DH38" s="9">
        <v>4</v>
      </c>
      <c r="DI38" s="9">
        <v>4</v>
      </c>
      <c r="DJ38" s="9">
        <v>3</v>
      </c>
      <c r="DK38" s="9">
        <v>3</v>
      </c>
      <c r="DL38" s="9">
        <v>3</v>
      </c>
      <c r="DM38" s="9">
        <v>3</v>
      </c>
      <c r="DN38" s="9">
        <v>3</v>
      </c>
      <c r="DO38" s="9">
        <v>3</v>
      </c>
      <c r="DP38" s="25" t="s">
        <v>111</v>
      </c>
      <c r="DQ38" s="25" t="s">
        <v>111</v>
      </c>
      <c r="DR38" s="25" t="s">
        <v>111</v>
      </c>
      <c r="DS38" s="25" t="s">
        <v>115</v>
      </c>
      <c r="DT38" s="25" t="s">
        <v>121</v>
      </c>
      <c r="DU38" s="27" t="s">
        <v>115</v>
      </c>
      <c r="DV38" s="25">
        <f t="shared" si="14"/>
        <v>1</v>
      </c>
      <c r="DW38" s="25">
        <f t="shared" si="15"/>
        <v>1</v>
      </c>
      <c r="DX38" s="25">
        <f t="shared" si="16"/>
        <v>1</v>
      </c>
      <c r="DY38" s="25">
        <f t="shared" si="17"/>
        <v>2</v>
      </c>
      <c r="DZ38" s="25">
        <f t="shared" si="18"/>
        <v>2</v>
      </c>
      <c r="EA38" s="3">
        <f t="shared" si="19"/>
        <v>2</v>
      </c>
      <c r="EB38" s="32"/>
      <c r="EC38" s="5">
        <v>3500052</v>
      </c>
      <c r="ED38" s="31" t="s">
        <v>109</v>
      </c>
      <c r="EE38" s="8">
        <v>2</v>
      </c>
      <c r="EQ38" s="9">
        <v>303120101</v>
      </c>
      <c r="ER38" s="9" t="s">
        <v>132</v>
      </c>
    </row>
    <row r="39" spans="1:148" ht="13.5" customHeight="1">
      <c r="A39" s="9">
        <v>36</v>
      </c>
      <c r="B39" s="9">
        <v>1</v>
      </c>
      <c r="C39" s="9">
        <v>2001</v>
      </c>
      <c r="D39" s="9">
        <f t="shared" si="40"/>
        <v>37664</v>
      </c>
      <c r="E39" s="9" t="str">
        <f t="shared" si="22"/>
        <v>3202041,3201042,3301041,3501043,3500042,3501043</v>
      </c>
      <c r="F39" s="9" t="str">
        <f t="shared" si="23"/>
        <v>4,4,4,4,4,4</v>
      </c>
      <c r="G39" s="9" t="str">
        <f t="shared" si="24"/>
        <v>109,112,112,112,112,112</v>
      </c>
      <c r="H39" s="9">
        <v>45</v>
      </c>
      <c r="I39" s="9" t="s">
        <v>278</v>
      </c>
      <c r="J39" s="9" t="s">
        <v>279</v>
      </c>
      <c r="K39" s="9" t="s">
        <v>279</v>
      </c>
      <c r="L39" s="9" t="s">
        <v>279</v>
      </c>
      <c r="M39" s="9" t="s">
        <v>282</v>
      </c>
      <c r="O39" s="3">
        <f t="shared" si="41"/>
        <v>37664</v>
      </c>
      <c r="P39" s="9">
        <v>32609.5</v>
      </c>
      <c r="Q39" s="9">
        <v>3202041</v>
      </c>
      <c r="R39" s="9">
        <v>3201042</v>
      </c>
      <c r="S39" s="9">
        <v>3301041</v>
      </c>
      <c r="T39" s="9">
        <v>3501043</v>
      </c>
      <c r="U39" s="9">
        <v>3500042</v>
      </c>
      <c r="V39" s="9">
        <v>3501043</v>
      </c>
      <c r="W39" s="9">
        <v>4</v>
      </c>
      <c r="X39" s="9">
        <v>4</v>
      </c>
      <c r="Y39" s="9">
        <v>4</v>
      </c>
      <c r="Z39" s="9">
        <v>4</v>
      </c>
      <c r="AA39" s="9">
        <v>4</v>
      </c>
      <c r="AB39" s="9">
        <v>4</v>
      </c>
      <c r="AC39" s="9">
        <f t="shared" si="26"/>
        <v>109</v>
      </c>
      <c r="AD39" s="9">
        <f t="shared" si="27"/>
        <v>112</v>
      </c>
      <c r="AE39" s="9">
        <f t="shared" si="28"/>
        <v>112</v>
      </c>
      <c r="AF39" s="9">
        <f t="shared" si="29"/>
        <v>112</v>
      </c>
      <c r="AG39" s="9">
        <f t="shared" si="30"/>
        <v>112</v>
      </c>
      <c r="AH39" s="9">
        <f t="shared" si="31"/>
        <v>112</v>
      </c>
      <c r="AI39" s="7">
        <f t="shared" si="32"/>
        <v>5434.916666666667</v>
      </c>
      <c r="AJ39" s="7">
        <f t="shared" si="32"/>
        <v>5434.916666666667</v>
      </c>
      <c r="AK39" s="7">
        <f t="shared" si="32"/>
        <v>5434.916666666667</v>
      </c>
      <c r="AL39" s="7">
        <f t="shared" si="32"/>
        <v>5434.916666666667</v>
      </c>
      <c r="AM39" s="7">
        <f t="shared" si="32"/>
        <v>5434.916666666667</v>
      </c>
      <c r="AN39" s="7">
        <f t="shared" si="32"/>
        <v>5434.916666666667</v>
      </c>
      <c r="AO39" s="16"/>
      <c r="AP39" s="7"/>
      <c r="AQ39" s="9">
        <v>4</v>
      </c>
      <c r="AR39" s="9">
        <f t="shared" si="33"/>
        <v>100</v>
      </c>
      <c r="AS39" s="7">
        <f t="shared" si="34"/>
        <v>61</v>
      </c>
      <c r="AT39" s="7"/>
      <c r="AU39" s="16"/>
      <c r="AV39" s="7"/>
      <c r="AW39" s="7"/>
      <c r="AX39" s="7"/>
      <c r="AZ39" s="7"/>
      <c r="BA39" s="9">
        <f t="shared" si="39"/>
        <v>6123.0769230769274</v>
      </c>
      <c r="BC39" s="5">
        <f t="shared" si="35"/>
        <v>100</v>
      </c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18"/>
      <c r="BQ39" s="18"/>
      <c r="BR39" s="18">
        <v>4402042</v>
      </c>
      <c r="BS39" s="18">
        <f>[1]monsters!$N39</f>
        <v>198.4</v>
      </c>
      <c r="BT39" s="18">
        <f>[1]monsters!$O39</f>
        <v>19.84</v>
      </c>
      <c r="BU39" s="18">
        <f>[1]monsters!$P39</f>
        <v>990.97</v>
      </c>
      <c r="BV39" s="18">
        <f>[1]monsters!$Q39</f>
        <v>99.1</v>
      </c>
      <c r="BW39" s="18">
        <f>[1]monsters!$R39</f>
        <v>19.84</v>
      </c>
      <c r="BX39" s="18">
        <f>[1]monsters!$S39</f>
        <v>1.98</v>
      </c>
      <c r="BY39" s="18">
        <f>[1]monsters!$K39</f>
        <v>1.5</v>
      </c>
      <c r="BZ39" s="5">
        <f>[1]monsters!$D39</f>
        <v>6</v>
      </c>
      <c r="CA39" s="5">
        <f t="shared" si="36"/>
        <v>0.1</v>
      </c>
      <c r="CB39" s="5">
        <f t="shared" si="37"/>
        <v>220.8539932659933</v>
      </c>
      <c r="CC39" s="5">
        <f t="shared" si="38"/>
        <v>22.08539932659933</v>
      </c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>
        <v>0</v>
      </c>
      <c r="CR39" s="3" t="b">
        <f t="shared" si="2"/>
        <v>1</v>
      </c>
      <c r="CS39" s="3" t="b">
        <f t="shared" si="3"/>
        <v>1</v>
      </c>
      <c r="CT39" s="3" t="b">
        <f t="shared" si="4"/>
        <v>1</v>
      </c>
      <c r="CU39" s="3" t="b">
        <f t="shared" si="5"/>
        <v>1</v>
      </c>
      <c r="CV39" s="3" t="b">
        <f t="shared" si="6"/>
        <v>1</v>
      </c>
      <c r="CW39" s="3" t="b">
        <f t="shared" si="7"/>
        <v>1</v>
      </c>
      <c r="CX39" s="9" t="str">
        <f t="shared" si="8"/>
        <v>3202041</v>
      </c>
      <c r="CY39" s="9" t="str">
        <f t="shared" si="9"/>
        <v>3201042</v>
      </c>
      <c r="CZ39" s="9" t="str">
        <f t="shared" si="10"/>
        <v>3301041</v>
      </c>
      <c r="DA39" s="9" t="str">
        <f t="shared" si="11"/>
        <v>3501043</v>
      </c>
      <c r="DB39" s="9" t="str">
        <f t="shared" si="12"/>
        <v>3500042</v>
      </c>
      <c r="DC39" s="9" t="str">
        <f t="shared" si="13"/>
        <v>3501043</v>
      </c>
      <c r="DD39" s="9">
        <v>4</v>
      </c>
      <c r="DE39" s="9">
        <v>4</v>
      </c>
      <c r="DF39" s="9">
        <v>4</v>
      </c>
      <c r="DG39" s="9">
        <v>4</v>
      </c>
      <c r="DH39" s="9">
        <v>4</v>
      </c>
      <c r="DI39" s="9">
        <v>4</v>
      </c>
      <c r="DJ39" s="9">
        <v>3</v>
      </c>
      <c r="DK39" s="9">
        <v>3</v>
      </c>
      <c r="DL39" s="9">
        <v>3</v>
      </c>
      <c r="DM39" s="9">
        <v>3</v>
      </c>
      <c r="DN39" s="9">
        <v>3</v>
      </c>
      <c r="DO39" s="9">
        <v>3</v>
      </c>
      <c r="DP39" s="25" t="s">
        <v>111</v>
      </c>
      <c r="DQ39" s="25" t="s">
        <v>114</v>
      </c>
      <c r="DR39" s="25" t="s">
        <v>107</v>
      </c>
      <c r="DS39" s="25" t="s">
        <v>121</v>
      </c>
      <c r="DT39" s="25" t="s">
        <v>109</v>
      </c>
      <c r="DU39" s="25" t="s">
        <v>121</v>
      </c>
      <c r="DV39" s="25">
        <f t="shared" si="14"/>
        <v>1</v>
      </c>
      <c r="DW39" s="25">
        <f t="shared" si="15"/>
        <v>1</v>
      </c>
      <c r="DX39" s="25">
        <f t="shared" si="16"/>
        <v>1</v>
      </c>
      <c r="DY39" s="25">
        <f t="shared" si="17"/>
        <v>2</v>
      </c>
      <c r="DZ39" s="25">
        <f t="shared" si="18"/>
        <v>2</v>
      </c>
      <c r="EA39" s="3">
        <f t="shared" si="19"/>
        <v>2</v>
      </c>
      <c r="EB39" s="32"/>
      <c r="EC39" s="5">
        <v>3601052</v>
      </c>
      <c r="ED39" s="31" t="s">
        <v>124</v>
      </c>
      <c r="EE39" s="8">
        <v>2</v>
      </c>
      <c r="EQ39" s="9">
        <v>303120201</v>
      </c>
      <c r="ER39" s="9" t="s">
        <v>158</v>
      </c>
    </row>
    <row r="40" spans="1:148" ht="13.5" customHeight="1">
      <c r="A40" s="9">
        <v>37</v>
      </c>
      <c r="B40" s="9">
        <v>1</v>
      </c>
      <c r="C40" s="9">
        <v>2001</v>
      </c>
      <c r="D40" s="9">
        <f t="shared" si="40"/>
        <v>38667</v>
      </c>
      <c r="E40" s="9" t="str">
        <f t="shared" si="22"/>
        <v>3202041,3201042,3301041,3500042,3502041,3501043</v>
      </c>
      <c r="F40" s="9" t="str">
        <f t="shared" si="23"/>
        <v>4,4,4,4,4,4</v>
      </c>
      <c r="G40" s="9" t="str">
        <f t="shared" si="24"/>
        <v>111,113,113,113,113,113</v>
      </c>
      <c r="H40" s="9">
        <v>45</v>
      </c>
      <c r="I40" s="9" t="s">
        <v>278</v>
      </c>
      <c r="J40" s="9" t="s">
        <v>279</v>
      </c>
      <c r="K40" s="9" t="s">
        <v>279</v>
      </c>
      <c r="L40" s="9" t="s">
        <v>279</v>
      </c>
      <c r="M40" s="9" t="s">
        <v>282</v>
      </c>
      <c r="O40" s="3">
        <f t="shared" si="41"/>
        <v>38667</v>
      </c>
      <c r="P40" s="9">
        <v>33477.5</v>
      </c>
      <c r="Q40" s="9">
        <v>3202041</v>
      </c>
      <c r="R40" s="9">
        <v>3201042</v>
      </c>
      <c r="S40" s="9">
        <v>3301041</v>
      </c>
      <c r="T40" s="9">
        <v>3500042</v>
      </c>
      <c r="U40" s="9">
        <v>3502041</v>
      </c>
      <c r="V40" s="9">
        <v>3501043</v>
      </c>
      <c r="W40" s="9">
        <v>4</v>
      </c>
      <c r="X40" s="9">
        <v>4</v>
      </c>
      <c r="Y40" s="9">
        <v>4</v>
      </c>
      <c r="Z40" s="9">
        <v>4</v>
      </c>
      <c r="AA40" s="9">
        <v>4</v>
      </c>
      <c r="AB40" s="9">
        <v>4</v>
      </c>
      <c r="AC40" s="9">
        <f t="shared" si="26"/>
        <v>111</v>
      </c>
      <c r="AD40" s="9">
        <f t="shared" si="27"/>
        <v>113</v>
      </c>
      <c r="AE40" s="9">
        <f t="shared" si="28"/>
        <v>113</v>
      </c>
      <c r="AF40" s="9">
        <f t="shared" si="29"/>
        <v>113</v>
      </c>
      <c r="AG40" s="9">
        <f t="shared" si="30"/>
        <v>113</v>
      </c>
      <c r="AH40" s="9">
        <f t="shared" si="31"/>
        <v>113</v>
      </c>
      <c r="AI40" s="7">
        <f t="shared" si="32"/>
        <v>5579.583333333333</v>
      </c>
      <c r="AJ40" s="7">
        <f t="shared" si="32"/>
        <v>5579.583333333333</v>
      </c>
      <c r="AK40" s="7">
        <f t="shared" si="32"/>
        <v>5579.583333333333</v>
      </c>
      <c r="AL40" s="7">
        <f t="shared" si="32"/>
        <v>5579.583333333333</v>
      </c>
      <c r="AM40" s="7">
        <f t="shared" si="32"/>
        <v>5579.583333333333</v>
      </c>
      <c r="AN40" s="7">
        <f t="shared" si="32"/>
        <v>5579.583333333333</v>
      </c>
      <c r="AO40" s="16"/>
      <c r="AP40" s="7"/>
      <c r="AQ40" s="9">
        <v>4</v>
      </c>
      <c r="AR40" s="9">
        <f t="shared" si="33"/>
        <v>102</v>
      </c>
      <c r="AS40" s="7">
        <f t="shared" si="34"/>
        <v>62</v>
      </c>
      <c r="AT40" s="7"/>
      <c r="AU40" s="16"/>
      <c r="AV40" s="7"/>
      <c r="AW40" s="7"/>
      <c r="AX40" s="7"/>
      <c r="AZ40" s="7"/>
      <c r="BA40" s="9">
        <f t="shared" si="39"/>
        <v>6212.3076923076969</v>
      </c>
      <c r="BC40" s="5">
        <f t="shared" si="35"/>
        <v>102</v>
      </c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18"/>
      <c r="BQ40" s="18"/>
      <c r="BR40" s="18">
        <v>4502042</v>
      </c>
      <c r="BS40" s="18">
        <f>[1]monsters!$N40</f>
        <v>128</v>
      </c>
      <c r="BT40" s="18">
        <f>[1]monsters!$O40</f>
        <v>12.8</v>
      </c>
      <c r="BU40" s="18">
        <f>[1]monsters!$P40</f>
        <v>1536</v>
      </c>
      <c r="BV40" s="18">
        <f>[1]monsters!$Q40</f>
        <v>153.6</v>
      </c>
      <c r="BW40" s="18">
        <f>[1]monsters!$R40</f>
        <v>32</v>
      </c>
      <c r="BX40" s="18">
        <f>[1]monsters!$S40</f>
        <v>3.2</v>
      </c>
      <c r="BY40" s="18">
        <f>[1]monsters!$K40</f>
        <v>1.5</v>
      </c>
      <c r="BZ40" s="5">
        <f>[1]monsters!$D40</f>
        <v>2</v>
      </c>
      <c r="CA40" s="5">
        <f t="shared" si="36"/>
        <v>0.1</v>
      </c>
      <c r="CB40" s="5">
        <f t="shared" si="37"/>
        <v>172.67717171717172</v>
      </c>
      <c r="CC40" s="5">
        <f t="shared" si="38"/>
        <v>17.267717171717173</v>
      </c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>
        <v>0</v>
      </c>
      <c r="CR40" s="3" t="b">
        <f t="shared" si="2"/>
        <v>1</v>
      </c>
      <c r="CS40" s="3" t="b">
        <f t="shared" si="3"/>
        <v>1</v>
      </c>
      <c r="CT40" s="3" t="b">
        <f t="shared" si="4"/>
        <v>1</v>
      </c>
      <c r="CU40" s="3" t="b">
        <f t="shared" si="5"/>
        <v>1</v>
      </c>
      <c r="CV40" s="3" t="b">
        <f t="shared" si="6"/>
        <v>1</v>
      </c>
      <c r="CW40" s="3" t="b">
        <f t="shared" si="7"/>
        <v>1</v>
      </c>
      <c r="CX40" s="9" t="str">
        <f t="shared" si="8"/>
        <v>3202041</v>
      </c>
      <c r="CY40" s="9" t="str">
        <f t="shared" si="9"/>
        <v>3201042</v>
      </c>
      <c r="CZ40" s="9" t="str">
        <f t="shared" si="10"/>
        <v>3301041</v>
      </c>
      <c r="DA40" s="9" t="str">
        <f t="shared" si="11"/>
        <v>3500042</v>
      </c>
      <c r="DB40" s="9" t="str">
        <f t="shared" si="12"/>
        <v>3502041</v>
      </c>
      <c r="DC40" s="9" t="str">
        <f t="shared" si="13"/>
        <v>3501043</v>
      </c>
      <c r="DD40" s="9">
        <v>4</v>
      </c>
      <c r="DE40" s="9">
        <v>4</v>
      </c>
      <c r="DF40" s="9">
        <v>4</v>
      </c>
      <c r="DG40" s="9">
        <v>4</v>
      </c>
      <c r="DH40" s="9">
        <v>4</v>
      </c>
      <c r="DI40" s="9">
        <v>4</v>
      </c>
      <c r="DJ40" s="9">
        <v>3</v>
      </c>
      <c r="DK40" s="9">
        <v>3</v>
      </c>
      <c r="DL40" s="9">
        <v>3</v>
      </c>
      <c r="DM40" s="9">
        <v>3</v>
      </c>
      <c r="DN40" s="9">
        <v>3</v>
      </c>
      <c r="DO40" s="9">
        <v>3</v>
      </c>
      <c r="DP40" s="25" t="s">
        <v>111</v>
      </c>
      <c r="DQ40" s="25" t="s">
        <v>114</v>
      </c>
      <c r="DR40" s="25" t="s">
        <v>107</v>
      </c>
      <c r="DS40" s="25" t="s">
        <v>109</v>
      </c>
      <c r="DT40" s="25" t="s">
        <v>119</v>
      </c>
      <c r="DU40" s="25" t="s">
        <v>121</v>
      </c>
      <c r="DV40" s="25">
        <f t="shared" si="14"/>
        <v>1</v>
      </c>
      <c r="DW40" s="25">
        <f t="shared" si="15"/>
        <v>1</v>
      </c>
      <c r="DX40" s="25">
        <f t="shared" si="16"/>
        <v>1</v>
      </c>
      <c r="DY40" s="25">
        <f t="shared" si="17"/>
        <v>2</v>
      </c>
      <c r="DZ40" s="25">
        <f t="shared" si="18"/>
        <v>2</v>
      </c>
      <c r="EA40" s="3">
        <f t="shared" si="19"/>
        <v>2</v>
      </c>
      <c r="EB40" s="32"/>
      <c r="EC40" s="5">
        <v>3200053</v>
      </c>
      <c r="ED40" s="31" t="s">
        <v>113</v>
      </c>
      <c r="EE40" s="8">
        <v>1</v>
      </c>
      <c r="EQ40" s="9">
        <v>303130101</v>
      </c>
      <c r="ER40" s="9" t="s">
        <v>159</v>
      </c>
    </row>
    <row r="41" spans="1:148" ht="13.5" customHeight="1">
      <c r="A41" s="9">
        <v>38</v>
      </c>
      <c r="B41" s="9">
        <v>1</v>
      </c>
      <c r="C41" s="9">
        <v>2001</v>
      </c>
      <c r="D41" s="9">
        <f t="shared" si="40"/>
        <v>39554</v>
      </c>
      <c r="E41" s="9" t="str">
        <f t="shared" si="22"/>
        <v>3302043,3202041,3200043,3401041,3402043,3401041</v>
      </c>
      <c r="F41" s="9" t="str">
        <f t="shared" si="23"/>
        <v>4,4,4,4,4,4</v>
      </c>
      <c r="G41" s="9" t="str">
        <f t="shared" si="24"/>
        <v>112,115,115,115,115,115</v>
      </c>
      <c r="H41" s="9">
        <v>45</v>
      </c>
      <c r="I41" s="9" t="s">
        <v>278</v>
      </c>
      <c r="J41" s="9" t="s">
        <v>279</v>
      </c>
      <c r="K41" s="9" t="s">
        <v>279</v>
      </c>
      <c r="L41" s="9" t="s">
        <v>279</v>
      </c>
      <c r="M41" s="9" t="s">
        <v>282</v>
      </c>
      <c r="O41" s="3">
        <f t="shared" si="41"/>
        <v>39554</v>
      </c>
      <c r="P41" s="9">
        <v>34245.75</v>
      </c>
      <c r="Q41" s="9">
        <v>3302043</v>
      </c>
      <c r="R41" s="9">
        <v>3202041</v>
      </c>
      <c r="S41" s="9">
        <v>3200043</v>
      </c>
      <c r="T41" s="9">
        <v>3401041</v>
      </c>
      <c r="U41" s="9">
        <v>3402043</v>
      </c>
      <c r="V41" s="9">
        <v>3401041</v>
      </c>
      <c r="W41" s="9">
        <v>4</v>
      </c>
      <c r="X41" s="9">
        <v>4</v>
      </c>
      <c r="Y41" s="9">
        <v>4</v>
      </c>
      <c r="Z41" s="9">
        <v>4</v>
      </c>
      <c r="AA41" s="9">
        <v>4</v>
      </c>
      <c r="AB41" s="9">
        <v>4</v>
      </c>
      <c r="AC41" s="9">
        <f t="shared" si="26"/>
        <v>112</v>
      </c>
      <c r="AD41" s="9">
        <f t="shared" si="27"/>
        <v>115</v>
      </c>
      <c r="AE41" s="9">
        <f t="shared" si="28"/>
        <v>115</v>
      </c>
      <c r="AF41" s="9">
        <f t="shared" si="29"/>
        <v>115</v>
      </c>
      <c r="AG41" s="9">
        <f t="shared" si="30"/>
        <v>115</v>
      </c>
      <c r="AH41" s="9">
        <f t="shared" si="31"/>
        <v>115</v>
      </c>
      <c r="AI41" s="7">
        <f t="shared" si="32"/>
        <v>5707.625</v>
      </c>
      <c r="AJ41" s="7">
        <f t="shared" si="32"/>
        <v>5707.625</v>
      </c>
      <c r="AK41" s="7">
        <f t="shared" si="32"/>
        <v>5707.625</v>
      </c>
      <c r="AL41" s="7">
        <f t="shared" si="32"/>
        <v>5707.625</v>
      </c>
      <c r="AM41" s="7">
        <f t="shared" si="32"/>
        <v>5707.625</v>
      </c>
      <c r="AN41" s="7">
        <f t="shared" si="32"/>
        <v>5707.625</v>
      </c>
      <c r="AO41" s="16"/>
      <c r="AP41" s="7"/>
      <c r="AQ41" s="9">
        <v>4</v>
      </c>
      <c r="AR41" s="9">
        <f t="shared" si="33"/>
        <v>103</v>
      </c>
      <c r="AS41" s="7">
        <f t="shared" si="34"/>
        <v>63</v>
      </c>
      <c r="AT41" s="7"/>
      <c r="AU41" s="16"/>
      <c r="AV41" s="7"/>
      <c r="AW41" s="7"/>
      <c r="AX41" s="7"/>
      <c r="AZ41" s="7"/>
      <c r="BA41" s="9">
        <f t="shared" si="39"/>
        <v>6301.5384615384664</v>
      </c>
      <c r="BC41" s="5">
        <f t="shared" si="35"/>
        <v>103</v>
      </c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18"/>
      <c r="BQ41" s="18"/>
      <c r="BR41" s="18">
        <v>4602042</v>
      </c>
      <c r="BS41" s="18">
        <f>[1]monsters!$N41</f>
        <v>163.84</v>
      </c>
      <c r="BT41" s="18">
        <f>[1]monsters!$O41</f>
        <v>16.38</v>
      </c>
      <c r="BU41" s="18">
        <f>[1]monsters!$P41</f>
        <v>1280</v>
      </c>
      <c r="BV41" s="18">
        <f>[1]monsters!$Q41</f>
        <v>128</v>
      </c>
      <c r="BW41" s="18">
        <f>[1]monsters!$R41</f>
        <v>23.41</v>
      </c>
      <c r="BX41" s="18">
        <f>[1]monsters!$S41</f>
        <v>2.34</v>
      </c>
      <c r="BY41" s="18">
        <f>[1]monsters!$K41</f>
        <v>1.6</v>
      </c>
      <c r="BZ41" s="5">
        <f>[1]monsters!$D41</f>
        <v>4</v>
      </c>
      <c r="CA41" s="5">
        <f t="shared" si="36"/>
        <v>0.1</v>
      </c>
      <c r="CB41" s="5">
        <f t="shared" si="37"/>
        <v>197.9264430976431</v>
      </c>
      <c r="CC41" s="5">
        <f t="shared" si="38"/>
        <v>19.792644309764313</v>
      </c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>
        <v>0</v>
      </c>
      <c r="CR41" s="3" t="b">
        <f t="shared" si="2"/>
        <v>1</v>
      </c>
      <c r="CS41" s="3" t="b">
        <f t="shared" si="3"/>
        <v>1</v>
      </c>
      <c r="CT41" s="3" t="b">
        <f t="shared" si="4"/>
        <v>1</v>
      </c>
      <c r="CU41" s="3" t="b">
        <f t="shared" si="5"/>
        <v>1</v>
      </c>
      <c r="CV41" s="3" t="b">
        <f t="shared" si="6"/>
        <v>1</v>
      </c>
      <c r="CW41" s="3" t="b">
        <f t="shared" si="7"/>
        <v>1</v>
      </c>
      <c r="CX41" s="9" t="str">
        <f t="shared" si="8"/>
        <v>3302043</v>
      </c>
      <c r="CY41" s="9" t="str">
        <f t="shared" si="9"/>
        <v>3202041</v>
      </c>
      <c r="CZ41" s="9" t="str">
        <f t="shared" si="10"/>
        <v>3200043</v>
      </c>
      <c r="DA41" s="9" t="str">
        <f t="shared" si="11"/>
        <v>3401041</v>
      </c>
      <c r="DB41" s="9" t="str">
        <f t="shared" si="12"/>
        <v>3402043</v>
      </c>
      <c r="DC41" s="9" t="str">
        <f t="shared" si="13"/>
        <v>3401041</v>
      </c>
      <c r="DD41" s="9">
        <v>4</v>
      </c>
      <c r="DE41" s="9">
        <v>4</v>
      </c>
      <c r="DF41" s="9">
        <v>4</v>
      </c>
      <c r="DG41" s="9">
        <v>4</v>
      </c>
      <c r="DH41" s="9">
        <v>4</v>
      </c>
      <c r="DI41" s="9">
        <v>4</v>
      </c>
      <c r="DJ41" s="9">
        <v>3</v>
      </c>
      <c r="DK41" s="9">
        <v>3</v>
      </c>
      <c r="DL41" s="9">
        <v>3</v>
      </c>
      <c r="DM41" s="9">
        <v>3</v>
      </c>
      <c r="DN41" s="9">
        <v>3</v>
      </c>
      <c r="DO41" s="9">
        <v>3</v>
      </c>
      <c r="DP41" s="25" t="s">
        <v>108</v>
      </c>
      <c r="DQ41" s="25" t="s">
        <v>111</v>
      </c>
      <c r="DR41" s="25" t="s">
        <v>113</v>
      </c>
      <c r="DS41" s="25" t="s">
        <v>117</v>
      </c>
      <c r="DT41" s="25" t="s">
        <v>118</v>
      </c>
      <c r="DU41" s="25" t="s">
        <v>117</v>
      </c>
      <c r="DV41" s="25">
        <f t="shared" si="14"/>
        <v>1</v>
      </c>
      <c r="DW41" s="25">
        <f t="shared" si="15"/>
        <v>1</v>
      </c>
      <c r="DX41" s="25">
        <f t="shared" si="16"/>
        <v>1</v>
      </c>
      <c r="DY41" s="25">
        <f t="shared" si="17"/>
        <v>2</v>
      </c>
      <c r="DZ41" s="25">
        <f t="shared" si="18"/>
        <v>2</v>
      </c>
      <c r="EA41" s="3">
        <f t="shared" si="19"/>
        <v>2</v>
      </c>
      <c r="EB41" s="32"/>
      <c r="EC41" s="5">
        <v>3401051</v>
      </c>
      <c r="ED41" s="31" t="s">
        <v>117</v>
      </c>
      <c r="EE41" s="8">
        <v>2</v>
      </c>
      <c r="EQ41" s="9">
        <v>303140101</v>
      </c>
      <c r="ER41" s="9" t="s">
        <v>160</v>
      </c>
    </row>
    <row r="42" spans="1:148" ht="13.5" customHeight="1">
      <c r="A42" s="9">
        <v>39</v>
      </c>
      <c r="B42" s="9">
        <v>1</v>
      </c>
      <c r="C42" s="9">
        <v>2001</v>
      </c>
      <c r="D42" s="9">
        <f t="shared" si="40"/>
        <v>40581</v>
      </c>
      <c r="E42" s="9" t="str">
        <f t="shared" si="22"/>
        <v>3202041,3202041,3202041,3300042,3400042,3300042</v>
      </c>
      <c r="F42" s="9" t="str">
        <f t="shared" si="23"/>
        <v>4,4,4,4,4,4</v>
      </c>
      <c r="G42" s="9" t="str">
        <f t="shared" si="24"/>
        <v>114,116,116,116,116,116</v>
      </c>
      <c r="H42" s="9">
        <v>45</v>
      </c>
      <c r="I42" s="9" t="s">
        <v>278</v>
      </c>
      <c r="J42" s="9" t="s">
        <v>279</v>
      </c>
      <c r="K42" s="9" t="s">
        <v>279</v>
      </c>
      <c r="L42" s="9" t="s">
        <v>279</v>
      </c>
      <c r="M42" s="9" t="s">
        <v>282</v>
      </c>
      <c r="O42" s="3">
        <f t="shared" si="41"/>
        <v>40581</v>
      </c>
      <c r="P42" s="9">
        <v>35134.75</v>
      </c>
      <c r="Q42" s="9">
        <v>3202041</v>
      </c>
      <c r="R42" s="9">
        <v>3202041</v>
      </c>
      <c r="S42" s="9">
        <v>3202041</v>
      </c>
      <c r="T42" s="9">
        <v>3300042</v>
      </c>
      <c r="U42" s="9">
        <v>3400042</v>
      </c>
      <c r="V42" s="9">
        <v>3300042</v>
      </c>
      <c r="W42" s="9">
        <v>4</v>
      </c>
      <c r="X42" s="9">
        <v>4</v>
      </c>
      <c r="Y42" s="9">
        <v>4</v>
      </c>
      <c r="Z42" s="9">
        <v>4</v>
      </c>
      <c r="AA42" s="9">
        <v>4</v>
      </c>
      <c r="AB42" s="9">
        <v>4</v>
      </c>
      <c r="AC42" s="9">
        <f t="shared" si="26"/>
        <v>114</v>
      </c>
      <c r="AD42" s="9">
        <f t="shared" si="27"/>
        <v>116</v>
      </c>
      <c r="AE42" s="9">
        <f t="shared" si="28"/>
        <v>116</v>
      </c>
      <c r="AF42" s="9">
        <f t="shared" si="29"/>
        <v>116</v>
      </c>
      <c r="AG42" s="9">
        <f t="shared" si="30"/>
        <v>116</v>
      </c>
      <c r="AH42" s="9">
        <f t="shared" si="31"/>
        <v>116</v>
      </c>
      <c r="AI42" s="7">
        <f t="shared" si="32"/>
        <v>5855.791666666667</v>
      </c>
      <c r="AJ42" s="7">
        <f t="shared" si="32"/>
        <v>5855.791666666667</v>
      </c>
      <c r="AK42" s="7">
        <f t="shared" si="32"/>
        <v>5855.791666666667</v>
      </c>
      <c r="AL42" s="7">
        <f t="shared" si="32"/>
        <v>5855.791666666667</v>
      </c>
      <c r="AM42" s="7">
        <f t="shared" si="32"/>
        <v>5855.791666666667</v>
      </c>
      <c r="AN42" s="7">
        <f t="shared" si="32"/>
        <v>5855.791666666667</v>
      </c>
      <c r="AO42" s="16"/>
      <c r="AP42" s="7"/>
      <c r="AQ42" s="9">
        <v>4</v>
      </c>
      <c r="AR42" s="9">
        <f t="shared" si="33"/>
        <v>105</v>
      </c>
      <c r="AS42" s="7">
        <f t="shared" si="34"/>
        <v>64</v>
      </c>
      <c r="AT42" s="7"/>
      <c r="AU42" s="16"/>
      <c r="AV42" s="7"/>
      <c r="AW42" s="7"/>
      <c r="AX42" s="7"/>
      <c r="AZ42" s="7"/>
      <c r="BA42" s="9">
        <f t="shared" si="39"/>
        <v>6390.7692307692359</v>
      </c>
      <c r="BC42" s="5">
        <f t="shared" si="35"/>
        <v>105</v>
      </c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18"/>
      <c r="BQ42" s="18"/>
      <c r="BR42" s="18">
        <v>4601042</v>
      </c>
      <c r="BS42" s="18">
        <f>[1]monsters!$N42</f>
        <v>153.6</v>
      </c>
      <c r="BT42" s="18">
        <f>[1]monsters!$O42</f>
        <v>15.36</v>
      </c>
      <c r="BU42" s="18">
        <f>[1]monsters!$P42</f>
        <v>1280</v>
      </c>
      <c r="BV42" s="18">
        <f>[1]monsters!$Q42</f>
        <v>128</v>
      </c>
      <c r="BW42" s="18">
        <f>[1]monsters!$R42</f>
        <v>21.94</v>
      </c>
      <c r="BX42" s="18">
        <f>[1]monsters!$S42</f>
        <v>2.19</v>
      </c>
      <c r="BY42" s="18">
        <f>[1]monsters!$K42</f>
        <v>1.5</v>
      </c>
      <c r="BZ42" s="5">
        <f>[1]monsters!$D42</f>
        <v>4</v>
      </c>
      <c r="CA42" s="5">
        <f t="shared" si="36"/>
        <v>0.1</v>
      </c>
      <c r="CB42" s="5">
        <f t="shared" si="37"/>
        <v>188.24964309764312</v>
      </c>
      <c r="CC42" s="5">
        <f t="shared" si="38"/>
        <v>18.824964309764312</v>
      </c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>
        <v>0</v>
      </c>
      <c r="CR42" s="3" t="b">
        <f t="shared" si="2"/>
        <v>1</v>
      </c>
      <c r="CS42" s="3" t="b">
        <f t="shared" si="3"/>
        <v>1</v>
      </c>
      <c r="CT42" s="3" t="b">
        <f t="shared" si="4"/>
        <v>1</v>
      </c>
      <c r="CU42" s="3" t="b">
        <f t="shared" si="5"/>
        <v>1</v>
      </c>
      <c r="CV42" s="3" t="b">
        <f t="shared" si="6"/>
        <v>1</v>
      </c>
      <c r="CW42" s="3" t="b">
        <f t="shared" si="7"/>
        <v>1</v>
      </c>
      <c r="CX42" s="9" t="str">
        <f t="shared" si="8"/>
        <v>3202041</v>
      </c>
      <c r="CY42" s="9" t="str">
        <f t="shared" si="9"/>
        <v>3202041</v>
      </c>
      <c r="CZ42" s="9" t="str">
        <f t="shared" si="10"/>
        <v>3202041</v>
      </c>
      <c r="DA42" s="9" t="str">
        <f t="shared" si="11"/>
        <v>3300042</v>
      </c>
      <c r="DB42" s="9" t="str">
        <f t="shared" si="12"/>
        <v>3400042</v>
      </c>
      <c r="DC42" s="9" t="str">
        <f t="shared" si="13"/>
        <v>3300042</v>
      </c>
      <c r="DD42" s="9">
        <v>4</v>
      </c>
      <c r="DE42" s="9">
        <v>4</v>
      </c>
      <c r="DF42" s="9">
        <v>4</v>
      </c>
      <c r="DG42" s="9">
        <v>4</v>
      </c>
      <c r="DH42" s="9">
        <v>4</v>
      </c>
      <c r="DI42" s="9">
        <v>4</v>
      </c>
      <c r="DJ42" s="9">
        <v>3</v>
      </c>
      <c r="DK42" s="9">
        <v>3</v>
      </c>
      <c r="DL42" s="9">
        <v>3</v>
      </c>
      <c r="DM42" s="9">
        <v>3</v>
      </c>
      <c r="DN42" s="9">
        <v>3</v>
      </c>
      <c r="DO42" s="9">
        <v>3</v>
      </c>
      <c r="DP42" s="25" t="s">
        <v>111</v>
      </c>
      <c r="DQ42" s="25" t="s">
        <v>111</v>
      </c>
      <c r="DR42" s="25" t="s">
        <v>111</v>
      </c>
      <c r="DS42" s="25" t="s">
        <v>115</v>
      </c>
      <c r="DT42" s="25" t="s">
        <v>110</v>
      </c>
      <c r="DU42" s="25" t="s">
        <v>115</v>
      </c>
      <c r="DV42" s="25">
        <f t="shared" si="14"/>
        <v>1</v>
      </c>
      <c r="DW42" s="25">
        <f t="shared" si="15"/>
        <v>1</v>
      </c>
      <c r="DX42" s="25">
        <f t="shared" si="16"/>
        <v>1</v>
      </c>
      <c r="DY42" s="25">
        <f t="shared" si="17"/>
        <v>2</v>
      </c>
      <c r="DZ42" s="25">
        <f t="shared" si="18"/>
        <v>2</v>
      </c>
      <c r="EA42" s="3">
        <f t="shared" si="19"/>
        <v>2</v>
      </c>
      <c r="EB42" s="32"/>
      <c r="EC42" s="5">
        <v>3402053</v>
      </c>
      <c r="ED42" s="31" t="s">
        <v>118</v>
      </c>
      <c r="EE42" s="8">
        <v>2</v>
      </c>
      <c r="EQ42" s="9">
        <v>303140201</v>
      </c>
      <c r="ER42" s="9" t="s">
        <v>161</v>
      </c>
    </row>
    <row r="43" spans="1:148" ht="13.5" customHeight="1">
      <c r="A43" s="9">
        <v>40</v>
      </c>
      <c r="B43" s="9">
        <v>1</v>
      </c>
      <c r="C43" s="9">
        <v>2001</v>
      </c>
      <c r="D43" s="9">
        <f t="shared" si="40"/>
        <v>45616</v>
      </c>
      <c r="E43" s="9" t="str">
        <f t="shared" si="22"/>
        <v>3202041,3301041,3301041,3402043,3501043,3501043</v>
      </c>
      <c r="F43" s="9" t="str">
        <f t="shared" si="23"/>
        <v>4,4,4,4,4,4</v>
      </c>
      <c r="G43" s="9" t="str">
        <f t="shared" si="24"/>
        <v>121,124,124,124,124,124</v>
      </c>
      <c r="H43" s="9">
        <v>46</v>
      </c>
      <c r="I43" s="9" t="s">
        <v>278</v>
      </c>
      <c r="J43" s="9" t="s">
        <v>279</v>
      </c>
      <c r="K43" s="9" t="s">
        <v>279</v>
      </c>
      <c r="L43" s="9" t="s">
        <v>279</v>
      </c>
      <c r="M43" s="9" t="s">
        <v>282</v>
      </c>
      <c r="O43" s="3">
        <f t="shared" si="41"/>
        <v>45616</v>
      </c>
      <c r="P43" s="9">
        <v>39494</v>
      </c>
      <c r="Q43" s="9">
        <v>3202041</v>
      </c>
      <c r="R43" s="9">
        <v>3301041</v>
      </c>
      <c r="S43" s="9">
        <v>3301041</v>
      </c>
      <c r="T43" s="9">
        <v>3402043</v>
      </c>
      <c r="U43" s="9">
        <v>3501043</v>
      </c>
      <c r="V43" s="9">
        <v>3501043</v>
      </c>
      <c r="W43" s="9">
        <v>4</v>
      </c>
      <c r="X43" s="9">
        <v>4</v>
      </c>
      <c r="Y43" s="9">
        <v>4</v>
      </c>
      <c r="Z43" s="9">
        <v>4</v>
      </c>
      <c r="AA43" s="9">
        <v>4</v>
      </c>
      <c r="AB43" s="9">
        <v>4</v>
      </c>
      <c r="AC43" s="9">
        <f t="shared" si="26"/>
        <v>121</v>
      </c>
      <c r="AD43" s="9">
        <f t="shared" si="27"/>
        <v>124</v>
      </c>
      <c r="AE43" s="9">
        <f t="shared" si="28"/>
        <v>124</v>
      </c>
      <c r="AF43" s="9">
        <f t="shared" si="29"/>
        <v>124</v>
      </c>
      <c r="AG43" s="9">
        <f t="shared" si="30"/>
        <v>124</v>
      </c>
      <c r="AH43" s="9">
        <f t="shared" si="31"/>
        <v>124</v>
      </c>
      <c r="AI43" s="7">
        <f t="shared" si="32"/>
        <v>6582.333333333333</v>
      </c>
      <c r="AJ43" s="7">
        <f t="shared" si="32"/>
        <v>6582.333333333333</v>
      </c>
      <c r="AK43" s="7">
        <f t="shared" si="32"/>
        <v>6582.333333333333</v>
      </c>
      <c r="AL43" s="7">
        <f t="shared" si="32"/>
        <v>6582.333333333333</v>
      </c>
      <c r="AM43" s="7">
        <f t="shared" si="32"/>
        <v>6582.333333333333</v>
      </c>
      <c r="AN43" s="7">
        <f t="shared" si="32"/>
        <v>6582.333333333333</v>
      </c>
      <c r="AO43" s="16"/>
      <c r="AP43" s="7"/>
      <c r="AQ43" s="9">
        <v>4</v>
      </c>
      <c r="AR43" s="9">
        <f t="shared" si="33"/>
        <v>111</v>
      </c>
      <c r="AS43" s="7">
        <f t="shared" si="34"/>
        <v>65</v>
      </c>
      <c r="AT43" s="7"/>
      <c r="AU43" s="16"/>
      <c r="AV43" s="7"/>
      <c r="AW43" s="7"/>
      <c r="AX43" s="7"/>
      <c r="AY43" s="9">
        <v>3</v>
      </c>
      <c r="AZ43" s="7">
        <v>60</v>
      </c>
      <c r="BA43" s="9">
        <v>6480</v>
      </c>
      <c r="BC43" s="5">
        <f t="shared" si="35"/>
        <v>111</v>
      </c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18"/>
      <c r="BQ43" s="18"/>
      <c r="BR43" s="18">
        <v>4500042</v>
      </c>
      <c r="BS43" s="18">
        <f>[1]monsters!$N43</f>
        <v>191.15</v>
      </c>
      <c r="BT43" s="18">
        <f>[1]monsters!$O43</f>
        <v>19.11</v>
      </c>
      <c r="BU43" s="18">
        <f>[1]monsters!$P43</f>
        <v>1097.1400000000001</v>
      </c>
      <c r="BV43" s="18">
        <f>[1]monsters!$Q43</f>
        <v>109.71</v>
      </c>
      <c r="BW43" s="18">
        <f>[1]monsters!$R43</f>
        <v>23.89</v>
      </c>
      <c r="BX43" s="18">
        <f>[1]monsters!$S43</f>
        <v>2.39</v>
      </c>
      <c r="BY43" s="18">
        <f>[1]monsters!$K43</f>
        <v>1.6</v>
      </c>
      <c r="BZ43" s="5">
        <f>[1]monsters!$D43</f>
        <v>5</v>
      </c>
      <c r="CA43" s="5">
        <f t="shared" si="36"/>
        <v>0.1</v>
      </c>
      <c r="CB43" s="5">
        <f t="shared" si="37"/>
        <v>217.57749074074076</v>
      </c>
      <c r="CC43" s="5">
        <f t="shared" si="38"/>
        <v>21.757749074074077</v>
      </c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>
        <v>1</v>
      </c>
      <c r="CR43" s="3" t="b">
        <f t="shared" si="2"/>
        <v>1</v>
      </c>
      <c r="CS43" s="3" t="b">
        <f t="shared" si="3"/>
        <v>1</v>
      </c>
      <c r="CT43" s="3" t="b">
        <f t="shared" si="4"/>
        <v>1</v>
      </c>
      <c r="CU43" s="3" t="b">
        <f t="shared" si="5"/>
        <v>1</v>
      </c>
      <c r="CV43" s="3" t="b">
        <f t="shared" si="6"/>
        <v>1</v>
      </c>
      <c r="CW43" s="3" t="b">
        <f t="shared" si="7"/>
        <v>1</v>
      </c>
      <c r="CX43" s="9" t="str">
        <f t="shared" si="8"/>
        <v>3202041</v>
      </c>
      <c r="CY43" s="9" t="str">
        <f t="shared" si="9"/>
        <v>3301041</v>
      </c>
      <c r="CZ43" s="9" t="str">
        <f t="shared" si="10"/>
        <v>3301041</v>
      </c>
      <c r="DA43" s="9" t="str">
        <f t="shared" si="11"/>
        <v>3402043</v>
      </c>
      <c r="DB43" s="9" t="str">
        <f t="shared" si="12"/>
        <v>3501043</v>
      </c>
      <c r="DC43" s="9" t="str">
        <f t="shared" si="13"/>
        <v>3501043</v>
      </c>
      <c r="DD43" s="9">
        <v>4</v>
      </c>
      <c r="DE43" s="9">
        <v>4</v>
      </c>
      <c r="DF43" s="9">
        <v>4</v>
      </c>
      <c r="DG43" s="9">
        <v>4</v>
      </c>
      <c r="DH43" s="9">
        <v>4</v>
      </c>
      <c r="DI43" s="9">
        <v>4</v>
      </c>
      <c r="DJ43" s="9">
        <v>3</v>
      </c>
      <c r="DK43" s="9">
        <v>3</v>
      </c>
      <c r="DL43" s="9">
        <v>3</v>
      </c>
      <c r="DM43" s="9">
        <v>3</v>
      </c>
      <c r="DN43" s="9">
        <v>3</v>
      </c>
      <c r="DO43" s="9">
        <v>3</v>
      </c>
      <c r="DP43" s="25" t="s">
        <v>111</v>
      </c>
      <c r="DQ43" s="25" t="s">
        <v>107</v>
      </c>
      <c r="DR43" s="25" t="s">
        <v>107</v>
      </c>
      <c r="DS43" s="25" t="s">
        <v>118</v>
      </c>
      <c r="DT43" s="25" t="s">
        <v>121</v>
      </c>
      <c r="DU43" s="25" t="s">
        <v>121</v>
      </c>
      <c r="DV43" s="25">
        <f t="shared" si="14"/>
        <v>1</v>
      </c>
      <c r="DW43" s="25">
        <f t="shared" si="15"/>
        <v>1</v>
      </c>
      <c r="DX43" s="25">
        <f t="shared" si="16"/>
        <v>1</v>
      </c>
      <c r="DY43" s="25">
        <f t="shared" si="17"/>
        <v>2</v>
      </c>
      <c r="DZ43" s="25">
        <f t="shared" si="18"/>
        <v>2</v>
      </c>
      <c r="EA43" s="3">
        <f t="shared" si="19"/>
        <v>2</v>
      </c>
      <c r="EB43" s="32"/>
      <c r="EC43" s="5">
        <v>3501053</v>
      </c>
      <c r="ED43" s="31" t="s">
        <v>121</v>
      </c>
      <c r="EE43" s="8">
        <v>2</v>
      </c>
      <c r="EQ43" s="9">
        <v>303150001</v>
      </c>
      <c r="ER43" s="9" t="s">
        <v>162</v>
      </c>
    </row>
    <row r="44" spans="1:148" ht="13.5" customHeight="1">
      <c r="A44" s="9">
        <v>41</v>
      </c>
      <c r="B44" s="9">
        <v>1</v>
      </c>
      <c r="C44" s="9">
        <v>2001</v>
      </c>
      <c r="D44" s="9">
        <f t="shared" si="40"/>
        <v>46628</v>
      </c>
      <c r="E44" s="9" t="str">
        <f t="shared" si="22"/>
        <v>3302043,3202041,3200043,3400042,3300042,3400042</v>
      </c>
      <c r="F44" s="9" t="str">
        <f t="shared" si="23"/>
        <v>4,4,4,4,4,4</v>
      </c>
      <c r="G44" s="9" t="str">
        <f t="shared" si="24"/>
        <v>123,126,126,126,126,126</v>
      </c>
      <c r="H44" s="9">
        <v>48</v>
      </c>
      <c r="I44" s="9" t="s">
        <v>278</v>
      </c>
      <c r="J44" s="9" t="s">
        <v>279</v>
      </c>
      <c r="K44" s="9" t="s">
        <v>279</v>
      </c>
      <c r="L44" s="9" t="s">
        <v>279</v>
      </c>
      <c r="M44" s="9" t="s">
        <v>282</v>
      </c>
      <c r="O44" s="3">
        <f t="shared" si="41"/>
        <v>46628</v>
      </c>
      <c r="P44" s="9">
        <v>40370.75</v>
      </c>
      <c r="Q44" s="9">
        <v>3302043</v>
      </c>
      <c r="R44" s="9">
        <v>3202041</v>
      </c>
      <c r="S44" s="9">
        <v>3200043</v>
      </c>
      <c r="T44" s="9">
        <v>3400042</v>
      </c>
      <c r="U44" s="9">
        <v>3300042</v>
      </c>
      <c r="V44" s="9">
        <v>3400042</v>
      </c>
      <c r="W44" s="9">
        <v>4</v>
      </c>
      <c r="X44" s="9">
        <v>4</v>
      </c>
      <c r="Y44" s="9">
        <v>4</v>
      </c>
      <c r="Z44" s="9">
        <v>4</v>
      </c>
      <c r="AA44" s="9">
        <v>4</v>
      </c>
      <c r="AB44" s="9">
        <v>4</v>
      </c>
      <c r="AC44" s="9">
        <f t="shared" si="26"/>
        <v>123</v>
      </c>
      <c r="AD44" s="9">
        <f t="shared" si="27"/>
        <v>126</v>
      </c>
      <c r="AE44" s="9">
        <f t="shared" si="28"/>
        <v>126</v>
      </c>
      <c r="AF44" s="9">
        <f t="shared" si="29"/>
        <v>126</v>
      </c>
      <c r="AG44" s="9">
        <f t="shared" si="30"/>
        <v>126</v>
      </c>
      <c r="AH44" s="9">
        <f t="shared" si="31"/>
        <v>126</v>
      </c>
      <c r="AI44" s="7">
        <f t="shared" si="32"/>
        <v>6728.458333333333</v>
      </c>
      <c r="AJ44" s="7">
        <f t="shared" si="32"/>
        <v>6728.458333333333</v>
      </c>
      <c r="AK44" s="7">
        <f t="shared" si="32"/>
        <v>6728.458333333333</v>
      </c>
      <c r="AL44" s="7">
        <f t="shared" si="32"/>
        <v>6728.458333333333</v>
      </c>
      <c r="AM44" s="7">
        <f t="shared" si="32"/>
        <v>6728.458333333333</v>
      </c>
      <c r="AN44" s="7">
        <f t="shared" si="32"/>
        <v>6728.458333333333</v>
      </c>
      <c r="AO44" s="16"/>
      <c r="AP44" s="7"/>
      <c r="AQ44" s="9">
        <v>4</v>
      </c>
      <c r="AR44" s="9">
        <f t="shared" si="33"/>
        <v>113</v>
      </c>
      <c r="AS44" s="7">
        <f t="shared" si="34"/>
        <v>66</v>
      </c>
      <c r="AT44" s="7"/>
      <c r="AU44" s="16"/>
      <c r="AV44" s="7"/>
      <c r="AW44" s="7"/>
      <c r="AX44" s="7"/>
      <c r="AZ44" s="7"/>
      <c r="BA44" s="9">
        <f>BA43+($BA$83-$BA$43)/($A$83-$A$43)</f>
        <v>6835.45</v>
      </c>
      <c r="BC44" s="5">
        <f t="shared" si="35"/>
        <v>113</v>
      </c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18"/>
      <c r="BQ44" s="18"/>
      <c r="BR44" s="18">
        <v>4301042</v>
      </c>
      <c r="BS44" s="18">
        <f>[1]monsters!$N44</f>
        <v>185.17</v>
      </c>
      <c r="BT44" s="18">
        <f>[1]monsters!$O44</f>
        <v>18.52</v>
      </c>
      <c r="BU44" s="18">
        <f>[1]monsters!$P44</f>
        <v>990.97</v>
      </c>
      <c r="BV44" s="18">
        <f>[1]monsters!$Q44</f>
        <v>99.1</v>
      </c>
      <c r="BW44" s="18">
        <f>[1]monsters!$R44</f>
        <v>18.52</v>
      </c>
      <c r="BX44" s="18">
        <f>[1]monsters!$S44</f>
        <v>1.85</v>
      </c>
      <c r="BY44" s="18">
        <f>[1]monsters!$K44</f>
        <v>1.4</v>
      </c>
      <c r="BZ44" s="5">
        <f>[1]monsters!$D44</f>
        <v>6</v>
      </c>
      <c r="CA44" s="5">
        <f t="shared" si="36"/>
        <v>0.1</v>
      </c>
      <c r="CB44" s="5">
        <f t="shared" si="37"/>
        <v>208.35164326599326</v>
      </c>
      <c r="CC44" s="5">
        <f t="shared" si="38"/>
        <v>20.835164326599326</v>
      </c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>
        <v>0</v>
      </c>
      <c r="CR44" s="3" t="b">
        <f t="shared" si="2"/>
        <v>1</v>
      </c>
      <c r="CS44" s="3" t="b">
        <f t="shared" si="3"/>
        <v>1</v>
      </c>
      <c r="CT44" s="3" t="b">
        <f t="shared" si="4"/>
        <v>1</v>
      </c>
      <c r="CU44" s="3" t="b">
        <f t="shared" si="5"/>
        <v>1</v>
      </c>
      <c r="CV44" s="3" t="b">
        <f t="shared" si="6"/>
        <v>1</v>
      </c>
      <c r="CW44" s="3" t="b">
        <f t="shared" si="7"/>
        <v>1</v>
      </c>
      <c r="CX44" s="9" t="str">
        <f t="shared" si="8"/>
        <v>3302043</v>
      </c>
      <c r="CY44" s="9" t="str">
        <f t="shared" si="9"/>
        <v>3202041</v>
      </c>
      <c r="CZ44" s="9" t="str">
        <f t="shared" si="10"/>
        <v>3200043</v>
      </c>
      <c r="DA44" s="9" t="str">
        <f t="shared" si="11"/>
        <v>3400042</v>
      </c>
      <c r="DB44" s="9" t="str">
        <f t="shared" si="12"/>
        <v>3300042</v>
      </c>
      <c r="DC44" s="9" t="str">
        <f t="shared" si="13"/>
        <v>3400042</v>
      </c>
      <c r="DD44" s="9">
        <v>4</v>
      </c>
      <c r="DE44" s="9">
        <v>4</v>
      </c>
      <c r="DF44" s="9">
        <v>4</v>
      </c>
      <c r="DG44" s="9">
        <v>4</v>
      </c>
      <c r="DH44" s="9">
        <v>4</v>
      </c>
      <c r="DI44" s="9">
        <v>4</v>
      </c>
      <c r="DJ44" s="9">
        <v>3</v>
      </c>
      <c r="DK44" s="9">
        <v>3</v>
      </c>
      <c r="DL44" s="9">
        <v>3</v>
      </c>
      <c r="DM44" s="9">
        <v>3</v>
      </c>
      <c r="DN44" s="9">
        <v>3</v>
      </c>
      <c r="DO44" s="9">
        <v>3</v>
      </c>
      <c r="DP44" s="25" t="s">
        <v>108</v>
      </c>
      <c r="DQ44" s="25" t="s">
        <v>111</v>
      </c>
      <c r="DR44" s="25" t="s">
        <v>113</v>
      </c>
      <c r="DS44" s="25" t="s">
        <v>110</v>
      </c>
      <c r="DT44" s="25" t="s">
        <v>115</v>
      </c>
      <c r="DU44" s="25" t="s">
        <v>110</v>
      </c>
      <c r="DV44" s="25">
        <f t="shared" si="14"/>
        <v>1</v>
      </c>
      <c r="DW44" s="25">
        <f t="shared" si="15"/>
        <v>1</v>
      </c>
      <c r="DX44" s="25">
        <f t="shared" si="16"/>
        <v>1</v>
      </c>
      <c r="DY44" s="25">
        <f t="shared" si="17"/>
        <v>2</v>
      </c>
      <c r="DZ44" s="25">
        <f t="shared" si="18"/>
        <v>2</v>
      </c>
      <c r="EA44" s="3">
        <f t="shared" si="19"/>
        <v>2</v>
      </c>
      <c r="EB44" s="32"/>
      <c r="EC44" s="5">
        <v>3600053</v>
      </c>
      <c r="ED44" s="31" t="s">
        <v>131</v>
      </c>
      <c r="EE44" s="8">
        <v>1</v>
      </c>
      <c r="EQ44" s="9">
        <v>303150201</v>
      </c>
      <c r="ER44" s="9" t="s">
        <v>163</v>
      </c>
    </row>
    <row r="45" spans="1:148" ht="13.5" customHeight="1">
      <c r="A45" s="9">
        <v>42</v>
      </c>
      <c r="B45" s="9">
        <v>1</v>
      </c>
      <c r="C45" s="9">
        <v>2001</v>
      </c>
      <c r="D45" s="9">
        <f t="shared" si="40"/>
        <v>49959</v>
      </c>
      <c r="E45" s="9" t="str">
        <f t="shared" si="22"/>
        <v>3301041,3301041,3301041,3500042,3300042,3502041</v>
      </c>
      <c r="F45" s="9" t="str">
        <f t="shared" si="23"/>
        <v>4,4,4,4,4,4</v>
      </c>
      <c r="G45" s="9" t="str">
        <f t="shared" si="24"/>
        <v>127,130,130,130,130,130</v>
      </c>
      <c r="H45" s="9">
        <v>48</v>
      </c>
      <c r="I45" s="9" t="s">
        <v>278</v>
      </c>
      <c r="J45" s="9" t="s">
        <v>279</v>
      </c>
      <c r="K45" s="9" t="s">
        <v>279</v>
      </c>
      <c r="L45" s="9" t="s">
        <v>279</v>
      </c>
      <c r="M45" s="9" t="s">
        <v>282</v>
      </c>
      <c r="O45" s="3">
        <f t="shared" si="41"/>
        <v>49959</v>
      </c>
      <c r="P45" s="9">
        <v>43254.75</v>
      </c>
      <c r="Q45" s="9">
        <v>3301041</v>
      </c>
      <c r="R45" s="9">
        <v>3301041</v>
      </c>
      <c r="S45" s="9">
        <v>3301041</v>
      </c>
      <c r="T45" s="9">
        <v>3500042</v>
      </c>
      <c r="U45" s="9">
        <v>3300042</v>
      </c>
      <c r="V45" s="9">
        <v>3502041</v>
      </c>
      <c r="W45" s="9">
        <v>4</v>
      </c>
      <c r="X45" s="9">
        <v>4</v>
      </c>
      <c r="Y45" s="9">
        <v>4</v>
      </c>
      <c r="Z45" s="9">
        <v>4</v>
      </c>
      <c r="AA45" s="9">
        <v>4</v>
      </c>
      <c r="AB45" s="9">
        <v>4</v>
      </c>
      <c r="AC45" s="9">
        <f t="shared" si="26"/>
        <v>127</v>
      </c>
      <c r="AD45" s="9">
        <f t="shared" si="27"/>
        <v>130</v>
      </c>
      <c r="AE45" s="9">
        <f t="shared" si="28"/>
        <v>130</v>
      </c>
      <c r="AF45" s="9">
        <f t="shared" si="29"/>
        <v>130</v>
      </c>
      <c r="AG45" s="9">
        <f t="shared" si="30"/>
        <v>130</v>
      </c>
      <c r="AH45" s="9">
        <f t="shared" si="31"/>
        <v>130</v>
      </c>
      <c r="AI45" s="7">
        <f t="shared" si="32"/>
        <v>7209.125</v>
      </c>
      <c r="AJ45" s="7">
        <f t="shared" si="32"/>
        <v>7209.125</v>
      </c>
      <c r="AK45" s="7">
        <f t="shared" si="32"/>
        <v>7209.125</v>
      </c>
      <c r="AL45" s="7">
        <f t="shared" si="32"/>
        <v>7209.125</v>
      </c>
      <c r="AM45" s="7">
        <f t="shared" si="32"/>
        <v>7209.125</v>
      </c>
      <c r="AN45" s="7">
        <f t="shared" si="32"/>
        <v>7209.125</v>
      </c>
      <c r="AO45" s="16"/>
      <c r="AP45" s="7"/>
      <c r="AQ45" s="9">
        <v>4</v>
      </c>
      <c r="AR45" s="9">
        <f t="shared" si="33"/>
        <v>117</v>
      </c>
      <c r="AS45" s="7">
        <f t="shared" si="34"/>
        <v>67</v>
      </c>
      <c r="AT45" s="7"/>
      <c r="AU45" s="16"/>
      <c r="AV45" s="7"/>
      <c r="AW45" s="7"/>
      <c r="AX45" s="7"/>
      <c r="AZ45" s="7"/>
      <c r="BA45" s="9">
        <f t="shared" ref="BA45:BA82" si="42">BA44+($BA$83-$BA$43)/($A$83-$A$43)</f>
        <v>7190.9</v>
      </c>
      <c r="BC45" s="5">
        <f t="shared" si="35"/>
        <v>117</v>
      </c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18"/>
      <c r="BQ45" s="18"/>
      <c r="BR45" s="18">
        <v>4202043</v>
      </c>
      <c r="BS45" s="18">
        <f>[1]monsters!$N45</f>
        <v>238.08</v>
      </c>
      <c r="BT45" s="18">
        <f>[1]monsters!$O45</f>
        <v>23.81</v>
      </c>
      <c r="BU45" s="18">
        <f>[1]monsters!$P45</f>
        <v>990.97</v>
      </c>
      <c r="BV45" s="18">
        <f>[1]monsters!$Q45</f>
        <v>99.1</v>
      </c>
      <c r="BW45" s="18">
        <f>[1]monsters!$R45</f>
        <v>23.81</v>
      </c>
      <c r="BX45" s="18">
        <f>[1]monsters!$S45</f>
        <v>2.38</v>
      </c>
      <c r="BY45" s="18">
        <f>[1]monsters!$K45</f>
        <v>1.8</v>
      </c>
      <c r="BZ45" s="5">
        <f>[1]monsters!$D45</f>
        <v>6</v>
      </c>
      <c r="CA45" s="5">
        <f t="shared" si="36"/>
        <v>0.1</v>
      </c>
      <c r="CB45" s="5">
        <f t="shared" si="37"/>
        <v>258.3515932659933</v>
      </c>
      <c r="CC45" s="5">
        <f t="shared" si="38"/>
        <v>25.835159326599332</v>
      </c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>
        <v>0</v>
      </c>
      <c r="CR45" s="3" t="b">
        <f t="shared" si="2"/>
        <v>1</v>
      </c>
      <c r="CS45" s="3" t="b">
        <f t="shared" si="3"/>
        <v>1</v>
      </c>
      <c r="CT45" s="3" t="b">
        <f t="shared" si="4"/>
        <v>1</v>
      </c>
      <c r="CU45" s="3" t="b">
        <f t="shared" si="5"/>
        <v>1</v>
      </c>
      <c r="CV45" s="3" t="b">
        <f t="shared" si="6"/>
        <v>1</v>
      </c>
      <c r="CW45" s="3" t="b">
        <f t="shared" si="7"/>
        <v>1</v>
      </c>
      <c r="CX45" s="9" t="str">
        <f t="shared" si="8"/>
        <v>3301041</v>
      </c>
      <c r="CY45" s="9" t="str">
        <f t="shared" si="9"/>
        <v>3301041</v>
      </c>
      <c r="CZ45" s="9" t="str">
        <f t="shared" si="10"/>
        <v>3301041</v>
      </c>
      <c r="DA45" s="9" t="str">
        <f t="shared" si="11"/>
        <v>3500042</v>
      </c>
      <c r="DB45" s="9" t="str">
        <f t="shared" si="12"/>
        <v>3300042</v>
      </c>
      <c r="DC45" s="9" t="str">
        <f t="shared" si="13"/>
        <v>3502041</v>
      </c>
      <c r="DD45" s="9">
        <v>4</v>
      </c>
      <c r="DE45" s="9">
        <v>4</v>
      </c>
      <c r="DF45" s="9">
        <v>4</v>
      </c>
      <c r="DG45" s="9">
        <v>4</v>
      </c>
      <c r="DH45" s="9">
        <v>4</v>
      </c>
      <c r="DI45" s="9">
        <v>4</v>
      </c>
      <c r="DJ45" s="9">
        <v>3</v>
      </c>
      <c r="DK45" s="9">
        <v>3</v>
      </c>
      <c r="DL45" s="9">
        <v>3</v>
      </c>
      <c r="DM45" s="9">
        <v>3</v>
      </c>
      <c r="DN45" s="9">
        <v>3</v>
      </c>
      <c r="DO45" s="9">
        <v>3</v>
      </c>
      <c r="DP45" s="25" t="s">
        <v>107</v>
      </c>
      <c r="DQ45" s="25" t="s">
        <v>107</v>
      </c>
      <c r="DR45" s="25" t="s">
        <v>107</v>
      </c>
      <c r="DS45" s="25" t="s">
        <v>109</v>
      </c>
      <c r="DT45" s="25" t="s">
        <v>115</v>
      </c>
      <c r="DU45" s="25" t="s">
        <v>119</v>
      </c>
      <c r="DV45" s="25">
        <f t="shared" si="14"/>
        <v>1</v>
      </c>
      <c r="DW45" s="25">
        <f t="shared" si="15"/>
        <v>1</v>
      </c>
      <c r="DX45" s="25">
        <f t="shared" si="16"/>
        <v>1</v>
      </c>
      <c r="DY45" s="25">
        <f t="shared" si="17"/>
        <v>2</v>
      </c>
      <c r="DZ45" s="25">
        <f t="shared" si="18"/>
        <v>2</v>
      </c>
      <c r="EA45" s="3">
        <f t="shared" si="19"/>
        <v>2</v>
      </c>
      <c r="EB45" s="32"/>
      <c r="EC45" s="5">
        <v>3602051</v>
      </c>
      <c r="ED45" s="31" t="s">
        <v>133</v>
      </c>
      <c r="EE45" s="8">
        <v>2</v>
      </c>
      <c r="EQ45" s="9">
        <v>303160101</v>
      </c>
      <c r="ER45" s="9" t="s">
        <v>164</v>
      </c>
    </row>
    <row r="46" spans="1:148" ht="13.5" customHeight="1">
      <c r="A46" s="9">
        <v>43</v>
      </c>
      <c r="B46" s="9">
        <v>1</v>
      </c>
      <c r="C46" s="9">
        <v>2001</v>
      </c>
      <c r="D46" s="9">
        <f t="shared" si="40"/>
        <v>53264</v>
      </c>
      <c r="E46" s="9" t="str">
        <f t="shared" si="22"/>
        <v>3201042,3200043,3301041,3501043,3500042,3501043</v>
      </c>
      <c r="F46" s="9" t="str">
        <f t="shared" si="23"/>
        <v>4,4,4,4,4,4</v>
      </c>
      <c r="G46" s="9" t="str">
        <f t="shared" si="24"/>
        <v>132,135,135,135,135,135</v>
      </c>
      <c r="H46" s="9">
        <v>48</v>
      </c>
      <c r="I46" s="9" t="s">
        <v>278</v>
      </c>
      <c r="J46" s="9" t="s">
        <v>279</v>
      </c>
      <c r="K46" s="9" t="s">
        <v>279</v>
      </c>
      <c r="L46" s="9" t="s">
        <v>279</v>
      </c>
      <c r="M46" s="9" t="s">
        <v>282</v>
      </c>
      <c r="O46" s="3">
        <f t="shared" si="41"/>
        <v>53264</v>
      </c>
      <c r="P46" s="9">
        <v>46116</v>
      </c>
      <c r="Q46" s="9">
        <v>3201042</v>
      </c>
      <c r="R46" s="9">
        <v>3200043</v>
      </c>
      <c r="S46" s="9">
        <v>3301041</v>
      </c>
      <c r="T46" s="9">
        <v>3501043</v>
      </c>
      <c r="U46" s="9">
        <v>3500042</v>
      </c>
      <c r="V46" s="9">
        <v>3501043</v>
      </c>
      <c r="W46" s="9">
        <v>4</v>
      </c>
      <c r="X46" s="9">
        <v>4</v>
      </c>
      <c r="Y46" s="9">
        <v>4</v>
      </c>
      <c r="Z46" s="9">
        <v>4</v>
      </c>
      <c r="AA46" s="9">
        <v>4</v>
      </c>
      <c r="AB46" s="9">
        <v>4</v>
      </c>
      <c r="AC46" s="9">
        <f t="shared" si="26"/>
        <v>132</v>
      </c>
      <c r="AD46" s="9">
        <f t="shared" si="27"/>
        <v>135</v>
      </c>
      <c r="AE46" s="9">
        <f t="shared" si="28"/>
        <v>135</v>
      </c>
      <c r="AF46" s="9">
        <f t="shared" si="29"/>
        <v>135</v>
      </c>
      <c r="AG46" s="9">
        <f t="shared" si="30"/>
        <v>135</v>
      </c>
      <c r="AH46" s="9">
        <f t="shared" si="31"/>
        <v>135</v>
      </c>
      <c r="AI46" s="7">
        <f t="shared" si="32"/>
        <v>7686</v>
      </c>
      <c r="AJ46" s="7">
        <f t="shared" si="32"/>
        <v>7686</v>
      </c>
      <c r="AK46" s="7">
        <f t="shared" si="32"/>
        <v>7686</v>
      </c>
      <c r="AL46" s="7">
        <f t="shared" si="32"/>
        <v>7686</v>
      </c>
      <c r="AM46" s="7">
        <f t="shared" si="32"/>
        <v>7686</v>
      </c>
      <c r="AN46" s="7">
        <f t="shared" si="32"/>
        <v>7686</v>
      </c>
      <c r="AO46" s="16"/>
      <c r="AP46" s="7"/>
      <c r="AQ46" s="9">
        <v>4</v>
      </c>
      <c r="AR46" s="9">
        <f t="shared" si="33"/>
        <v>121</v>
      </c>
      <c r="AS46" s="7">
        <f t="shared" si="34"/>
        <v>68</v>
      </c>
      <c r="AT46" s="7"/>
      <c r="AU46" s="16"/>
      <c r="AV46" s="7"/>
      <c r="AW46" s="7"/>
      <c r="AX46" s="7"/>
      <c r="AZ46" s="7"/>
      <c r="BA46" s="9">
        <f t="shared" si="42"/>
        <v>7546.3499999999995</v>
      </c>
      <c r="BC46" s="5">
        <f t="shared" si="35"/>
        <v>121</v>
      </c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18"/>
      <c r="BQ46" s="18"/>
      <c r="BR46" s="18">
        <v>4302043</v>
      </c>
      <c r="BS46" s="18">
        <f>[1]monsters!$N46</f>
        <v>99.84</v>
      </c>
      <c r="BT46" s="18">
        <f>[1]monsters!$O46</f>
        <v>9.98</v>
      </c>
      <c r="BU46" s="18">
        <f>[1]monsters!$P46</f>
        <v>1706.67</v>
      </c>
      <c r="BV46" s="18">
        <f>[1]monsters!$Q46</f>
        <v>170.67</v>
      </c>
      <c r="BW46" s="18">
        <f>[1]monsters!$R46</f>
        <v>19.97</v>
      </c>
      <c r="BX46" s="18">
        <f>[1]monsters!$S46</f>
        <v>2</v>
      </c>
      <c r="BY46" s="18">
        <f>[1]monsters!$K46</f>
        <v>1.3</v>
      </c>
      <c r="BZ46" s="5">
        <f>[1]monsters!$D46</f>
        <v>3</v>
      </c>
      <c r="CA46" s="5">
        <f t="shared" si="36"/>
        <v>0.1</v>
      </c>
      <c r="CB46" s="5">
        <f t="shared" si="37"/>
        <v>151.81243636363638</v>
      </c>
      <c r="CC46" s="5">
        <f t="shared" si="38"/>
        <v>15.181243636363639</v>
      </c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>
        <v>0</v>
      </c>
      <c r="CR46" s="3" t="b">
        <f t="shared" si="2"/>
        <v>1</v>
      </c>
      <c r="CS46" s="3" t="b">
        <f t="shared" si="3"/>
        <v>1</v>
      </c>
      <c r="CT46" s="3" t="b">
        <f t="shared" si="4"/>
        <v>1</v>
      </c>
      <c r="CU46" s="3" t="b">
        <f t="shared" si="5"/>
        <v>1</v>
      </c>
      <c r="CV46" s="3" t="b">
        <f t="shared" si="6"/>
        <v>1</v>
      </c>
      <c r="CW46" s="3" t="b">
        <f t="shared" si="7"/>
        <v>1</v>
      </c>
      <c r="CX46" s="9" t="str">
        <f t="shared" si="8"/>
        <v>3201042</v>
      </c>
      <c r="CY46" s="9" t="str">
        <f t="shared" si="9"/>
        <v>3200043</v>
      </c>
      <c r="CZ46" s="9" t="str">
        <f t="shared" si="10"/>
        <v>3301041</v>
      </c>
      <c r="DA46" s="9" t="str">
        <f t="shared" si="11"/>
        <v>3501043</v>
      </c>
      <c r="DB46" s="9" t="str">
        <f t="shared" si="12"/>
        <v>3500042</v>
      </c>
      <c r="DC46" s="9" t="str">
        <f t="shared" si="13"/>
        <v>3501043</v>
      </c>
      <c r="DD46" s="9">
        <v>4</v>
      </c>
      <c r="DE46" s="9">
        <v>4</v>
      </c>
      <c r="DF46" s="9">
        <v>4</v>
      </c>
      <c r="DG46" s="9">
        <v>4</v>
      </c>
      <c r="DH46" s="9">
        <v>4</v>
      </c>
      <c r="DI46" s="9">
        <v>4</v>
      </c>
      <c r="DJ46" s="9">
        <v>3</v>
      </c>
      <c r="DK46" s="9">
        <v>3</v>
      </c>
      <c r="DL46" s="9">
        <v>3</v>
      </c>
      <c r="DM46" s="9">
        <v>3</v>
      </c>
      <c r="DN46" s="9">
        <v>3</v>
      </c>
      <c r="DO46" s="9">
        <v>3</v>
      </c>
      <c r="DP46" s="25" t="s">
        <v>114</v>
      </c>
      <c r="DQ46" s="25" t="s">
        <v>113</v>
      </c>
      <c r="DR46" s="25" t="s">
        <v>107</v>
      </c>
      <c r="DS46" s="25" t="s">
        <v>121</v>
      </c>
      <c r="DT46" s="25" t="s">
        <v>109</v>
      </c>
      <c r="DU46" s="25" t="s">
        <v>121</v>
      </c>
      <c r="DV46" s="25">
        <f t="shared" si="14"/>
        <v>1</v>
      </c>
      <c r="DW46" s="25">
        <f t="shared" si="15"/>
        <v>1</v>
      </c>
      <c r="DX46" s="25">
        <f t="shared" si="16"/>
        <v>1</v>
      </c>
      <c r="DY46" s="25">
        <f t="shared" si="17"/>
        <v>2</v>
      </c>
      <c r="DZ46" s="25">
        <f t="shared" si="18"/>
        <v>2</v>
      </c>
      <c r="EA46" s="3">
        <f t="shared" si="19"/>
        <v>2</v>
      </c>
      <c r="EB46" s="32"/>
      <c r="EC46" s="5">
        <v>3300052</v>
      </c>
      <c r="ED46" s="31" t="s">
        <v>115</v>
      </c>
      <c r="EE46" s="8">
        <v>2</v>
      </c>
      <c r="EQ46" s="9">
        <v>303220001</v>
      </c>
      <c r="ER46" s="9" t="s">
        <v>165</v>
      </c>
    </row>
    <row r="47" spans="1:148" ht="13.5" customHeight="1">
      <c r="A47" s="9">
        <v>44</v>
      </c>
      <c r="B47" s="9">
        <v>1</v>
      </c>
      <c r="C47" s="9">
        <v>2001</v>
      </c>
      <c r="D47" s="9">
        <f t="shared" si="40"/>
        <v>56684</v>
      </c>
      <c r="E47" s="9" t="str">
        <f t="shared" si="22"/>
        <v>3200043,3200043,3201042,3401041,3402043,3401041</v>
      </c>
      <c r="F47" s="9" t="str">
        <f t="shared" si="23"/>
        <v>4,4,4,4,4,4</v>
      </c>
      <c r="G47" s="9" t="str">
        <f t="shared" si="24"/>
        <v>136,140,140,140,140,140</v>
      </c>
      <c r="H47" s="9">
        <v>48</v>
      </c>
      <c r="I47" s="9" t="s">
        <v>278</v>
      </c>
      <c r="J47" s="9" t="s">
        <v>279</v>
      </c>
      <c r="K47" s="9" t="s">
        <v>279</v>
      </c>
      <c r="L47" s="9" t="s">
        <v>279</v>
      </c>
      <c r="M47" s="9" t="s">
        <v>282</v>
      </c>
      <c r="O47" s="3">
        <f t="shared" si="41"/>
        <v>56684</v>
      </c>
      <c r="P47" s="9">
        <v>49077</v>
      </c>
      <c r="Q47" s="9">
        <v>3200043</v>
      </c>
      <c r="R47" s="9">
        <v>3200043</v>
      </c>
      <c r="S47" s="9">
        <v>3201042</v>
      </c>
      <c r="T47" s="9">
        <v>3401041</v>
      </c>
      <c r="U47" s="9">
        <v>3402043</v>
      </c>
      <c r="V47" s="9">
        <v>3401041</v>
      </c>
      <c r="W47" s="9">
        <v>4</v>
      </c>
      <c r="X47" s="9">
        <v>4</v>
      </c>
      <c r="Y47" s="9">
        <v>4</v>
      </c>
      <c r="Z47" s="9">
        <v>4</v>
      </c>
      <c r="AA47" s="9">
        <v>4</v>
      </c>
      <c r="AB47" s="9">
        <v>4</v>
      </c>
      <c r="AC47" s="9">
        <f t="shared" si="26"/>
        <v>136</v>
      </c>
      <c r="AD47" s="9">
        <f t="shared" si="27"/>
        <v>140</v>
      </c>
      <c r="AE47" s="9">
        <f t="shared" si="28"/>
        <v>140</v>
      </c>
      <c r="AF47" s="9">
        <f t="shared" si="29"/>
        <v>140</v>
      </c>
      <c r="AG47" s="9">
        <f t="shared" si="30"/>
        <v>140</v>
      </c>
      <c r="AH47" s="9">
        <f t="shared" si="31"/>
        <v>140</v>
      </c>
      <c r="AI47" s="7">
        <f t="shared" si="32"/>
        <v>8179.5</v>
      </c>
      <c r="AJ47" s="7">
        <f t="shared" si="32"/>
        <v>8179.5</v>
      </c>
      <c r="AK47" s="7">
        <f t="shared" si="32"/>
        <v>8179.5</v>
      </c>
      <c r="AL47" s="7">
        <f t="shared" si="32"/>
        <v>8179.5</v>
      </c>
      <c r="AM47" s="7">
        <f t="shared" si="32"/>
        <v>8179.5</v>
      </c>
      <c r="AN47" s="7">
        <f t="shared" si="32"/>
        <v>8179.5</v>
      </c>
      <c r="AO47" s="16"/>
      <c r="AP47" s="7"/>
      <c r="AQ47" s="9">
        <v>4</v>
      </c>
      <c r="AR47" s="9">
        <f t="shared" si="33"/>
        <v>125</v>
      </c>
      <c r="AS47" s="7">
        <f t="shared" si="34"/>
        <v>69</v>
      </c>
      <c r="AT47" s="7"/>
      <c r="AU47" s="16"/>
      <c r="AV47" s="7"/>
      <c r="AW47" s="7"/>
      <c r="AX47" s="7"/>
      <c r="AZ47" s="7"/>
      <c r="BA47" s="9">
        <f t="shared" si="42"/>
        <v>7901.7999999999993</v>
      </c>
      <c r="BC47" s="5">
        <f t="shared" si="35"/>
        <v>125</v>
      </c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18"/>
      <c r="BQ47" s="18"/>
      <c r="BR47" s="18">
        <v>4400043</v>
      </c>
      <c r="BS47" s="18">
        <f>[1]monsters!$N47</f>
        <v>107.52</v>
      </c>
      <c r="BT47" s="18">
        <f>[1]monsters!$O47</f>
        <v>10.75</v>
      </c>
      <c r="BU47" s="18">
        <f>[1]monsters!$P47</f>
        <v>1706.67</v>
      </c>
      <c r="BV47" s="18">
        <f>[1]monsters!$Q47</f>
        <v>170.67</v>
      </c>
      <c r="BW47" s="18">
        <f>[1]monsters!$R47</f>
        <v>21.5</v>
      </c>
      <c r="BX47" s="18">
        <f>[1]monsters!$S47</f>
        <v>2.15</v>
      </c>
      <c r="BY47" s="18">
        <f>[1]monsters!$K47</f>
        <v>1.4</v>
      </c>
      <c r="BZ47" s="5">
        <f>[1]monsters!$D47</f>
        <v>3</v>
      </c>
      <c r="CA47" s="5">
        <f t="shared" si="36"/>
        <v>0.1</v>
      </c>
      <c r="CB47" s="5">
        <f t="shared" si="37"/>
        <v>159.07003636363638</v>
      </c>
      <c r="CC47" s="5">
        <f t="shared" si="38"/>
        <v>15.907003636363639</v>
      </c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>
        <v>0</v>
      </c>
      <c r="CR47" s="3" t="b">
        <f t="shared" si="2"/>
        <v>1</v>
      </c>
      <c r="CS47" s="3" t="b">
        <f t="shared" si="3"/>
        <v>1</v>
      </c>
      <c r="CT47" s="3" t="b">
        <f t="shared" si="4"/>
        <v>1</v>
      </c>
      <c r="CU47" s="3" t="b">
        <f t="shared" si="5"/>
        <v>1</v>
      </c>
      <c r="CV47" s="3" t="b">
        <f t="shared" si="6"/>
        <v>1</v>
      </c>
      <c r="CW47" s="3" t="b">
        <f t="shared" si="7"/>
        <v>1</v>
      </c>
      <c r="CX47" s="9" t="str">
        <f t="shared" si="8"/>
        <v>3200043</v>
      </c>
      <c r="CY47" s="9" t="str">
        <f t="shared" si="9"/>
        <v>3200043</v>
      </c>
      <c r="CZ47" s="9" t="str">
        <f t="shared" si="10"/>
        <v>3201042</v>
      </c>
      <c r="DA47" s="9" t="str">
        <f t="shared" si="11"/>
        <v>3401041</v>
      </c>
      <c r="DB47" s="9" t="str">
        <f t="shared" si="12"/>
        <v>3402043</v>
      </c>
      <c r="DC47" s="9" t="str">
        <f t="shared" si="13"/>
        <v>3401041</v>
      </c>
      <c r="DD47" s="9">
        <v>4</v>
      </c>
      <c r="DE47" s="9">
        <v>4</v>
      </c>
      <c r="DF47" s="9">
        <v>4</v>
      </c>
      <c r="DG47" s="9">
        <v>4</v>
      </c>
      <c r="DH47" s="9">
        <v>4</v>
      </c>
      <c r="DI47" s="9">
        <v>4</v>
      </c>
      <c r="DJ47" s="9">
        <v>3</v>
      </c>
      <c r="DK47" s="9">
        <v>3</v>
      </c>
      <c r="DL47" s="9">
        <v>3</v>
      </c>
      <c r="DM47" s="9">
        <v>3</v>
      </c>
      <c r="DN47" s="9">
        <v>3</v>
      </c>
      <c r="DO47" s="9">
        <v>3</v>
      </c>
      <c r="DP47" s="25" t="s">
        <v>113</v>
      </c>
      <c r="DQ47" s="25" t="s">
        <v>113</v>
      </c>
      <c r="DR47" s="25" t="s">
        <v>114</v>
      </c>
      <c r="DS47" s="25" t="s">
        <v>117</v>
      </c>
      <c r="DT47" s="25" t="s">
        <v>118</v>
      </c>
      <c r="DU47" s="25" t="s">
        <v>117</v>
      </c>
      <c r="DV47" s="25">
        <f t="shared" si="14"/>
        <v>1</v>
      </c>
      <c r="DW47" s="25">
        <f t="shared" si="15"/>
        <v>1</v>
      </c>
      <c r="DX47" s="25">
        <f t="shared" si="16"/>
        <v>1</v>
      </c>
      <c r="DY47" s="25">
        <f t="shared" si="17"/>
        <v>2</v>
      </c>
      <c r="DZ47" s="25">
        <f t="shared" si="18"/>
        <v>2</v>
      </c>
      <c r="EA47" s="3">
        <f t="shared" si="19"/>
        <v>2</v>
      </c>
      <c r="EB47" s="32"/>
      <c r="EC47" s="5">
        <v>3302053</v>
      </c>
      <c r="ED47" s="31" t="s">
        <v>108</v>
      </c>
      <c r="EE47" s="8">
        <v>1</v>
      </c>
      <c r="EQ47" s="9">
        <v>303220101</v>
      </c>
      <c r="ER47" s="9" t="s">
        <v>132</v>
      </c>
    </row>
    <row r="48" spans="1:148" ht="13.5" customHeight="1">
      <c r="A48" s="9">
        <v>45</v>
      </c>
      <c r="B48" s="9">
        <v>1</v>
      </c>
      <c r="C48" s="9">
        <v>2001</v>
      </c>
      <c r="D48" s="9">
        <f t="shared" si="40"/>
        <v>58044</v>
      </c>
      <c r="E48" s="9" t="str">
        <f t="shared" si="22"/>
        <v>3202041,3301041,3301041,3502041,3502041,3502041</v>
      </c>
      <c r="F48" s="9" t="str">
        <f t="shared" si="23"/>
        <v>4,4,4,4,4,4</v>
      </c>
      <c r="G48" s="9" t="str">
        <f t="shared" si="24"/>
        <v>138,141,141,141,141,141</v>
      </c>
      <c r="H48" s="9">
        <v>50</v>
      </c>
      <c r="I48" s="9" t="s">
        <v>278</v>
      </c>
      <c r="J48" s="9" t="s">
        <v>279</v>
      </c>
      <c r="K48" s="9" t="s">
        <v>279</v>
      </c>
      <c r="L48" s="9" t="s">
        <v>279</v>
      </c>
      <c r="M48" s="9" t="s">
        <v>282</v>
      </c>
      <c r="O48" s="3">
        <f t="shared" si="41"/>
        <v>58044</v>
      </c>
      <c r="P48" s="9">
        <v>50254.75</v>
      </c>
      <c r="Q48" s="9">
        <v>3202041</v>
      </c>
      <c r="R48" s="9">
        <v>3301041</v>
      </c>
      <c r="S48" s="9">
        <v>3301041</v>
      </c>
      <c r="T48" s="9">
        <v>3502041</v>
      </c>
      <c r="U48" s="9">
        <v>3502041</v>
      </c>
      <c r="V48" s="9">
        <v>3502041</v>
      </c>
      <c r="W48" s="9">
        <v>4</v>
      </c>
      <c r="X48" s="9">
        <v>4</v>
      </c>
      <c r="Y48" s="9">
        <v>4</v>
      </c>
      <c r="Z48" s="9">
        <v>4</v>
      </c>
      <c r="AA48" s="9">
        <v>4</v>
      </c>
      <c r="AB48" s="9">
        <v>4</v>
      </c>
      <c r="AC48" s="9">
        <f t="shared" si="26"/>
        <v>138</v>
      </c>
      <c r="AD48" s="9">
        <f t="shared" si="27"/>
        <v>141</v>
      </c>
      <c r="AE48" s="9">
        <f t="shared" si="28"/>
        <v>141</v>
      </c>
      <c r="AF48" s="9">
        <f t="shared" si="29"/>
        <v>141</v>
      </c>
      <c r="AG48" s="9">
        <f t="shared" si="30"/>
        <v>141</v>
      </c>
      <c r="AH48" s="9">
        <f t="shared" si="31"/>
        <v>141</v>
      </c>
      <c r="AI48" s="7">
        <f t="shared" si="32"/>
        <v>8375.7916666666661</v>
      </c>
      <c r="AJ48" s="7">
        <f t="shared" si="32"/>
        <v>8375.7916666666661</v>
      </c>
      <c r="AK48" s="7">
        <f t="shared" si="32"/>
        <v>8375.7916666666661</v>
      </c>
      <c r="AL48" s="7">
        <f t="shared" si="32"/>
        <v>8375.7916666666661</v>
      </c>
      <c r="AM48" s="7">
        <f t="shared" si="32"/>
        <v>8375.7916666666661</v>
      </c>
      <c r="AN48" s="7">
        <f t="shared" si="32"/>
        <v>8375.7916666666661</v>
      </c>
      <c r="AO48" s="16"/>
      <c r="AP48" s="7"/>
      <c r="AQ48" s="9">
        <v>4</v>
      </c>
      <c r="AR48" s="9">
        <f t="shared" si="33"/>
        <v>127</v>
      </c>
      <c r="AS48" s="7">
        <f t="shared" si="34"/>
        <v>70</v>
      </c>
      <c r="AT48" s="7"/>
      <c r="AU48" s="16"/>
      <c r="AV48" s="7"/>
      <c r="AW48" s="7"/>
      <c r="AX48" s="7"/>
      <c r="AZ48" s="7"/>
      <c r="BA48" s="9">
        <f t="shared" si="42"/>
        <v>8257.25</v>
      </c>
      <c r="BC48" s="5">
        <f t="shared" si="35"/>
        <v>127</v>
      </c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18"/>
      <c r="BQ48" s="18"/>
      <c r="BR48" s="18">
        <v>4501043</v>
      </c>
      <c r="BS48" s="18">
        <f>[1]monsters!$N48</f>
        <v>143.36000000000001</v>
      </c>
      <c r="BT48" s="18">
        <f>[1]monsters!$O48</f>
        <v>14.34</v>
      </c>
      <c r="BU48" s="18">
        <f>[1]monsters!$P48</f>
        <v>1280</v>
      </c>
      <c r="BV48" s="18">
        <f>[1]monsters!$Q48</f>
        <v>128</v>
      </c>
      <c r="BW48" s="18">
        <f>[1]monsters!$R48</f>
        <v>20.48</v>
      </c>
      <c r="BX48" s="18">
        <f>[1]monsters!$S48</f>
        <v>2.0499999999999998</v>
      </c>
      <c r="BY48" s="18">
        <f>[1]monsters!$K48</f>
        <v>1.4</v>
      </c>
      <c r="BZ48" s="5">
        <f>[1]monsters!$D48</f>
        <v>4</v>
      </c>
      <c r="CA48" s="5">
        <f t="shared" si="36"/>
        <v>0.1</v>
      </c>
      <c r="CB48" s="5">
        <f t="shared" si="37"/>
        <v>178.57284309764313</v>
      </c>
      <c r="CC48" s="5">
        <f t="shared" si="38"/>
        <v>17.857284309764314</v>
      </c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>
        <v>1</v>
      </c>
      <c r="CR48" s="3" t="b">
        <f t="shared" si="2"/>
        <v>1</v>
      </c>
      <c r="CS48" s="3" t="b">
        <f t="shared" si="3"/>
        <v>1</v>
      </c>
      <c r="CT48" s="3" t="b">
        <f t="shared" si="4"/>
        <v>1</v>
      </c>
      <c r="CU48" s="3" t="b">
        <f t="shared" si="5"/>
        <v>1</v>
      </c>
      <c r="CV48" s="3" t="b">
        <f t="shared" si="6"/>
        <v>1</v>
      </c>
      <c r="CW48" s="3" t="b">
        <f t="shared" si="7"/>
        <v>1</v>
      </c>
      <c r="CX48" s="9" t="str">
        <f t="shared" si="8"/>
        <v>3202041</v>
      </c>
      <c r="CY48" s="9" t="str">
        <f t="shared" si="9"/>
        <v>3301041</v>
      </c>
      <c r="CZ48" s="9" t="str">
        <f t="shared" si="10"/>
        <v>3301041</v>
      </c>
      <c r="DA48" s="9" t="str">
        <f t="shared" si="11"/>
        <v>3502041</v>
      </c>
      <c r="DB48" s="9" t="str">
        <f t="shared" si="12"/>
        <v>3502041</v>
      </c>
      <c r="DC48" s="9" t="str">
        <f t="shared" si="13"/>
        <v>3502041</v>
      </c>
      <c r="DD48" s="9">
        <v>4</v>
      </c>
      <c r="DE48" s="9">
        <v>4</v>
      </c>
      <c r="DF48" s="9">
        <v>4</v>
      </c>
      <c r="DG48" s="9">
        <v>4</v>
      </c>
      <c r="DH48" s="9">
        <v>4</v>
      </c>
      <c r="DI48" s="9">
        <v>4</v>
      </c>
      <c r="DJ48" s="9">
        <v>3</v>
      </c>
      <c r="DK48" s="9">
        <v>3</v>
      </c>
      <c r="DL48" s="9">
        <v>3</v>
      </c>
      <c r="DM48" s="9">
        <v>3</v>
      </c>
      <c r="DN48" s="9">
        <v>3</v>
      </c>
      <c r="DO48" s="9">
        <v>3</v>
      </c>
      <c r="DP48" s="25" t="s">
        <v>111</v>
      </c>
      <c r="DQ48" s="25" t="s">
        <v>107</v>
      </c>
      <c r="DR48" s="25" t="s">
        <v>107</v>
      </c>
      <c r="DS48" s="25" t="s">
        <v>119</v>
      </c>
      <c r="DT48" s="25" t="s">
        <v>119</v>
      </c>
      <c r="DU48" s="25" t="s">
        <v>119</v>
      </c>
      <c r="DV48" s="25">
        <f t="shared" si="14"/>
        <v>1</v>
      </c>
      <c r="DW48" s="25">
        <f t="shared" si="15"/>
        <v>1</v>
      </c>
      <c r="DX48" s="25">
        <f t="shared" si="16"/>
        <v>1</v>
      </c>
      <c r="DY48" s="25">
        <f t="shared" si="17"/>
        <v>2</v>
      </c>
      <c r="DZ48" s="25">
        <f t="shared" si="18"/>
        <v>2</v>
      </c>
      <c r="EA48" s="3">
        <f t="shared" si="19"/>
        <v>2</v>
      </c>
      <c r="EB48" s="32"/>
      <c r="EC48" s="5">
        <v>3400052</v>
      </c>
      <c r="ED48" s="31" t="s">
        <v>110</v>
      </c>
      <c r="EE48" s="8">
        <v>2</v>
      </c>
      <c r="EQ48" s="9">
        <v>303220201</v>
      </c>
      <c r="ER48" s="9" t="s">
        <v>134</v>
      </c>
    </row>
    <row r="49" spans="1:148" ht="13.5" customHeight="1">
      <c r="A49" s="9">
        <v>46</v>
      </c>
      <c r="B49" s="9">
        <v>1</v>
      </c>
      <c r="C49" s="9">
        <v>2001</v>
      </c>
      <c r="D49" s="9">
        <f t="shared" si="40"/>
        <v>59269</v>
      </c>
      <c r="E49" s="9" t="str">
        <f t="shared" si="22"/>
        <v>3202041,3201042,3201042,3501043,3300042,3500042</v>
      </c>
      <c r="F49" s="9" t="str">
        <f t="shared" si="23"/>
        <v>4,4,4,4,4,4</v>
      </c>
      <c r="G49" s="9" t="str">
        <f t="shared" si="24"/>
        <v>140,143,143,143,143,143</v>
      </c>
      <c r="H49" s="9">
        <v>53</v>
      </c>
      <c r="I49" s="9" t="s">
        <v>278</v>
      </c>
      <c r="J49" s="9" t="s">
        <v>279</v>
      </c>
      <c r="K49" s="9" t="s">
        <v>279</v>
      </c>
      <c r="L49" s="9" t="s">
        <v>279</v>
      </c>
      <c r="M49" s="9" t="s">
        <v>283</v>
      </c>
      <c r="O49" s="3">
        <f t="shared" si="41"/>
        <v>59269</v>
      </c>
      <c r="P49" s="9">
        <v>51315.25</v>
      </c>
      <c r="Q49" s="9">
        <v>3202041</v>
      </c>
      <c r="R49" s="9">
        <v>3201042</v>
      </c>
      <c r="S49" s="9">
        <v>3201042</v>
      </c>
      <c r="T49" s="9">
        <v>3501043</v>
      </c>
      <c r="U49" s="9">
        <v>3300042</v>
      </c>
      <c r="V49" s="9">
        <v>3500042</v>
      </c>
      <c r="W49" s="9">
        <v>4</v>
      </c>
      <c r="X49" s="9">
        <v>4</v>
      </c>
      <c r="Y49" s="9">
        <v>4</v>
      </c>
      <c r="Z49" s="9">
        <v>4</v>
      </c>
      <c r="AA49" s="9">
        <v>4</v>
      </c>
      <c r="AB49" s="9">
        <v>4</v>
      </c>
      <c r="AC49" s="9">
        <f t="shared" si="26"/>
        <v>140</v>
      </c>
      <c r="AD49" s="9">
        <f t="shared" si="27"/>
        <v>143</v>
      </c>
      <c r="AE49" s="9">
        <f t="shared" si="28"/>
        <v>143</v>
      </c>
      <c r="AF49" s="9">
        <f t="shared" si="29"/>
        <v>143</v>
      </c>
      <c r="AG49" s="9">
        <f t="shared" si="30"/>
        <v>143</v>
      </c>
      <c r="AH49" s="9">
        <f t="shared" si="31"/>
        <v>143</v>
      </c>
      <c r="AI49" s="7">
        <f t="shared" si="32"/>
        <v>8552.5416666666661</v>
      </c>
      <c r="AJ49" s="7">
        <f t="shared" si="32"/>
        <v>8552.5416666666661</v>
      </c>
      <c r="AK49" s="7">
        <f t="shared" si="32"/>
        <v>8552.5416666666661</v>
      </c>
      <c r="AL49" s="7">
        <f t="shared" si="32"/>
        <v>8552.5416666666661</v>
      </c>
      <c r="AM49" s="7">
        <f t="shared" si="32"/>
        <v>8552.5416666666661</v>
      </c>
      <c r="AN49" s="7">
        <f t="shared" si="32"/>
        <v>8552.5416666666661</v>
      </c>
      <c r="AO49" s="16"/>
      <c r="AP49" s="7"/>
      <c r="AQ49" s="9">
        <v>4</v>
      </c>
      <c r="AR49" s="9">
        <f t="shared" si="33"/>
        <v>129</v>
      </c>
      <c r="AS49" s="7">
        <f t="shared" si="34"/>
        <v>71</v>
      </c>
      <c r="AT49" s="7"/>
      <c r="AU49" s="16"/>
      <c r="AV49" s="7"/>
      <c r="AW49" s="7"/>
      <c r="AX49" s="7"/>
      <c r="AZ49" s="7"/>
      <c r="BA49" s="9">
        <f t="shared" si="42"/>
        <v>8612.7000000000007</v>
      </c>
      <c r="BC49" s="5">
        <f t="shared" si="35"/>
        <v>129</v>
      </c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18"/>
      <c r="BQ49" s="18"/>
      <c r="BR49" s="18">
        <v>4600043</v>
      </c>
      <c r="BS49" s="18">
        <f>[1]monsters!$N49</f>
        <v>155.52000000000001</v>
      </c>
      <c r="BT49" s="18">
        <f>[1]monsters!$O49</f>
        <v>15.55</v>
      </c>
      <c r="BU49" s="18">
        <f>[1]monsters!$P49</f>
        <v>1920</v>
      </c>
      <c r="BV49" s="18">
        <f>[1]monsters!$Q49</f>
        <v>192</v>
      </c>
      <c r="BW49" s="18">
        <f>[1]monsters!$R49</f>
        <v>31.1</v>
      </c>
      <c r="BX49" s="18">
        <f>[1]monsters!$S49</f>
        <v>3.11</v>
      </c>
      <c r="BY49" s="18">
        <f>[1]monsters!$K49</f>
        <v>1.8</v>
      </c>
      <c r="BZ49" s="5">
        <f>[1]monsters!$D49</f>
        <v>2</v>
      </c>
      <c r="CA49" s="5">
        <f t="shared" si="36"/>
        <v>0.1</v>
      </c>
      <c r="CB49" s="5">
        <f t="shared" si="37"/>
        <v>211.61286464646466</v>
      </c>
      <c r="CC49" s="5">
        <f t="shared" si="38"/>
        <v>21.161286464646466</v>
      </c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>
        <v>0</v>
      </c>
      <c r="CR49" s="3" t="b">
        <f t="shared" si="2"/>
        <v>1</v>
      </c>
      <c r="CS49" s="3" t="b">
        <f t="shared" si="3"/>
        <v>1</v>
      </c>
      <c r="CT49" s="3" t="b">
        <f t="shared" si="4"/>
        <v>1</v>
      </c>
      <c r="CU49" s="3" t="b">
        <f t="shared" si="5"/>
        <v>1</v>
      </c>
      <c r="CV49" s="3" t="b">
        <f t="shared" si="6"/>
        <v>1</v>
      </c>
      <c r="CW49" s="3" t="b">
        <f t="shared" si="7"/>
        <v>1</v>
      </c>
      <c r="CX49" s="9" t="str">
        <f t="shared" si="8"/>
        <v>3202041</v>
      </c>
      <c r="CY49" s="9" t="str">
        <f t="shared" si="9"/>
        <v>3201042</v>
      </c>
      <c r="CZ49" s="9" t="str">
        <f t="shared" si="10"/>
        <v>3201042</v>
      </c>
      <c r="DA49" s="9" t="str">
        <f t="shared" si="11"/>
        <v>3501043</v>
      </c>
      <c r="DB49" s="9" t="str">
        <f t="shared" si="12"/>
        <v>3300042</v>
      </c>
      <c r="DC49" s="9" t="str">
        <f t="shared" si="13"/>
        <v>3500042</v>
      </c>
      <c r="DD49" s="9">
        <v>4</v>
      </c>
      <c r="DE49" s="9">
        <v>4</v>
      </c>
      <c r="DF49" s="9">
        <v>4</v>
      </c>
      <c r="DG49" s="9">
        <v>4</v>
      </c>
      <c r="DH49" s="9">
        <v>4</v>
      </c>
      <c r="DI49" s="9">
        <v>4</v>
      </c>
      <c r="DJ49" s="9">
        <v>3</v>
      </c>
      <c r="DK49" s="9">
        <v>3</v>
      </c>
      <c r="DL49" s="9">
        <v>3</v>
      </c>
      <c r="DM49" s="9">
        <v>3</v>
      </c>
      <c r="DN49" s="9">
        <v>3</v>
      </c>
      <c r="DO49" s="9">
        <v>3</v>
      </c>
      <c r="DP49" s="25" t="s">
        <v>111</v>
      </c>
      <c r="DQ49" s="25" t="s">
        <v>114</v>
      </c>
      <c r="DR49" s="25" t="s">
        <v>114</v>
      </c>
      <c r="DS49" s="25" t="s">
        <v>121</v>
      </c>
      <c r="DT49" s="25" t="s">
        <v>115</v>
      </c>
      <c r="DU49" s="25" t="s">
        <v>109</v>
      </c>
      <c r="DV49" s="25">
        <f t="shared" si="14"/>
        <v>1</v>
      </c>
      <c r="DW49" s="25">
        <f t="shared" si="15"/>
        <v>1</v>
      </c>
      <c r="DX49" s="25">
        <f t="shared" si="16"/>
        <v>1</v>
      </c>
      <c r="DY49" s="25">
        <f t="shared" si="17"/>
        <v>2</v>
      </c>
      <c r="DZ49" s="25">
        <f t="shared" si="18"/>
        <v>2</v>
      </c>
      <c r="EA49" s="3">
        <f t="shared" si="19"/>
        <v>2</v>
      </c>
      <c r="EB49" s="32"/>
      <c r="EC49" s="5">
        <v>3202061</v>
      </c>
      <c r="ED49" s="30" t="s">
        <v>111</v>
      </c>
      <c r="EE49" s="8">
        <v>1</v>
      </c>
      <c r="EQ49" s="9">
        <v>303230101</v>
      </c>
      <c r="ER49" s="9" t="s">
        <v>167</v>
      </c>
    </row>
    <row r="50" spans="1:148" ht="13.5" customHeight="1">
      <c r="A50" s="9">
        <v>47</v>
      </c>
      <c r="B50" s="9">
        <v>1</v>
      </c>
      <c r="C50" s="9">
        <v>2001</v>
      </c>
      <c r="D50" s="9">
        <f t="shared" si="40"/>
        <v>60506</v>
      </c>
      <c r="E50" s="9" t="str">
        <f t="shared" si="22"/>
        <v>3201042,3202041,3202041,3501043,3402043,3300042</v>
      </c>
      <c r="F50" s="9" t="str">
        <f t="shared" si="23"/>
        <v>4,4,4,4,4,4</v>
      </c>
      <c r="G50" s="9" t="str">
        <f t="shared" si="24"/>
        <v>141,144,144,144,144,144</v>
      </c>
      <c r="H50" s="9">
        <v>53</v>
      </c>
      <c r="I50" s="9" t="s">
        <v>278</v>
      </c>
      <c r="J50" s="9" t="s">
        <v>279</v>
      </c>
      <c r="K50" s="9" t="s">
        <v>279</v>
      </c>
      <c r="L50" s="9" t="s">
        <v>279</v>
      </c>
      <c r="M50" s="9" t="s">
        <v>283</v>
      </c>
      <c r="O50" s="3">
        <f t="shared" si="41"/>
        <v>60506</v>
      </c>
      <c r="P50" s="9">
        <v>52386.25</v>
      </c>
      <c r="Q50" s="9">
        <v>3201042</v>
      </c>
      <c r="R50" s="9">
        <v>3202041</v>
      </c>
      <c r="S50" s="9">
        <v>3202041</v>
      </c>
      <c r="T50" s="9">
        <v>3501043</v>
      </c>
      <c r="U50" s="9">
        <v>3402043</v>
      </c>
      <c r="V50" s="9">
        <v>3300042</v>
      </c>
      <c r="W50" s="9">
        <v>4</v>
      </c>
      <c r="X50" s="9">
        <v>4</v>
      </c>
      <c r="Y50" s="9">
        <v>4</v>
      </c>
      <c r="Z50" s="9">
        <v>4</v>
      </c>
      <c r="AA50" s="9">
        <v>4</v>
      </c>
      <c r="AB50" s="9">
        <v>4</v>
      </c>
      <c r="AC50" s="9">
        <f t="shared" si="26"/>
        <v>141</v>
      </c>
      <c r="AD50" s="9">
        <f t="shared" si="27"/>
        <v>144</v>
      </c>
      <c r="AE50" s="9">
        <f t="shared" si="28"/>
        <v>144</v>
      </c>
      <c r="AF50" s="9">
        <f t="shared" si="29"/>
        <v>144</v>
      </c>
      <c r="AG50" s="9">
        <f t="shared" si="30"/>
        <v>144</v>
      </c>
      <c r="AH50" s="9">
        <f t="shared" si="31"/>
        <v>144</v>
      </c>
      <c r="AI50" s="7">
        <f t="shared" si="32"/>
        <v>8731.0416666666661</v>
      </c>
      <c r="AJ50" s="7">
        <f t="shared" si="32"/>
        <v>8731.0416666666661</v>
      </c>
      <c r="AK50" s="7">
        <f t="shared" si="32"/>
        <v>8731.0416666666661</v>
      </c>
      <c r="AL50" s="7">
        <f t="shared" si="32"/>
        <v>8731.0416666666661</v>
      </c>
      <c r="AM50" s="7">
        <f t="shared" si="32"/>
        <v>8731.0416666666661</v>
      </c>
      <c r="AN50" s="7">
        <f t="shared" si="32"/>
        <v>8731.0416666666661</v>
      </c>
      <c r="AO50" s="16"/>
      <c r="AP50" s="7"/>
      <c r="AQ50" s="9">
        <v>4</v>
      </c>
      <c r="AR50" s="9">
        <f t="shared" si="33"/>
        <v>130</v>
      </c>
      <c r="AS50" s="7">
        <f t="shared" si="34"/>
        <v>72</v>
      </c>
      <c r="AT50" s="7"/>
      <c r="AU50" s="16"/>
      <c r="AV50" s="7"/>
      <c r="AW50" s="7"/>
      <c r="AX50" s="7"/>
      <c r="AZ50" s="7"/>
      <c r="BA50" s="9">
        <f t="shared" si="42"/>
        <v>8968.1500000000015</v>
      </c>
      <c r="BC50" s="5">
        <f t="shared" si="35"/>
        <v>130</v>
      </c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18"/>
      <c r="BQ50" s="18"/>
      <c r="BR50" s="18">
        <v>4201043</v>
      </c>
      <c r="BS50" s="18">
        <f>[1]monsters!$N50</f>
        <v>103.68</v>
      </c>
      <c r="BT50" s="18">
        <f>[1]monsters!$O50</f>
        <v>10.37</v>
      </c>
      <c r="BU50" s="18">
        <f>[1]monsters!$P50</f>
        <v>1920</v>
      </c>
      <c r="BV50" s="18">
        <f>[1]monsters!$Q50</f>
        <v>192</v>
      </c>
      <c r="BW50" s="18">
        <f>[1]monsters!$R50</f>
        <v>20.74</v>
      </c>
      <c r="BX50" s="18">
        <f>[1]monsters!$S50</f>
        <v>2.0699999999999998</v>
      </c>
      <c r="BY50" s="18">
        <f>[1]monsters!$K50</f>
        <v>1.2</v>
      </c>
      <c r="BZ50" s="5">
        <f>[1]monsters!$D50</f>
        <v>3</v>
      </c>
      <c r="CA50" s="5">
        <f t="shared" si="36"/>
        <v>0.1</v>
      </c>
      <c r="CB50" s="5">
        <f t="shared" si="37"/>
        <v>162.62406464646466</v>
      </c>
      <c r="CC50" s="5">
        <f t="shared" si="38"/>
        <v>16.262406464646467</v>
      </c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>
        <v>0</v>
      </c>
      <c r="CR50" s="3" t="b">
        <f t="shared" si="2"/>
        <v>1</v>
      </c>
      <c r="CS50" s="3" t="b">
        <f t="shared" si="3"/>
        <v>1</v>
      </c>
      <c r="CT50" s="3" t="b">
        <f t="shared" si="4"/>
        <v>1</v>
      </c>
      <c r="CU50" s="3" t="b">
        <f t="shared" si="5"/>
        <v>1</v>
      </c>
      <c r="CV50" s="3" t="b">
        <f t="shared" si="6"/>
        <v>1</v>
      </c>
      <c r="CW50" s="3" t="b">
        <f t="shared" si="7"/>
        <v>1</v>
      </c>
      <c r="CX50" s="9" t="str">
        <f t="shared" si="8"/>
        <v>3201042</v>
      </c>
      <c r="CY50" s="9" t="str">
        <f t="shared" si="9"/>
        <v>3202041</v>
      </c>
      <c r="CZ50" s="9" t="str">
        <f t="shared" si="10"/>
        <v>3202041</v>
      </c>
      <c r="DA50" s="9" t="str">
        <f t="shared" si="11"/>
        <v>3501043</v>
      </c>
      <c r="DB50" s="9" t="str">
        <f t="shared" si="12"/>
        <v>3402043</v>
      </c>
      <c r="DC50" s="9" t="str">
        <f t="shared" si="13"/>
        <v>3300042</v>
      </c>
      <c r="DD50" s="9">
        <v>4</v>
      </c>
      <c r="DE50" s="9">
        <v>4</v>
      </c>
      <c r="DF50" s="9">
        <v>4</v>
      </c>
      <c r="DG50" s="9">
        <v>4</v>
      </c>
      <c r="DH50" s="9">
        <v>4</v>
      </c>
      <c r="DI50" s="9">
        <v>4</v>
      </c>
      <c r="DJ50" s="9">
        <v>3</v>
      </c>
      <c r="DK50" s="9">
        <v>3</v>
      </c>
      <c r="DL50" s="9">
        <v>3</v>
      </c>
      <c r="DM50" s="9">
        <v>3</v>
      </c>
      <c r="DN50" s="9">
        <v>3</v>
      </c>
      <c r="DO50" s="9">
        <v>3</v>
      </c>
      <c r="DP50" s="25" t="s">
        <v>114</v>
      </c>
      <c r="DQ50" s="25" t="s">
        <v>111</v>
      </c>
      <c r="DR50" s="25" t="s">
        <v>111</v>
      </c>
      <c r="DS50" s="25" t="s">
        <v>121</v>
      </c>
      <c r="DT50" s="25" t="s">
        <v>118</v>
      </c>
      <c r="DU50" s="25" t="s">
        <v>115</v>
      </c>
      <c r="DV50" s="25">
        <f t="shared" si="14"/>
        <v>1</v>
      </c>
      <c r="DW50" s="25">
        <f t="shared" si="15"/>
        <v>1</v>
      </c>
      <c r="DX50" s="25">
        <f t="shared" si="16"/>
        <v>1</v>
      </c>
      <c r="DY50" s="25">
        <f t="shared" si="17"/>
        <v>2</v>
      </c>
      <c r="DZ50" s="25">
        <f t="shared" si="18"/>
        <v>2</v>
      </c>
      <c r="EA50" s="3">
        <f t="shared" si="19"/>
        <v>2</v>
      </c>
      <c r="EB50" s="32"/>
      <c r="EC50" s="5">
        <v>3301061</v>
      </c>
      <c r="ED50" s="30" t="s">
        <v>107</v>
      </c>
      <c r="EE50" s="8">
        <v>1</v>
      </c>
      <c r="EQ50" s="9">
        <v>303240101</v>
      </c>
      <c r="ER50" s="9" t="s">
        <v>160</v>
      </c>
    </row>
    <row r="51" spans="1:148" ht="13.5" customHeight="1">
      <c r="A51" s="9">
        <v>48</v>
      </c>
      <c r="B51" s="9">
        <v>1</v>
      </c>
      <c r="C51" s="9">
        <v>2001</v>
      </c>
      <c r="D51" s="9">
        <f t="shared" si="40"/>
        <v>61911</v>
      </c>
      <c r="E51" s="9" t="str">
        <f t="shared" si="22"/>
        <v>3302043,3202041,3200043,3401041,3300042,3400042</v>
      </c>
      <c r="F51" s="9" t="str">
        <f t="shared" si="23"/>
        <v>4,4,4,4,4,4</v>
      </c>
      <c r="G51" s="9" t="str">
        <f t="shared" si="24"/>
        <v>143,146,146,146,146,146</v>
      </c>
      <c r="H51" s="9">
        <v>53</v>
      </c>
      <c r="I51" s="9" t="s">
        <v>278</v>
      </c>
      <c r="J51" s="9" t="s">
        <v>279</v>
      </c>
      <c r="K51" s="9" t="s">
        <v>279</v>
      </c>
      <c r="L51" s="9" t="s">
        <v>279</v>
      </c>
      <c r="M51" s="9" t="s">
        <v>283</v>
      </c>
      <c r="O51" s="3">
        <f t="shared" si="41"/>
        <v>61911</v>
      </c>
      <c r="P51" s="9">
        <v>53602.5</v>
      </c>
      <c r="Q51" s="9">
        <v>3302043</v>
      </c>
      <c r="R51" s="9">
        <v>3202041</v>
      </c>
      <c r="S51" s="9">
        <v>3200043</v>
      </c>
      <c r="T51" s="9">
        <v>3401041</v>
      </c>
      <c r="U51" s="9">
        <v>3300042</v>
      </c>
      <c r="V51" s="9">
        <v>3400042</v>
      </c>
      <c r="W51" s="9">
        <v>4</v>
      </c>
      <c r="X51" s="9">
        <v>4</v>
      </c>
      <c r="Y51" s="9">
        <v>4</v>
      </c>
      <c r="Z51" s="9">
        <v>4</v>
      </c>
      <c r="AA51" s="9">
        <v>4</v>
      </c>
      <c r="AB51" s="9">
        <v>4</v>
      </c>
      <c r="AC51" s="9">
        <f t="shared" si="26"/>
        <v>143</v>
      </c>
      <c r="AD51" s="9">
        <f t="shared" si="27"/>
        <v>146</v>
      </c>
      <c r="AE51" s="9">
        <f t="shared" si="28"/>
        <v>146</v>
      </c>
      <c r="AF51" s="9">
        <f t="shared" si="29"/>
        <v>146</v>
      </c>
      <c r="AG51" s="9">
        <f t="shared" si="30"/>
        <v>146</v>
      </c>
      <c r="AH51" s="9">
        <f t="shared" si="31"/>
        <v>146</v>
      </c>
      <c r="AI51" s="7">
        <f t="shared" si="32"/>
        <v>8933.75</v>
      </c>
      <c r="AJ51" s="7">
        <f t="shared" si="32"/>
        <v>8933.75</v>
      </c>
      <c r="AK51" s="7">
        <f t="shared" si="32"/>
        <v>8933.75</v>
      </c>
      <c r="AL51" s="7">
        <f t="shared" si="32"/>
        <v>8933.75</v>
      </c>
      <c r="AM51" s="7">
        <f t="shared" si="32"/>
        <v>8933.75</v>
      </c>
      <c r="AN51" s="7">
        <f t="shared" si="32"/>
        <v>8933.75</v>
      </c>
      <c r="AO51" s="16"/>
      <c r="AP51" s="7"/>
      <c r="AQ51" s="9">
        <v>4</v>
      </c>
      <c r="AR51" s="9">
        <f t="shared" si="33"/>
        <v>132</v>
      </c>
      <c r="AS51" s="7">
        <f t="shared" si="34"/>
        <v>73</v>
      </c>
      <c r="AT51" s="7"/>
      <c r="AU51" s="16"/>
      <c r="AV51" s="7"/>
      <c r="AW51" s="7"/>
      <c r="AX51" s="7"/>
      <c r="AZ51" s="7"/>
      <c r="BA51" s="9">
        <f t="shared" si="42"/>
        <v>9323.6000000000022</v>
      </c>
      <c r="BC51" s="5">
        <f t="shared" si="35"/>
        <v>132</v>
      </c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18"/>
      <c r="BQ51" s="18"/>
      <c r="BR51" s="18">
        <v>4502043</v>
      </c>
      <c r="BS51" s="18">
        <f>[1]monsters!$N51</f>
        <v>188.16</v>
      </c>
      <c r="BT51" s="18">
        <f>[1]monsters!$O51</f>
        <v>18.82</v>
      </c>
      <c r="BU51" s="18">
        <f>[1]monsters!$P51</f>
        <v>1234.29</v>
      </c>
      <c r="BV51" s="18">
        <f>[1]monsters!$Q51</f>
        <v>123.43</v>
      </c>
      <c r="BW51" s="18">
        <f>[1]monsters!$R51</f>
        <v>23.52</v>
      </c>
      <c r="BX51" s="18">
        <f>[1]monsters!$S51</f>
        <v>2.35</v>
      </c>
      <c r="BY51" s="18">
        <f>[1]monsters!$K51</f>
        <v>1.4</v>
      </c>
      <c r="BZ51" s="5">
        <f>[1]monsters!$D51</f>
        <v>5</v>
      </c>
      <c r="CA51" s="5">
        <f t="shared" si="36"/>
        <v>0.1</v>
      </c>
      <c r="CB51" s="5">
        <f t="shared" si="37"/>
        <v>219.36978585858586</v>
      </c>
      <c r="CC51" s="5">
        <f t="shared" si="38"/>
        <v>21.936978585858586</v>
      </c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>
        <v>0</v>
      </c>
      <c r="CR51" s="3" t="b">
        <f t="shared" si="2"/>
        <v>1</v>
      </c>
      <c r="CS51" s="3" t="b">
        <f t="shared" si="3"/>
        <v>1</v>
      </c>
      <c r="CT51" s="3" t="b">
        <f t="shared" si="4"/>
        <v>1</v>
      </c>
      <c r="CU51" s="3" t="b">
        <f t="shared" si="5"/>
        <v>1</v>
      </c>
      <c r="CV51" s="3" t="b">
        <f t="shared" si="6"/>
        <v>1</v>
      </c>
      <c r="CW51" s="3" t="b">
        <f t="shared" si="7"/>
        <v>1</v>
      </c>
      <c r="CX51" s="9" t="str">
        <f t="shared" si="8"/>
        <v>3302043</v>
      </c>
      <c r="CY51" s="9" t="str">
        <f t="shared" si="9"/>
        <v>3202041</v>
      </c>
      <c r="CZ51" s="9" t="str">
        <f t="shared" si="10"/>
        <v>3200043</v>
      </c>
      <c r="DA51" s="9" t="str">
        <f t="shared" si="11"/>
        <v>3401041</v>
      </c>
      <c r="DB51" s="9" t="str">
        <f t="shared" si="12"/>
        <v>3300042</v>
      </c>
      <c r="DC51" s="9" t="str">
        <f t="shared" si="13"/>
        <v>3400042</v>
      </c>
      <c r="DD51" s="9">
        <v>4</v>
      </c>
      <c r="DE51" s="9">
        <v>4</v>
      </c>
      <c r="DF51" s="9">
        <v>4</v>
      </c>
      <c r="DG51" s="9">
        <v>4</v>
      </c>
      <c r="DH51" s="9">
        <v>4</v>
      </c>
      <c r="DI51" s="9">
        <v>4</v>
      </c>
      <c r="DJ51" s="9">
        <v>3</v>
      </c>
      <c r="DK51" s="9">
        <v>3</v>
      </c>
      <c r="DL51" s="9">
        <v>3</v>
      </c>
      <c r="DM51" s="9">
        <v>3</v>
      </c>
      <c r="DN51" s="9">
        <v>3</v>
      </c>
      <c r="DO51" s="9">
        <v>3</v>
      </c>
      <c r="DP51" s="25" t="s">
        <v>108</v>
      </c>
      <c r="DQ51" s="25" t="s">
        <v>111</v>
      </c>
      <c r="DR51" s="25" t="s">
        <v>113</v>
      </c>
      <c r="DS51" s="25" t="s">
        <v>117</v>
      </c>
      <c r="DT51" s="25" t="s">
        <v>115</v>
      </c>
      <c r="DU51" s="25" t="s">
        <v>110</v>
      </c>
      <c r="DV51" s="25">
        <f t="shared" si="14"/>
        <v>1</v>
      </c>
      <c r="DW51" s="25">
        <f t="shared" si="15"/>
        <v>1</v>
      </c>
      <c r="DX51" s="25">
        <f t="shared" si="16"/>
        <v>1</v>
      </c>
      <c r="DY51" s="25">
        <f t="shared" si="17"/>
        <v>2</v>
      </c>
      <c r="DZ51" s="25">
        <f t="shared" si="18"/>
        <v>2</v>
      </c>
      <c r="EA51" s="3">
        <f t="shared" si="19"/>
        <v>2</v>
      </c>
      <c r="EB51" s="32"/>
      <c r="EC51" s="5">
        <v>3502061</v>
      </c>
      <c r="ED51" s="31" t="s">
        <v>119</v>
      </c>
      <c r="EE51" s="8">
        <v>2</v>
      </c>
      <c r="EQ51" s="9">
        <v>303240201</v>
      </c>
      <c r="ER51" s="9" t="s">
        <v>161</v>
      </c>
    </row>
    <row r="52" spans="1:148" ht="13.5" customHeight="1">
      <c r="A52" s="9">
        <v>49</v>
      </c>
      <c r="B52" s="9">
        <v>1</v>
      </c>
      <c r="C52" s="9">
        <v>2001</v>
      </c>
      <c r="D52" s="9">
        <f t="shared" si="40"/>
        <v>63174</v>
      </c>
      <c r="E52" s="9" t="str">
        <f t="shared" si="22"/>
        <v>3202041,3202041,3301041,3502041,3500042,3502041</v>
      </c>
      <c r="F52" s="9" t="str">
        <f t="shared" si="23"/>
        <v>4,4,4,4,4,4</v>
      </c>
      <c r="G52" s="9" t="str">
        <f t="shared" si="24"/>
        <v>145,148,148,148,148,148</v>
      </c>
      <c r="H52" s="9">
        <v>53</v>
      </c>
      <c r="I52" s="9" t="s">
        <v>278</v>
      </c>
      <c r="J52" s="9" t="s">
        <v>279</v>
      </c>
      <c r="K52" s="9" t="s">
        <v>279</v>
      </c>
      <c r="L52" s="9" t="s">
        <v>279</v>
      </c>
      <c r="M52" s="9" t="s">
        <v>283</v>
      </c>
      <c r="O52" s="3">
        <f t="shared" si="41"/>
        <v>63174</v>
      </c>
      <c r="P52" s="9">
        <v>54696.25</v>
      </c>
      <c r="Q52" s="9">
        <v>3202041</v>
      </c>
      <c r="R52" s="9">
        <v>3202041</v>
      </c>
      <c r="S52" s="9">
        <v>3301041</v>
      </c>
      <c r="T52" s="9">
        <v>3502041</v>
      </c>
      <c r="U52" s="9">
        <v>3500042</v>
      </c>
      <c r="V52" s="9">
        <v>3502041</v>
      </c>
      <c r="W52" s="9">
        <v>4</v>
      </c>
      <c r="X52" s="9">
        <v>4</v>
      </c>
      <c r="Y52" s="9">
        <v>4</v>
      </c>
      <c r="Z52" s="9">
        <v>4</v>
      </c>
      <c r="AA52" s="9">
        <v>4</v>
      </c>
      <c r="AB52" s="9">
        <v>4</v>
      </c>
      <c r="AC52" s="9">
        <f t="shared" si="26"/>
        <v>145</v>
      </c>
      <c r="AD52" s="9">
        <f t="shared" si="27"/>
        <v>148</v>
      </c>
      <c r="AE52" s="9">
        <f t="shared" si="28"/>
        <v>148</v>
      </c>
      <c r="AF52" s="9">
        <f t="shared" si="29"/>
        <v>148</v>
      </c>
      <c r="AG52" s="9">
        <f t="shared" si="30"/>
        <v>148</v>
      </c>
      <c r="AH52" s="9">
        <f t="shared" si="31"/>
        <v>148</v>
      </c>
      <c r="AI52" s="7">
        <f t="shared" si="32"/>
        <v>9116.0416666666661</v>
      </c>
      <c r="AJ52" s="7">
        <f t="shared" si="32"/>
        <v>9116.0416666666661</v>
      </c>
      <c r="AK52" s="7">
        <f t="shared" si="32"/>
        <v>9116.0416666666661</v>
      </c>
      <c r="AL52" s="7">
        <f t="shared" si="32"/>
        <v>9116.0416666666661</v>
      </c>
      <c r="AM52" s="7">
        <f t="shared" si="32"/>
        <v>9116.0416666666661</v>
      </c>
      <c r="AN52" s="7">
        <f t="shared" si="32"/>
        <v>9116.0416666666661</v>
      </c>
      <c r="AO52" s="16"/>
      <c r="AP52" s="7"/>
      <c r="AQ52" s="9">
        <v>4</v>
      </c>
      <c r="AR52" s="9">
        <f t="shared" si="33"/>
        <v>133</v>
      </c>
      <c r="AS52" s="7">
        <f t="shared" si="34"/>
        <v>74</v>
      </c>
      <c r="AT52" s="7"/>
      <c r="AU52" s="16"/>
      <c r="AV52" s="7"/>
      <c r="AW52" s="7"/>
      <c r="AX52" s="7"/>
      <c r="AZ52" s="7"/>
      <c r="BA52" s="9">
        <f t="shared" si="42"/>
        <v>9679.0500000000029</v>
      </c>
      <c r="BC52" s="5">
        <f t="shared" si="35"/>
        <v>133</v>
      </c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18"/>
      <c r="BQ52" s="18"/>
      <c r="BR52" s="18">
        <v>4401043</v>
      </c>
      <c r="BS52" s="18">
        <f>[1]monsters!$N52</f>
        <v>138.24</v>
      </c>
      <c r="BT52" s="18">
        <f>[1]monsters!$O52</f>
        <v>13.82</v>
      </c>
      <c r="BU52" s="18">
        <f>[1]monsters!$P52</f>
        <v>2160</v>
      </c>
      <c r="BV52" s="18">
        <f>[1]monsters!$Q52</f>
        <v>216</v>
      </c>
      <c r="BW52" s="18">
        <f>[1]monsters!$R52</f>
        <v>46.08</v>
      </c>
      <c r="BX52" s="18">
        <f>[1]monsters!$S52</f>
        <v>4.6100000000000003</v>
      </c>
      <c r="BY52" s="18">
        <f>[1]monsters!$K52</f>
        <v>1.8</v>
      </c>
      <c r="BZ52" s="5">
        <f>[1]monsters!$D52</f>
        <v>2</v>
      </c>
      <c r="CA52" s="5">
        <f t="shared" si="36"/>
        <v>0.1</v>
      </c>
      <c r="CB52" s="5">
        <f t="shared" si="37"/>
        <v>203.36407272727274</v>
      </c>
      <c r="CC52" s="5">
        <f t="shared" si="38"/>
        <v>20.336407272727275</v>
      </c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>
        <v>0</v>
      </c>
      <c r="CR52" s="3" t="b">
        <f t="shared" si="2"/>
        <v>1</v>
      </c>
      <c r="CS52" s="3" t="b">
        <f t="shared" si="3"/>
        <v>1</v>
      </c>
      <c r="CT52" s="3" t="b">
        <f t="shared" si="4"/>
        <v>1</v>
      </c>
      <c r="CU52" s="3" t="b">
        <f t="shared" si="5"/>
        <v>1</v>
      </c>
      <c r="CV52" s="3" t="b">
        <f t="shared" si="6"/>
        <v>1</v>
      </c>
      <c r="CW52" s="3" t="b">
        <f t="shared" si="7"/>
        <v>1</v>
      </c>
      <c r="CX52" s="9" t="str">
        <f t="shared" si="8"/>
        <v>3202041</v>
      </c>
      <c r="CY52" s="9" t="str">
        <f t="shared" si="9"/>
        <v>3202041</v>
      </c>
      <c r="CZ52" s="9" t="str">
        <f t="shared" si="10"/>
        <v>3301041</v>
      </c>
      <c r="DA52" s="9" t="str">
        <f t="shared" si="11"/>
        <v>3502041</v>
      </c>
      <c r="DB52" s="9" t="str">
        <f t="shared" si="12"/>
        <v>3500042</v>
      </c>
      <c r="DC52" s="9" t="str">
        <f t="shared" si="13"/>
        <v>3502041</v>
      </c>
      <c r="DD52" s="9">
        <v>4</v>
      </c>
      <c r="DE52" s="9">
        <v>4</v>
      </c>
      <c r="DF52" s="9">
        <v>4</v>
      </c>
      <c r="DG52" s="9">
        <v>4</v>
      </c>
      <c r="DH52" s="9">
        <v>4</v>
      </c>
      <c r="DI52" s="9">
        <v>4</v>
      </c>
      <c r="DJ52" s="9">
        <v>3</v>
      </c>
      <c r="DK52" s="9">
        <v>3</v>
      </c>
      <c r="DL52" s="9">
        <v>3</v>
      </c>
      <c r="DM52" s="9">
        <v>3</v>
      </c>
      <c r="DN52" s="9">
        <v>3</v>
      </c>
      <c r="DO52" s="9">
        <v>3</v>
      </c>
      <c r="DP52" s="25" t="s">
        <v>111</v>
      </c>
      <c r="DQ52" s="25" t="s">
        <v>111</v>
      </c>
      <c r="DR52" s="25" t="s">
        <v>107</v>
      </c>
      <c r="DS52" s="25" t="s">
        <v>119</v>
      </c>
      <c r="DT52" s="25" t="s">
        <v>109</v>
      </c>
      <c r="DU52" s="25" t="s">
        <v>119</v>
      </c>
      <c r="DV52" s="25">
        <f t="shared" si="14"/>
        <v>1</v>
      </c>
      <c r="DW52" s="25">
        <f t="shared" si="15"/>
        <v>1</v>
      </c>
      <c r="DX52" s="25">
        <f t="shared" si="16"/>
        <v>1</v>
      </c>
      <c r="DY52" s="25">
        <f t="shared" si="17"/>
        <v>2</v>
      </c>
      <c r="DZ52" s="25">
        <f t="shared" si="18"/>
        <v>2</v>
      </c>
      <c r="EA52" s="3">
        <f t="shared" si="19"/>
        <v>2</v>
      </c>
      <c r="EB52" s="32"/>
      <c r="EC52" s="5">
        <v>3201062</v>
      </c>
      <c r="ED52" s="31" t="s">
        <v>114</v>
      </c>
      <c r="EE52" s="8">
        <v>1</v>
      </c>
      <c r="EQ52" s="9">
        <v>303250001</v>
      </c>
      <c r="ER52" s="9" t="s">
        <v>168</v>
      </c>
    </row>
    <row r="53" spans="1:148" ht="13.5" customHeight="1">
      <c r="A53" s="9">
        <v>50</v>
      </c>
      <c r="B53" s="9">
        <v>1</v>
      </c>
      <c r="C53" s="9">
        <v>2001</v>
      </c>
      <c r="D53" s="9">
        <f t="shared" si="40"/>
        <v>64452</v>
      </c>
      <c r="E53" s="9" t="str">
        <f t="shared" si="22"/>
        <v>3202041,3201042,3301041,3400042,3500042,3400042</v>
      </c>
      <c r="F53" s="9" t="str">
        <f t="shared" si="23"/>
        <v>4,4,4,4,4,4</v>
      </c>
      <c r="G53" s="9" t="str">
        <f t="shared" si="24"/>
        <v>146,149,149,149,149,149</v>
      </c>
      <c r="H53" s="9">
        <v>55</v>
      </c>
      <c r="I53" s="9" t="s">
        <v>278</v>
      </c>
      <c r="J53" s="9" t="s">
        <v>279</v>
      </c>
      <c r="K53" s="9" t="s">
        <v>279</v>
      </c>
      <c r="L53" s="9" t="s">
        <v>279</v>
      </c>
      <c r="M53" s="9" t="s">
        <v>283</v>
      </c>
      <c r="O53" s="3">
        <f t="shared" si="41"/>
        <v>64452</v>
      </c>
      <c r="P53" s="9">
        <v>55802.25</v>
      </c>
      <c r="Q53" s="9">
        <v>3202041</v>
      </c>
      <c r="R53" s="9">
        <v>3201042</v>
      </c>
      <c r="S53" s="9">
        <v>3301041</v>
      </c>
      <c r="T53" s="9">
        <v>3400042</v>
      </c>
      <c r="U53" s="9">
        <v>3500042</v>
      </c>
      <c r="V53" s="9">
        <v>3400042</v>
      </c>
      <c r="W53" s="9">
        <v>4</v>
      </c>
      <c r="X53" s="9">
        <v>4</v>
      </c>
      <c r="Y53" s="9">
        <v>4</v>
      </c>
      <c r="Z53" s="9">
        <v>4</v>
      </c>
      <c r="AA53" s="9">
        <v>4</v>
      </c>
      <c r="AB53" s="9">
        <v>4</v>
      </c>
      <c r="AC53" s="9">
        <f t="shared" si="26"/>
        <v>146</v>
      </c>
      <c r="AD53" s="9">
        <f t="shared" si="27"/>
        <v>149</v>
      </c>
      <c r="AE53" s="9">
        <f t="shared" si="28"/>
        <v>149</v>
      </c>
      <c r="AF53" s="9">
        <f t="shared" si="29"/>
        <v>149</v>
      </c>
      <c r="AG53" s="9">
        <f t="shared" si="30"/>
        <v>149</v>
      </c>
      <c r="AH53" s="9">
        <f t="shared" si="31"/>
        <v>149</v>
      </c>
      <c r="AI53" s="7">
        <f t="shared" si="32"/>
        <v>9300.375</v>
      </c>
      <c r="AJ53" s="7">
        <f t="shared" si="32"/>
        <v>9300.375</v>
      </c>
      <c r="AK53" s="7">
        <f t="shared" si="32"/>
        <v>9300.375</v>
      </c>
      <c r="AL53" s="7">
        <f t="shared" si="32"/>
        <v>9300.375</v>
      </c>
      <c r="AM53" s="7">
        <f t="shared" si="32"/>
        <v>9300.375</v>
      </c>
      <c r="AN53" s="7">
        <f t="shared" si="32"/>
        <v>9300.375</v>
      </c>
      <c r="AO53" s="16"/>
      <c r="AP53" s="7"/>
      <c r="AQ53" s="9">
        <v>4</v>
      </c>
      <c r="AR53" s="9">
        <f t="shared" si="33"/>
        <v>134</v>
      </c>
      <c r="AS53" s="7">
        <f t="shared" si="34"/>
        <v>75</v>
      </c>
      <c r="AT53" s="7"/>
      <c r="AU53" s="16"/>
      <c r="AV53" s="7"/>
      <c r="AW53" s="7"/>
      <c r="AX53" s="7"/>
      <c r="AZ53" s="7"/>
      <c r="BA53" s="9">
        <f t="shared" si="42"/>
        <v>10034.500000000004</v>
      </c>
      <c r="BC53" s="5">
        <f t="shared" si="35"/>
        <v>134</v>
      </c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18"/>
      <c r="BQ53" s="18"/>
      <c r="BR53" s="18">
        <v>4201044</v>
      </c>
      <c r="BS53" s="18">
        <f>[1]monsters!$N53</f>
        <v>201.6</v>
      </c>
      <c r="BT53" s="18">
        <f>[1]monsters!$O53</f>
        <v>20.16</v>
      </c>
      <c r="BU53" s="18">
        <f>[1]monsters!$P53</f>
        <v>1234.29</v>
      </c>
      <c r="BV53" s="18">
        <f>[1]monsters!$Q53</f>
        <v>123.43</v>
      </c>
      <c r="BW53" s="18">
        <f>[1]monsters!$R53</f>
        <v>25.2</v>
      </c>
      <c r="BX53" s="18">
        <f>[1]monsters!$S53</f>
        <v>2.52</v>
      </c>
      <c r="BY53" s="18">
        <f>[1]monsters!$K53</f>
        <v>1.5</v>
      </c>
      <c r="BZ53" s="5">
        <f>[1]monsters!$D53</f>
        <v>5</v>
      </c>
      <c r="CA53" s="5">
        <f t="shared" si="36"/>
        <v>0.1</v>
      </c>
      <c r="CB53" s="5">
        <f t="shared" si="37"/>
        <v>232.07058585858584</v>
      </c>
      <c r="CC53" s="5">
        <f t="shared" si="38"/>
        <v>23.207058585858586</v>
      </c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>
        <v>1</v>
      </c>
      <c r="CR53" s="3" t="b">
        <f t="shared" si="2"/>
        <v>1</v>
      </c>
      <c r="CS53" s="3" t="b">
        <f t="shared" si="3"/>
        <v>1</v>
      </c>
      <c r="CT53" s="3" t="b">
        <f t="shared" si="4"/>
        <v>1</v>
      </c>
      <c r="CU53" s="3" t="b">
        <f t="shared" si="5"/>
        <v>1</v>
      </c>
      <c r="CV53" s="3" t="b">
        <f t="shared" si="6"/>
        <v>1</v>
      </c>
      <c r="CW53" s="3" t="b">
        <f t="shared" si="7"/>
        <v>1</v>
      </c>
      <c r="CX53" s="9" t="str">
        <f t="shared" si="8"/>
        <v>3202041</v>
      </c>
      <c r="CY53" s="9" t="str">
        <f t="shared" si="9"/>
        <v>3201042</v>
      </c>
      <c r="CZ53" s="9" t="str">
        <f t="shared" si="10"/>
        <v>3301041</v>
      </c>
      <c r="DA53" s="9" t="str">
        <f t="shared" si="11"/>
        <v>3400042</v>
      </c>
      <c r="DB53" s="9" t="str">
        <f t="shared" si="12"/>
        <v>3500042</v>
      </c>
      <c r="DC53" s="9" t="str">
        <f t="shared" si="13"/>
        <v>3400042</v>
      </c>
      <c r="DD53" s="9">
        <v>4</v>
      </c>
      <c r="DE53" s="9">
        <v>4</v>
      </c>
      <c r="DF53" s="9">
        <v>4</v>
      </c>
      <c r="DG53" s="9">
        <v>4</v>
      </c>
      <c r="DH53" s="9">
        <v>4</v>
      </c>
      <c r="DI53" s="9">
        <v>4</v>
      </c>
      <c r="DJ53" s="9">
        <v>3</v>
      </c>
      <c r="DK53" s="9">
        <v>3</v>
      </c>
      <c r="DL53" s="9">
        <v>3</v>
      </c>
      <c r="DM53" s="9">
        <v>3</v>
      </c>
      <c r="DN53" s="9">
        <v>3</v>
      </c>
      <c r="DO53" s="9">
        <v>3</v>
      </c>
      <c r="DP53" s="25" t="s">
        <v>111</v>
      </c>
      <c r="DQ53" s="25" t="s">
        <v>114</v>
      </c>
      <c r="DR53" s="25" t="s">
        <v>107</v>
      </c>
      <c r="DS53" s="25" t="s">
        <v>110</v>
      </c>
      <c r="DT53" s="25" t="s">
        <v>109</v>
      </c>
      <c r="DU53" s="25" t="s">
        <v>110</v>
      </c>
      <c r="DV53" s="25">
        <f t="shared" si="14"/>
        <v>1</v>
      </c>
      <c r="DW53" s="25">
        <f t="shared" si="15"/>
        <v>1</v>
      </c>
      <c r="DX53" s="25">
        <f t="shared" si="16"/>
        <v>1</v>
      </c>
      <c r="DY53" s="25">
        <f t="shared" si="17"/>
        <v>2</v>
      </c>
      <c r="DZ53" s="25">
        <f t="shared" si="18"/>
        <v>2</v>
      </c>
      <c r="EA53" s="3">
        <f t="shared" si="19"/>
        <v>2</v>
      </c>
      <c r="EB53" s="32"/>
      <c r="EC53" s="5">
        <v>3500062</v>
      </c>
      <c r="ED53" s="31" t="s">
        <v>109</v>
      </c>
      <c r="EE53" s="8">
        <v>2</v>
      </c>
      <c r="EQ53" s="9">
        <v>303250201</v>
      </c>
      <c r="ER53" s="9" t="s">
        <v>139</v>
      </c>
    </row>
    <row r="54" spans="1:148" ht="13.5" customHeight="1">
      <c r="A54" s="9">
        <v>51</v>
      </c>
      <c r="B54" s="9">
        <v>1</v>
      </c>
      <c r="C54" s="9">
        <v>2001</v>
      </c>
      <c r="D54" s="9">
        <f t="shared" si="40"/>
        <v>65903</v>
      </c>
      <c r="E54" s="9" t="str">
        <f t="shared" si="22"/>
        <v>3200043,3202041,3301041,3401041,3300042,3300042</v>
      </c>
      <c r="F54" s="9" t="str">
        <f t="shared" si="23"/>
        <v>4,4,4,4,4,4</v>
      </c>
      <c r="G54" s="9" t="str">
        <f t="shared" si="24"/>
        <v>148,151,151,151,151,151</v>
      </c>
      <c r="H54" s="9">
        <v>58</v>
      </c>
      <c r="I54" s="9" t="s">
        <v>278</v>
      </c>
      <c r="J54" s="9" t="s">
        <v>279</v>
      </c>
      <c r="K54" s="9" t="s">
        <v>279</v>
      </c>
      <c r="L54" s="9" t="s">
        <v>279</v>
      </c>
      <c r="M54" s="9" t="s">
        <v>283</v>
      </c>
      <c r="O54" s="3">
        <f t="shared" si="41"/>
        <v>65903</v>
      </c>
      <c r="P54" s="9">
        <v>57058.75</v>
      </c>
      <c r="Q54" s="9">
        <v>3200043</v>
      </c>
      <c r="R54" s="9">
        <v>3202041</v>
      </c>
      <c r="S54" s="9">
        <v>3301041</v>
      </c>
      <c r="T54" s="9">
        <v>3401041</v>
      </c>
      <c r="U54" s="9">
        <v>3300042</v>
      </c>
      <c r="V54" s="9">
        <v>3300042</v>
      </c>
      <c r="W54" s="9">
        <v>4</v>
      </c>
      <c r="X54" s="9">
        <v>4</v>
      </c>
      <c r="Y54" s="9">
        <v>4</v>
      </c>
      <c r="Z54" s="9">
        <v>4</v>
      </c>
      <c r="AA54" s="9">
        <v>4</v>
      </c>
      <c r="AB54" s="9">
        <v>4</v>
      </c>
      <c r="AC54" s="9">
        <f t="shared" si="26"/>
        <v>148</v>
      </c>
      <c r="AD54" s="9">
        <f t="shared" si="27"/>
        <v>151</v>
      </c>
      <c r="AE54" s="9">
        <f t="shared" si="28"/>
        <v>151</v>
      </c>
      <c r="AF54" s="9">
        <f t="shared" si="29"/>
        <v>151</v>
      </c>
      <c r="AG54" s="9">
        <f t="shared" si="30"/>
        <v>151</v>
      </c>
      <c r="AH54" s="9">
        <f t="shared" si="31"/>
        <v>151</v>
      </c>
      <c r="AI54" s="7">
        <f t="shared" si="32"/>
        <v>9509.7916666666661</v>
      </c>
      <c r="AJ54" s="7">
        <f t="shared" si="32"/>
        <v>9509.7916666666661</v>
      </c>
      <c r="AK54" s="7">
        <f t="shared" si="32"/>
        <v>9509.7916666666661</v>
      </c>
      <c r="AL54" s="7">
        <f t="shared" si="32"/>
        <v>9509.7916666666661</v>
      </c>
      <c r="AM54" s="7">
        <f t="shared" si="32"/>
        <v>9509.7916666666661</v>
      </c>
      <c r="AN54" s="7">
        <f t="shared" si="32"/>
        <v>9509.7916666666661</v>
      </c>
      <c r="AO54" s="16"/>
      <c r="AP54" s="7"/>
      <c r="AQ54" s="9">
        <v>4</v>
      </c>
      <c r="AR54" s="9">
        <f t="shared" si="33"/>
        <v>136</v>
      </c>
      <c r="AS54" s="7">
        <f t="shared" si="34"/>
        <v>76</v>
      </c>
      <c r="AT54" s="7"/>
      <c r="AU54" s="16"/>
      <c r="AV54" s="7"/>
      <c r="AW54" s="7"/>
      <c r="AX54" s="7"/>
      <c r="AZ54" s="7"/>
      <c r="BA54" s="9">
        <f t="shared" si="42"/>
        <v>10389.950000000004</v>
      </c>
      <c r="BC54" s="5">
        <f t="shared" si="35"/>
        <v>136</v>
      </c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18"/>
      <c r="BQ54" s="18"/>
      <c r="BR54" s="18">
        <v>4301044</v>
      </c>
      <c r="BS54" s="18">
        <f>[1]monsters!$N54</f>
        <v>223.2</v>
      </c>
      <c r="BT54" s="18">
        <f>[1]monsters!$O54</f>
        <v>22.32</v>
      </c>
      <c r="BU54" s="18">
        <f>[1]monsters!$P54</f>
        <v>1114.8399999999999</v>
      </c>
      <c r="BV54" s="18">
        <f>[1]monsters!$Q54</f>
        <v>111.48</v>
      </c>
      <c r="BW54" s="18">
        <f>[1]monsters!$R54</f>
        <v>22.32</v>
      </c>
      <c r="BX54" s="18">
        <f>[1]monsters!$S54</f>
        <v>2.23</v>
      </c>
      <c r="BY54" s="18">
        <f>[1]monsters!$K54</f>
        <v>1.5</v>
      </c>
      <c r="BZ54" s="5">
        <f>[1]monsters!$D54</f>
        <v>6</v>
      </c>
      <c r="CA54" s="5">
        <f t="shared" si="36"/>
        <v>0.1</v>
      </c>
      <c r="CB54" s="5">
        <f t="shared" si="37"/>
        <v>248.46070033670031</v>
      </c>
      <c r="CC54" s="5">
        <f t="shared" si="38"/>
        <v>24.846070033670031</v>
      </c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>
        <v>0</v>
      </c>
      <c r="CR54" s="3" t="b">
        <f t="shared" si="2"/>
        <v>1</v>
      </c>
      <c r="CS54" s="3" t="b">
        <f t="shared" si="3"/>
        <v>1</v>
      </c>
      <c r="CT54" s="3" t="b">
        <f t="shared" si="4"/>
        <v>1</v>
      </c>
      <c r="CU54" s="3" t="b">
        <f t="shared" si="5"/>
        <v>1</v>
      </c>
      <c r="CV54" s="3" t="b">
        <f t="shared" si="6"/>
        <v>1</v>
      </c>
      <c r="CW54" s="3" t="b">
        <f t="shared" si="7"/>
        <v>1</v>
      </c>
      <c r="CX54" s="9" t="str">
        <f t="shared" si="8"/>
        <v>3200043</v>
      </c>
      <c r="CY54" s="9" t="str">
        <f t="shared" si="9"/>
        <v>3202041</v>
      </c>
      <c r="CZ54" s="9" t="str">
        <f t="shared" si="10"/>
        <v>3301041</v>
      </c>
      <c r="DA54" s="9" t="str">
        <f t="shared" si="11"/>
        <v>3401041</v>
      </c>
      <c r="DB54" s="9" t="str">
        <f t="shared" si="12"/>
        <v>3300042</v>
      </c>
      <c r="DC54" s="9" t="str">
        <f t="shared" si="13"/>
        <v>3300042</v>
      </c>
      <c r="DD54" s="9">
        <v>4</v>
      </c>
      <c r="DE54" s="9">
        <v>4</v>
      </c>
      <c r="DF54" s="9">
        <v>4</v>
      </c>
      <c r="DG54" s="9">
        <v>4</v>
      </c>
      <c r="DH54" s="9">
        <v>4</v>
      </c>
      <c r="DI54" s="9">
        <v>4</v>
      </c>
      <c r="DJ54" s="9">
        <v>3</v>
      </c>
      <c r="DK54" s="9">
        <v>3</v>
      </c>
      <c r="DL54" s="9">
        <v>3</v>
      </c>
      <c r="DM54" s="9">
        <v>3</v>
      </c>
      <c r="DN54" s="9">
        <v>3</v>
      </c>
      <c r="DO54" s="9">
        <v>3</v>
      </c>
      <c r="DP54" s="25" t="s">
        <v>113</v>
      </c>
      <c r="DQ54" s="25" t="s">
        <v>111</v>
      </c>
      <c r="DR54" s="25" t="s">
        <v>107</v>
      </c>
      <c r="DS54" s="25" t="s">
        <v>117</v>
      </c>
      <c r="DT54" s="25" t="s">
        <v>115</v>
      </c>
      <c r="DU54" s="25" t="s">
        <v>115</v>
      </c>
      <c r="DV54" s="25">
        <f t="shared" si="14"/>
        <v>1</v>
      </c>
      <c r="DW54" s="25">
        <f t="shared" si="15"/>
        <v>1</v>
      </c>
      <c r="DX54" s="25">
        <f t="shared" si="16"/>
        <v>1</v>
      </c>
      <c r="DY54" s="25">
        <f t="shared" si="17"/>
        <v>2</v>
      </c>
      <c r="DZ54" s="25">
        <f t="shared" si="18"/>
        <v>2</v>
      </c>
      <c r="EA54" s="3">
        <f t="shared" si="19"/>
        <v>2</v>
      </c>
      <c r="EB54" s="32"/>
      <c r="EC54" s="5">
        <v>3601062</v>
      </c>
      <c r="ED54" s="31" t="s">
        <v>124</v>
      </c>
      <c r="EE54" s="8">
        <v>2</v>
      </c>
      <c r="EQ54" s="9">
        <v>303260101</v>
      </c>
      <c r="ER54" s="9" t="s">
        <v>169</v>
      </c>
    </row>
    <row r="55" spans="1:148" ht="13.5" customHeight="1">
      <c r="A55" s="9">
        <v>52</v>
      </c>
      <c r="B55" s="9">
        <v>1</v>
      </c>
      <c r="C55" s="9">
        <v>2001</v>
      </c>
      <c r="D55" s="9">
        <f t="shared" si="40"/>
        <v>67207</v>
      </c>
      <c r="E55" s="9" t="str">
        <f t="shared" si="22"/>
        <v>3301041,3301041,3301041,3500042,3500042,3500042</v>
      </c>
      <c r="F55" s="9" t="str">
        <f t="shared" si="23"/>
        <v>4,4,4,4,4,4</v>
      </c>
      <c r="G55" s="9" t="str">
        <f t="shared" si="24"/>
        <v>149,153,153,153,153,153</v>
      </c>
      <c r="H55" s="9">
        <v>58</v>
      </c>
      <c r="I55" s="9" t="s">
        <v>278</v>
      </c>
      <c r="J55" s="9" t="s">
        <v>279</v>
      </c>
      <c r="K55" s="9" t="s">
        <v>279</v>
      </c>
      <c r="L55" s="9" t="s">
        <v>279</v>
      </c>
      <c r="M55" s="9" t="s">
        <v>283</v>
      </c>
      <c r="O55" s="3">
        <f t="shared" si="41"/>
        <v>67207</v>
      </c>
      <c r="P55" s="9">
        <v>58187.5</v>
      </c>
      <c r="Q55" s="9">
        <v>3301041</v>
      </c>
      <c r="R55" s="9">
        <v>3301041</v>
      </c>
      <c r="S55" s="9">
        <v>3301041</v>
      </c>
      <c r="T55" s="9">
        <v>3500042</v>
      </c>
      <c r="U55" s="9">
        <v>3500042</v>
      </c>
      <c r="V55" s="9">
        <v>3500042</v>
      </c>
      <c r="W55" s="9">
        <v>4</v>
      </c>
      <c r="X55" s="9">
        <v>4</v>
      </c>
      <c r="Y55" s="9">
        <v>4</v>
      </c>
      <c r="Z55" s="9">
        <v>4</v>
      </c>
      <c r="AA55" s="9">
        <v>4</v>
      </c>
      <c r="AB55" s="9">
        <v>4</v>
      </c>
      <c r="AC55" s="9">
        <f t="shared" si="26"/>
        <v>149</v>
      </c>
      <c r="AD55" s="9">
        <f t="shared" si="27"/>
        <v>153</v>
      </c>
      <c r="AE55" s="9">
        <f t="shared" si="28"/>
        <v>153</v>
      </c>
      <c r="AF55" s="9">
        <f t="shared" si="29"/>
        <v>153</v>
      </c>
      <c r="AG55" s="9">
        <f t="shared" si="30"/>
        <v>153</v>
      </c>
      <c r="AH55" s="9">
        <f t="shared" si="31"/>
        <v>153</v>
      </c>
      <c r="AI55" s="7">
        <f t="shared" si="32"/>
        <v>9697.9166666666661</v>
      </c>
      <c r="AJ55" s="7">
        <f t="shared" si="32"/>
        <v>9697.9166666666661</v>
      </c>
      <c r="AK55" s="7">
        <f t="shared" si="32"/>
        <v>9697.9166666666661</v>
      </c>
      <c r="AL55" s="7">
        <f t="shared" si="32"/>
        <v>9697.9166666666661</v>
      </c>
      <c r="AM55" s="7">
        <f t="shared" si="32"/>
        <v>9697.9166666666661</v>
      </c>
      <c r="AN55" s="7">
        <f t="shared" si="32"/>
        <v>9697.9166666666661</v>
      </c>
      <c r="AO55" s="16"/>
      <c r="AP55" s="7"/>
      <c r="AQ55" s="9">
        <v>4</v>
      </c>
      <c r="AR55" s="9">
        <f t="shared" si="33"/>
        <v>138</v>
      </c>
      <c r="AS55" s="7">
        <f t="shared" si="34"/>
        <v>77</v>
      </c>
      <c r="AT55" s="7"/>
      <c r="AU55" s="16"/>
      <c r="AV55" s="7"/>
      <c r="AW55" s="7"/>
      <c r="AX55" s="7"/>
      <c r="AZ55" s="7"/>
      <c r="BA55" s="9">
        <f t="shared" si="42"/>
        <v>10745.400000000005</v>
      </c>
      <c r="BC55" s="5">
        <f t="shared" si="35"/>
        <v>138</v>
      </c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18"/>
      <c r="BQ55" s="18"/>
      <c r="BR55" s="18">
        <v>4401044</v>
      </c>
      <c r="BS55" s="18">
        <f>[1]monsters!$N55</f>
        <v>144</v>
      </c>
      <c r="BT55" s="18">
        <f>[1]monsters!$O55</f>
        <v>14.4</v>
      </c>
      <c r="BU55" s="18">
        <f>[1]monsters!$P55</f>
        <v>1728</v>
      </c>
      <c r="BV55" s="18">
        <f>[1]monsters!$Q55</f>
        <v>172.8</v>
      </c>
      <c r="BW55" s="18">
        <f>[1]monsters!$R55</f>
        <v>36</v>
      </c>
      <c r="BX55" s="18">
        <f>[1]monsters!$S55</f>
        <v>3.6</v>
      </c>
      <c r="BY55" s="18">
        <f>[1]monsters!$K55</f>
        <v>1.5</v>
      </c>
      <c r="BZ55" s="5">
        <f>[1]monsters!$D55</f>
        <v>2</v>
      </c>
      <c r="CA55" s="5">
        <f t="shared" si="36"/>
        <v>0.1</v>
      </c>
      <c r="CB55" s="5">
        <f t="shared" si="37"/>
        <v>194.2618181818182</v>
      </c>
      <c r="CC55" s="5">
        <f t="shared" si="38"/>
        <v>19.426181818181821</v>
      </c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>
        <v>0</v>
      </c>
      <c r="CR55" s="3" t="b">
        <f t="shared" si="2"/>
        <v>1</v>
      </c>
      <c r="CS55" s="3" t="b">
        <f t="shared" si="3"/>
        <v>1</v>
      </c>
      <c r="CT55" s="3" t="b">
        <f t="shared" si="4"/>
        <v>1</v>
      </c>
      <c r="CU55" s="3" t="b">
        <f t="shared" si="5"/>
        <v>1</v>
      </c>
      <c r="CV55" s="3" t="b">
        <f t="shared" si="6"/>
        <v>1</v>
      </c>
      <c r="CW55" s="3" t="b">
        <f t="shared" si="7"/>
        <v>1</v>
      </c>
      <c r="CX55" s="9" t="str">
        <f t="shared" si="8"/>
        <v>3301041</v>
      </c>
      <c r="CY55" s="9" t="str">
        <f t="shared" si="9"/>
        <v>3301041</v>
      </c>
      <c r="CZ55" s="9" t="str">
        <f t="shared" si="10"/>
        <v>3301041</v>
      </c>
      <c r="DA55" s="9" t="str">
        <f t="shared" si="11"/>
        <v>3500042</v>
      </c>
      <c r="DB55" s="9" t="str">
        <f t="shared" si="12"/>
        <v>3500042</v>
      </c>
      <c r="DC55" s="9" t="str">
        <f t="shared" si="13"/>
        <v>3500042</v>
      </c>
      <c r="DD55" s="9">
        <v>4</v>
      </c>
      <c r="DE55" s="9">
        <v>4</v>
      </c>
      <c r="DF55" s="9">
        <v>4</v>
      </c>
      <c r="DG55" s="9">
        <v>4</v>
      </c>
      <c r="DH55" s="9">
        <v>4</v>
      </c>
      <c r="DI55" s="9">
        <v>4</v>
      </c>
      <c r="DJ55" s="9">
        <v>3</v>
      </c>
      <c r="DK55" s="9">
        <v>3</v>
      </c>
      <c r="DL55" s="9">
        <v>3</v>
      </c>
      <c r="DM55" s="9">
        <v>3</v>
      </c>
      <c r="DN55" s="9">
        <v>3</v>
      </c>
      <c r="DO55" s="9">
        <v>3</v>
      </c>
      <c r="DP55" s="3" t="s">
        <v>107</v>
      </c>
      <c r="DQ55" s="3" t="s">
        <v>107</v>
      </c>
      <c r="DR55" s="3" t="s">
        <v>107</v>
      </c>
      <c r="DS55" s="3" t="s">
        <v>109</v>
      </c>
      <c r="DT55" s="3" t="s">
        <v>109</v>
      </c>
      <c r="DU55" s="3" t="s">
        <v>109</v>
      </c>
      <c r="DV55" s="3">
        <f t="shared" si="14"/>
        <v>1</v>
      </c>
      <c r="DW55" s="3">
        <f t="shared" si="15"/>
        <v>1</v>
      </c>
      <c r="DX55" s="3">
        <f t="shared" si="16"/>
        <v>1</v>
      </c>
      <c r="DY55" s="3">
        <f t="shared" si="17"/>
        <v>2</v>
      </c>
      <c r="DZ55" s="3">
        <f t="shared" si="18"/>
        <v>2</v>
      </c>
      <c r="EA55" s="3">
        <f t="shared" si="19"/>
        <v>2</v>
      </c>
      <c r="EB55" s="32"/>
      <c r="EC55" s="5">
        <v>3200063</v>
      </c>
      <c r="ED55" s="31" t="s">
        <v>113</v>
      </c>
      <c r="EE55" s="8">
        <v>1</v>
      </c>
      <c r="EQ55" s="9">
        <v>303320001</v>
      </c>
      <c r="ER55" s="9" t="s">
        <v>170</v>
      </c>
    </row>
    <row r="56" spans="1:148" ht="13.5" customHeight="1">
      <c r="A56" s="9">
        <v>53</v>
      </c>
      <c r="B56" s="9">
        <v>1</v>
      </c>
      <c r="C56" s="9">
        <v>2001</v>
      </c>
      <c r="D56" s="9">
        <f t="shared" si="40"/>
        <v>68686</v>
      </c>
      <c r="E56" s="9" t="str">
        <f t="shared" si="22"/>
        <v>3200043,3200043,3200043,3300042,3400042,3300042</v>
      </c>
      <c r="F56" s="9" t="str">
        <f t="shared" si="23"/>
        <v>4,4,4,4,4,4</v>
      </c>
      <c r="G56" s="9" t="str">
        <f t="shared" si="24"/>
        <v>151,155,155,155,155,155</v>
      </c>
      <c r="H56" s="9">
        <v>58</v>
      </c>
      <c r="I56" s="9" t="s">
        <v>278</v>
      </c>
      <c r="J56" s="9" t="s">
        <v>279</v>
      </c>
      <c r="K56" s="9" t="s">
        <v>279</v>
      </c>
      <c r="L56" s="9" t="s">
        <v>279</v>
      </c>
      <c r="M56" s="9" t="s">
        <v>283</v>
      </c>
      <c r="O56" s="3">
        <f t="shared" si="41"/>
        <v>68686</v>
      </c>
      <c r="P56" s="9">
        <v>59468.5</v>
      </c>
      <c r="Q56" s="9">
        <v>3200043</v>
      </c>
      <c r="R56" s="9">
        <v>3200043</v>
      </c>
      <c r="S56" s="9">
        <v>3200043</v>
      </c>
      <c r="T56" s="9">
        <v>3300042</v>
      </c>
      <c r="U56" s="9">
        <v>3400042</v>
      </c>
      <c r="V56" s="9">
        <v>3300042</v>
      </c>
      <c r="W56" s="9">
        <v>4</v>
      </c>
      <c r="X56" s="9">
        <v>4</v>
      </c>
      <c r="Y56" s="9">
        <v>4</v>
      </c>
      <c r="Z56" s="9">
        <v>4</v>
      </c>
      <c r="AA56" s="9">
        <v>4</v>
      </c>
      <c r="AB56" s="9">
        <v>4</v>
      </c>
      <c r="AC56" s="9">
        <f t="shared" si="26"/>
        <v>151</v>
      </c>
      <c r="AD56" s="9">
        <f t="shared" si="27"/>
        <v>155</v>
      </c>
      <c r="AE56" s="9">
        <f t="shared" si="28"/>
        <v>155</v>
      </c>
      <c r="AF56" s="9">
        <f t="shared" si="29"/>
        <v>155</v>
      </c>
      <c r="AG56" s="9">
        <f t="shared" si="30"/>
        <v>155</v>
      </c>
      <c r="AH56" s="9">
        <f t="shared" si="31"/>
        <v>155</v>
      </c>
      <c r="AI56" s="7">
        <f t="shared" si="32"/>
        <v>9911.4166666666661</v>
      </c>
      <c r="AJ56" s="7">
        <f t="shared" si="32"/>
        <v>9911.4166666666661</v>
      </c>
      <c r="AK56" s="7">
        <f t="shared" si="32"/>
        <v>9911.4166666666661</v>
      </c>
      <c r="AL56" s="7">
        <f t="shared" si="32"/>
        <v>9911.4166666666661</v>
      </c>
      <c r="AM56" s="7">
        <f t="shared" si="32"/>
        <v>9911.4166666666661</v>
      </c>
      <c r="AN56" s="7">
        <f t="shared" si="32"/>
        <v>9911.4166666666661</v>
      </c>
      <c r="AO56" s="16"/>
      <c r="AP56" s="7"/>
      <c r="AQ56" s="9">
        <v>4</v>
      </c>
      <c r="AR56" s="9">
        <f t="shared" si="33"/>
        <v>139</v>
      </c>
      <c r="AS56" s="7">
        <f t="shared" si="34"/>
        <v>78</v>
      </c>
      <c r="AT56" s="7"/>
      <c r="AU56" s="16"/>
      <c r="AV56" s="7"/>
      <c r="AW56" s="7"/>
      <c r="AX56" s="7"/>
      <c r="AZ56" s="7"/>
      <c r="BA56" s="9">
        <f t="shared" si="42"/>
        <v>11100.850000000006</v>
      </c>
      <c r="BC56" s="5">
        <f t="shared" si="35"/>
        <v>139</v>
      </c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18"/>
      <c r="BQ56" s="18"/>
      <c r="BR56" s="18">
        <v>4501044</v>
      </c>
      <c r="BS56" s="18">
        <f>[1]monsters!$N56</f>
        <v>184.32</v>
      </c>
      <c r="BT56" s="18">
        <f>[1]monsters!$O56</f>
        <v>18.43</v>
      </c>
      <c r="BU56" s="18">
        <f>[1]monsters!$P56</f>
        <v>1440</v>
      </c>
      <c r="BV56" s="18">
        <f>[1]monsters!$Q56</f>
        <v>144</v>
      </c>
      <c r="BW56" s="18">
        <f>[1]monsters!$R56</f>
        <v>26.33</v>
      </c>
      <c r="BX56" s="18">
        <f>[1]monsters!$S56</f>
        <v>2.63</v>
      </c>
      <c r="BY56" s="18">
        <f>[1]monsters!$K56</f>
        <v>1.6</v>
      </c>
      <c r="BZ56" s="5">
        <f>[1]monsters!$D56</f>
        <v>4</v>
      </c>
      <c r="CA56" s="5">
        <f t="shared" si="36"/>
        <v>0.1</v>
      </c>
      <c r="CB56" s="5">
        <f t="shared" si="37"/>
        <v>222.66724848484847</v>
      </c>
      <c r="CC56" s="5">
        <f t="shared" si="38"/>
        <v>22.266724848484849</v>
      </c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>
        <v>0</v>
      </c>
      <c r="CR56" s="3" t="b">
        <f t="shared" si="2"/>
        <v>1</v>
      </c>
      <c r="CS56" s="3" t="b">
        <f t="shared" si="3"/>
        <v>1</v>
      </c>
      <c r="CT56" s="3" t="b">
        <f t="shared" si="4"/>
        <v>1</v>
      </c>
      <c r="CU56" s="3" t="b">
        <f t="shared" si="5"/>
        <v>1</v>
      </c>
      <c r="CV56" s="3" t="b">
        <f t="shared" si="6"/>
        <v>1</v>
      </c>
      <c r="CW56" s="3" t="b">
        <f t="shared" si="7"/>
        <v>1</v>
      </c>
      <c r="CX56" s="9" t="str">
        <f t="shared" si="8"/>
        <v>3200043</v>
      </c>
      <c r="CY56" s="9" t="str">
        <f t="shared" si="9"/>
        <v>3200043</v>
      </c>
      <c r="CZ56" s="9" t="str">
        <f t="shared" si="10"/>
        <v>3200043</v>
      </c>
      <c r="DA56" s="9" t="str">
        <f t="shared" si="11"/>
        <v>3300042</v>
      </c>
      <c r="DB56" s="9" t="str">
        <f t="shared" si="12"/>
        <v>3400042</v>
      </c>
      <c r="DC56" s="9" t="str">
        <f t="shared" si="13"/>
        <v>3300042</v>
      </c>
      <c r="DD56" s="9">
        <v>4</v>
      </c>
      <c r="DE56" s="9">
        <v>4</v>
      </c>
      <c r="DF56" s="9">
        <v>4</v>
      </c>
      <c r="DG56" s="9">
        <v>4</v>
      </c>
      <c r="DH56" s="9">
        <v>4</v>
      </c>
      <c r="DI56" s="9">
        <v>4</v>
      </c>
      <c r="DJ56" s="9">
        <v>3</v>
      </c>
      <c r="DK56" s="9">
        <v>3</v>
      </c>
      <c r="DL56" s="9">
        <v>3</v>
      </c>
      <c r="DM56" s="9">
        <v>3</v>
      </c>
      <c r="DN56" s="9">
        <v>3</v>
      </c>
      <c r="DO56" s="9">
        <v>3</v>
      </c>
      <c r="DP56" s="3" t="s">
        <v>113</v>
      </c>
      <c r="DQ56" s="3" t="s">
        <v>113</v>
      </c>
      <c r="DR56" s="3" t="s">
        <v>113</v>
      </c>
      <c r="DS56" s="25" t="s">
        <v>115</v>
      </c>
      <c r="DT56" s="25" t="s">
        <v>110</v>
      </c>
      <c r="DU56" s="25" t="s">
        <v>115</v>
      </c>
      <c r="DV56" s="25">
        <f t="shared" si="14"/>
        <v>1</v>
      </c>
      <c r="DW56" s="25">
        <f t="shared" si="15"/>
        <v>1</v>
      </c>
      <c r="DX56" s="25">
        <f t="shared" si="16"/>
        <v>1</v>
      </c>
      <c r="DY56" s="25">
        <f t="shared" si="17"/>
        <v>2</v>
      </c>
      <c r="DZ56" s="25">
        <f t="shared" si="18"/>
        <v>2</v>
      </c>
      <c r="EA56" s="3">
        <f t="shared" si="19"/>
        <v>2</v>
      </c>
      <c r="EB56" s="32"/>
      <c r="EC56" s="5">
        <v>3401061</v>
      </c>
      <c r="ED56" s="31" t="s">
        <v>117</v>
      </c>
      <c r="EE56" s="8">
        <v>2</v>
      </c>
      <c r="EQ56" s="9">
        <v>303320101</v>
      </c>
      <c r="ER56" s="9" t="s">
        <v>171</v>
      </c>
    </row>
    <row r="57" spans="1:148" ht="13.5" customHeight="1">
      <c r="A57" s="9">
        <v>54</v>
      </c>
      <c r="B57" s="9">
        <v>1</v>
      </c>
      <c r="C57" s="9">
        <v>2001</v>
      </c>
      <c r="D57" s="9">
        <f t="shared" si="40"/>
        <v>70018</v>
      </c>
      <c r="E57" s="9" t="str">
        <f t="shared" si="22"/>
        <v>3202041,3201042,3201042,3401041,3401041,3402043</v>
      </c>
      <c r="F57" s="9" t="str">
        <f t="shared" si="23"/>
        <v>4,4,4,4,4,4</v>
      </c>
      <c r="G57" s="9" t="str">
        <f t="shared" si="24"/>
        <v>153,156,156,156,156,156</v>
      </c>
      <c r="H57" s="9">
        <v>58</v>
      </c>
      <c r="I57" s="9" t="s">
        <v>278</v>
      </c>
      <c r="J57" s="9" t="s">
        <v>279</v>
      </c>
      <c r="K57" s="9" t="s">
        <v>279</v>
      </c>
      <c r="L57" s="9" t="s">
        <v>279</v>
      </c>
      <c r="M57" s="9" t="s">
        <v>283</v>
      </c>
      <c r="O57" s="3">
        <f t="shared" si="41"/>
        <v>70018</v>
      </c>
      <c r="P57" s="9">
        <v>60621.75</v>
      </c>
      <c r="Q57" s="9">
        <v>3202041</v>
      </c>
      <c r="R57" s="9">
        <v>3201042</v>
      </c>
      <c r="S57" s="9">
        <v>3201042</v>
      </c>
      <c r="T57" s="9">
        <v>3401041</v>
      </c>
      <c r="U57" s="9">
        <v>3401041</v>
      </c>
      <c r="V57" s="9">
        <v>3402043</v>
      </c>
      <c r="W57" s="9">
        <v>4</v>
      </c>
      <c r="X57" s="9">
        <v>4</v>
      </c>
      <c r="Y57" s="9">
        <v>4</v>
      </c>
      <c r="Z57" s="9">
        <v>4</v>
      </c>
      <c r="AA57" s="9">
        <v>4</v>
      </c>
      <c r="AB57" s="9">
        <v>4</v>
      </c>
      <c r="AC57" s="9">
        <f t="shared" si="26"/>
        <v>153</v>
      </c>
      <c r="AD57" s="9">
        <f t="shared" si="27"/>
        <v>156</v>
      </c>
      <c r="AE57" s="9">
        <f t="shared" si="28"/>
        <v>156</v>
      </c>
      <c r="AF57" s="9">
        <f t="shared" si="29"/>
        <v>156</v>
      </c>
      <c r="AG57" s="9">
        <f t="shared" si="30"/>
        <v>156</v>
      </c>
      <c r="AH57" s="9">
        <f t="shared" si="31"/>
        <v>156</v>
      </c>
      <c r="AI57" s="7">
        <f t="shared" si="32"/>
        <v>10103.625</v>
      </c>
      <c r="AJ57" s="7">
        <f t="shared" si="32"/>
        <v>10103.625</v>
      </c>
      <c r="AK57" s="7">
        <f t="shared" si="32"/>
        <v>10103.625</v>
      </c>
      <c r="AL57" s="7">
        <f t="shared" si="32"/>
        <v>10103.625</v>
      </c>
      <c r="AM57" s="7">
        <f t="shared" si="32"/>
        <v>10103.625</v>
      </c>
      <c r="AN57" s="7">
        <f t="shared" si="32"/>
        <v>10103.625</v>
      </c>
      <c r="AO57" s="16"/>
      <c r="AP57" s="7"/>
      <c r="AQ57" s="9">
        <v>4</v>
      </c>
      <c r="AR57" s="9">
        <f t="shared" si="33"/>
        <v>141</v>
      </c>
      <c r="AS57" s="7">
        <f t="shared" si="34"/>
        <v>79</v>
      </c>
      <c r="AT57" s="7"/>
      <c r="AU57" s="16"/>
      <c r="AV57" s="7"/>
      <c r="AW57" s="7"/>
      <c r="AX57" s="7"/>
      <c r="AZ57" s="7"/>
      <c r="BA57" s="9">
        <f t="shared" si="42"/>
        <v>11456.300000000007</v>
      </c>
      <c r="BC57" s="5">
        <f t="shared" si="35"/>
        <v>141</v>
      </c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18"/>
      <c r="BQ57" s="18"/>
      <c r="BR57" s="18">
        <v>4601044</v>
      </c>
      <c r="BS57" s="18">
        <f>[1]monsters!$N57</f>
        <v>172.8</v>
      </c>
      <c r="BT57" s="18">
        <f>[1]monsters!$O57</f>
        <v>17.28</v>
      </c>
      <c r="BU57" s="18">
        <f>[1]monsters!$P57</f>
        <v>1440</v>
      </c>
      <c r="BV57" s="18">
        <f>[1]monsters!$Q57</f>
        <v>144</v>
      </c>
      <c r="BW57" s="18">
        <f>[1]monsters!$R57</f>
        <v>24.69</v>
      </c>
      <c r="BX57" s="18">
        <f>[1]monsters!$S57</f>
        <v>2.4700000000000002</v>
      </c>
      <c r="BY57" s="18">
        <f>[1]monsters!$K57</f>
        <v>1.5</v>
      </c>
      <c r="BZ57" s="5">
        <f>[1]monsters!$D57</f>
        <v>4</v>
      </c>
      <c r="CA57" s="5">
        <f t="shared" si="36"/>
        <v>0.1</v>
      </c>
      <c r="CB57" s="5">
        <f t="shared" si="37"/>
        <v>211.78084848484849</v>
      </c>
      <c r="CC57" s="5">
        <f t="shared" si="38"/>
        <v>21.178084848484851</v>
      </c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>
        <v>0</v>
      </c>
      <c r="CR57" s="3" t="b">
        <f t="shared" si="2"/>
        <v>1</v>
      </c>
      <c r="CS57" s="3" t="b">
        <f t="shared" si="3"/>
        <v>1</v>
      </c>
      <c r="CT57" s="3" t="b">
        <f t="shared" si="4"/>
        <v>1</v>
      </c>
      <c r="CU57" s="3" t="b">
        <f t="shared" si="5"/>
        <v>1</v>
      </c>
      <c r="CV57" s="3" t="b">
        <f t="shared" si="6"/>
        <v>1</v>
      </c>
      <c r="CW57" s="3" t="b">
        <f t="shared" si="7"/>
        <v>1</v>
      </c>
      <c r="CX57" s="9" t="str">
        <f t="shared" si="8"/>
        <v>3202041</v>
      </c>
      <c r="CY57" s="9" t="str">
        <f t="shared" si="9"/>
        <v>3201042</v>
      </c>
      <c r="CZ57" s="9" t="str">
        <f t="shared" si="10"/>
        <v>3201042</v>
      </c>
      <c r="DA57" s="9" t="str">
        <f t="shared" si="11"/>
        <v>3401041</v>
      </c>
      <c r="DB57" s="9" t="str">
        <f t="shared" si="12"/>
        <v>3401041</v>
      </c>
      <c r="DC57" s="9" t="str">
        <f t="shared" si="13"/>
        <v>3402043</v>
      </c>
      <c r="DD57" s="9">
        <v>4</v>
      </c>
      <c r="DE57" s="9">
        <v>4</v>
      </c>
      <c r="DF57" s="9">
        <v>4</v>
      </c>
      <c r="DG57" s="9">
        <v>4</v>
      </c>
      <c r="DH57" s="9">
        <v>4</v>
      </c>
      <c r="DI57" s="9">
        <v>4</v>
      </c>
      <c r="DJ57" s="9">
        <v>3</v>
      </c>
      <c r="DK57" s="9">
        <v>3</v>
      </c>
      <c r="DL57" s="9">
        <v>3</v>
      </c>
      <c r="DM57" s="9">
        <v>3</v>
      </c>
      <c r="DN57" s="9">
        <v>3</v>
      </c>
      <c r="DO57" s="9">
        <v>3</v>
      </c>
      <c r="DP57" s="3" t="s">
        <v>111</v>
      </c>
      <c r="DQ57" s="3" t="s">
        <v>114</v>
      </c>
      <c r="DR57" s="3" t="s">
        <v>114</v>
      </c>
      <c r="DS57" s="3" t="s">
        <v>117</v>
      </c>
      <c r="DT57" s="3" t="s">
        <v>117</v>
      </c>
      <c r="DU57" s="3" t="s">
        <v>118</v>
      </c>
      <c r="DV57" s="3">
        <f t="shared" si="14"/>
        <v>1</v>
      </c>
      <c r="DW57" s="3">
        <f t="shared" si="15"/>
        <v>1</v>
      </c>
      <c r="DX57" s="3">
        <f t="shared" si="16"/>
        <v>1</v>
      </c>
      <c r="DY57" s="3">
        <f t="shared" si="17"/>
        <v>2</v>
      </c>
      <c r="DZ57" s="3">
        <f t="shared" si="18"/>
        <v>2</v>
      </c>
      <c r="EA57" s="3">
        <f t="shared" si="19"/>
        <v>2</v>
      </c>
      <c r="EB57" s="32"/>
      <c r="EC57" s="5">
        <v>3402063</v>
      </c>
      <c r="ED57" s="31" t="s">
        <v>118</v>
      </c>
      <c r="EE57" s="8">
        <v>2</v>
      </c>
      <c r="EQ57" s="9">
        <v>303320201</v>
      </c>
      <c r="ER57" s="9" t="s">
        <v>161</v>
      </c>
    </row>
    <row r="58" spans="1:148" ht="13.5" customHeight="1">
      <c r="A58" s="9">
        <v>55</v>
      </c>
      <c r="B58" s="9">
        <v>1</v>
      </c>
      <c r="C58" s="9">
        <v>2001</v>
      </c>
      <c r="D58" s="9">
        <f t="shared" si="40"/>
        <v>71362</v>
      </c>
      <c r="E58" s="9" t="str">
        <f t="shared" si="22"/>
        <v>3302043,3201042,3301041,3501043,3500042,3501043</v>
      </c>
      <c r="F58" s="9" t="str">
        <f t="shared" si="23"/>
        <v>4,4,4,4,4,4</v>
      </c>
      <c r="G58" s="9" t="str">
        <f t="shared" si="24"/>
        <v>154,158,158,158,158,158</v>
      </c>
      <c r="H58" s="9">
        <v>60</v>
      </c>
      <c r="I58" s="9" t="s">
        <v>278</v>
      </c>
      <c r="J58" s="9" t="s">
        <v>279</v>
      </c>
      <c r="K58" s="9" t="s">
        <v>279</v>
      </c>
      <c r="L58" s="9" t="s">
        <v>279</v>
      </c>
      <c r="M58" s="9" t="s">
        <v>283</v>
      </c>
      <c r="O58" s="3">
        <f t="shared" si="41"/>
        <v>71362</v>
      </c>
      <c r="P58" s="9">
        <v>61785.5</v>
      </c>
      <c r="Q58" s="9">
        <v>3302043</v>
      </c>
      <c r="R58" s="9">
        <v>3201042</v>
      </c>
      <c r="S58" s="9">
        <v>3301041</v>
      </c>
      <c r="T58" s="9">
        <v>3501043</v>
      </c>
      <c r="U58" s="9">
        <v>3500042</v>
      </c>
      <c r="V58" s="9">
        <v>3501043</v>
      </c>
      <c r="W58" s="9">
        <v>4</v>
      </c>
      <c r="X58" s="9">
        <v>4</v>
      </c>
      <c r="Y58" s="9">
        <v>4</v>
      </c>
      <c r="Z58" s="9">
        <v>4</v>
      </c>
      <c r="AA58" s="9">
        <v>4</v>
      </c>
      <c r="AB58" s="9">
        <v>4</v>
      </c>
      <c r="AC58" s="9">
        <f t="shared" si="26"/>
        <v>154</v>
      </c>
      <c r="AD58" s="9">
        <f t="shared" si="27"/>
        <v>158</v>
      </c>
      <c r="AE58" s="9">
        <f t="shared" si="28"/>
        <v>158</v>
      </c>
      <c r="AF58" s="9">
        <f t="shared" si="29"/>
        <v>158</v>
      </c>
      <c r="AG58" s="9">
        <f t="shared" si="30"/>
        <v>158</v>
      </c>
      <c r="AH58" s="9">
        <f t="shared" si="31"/>
        <v>158</v>
      </c>
      <c r="AI58" s="7">
        <f t="shared" si="32"/>
        <v>10297.583333333334</v>
      </c>
      <c r="AJ58" s="7">
        <f t="shared" si="32"/>
        <v>10297.583333333334</v>
      </c>
      <c r="AK58" s="7">
        <f t="shared" si="32"/>
        <v>10297.583333333334</v>
      </c>
      <c r="AL58" s="7">
        <f t="shared" si="32"/>
        <v>10297.583333333334</v>
      </c>
      <c r="AM58" s="7">
        <f t="shared" si="32"/>
        <v>10297.583333333334</v>
      </c>
      <c r="AN58" s="7">
        <f t="shared" si="32"/>
        <v>10297.583333333334</v>
      </c>
      <c r="AO58" s="16"/>
      <c r="AP58" s="7"/>
      <c r="AQ58" s="9">
        <v>4</v>
      </c>
      <c r="AR58" s="9">
        <f t="shared" si="33"/>
        <v>142</v>
      </c>
      <c r="AS58" s="7">
        <f t="shared" si="34"/>
        <v>80</v>
      </c>
      <c r="AT58" s="7"/>
      <c r="AU58" s="16"/>
      <c r="AV58" s="7"/>
      <c r="AW58" s="7"/>
      <c r="AX58" s="7"/>
      <c r="AZ58" s="7"/>
      <c r="BA58" s="9">
        <f t="shared" si="42"/>
        <v>11811.750000000007</v>
      </c>
      <c r="BC58" s="5">
        <f t="shared" si="35"/>
        <v>142</v>
      </c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7"/>
      <c r="BQ58" s="18"/>
      <c r="BR58" s="18">
        <v>4502044</v>
      </c>
      <c r="BS58" s="18">
        <f>[1]monsters!$N58</f>
        <v>215.04</v>
      </c>
      <c r="BT58" s="18">
        <f>[1]monsters!$O58</f>
        <v>21.5</v>
      </c>
      <c r="BU58" s="18">
        <f>[1]monsters!$P58</f>
        <v>1234.29</v>
      </c>
      <c r="BV58" s="18">
        <f>[1]monsters!$Q58</f>
        <v>123.43</v>
      </c>
      <c r="BW58" s="18">
        <f>[1]monsters!$R58</f>
        <v>26.88</v>
      </c>
      <c r="BX58" s="18">
        <f>[1]monsters!$S58</f>
        <v>2.69</v>
      </c>
      <c r="BY58" s="18">
        <f>[1]monsters!$K58</f>
        <v>1.6</v>
      </c>
      <c r="BZ58" s="5">
        <f>[1]monsters!$D58</f>
        <v>5</v>
      </c>
      <c r="CA58" s="5">
        <f t="shared" si="36"/>
        <v>0.1</v>
      </c>
      <c r="CB58" s="5">
        <f t="shared" si="37"/>
        <v>244.77138585858586</v>
      </c>
      <c r="CC58" s="5">
        <f t="shared" si="38"/>
        <v>24.477138585858587</v>
      </c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>
        <v>1</v>
      </c>
      <c r="CR58" s="3" t="b">
        <f t="shared" si="2"/>
        <v>1</v>
      </c>
      <c r="CS58" s="3" t="b">
        <f t="shared" si="3"/>
        <v>1</v>
      </c>
      <c r="CT58" s="3" t="b">
        <f t="shared" si="4"/>
        <v>1</v>
      </c>
      <c r="CU58" s="3" t="b">
        <f t="shared" si="5"/>
        <v>1</v>
      </c>
      <c r="CV58" s="3" t="b">
        <f t="shared" si="6"/>
        <v>1</v>
      </c>
      <c r="CW58" s="3" t="b">
        <f t="shared" si="7"/>
        <v>1</v>
      </c>
      <c r="CX58" s="9" t="str">
        <f t="shared" si="8"/>
        <v>3302043</v>
      </c>
      <c r="CY58" s="9" t="str">
        <f t="shared" si="9"/>
        <v>3201042</v>
      </c>
      <c r="CZ58" s="9" t="str">
        <f t="shared" si="10"/>
        <v>3301041</v>
      </c>
      <c r="DA58" s="9" t="str">
        <f t="shared" si="11"/>
        <v>3501043</v>
      </c>
      <c r="DB58" s="9" t="str">
        <f t="shared" si="12"/>
        <v>3500042</v>
      </c>
      <c r="DC58" s="9" t="str">
        <f t="shared" si="13"/>
        <v>3501043</v>
      </c>
      <c r="DD58" s="9">
        <v>4</v>
      </c>
      <c r="DE58" s="9">
        <v>4</v>
      </c>
      <c r="DF58" s="9">
        <v>4</v>
      </c>
      <c r="DG58" s="9">
        <v>4</v>
      </c>
      <c r="DH58" s="9">
        <v>4</v>
      </c>
      <c r="DI58" s="9">
        <v>4</v>
      </c>
      <c r="DJ58" s="9">
        <v>3</v>
      </c>
      <c r="DK58" s="9">
        <v>3</v>
      </c>
      <c r="DL58" s="9">
        <v>3</v>
      </c>
      <c r="DM58" s="9">
        <v>3</v>
      </c>
      <c r="DN58" s="9">
        <v>3</v>
      </c>
      <c r="DO58" s="9">
        <v>3</v>
      </c>
      <c r="DP58" s="3" t="s">
        <v>108</v>
      </c>
      <c r="DQ58" s="3" t="s">
        <v>114</v>
      </c>
      <c r="DR58" s="3" t="s">
        <v>107</v>
      </c>
      <c r="DS58" s="3" t="s">
        <v>121</v>
      </c>
      <c r="DT58" s="3" t="s">
        <v>109</v>
      </c>
      <c r="DU58" s="3" t="s">
        <v>121</v>
      </c>
      <c r="DV58" s="3">
        <f t="shared" si="14"/>
        <v>1</v>
      </c>
      <c r="DW58" s="3">
        <f t="shared" si="15"/>
        <v>1</v>
      </c>
      <c r="DX58" s="3">
        <f t="shared" si="16"/>
        <v>1</v>
      </c>
      <c r="DY58" s="3">
        <f t="shared" si="17"/>
        <v>2</v>
      </c>
      <c r="DZ58" s="3">
        <f t="shared" si="18"/>
        <v>2</v>
      </c>
      <c r="EA58" s="3">
        <f t="shared" si="19"/>
        <v>2</v>
      </c>
      <c r="EB58" s="32"/>
      <c r="EC58" s="5">
        <v>3501063</v>
      </c>
      <c r="ED58" s="31" t="s">
        <v>121</v>
      </c>
      <c r="EE58" s="8">
        <v>2</v>
      </c>
      <c r="EQ58" s="9">
        <v>303330101</v>
      </c>
      <c r="ER58" s="9" t="s">
        <v>172</v>
      </c>
    </row>
    <row r="59" spans="1:148" ht="13.5" customHeight="1">
      <c r="A59" s="9">
        <v>56</v>
      </c>
      <c r="B59" s="9">
        <v>1</v>
      </c>
      <c r="C59" s="9">
        <v>2001</v>
      </c>
      <c r="D59" s="9">
        <f t="shared" si="40"/>
        <v>72888</v>
      </c>
      <c r="E59" s="9" t="str">
        <f t="shared" si="22"/>
        <v>3202041,3201042,3201042,3502041,3500042,3501043</v>
      </c>
      <c r="F59" s="9" t="str">
        <f t="shared" si="23"/>
        <v>4,4,4,4,4,4</v>
      </c>
      <c r="G59" s="9" t="str">
        <f t="shared" si="24"/>
        <v>156,160,160,160,160,160</v>
      </c>
      <c r="H59" s="9">
        <v>62</v>
      </c>
      <c r="I59" s="9" t="s">
        <v>278</v>
      </c>
      <c r="J59" s="9" t="s">
        <v>279</v>
      </c>
      <c r="K59" s="9" t="s">
        <v>279</v>
      </c>
      <c r="L59" s="9" t="s">
        <v>279</v>
      </c>
      <c r="M59" s="9" t="s">
        <v>283</v>
      </c>
      <c r="O59" s="3">
        <f t="shared" si="41"/>
        <v>72888</v>
      </c>
      <c r="P59" s="9">
        <v>63106.75</v>
      </c>
      <c r="Q59" s="9">
        <v>3202041</v>
      </c>
      <c r="R59" s="9">
        <v>3201042</v>
      </c>
      <c r="S59" s="9">
        <v>3201042</v>
      </c>
      <c r="T59" s="9">
        <v>3502041</v>
      </c>
      <c r="U59" s="9">
        <v>3500042</v>
      </c>
      <c r="V59" s="9">
        <v>3501043</v>
      </c>
      <c r="W59" s="9">
        <v>4</v>
      </c>
      <c r="X59" s="9">
        <v>4</v>
      </c>
      <c r="Y59" s="9">
        <v>4</v>
      </c>
      <c r="Z59" s="9">
        <v>4</v>
      </c>
      <c r="AA59" s="9">
        <v>4</v>
      </c>
      <c r="AB59" s="9">
        <v>4</v>
      </c>
      <c r="AC59" s="9">
        <f t="shared" si="26"/>
        <v>156</v>
      </c>
      <c r="AD59" s="9">
        <f t="shared" si="27"/>
        <v>160</v>
      </c>
      <c r="AE59" s="9">
        <f t="shared" si="28"/>
        <v>160</v>
      </c>
      <c r="AF59" s="9">
        <f t="shared" si="29"/>
        <v>160</v>
      </c>
      <c r="AG59" s="9">
        <f t="shared" si="30"/>
        <v>160</v>
      </c>
      <c r="AH59" s="9">
        <f t="shared" si="31"/>
        <v>160</v>
      </c>
      <c r="AI59" s="7">
        <f t="shared" si="32"/>
        <v>10517.791666666666</v>
      </c>
      <c r="AJ59" s="7">
        <f t="shared" si="32"/>
        <v>10517.791666666666</v>
      </c>
      <c r="AK59" s="7">
        <f t="shared" si="32"/>
        <v>10517.791666666666</v>
      </c>
      <c r="AL59" s="7">
        <f t="shared" si="32"/>
        <v>10517.791666666666</v>
      </c>
      <c r="AM59" s="7">
        <f t="shared" si="32"/>
        <v>10517.791666666666</v>
      </c>
      <c r="AN59" s="7">
        <f t="shared" si="32"/>
        <v>10517.791666666666</v>
      </c>
      <c r="AO59" s="16"/>
      <c r="AP59" s="7"/>
      <c r="AQ59" s="9">
        <v>4</v>
      </c>
      <c r="AR59" s="9">
        <f t="shared" si="33"/>
        <v>144</v>
      </c>
      <c r="AS59" s="7">
        <f t="shared" si="34"/>
        <v>81</v>
      </c>
      <c r="AT59" s="7"/>
      <c r="AU59" s="16"/>
      <c r="AV59" s="7"/>
      <c r="AW59" s="7"/>
      <c r="AX59" s="7"/>
      <c r="AZ59" s="7"/>
      <c r="BA59" s="9">
        <f t="shared" si="42"/>
        <v>12167.200000000008</v>
      </c>
      <c r="BC59" s="5">
        <f t="shared" si="35"/>
        <v>144</v>
      </c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7"/>
      <c r="BQ59" s="18"/>
      <c r="BR59" s="18">
        <v>4600044</v>
      </c>
      <c r="BS59" s="18">
        <f>[1]monsters!$N59</f>
        <v>208.32</v>
      </c>
      <c r="BT59" s="18">
        <f>[1]monsters!$O59</f>
        <v>20.83</v>
      </c>
      <c r="BU59" s="18">
        <f>[1]monsters!$P59</f>
        <v>1114.8399999999999</v>
      </c>
      <c r="BV59" s="18">
        <f>[1]monsters!$Q59</f>
        <v>111.48</v>
      </c>
      <c r="BW59" s="18">
        <f>[1]monsters!$R59</f>
        <v>20.83</v>
      </c>
      <c r="BX59" s="18">
        <f>[1]monsters!$S59</f>
        <v>2.08</v>
      </c>
      <c r="BY59" s="18">
        <f>[1]monsters!$K59</f>
        <v>1.4</v>
      </c>
      <c r="BZ59" s="5">
        <f>[1]monsters!$D59</f>
        <v>6</v>
      </c>
      <c r="CA59" s="5">
        <f t="shared" si="36"/>
        <v>0.1</v>
      </c>
      <c r="CB59" s="5">
        <f t="shared" si="37"/>
        <v>234.39910033670034</v>
      </c>
      <c r="CC59" s="5">
        <f t="shared" si="38"/>
        <v>23.439910033670035</v>
      </c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>
        <v>0</v>
      </c>
      <c r="CR59" s="3" t="b">
        <f t="shared" si="2"/>
        <v>1</v>
      </c>
      <c r="CS59" s="3" t="b">
        <f t="shared" si="3"/>
        <v>1</v>
      </c>
      <c r="CT59" s="3" t="b">
        <f t="shared" si="4"/>
        <v>1</v>
      </c>
      <c r="CU59" s="3" t="b">
        <f t="shared" si="5"/>
        <v>1</v>
      </c>
      <c r="CV59" s="3" t="b">
        <f t="shared" si="6"/>
        <v>1</v>
      </c>
      <c r="CW59" s="3" t="b">
        <f t="shared" si="7"/>
        <v>1</v>
      </c>
      <c r="CX59" s="9" t="str">
        <f t="shared" si="8"/>
        <v>3202041</v>
      </c>
      <c r="CY59" s="9" t="str">
        <f t="shared" si="9"/>
        <v>3201042</v>
      </c>
      <c r="CZ59" s="9" t="str">
        <f t="shared" si="10"/>
        <v>3201042</v>
      </c>
      <c r="DA59" s="9" t="str">
        <f t="shared" si="11"/>
        <v>3502041</v>
      </c>
      <c r="DB59" s="9" t="str">
        <f t="shared" si="12"/>
        <v>3500042</v>
      </c>
      <c r="DC59" s="9" t="str">
        <f t="shared" si="13"/>
        <v>3501043</v>
      </c>
      <c r="DD59" s="9">
        <v>4</v>
      </c>
      <c r="DE59" s="9">
        <v>4</v>
      </c>
      <c r="DF59" s="9">
        <v>4</v>
      </c>
      <c r="DG59" s="9">
        <v>4</v>
      </c>
      <c r="DH59" s="9">
        <v>4</v>
      </c>
      <c r="DI59" s="9">
        <v>4</v>
      </c>
      <c r="DJ59" s="9">
        <v>3</v>
      </c>
      <c r="DK59" s="9">
        <v>3</v>
      </c>
      <c r="DL59" s="9">
        <v>3</v>
      </c>
      <c r="DM59" s="9">
        <v>3</v>
      </c>
      <c r="DN59" s="9">
        <v>3</v>
      </c>
      <c r="DO59" s="9">
        <v>3</v>
      </c>
      <c r="DP59" s="3" t="s">
        <v>111</v>
      </c>
      <c r="DQ59" s="3" t="s">
        <v>114</v>
      </c>
      <c r="DR59" s="3" t="s">
        <v>114</v>
      </c>
      <c r="DS59" s="3" t="s">
        <v>119</v>
      </c>
      <c r="DT59" s="3" t="s">
        <v>109</v>
      </c>
      <c r="DU59" s="3" t="s">
        <v>121</v>
      </c>
      <c r="DV59" s="3">
        <f t="shared" si="14"/>
        <v>1</v>
      </c>
      <c r="DW59" s="3">
        <f t="shared" si="15"/>
        <v>1</v>
      </c>
      <c r="DX59" s="3">
        <f t="shared" si="16"/>
        <v>1</v>
      </c>
      <c r="DY59" s="3">
        <f t="shared" si="17"/>
        <v>2</v>
      </c>
      <c r="DZ59" s="3">
        <f t="shared" si="18"/>
        <v>2</v>
      </c>
      <c r="EA59" s="3">
        <f t="shared" si="19"/>
        <v>2</v>
      </c>
      <c r="EB59" s="32"/>
      <c r="EC59" s="5">
        <v>3600063</v>
      </c>
      <c r="ED59" s="31" t="s">
        <v>131</v>
      </c>
      <c r="EE59" s="8">
        <v>1</v>
      </c>
      <c r="EQ59" s="9">
        <v>303340101</v>
      </c>
      <c r="ER59" s="9" t="s">
        <v>160</v>
      </c>
    </row>
    <row r="60" spans="1:148" ht="13.5" customHeight="1">
      <c r="A60" s="9">
        <v>57</v>
      </c>
      <c r="B60" s="9">
        <v>1</v>
      </c>
      <c r="C60" s="9">
        <v>2001</v>
      </c>
      <c r="D60" s="9">
        <f t="shared" si="40"/>
        <v>74259</v>
      </c>
      <c r="E60" s="9" t="str">
        <f t="shared" si="22"/>
        <v>3202041,3202041,3202041,3300042,3400042,3300042</v>
      </c>
      <c r="F60" s="9" t="str">
        <f t="shared" si="23"/>
        <v>4,4,4,4,4,4</v>
      </c>
      <c r="G60" s="9" t="str">
        <f t="shared" si="24"/>
        <v>158,161,161,161,161,161</v>
      </c>
      <c r="H60" s="9">
        <v>62</v>
      </c>
      <c r="I60" s="9" t="s">
        <v>278</v>
      </c>
      <c r="J60" s="9" t="s">
        <v>279</v>
      </c>
      <c r="K60" s="9" t="s">
        <v>279</v>
      </c>
      <c r="L60" s="9" t="s">
        <v>279</v>
      </c>
      <c r="M60" s="9" t="s">
        <v>283</v>
      </c>
      <c r="O60" s="3">
        <f t="shared" si="41"/>
        <v>74259</v>
      </c>
      <c r="P60" s="9">
        <v>64293.25</v>
      </c>
      <c r="Q60" s="9">
        <v>3202041</v>
      </c>
      <c r="R60" s="9">
        <v>3202041</v>
      </c>
      <c r="S60" s="9">
        <v>3202041</v>
      </c>
      <c r="T60" s="9">
        <v>3300042</v>
      </c>
      <c r="U60" s="9">
        <v>3400042</v>
      </c>
      <c r="V60" s="9">
        <v>3300042</v>
      </c>
      <c r="W60" s="9">
        <v>4</v>
      </c>
      <c r="X60" s="9">
        <v>4</v>
      </c>
      <c r="Y60" s="9">
        <v>4</v>
      </c>
      <c r="Z60" s="9">
        <v>4</v>
      </c>
      <c r="AA60" s="9">
        <v>4</v>
      </c>
      <c r="AB60" s="9">
        <v>4</v>
      </c>
      <c r="AC60" s="9">
        <f t="shared" si="26"/>
        <v>158</v>
      </c>
      <c r="AD60" s="9">
        <f t="shared" si="27"/>
        <v>161</v>
      </c>
      <c r="AE60" s="9">
        <f t="shared" si="28"/>
        <v>161</v>
      </c>
      <c r="AF60" s="9">
        <f t="shared" si="29"/>
        <v>161</v>
      </c>
      <c r="AG60" s="9">
        <f t="shared" si="30"/>
        <v>161</v>
      </c>
      <c r="AH60" s="9">
        <f t="shared" si="31"/>
        <v>161</v>
      </c>
      <c r="AI60" s="7">
        <f t="shared" ref="AI60:AN102" si="43">$P60/6</f>
        <v>10715.541666666666</v>
      </c>
      <c r="AJ60" s="7">
        <f t="shared" si="43"/>
        <v>10715.541666666666</v>
      </c>
      <c r="AK60" s="7">
        <f t="shared" si="43"/>
        <v>10715.541666666666</v>
      </c>
      <c r="AL60" s="7">
        <f t="shared" si="43"/>
        <v>10715.541666666666</v>
      </c>
      <c r="AM60" s="7">
        <f t="shared" si="43"/>
        <v>10715.541666666666</v>
      </c>
      <c r="AN60" s="7">
        <f t="shared" si="43"/>
        <v>10715.541666666666</v>
      </c>
      <c r="AO60" s="16"/>
      <c r="AP60" s="7"/>
      <c r="AQ60" s="9">
        <v>4</v>
      </c>
      <c r="AR60" s="9">
        <f t="shared" si="33"/>
        <v>145</v>
      </c>
      <c r="AS60" s="7">
        <f t="shared" si="34"/>
        <v>82</v>
      </c>
      <c r="AT60" s="7"/>
      <c r="AU60" s="16"/>
      <c r="AV60" s="7"/>
      <c r="AW60" s="7"/>
      <c r="AX60" s="7"/>
      <c r="AZ60" s="7"/>
      <c r="BA60" s="9">
        <f t="shared" si="42"/>
        <v>12522.650000000009</v>
      </c>
      <c r="BC60" s="5">
        <f t="shared" si="35"/>
        <v>145</v>
      </c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7"/>
      <c r="BQ60" s="18"/>
      <c r="BR60" s="18">
        <v>4200044</v>
      </c>
      <c r="BS60" s="18">
        <f>[1]monsters!$N60</f>
        <v>267.83999999999997</v>
      </c>
      <c r="BT60" s="18">
        <f>[1]monsters!$O60</f>
        <v>26.78</v>
      </c>
      <c r="BU60" s="18">
        <f>[1]monsters!$P60</f>
        <v>1114.8399999999999</v>
      </c>
      <c r="BV60" s="18">
        <f>[1]monsters!$Q60</f>
        <v>111.48</v>
      </c>
      <c r="BW60" s="18">
        <f>[1]monsters!$R60</f>
        <v>26.78</v>
      </c>
      <c r="BX60" s="18">
        <f>[1]monsters!$S60</f>
        <v>2.68</v>
      </c>
      <c r="BY60" s="18">
        <f>[1]monsters!$K60</f>
        <v>1.8</v>
      </c>
      <c r="BZ60" s="5">
        <f>[1]monsters!$D60</f>
        <v>6</v>
      </c>
      <c r="CA60" s="5">
        <f t="shared" si="36"/>
        <v>0.1</v>
      </c>
      <c r="CB60" s="5">
        <f t="shared" si="37"/>
        <v>290.64550033670031</v>
      </c>
      <c r="CC60" s="5">
        <f t="shared" si="38"/>
        <v>29.064550033670031</v>
      </c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>
        <v>0</v>
      </c>
      <c r="CR60" s="3" t="b">
        <f t="shared" si="2"/>
        <v>1</v>
      </c>
      <c r="CS60" s="3" t="b">
        <f t="shared" si="3"/>
        <v>1</v>
      </c>
      <c r="CT60" s="3" t="b">
        <f t="shared" si="4"/>
        <v>1</v>
      </c>
      <c r="CU60" s="3" t="b">
        <f t="shared" si="5"/>
        <v>1</v>
      </c>
      <c r="CV60" s="3" t="b">
        <f t="shared" si="6"/>
        <v>1</v>
      </c>
      <c r="CW60" s="3" t="b">
        <f t="shared" si="7"/>
        <v>1</v>
      </c>
      <c r="CX60" s="9" t="str">
        <f t="shared" si="8"/>
        <v>3202041</v>
      </c>
      <c r="CY60" s="9" t="str">
        <f t="shared" si="9"/>
        <v>3202041</v>
      </c>
      <c r="CZ60" s="9" t="str">
        <f t="shared" si="10"/>
        <v>3202041</v>
      </c>
      <c r="DA60" s="9" t="str">
        <f t="shared" si="11"/>
        <v>3300042</v>
      </c>
      <c r="DB60" s="9" t="str">
        <f t="shared" si="12"/>
        <v>3400042</v>
      </c>
      <c r="DC60" s="9" t="str">
        <f t="shared" si="13"/>
        <v>3300042</v>
      </c>
      <c r="DD60" s="9">
        <v>4</v>
      </c>
      <c r="DE60" s="9">
        <v>4</v>
      </c>
      <c r="DF60" s="9">
        <v>4</v>
      </c>
      <c r="DG60" s="9">
        <v>4</v>
      </c>
      <c r="DH60" s="9">
        <v>4</v>
      </c>
      <c r="DI60" s="9">
        <v>4</v>
      </c>
      <c r="DJ60" s="9">
        <v>3</v>
      </c>
      <c r="DK60" s="9">
        <v>3</v>
      </c>
      <c r="DL60" s="9">
        <v>3</v>
      </c>
      <c r="DM60" s="9">
        <v>3</v>
      </c>
      <c r="DN60" s="9">
        <v>3</v>
      </c>
      <c r="DO60" s="9">
        <v>3</v>
      </c>
      <c r="DP60" s="25" t="s">
        <v>111</v>
      </c>
      <c r="DQ60" s="25" t="s">
        <v>111</v>
      </c>
      <c r="DR60" s="25" t="s">
        <v>111</v>
      </c>
      <c r="DS60" s="25" t="s">
        <v>115</v>
      </c>
      <c r="DT60" s="25" t="s">
        <v>110</v>
      </c>
      <c r="DU60" s="25" t="s">
        <v>115</v>
      </c>
      <c r="DV60" s="25">
        <f t="shared" si="14"/>
        <v>1</v>
      </c>
      <c r="DW60" s="25">
        <f t="shared" si="15"/>
        <v>1</v>
      </c>
      <c r="DX60" s="25">
        <f t="shared" si="16"/>
        <v>1</v>
      </c>
      <c r="DY60" s="25">
        <f t="shared" si="17"/>
        <v>2</v>
      </c>
      <c r="DZ60" s="25">
        <f t="shared" si="18"/>
        <v>2</v>
      </c>
      <c r="EA60" s="3">
        <f t="shared" si="19"/>
        <v>2</v>
      </c>
      <c r="EB60" s="32"/>
      <c r="EC60" s="5">
        <v>3602061</v>
      </c>
      <c r="ED60" s="31" t="s">
        <v>133</v>
      </c>
      <c r="EE60" s="8">
        <v>2</v>
      </c>
      <c r="EQ60" s="9">
        <v>303340201</v>
      </c>
      <c r="ER60" s="9" t="s">
        <v>173</v>
      </c>
    </row>
    <row r="61" spans="1:148" ht="13.5" customHeight="1">
      <c r="A61" s="9">
        <v>58</v>
      </c>
      <c r="B61" s="9">
        <v>1</v>
      </c>
      <c r="C61" s="9">
        <v>2001</v>
      </c>
      <c r="D61" s="9">
        <f t="shared" si="40"/>
        <v>75641</v>
      </c>
      <c r="E61" s="9" t="str">
        <f t="shared" si="22"/>
        <v>3301041,3301041,3301041,3501043,3300042,3502041</v>
      </c>
      <c r="F61" s="9" t="str">
        <f t="shared" si="23"/>
        <v>4,4,4,4,4,4</v>
      </c>
      <c r="G61" s="9" t="str">
        <f t="shared" si="24"/>
        <v>159,163,163,163,163,163</v>
      </c>
      <c r="H61" s="9">
        <v>62</v>
      </c>
      <c r="I61" s="9" t="s">
        <v>278</v>
      </c>
      <c r="J61" s="9" t="s">
        <v>279</v>
      </c>
      <c r="K61" s="9" t="s">
        <v>279</v>
      </c>
      <c r="L61" s="9" t="s">
        <v>279</v>
      </c>
      <c r="M61" s="9" t="s">
        <v>283</v>
      </c>
      <c r="O61" s="3">
        <f t="shared" si="41"/>
        <v>75641</v>
      </c>
      <c r="P61" s="9">
        <v>65490.25</v>
      </c>
      <c r="Q61" s="9">
        <v>3301041</v>
      </c>
      <c r="R61" s="9">
        <v>3301041</v>
      </c>
      <c r="S61" s="9">
        <v>3301041</v>
      </c>
      <c r="T61" s="9">
        <v>3501043</v>
      </c>
      <c r="U61" s="9">
        <v>3300042</v>
      </c>
      <c r="V61" s="9">
        <v>3502041</v>
      </c>
      <c r="W61" s="9">
        <v>4</v>
      </c>
      <c r="X61" s="9">
        <v>4</v>
      </c>
      <c r="Y61" s="9">
        <v>4</v>
      </c>
      <c r="Z61" s="9">
        <v>4</v>
      </c>
      <c r="AA61" s="9">
        <v>4</v>
      </c>
      <c r="AB61" s="9">
        <v>4</v>
      </c>
      <c r="AC61" s="9">
        <f t="shared" si="26"/>
        <v>159</v>
      </c>
      <c r="AD61" s="9">
        <f t="shared" si="27"/>
        <v>163</v>
      </c>
      <c r="AE61" s="9">
        <f t="shared" si="28"/>
        <v>163</v>
      </c>
      <c r="AF61" s="9">
        <f t="shared" si="29"/>
        <v>163</v>
      </c>
      <c r="AG61" s="9">
        <f t="shared" si="30"/>
        <v>163</v>
      </c>
      <c r="AH61" s="9">
        <f t="shared" si="31"/>
        <v>163</v>
      </c>
      <c r="AI61" s="7">
        <f t="shared" si="43"/>
        <v>10915.041666666666</v>
      </c>
      <c r="AJ61" s="7">
        <f t="shared" si="43"/>
        <v>10915.041666666666</v>
      </c>
      <c r="AK61" s="7">
        <f t="shared" si="43"/>
        <v>10915.041666666666</v>
      </c>
      <c r="AL61" s="7">
        <f t="shared" si="43"/>
        <v>10915.041666666666</v>
      </c>
      <c r="AM61" s="7">
        <f t="shared" si="43"/>
        <v>10915.041666666666</v>
      </c>
      <c r="AN61" s="7">
        <f t="shared" si="43"/>
        <v>10915.041666666666</v>
      </c>
      <c r="AO61" s="16"/>
      <c r="AP61" s="7"/>
      <c r="AQ61" s="9">
        <v>4</v>
      </c>
      <c r="AR61" s="9">
        <f t="shared" si="33"/>
        <v>147</v>
      </c>
      <c r="AS61" s="7">
        <f t="shared" si="34"/>
        <v>83</v>
      </c>
      <c r="AT61" s="7"/>
      <c r="AU61" s="16"/>
      <c r="AV61" s="7"/>
      <c r="AW61" s="7"/>
      <c r="AX61" s="7"/>
      <c r="AZ61" s="7"/>
      <c r="BA61" s="9">
        <f t="shared" si="42"/>
        <v>12878.100000000009</v>
      </c>
      <c r="BC61" s="5">
        <f t="shared" si="35"/>
        <v>147</v>
      </c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7"/>
      <c r="BQ61" s="18"/>
      <c r="BR61" s="18">
        <v>4202045</v>
      </c>
      <c r="BS61" s="18">
        <f>[1]monsters!$N61</f>
        <v>112.32</v>
      </c>
      <c r="BT61" s="18">
        <f>[1]monsters!$O61</f>
        <v>11.23</v>
      </c>
      <c r="BU61" s="18">
        <f>[1]monsters!$P61</f>
        <v>1920</v>
      </c>
      <c r="BV61" s="18">
        <f>[1]monsters!$Q61</f>
        <v>192</v>
      </c>
      <c r="BW61" s="18">
        <f>[1]monsters!$R61</f>
        <v>22.46</v>
      </c>
      <c r="BX61" s="18">
        <f>[1]monsters!$S61</f>
        <v>2.25</v>
      </c>
      <c r="BY61" s="18">
        <f>[1]monsters!$K61</f>
        <v>1.3</v>
      </c>
      <c r="BZ61" s="5">
        <f>[1]monsters!$D61</f>
        <v>3</v>
      </c>
      <c r="CA61" s="5">
        <f t="shared" si="36"/>
        <v>0.1</v>
      </c>
      <c r="CB61" s="5">
        <f t="shared" si="37"/>
        <v>170.78886464646462</v>
      </c>
      <c r="CC61" s="5">
        <f t="shared" si="38"/>
        <v>17.078886464646462</v>
      </c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>
        <v>0</v>
      </c>
      <c r="CR61" s="3" t="b">
        <f t="shared" si="2"/>
        <v>1</v>
      </c>
      <c r="CS61" s="3" t="b">
        <f t="shared" si="3"/>
        <v>1</v>
      </c>
      <c r="CT61" s="3" t="b">
        <f t="shared" si="4"/>
        <v>1</v>
      </c>
      <c r="CU61" s="3" t="b">
        <f t="shared" si="5"/>
        <v>1</v>
      </c>
      <c r="CV61" s="3" t="b">
        <f t="shared" si="6"/>
        <v>1</v>
      </c>
      <c r="CW61" s="3" t="b">
        <f t="shared" si="7"/>
        <v>1</v>
      </c>
      <c r="CX61" s="9" t="str">
        <f t="shared" si="8"/>
        <v>3301041</v>
      </c>
      <c r="CY61" s="9" t="str">
        <f t="shared" si="9"/>
        <v>3301041</v>
      </c>
      <c r="CZ61" s="9" t="str">
        <f t="shared" si="10"/>
        <v>3301041</v>
      </c>
      <c r="DA61" s="9" t="str">
        <f t="shared" si="11"/>
        <v>3501043</v>
      </c>
      <c r="DB61" s="9" t="str">
        <f t="shared" si="12"/>
        <v>3300042</v>
      </c>
      <c r="DC61" s="9" t="str">
        <f t="shared" si="13"/>
        <v>3502041</v>
      </c>
      <c r="DD61" s="9">
        <v>4</v>
      </c>
      <c r="DE61" s="9">
        <v>4</v>
      </c>
      <c r="DF61" s="9">
        <v>4</v>
      </c>
      <c r="DG61" s="9">
        <v>4</v>
      </c>
      <c r="DH61" s="9">
        <v>4</v>
      </c>
      <c r="DI61" s="9">
        <v>4</v>
      </c>
      <c r="DJ61" s="9">
        <v>3</v>
      </c>
      <c r="DK61" s="9">
        <v>3</v>
      </c>
      <c r="DL61" s="9">
        <v>3</v>
      </c>
      <c r="DM61" s="9">
        <v>3</v>
      </c>
      <c r="DN61" s="9">
        <v>3</v>
      </c>
      <c r="DO61" s="9">
        <v>3</v>
      </c>
      <c r="DP61" s="26" t="s">
        <v>107</v>
      </c>
      <c r="DQ61" s="26" t="s">
        <v>107</v>
      </c>
      <c r="DR61" s="26" t="s">
        <v>107</v>
      </c>
      <c r="DS61" s="26" t="s">
        <v>121</v>
      </c>
      <c r="DT61" s="26" t="s">
        <v>115</v>
      </c>
      <c r="DU61" s="26" t="s">
        <v>119</v>
      </c>
      <c r="DV61" s="26">
        <f t="shared" si="14"/>
        <v>1</v>
      </c>
      <c r="DW61" s="26">
        <f t="shared" si="15"/>
        <v>1</v>
      </c>
      <c r="DX61" s="26">
        <f t="shared" si="16"/>
        <v>1</v>
      </c>
      <c r="DY61" s="26">
        <f t="shared" si="17"/>
        <v>2</v>
      </c>
      <c r="DZ61" s="26">
        <f t="shared" si="18"/>
        <v>2</v>
      </c>
      <c r="EA61" s="3">
        <f t="shared" si="19"/>
        <v>2</v>
      </c>
      <c r="EB61" s="32"/>
      <c r="EC61" s="5">
        <v>3300062</v>
      </c>
      <c r="ED61" s="31" t="s">
        <v>115</v>
      </c>
      <c r="EE61" s="8">
        <v>2</v>
      </c>
      <c r="EQ61" s="9">
        <v>303350001</v>
      </c>
      <c r="ER61" s="9" t="s">
        <v>162</v>
      </c>
    </row>
    <row r="62" spans="1:148" ht="13.5" customHeight="1">
      <c r="A62" s="9">
        <v>59</v>
      </c>
      <c r="B62" s="9">
        <v>1</v>
      </c>
      <c r="C62" s="9">
        <v>2001</v>
      </c>
      <c r="D62" s="9">
        <f t="shared" si="40"/>
        <v>77212</v>
      </c>
      <c r="E62" s="9" t="str">
        <f t="shared" si="22"/>
        <v>3200043,3200043,3200043,3402043,3500042,3501043</v>
      </c>
      <c r="F62" s="9" t="str">
        <f t="shared" si="23"/>
        <v>4,4,4,4,4,4</v>
      </c>
      <c r="G62" s="9" t="str">
        <f t="shared" si="24"/>
        <v>161,165,165,165,165,165</v>
      </c>
      <c r="H62" s="9">
        <v>62</v>
      </c>
      <c r="I62" s="9" t="s">
        <v>278</v>
      </c>
      <c r="J62" s="9" t="s">
        <v>279</v>
      </c>
      <c r="K62" s="9" t="s">
        <v>279</v>
      </c>
      <c r="L62" s="9" t="s">
        <v>279</v>
      </c>
      <c r="M62" s="9" t="s">
        <v>283</v>
      </c>
      <c r="O62" s="3">
        <f t="shared" si="41"/>
        <v>77212</v>
      </c>
      <c r="P62" s="9">
        <v>66850</v>
      </c>
      <c r="Q62" s="9">
        <v>3200043</v>
      </c>
      <c r="R62" s="9">
        <v>3200043</v>
      </c>
      <c r="S62" s="9">
        <v>3200043</v>
      </c>
      <c r="T62" s="9">
        <v>3402043</v>
      </c>
      <c r="U62" s="9">
        <v>3500042</v>
      </c>
      <c r="V62" s="9">
        <v>3501043</v>
      </c>
      <c r="W62" s="9">
        <v>4</v>
      </c>
      <c r="X62" s="9">
        <v>4</v>
      </c>
      <c r="Y62" s="9">
        <v>4</v>
      </c>
      <c r="Z62" s="9">
        <v>4</v>
      </c>
      <c r="AA62" s="9">
        <v>4</v>
      </c>
      <c r="AB62" s="9">
        <v>4</v>
      </c>
      <c r="AC62" s="9">
        <f t="shared" si="26"/>
        <v>161</v>
      </c>
      <c r="AD62" s="9">
        <f t="shared" si="27"/>
        <v>165</v>
      </c>
      <c r="AE62" s="9">
        <f t="shared" si="28"/>
        <v>165</v>
      </c>
      <c r="AF62" s="9">
        <f t="shared" si="29"/>
        <v>165</v>
      </c>
      <c r="AG62" s="9">
        <f t="shared" si="30"/>
        <v>165</v>
      </c>
      <c r="AH62" s="9">
        <f t="shared" si="31"/>
        <v>165</v>
      </c>
      <c r="AI62" s="7">
        <f t="shared" si="43"/>
        <v>11141.666666666666</v>
      </c>
      <c r="AJ62" s="7">
        <f t="shared" si="43"/>
        <v>11141.666666666666</v>
      </c>
      <c r="AK62" s="7">
        <f t="shared" si="43"/>
        <v>11141.666666666666</v>
      </c>
      <c r="AL62" s="7">
        <f t="shared" si="43"/>
        <v>11141.666666666666</v>
      </c>
      <c r="AM62" s="7">
        <f t="shared" si="43"/>
        <v>11141.666666666666</v>
      </c>
      <c r="AN62" s="7">
        <f t="shared" si="43"/>
        <v>11141.666666666666</v>
      </c>
      <c r="AO62" s="16"/>
      <c r="AP62" s="7"/>
      <c r="AQ62" s="9">
        <v>4</v>
      </c>
      <c r="AR62" s="9">
        <f t="shared" si="33"/>
        <v>148</v>
      </c>
      <c r="AS62" s="7">
        <f t="shared" si="34"/>
        <v>84</v>
      </c>
      <c r="AT62" s="7"/>
      <c r="AU62" s="16"/>
      <c r="AV62" s="7"/>
      <c r="AW62" s="7"/>
      <c r="AX62" s="7"/>
      <c r="AZ62" s="7"/>
      <c r="BA62" s="9">
        <f t="shared" si="42"/>
        <v>13233.55000000001</v>
      </c>
      <c r="BC62" s="5">
        <f t="shared" si="35"/>
        <v>148</v>
      </c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7"/>
      <c r="BQ62" s="18"/>
      <c r="BR62" s="18">
        <v>4302045</v>
      </c>
      <c r="BS62" s="18">
        <f>[1]monsters!$N62</f>
        <v>120.96</v>
      </c>
      <c r="BT62" s="18">
        <f>[1]monsters!$O62</f>
        <v>12.1</v>
      </c>
      <c r="BU62" s="18">
        <f>[1]monsters!$P62</f>
        <v>1920</v>
      </c>
      <c r="BV62" s="18">
        <f>[1]monsters!$Q62</f>
        <v>192</v>
      </c>
      <c r="BW62" s="18">
        <f>[1]monsters!$R62</f>
        <v>24.19</v>
      </c>
      <c r="BX62" s="18">
        <f>[1]monsters!$S62</f>
        <v>2.42</v>
      </c>
      <c r="BY62" s="18">
        <f>[1]monsters!$K62</f>
        <v>1.4</v>
      </c>
      <c r="BZ62" s="5">
        <f>[1]monsters!$D62</f>
        <v>3</v>
      </c>
      <c r="CA62" s="5">
        <f t="shared" si="36"/>
        <v>0.1</v>
      </c>
      <c r="CB62" s="5">
        <f t="shared" si="37"/>
        <v>178.95366464646463</v>
      </c>
      <c r="CC62" s="5">
        <f t="shared" si="38"/>
        <v>17.895366464646465</v>
      </c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>
        <v>0</v>
      </c>
      <c r="CR62" s="3" t="b">
        <f t="shared" si="2"/>
        <v>1</v>
      </c>
      <c r="CS62" s="3" t="b">
        <f t="shared" si="3"/>
        <v>1</v>
      </c>
      <c r="CT62" s="3" t="b">
        <f t="shared" si="4"/>
        <v>1</v>
      </c>
      <c r="CU62" s="3" t="b">
        <f t="shared" si="5"/>
        <v>1</v>
      </c>
      <c r="CV62" s="3" t="b">
        <f t="shared" si="6"/>
        <v>1</v>
      </c>
      <c r="CW62" s="3" t="b">
        <f t="shared" si="7"/>
        <v>1</v>
      </c>
      <c r="CX62" s="9" t="str">
        <f t="shared" si="8"/>
        <v>3200043</v>
      </c>
      <c r="CY62" s="9" t="str">
        <f t="shared" si="9"/>
        <v>3200043</v>
      </c>
      <c r="CZ62" s="9" t="str">
        <f t="shared" si="10"/>
        <v>3200043</v>
      </c>
      <c r="DA62" s="9" t="str">
        <f t="shared" si="11"/>
        <v>3402043</v>
      </c>
      <c r="DB62" s="9" t="str">
        <f t="shared" si="12"/>
        <v>3500042</v>
      </c>
      <c r="DC62" s="9" t="str">
        <f t="shared" si="13"/>
        <v>3501043</v>
      </c>
      <c r="DD62" s="9">
        <v>4</v>
      </c>
      <c r="DE62" s="9">
        <v>4</v>
      </c>
      <c r="DF62" s="9">
        <v>4</v>
      </c>
      <c r="DG62" s="9">
        <v>4</v>
      </c>
      <c r="DH62" s="9">
        <v>4</v>
      </c>
      <c r="DI62" s="9">
        <v>4</v>
      </c>
      <c r="DJ62" s="9">
        <v>3</v>
      </c>
      <c r="DK62" s="9">
        <v>3</v>
      </c>
      <c r="DL62" s="9">
        <v>3</v>
      </c>
      <c r="DM62" s="9">
        <v>3</v>
      </c>
      <c r="DN62" s="9">
        <v>3</v>
      </c>
      <c r="DO62" s="9">
        <v>3</v>
      </c>
      <c r="DP62" s="25" t="s">
        <v>113</v>
      </c>
      <c r="DQ62" s="25" t="s">
        <v>113</v>
      </c>
      <c r="DR62" s="25" t="s">
        <v>113</v>
      </c>
      <c r="DS62" s="26" t="s">
        <v>118</v>
      </c>
      <c r="DT62" s="26" t="s">
        <v>109</v>
      </c>
      <c r="DU62" s="26" t="s">
        <v>121</v>
      </c>
      <c r="DV62" s="26">
        <f t="shared" si="14"/>
        <v>1</v>
      </c>
      <c r="DW62" s="26">
        <f t="shared" si="15"/>
        <v>1</v>
      </c>
      <c r="DX62" s="26">
        <f t="shared" si="16"/>
        <v>1</v>
      </c>
      <c r="DY62" s="26">
        <f t="shared" si="17"/>
        <v>2</v>
      </c>
      <c r="DZ62" s="26">
        <f t="shared" si="18"/>
        <v>2</v>
      </c>
      <c r="EA62" s="3">
        <f t="shared" si="19"/>
        <v>2</v>
      </c>
      <c r="EB62" s="32"/>
      <c r="EC62" s="5">
        <v>3302063</v>
      </c>
      <c r="ED62" s="31" t="s">
        <v>108</v>
      </c>
      <c r="EE62" s="8">
        <v>1</v>
      </c>
      <c r="EQ62" s="9">
        <v>303350201</v>
      </c>
      <c r="ER62" s="9" t="s">
        <v>167</v>
      </c>
    </row>
    <row r="63" spans="1:148" ht="13.5" customHeight="1">
      <c r="A63" s="9">
        <v>60</v>
      </c>
      <c r="B63" s="9">
        <v>1</v>
      </c>
      <c r="C63" s="9">
        <v>2001</v>
      </c>
      <c r="D63" s="9">
        <f t="shared" si="40"/>
        <v>83465</v>
      </c>
      <c r="E63" s="9" t="str">
        <f t="shared" si="22"/>
        <v>3302043,3201042,3301041,3400042,3300042,3400042</v>
      </c>
      <c r="F63" s="9" t="str">
        <f t="shared" si="23"/>
        <v>4,4,4,4,4,4</v>
      </c>
      <c r="G63" s="9" t="str">
        <f t="shared" si="24"/>
        <v>168,172,172,172,172,172</v>
      </c>
      <c r="H63" s="9">
        <v>63</v>
      </c>
      <c r="I63" s="9" t="s">
        <v>278</v>
      </c>
      <c r="J63" s="9" t="s">
        <v>279</v>
      </c>
      <c r="K63" s="9" t="s">
        <v>279</v>
      </c>
      <c r="L63" s="9" t="s">
        <v>279</v>
      </c>
      <c r="M63" s="9" t="s">
        <v>283</v>
      </c>
      <c r="O63" s="3">
        <f t="shared" si="41"/>
        <v>83465</v>
      </c>
      <c r="P63" s="9">
        <v>72264.5</v>
      </c>
      <c r="Q63" s="9">
        <v>3302043</v>
      </c>
      <c r="R63" s="9">
        <v>3201042</v>
      </c>
      <c r="S63" s="9">
        <v>3301041</v>
      </c>
      <c r="T63" s="9">
        <v>3400042</v>
      </c>
      <c r="U63" s="9">
        <v>3300042</v>
      </c>
      <c r="V63" s="9">
        <v>3400042</v>
      </c>
      <c r="W63" s="9">
        <v>4</v>
      </c>
      <c r="X63" s="9">
        <v>4</v>
      </c>
      <c r="Y63" s="9">
        <v>4</v>
      </c>
      <c r="Z63" s="9">
        <v>4</v>
      </c>
      <c r="AA63" s="9">
        <v>4</v>
      </c>
      <c r="AB63" s="9">
        <v>4</v>
      </c>
      <c r="AC63" s="9">
        <f t="shared" si="26"/>
        <v>168</v>
      </c>
      <c r="AD63" s="9">
        <f t="shared" si="27"/>
        <v>172</v>
      </c>
      <c r="AE63" s="9">
        <f t="shared" si="28"/>
        <v>172</v>
      </c>
      <c r="AF63" s="9">
        <f t="shared" si="29"/>
        <v>172</v>
      </c>
      <c r="AG63" s="9">
        <f t="shared" si="30"/>
        <v>172</v>
      </c>
      <c r="AH63" s="9">
        <f t="shared" si="31"/>
        <v>172</v>
      </c>
      <c r="AI63" s="7">
        <f t="shared" si="43"/>
        <v>12044.083333333334</v>
      </c>
      <c r="AJ63" s="7">
        <f t="shared" si="43"/>
        <v>12044.083333333334</v>
      </c>
      <c r="AK63" s="7">
        <f t="shared" si="43"/>
        <v>12044.083333333334</v>
      </c>
      <c r="AL63" s="7">
        <f t="shared" si="43"/>
        <v>12044.083333333334</v>
      </c>
      <c r="AM63" s="7">
        <f t="shared" si="43"/>
        <v>12044.083333333334</v>
      </c>
      <c r="AN63" s="7">
        <f t="shared" si="43"/>
        <v>12044.083333333334</v>
      </c>
      <c r="AO63" s="16"/>
      <c r="AP63" s="7"/>
      <c r="AQ63" s="9">
        <v>4</v>
      </c>
      <c r="AR63" s="9">
        <f t="shared" si="33"/>
        <v>154</v>
      </c>
      <c r="AS63" s="7">
        <f t="shared" si="34"/>
        <v>85</v>
      </c>
      <c r="AT63" s="7"/>
      <c r="AU63" s="16"/>
      <c r="AV63" s="7"/>
      <c r="AW63" s="7"/>
      <c r="AX63" s="7"/>
      <c r="AZ63" s="7"/>
      <c r="BA63" s="9">
        <f t="shared" si="42"/>
        <v>13589.000000000011</v>
      </c>
      <c r="BC63" s="5">
        <f t="shared" si="35"/>
        <v>154</v>
      </c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7"/>
      <c r="BQ63" s="18"/>
      <c r="BR63" s="18">
        <v>4400045</v>
      </c>
      <c r="BS63" s="18">
        <f>[1]monsters!$N63</f>
        <v>161.28</v>
      </c>
      <c r="BT63" s="18">
        <f>[1]monsters!$O63</f>
        <v>16.13</v>
      </c>
      <c r="BU63" s="18">
        <f>[1]monsters!$P63</f>
        <v>1440</v>
      </c>
      <c r="BV63" s="18">
        <f>[1]monsters!$Q63</f>
        <v>144</v>
      </c>
      <c r="BW63" s="18">
        <f>[1]monsters!$R63</f>
        <v>23.04</v>
      </c>
      <c r="BX63" s="18">
        <f>[1]monsters!$S63</f>
        <v>2.2999999999999998</v>
      </c>
      <c r="BY63" s="18">
        <f>[1]monsters!$K63</f>
        <v>1.4</v>
      </c>
      <c r="BZ63" s="5">
        <f>[1]monsters!$D63</f>
        <v>4</v>
      </c>
      <c r="CA63" s="5">
        <f t="shared" si="36"/>
        <v>0.1</v>
      </c>
      <c r="CB63" s="5">
        <f t="shared" si="37"/>
        <v>200.89444848484848</v>
      </c>
      <c r="CC63" s="5">
        <f t="shared" si="38"/>
        <v>20.089444848484849</v>
      </c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>
        <v>1</v>
      </c>
      <c r="CR63" s="3" t="b">
        <f t="shared" si="2"/>
        <v>1</v>
      </c>
      <c r="CS63" s="3" t="b">
        <f t="shared" si="3"/>
        <v>1</v>
      </c>
      <c r="CT63" s="3" t="b">
        <f t="shared" si="4"/>
        <v>1</v>
      </c>
      <c r="CU63" s="3" t="b">
        <f t="shared" si="5"/>
        <v>1</v>
      </c>
      <c r="CV63" s="3" t="b">
        <f t="shared" si="6"/>
        <v>1</v>
      </c>
      <c r="CW63" s="3" t="b">
        <f t="shared" si="7"/>
        <v>1</v>
      </c>
      <c r="CX63" s="9" t="str">
        <f t="shared" si="8"/>
        <v>3302043</v>
      </c>
      <c r="CY63" s="9" t="str">
        <f t="shared" si="9"/>
        <v>3201042</v>
      </c>
      <c r="CZ63" s="9" t="str">
        <f t="shared" si="10"/>
        <v>3301041</v>
      </c>
      <c r="DA63" s="9" t="str">
        <f t="shared" si="11"/>
        <v>3400042</v>
      </c>
      <c r="DB63" s="9" t="str">
        <f t="shared" si="12"/>
        <v>3300042</v>
      </c>
      <c r="DC63" s="9" t="str">
        <f t="shared" si="13"/>
        <v>3400042</v>
      </c>
      <c r="DD63" s="9">
        <v>4</v>
      </c>
      <c r="DE63" s="9">
        <v>4</v>
      </c>
      <c r="DF63" s="9">
        <v>4</v>
      </c>
      <c r="DG63" s="9">
        <v>4</v>
      </c>
      <c r="DH63" s="9">
        <v>4</v>
      </c>
      <c r="DI63" s="9">
        <v>4</v>
      </c>
      <c r="DJ63" s="9">
        <v>3</v>
      </c>
      <c r="DK63" s="9">
        <v>3</v>
      </c>
      <c r="DL63" s="9">
        <v>3</v>
      </c>
      <c r="DM63" s="9">
        <v>3</v>
      </c>
      <c r="DN63" s="9">
        <v>3</v>
      </c>
      <c r="DO63" s="9">
        <v>3</v>
      </c>
      <c r="DP63" s="25" t="s">
        <v>108</v>
      </c>
      <c r="DQ63" s="25" t="s">
        <v>114</v>
      </c>
      <c r="DR63" s="25" t="s">
        <v>107</v>
      </c>
      <c r="DS63" s="26" t="s">
        <v>110</v>
      </c>
      <c r="DT63" s="26" t="s">
        <v>115</v>
      </c>
      <c r="DU63" s="26" t="s">
        <v>110</v>
      </c>
      <c r="DV63" s="26">
        <f t="shared" si="14"/>
        <v>1</v>
      </c>
      <c r="DW63" s="26">
        <f t="shared" si="15"/>
        <v>1</v>
      </c>
      <c r="DX63" s="26">
        <f t="shared" si="16"/>
        <v>1</v>
      </c>
      <c r="DY63" s="26">
        <f t="shared" si="17"/>
        <v>2</v>
      </c>
      <c r="DZ63" s="26">
        <f t="shared" si="18"/>
        <v>2</v>
      </c>
      <c r="EA63" s="3">
        <f t="shared" si="19"/>
        <v>2</v>
      </c>
      <c r="EB63" s="32"/>
      <c r="EC63" s="5">
        <v>3400062</v>
      </c>
      <c r="ED63" s="31" t="s">
        <v>110</v>
      </c>
      <c r="EE63" s="8">
        <v>2</v>
      </c>
      <c r="EQ63" s="9">
        <v>303360101</v>
      </c>
      <c r="ER63" s="9" t="s">
        <v>164</v>
      </c>
    </row>
    <row r="64" spans="1:148" ht="13.5" customHeight="1">
      <c r="A64" s="9">
        <v>61</v>
      </c>
      <c r="B64" s="9">
        <v>1</v>
      </c>
      <c r="C64" s="9">
        <v>2001</v>
      </c>
      <c r="D64" s="9">
        <f t="shared" si="40"/>
        <v>84979</v>
      </c>
      <c r="E64" s="9" t="str">
        <f t="shared" ref="E64:E127" si="44">Q64&amp;","&amp;R64&amp;","&amp;S64&amp;","&amp;T64&amp;","&amp;U64&amp;","&amp;V64</f>
        <v>3202041,3200043,3200043,3502041,3500042,3401041</v>
      </c>
      <c r="F64" s="9" t="str">
        <f t="shared" ref="F64:F127" si="45">W64&amp;","&amp;X64&amp;","&amp;Y64&amp;","&amp;Z64&amp;","&amp;AA64&amp;","&amp;AB64</f>
        <v>4,4,4,4,4,4</v>
      </c>
      <c r="G64" s="9" t="str">
        <f t="shared" ref="G64:G127" si="46">AC64&amp;","&amp;AD64&amp;","&amp;AE64&amp;","&amp;AF64&amp;","&amp;AG64&amp;","&amp;AH64</f>
        <v>169,173,173,173,173,173</v>
      </c>
      <c r="H64" s="9">
        <v>65</v>
      </c>
      <c r="I64" s="9" t="s">
        <v>278</v>
      </c>
      <c r="J64" s="9" t="s">
        <v>279</v>
      </c>
      <c r="K64" s="9" t="s">
        <v>279</v>
      </c>
      <c r="L64" s="9" t="s">
        <v>279</v>
      </c>
      <c r="M64" s="9" t="s">
        <v>284</v>
      </c>
      <c r="O64" s="3">
        <f t="shared" si="41"/>
        <v>84979</v>
      </c>
      <c r="P64" s="9">
        <v>73575.25</v>
      </c>
      <c r="Q64" s="9">
        <v>3202041</v>
      </c>
      <c r="R64" s="9">
        <v>3200043</v>
      </c>
      <c r="S64" s="9">
        <v>3200043</v>
      </c>
      <c r="T64" s="9">
        <v>3502041</v>
      </c>
      <c r="U64" s="9">
        <v>3500042</v>
      </c>
      <c r="V64" s="9">
        <v>3401041</v>
      </c>
      <c r="W64" s="9">
        <v>4</v>
      </c>
      <c r="X64" s="9">
        <v>4</v>
      </c>
      <c r="Y64" s="9">
        <v>4</v>
      </c>
      <c r="Z64" s="9">
        <v>4</v>
      </c>
      <c r="AA64" s="9">
        <v>4</v>
      </c>
      <c r="AB64" s="9">
        <v>4</v>
      </c>
      <c r="AC64" s="9">
        <f t="shared" si="26"/>
        <v>169</v>
      </c>
      <c r="AD64" s="9">
        <f t="shared" si="27"/>
        <v>173</v>
      </c>
      <c r="AE64" s="9">
        <f t="shared" si="28"/>
        <v>173</v>
      </c>
      <c r="AF64" s="9">
        <f t="shared" si="29"/>
        <v>173</v>
      </c>
      <c r="AG64" s="9">
        <f t="shared" si="30"/>
        <v>173</v>
      </c>
      <c r="AH64" s="9">
        <f t="shared" si="31"/>
        <v>173</v>
      </c>
      <c r="AI64" s="7">
        <f t="shared" si="43"/>
        <v>12262.541666666666</v>
      </c>
      <c r="AJ64" s="7">
        <f t="shared" si="43"/>
        <v>12262.541666666666</v>
      </c>
      <c r="AK64" s="7">
        <f t="shared" si="43"/>
        <v>12262.541666666666</v>
      </c>
      <c r="AL64" s="7">
        <f t="shared" si="43"/>
        <v>12262.541666666666</v>
      </c>
      <c r="AM64" s="7">
        <f t="shared" si="43"/>
        <v>12262.541666666666</v>
      </c>
      <c r="AN64" s="7">
        <f t="shared" si="43"/>
        <v>12262.541666666666</v>
      </c>
      <c r="AO64" s="16"/>
      <c r="AP64" s="7"/>
      <c r="AQ64" s="9">
        <v>4</v>
      </c>
      <c r="AR64" s="9">
        <f t="shared" si="33"/>
        <v>156</v>
      </c>
      <c r="AS64" s="7">
        <f t="shared" si="34"/>
        <v>86</v>
      </c>
      <c r="AT64" s="7"/>
      <c r="AU64" s="16"/>
      <c r="AV64" s="7"/>
      <c r="AW64" s="7"/>
      <c r="AX64" s="7"/>
      <c r="AZ64" s="7"/>
      <c r="BA64" s="9">
        <f t="shared" si="42"/>
        <v>13944.450000000012</v>
      </c>
      <c r="BC64" s="5">
        <f t="shared" si="35"/>
        <v>156</v>
      </c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7"/>
      <c r="BQ64" s="18"/>
      <c r="BR64" s="18">
        <v>4500045</v>
      </c>
      <c r="BS64" s="18">
        <f>[1]monsters!$N64</f>
        <v>172.8</v>
      </c>
      <c r="BT64" s="18">
        <f>[1]monsters!$O64</f>
        <v>17.28</v>
      </c>
      <c r="BU64" s="18">
        <f>[1]monsters!$P64</f>
        <v>2133.33</v>
      </c>
      <c r="BV64" s="18">
        <f>[1]monsters!$Q64</f>
        <v>213.33</v>
      </c>
      <c r="BW64" s="18">
        <f>[1]monsters!$R64</f>
        <v>34.56</v>
      </c>
      <c r="BX64" s="18">
        <f>[1]monsters!$S64</f>
        <v>3.46</v>
      </c>
      <c r="BY64" s="18">
        <f>[1]monsters!$K64</f>
        <v>1.8</v>
      </c>
      <c r="BZ64" s="5">
        <f>[1]monsters!$D64</f>
        <v>2</v>
      </c>
      <c r="CA64" s="5">
        <f t="shared" si="36"/>
        <v>0.1</v>
      </c>
      <c r="CB64" s="5">
        <f t="shared" si="37"/>
        <v>235.12529292929293</v>
      </c>
      <c r="CC64" s="5">
        <f t="shared" si="38"/>
        <v>23.512529292929294</v>
      </c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>
        <v>0</v>
      </c>
      <c r="CR64" s="3" t="b">
        <f t="shared" si="2"/>
        <v>1</v>
      </c>
      <c r="CS64" s="3" t="b">
        <f t="shared" si="3"/>
        <v>1</v>
      </c>
      <c r="CT64" s="3" t="b">
        <f t="shared" si="4"/>
        <v>1</v>
      </c>
      <c r="CU64" s="3" t="b">
        <f t="shared" si="5"/>
        <v>1</v>
      </c>
      <c r="CV64" s="3" t="b">
        <f t="shared" si="6"/>
        <v>1</v>
      </c>
      <c r="CW64" s="3" t="b">
        <f t="shared" si="7"/>
        <v>1</v>
      </c>
      <c r="CX64" s="9" t="str">
        <f t="shared" si="8"/>
        <v>3202041</v>
      </c>
      <c r="CY64" s="9" t="str">
        <f t="shared" si="9"/>
        <v>3200043</v>
      </c>
      <c r="CZ64" s="9" t="str">
        <f t="shared" si="10"/>
        <v>3200043</v>
      </c>
      <c r="DA64" s="9" t="str">
        <f t="shared" si="11"/>
        <v>3502041</v>
      </c>
      <c r="DB64" s="9" t="str">
        <f t="shared" si="12"/>
        <v>3500042</v>
      </c>
      <c r="DC64" s="9" t="str">
        <f t="shared" si="13"/>
        <v>3401041</v>
      </c>
      <c r="DD64" s="9">
        <v>4</v>
      </c>
      <c r="DE64" s="9">
        <v>4</v>
      </c>
      <c r="DF64" s="9">
        <v>4</v>
      </c>
      <c r="DG64" s="9">
        <v>4</v>
      </c>
      <c r="DH64" s="9">
        <v>4</v>
      </c>
      <c r="DI64" s="9">
        <v>4</v>
      </c>
      <c r="DJ64" s="9">
        <v>3</v>
      </c>
      <c r="DK64" s="9">
        <v>3</v>
      </c>
      <c r="DL64" s="9">
        <v>3</v>
      </c>
      <c r="DM64" s="9">
        <v>3</v>
      </c>
      <c r="DN64" s="9">
        <v>3</v>
      </c>
      <c r="DO64" s="9">
        <v>3</v>
      </c>
      <c r="DP64" s="25" t="s">
        <v>111</v>
      </c>
      <c r="DQ64" s="25" t="s">
        <v>113</v>
      </c>
      <c r="DR64" s="25" t="s">
        <v>113</v>
      </c>
      <c r="DS64" s="28" t="s">
        <v>119</v>
      </c>
      <c r="DT64" s="26" t="s">
        <v>109</v>
      </c>
      <c r="DU64" s="26" t="s">
        <v>117</v>
      </c>
      <c r="DV64" s="26">
        <f t="shared" si="14"/>
        <v>1</v>
      </c>
      <c r="DW64" s="26">
        <f t="shared" si="15"/>
        <v>1</v>
      </c>
      <c r="DX64" s="26">
        <f t="shared" si="16"/>
        <v>1</v>
      </c>
      <c r="DY64" s="26">
        <f t="shared" si="17"/>
        <v>2</v>
      </c>
      <c r="DZ64" s="26">
        <f t="shared" si="18"/>
        <v>2</v>
      </c>
      <c r="EA64" s="3">
        <f t="shared" si="19"/>
        <v>2</v>
      </c>
      <c r="EB64" s="32"/>
      <c r="EC64" s="5">
        <v>3202071</v>
      </c>
      <c r="ED64" s="30" t="s">
        <v>111</v>
      </c>
      <c r="EE64" s="8">
        <v>1</v>
      </c>
      <c r="EQ64" s="9">
        <v>303450101</v>
      </c>
      <c r="ER64" s="9" t="s">
        <v>175</v>
      </c>
    </row>
    <row r="65" spans="1:148" ht="13.5" customHeight="1">
      <c r="A65" s="9">
        <v>62</v>
      </c>
      <c r="B65" s="9">
        <v>1</v>
      </c>
      <c r="C65" s="9">
        <v>2001</v>
      </c>
      <c r="D65" s="9">
        <f t="shared" si="40"/>
        <v>91728</v>
      </c>
      <c r="E65" s="9" t="str">
        <f t="shared" si="44"/>
        <v>3200043,3200043,3200043,3501043,3500042,3501043</v>
      </c>
      <c r="F65" s="9" t="str">
        <f t="shared" si="45"/>
        <v>4,4,4,4,4,4</v>
      </c>
      <c r="G65" s="9" t="str">
        <f t="shared" si="46"/>
        <v>176,180,180,180,180,180</v>
      </c>
      <c r="H65" s="9">
        <v>65</v>
      </c>
      <c r="I65" s="9" t="s">
        <v>278</v>
      </c>
      <c r="J65" s="9" t="s">
        <v>279</v>
      </c>
      <c r="K65" s="9" t="s">
        <v>279</v>
      </c>
      <c r="L65" s="9" t="s">
        <v>279</v>
      </c>
      <c r="M65" s="9" t="s">
        <v>284</v>
      </c>
      <c r="O65" s="3">
        <f t="shared" si="41"/>
        <v>91728</v>
      </c>
      <c r="P65" s="9">
        <v>79418.5</v>
      </c>
      <c r="Q65" s="9">
        <v>3200043</v>
      </c>
      <c r="R65" s="9">
        <v>3200043</v>
      </c>
      <c r="S65" s="9">
        <v>3200043</v>
      </c>
      <c r="T65" s="9">
        <v>3501043</v>
      </c>
      <c r="U65" s="9">
        <v>3500042</v>
      </c>
      <c r="V65" s="9">
        <v>3501043</v>
      </c>
      <c r="W65" s="9">
        <v>4</v>
      </c>
      <c r="X65" s="9">
        <v>4</v>
      </c>
      <c r="Y65" s="9">
        <v>4</v>
      </c>
      <c r="Z65" s="9">
        <v>4</v>
      </c>
      <c r="AA65" s="9">
        <v>4</v>
      </c>
      <c r="AB65" s="9">
        <v>4</v>
      </c>
      <c r="AC65" s="9">
        <f t="shared" si="26"/>
        <v>176</v>
      </c>
      <c r="AD65" s="9">
        <f t="shared" si="27"/>
        <v>180</v>
      </c>
      <c r="AE65" s="9">
        <f t="shared" si="28"/>
        <v>180</v>
      </c>
      <c r="AF65" s="9">
        <f t="shared" si="29"/>
        <v>180</v>
      </c>
      <c r="AG65" s="9">
        <f t="shared" si="30"/>
        <v>180</v>
      </c>
      <c r="AH65" s="9">
        <f t="shared" si="31"/>
        <v>180</v>
      </c>
      <c r="AI65" s="7">
        <f t="shared" si="43"/>
        <v>13236.416666666666</v>
      </c>
      <c r="AJ65" s="7">
        <f t="shared" si="43"/>
        <v>13236.416666666666</v>
      </c>
      <c r="AK65" s="7">
        <f t="shared" si="43"/>
        <v>13236.416666666666</v>
      </c>
      <c r="AL65" s="7">
        <f t="shared" si="43"/>
        <v>13236.416666666666</v>
      </c>
      <c r="AM65" s="7">
        <f t="shared" si="43"/>
        <v>13236.416666666666</v>
      </c>
      <c r="AN65" s="7">
        <f t="shared" si="43"/>
        <v>13236.416666666666</v>
      </c>
      <c r="AO65" s="16"/>
      <c r="AP65" s="7"/>
      <c r="AQ65" s="9">
        <v>4</v>
      </c>
      <c r="AR65" s="9">
        <f t="shared" si="33"/>
        <v>162</v>
      </c>
      <c r="AS65" s="7">
        <f t="shared" si="34"/>
        <v>87</v>
      </c>
      <c r="AT65" s="7"/>
      <c r="AU65" s="16"/>
      <c r="AV65" s="7"/>
      <c r="AW65" s="7"/>
      <c r="AX65" s="7"/>
      <c r="AZ65" s="7"/>
      <c r="BA65" s="9">
        <f t="shared" si="42"/>
        <v>14299.900000000012</v>
      </c>
      <c r="BC65" s="5">
        <f t="shared" si="35"/>
        <v>162</v>
      </c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7"/>
      <c r="BQ65" s="18"/>
      <c r="BR65" s="18">
        <v>4602045</v>
      </c>
      <c r="BS65" s="18">
        <f>[1]monsters!$N65</f>
        <v>115.2</v>
      </c>
      <c r="BT65" s="18">
        <f>[1]monsters!$O65</f>
        <v>11.52</v>
      </c>
      <c r="BU65" s="18">
        <f>[1]monsters!$P65</f>
        <v>2133.33</v>
      </c>
      <c r="BV65" s="18">
        <f>[1]monsters!$Q65</f>
        <v>213.33</v>
      </c>
      <c r="BW65" s="18">
        <f>[1]monsters!$R65</f>
        <v>23.04</v>
      </c>
      <c r="BX65" s="18">
        <f>[1]monsters!$S65</f>
        <v>2.2999999999999998</v>
      </c>
      <c r="BY65" s="18">
        <f>[1]monsters!$K65</f>
        <v>1.2</v>
      </c>
      <c r="BZ65" s="5">
        <f>[1]monsters!$D65</f>
        <v>3</v>
      </c>
      <c r="CA65" s="5">
        <f t="shared" si="36"/>
        <v>0.1</v>
      </c>
      <c r="CB65" s="5">
        <f t="shared" si="37"/>
        <v>180.69329292929291</v>
      </c>
      <c r="CC65" s="5">
        <f t="shared" si="38"/>
        <v>18.069329292929293</v>
      </c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>
        <v>0</v>
      </c>
      <c r="CR65" s="3" t="b">
        <f t="shared" si="2"/>
        <v>1</v>
      </c>
      <c r="CS65" s="3" t="b">
        <f t="shared" si="3"/>
        <v>1</v>
      </c>
      <c r="CT65" s="3" t="b">
        <f t="shared" si="4"/>
        <v>1</v>
      </c>
      <c r="CU65" s="3" t="b">
        <f t="shared" si="5"/>
        <v>1</v>
      </c>
      <c r="CV65" s="3" t="b">
        <f t="shared" si="6"/>
        <v>1</v>
      </c>
      <c r="CW65" s="3" t="b">
        <f t="shared" si="7"/>
        <v>1</v>
      </c>
      <c r="CX65" s="9" t="str">
        <f t="shared" si="8"/>
        <v>3200043</v>
      </c>
      <c r="CY65" s="9" t="str">
        <f t="shared" si="9"/>
        <v>3200043</v>
      </c>
      <c r="CZ65" s="9" t="str">
        <f t="shared" si="10"/>
        <v>3200043</v>
      </c>
      <c r="DA65" s="9" t="str">
        <f t="shared" si="11"/>
        <v>3501043</v>
      </c>
      <c r="DB65" s="9" t="str">
        <f t="shared" si="12"/>
        <v>3500042</v>
      </c>
      <c r="DC65" s="9" t="str">
        <f t="shared" si="13"/>
        <v>3501043</v>
      </c>
      <c r="DD65" s="9">
        <v>4</v>
      </c>
      <c r="DE65" s="9">
        <v>4</v>
      </c>
      <c r="DF65" s="9">
        <v>4</v>
      </c>
      <c r="DG65" s="9">
        <v>4</v>
      </c>
      <c r="DH65" s="9">
        <v>4</v>
      </c>
      <c r="DI65" s="9">
        <v>4</v>
      </c>
      <c r="DJ65" s="9">
        <v>3</v>
      </c>
      <c r="DK65" s="9">
        <v>3</v>
      </c>
      <c r="DL65" s="9">
        <v>3</v>
      </c>
      <c r="DM65" s="9">
        <v>3</v>
      </c>
      <c r="DN65" s="9">
        <v>3</v>
      </c>
      <c r="DO65" s="9">
        <v>3</v>
      </c>
      <c r="DP65" s="25" t="s">
        <v>113</v>
      </c>
      <c r="DQ65" s="25" t="s">
        <v>113</v>
      </c>
      <c r="DR65" s="25" t="s">
        <v>113</v>
      </c>
      <c r="DS65" s="26" t="s">
        <v>121</v>
      </c>
      <c r="DT65" s="26" t="s">
        <v>109</v>
      </c>
      <c r="DU65" s="26" t="s">
        <v>121</v>
      </c>
      <c r="DV65" s="26">
        <f t="shared" si="14"/>
        <v>1</v>
      </c>
      <c r="DW65" s="26">
        <f t="shared" si="15"/>
        <v>1</v>
      </c>
      <c r="DX65" s="26">
        <f t="shared" si="16"/>
        <v>1</v>
      </c>
      <c r="DY65" s="26">
        <f t="shared" si="17"/>
        <v>2</v>
      </c>
      <c r="DZ65" s="26">
        <f t="shared" si="18"/>
        <v>2</v>
      </c>
      <c r="EA65" s="3">
        <f t="shared" si="19"/>
        <v>2</v>
      </c>
      <c r="EB65" s="32"/>
      <c r="EC65" s="5">
        <v>3301071</v>
      </c>
      <c r="ED65" s="30" t="s">
        <v>107</v>
      </c>
      <c r="EE65" s="8">
        <v>1</v>
      </c>
      <c r="EQ65" s="9">
        <v>303460001</v>
      </c>
      <c r="ER65" s="9" t="s">
        <v>176</v>
      </c>
    </row>
    <row r="66" spans="1:148" ht="13.5" customHeight="1">
      <c r="A66" s="9">
        <v>63</v>
      </c>
      <c r="B66" s="9">
        <v>1</v>
      </c>
      <c r="C66" s="9">
        <v>2001</v>
      </c>
      <c r="D66" s="9">
        <f t="shared" si="40"/>
        <v>98508</v>
      </c>
      <c r="E66" s="9" t="str">
        <f t="shared" si="44"/>
        <v>3202041,3201042,3301041,3300042,3400042,3300042</v>
      </c>
      <c r="F66" s="9" t="str">
        <f t="shared" si="45"/>
        <v>4,4,4,4,4,4</v>
      </c>
      <c r="G66" s="9" t="str">
        <f t="shared" si="46"/>
        <v>183,187,187,187,187,187</v>
      </c>
      <c r="H66" s="9">
        <v>65</v>
      </c>
      <c r="I66" s="9" t="s">
        <v>278</v>
      </c>
      <c r="J66" s="9" t="s">
        <v>279</v>
      </c>
      <c r="K66" s="9" t="s">
        <v>279</v>
      </c>
      <c r="L66" s="9" t="s">
        <v>279</v>
      </c>
      <c r="M66" s="9" t="s">
        <v>284</v>
      </c>
      <c r="O66" s="3">
        <f t="shared" si="41"/>
        <v>98508</v>
      </c>
      <c r="P66" s="9">
        <v>85288</v>
      </c>
      <c r="Q66" s="9">
        <v>3202041</v>
      </c>
      <c r="R66" s="9">
        <v>3201042</v>
      </c>
      <c r="S66" s="9">
        <v>3301041</v>
      </c>
      <c r="T66" s="9">
        <v>3300042</v>
      </c>
      <c r="U66" s="9">
        <v>3400042</v>
      </c>
      <c r="V66" s="9">
        <v>3300042</v>
      </c>
      <c r="W66" s="9">
        <v>4</v>
      </c>
      <c r="X66" s="9">
        <v>4</v>
      </c>
      <c r="Y66" s="9">
        <v>4</v>
      </c>
      <c r="Z66" s="9">
        <v>4</v>
      </c>
      <c r="AA66" s="9">
        <v>4</v>
      </c>
      <c r="AB66" s="9">
        <v>4</v>
      </c>
      <c r="AC66" s="9">
        <f t="shared" si="26"/>
        <v>183</v>
      </c>
      <c r="AD66" s="9">
        <f t="shared" si="27"/>
        <v>187</v>
      </c>
      <c r="AE66" s="9">
        <f t="shared" si="28"/>
        <v>187</v>
      </c>
      <c r="AF66" s="9">
        <f t="shared" si="29"/>
        <v>187</v>
      </c>
      <c r="AG66" s="9">
        <f t="shared" si="30"/>
        <v>187</v>
      </c>
      <c r="AH66" s="9">
        <f t="shared" si="31"/>
        <v>187</v>
      </c>
      <c r="AI66" s="7">
        <f t="shared" si="43"/>
        <v>14214.666666666666</v>
      </c>
      <c r="AJ66" s="7">
        <f t="shared" si="43"/>
        <v>14214.666666666666</v>
      </c>
      <c r="AK66" s="7">
        <f t="shared" si="43"/>
        <v>14214.666666666666</v>
      </c>
      <c r="AL66" s="7">
        <f t="shared" si="43"/>
        <v>14214.666666666666</v>
      </c>
      <c r="AM66" s="7">
        <f t="shared" si="43"/>
        <v>14214.666666666666</v>
      </c>
      <c r="AN66" s="7">
        <f t="shared" si="43"/>
        <v>14214.666666666666</v>
      </c>
      <c r="AO66" s="16"/>
      <c r="AP66" s="7"/>
      <c r="AQ66" s="9">
        <v>4</v>
      </c>
      <c r="AR66" s="9">
        <f t="shared" si="33"/>
        <v>169</v>
      </c>
      <c r="AS66" s="7">
        <f t="shared" si="34"/>
        <v>88</v>
      </c>
      <c r="AT66" s="7"/>
      <c r="AU66" s="16"/>
      <c r="AV66" s="7"/>
      <c r="AW66" s="7"/>
      <c r="AX66" s="7"/>
      <c r="AZ66" s="7"/>
      <c r="BA66" s="9">
        <f t="shared" si="42"/>
        <v>14655.350000000013</v>
      </c>
      <c r="BC66" s="5">
        <f t="shared" si="35"/>
        <v>169</v>
      </c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7"/>
      <c r="BQ66" s="18"/>
      <c r="BR66" s="18">
        <v>4301045</v>
      </c>
      <c r="BS66" s="18">
        <f>[1]monsters!$N66</f>
        <v>209.07</v>
      </c>
      <c r="BT66" s="18">
        <f>[1]monsters!$O66</f>
        <v>20.91</v>
      </c>
      <c r="BU66" s="18">
        <f>[1]monsters!$P66</f>
        <v>1371.43</v>
      </c>
      <c r="BV66" s="18">
        <f>[1]monsters!$Q66</f>
        <v>137.13999999999999</v>
      </c>
      <c r="BW66" s="18">
        <f>[1]monsters!$R66</f>
        <v>26.13</v>
      </c>
      <c r="BX66" s="18">
        <f>[1]monsters!$S66</f>
        <v>2.61</v>
      </c>
      <c r="BY66" s="18">
        <f>[1]monsters!$K66</f>
        <v>1.4</v>
      </c>
      <c r="BZ66" s="5">
        <f>[1]monsters!$D66</f>
        <v>5</v>
      </c>
      <c r="CA66" s="5">
        <f t="shared" si="36"/>
        <v>0.1</v>
      </c>
      <c r="CB66" s="5">
        <f t="shared" si="37"/>
        <v>243.74724427609431</v>
      </c>
      <c r="CC66" s="5">
        <f t="shared" si="38"/>
        <v>24.374724427609433</v>
      </c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>
        <v>0</v>
      </c>
      <c r="CR66" s="3" t="b">
        <f t="shared" si="2"/>
        <v>1</v>
      </c>
      <c r="CS66" s="3" t="b">
        <f t="shared" si="3"/>
        <v>1</v>
      </c>
      <c r="CT66" s="3" t="b">
        <f t="shared" si="4"/>
        <v>1</v>
      </c>
      <c r="CU66" s="3" t="b">
        <f t="shared" si="5"/>
        <v>1</v>
      </c>
      <c r="CV66" s="3" t="b">
        <f t="shared" si="6"/>
        <v>1</v>
      </c>
      <c r="CW66" s="3" t="b">
        <f t="shared" si="7"/>
        <v>1</v>
      </c>
      <c r="CX66" s="9" t="str">
        <f t="shared" si="8"/>
        <v>3202041</v>
      </c>
      <c r="CY66" s="9" t="str">
        <f t="shared" si="9"/>
        <v>3201042</v>
      </c>
      <c r="CZ66" s="9" t="str">
        <f t="shared" si="10"/>
        <v>3301041</v>
      </c>
      <c r="DA66" s="9" t="str">
        <f t="shared" si="11"/>
        <v>3300042</v>
      </c>
      <c r="DB66" s="9" t="str">
        <f t="shared" si="12"/>
        <v>3400042</v>
      </c>
      <c r="DC66" s="9" t="str">
        <f t="shared" si="13"/>
        <v>3300042</v>
      </c>
      <c r="DD66" s="9">
        <v>4</v>
      </c>
      <c r="DE66" s="9">
        <v>4</v>
      </c>
      <c r="DF66" s="9">
        <v>4</v>
      </c>
      <c r="DG66" s="9">
        <v>4</v>
      </c>
      <c r="DH66" s="9">
        <v>4</v>
      </c>
      <c r="DI66" s="9">
        <v>4</v>
      </c>
      <c r="DJ66" s="9">
        <v>3</v>
      </c>
      <c r="DK66" s="9">
        <v>3</v>
      </c>
      <c r="DL66" s="9">
        <v>3</v>
      </c>
      <c r="DM66" s="9">
        <v>3</v>
      </c>
      <c r="DN66" s="9">
        <v>3</v>
      </c>
      <c r="DO66" s="9">
        <v>3</v>
      </c>
      <c r="DP66" s="25" t="s">
        <v>111</v>
      </c>
      <c r="DQ66" s="25" t="s">
        <v>114</v>
      </c>
      <c r="DR66" s="25" t="s">
        <v>107</v>
      </c>
      <c r="DS66" s="25" t="s">
        <v>115</v>
      </c>
      <c r="DT66" s="25" t="s">
        <v>110</v>
      </c>
      <c r="DU66" s="25" t="s">
        <v>115</v>
      </c>
      <c r="DV66" s="25">
        <f t="shared" si="14"/>
        <v>1</v>
      </c>
      <c r="DW66" s="25">
        <f t="shared" si="15"/>
        <v>1</v>
      </c>
      <c r="DX66" s="25">
        <f t="shared" si="16"/>
        <v>1</v>
      </c>
      <c r="DY66" s="25">
        <f t="shared" si="17"/>
        <v>2</v>
      </c>
      <c r="DZ66" s="25">
        <f t="shared" si="18"/>
        <v>2</v>
      </c>
      <c r="EA66" s="3">
        <f t="shared" si="19"/>
        <v>2</v>
      </c>
      <c r="EB66" s="32"/>
      <c r="EC66" s="5">
        <v>3502071</v>
      </c>
      <c r="ED66" s="31" t="s">
        <v>119</v>
      </c>
      <c r="EE66" s="8">
        <v>2</v>
      </c>
      <c r="EQ66" s="9">
        <v>303460201</v>
      </c>
      <c r="ER66" s="9" t="s">
        <v>177</v>
      </c>
    </row>
    <row r="67" spans="1:148" ht="13.5" customHeight="1">
      <c r="A67" s="9">
        <v>64</v>
      </c>
      <c r="B67" s="9">
        <v>1</v>
      </c>
      <c r="C67" s="9">
        <v>2001</v>
      </c>
      <c r="D67" s="9">
        <f t="shared" si="40"/>
        <v>105497</v>
      </c>
      <c r="E67" s="9" t="str">
        <f t="shared" si="44"/>
        <v>3301041,3301041,3301041,3500042,3500042,3500042</v>
      </c>
      <c r="F67" s="9" t="str">
        <f t="shared" si="45"/>
        <v>4,4,4,4,4,4</v>
      </c>
      <c r="G67" s="9" t="str">
        <f t="shared" si="46"/>
        <v>190,194,194,194,194,194</v>
      </c>
      <c r="H67" s="9">
        <v>65</v>
      </c>
      <c r="I67" s="9" t="s">
        <v>278</v>
      </c>
      <c r="J67" s="9" t="s">
        <v>279</v>
      </c>
      <c r="K67" s="9" t="s">
        <v>279</v>
      </c>
      <c r="L67" s="9" t="s">
        <v>279</v>
      </c>
      <c r="M67" s="9" t="s">
        <v>284</v>
      </c>
      <c r="O67" s="3">
        <f t="shared" si="41"/>
        <v>105497</v>
      </c>
      <c r="P67" s="9">
        <v>91339.5</v>
      </c>
      <c r="Q67" s="9">
        <v>3301041</v>
      </c>
      <c r="R67" s="9">
        <v>3301041</v>
      </c>
      <c r="S67" s="9">
        <v>3301041</v>
      </c>
      <c r="T67" s="9">
        <v>3500042</v>
      </c>
      <c r="U67" s="9">
        <v>3500042</v>
      </c>
      <c r="V67" s="9">
        <v>3500042</v>
      </c>
      <c r="W67" s="9">
        <v>4</v>
      </c>
      <c r="X67" s="9">
        <v>4</v>
      </c>
      <c r="Y67" s="9">
        <v>4</v>
      </c>
      <c r="Z67" s="9">
        <v>4</v>
      </c>
      <c r="AA67" s="9">
        <v>4</v>
      </c>
      <c r="AB67" s="9">
        <v>4</v>
      </c>
      <c r="AC67" s="9">
        <f t="shared" si="26"/>
        <v>190</v>
      </c>
      <c r="AD67" s="9">
        <f t="shared" si="27"/>
        <v>194</v>
      </c>
      <c r="AE67" s="9">
        <f t="shared" si="28"/>
        <v>194</v>
      </c>
      <c r="AF67" s="9">
        <f t="shared" si="29"/>
        <v>194</v>
      </c>
      <c r="AG67" s="9">
        <f t="shared" si="30"/>
        <v>194</v>
      </c>
      <c r="AH67" s="9">
        <f t="shared" si="31"/>
        <v>194</v>
      </c>
      <c r="AI67" s="7">
        <f t="shared" si="43"/>
        <v>15223.25</v>
      </c>
      <c r="AJ67" s="7">
        <f t="shared" si="43"/>
        <v>15223.25</v>
      </c>
      <c r="AK67" s="7">
        <f t="shared" si="43"/>
        <v>15223.25</v>
      </c>
      <c r="AL67" s="7">
        <f t="shared" si="43"/>
        <v>15223.25</v>
      </c>
      <c r="AM67" s="7">
        <f t="shared" si="43"/>
        <v>15223.25</v>
      </c>
      <c r="AN67" s="7">
        <f t="shared" si="43"/>
        <v>15223.25</v>
      </c>
      <c r="AO67" s="16"/>
      <c r="AP67" s="7"/>
      <c r="AQ67" s="9">
        <v>4</v>
      </c>
      <c r="AR67" s="9">
        <f t="shared" si="33"/>
        <v>175</v>
      </c>
      <c r="AS67" s="7">
        <f t="shared" si="34"/>
        <v>89</v>
      </c>
      <c r="AT67" s="7"/>
      <c r="AU67" s="16"/>
      <c r="AV67" s="7"/>
      <c r="AW67" s="7"/>
      <c r="AX67" s="7"/>
      <c r="AZ67" s="7"/>
      <c r="BA67" s="9">
        <f t="shared" si="42"/>
        <v>15010.800000000014</v>
      </c>
      <c r="BC67" s="5">
        <f t="shared" si="35"/>
        <v>175</v>
      </c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7"/>
      <c r="BQ67" s="18"/>
      <c r="BR67" s="18">
        <v>4502045</v>
      </c>
      <c r="BS67" s="18">
        <f>[1]monsters!$N67</f>
        <v>153.6</v>
      </c>
      <c r="BT67" s="18">
        <f>[1]monsters!$O67</f>
        <v>15.36</v>
      </c>
      <c r="BU67" s="18">
        <f>[1]monsters!$P67</f>
        <v>2400</v>
      </c>
      <c r="BV67" s="18">
        <f>[1]monsters!$Q67</f>
        <v>240</v>
      </c>
      <c r="BW67" s="18">
        <f>[1]monsters!$R67</f>
        <v>51.2</v>
      </c>
      <c r="BX67" s="18">
        <f>[1]monsters!$S67</f>
        <v>5.12</v>
      </c>
      <c r="BY67" s="18">
        <f>[1]monsters!$K67</f>
        <v>1.8</v>
      </c>
      <c r="BZ67" s="5">
        <f>[1]monsters!$D67</f>
        <v>2</v>
      </c>
      <c r="CA67" s="5">
        <f t="shared" si="36"/>
        <v>0.1</v>
      </c>
      <c r="CB67" s="5">
        <f t="shared" si="37"/>
        <v>225.96008080808082</v>
      </c>
      <c r="CC67" s="5">
        <f t="shared" si="38"/>
        <v>22.596008080808083</v>
      </c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>
        <v>0</v>
      </c>
      <c r="CR67" s="3" t="b">
        <f t="shared" si="2"/>
        <v>1</v>
      </c>
      <c r="CS67" s="3" t="b">
        <f t="shared" si="3"/>
        <v>1</v>
      </c>
      <c r="CT67" s="3" t="b">
        <f t="shared" si="4"/>
        <v>1</v>
      </c>
      <c r="CU67" s="3" t="b">
        <f t="shared" si="5"/>
        <v>1</v>
      </c>
      <c r="CV67" s="3" t="b">
        <f t="shared" si="6"/>
        <v>1</v>
      </c>
      <c r="CW67" s="3" t="b">
        <f t="shared" si="7"/>
        <v>1</v>
      </c>
      <c r="CX67" s="9" t="str">
        <f t="shared" si="8"/>
        <v>3301041</v>
      </c>
      <c r="CY67" s="9" t="str">
        <f t="shared" si="9"/>
        <v>3301041</v>
      </c>
      <c r="CZ67" s="9" t="str">
        <f t="shared" si="10"/>
        <v>3301041</v>
      </c>
      <c r="DA67" s="9" t="str">
        <f t="shared" si="11"/>
        <v>3500042</v>
      </c>
      <c r="DB67" s="9" t="str">
        <f t="shared" si="12"/>
        <v>3500042</v>
      </c>
      <c r="DC67" s="9" t="str">
        <f t="shared" si="13"/>
        <v>3500042</v>
      </c>
      <c r="DD67" s="9">
        <v>4</v>
      </c>
      <c r="DE67" s="9">
        <v>4</v>
      </c>
      <c r="DF67" s="9">
        <v>4</v>
      </c>
      <c r="DG67" s="9">
        <v>4</v>
      </c>
      <c r="DH67" s="9">
        <v>4</v>
      </c>
      <c r="DI67" s="9">
        <v>4</v>
      </c>
      <c r="DJ67" s="9">
        <v>3</v>
      </c>
      <c r="DK67" s="9">
        <v>3</v>
      </c>
      <c r="DL67" s="9">
        <v>3</v>
      </c>
      <c r="DM67" s="9">
        <v>3</v>
      </c>
      <c r="DN67" s="9">
        <v>3</v>
      </c>
      <c r="DO67" s="9">
        <v>3</v>
      </c>
      <c r="DP67" s="26" t="s">
        <v>107</v>
      </c>
      <c r="DQ67" s="26" t="s">
        <v>107</v>
      </c>
      <c r="DR67" s="26" t="s">
        <v>107</v>
      </c>
      <c r="DS67" s="26" t="s">
        <v>109</v>
      </c>
      <c r="DT67" s="26" t="s">
        <v>109</v>
      </c>
      <c r="DU67" s="26" t="s">
        <v>109</v>
      </c>
      <c r="DV67" s="26">
        <f t="shared" si="14"/>
        <v>1</v>
      </c>
      <c r="DW67" s="26">
        <f t="shared" si="15"/>
        <v>1</v>
      </c>
      <c r="DX67" s="26">
        <f t="shared" si="16"/>
        <v>1</v>
      </c>
      <c r="DY67" s="26">
        <f t="shared" si="17"/>
        <v>2</v>
      </c>
      <c r="DZ67" s="26">
        <f t="shared" si="18"/>
        <v>2</v>
      </c>
      <c r="EA67" s="3">
        <f t="shared" si="19"/>
        <v>2</v>
      </c>
      <c r="EB67" s="32"/>
      <c r="EC67" s="5">
        <v>3201072</v>
      </c>
      <c r="ED67" s="31" t="s">
        <v>114</v>
      </c>
      <c r="EE67" s="8">
        <v>1</v>
      </c>
      <c r="EQ67" s="9">
        <v>303530001</v>
      </c>
      <c r="ER67" s="9" t="s">
        <v>178</v>
      </c>
    </row>
    <row r="68" spans="1:148" ht="13.5" customHeight="1">
      <c r="A68" s="9">
        <v>65</v>
      </c>
      <c r="B68" s="9">
        <v>1</v>
      </c>
      <c r="C68" s="9">
        <v>2001</v>
      </c>
      <c r="D68" s="9">
        <f t="shared" si="40"/>
        <v>112705</v>
      </c>
      <c r="E68" s="9" t="str">
        <f t="shared" si="44"/>
        <v>3201042,3201042,3201042,3300042,3300042,3300042</v>
      </c>
      <c r="F68" s="9" t="str">
        <f t="shared" si="45"/>
        <v>4,4,4,4,4,4</v>
      </c>
      <c r="G68" s="9" t="str">
        <f t="shared" si="46"/>
        <v>197,201,201,201,201,201</v>
      </c>
      <c r="H68" s="9">
        <v>66</v>
      </c>
      <c r="I68" s="9" t="s">
        <v>278</v>
      </c>
      <c r="J68" s="9" t="s">
        <v>279</v>
      </c>
      <c r="K68" s="9" t="s">
        <v>279</v>
      </c>
      <c r="L68" s="9" t="s">
        <v>279</v>
      </c>
      <c r="M68" s="9" t="s">
        <v>284</v>
      </c>
      <c r="O68" s="3">
        <f t="shared" ref="O68:O94" si="47">ROUND(P68*1.1*1.05,0)</f>
        <v>112705</v>
      </c>
      <c r="P68" s="9">
        <v>97580</v>
      </c>
      <c r="Q68" s="9">
        <v>3201042</v>
      </c>
      <c r="R68" s="9">
        <v>3201042</v>
      </c>
      <c r="S68" s="9">
        <v>3201042</v>
      </c>
      <c r="T68" s="9">
        <v>3300042</v>
      </c>
      <c r="U68" s="9">
        <v>3300042</v>
      </c>
      <c r="V68" s="9">
        <v>3300042</v>
      </c>
      <c r="W68" s="9">
        <v>4</v>
      </c>
      <c r="X68" s="9">
        <v>4</v>
      </c>
      <c r="Y68" s="9">
        <v>4</v>
      </c>
      <c r="Z68" s="9">
        <v>4</v>
      </c>
      <c r="AA68" s="9">
        <v>4</v>
      </c>
      <c r="AB68" s="9">
        <v>4</v>
      </c>
      <c r="AC68" s="9">
        <f t="shared" si="26"/>
        <v>197</v>
      </c>
      <c r="AD68" s="9">
        <f t="shared" si="27"/>
        <v>201</v>
      </c>
      <c r="AE68" s="9">
        <f t="shared" si="28"/>
        <v>201</v>
      </c>
      <c r="AF68" s="9">
        <f t="shared" si="29"/>
        <v>201</v>
      </c>
      <c r="AG68" s="9">
        <f t="shared" si="30"/>
        <v>201</v>
      </c>
      <c r="AH68" s="9">
        <f t="shared" si="31"/>
        <v>201</v>
      </c>
      <c r="AI68" s="7">
        <f t="shared" si="43"/>
        <v>16263.333333333334</v>
      </c>
      <c r="AJ68" s="7">
        <f t="shared" si="43"/>
        <v>16263.333333333334</v>
      </c>
      <c r="AK68" s="7">
        <f t="shared" si="43"/>
        <v>16263.333333333334</v>
      </c>
      <c r="AL68" s="7">
        <f t="shared" si="43"/>
        <v>16263.333333333334</v>
      </c>
      <c r="AM68" s="7">
        <f t="shared" si="43"/>
        <v>16263.333333333334</v>
      </c>
      <c r="AN68" s="7">
        <f t="shared" si="43"/>
        <v>16263.333333333334</v>
      </c>
      <c r="AO68" s="16"/>
      <c r="AP68" s="7"/>
      <c r="AQ68" s="9">
        <v>4</v>
      </c>
      <c r="AR68" s="9">
        <f t="shared" si="33"/>
        <v>181</v>
      </c>
      <c r="AS68" s="7">
        <f t="shared" si="34"/>
        <v>90</v>
      </c>
      <c r="AT68" s="7"/>
      <c r="AU68" s="16"/>
      <c r="AV68" s="7"/>
      <c r="AW68" s="7"/>
      <c r="AX68" s="7"/>
      <c r="AZ68" s="7"/>
      <c r="BA68" s="9">
        <f t="shared" si="42"/>
        <v>15366.250000000015</v>
      </c>
      <c r="BC68" s="5">
        <f t="shared" si="35"/>
        <v>181</v>
      </c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7"/>
      <c r="BQ68" s="18"/>
      <c r="BR68" s="18">
        <v>4201045</v>
      </c>
      <c r="BS68" s="18">
        <f>[1]monsters!$N68</f>
        <v>224</v>
      </c>
      <c r="BT68" s="18">
        <f>[1]monsters!$O68</f>
        <v>22.4</v>
      </c>
      <c r="BU68" s="18">
        <f>[1]monsters!$P68</f>
        <v>1371.43</v>
      </c>
      <c r="BV68" s="18">
        <f>[1]monsters!$Q68</f>
        <v>137.13999999999999</v>
      </c>
      <c r="BW68" s="18">
        <f>[1]monsters!$R68</f>
        <v>28</v>
      </c>
      <c r="BX68" s="18">
        <f>[1]monsters!$S68</f>
        <v>2.8</v>
      </c>
      <c r="BY68" s="18">
        <f>[1]monsters!$K68</f>
        <v>1.5</v>
      </c>
      <c r="BZ68" s="5">
        <f>[1]monsters!$D68</f>
        <v>5</v>
      </c>
      <c r="CA68" s="5">
        <f t="shared" si="36"/>
        <v>0.1</v>
      </c>
      <c r="CB68" s="5">
        <f t="shared" si="37"/>
        <v>257.85609427609427</v>
      </c>
      <c r="CC68" s="5">
        <f t="shared" si="38"/>
        <v>25.78560942760943</v>
      </c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>
        <v>1</v>
      </c>
      <c r="CR68" s="3" t="b">
        <f t="shared" ref="CR68:CR131" si="48">IF(ISERROR(MATCH(INT(CX68),$EC$4:$EC$426,0))=FALSE,TRUE)</f>
        <v>1</v>
      </c>
      <c r="CS68" s="3" t="b">
        <f t="shared" ref="CS68:CS131" si="49">IF(ISERROR(MATCH(INT(CY68),$EC$4:$EC$426,0))=FALSE,TRUE)</f>
        <v>1</v>
      </c>
      <c r="CT68" s="3" t="b">
        <f t="shared" ref="CT68:CT131" si="50">IF(ISERROR(MATCH(INT(CZ68),$EC$4:$EC$426,0))=FALSE,TRUE)</f>
        <v>1</v>
      </c>
      <c r="CU68" s="3" t="b">
        <f t="shared" ref="CU68:CU131" si="51">IF(ISERROR(MATCH(INT(DA68),$EC$4:$EC$426,0))=FALSE,TRUE)</f>
        <v>1</v>
      </c>
      <c r="CV68" s="3" t="b">
        <f t="shared" ref="CV68:CV131" si="52">IF(ISERROR(MATCH(INT(DB68),$EC$4:$EC$426,0))=FALSE,TRUE)</f>
        <v>1</v>
      </c>
      <c r="CW68" s="3" t="b">
        <f t="shared" ref="CW68:CW131" si="53">IF(ISERROR(MATCH(INT(DC68),$EC$4:$EC$426,0))=FALSE,TRUE)</f>
        <v>1</v>
      </c>
      <c r="CX68" s="9" t="str">
        <f t="shared" ref="CX68:CX131" si="54">REPLACE(REPLACE(INDEX($EC$4:$EC$426,MATCH(DP68,$ED$4:$ED$426,0)),IF(DD68&gt;9,5,6),IF(DD68&gt;9,2,1),DD68),1,1,DJ68)</f>
        <v>3201042</v>
      </c>
      <c r="CY68" s="9" t="str">
        <f t="shared" ref="CY68:CY131" si="55">REPLACE(REPLACE(INDEX($EC$4:$EC$426,MATCH(DQ68,$ED$4:$ED$426,0)),IF(DE68&gt;9,5,6),IF(DE68&gt;9,2,1),DE68),1,1,DK68)</f>
        <v>3201042</v>
      </c>
      <c r="CZ68" s="9" t="str">
        <f t="shared" ref="CZ68:CZ131" si="56">REPLACE(REPLACE(INDEX($EC$4:$EC$426,MATCH(DR68,$ED$4:$ED$426,0)),IF(DF68&gt;9,5,6),IF(DF68&gt;9,2,1),DF68),1,1,DL68)</f>
        <v>3201042</v>
      </c>
      <c r="DA68" s="9" t="str">
        <f t="shared" ref="DA68:DA131" si="57">REPLACE(REPLACE(INDEX($EC$4:$EC$426,MATCH(DS68,$ED$4:$ED$426,0)),IF(DG68&gt;9,5,6),IF(DG68&gt;9,2,1),DG68),1,1,DM68)</f>
        <v>3300042</v>
      </c>
      <c r="DB68" s="9" t="str">
        <f t="shared" ref="DB68:DB131" si="58">REPLACE(REPLACE(INDEX($EC$4:$EC$426,MATCH(DT68,$ED$4:$ED$426,0)),IF(DH68&gt;9,5,6),IF(DH68&gt;9,2,1),DH68),1,1,DN68)</f>
        <v>3300042</v>
      </c>
      <c r="DC68" s="9" t="str">
        <f t="shared" ref="DC68:DC131" si="59">REPLACE(REPLACE(INDEX($EC$4:$EC$426,MATCH(DU68,$ED$4:$ED$426,0)),IF(DI68&gt;9,5,6),IF(DI68&gt;9,2,1),DI68),1,1,DO68)</f>
        <v>3300042</v>
      </c>
      <c r="DD68" s="9">
        <v>4</v>
      </c>
      <c r="DE68" s="9">
        <v>4</v>
      </c>
      <c r="DF68" s="9">
        <v>4</v>
      </c>
      <c r="DG68" s="9">
        <v>4</v>
      </c>
      <c r="DH68" s="9">
        <v>4</v>
      </c>
      <c r="DI68" s="9">
        <v>4</v>
      </c>
      <c r="DJ68" s="9">
        <v>3</v>
      </c>
      <c r="DK68" s="9">
        <v>3</v>
      </c>
      <c r="DL68" s="9">
        <v>3</v>
      </c>
      <c r="DM68" s="9">
        <v>3</v>
      </c>
      <c r="DN68" s="9">
        <v>3</v>
      </c>
      <c r="DO68" s="9">
        <v>3</v>
      </c>
      <c r="DP68" s="25" t="s">
        <v>114</v>
      </c>
      <c r="DQ68" s="25" t="s">
        <v>114</v>
      </c>
      <c r="DR68" s="25" t="s">
        <v>114</v>
      </c>
      <c r="DS68" s="25" t="s">
        <v>115</v>
      </c>
      <c r="DT68" s="25" t="s">
        <v>115</v>
      </c>
      <c r="DU68" s="25" t="s">
        <v>115</v>
      </c>
      <c r="DV68" s="25">
        <f t="shared" ref="DV68:DV131" si="60">INDEX($EE$4:$EE$426,MATCH(DP68,$ED$4:$ED$426,0))</f>
        <v>1</v>
      </c>
      <c r="DW68" s="25">
        <f t="shared" ref="DW68:DW131" si="61">INDEX($EE$4:$EE$426,MATCH(DQ68,$ED$4:$ED$426,0))</f>
        <v>1</v>
      </c>
      <c r="DX68" s="25">
        <f t="shared" ref="DX68:DX131" si="62">INDEX($EE$4:$EE$426,MATCH(DR68,$ED$4:$ED$426,0))</f>
        <v>1</v>
      </c>
      <c r="DY68" s="25">
        <f t="shared" ref="DY68:DY131" si="63">INDEX($EE$4:$EE$426,MATCH(DS68,$ED$4:$ED$426,0))</f>
        <v>2</v>
      </c>
      <c r="DZ68" s="25">
        <f t="shared" ref="DZ68:DZ131" si="64">INDEX($EE$4:$EE$426,MATCH(DT68,$ED$4:$ED$426,0))</f>
        <v>2</v>
      </c>
      <c r="EA68" s="3">
        <f t="shared" ref="EA68:EA131" si="65">INDEX($EE$4:$EE$426,MATCH(DU68,$ED$4:$ED$426,0))</f>
        <v>2</v>
      </c>
      <c r="EB68" s="32"/>
      <c r="EC68" s="5">
        <v>3500072</v>
      </c>
      <c r="ED68" s="31" t="s">
        <v>109</v>
      </c>
      <c r="EE68" s="8">
        <v>2</v>
      </c>
      <c r="EQ68" s="9">
        <v>303530201</v>
      </c>
      <c r="ER68" s="9" t="s">
        <v>179</v>
      </c>
    </row>
    <row r="69" spans="1:148" ht="13.5" customHeight="1">
      <c r="A69" s="9">
        <v>66</v>
      </c>
      <c r="B69" s="9">
        <v>1</v>
      </c>
      <c r="C69" s="9">
        <v>2001</v>
      </c>
      <c r="D69" s="9">
        <f t="shared" si="40"/>
        <v>114874</v>
      </c>
      <c r="E69" s="9" t="str">
        <f t="shared" si="44"/>
        <v>3200043,3202041,3202041,3501043,3500042,3501043</v>
      </c>
      <c r="F69" s="9" t="str">
        <f t="shared" si="45"/>
        <v>4,4,4,4,4,4</v>
      </c>
      <c r="G69" s="9" t="str">
        <f t="shared" si="46"/>
        <v>199,203,203,203,203,203</v>
      </c>
      <c r="H69" s="9">
        <v>67</v>
      </c>
      <c r="I69" s="9" t="s">
        <v>278</v>
      </c>
      <c r="J69" s="9" t="s">
        <v>279</v>
      </c>
      <c r="K69" s="9" t="s">
        <v>279</v>
      </c>
      <c r="L69" s="9" t="s">
        <v>279</v>
      </c>
      <c r="M69" s="9" t="s">
        <v>284</v>
      </c>
      <c r="O69" s="3">
        <f t="shared" si="47"/>
        <v>114874</v>
      </c>
      <c r="P69" s="9">
        <v>99457.75</v>
      </c>
      <c r="Q69" s="9">
        <v>3200043</v>
      </c>
      <c r="R69" s="9">
        <v>3202041</v>
      </c>
      <c r="S69" s="9">
        <v>3202041</v>
      </c>
      <c r="T69" s="9">
        <v>3501043</v>
      </c>
      <c r="U69" s="9">
        <v>3500042</v>
      </c>
      <c r="V69" s="9">
        <v>3501043</v>
      </c>
      <c r="W69" s="9">
        <v>4</v>
      </c>
      <c r="X69" s="9">
        <v>4</v>
      </c>
      <c r="Y69" s="9">
        <v>4</v>
      </c>
      <c r="Z69" s="9">
        <v>4</v>
      </c>
      <c r="AA69" s="9">
        <v>4</v>
      </c>
      <c r="AB69" s="9">
        <v>4</v>
      </c>
      <c r="AC69" s="9">
        <f t="shared" ref="AC69:AC132" si="66">IF(AI69&gt;0,FLOOR((POWER((AI69/IF(AND(W69&gt;=2,W69&lt;4),1.1,IF(AND(W69&gt;=4,W69&lt;6),1.2,IF(W69&gt;=6,1.4,1)))/$Z$1),0.5)/INDEX($BD$4:$BQ$4,MATCH(W69,$BD$3:$BQ$3,0))-1)*10,1),"")</f>
        <v>199</v>
      </c>
      <c r="AD69" s="9">
        <f t="shared" ref="AD69:AD132" si="67">IF(AJ69&gt;0,FLOOR((POWER((AJ69/IF(AND(X69&gt;=2,X69&lt;4),1.1,IF(AND(X69&gt;=4,X69&lt;6),1.15,IF(X69&gt;=6,1.2,1)))/$Z$1),0.5)/INDEX($BD$4:$BQ$4,MATCH(X69,$BD$3:$BQ$3,0))-1)*10,1),"")</f>
        <v>203</v>
      </c>
      <c r="AE69" s="9">
        <f t="shared" ref="AE69:AE132" si="68">IF(AK69&gt;0,FLOOR((POWER((AK69/IF(AND(Y69&gt;=2,Y69&lt;4),1.1,IF(AND(Y69&gt;=4,Y69&lt;6),1.15,IF(Y69&gt;=6,1.2,1)))/$Z$1),0.5)/INDEX($BD$4:$BQ$4,MATCH(Y69,$BD$3:$BQ$3,0))-1)*10,1),"")</f>
        <v>203</v>
      </c>
      <c r="AF69" s="9">
        <f t="shared" ref="AF69:AF132" si="69">IF(AL69&gt;0,FLOOR((POWER((AL69/IF(AND(Z69&gt;=2,Z69&lt;4),1.1,IF(AND(Z69&gt;=4,Z69&lt;6),1.15,IF(Z69&gt;=6,1.2,1)))/$Z$1),0.5)/INDEX($BD$4:$BQ$4,MATCH(Z69,$BD$3:$BQ$3,0))-1)*10,1),"")</f>
        <v>203</v>
      </c>
      <c r="AG69" s="9">
        <f t="shared" ref="AG69:AG132" si="70">IF(AM69&gt;0,FLOOR((POWER((AM69/IF(AND(AA69&gt;=2,AA69&lt;4),1.1,IF(AND(AA69&gt;=4,AA69&lt;6),1.15,IF(AA69&gt;=6,1.2,1)))/$Z$1),0.5)/INDEX($BD$4:$BQ$4,MATCH(AA69,$BD$3:$BQ$3,0))-1)*10,1),"")</f>
        <v>203</v>
      </c>
      <c r="AH69" s="9">
        <f t="shared" ref="AH69:AH132" si="71">IF(AN69&gt;0,FLOOR((POWER((AN69/IF(AND(AB69&gt;=2,AB69&lt;4),1.1,IF(AND(AB69&gt;=4,AB69&lt;6),1.15,IF(AB69&gt;=6,1.2,1)))/$Z$1),0.5)/INDEX($BD$4:$BQ$4,MATCH(AB69,$BD$3:$BQ$3,0))-1)*10,1),"")</f>
        <v>203</v>
      </c>
      <c r="AI69" s="7">
        <f t="shared" si="43"/>
        <v>16576.291666666668</v>
      </c>
      <c r="AJ69" s="7">
        <f t="shared" si="43"/>
        <v>16576.291666666668</v>
      </c>
      <c r="AK69" s="7">
        <f t="shared" si="43"/>
        <v>16576.291666666668</v>
      </c>
      <c r="AL69" s="7">
        <f t="shared" si="43"/>
        <v>16576.291666666668</v>
      </c>
      <c r="AM69" s="7">
        <f t="shared" si="43"/>
        <v>16576.291666666668</v>
      </c>
      <c r="AN69" s="7">
        <f t="shared" si="43"/>
        <v>16576.291666666668</v>
      </c>
      <c r="AO69" s="16"/>
      <c r="AP69" s="7"/>
      <c r="AQ69" s="9">
        <v>4</v>
      </c>
      <c r="AR69" s="9">
        <f t="shared" ref="AR69:AR132" si="72">IF(AI69&gt;0,FLOOR((POWER((AI69/IF(AND(AQ69&gt;=2,AQ69&lt;4),1.2,IF(AND(AQ69&gt;=4,AQ69&lt;6),1.4,IF(AQ69&gt;=6,1.6,1)))/$Z$1),0.5)/INDEX($BD$4:$BQ$4,MATCH(AQ69,$BD$3:$BQ$3,0))-1)*10,1),"")</f>
        <v>183</v>
      </c>
      <c r="AS69" s="7">
        <f t="shared" ref="AS69:AS132" si="73">FLOOR(A69/1,1)+25</f>
        <v>91</v>
      </c>
      <c r="AT69" s="7"/>
      <c r="AU69" s="16"/>
      <c r="AV69" s="7"/>
      <c r="AW69" s="7"/>
      <c r="AX69" s="7"/>
      <c r="AZ69" s="7"/>
      <c r="BA69" s="9">
        <f t="shared" si="42"/>
        <v>15721.700000000015</v>
      </c>
      <c r="BC69" s="5">
        <f t="shared" ref="BC69:BC132" si="74">FLOOR(POWER(((3000*1.5/0.9/1.05)/(96*INDEX($BD$4:$BO$4,MATCH(W69,$BD$3:$BO$3,0))*8*INDEX($BD$4:$BO$4,MATCH(W69,$BD$3:$BO$3,0)))*AI69/IF(AND(W69&gt;=2,W69&lt;4),1.2,IF(AND(W69&gt;=4,W69&lt;6),1.4,IF(W69&gt;=6,1.6,1)))),1/2)-10,1)</f>
        <v>183</v>
      </c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18"/>
      <c r="BQ69" s="18"/>
      <c r="BR69" s="18">
        <v>4201051</v>
      </c>
      <c r="BS69" s="18">
        <f>[1]monsters!$N69</f>
        <v>248</v>
      </c>
      <c r="BT69" s="18">
        <f>[1]monsters!$O69</f>
        <v>24.8</v>
      </c>
      <c r="BU69" s="18">
        <f>[1]monsters!$P69</f>
        <v>1238.71</v>
      </c>
      <c r="BV69" s="18">
        <f>[1]monsters!$Q69</f>
        <v>123.87</v>
      </c>
      <c r="BW69" s="18">
        <f>[1]monsters!$R69</f>
        <v>24.8</v>
      </c>
      <c r="BX69" s="18">
        <f>[1]monsters!$S69</f>
        <v>2.48</v>
      </c>
      <c r="BY69" s="18">
        <f>[1]monsters!$K69</f>
        <v>1.5</v>
      </c>
      <c r="BZ69" s="5">
        <f>[1]monsters!$D69</f>
        <v>6</v>
      </c>
      <c r="CA69" s="5">
        <f t="shared" ref="CA69:CA132" si="75">INDEX($CH$5:$CH$10,MATCH($BZ69,$CG$5:$CG$10))</f>
        <v>0.1</v>
      </c>
      <c r="CB69" s="5">
        <f t="shared" ref="CB69:CB132" si="76">(BU69/33/(1-CA69)/(1-0)+BS69*(1+0.5*0.1)*0.9)</f>
        <v>276.06740740740747</v>
      </c>
      <c r="CC69" s="5">
        <f t="shared" ref="CC69:CC132" si="77">(BU69/33/(1-CA69)/(1-0)+BS69*(1+0.5*0.1)*0.9)*0.1</f>
        <v>27.606740740740747</v>
      </c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>
        <v>0</v>
      </c>
      <c r="CR69" s="3" t="b">
        <f t="shared" si="48"/>
        <v>1</v>
      </c>
      <c r="CS69" s="3" t="b">
        <f t="shared" si="49"/>
        <v>1</v>
      </c>
      <c r="CT69" s="3" t="b">
        <f t="shared" si="50"/>
        <v>1</v>
      </c>
      <c r="CU69" s="3" t="b">
        <f t="shared" si="51"/>
        <v>1</v>
      </c>
      <c r="CV69" s="3" t="b">
        <f t="shared" si="52"/>
        <v>1</v>
      </c>
      <c r="CW69" s="3" t="b">
        <f t="shared" si="53"/>
        <v>1</v>
      </c>
      <c r="CX69" s="9" t="str">
        <f t="shared" si="54"/>
        <v>3200043</v>
      </c>
      <c r="CY69" s="9" t="str">
        <f t="shared" si="55"/>
        <v>3202041</v>
      </c>
      <c r="CZ69" s="9" t="str">
        <f t="shared" si="56"/>
        <v>3202041</v>
      </c>
      <c r="DA69" s="9" t="str">
        <f t="shared" si="57"/>
        <v>3501043</v>
      </c>
      <c r="DB69" s="9" t="str">
        <f t="shared" si="58"/>
        <v>3500042</v>
      </c>
      <c r="DC69" s="9" t="str">
        <f t="shared" si="59"/>
        <v>3501043</v>
      </c>
      <c r="DD69" s="9">
        <v>4</v>
      </c>
      <c r="DE69" s="9">
        <v>4</v>
      </c>
      <c r="DF69" s="9">
        <v>4</v>
      </c>
      <c r="DG69" s="9">
        <v>4</v>
      </c>
      <c r="DH69" s="9">
        <v>4</v>
      </c>
      <c r="DI69" s="9">
        <v>4</v>
      </c>
      <c r="DJ69" s="9">
        <v>3</v>
      </c>
      <c r="DK69" s="9">
        <v>3</v>
      </c>
      <c r="DL69" s="9">
        <v>3</v>
      </c>
      <c r="DM69" s="9">
        <v>3</v>
      </c>
      <c r="DN69" s="9">
        <v>3</v>
      </c>
      <c r="DO69" s="9">
        <v>3</v>
      </c>
      <c r="DP69" s="27" t="s">
        <v>113</v>
      </c>
      <c r="DQ69" s="25" t="s">
        <v>111</v>
      </c>
      <c r="DR69" s="25" t="s">
        <v>111</v>
      </c>
      <c r="DS69" s="25" t="s">
        <v>121</v>
      </c>
      <c r="DT69" s="25" t="s">
        <v>109</v>
      </c>
      <c r="DU69" s="25" t="s">
        <v>121</v>
      </c>
      <c r="DV69" s="25">
        <f t="shared" si="60"/>
        <v>1</v>
      </c>
      <c r="DW69" s="25">
        <f t="shared" si="61"/>
        <v>1</v>
      </c>
      <c r="DX69" s="25">
        <f t="shared" si="62"/>
        <v>1</v>
      </c>
      <c r="DY69" s="25">
        <f t="shared" si="63"/>
        <v>2</v>
      </c>
      <c r="DZ69" s="25">
        <f t="shared" si="64"/>
        <v>2</v>
      </c>
      <c r="EA69" s="3">
        <f t="shared" si="65"/>
        <v>2</v>
      </c>
      <c r="EB69" s="33"/>
      <c r="EC69" s="5">
        <v>3601072</v>
      </c>
      <c r="ED69" s="31" t="s">
        <v>124</v>
      </c>
      <c r="EE69" s="8">
        <v>2</v>
      </c>
      <c r="EQ69" s="9">
        <v>303540001</v>
      </c>
      <c r="ER69" s="9" t="s">
        <v>180</v>
      </c>
    </row>
    <row r="70" spans="1:148" ht="13.5" customHeight="1">
      <c r="A70" s="9">
        <v>67</v>
      </c>
      <c r="B70" s="9">
        <v>1</v>
      </c>
      <c r="C70" s="9">
        <v>2001</v>
      </c>
      <c r="D70" s="9">
        <f t="shared" si="40"/>
        <v>116859</v>
      </c>
      <c r="E70" s="9" t="str">
        <f t="shared" si="44"/>
        <v>3202041,3201042,3201042,3402043,3300042,3400042</v>
      </c>
      <c r="F70" s="9" t="str">
        <f t="shared" si="45"/>
        <v>4,4,4,4,4,4</v>
      </c>
      <c r="G70" s="9" t="str">
        <f t="shared" si="46"/>
        <v>200,205,205,205,205,205</v>
      </c>
      <c r="H70" s="9">
        <v>67</v>
      </c>
      <c r="I70" s="9" t="s">
        <v>278</v>
      </c>
      <c r="J70" s="9" t="s">
        <v>279</v>
      </c>
      <c r="K70" s="9" t="s">
        <v>279</v>
      </c>
      <c r="L70" s="9" t="s">
        <v>279</v>
      </c>
      <c r="M70" s="9" t="s">
        <v>284</v>
      </c>
      <c r="O70" s="3">
        <f t="shared" si="47"/>
        <v>116859</v>
      </c>
      <c r="P70" s="9">
        <v>101176.25</v>
      </c>
      <c r="Q70" s="9">
        <v>3202041</v>
      </c>
      <c r="R70" s="9">
        <v>3201042</v>
      </c>
      <c r="S70" s="9">
        <v>3201042</v>
      </c>
      <c r="T70" s="9">
        <v>3402043</v>
      </c>
      <c r="U70" s="9">
        <v>3300042</v>
      </c>
      <c r="V70" s="9">
        <v>3400042</v>
      </c>
      <c r="W70" s="9">
        <v>4</v>
      </c>
      <c r="X70" s="9">
        <v>4</v>
      </c>
      <c r="Y70" s="9">
        <v>4</v>
      </c>
      <c r="Z70" s="9">
        <v>4</v>
      </c>
      <c r="AA70" s="9">
        <v>4</v>
      </c>
      <c r="AB70" s="9">
        <v>4</v>
      </c>
      <c r="AC70" s="9">
        <f t="shared" si="66"/>
        <v>200</v>
      </c>
      <c r="AD70" s="9">
        <f t="shared" si="67"/>
        <v>205</v>
      </c>
      <c r="AE70" s="9">
        <f t="shared" si="68"/>
        <v>205</v>
      </c>
      <c r="AF70" s="9">
        <f t="shared" si="69"/>
        <v>205</v>
      </c>
      <c r="AG70" s="9">
        <f t="shared" si="70"/>
        <v>205</v>
      </c>
      <c r="AH70" s="9">
        <f t="shared" si="71"/>
        <v>205</v>
      </c>
      <c r="AI70" s="7">
        <f t="shared" si="43"/>
        <v>16862.708333333332</v>
      </c>
      <c r="AJ70" s="7">
        <f t="shared" si="43"/>
        <v>16862.708333333332</v>
      </c>
      <c r="AK70" s="7">
        <f t="shared" si="43"/>
        <v>16862.708333333332</v>
      </c>
      <c r="AL70" s="7">
        <f t="shared" si="43"/>
        <v>16862.708333333332</v>
      </c>
      <c r="AM70" s="7">
        <f t="shared" si="43"/>
        <v>16862.708333333332</v>
      </c>
      <c r="AN70" s="7">
        <f t="shared" si="43"/>
        <v>16862.708333333332</v>
      </c>
      <c r="AO70" s="16"/>
      <c r="AP70" s="7"/>
      <c r="AQ70" s="9">
        <v>4</v>
      </c>
      <c r="AR70" s="9">
        <f t="shared" si="72"/>
        <v>185</v>
      </c>
      <c r="AS70" s="7">
        <f t="shared" si="73"/>
        <v>92</v>
      </c>
      <c r="AT70" s="7"/>
      <c r="AU70" s="16"/>
      <c r="AV70" s="7"/>
      <c r="AW70" s="7"/>
      <c r="AX70" s="7"/>
      <c r="AZ70" s="7"/>
      <c r="BA70" s="9">
        <f t="shared" si="42"/>
        <v>16077.150000000016</v>
      </c>
      <c r="BC70" s="5">
        <f t="shared" si="74"/>
        <v>185</v>
      </c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18"/>
      <c r="BQ70" s="18"/>
      <c r="BR70" s="18">
        <v>4300051</v>
      </c>
      <c r="BS70" s="18">
        <f>[1]monsters!$N70</f>
        <v>160</v>
      </c>
      <c r="BT70" s="18">
        <f>[1]monsters!$O70</f>
        <v>16</v>
      </c>
      <c r="BU70" s="18">
        <f>[1]monsters!$P70</f>
        <v>1920</v>
      </c>
      <c r="BV70" s="18">
        <f>[1]monsters!$Q70</f>
        <v>192</v>
      </c>
      <c r="BW70" s="18">
        <f>[1]monsters!$R70</f>
        <v>40</v>
      </c>
      <c r="BX70" s="18">
        <f>[1]monsters!$S70</f>
        <v>4</v>
      </c>
      <c r="BY70" s="18">
        <f>[1]monsters!$K70</f>
        <v>1.5</v>
      </c>
      <c r="BZ70" s="5">
        <f>[1]monsters!$D70</f>
        <v>2</v>
      </c>
      <c r="CA70" s="5">
        <f t="shared" si="75"/>
        <v>0.1</v>
      </c>
      <c r="CB70" s="5">
        <f t="shared" si="76"/>
        <v>215.84646464646465</v>
      </c>
      <c r="CC70" s="5">
        <f t="shared" si="77"/>
        <v>21.584646464646468</v>
      </c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>
        <v>0</v>
      </c>
      <c r="CR70" s="3" t="b">
        <f t="shared" si="48"/>
        <v>1</v>
      </c>
      <c r="CS70" s="3" t="b">
        <f t="shared" si="49"/>
        <v>1</v>
      </c>
      <c r="CT70" s="3" t="b">
        <f t="shared" si="50"/>
        <v>1</v>
      </c>
      <c r="CU70" s="3" t="b">
        <f t="shared" si="51"/>
        <v>1</v>
      </c>
      <c r="CV70" s="3" t="b">
        <f t="shared" si="52"/>
        <v>1</v>
      </c>
      <c r="CW70" s="3" t="b">
        <f t="shared" si="53"/>
        <v>1</v>
      </c>
      <c r="CX70" s="9" t="str">
        <f t="shared" si="54"/>
        <v>3202041</v>
      </c>
      <c r="CY70" s="9" t="str">
        <f t="shared" si="55"/>
        <v>3201042</v>
      </c>
      <c r="CZ70" s="9" t="str">
        <f t="shared" si="56"/>
        <v>3201042</v>
      </c>
      <c r="DA70" s="9" t="str">
        <f t="shared" si="57"/>
        <v>3402043</v>
      </c>
      <c r="DB70" s="9" t="str">
        <f t="shared" si="58"/>
        <v>3300042</v>
      </c>
      <c r="DC70" s="9" t="str">
        <f t="shared" si="59"/>
        <v>3400042</v>
      </c>
      <c r="DD70" s="9">
        <v>4</v>
      </c>
      <c r="DE70" s="9">
        <v>4</v>
      </c>
      <c r="DF70" s="9">
        <v>4</v>
      </c>
      <c r="DG70" s="9">
        <v>4</v>
      </c>
      <c r="DH70" s="9">
        <v>4</v>
      </c>
      <c r="DI70" s="9">
        <v>4</v>
      </c>
      <c r="DJ70" s="9">
        <v>3</v>
      </c>
      <c r="DK70" s="9">
        <v>3</v>
      </c>
      <c r="DL70" s="9">
        <v>3</v>
      </c>
      <c r="DM70" s="9">
        <v>3</v>
      </c>
      <c r="DN70" s="9">
        <v>3</v>
      </c>
      <c r="DO70" s="9">
        <v>3</v>
      </c>
      <c r="DP70" s="26" t="s">
        <v>111</v>
      </c>
      <c r="DQ70" s="26" t="s">
        <v>114</v>
      </c>
      <c r="DR70" s="26" t="s">
        <v>114</v>
      </c>
      <c r="DS70" s="26" t="s">
        <v>118</v>
      </c>
      <c r="DT70" s="26" t="s">
        <v>115</v>
      </c>
      <c r="DU70" s="26" t="s">
        <v>110</v>
      </c>
      <c r="DV70" s="26">
        <f t="shared" si="60"/>
        <v>1</v>
      </c>
      <c r="DW70" s="26">
        <f t="shared" si="61"/>
        <v>1</v>
      </c>
      <c r="DX70" s="26">
        <f t="shared" si="62"/>
        <v>1</v>
      </c>
      <c r="DY70" s="26">
        <f t="shared" si="63"/>
        <v>2</v>
      </c>
      <c r="DZ70" s="26">
        <f t="shared" si="64"/>
        <v>2</v>
      </c>
      <c r="EA70" s="3">
        <f t="shared" si="65"/>
        <v>2</v>
      </c>
      <c r="EB70" s="33"/>
      <c r="EC70" s="5">
        <v>3200073</v>
      </c>
      <c r="ED70" s="31" t="s">
        <v>113</v>
      </c>
      <c r="EE70" s="8">
        <v>1</v>
      </c>
    </row>
    <row r="71" spans="1:148" ht="13.5" customHeight="1">
      <c r="A71" s="9">
        <v>68</v>
      </c>
      <c r="B71" s="9">
        <v>1</v>
      </c>
      <c r="C71" s="9">
        <v>2001</v>
      </c>
      <c r="D71" s="9">
        <f t="shared" si="40"/>
        <v>118862</v>
      </c>
      <c r="E71" s="9" t="str">
        <f t="shared" si="44"/>
        <v>3302043,3202041,3301041,3500042,3300042,3300042</v>
      </c>
      <c r="F71" s="9" t="str">
        <f t="shared" si="45"/>
        <v>4,4,4,4,4,4</v>
      </c>
      <c r="G71" s="9" t="str">
        <f t="shared" si="46"/>
        <v>202,207,207,207,207,207</v>
      </c>
      <c r="H71" s="9">
        <v>67</v>
      </c>
      <c r="I71" s="9" t="s">
        <v>278</v>
      </c>
      <c r="J71" s="9" t="s">
        <v>279</v>
      </c>
      <c r="K71" s="9" t="s">
        <v>279</v>
      </c>
      <c r="L71" s="9" t="s">
        <v>279</v>
      </c>
      <c r="M71" s="9" t="s">
        <v>284</v>
      </c>
      <c r="O71" s="3">
        <f t="shared" si="47"/>
        <v>118862</v>
      </c>
      <c r="P71" s="9">
        <v>102910.5</v>
      </c>
      <c r="Q71" s="9">
        <v>3302043</v>
      </c>
      <c r="R71" s="9">
        <v>3202041</v>
      </c>
      <c r="S71" s="9">
        <v>3301041</v>
      </c>
      <c r="T71" s="9">
        <v>3500042</v>
      </c>
      <c r="U71" s="9">
        <v>3300042</v>
      </c>
      <c r="V71" s="9">
        <v>3300042</v>
      </c>
      <c r="W71" s="9">
        <v>4</v>
      </c>
      <c r="X71" s="9">
        <v>4</v>
      </c>
      <c r="Y71" s="9">
        <v>4</v>
      </c>
      <c r="Z71" s="9">
        <v>4</v>
      </c>
      <c r="AA71" s="9">
        <v>4</v>
      </c>
      <c r="AB71" s="9">
        <v>4</v>
      </c>
      <c r="AC71" s="9">
        <f t="shared" si="66"/>
        <v>202</v>
      </c>
      <c r="AD71" s="9">
        <f t="shared" si="67"/>
        <v>207</v>
      </c>
      <c r="AE71" s="9">
        <f t="shared" si="68"/>
        <v>207</v>
      </c>
      <c r="AF71" s="9">
        <f t="shared" si="69"/>
        <v>207</v>
      </c>
      <c r="AG71" s="9">
        <f t="shared" si="70"/>
        <v>207</v>
      </c>
      <c r="AH71" s="9">
        <f t="shared" si="71"/>
        <v>207</v>
      </c>
      <c r="AI71" s="7">
        <f t="shared" si="43"/>
        <v>17151.75</v>
      </c>
      <c r="AJ71" s="7">
        <f t="shared" si="43"/>
        <v>17151.75</v>
      </c>
      <c r="AK71" s="7">
        <f t="shared" si="43"/>
        <v>17151.75</v>
      </c>
      <c r="AL71" s="7">
        <f t="shared" si="43"/>
        <v>17151.75</v>
      </c>
      <c r="AM71" s="7">
        <f t="shared" si="43"/>
        <v>17151.75</v>
      </c>
      <c r="AN71" s="7">
        <f t="shared" si="43"/>
        <v>17151.75</v>
      </c>
      <c r="AO71" s="16"/>
      <c r="AP71" s="7"/>
      <c r="AQ71" s="9">
        <v>4</v>
      </c>
      <c r="AR71" s="9">
        <f t="shared" si="72"/>
        <v>186</v>
      </c>
      <c r="AS71" s="7">
        <f t="shared" si="73"/>
        <v>93</v>
      </c>
      <c r="AT71" s="7"/>
      <c r="AU71" s="16"/>
      <c r="AV71" s="7"/>
      <c r="AW71" s="7"/>
      <c r="AX71" s="7"/>
      <c r="AZ71" s="7"/>
      <c r="BA71" s="9">
        <f t="shared" si="42"/>
        <v>16432.600000000017</v>
      </c>
      <c r="BC71" s="5">
        <f t="shared" si="74"/>
        <v>186</v>
      </c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18"/>
      <c r="BQ71" s="18"/>
      <c r="BR71" s="18">
        <v>4401051</v>
      </c>
      <c r="BS71" s="18">
        <f>[1]monsters!$N71</f>
        <v>204.8</v>
      </c>
      <c r="BT71" s="18">
        <f>[1]monsters!$O71</f>
        <v>20.48</v>
      </c>
      <c r="BU71" s="18">
        <f>[1]monsters!$P71</f>
        <v>1600</v>
      </c>
      <c r="BV71" s="18">
        <f>[1]monsters!$Q71</f>
        <v>160</v>
      </c>
      <c r="BW71" s="18">
        <f>[1]monsters!$R71</f>
        <v>29.26</v>
      </c>
      <c r="BX71" s="18">
        <f>[1]monsters!$S71</f>
        <v>2.93</v>
      </c>
      <c r="BY71" s="18">
        <f>[1]monsters!$K71</f>
        <v>1.6</v>
      </c>
      <c r="BZ71" s="5">
        <f>[1]monsters!$D71</f>
        <v>4</v>
      </c>
      <c r="CA71" s="5">
        <f t="shared" si="75"/>
        <v>0.1</v>
      </c>
      <c r="CB71" s="5">
        <f t="shared" si="76"/>
        <v>247.4080538720539</v>
      </c>
      <c r="CC71" s="5">
        <f t="shared" si="77"/>
        <v>24.740805387205391</v>
      </c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>
        <v>0</v>
      </c>
      <c r="CR71" s="3" t="b">
        <f t="shared" si="48"/>
        <v>1</v>
      </c>
      <c r="CS71" s="3" t="b">
        <f t="shared" si="49"/>
        <v>1</v>
      </c>
      <c r="CT71" s="3" t="b">
        <f t="shared" si="50"/>
        <v>1</v>
      </c>
      <c r="CU71" s="3" t="b">
        <f t="shared" si="51"/>
        <v>1</v>
      </c>
      <c r="CV71" s="3" t="b">
        <f t="shared" si="52"/>
        <v>1</v>
      </c>
      <c r="CW71" s="3" t="b">
        <f t="shared" si="53"/>
        <v>1</v>
      </c>
      <c r="CX71" s="9" t="str">
        <f t="shared" si="54"/>
        <v>3302043</v>
      </c>
      <c r="CY71" s="9" t="str">
        <f t="shared" si="55"/>
        <v>3202041</v>
      </c>
      <c r="CZ71" s="9" t="str">
        <f t="shared" si="56"/>
        <v>3301041</v>
      </c>
      <c r="DA71" s="9" t="str">
        <f t="shared" si="57"/>
        <v>3500042</v>
      </c>
      <c r="DB71" s="9" t="str">
        <f t="shared" si="58"/>
        <v>3300042</v>
      </c>
      <c r="DC71" s="9" t="str">
        <f t="shared" si="59"/>
        <v>3300042</v>
      </c>
      <c r="DD71" s="9">
        <v>4</v>
      </c>
      <c r="DE71" s="9">
        <v>4</v>
      </c>
      <c r="DF71" s="9">
        <v>4</v>
      </c>
      <c r="DG71" s="9">
        <v>4</v>
      </c>
      <c r="DH71" s="9">
        <v>4</v>
      </c>
      <c r="DI71" s="9">
        <v>4</v>
      </c>
      <c r="DJ71" s="9">
        <v>3</v>
      </c>
      <c r="DK71" s="9">
        <v>3</v>
      </c>
      <c r="DL71" s="9">
        <v>3</v>
      </c>
      <c r="DM71" s="9">
        <v>3</v>
      </c>
      <c r="DN71" s="9">
        <v>3</v>
      </c>
      <c r="DO71" s="9">
        <v>3</v>
      </c>
      <c r="DP71" s="25" t="s">
        <v>108</v>
      </c>
      <c r="DQ71" s="25" t="s">
        <v>111</v>
      </c>
      <c r="DR71" s="26" t="s">
        <v>107</v>
      </c>
      <c r="DS71" s="26" t="s">
        <v>109</v>
      </c>
      <c r="DT71" s="25" t="s">
        <v>115</v>
      </c>
      <c r="DU71" s="25" t="s">
        <v>115</v>
      </c>
      <c r="DV71" s="25">
        <f t="shared" si="60"/>
        <v>1</v>
      </c>
      <c r="DW71" s="25">
        <f t="shared" si="61"/>
        <v>1</v>
      </c>
      <c r="DX71" s="25">
        <f t="shared" si="62"/>
        <v>1</v>
      </c>
      <c r="DY71" s="25">
        <f t="shared" si="63"/>
        <v>2</v>
      </c>
      <c r="DZ71" s="25">
        <f t="shared" si="64"/>
        <v>2</v>
      </c>
      <c r="EA71" s="3">
        <f t="shared" si="65"/>
        <v>2</v>
      </c>
      <c r="EB71" s="33"/>
      <c r="EC71" s="5">
        <v>3401071</v>
      </c>
      <c r="ED71" s="31" t="s">
        <v>117</v>
      </c>
      <c r="EE71" s="8">
        <v>2</v>
      </c>
    </row>
    <row r="72" spans="1:148" ht="13.5" customHeight="1">
      <c r="A72" s="9">
        <v>69</v>
      </c>
      <c r="B72" s="9">
        <v>1</v>
      </c>
      <c r="C72" s="9">
        <v>2001</v>
      </c>
      <c r="D72" s="9">
        <f t="shared" si="40"/>
        <v>120881</v>
      </c>
      <c r="E72" s="9" t="str">
        <f t="shared" si="44"/>
        <v>3202041,3202041,3202041,3501043,3500042,3501043</v>
      </c>
      <c r="F72" s="9" t="str">
        <f t="shared" si="45"/>
        <v>4,4,4,4,4,4</v>
      </c>
      <c r="G72" s="9" t="str">
        <f t="shared" si="46"/>
        <v>204,209,209,209,209,209</v>
      </c>
      <c r="H72" s="9">
        <v>67</v>
      </c>
      <c r="I72" s="9" t="s">
        <v>278</v>
      </c>
      <c r="J72" s="9" t="s">
        <v>279</v>
      </c>
      <c r="K72" s="9" t="s">
        <v>279</v>
      </c>
      <c r="L72" s="9" t="s">
        <v>279</v>
      </c>
      <c r="M72" s="9" t="s">
        <v>284</v>
      </c>
      <c r="O72" s="3">
        <f t="shared" si="47"/>
        <v>120881</v>
      </c>
      <c r="P72" s="9">
        <v>104658.75</v>
      </c>
      <c r="Q72" s="9">
        <v>3202041</v>
      </c>
      <c r="R72" s="9">
        <v>3202041</v>
      </c>
      <c r="S72" s="9">
        <v>3202041</v>
      </c>
      <c r="T72" s="9">
        <v>3501043</v>
      </c>
      <c r="U72" s="9">
        <v>3500042</v>
      </c>
      <c r="V72" s="9">
        <v>3501043</v>
      </c>
      <c r="W72" s="9">
        <v>4</v>
      </c>
      <c r="X72" s="9">
        <v>4</v>
      </c>
      <c r="Y72" s="9">
        <v>4</v>
      </c>
      <c r="Z72" s="9">
        <v>4</v>
      </c>
      <c r="AA72" s="9">
        <v>4</v>
      </c>
      <c r="AB72" s="9">
        <v>4</v>
      </c>
      <c r="AC72" s="9">
        <f t="shared" si="66"/>
        <v>204</v>
      </c>
      <c r="AD72" s="9">
        <f t="shared" si="67"/>
        <v>209</v>
      </c>
      <c r="AE72" s="9">
        <f t="shared" si="68"/>
        <v>209</v>
      </c>
      <c r="AF72" s="9">
        <f t="shared" si="69"/>
        <v>209</v>
      </c>
      <c r="AG72" s="9">
        <f t="shared" si="70"/>
        <v>209</v>
      </c>
      <c r="AH72" s="9">
        <f t="shared" si="71"/>
        <v>209</v>
      </c>
      <c r="AI72" s="7">
        <f t="shared" si="43"/>
        <v>17443.125</v>
      </c>
      <c r="AJ72" s="7">
        <f t="shared" si="43"/>
        <v>17443.125</v>
      </c>
      <c r="AK72" s="7">
        <f t="shared" si="43"/>
        <v>17443.125</v>
      </c>
      <c r="AL72" s="7">
        <f t="shared" si="43"/>
        <v>17443.125</v>
      </c>
      <c r="AM72" s="7">
        <f t="shared" si="43"/>
        <v>17443.125</v>
      </c>
      <c r="AN72" s="7">
        <f t="shared" si="43"/>
        <v>17443.125</v>
      </c>
      <c r="AO72" s="16"/>
      <c r="AP72" s="7"/>
      <c r="AQ72" s="9">
        <v>4</v>
      </c>
      <c r="AR72" s="9">
        <f t="shared" si="72"/>
        <v>188</v>
      </c>
      <c r="AS72" s="7">
        <f t="shared" si="73"/>
        <v>94</v>
      </c>
      <c r="AT72" s="7"/>
      <c r="AU72" s="16"/>
      <c r="AV72" s="7"/>
      <c r="AW72" s="7"/>
      <c r="AX72" s="7"/>
      <c r="AZ72" s="7"/>
      <c r="BA72" s="9">
        <f t="shared" si="42"/>
        <v>16788.050000000017</v>
      </c>
      <c r="BC72" s="5">
        <f t="shared" si="74"/>
        <v>188</v>
      </c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18"/>
      <c r="BQ72" s="18"/>
      <c r="BR72" s="18">
        <v>4500051</v>
      </c>
      <c r="BS72" s="18">
        <f>[1]monsters!$N72</f>
        <v>192</v>
      </c>
      <c r="BT72" s="18">
        <f>[1]monsters!$O72</f>
        <v>19.2</v>
      </c>
      <c r="BU72" s="18">
        <f>[1]monsters!$P72</f>
        <v>1600</v>
      </c>
      <c r="BV72" s="18">
        <f>[1]monsters!$Q72</f>
        <v>160</v>
      </c>
      <c r="BW72" s="18">
        <f>[1]monsters!$R72</f>
        <v>27.43</v>
      </c>
      <c r="BX72" s="18">
        <f>[1]monsters!$S72</f>
        <v>2.74</v>
      </c>
      <c r="BY72" s="18">
        <f>[1]monsters!$K72</f>
        <v>1.5</v>
      </c>
      <c r="BZ72" s="5">
        <f>[1]monsters!$D72</f>
        <v>4</v>
      </c>
      <c r="CA72" s="5">
        <f t="shared" si="75"/>
        <v>0.1</v>
      </c>
      <c r="CB72" s="5">
        <f t="shared" si="76"/>
        <v>235.31205387205389</v>
      </c>
      <c r="CC72" s="5">
        <f t="shared" si="77"/>
        <v>23.531205387205389</v>
      </c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>
        <v>0</v>
      </c>
      <c r="CR72" s="3" t="b">
        <f t="shared" si="48"/>
        <v>1</v>
      </c>
      <c r="CS72" s="3" t="b">
        <f t="shared" si="49"/>
        <v>1</v>
      </c>
      <c r="CT72" s="3" t="b">
        <f t="shared" si="50"/>
        <v>1</v>
      </c>
      <c r="CU72" s="3" t="b">
        <f t="shared" si="51"/>
        <v>1</v>
      </c>
      <c r="CV72" s="3" t="b">
        <f t="shared" si="52"/>
        <v>1</v>
      </c>
      <c r="CW72" s="3" t="b">
        <f t="shared" si="53"/>
        <v>1</v>
      </c>
      <c r="CX72" s="9" t="str">
        <f t="shared" si="54"/>
        <v>3202041</v>
      </c>
      <c r="CY72" s="9" t="str">
        <f t="shared" si="55"/>
        <v>3202041</v>
      </c>
      <c r="CZ72" s="9" t="str">
        <f t="shared" si="56"/>
        <v>3202041</v>
      </c>
      <c r="DA72" s="9" t="str">
        <f t="shared" si="57"/>
        <v>3501043</v>
      </c>
      <c r="DB72" s="9" t="str">
        <f t="shared" si="58"/>
        <v>3500042</v>
      </c>
      <c r="DC72" s="9" t="str">
        <f t="shared" si="59"/>
        <v>3501043</v>
      </c>
      <c r="DD72" s="9">
        <v>4</v>
      </c>
      <c r="DE72" s="9">
        <v>4</v>
      </c>
      <c r="DF72" s="9">
        <v>4</v>
      </c>
      <c r="DG72" s="9">
        <v>4</v>
      </c>
      <c r="DH72" s="9">
        <v>4</v>
      </c>
      <c r="DI72" s="9">
        <v>4</v>
      </c>
      <c r="DJ72" s="9">
        <v>3</v>
      </c>
      <c r="DK72" s="9">
        <v>3</v>
      </c>
      <c r="DL72" s="9">
        <v>3</v>
      </c>
      <c r="DM72" s="9">
        <v>3</v>
      </c>
      <c r="DN72" s="9">
        <v>3</v>
      </c>
      <c r="DO72" s="9">
        <v>3</v>
      </c>
      <c r="DP72" s="25" t="s">
        <v>111</v>
      </c>
      <c r="DQ72" s="25" t="s">
        <v>111</v>
      </c>
      <c r="DR72" s="25" t="s">
        <v>111</v>
      </c>
      <c r="DS72" s="26" t="s">
        <v>121</v>
      </c>
      <c r="DT72" s="26" t="s">
        <v>109</v>
      </c>
      <c r="DU72" s="26" t="s">
        <v>121</v>
      </c>
      <c r="DV72" s="26">
        <f t="shared" si="60"/>
        <v>1</v>
      </c>
      <c r="DW72" s="26">
        <f t="shared" si="61"/>
        <v>1</v>
      </c>
      <c r="DX72" s="26">
        <f t="shared" si="62"/>
        <v>1</v>
      </c>
      <c r="DY72" s="26">
        <f t="shared" si="63"/>
        <v>2</v>
      </c>
      <c r="DZ72" s="26">
        <f t="shared" si="64"/>
        <v>2</v>
      </c>
      <c r="EA72" s="3">
        <f t="shared" si="65"/>
        <v>2</v>
      </c>
      <c r="EB72" s="33"/>
      <c r="EC72" s="5">
        <v>3402073</v>
      </c>
      <c r="ED72" s="31" t="s">
        <v>118</v>
      </c>
      <c r="EE72" s="8">
        <v>2</v>
      </c>
    </row>
    <row r="73" spans="1:148" ht="13.5" customHeight="1">
      <c r="A73" s="9">
        <v>70</v>
      </c>
      <c r="B73" s="9">
        <v>1</v>
      </c>
      <c r="C73" s="9">
        <v>2001</v>
      </c>
      <c r="D73" s="9">
        <f t="shared" si="40"/>
        <v>123126</v>
      </c>
      <c r="E73" s="9" t="str">
        <f t="shared" si="44"/>
        <v>3202041,3202041,3202041,3402043,3500042,3500042</v>
      </c>
      <c r="F73" s="9" t="str">
        <f t="shared" si="45"/>
        <v>4,4,4,4,4,4</v>
      </c>
      <c r="G73" s="9" t="str">
        <f t="shared" si="46"/>
        <v>206,211,211,211,211,211</v>
      </c>
      <c r="H73" s="9">
        <v>68</v>
      </c>
      <c r="I73" s="9" t="s">
        <v>278</v>
      </c>
      <c r="J73" s="9" t="s">
        <v>279</v>
      </c>
      <c r="K73" s="9" t="s">
        <v>279</v>
      </c>
      <c r="L73" s="9" t="s">
        <v>279</v>
      </c>
      <c r="M73" s="9" t="s">
        <v>284</v>
      </c>
      <c r="O73" s="3">
        <f t="shared" si="47"/>
        <v>123126</v>
      </c>
      <c r="P73" s="9">
        <v>106603</v>
      </c>
      <c r="Q73" s="9">
        <v>3202041</v>
      </c>
      <c r="R73" s="9">
        <v>3202041</v>
      </c>
      <c r="S73" s="9">
        <v>3202041</v>
      </c>
      <c r="T73" s="9">
        <v>3402043</v>
      </c>
      <c r="U73" s="9">
        <v>3500042</v>
      </c>
      <c r="V73" s="9">
        <v>3500042</v>
      </c>
      <c r="W73" s="9">
        <v>4</v>
      </c>
      <c r="X73" s="9">
        <v>4</v>
      </c>
      <c r="Y73" s="9">
        <v>4</v>
      </c>
      <c r="Z73" s="9">
        <v>4</v>
      </c>
      <c r="AA73" s="9">
        <v>4</v>
      </c>
      <c r="AB73" s="9">
        <v>4</v>
      </c>
      <c r="AC73" s="9">
        <f t="shared" si="66"/>
        <v>206</v>
      </c>
      <c r="AD73" s="9">
        <f t="shared" si="67"/>
        <v>211</v>
      </c>
      <c r="AE73" s="9">
        <f t="shared" si="68"/>
        <v>211</v>
      </c>
      <c r="AF73" s="9">
        <f t="shared" si="69"/>
        <v>211</v>
      </c>
      <c r="AG73" s="9">
        <f t="shared" si="70"/>
        <v>211</v>
      </c>
      <c r="AH73" s="9">
        <f t="shared" si="71"/>
        <v>211</v>
      </c>
      <c r="AI73" s="7">
        <f t="shared" si="43"/>
        <v>17767.166666666668</v>
      </c>
      <c r="AJ73" s="7">
        <f t="shared" si="43"/>
        <v>17767.166666666668</v>
      </c>
      <c r="AK73" s="7">
        <f t="shared" si="43"/>
        <v>17767.166666666668</v>
      </c>
      <c r="AL73" s="7">
        <f t="shared" si="43"/>
        <v>17767.166666666668</v>
      </c>
      <c r="AM73" s="7">
        <f t="shared" si="43"/>
        <v>17767.166666666668</v>
      </c>
      <c r="AN73" s="7">
        <f t="shared" si="43"/>
        <v>17767.166666666668</v>
      </c>
      <c r="AO73" s="16"/>
      <c r="AP73" s="7"/>
      <c r="AQ73" s="9">
        <v>4</v>
      </c>
      <c r="AR73" s="9">
        <f t="shared" si="72"/>
        <v>190</v>
      </c>
      <c r="AS73" s="7">
        <f t="shared" si="73"/>
        <v>95</v>
      </c>
      <c r="AT73" s="7"/>
      <c r="AU73" s="16"/>
      <c r="AV73" s="7"/>
      <c r="AW73" s="7"/>
      <c r="AX73" s="7"/>
      <c r="AZ73" s="7"/>
      <c r="BA73" s="9">
        <f t="shared" si="42"/>
        <v>17143.500000000018</v>
      </c>
      <c r="BC73" s="5">
        <f t="shared" si="74"/>
        <v>190</v>
      </c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18"/>
      <c r="BQ73" s="18"/>
      <c r="BR73" s="18">
        <v>4601051</v>
      </c>
      <c r="BS73" s="18">
        <f>[1]monsters!$N73</f>
        <v>238.93</v>
      </c>
      <c r="BT73" s="18">
        <f>[1]monsters!$O73</f>
        <v>23.89</v>
      </c>
      <c r="BU73" s="18">
        <f>[1]monsters!$P73</f>
        <v>1371.43</v>
      </c>
      <c r="BV73" s="18">
        <f>[1]monsters!$Q73</f>
        <v>137.13999999999999</v>
      </c>
      <c r="BW73" s="18">
        <f>[1]monsters!$R73</f>
        <v>29.87</v>
      </c>
      <c r="BX73" s="18">
        <f>[1]monsters!$S73</f>
        <v>2.99</v>
      </c>
      <c r="BY73" s="18">
        <f>[1]monsters!$K73</f>
        <v>1.6</v>
      </c>
      <c r="BZ73" s="5">
        <f>[1]monsters!$D73</f>
        <v>5</v>
      </c>
      <c r="CA73" s="5">
        <f t="shared" si="75"/>
        <v>0.1</v>
      </c>
      <c r="CB73" s="5">
        <f t="shared" si="76"/>
        <v>271.96494427609429</v>
      </c>
      <c r="CC73" s="5">
        <f t="shared" si="77"/>
        <v>27.19649442760943</v>
      </c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>
        <v>1</v>
      </c>
      <c r="CR73" s="3" t="b">
        <f t="shared" si="48"/>
        <v>1</v>
      </c>
      <c r="CS73" s="3" t="b">
        <f t="shared" si="49"/>
        <v>1</v>
      </c>
      <c r="CT73" s="3" t="b">
        <f t="shared" si="50"/>
        <v>1</v>
      </c>
      <c r="CU73" s="3" t="b">
        <f t="shared" si="51"/>
        <v>1</v>
      </c>
      <c r="CV73" s="3" t="b">
        <f t="shared" si="52"/>
        <v>1</v>
      </c>
      <c r="CW73" s="3" t="b">
        <f t="shared" si="53"/>
        <v>1</v>
      </c>
      <c r="CX73" s="9" t="str">
        <f t="shared" si="54"/>
        <v>3202041</v>
      </c>
      <c r="CY73" s="9" t="str">
        <f t="shared" si="55"/>
        <v>3202041</v>
      </c>
      <c r="CZ73" s="9" t="str">
        <f t="shared" si="56"/>
        <v>3202041</v>
      </c>
      <c r="DA73" s="9" t="str">
        <f t="shared" si="57"/>
        <v>3402043</v>
      </c>
      <c r="DB73" s="9" t="str">
        <f t="shared" si="58"/>
        <v>3500042</v>
      </c>
      <c r="DC73" s="9" t="str">
        <f t="shared" si="59"/>
        <v>3500042</v>
      </c>
      <c r="DD73" s="9">
        <v>4</v>
      </c>
      <c r="DE73" s="9">
        <v>4</v>
      </c>
      <c r="DF73" s="9">
        <v>4</v>
      </c>
      <c r="DG73" s="9">
        <v>4</v>
      </c>
      <c r="DH73" s="9">
        <v>4</v>
      </c>
      <c r="DI73" s="9">
        <v>4</v>
      </c>
      <c r="DJ73" s="9">
        <v>3</v>
      </c>
      <c r="DK73" s="9">
        <v>3</v>
      </c>
      <c r="DL73" s="9">
        <v>3</v>
      </c>
      <c r="DM73" s="9">
        <v>3</v>
      </c>
      <c r="DN73" s="9">
        <v>3</v>
      </c>
      <c r="DO73" s="9">
        <v>3</v>
      </c>
      <c r="DP73" s="25" t="s">
        <v>111</v>
      </c>
      <c r="DQ73" s="25" t="s">
        <v>111</v>
      </c>
      <c r="DR73" s="25" t="s">
        <v>111</v>
      </c>
      <c r="DS73" s="25" t="s">
        <v>118</v>
      </c>
      <c r="DT73" s="26" t="s">
        <v>109</v>
      </c>
      <c r="DU73" s="26" t="s">
        <v>109</v>
      </c>
      <c r="DV73" s="26">
        <f t="shared" si="60"/>
        <v>1</v>
      </c>
      <c r="DW73" s="26">
        <f t="shared" si="61"/>
        <v>1</v>
      </c>
      <c r="DX73" s="26">
        <f t="shared" si="62"/>
        <v>1</v>
      </c>
      <c r="DY73" s="26">
        <f t="shared" si="63"/>
        <v>2</v>
      </c>
      <c r="DZ73" s="26">
        <f t="shared" si="64"/>
        <v>2</v>
      </c>
      <c r="EA73" s="3">
        <f t="shared" si="65"/>
        <v>2</v>
      </c>
      <c r="EB73" s="33"/>
      <c r="EC73" s="5">
        <v>3501073</v>
      </c>
      <c r="ED73" s="31" t="s">
        <v>121</v>
      </c>
      <c r="EE73" s="8">
        <v>2</v>
      </c>
    </row>
    <row r="74" spans="1:148" ht="13.5" customHeight="1">
      <c r="A74" s="9">
        <v>71</v>
      </c>
      <c r="B74" s="9">
        <v>1</v>
      </c>
      <c r="C74" s="9">
        <v>2001</v>
      </c>
      <c r="D74" s="9">
        <f t="shared" si="40"/>
        <v>125182</v>
      </c>
      <c r="E74" s="9" t="str">
        <f t="shared" si="44"/>
        <v>3201042,3301041,3202041,3402043,3502041,3502041</v>
      </c>
      <c r="F74" s="9" t="str">
        <f t="shared" si="45"/>
        <v>4,4,4,4,4,4</v>
      </c>
      <c r="G74" s="9" t="str">
        <f t="shared" si="46"/>
        <v>208,212,212,212,212,212</v>
      </c>
      <c r="H74" s="9">
        <v>70</v>
      </c>
      <c r="I74" s="9" t="s">
        <v>278</v>
      </c>
      <c r="J74" s="9" t="s">
        <v>279</v>
      </c>
      <c r="K74" s="9" t="s">
        <v>279</v>
      </c>
      <c r="L74" s="9" t="s">
        <v>279</v>
      </c>
      <c r="M74" s="9" t="s">
        <v>284</v>
      </c>
      <c r="O74" s="3">
        <f t="shared" si="47"/>
        <v>125182</v>
      </c>
      <c r="P74" s="9">
        <v>108382.75</v>
      </c>
      <c r="Q74" s="9">
        <v>3201042</v>
      </c>
      <c r="R74" s="9">
        <v>3301041</v>
      </c>
      <c r="S74" s="9">
        <v>3202041</v>
      </c>
      <c r="T74" s="9">
        <v>3402043</v>
      </c>
      <c r="U74" s="9">
        <v>3502041</v>
      </c>
      <c r="V74" s="9">
        <v>3502041</v>
      </c>
      <c r="W74" s="9">
        <v>4</v>
      </c>
      <c r="X74" s="9">
        <v>4</v>
      </c>
      <c r="Y74" s="9">
        <v>4</v>
      </c>
      <c r="Z74" s="9">
        <v>4</v>
      </c>
      <c r="AA74" s="9">
        <v>4</v>
      </c>
      <c r="AB74" s="9">
        <v>4</v>
      </c>
      <c r="AC74" s="9">
        <f t="shared" si="66"/>
        <v>208</v>
      </c>
      <c r="AD74" s="9">
        <f t="shared" si="67"/>
        <v>212</v>
      </c>
      <c r="AE74" s="9">
        <f t="shared" si="68"/>
        <v>212</v>
      </c>
      <c r="AF74" s="9">
        <f t="shared" si="69"/>
        <v>212</v>
      </c>
      <c r="AG74" s="9">
        <f t="shared" si="70"/>
        <v>212</v>
      </c>
      <c r="AH74" s="9">
        <f t="shared" si="71"/>
        <v>212</v>
      </c>
      <c r="AI74" s="7">
        <f t="shared" si="43"/>
        <v>18063.791666666668</v>
      </c>
      <c r="AJ74" s="7">
        <f t="shared" si="43"/>
        <v>18063.791666666668</v>
      </c>
      <c r="AK74" s="7">
        <f t="shared" si="43"/>
        <v>18063.791666666668</v>
      </c>
      <c r="AL74" s="7">
        <f t="shared" si="43"/>
        <v>18063.791666666668</v>
      </c>
      <c r="AM74" s="7">
        <f t="shared" si="43"/>
        <v>18063.791666666668</v>
      </c>
      <c r="AN74" s="7">
        <f t="shared" si="43"/>
        <v>18063.791666666668</v>
      </c>
      <c r="AO74" s="16"/>
      <c r="AP74" s="7"/>
      <c r="AQ74" s="9">
        <v>4</v>
      </c>
      <c r="AR74" s="9">
        <f t="shared" si="72"/>
        <v>192</v>
      </c>
      <c r="AS74" s="7">
        <f t="shared" si="73"/>
        <v>96</v>
      </c>
      <c r="AT74" s="7"/>
      <c r="AU74" s="16"/>
      <c r="AV74" s="7"/>
      <c r="AW74" s="7"/>
      <c r="AX74" s="7"/>
      <c r="AZ74" s="7"/>
      <c r="BA74" s="9">
        <f t="shared" si="42"/>
        <v>17498.950000000019</v>
      </c>
      <c r="BC74" s="5">
        <f t="shared" si="74"/>
        <v>192</v>
      </c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18"/>
      <c r="BQ74" s="18"/>
      <c r="BR74" s="18">
        <v>4301051</v>
      </c>
      <c r="BS74" s="18">
        <f>[1]monsters!$N74</f>
        <v>231.47</v>
      </c>
      <c r="BT74" s="18">
        <f>[1]monsters!$O74</f>
        <v>23.15</v>
      </c>
      <c r="BU74" s="18">
        <f>[1]monsters!$P74</f>
        <v>1238.71</v>
      </c>
      <c r="BV74" s="18">
        <f>[1]monsters!$Q74</f>
        <v>123.87</v>
      </c>
      <c r="BW74" s="18">
        <f>[1]monsters!$R74</f>
        <v>23.15</v>
      </c>
      <c r="BX74" s="18">
        <f>[1]monsters!$S74</f>
        <v>2.31</v>
      </c>
      <c r="BY74" s="18">
        <f>[1]monsters!$K74</f>
        <v>1.4</v>
      </c>
      <c r="BZ74" s="5">
        <f>[1]monsters!$D74</f>
        <v>6</v>
      </c>
      <c r="CA74" s="5">
        <f t="shared" si="75"/>
        <v>0.1</v>
      </c>
      <c r="CB74" s="5">
        <f t="shared" si="76"/>
        <v>260.44655740740745</v>
      </c>
      <c r="CC74" s="5">
        <f t="shared" si="77"/>
        <v>26.044655740740748</v>
      </c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>
        <v>0</v>
      </c>
      <c r="CR74" s="3" t="b">
        <f t="shared" si="48"/>
        <v>1</v>
      </c>
      <c r="CS74" s="3" t="b">
        <f t="shared" si="49"/>
        <v>1</v>
      </c>
      <c r="CT74" s="3" t="b">
        <f t="shared" si="50"/>
        <v>1</v>
      </c>
      <c r="CU74" s="3" t="b">
        <f t="shared" si="51"/>
        <v>1</v>
      </c>
      <c r="CV74" s="3" t="b">
        <f t="shared" si="52"/>
        <v>1</v>
      </c>
      <c r="CW74" s="3" t="b">
        <f t="shared" si="53"/>
        <v>1</v>
      </c>
      <c r="CX74" s="9" t="str">
        <f t="shared" si="54"/>
        <v>3201042</v>
      </c>
      <c r="CY74" s="9" t="str">
        <f t="shared" si="55"/>
        <v>3301041</v>
      </c>
      <c r="CZ74" s="9" t="str">
        <f t="shared" si="56"/>
        <v>3202041</v>
      </c>
      <c r="DA74" s="9" t="str">
        <f t="shared" si="57"/>
        <v>3402043</v>
      </c>
      <c r="DB74" s="9" t="str">
        <f t="shared" si="58"/>
        <v>3502041</v>
      </c>
      <c r="DC74" s="9" t="str">
        <f t="shared" si="59"/>
        <v>3502041</v>
      </c>
      <c r="DD74" s="9">
        <v>4</v>
      </c>
      <c r="DE74" s="9">
        <v>4</v>
      </c>
      <c r="DF74" s="9">
        <v>4</v>
      </c>
      <c r="DG74" s="9">
        <v>4</v>
      </c>
      <c r="DH74" s="9">
        <v>4</v>
      </c>
      <c r="DI74" s="9">
        <v>4</v>
      </c>
      <c r="DJ74" s="9">
        <v>3</v>
      </c>
      <c r="DK74" s="9">
        <v>3</v>
      </c>
      <c r="DL74" s="9">
        <v>3</v>
      </c>
      <c r="DM74" s="9">
        <v>3</v>
      </c>
      <c r="DN74" s="9">
        <v>3</v>
      </c>
      <c r="DO74" s="9">
        <v>3</v>
      </c>
      <c r="DP74" s="25" t="s">
        <v>114</v>
      </c>
      <c r="DQ74" s="27" t="s">
        <v>107</v>
      </c>
      <c r="DR74" s="27" t="s">
        <v>111</v>
      </c>
      <c r="DS74" s="26" t="s">
        <v>118</v>
      </c>
      <c r="DT74" s="26" t="s">
        <v>119</v>
      </c>
      <c r="DU74" s="26" t="s">
        <v>119</v>
      </c>
      <c r="DV74" s="26">
        <f t="shared" si="60"/>
        <v>1</v>
      </c>
      <c r="DW74" s="26">
        <f t="shared" si="61"/>
        <v>1</v>
      </c>
      <c r="DX74" s="26">
        <f t="shared" si="62"/>
        <v>1</v>
      </c>
      <c r="DY74" s="26">
        <f t="shared" si="63"/>
        <v>2</v>
      </c>
      <c r="DZ74" s="26">
        <f t="shared" si="64"/>
        <v>2</v>
      </c>
      <c r="EA74" s="3">
        <f t="shared" si="65"/>
        <v>2</v>
      </c>
      <c r="EB74" s="33"/>
      <c r="EC74" s="5">
        <v>3600073</v>
      </c>
      <c r="ED74" s="31" t="s">
        <v>131</v>
      </c>
      <c r="EE74" s="8">
        <v>1</v>
      </c>
    </row>
    <row r="75" spans="1:148" ht="13.5" customHeight="1">
      <c r="A75" s="9">
        <v>72</v>
      </c>
      <c r="B75" s="9">
        <v>1</v>
      </c>
      <c r="C75" s="9">
        <v>2001</v>
      </c>
      <c r="D75" s="9">
        <f t="shared" si="40"/>
        <v>127254</v>
      </c>
      <c r="E75" s="9" t="str">
        <f t="shared" si="44"/>
        <v>3302043,3202041,3200043,3502041,3402043,3502041</v>
      </c>
      <c r="F75" s="9" t="str">
        <f t="shared" si="45"/>
        <v>4,4,4,4,4,4</v>
      </c>
      <c r="G75" s="9" t="str">
        <f t="shared" si="46"/>
        <v>210,214,214,214,214,214</v>
      </c>
      <c r="H75" s="9">
        <v>70</v>
      </c>
      <c r="I75" s="9" t="s">
        <v>278</v>
      </c>
      <c r="J75" s="9" t="s">
        <v>279</v>
      </c>
      <c r="K75" s="9" t="s">
        <v>279</v>
      </c>
      <c r="L75" s="9" t="s">
        <v>279</v>
      </c>
      <c r="M75" s="9" t="s">
        <v>284</v>
      </c>
      <c r="O75" s="3">
        <f t="shared" si="47"/>
        <v>127254</v>
      </c>
      <c r="P75" s="9">
        <v>110176.5</v>
      </c>
      <c r="Q75" s="9">
        <v>3302043</v>
      </c>
      <c r="R75" s="9">
        <v>3202041</v>
      </c>
      <c r="S75" s="9">
        <v>3200043</v>
      </c>
      <c r="T75" s="9">
        <v>3502041</v>
      </c>
      <c r="U75" s="9">
        <v>3402043</v>
      </c>
      <c r="V75" s="9">
        <v>3502041</v>
      </c>
      <c r="W75" s="9">
        <v>4</v>
      </c>
      <c r="X75" s="9">
        <v>4</v>
      </c>
      <c r="Y75" s="9">
        <v>4</v>
      </c>
      <c r="Z75" s="9">
        <v>4</v>
      </c>
      <c r="AA75" s="9">
        <v>4</v>
      </c>
      <c r="AB75" s="9">
        <v>4</v>
      </c>
      <c r="AC75" s="9">
        <f t="shared" si="66"/>
        <v>210</v>
      </c>
      <c r="AD75" s="9">
        <f t="shared" si="67"/>
        <v>214</v>
      </c>
      <c r="AE75" s="9">
        <f t="shared" si="68"/>
        <v>214</v>
      </c>
      <c r="AF75" s="9">
        <f t="shared" si="69"/>
        <v>214</v>
      </c>
      <c r="AG75" s="9">
        <f t="shared" si="70"/>
        <v>214</v>
      </c>
      <c r="AH75" s="9">
        <f t="shared" si="71"/>
        <v>214</v>
      </c>
      <c r="AI75" s="7">
        <f t="shared" si="43"/>
        <v>18362.75</v>
      </c>
      <c r="AJ75" s="7">
        <f t="shared" si="43"/>
        <v>18362.75</v>
      </c>
      <c r="AK75" s="7">
        <f t="shared" si="43"/>
        <v>18362.75</v>
      </c>
      <c r="AL75" s="7">
        <f t="shared" si="43"/>
        <v>18362.75</v>
      </c>
      <c r="AM75" s="7">
        <f t="shared" si="43"/>
        <v>18362.75</v>
      </c>
      <c r="AN75" s="7">
        <f t="shared" si="43"/>
        <v>18362.75</v>
      </c>
      <c r="AO75" s="16"/>
      <c r="AP75" s="7"/>
      <c r="AQ75" s="9">
        <v>4</v>
      </c>
      <c r="AR75" s="9">
        <f t="shared" si="72"/>
        <v>193</v>
      </c>
      <c r="AS75" s="7">
        <f t="shared" si="73"/>
        <v>97</v>
      </c>
      <c r="AT75" s="7"/>
      <c r="AU75" s="16"/>
      <c r="AV75" s="7"/>
      <c r="AW75" s="7"/>
      <c r="AX75" s="7"/>
      <c r="AZ75" s="7"/>
      <c r="BA75" s="9">
        <f t="shared" si="42"/>
        <v>17854.40000000002</v>
      </c>
      <c r="BC75" s="5">
        <f t="shared" si="74"/>
        <v>193</v>
      </c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18"/>
      <c r="BQ75" s="18"/>
      <c r="BR75" s="18">
        <v>4501051</v>
      </c>
      <c r="BS75" s="18">
        <f>[1]monsters!$N75</f>
        <v>297.60000000000002</v>
      </c>
      <c r="BT75" s="18">
        <f>[1]monsters!$O75</f>
        <v>29.76</v>
      </c>
      <c r="BU75" s="18">
        <f>[1]monsters!$P75</f>
        <v>1238.71</v>
      </c>
      <c r="BV75" s="18">
        <f>[1]monsters!$Q75</f>
        <v>123.87</v>
      </c>
      <c r="BW75" s="18">
        <f>[1]monsters!$R75</f>
        <v>29.76</v>
      </c>
      <c r="BX75" s="18">
        <f>[1]monsters!$S75</f>
        <v>2.98</v>
      </c>
      <c r="BY75" s="18">
        <f>[1]monsters!$K75</f>
        <v>1.8</v>
      </c>
      <c r="BZ75" s="5">
        <f>[1]monsters!$D75</f>
        <v>6</v>
      </c>
      <c r="CA75" s="5">
        <f t="shared" si="75"/>
        <v>0.1</v>
      </c>
      <c r="CB75" s="5">
        <f t="shared" si="76"/>
        <v>322.93940740740743</v>
      </c>
      <c r="CC75" s="5">
        <f t="shared" si="77"/>
        <v>32.293940740740744</v>
      </c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>
        <v>0</v>
      </c>
      <c r="CR75" s="3" t="b">
        <f t="shared" si="48"/>
        <v>1</v>
      </c>
      <c r="CS75" s="3" t="b">
        <f t="shared" si="49"/>
        <v>1</v>
      </c>
      <c r="CT75" s="3" t="b">
        <f t="shared" si="50"/>
        <v>1</v>
      </c>
      <c r="CU75" s="3" t="b">
        <f t="shared" si="51"/>
        <v>1</v>
      </c>
      <c r="CV75" s="3" t="b">
        <f t="shared" si="52"/>
        <v>1</v>
      </c>
      <c r="CW75" s="3" t="b">
        <f t="shared" si="53"/>
        <v>1</v>
      </c>
      <c r="CX75" s="9" t="str">
        <f t="shared" si="54"/>
        <v>3302043</v>
      </c>
      <c r="CY75" s="9" t="str">
        <f t="shared" si="55"/>
        <v>3202041</v>
      </c>
      <c r="CZ75" s="9" t="str">
        <f t="shared" si="56"/>
        <v>3200043</v>
      </c>
      <c r="DA75" s="9" t="str">
        <f t="shared" si="57"/>
        <v>3502041</v>
      </c>
      <c r="DB75" s="9" t="str">
        <f t="shared" si="58"/>
        <v>3402043</v>
      </c>
      <c r="DC75" s="9" t="str">
        <f t="shared" si="59"/>
        <v>3502041</v>
      </c>
      <c r="DD75" s="9">
        <v>4</v>
      </c>
      <c r="DE75" s="9">
        <v>4</v>
      </c>
      <c r="DF75" s="9">
        <v>4</v>
      </c>
      <c r="DG75" s="9">
        <v>4</v>
      </c>
      <c r="DH75" s="9">
        <v>4</v>
      </c>
      <c r="DI75" s="9">
        <v>4</v>
      </c>
      <c r="DJ75" s="9">
        <v>3</v>
      </c>
      <c r="DK75" s="9">
        <v>3</v>
      </c>
      <c r="DL75" s="9">
        <v>3</v>
      </c>
      <c r="DM75" s="9">
        <v>3</v>
      </c>
      <c r="DN75" s="9">
        <v>3</v>
      </c>
      <c r="DO75" s="9">
        <v>3</v>
      </c>
      <c r="DP75" s="25" t="s">
        <v>108</v>
      </c>
      <c r="DQ75" s="25" t="s">
        <v>111</v>
      </c>
      <c r="DR75" s="25" t="s">
        <v>113</v>
      </c>
      <c r="DS75" s="26" t="s">
        <v>119</v>
      </c>
      <c r="DT75" s="26" t="s">
        <v>118</v>
      </c>
      <c r="DU75" s="26" t="s">
        <v>119</v>
      </c>
      <c r="DV75" s="26">
        <f t="shared" si="60"/>
        <v>1</v>
      </c>
      <c r="DW75" s="26">
        <f t="shared" si="61"/>
        <v>1</v>
      </c>
      <c r="DX75" s="26">
        <f t="shared" si="62"/>
        <v>1</v>
      </c>
      <c r="DY75" s="26">
        <f t="shared" si="63"/>
        <v>2</v>
      </c>
      <c r="DZ75" s="26">
        <f t="shared" si="64"/>
        <v>2</v>
      </c>
      <c r="EA75" s="3">
        <f t="shared" si="65"/>
        <v>2</v>
      </c>
      <c r="EB75" s="33"/>
      <c r="EC75" s="5">
        <v>3602071</v>
      </c>
      <c r="ED75" s="31" t="s">
        <v>133</v>
      </c>
      <c r="EE75" s="8">
        <v>2</v>
      </c>
    </row>
    <row r="76" spans="1:148" ht="13.5" customHeight="1">
      <c r="A76" s="9">
        <v>73</v>
      </c>
      <c r="B76" s="9">
        <v>1</v>
      </c>
      <c r="C76" s="9">
        <v>2001</v>
      </c>
      <c r="D76" s="9">
        <f t="shared" si="40"/>
        <v>129344</v>
      </c>
      <c r="E76" s="9" t="str">
        <f t="shared" si="44"/>
        <v>3200043,3200043,3200043,3502041,3401041,3401041</v>
      </c>
      <c r="F76" s="9" t="str">
        <f t="shared" si="45"/>
        <v>4,4,4,4,4,4</v>
      </c>
      <c r="G76" s="9" t="str">
        <f t="shared" si="46"/>
        <v>211,216,216,216,216,216</v>
      </c>
      <c r="H76" s="9">
        <v>70</v>
      </c>
      <c r="I76" s="9" t="s">
        <v>278</v>
      </c>
      <c r="J76" s="9" t="s">
        <v>279</v>
      </c>
      <c r="K76" s="9" t="s">
        <v>279</v>
      </c>
      <c r="L76" s="9" t="s">
        <v>279</v>
      </c>
      <c r="M76" s="9" t="s">
        <v>284</v>
      </c>
      <c r="O76" s="3">
        <f t="shared" si="47"/>
        <v>129344</v>
      </c>
      <c r="P76" s="9">
        <v>111986</v>
      </c>
      <c r="Q76" s="9">
        <v>3200043</v>
      </c>
      <c r="R76" s="9">
        <v>3200043</v>
      </c>
      <c r="S76" s="9">
        <v>3200043</v>
      </c>
      <c r="T76" s="9">
        <v>3502041</v>
      </c>
      <c r="U76" s="9">
        <v>3401041</v>
      </c>
      <c r="V76" s="9">
        <v>3401041</v>
      </c>
      <c r="W76" s="9">
        <v>4</v>
      </c>
      <c r="X76" s="9">
        <v>4</v>
      </c>
      <c r="Y76" s="9">
        <v>4</v>
      </c>
      <c r="Z76" s="9">
        <v>4</v>
      </c>
      <c r="AA76" s="9">
        <v>4</v>
      </c>
      <c r="AB76" s="9">
        <v>4</v>
      </c>
      <c r="AC76" s="9">
        <f t="shared" si="66"/>
        <v>211</v>
      </c>
      <c r="AD76" s="9">
        <f t="shared" si="67"/>
        <v>216</v>
      </c>
      <c r="AE76" s="9">
        <f t="shared" si="68"/>
        <v>216</v>
      </c>
      <c r="AF76" s="9">
        <f t="shared" si="69"/>
        <v>216</v>
      </c>
      <c r="AG76" s="9">
        <f t="shared" si="70"/>
        <v>216</v>
      </c>
      <c r="AH76" s="9">
        <f t="shared" si="71"/>
        <v>216</v>
      </c>
      <c r="AI76" s="7">
        <f t="shared" si="43"/>
        <v>18664.333333333332</v>
      </c>
      <c r="AJ76" s="7">
        <f t="shared" si="43"/>
        <v>18664.333333333332</v>
      </c>
      <c r="AK76" s="7">
        <f t="shared" si="43"/>
        <v>18664.333333333332</v>
      </c>
      <c r="AL76" s="7">
        <f t="shared" si="43"/>
        <v>18664.333333333332</v>
      </c>
      <c r="AM76" s="7">
        <f t="shared" si="43"/>
        <v>18664.333333333332</v>
      </c>
      <c r="AN76" s="7">
        <f t="shared" si="43"/>
        <v>18664.333333333332</v>
      </c>
      <c r="AO76" s="16"/>
      <c r="AP76" s="7"/>
      <c r="AQ76" s="9">
        <v>4</v>
      </c>
      <c r="AR76" s="9">
        <f t="shared" si="72"/>
        <v>195</v>
      </c>
      <c r="AS76" s="7">
        <f t="shared" si="73"/>
        <v>98</v>
      </c>
      <c r="AT76" s="7"/>
      <c r="AU76" s="16"/>
      <c r="AV76" s="7"/>
      <c r="AW76" s="7"/>
      <c r="AX76" s="7"/>
      <c r="AZ76" s="7"/>
      <c r="BA76" s="9">
        <f t="shared" si="42"/>
        <v>18209.85000000002</v>
      </c>
      <c r="BC76" s="5">
        <f t="shared" si="74"/>
        <v>195</v>
      </c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18"/>
      <c r="BQ76" s="18"/>
      <c r="BR76" s="18">
        <v>4202051</v>
      </c>
      <c r="BS76" s="18">
        <f>[1]monsters!$N76</f>
        <v>124.8</v>
      </c>
      <c r="BT76" s="18">
        <f>[1]monsters!$O76</f>
        <v>12.48</v>
      </c>
      <c r="BU76" s="18">
        <f>[1]monsters!$P76</f>
        <v>2133.33</v>
      </c>
      <c r="BV76" s="18">
        <f>[1]monsters!$Q76</f>
        <v>213.33</v>
      </c>
      <c r="BW76" s="18">
        <f>[1]monsters!$R76</f>
        <v>24.96</v>
      </c>
      <c r="BX76" s="18">
        <f>[1]monsters!$S76</f>
        <v>2.5</v>
      </c>
      <c r="BY76" s="18">
        <f>[1]monsters!$K76</f>
        <v>1.3</v>
      </c>
      <c r="BZ76" s="5">
        <f>[1]monsters!$D76</f>
        <v>3</v>
      </c>
      <c r="CA76" s="5">
        <f t="shared" si="75"/>
        <v>0.1</v>
      </c>
      <c r="CB76" s="5">
        <f t="shared" si="76"/>
        <v>189.76529292929291</v>
      </c>
      <c r="CC76" s="5">
        <f t="shared" si="77"/>
        <v>18.976529292929293</v>
      </c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>
        <v>0</v>
      </c>
      <c r="CR76" s="3" t="b">
        <f t="shared" si="48"/>
        <v>1</v>
      </c>
      <c r="CS76" s="3" t="b">
        <f t="shared" si="49"/>
        <v>1</v>
      </c>
      <c r="CT76" s="3" t="b">
        <f t="shared" si="50"/>
        <v>1</v>
      </c>
      <c r="CU76" s="3" t="b">
        <f t="shared" si="51"/>
        <v>1</v>
      </c>
      <c r="CV76" s="3" t="b">
        <f t="shared" si="52"/>
        <v>1</v>
      </c>
      <c r="CW76" s="3" t="b">
        <f t="shared" si="53"/>
        <v>1</v>
      </c>
      <c r="CX76" s="9" t="str">
        <f t="shared" si="54"/>
        <v>3200043</v>
      </c>
      <c r="CY76" s="9" t="str">
        <f t="shared" si="55"/>
        <v>3200043</v>
      </c>
      <c r="CZ76" s="9" t="str">
        <f t="shared" si="56"/>
        <v>3200043</v>
      </c>
      <c r="DA76" s="9" t="str">
        <f t="shared" si="57"/>
        <v>3502041</v>
      </c>
      <c r="DB76" s="9" t="str">
        <f t="shared" si="58"/>
        <v>3401041</v>
      </c>
      <c r="DC76" s="9" t="str">
        <f t="shared" si="59"/>
        <v>3401041</v>
      </c>
      <c r="DD76" s="9">
        <v>4</v>
      </c>
      <c r="DE76" s="9">
        <v>4</v>
      </c>
      <c r="DF76" s="9">
        <v>4</v>
      </c>
      <c r="DG76" s="9">
        <v>4</v>
      </c>
      <c r="DH76" s="9">
        <v>4</v>
      </c>
      <c r="DI76" s="9">
        <v>4</v>
      </c>
      <c r="DJ76" s="9">
        <v>3</v>
      </c>
      <c r="DK76" s="9">
        <v>3</v>
      </c>
      <c r="DL76" s="9">
        <v>3</v>
      </c>
      <c r="DM76" s="9">
        <v>3</v>
      </c>
      <c r="DN76" s="9">
        <v>3</v>
      </c>
      <c r="DO76" s="9">
        <v>3</v>
      </c>
      <c r="DP76" s="25" t="s">
        <v>113</v>
      </c>
      <c r="DQ76" s="25" t="s">
        <v>113</v>
      </c>
      <c r="DR76" s="25" t="s">
        <v>113</v>
      </c>
      <c r="DS76" s="26" t="s">
        <v>119</v>
      </c>
      <c r="DT76" s="26" t="s">
        <v>117</v>
      </c>
      <c r="DU76" s="26" t="s">
        <v>117</v>
      </c>
      <c r="DV76" s="26">
        <f t="shared" si="60"/>
        <v>1</v>
      </c>
      <c r="DW76" s="26">
        <f t="shared" si="61"/>
        <v>1</v>
      </c>
      <c r="DX76" s="26">
        <f t="shared" si="62"/>
        <v>1</v>
      </c>
      <c r="DY76" s="26">
        <f t="shared" si="63"/>
        <v>2</v>
      </c>
      <c r="DZ76" s="26">
        <f t="shared" si="64"/>
        <v>2</v>
      </c>
      <c r="EA76" s="3">
        <f t="shared" si="65"/>
        <v>2</v>
      </c>
      <c r="EB76" s="33"/>
      <c r="EC76" s="5">
        <v>3300072</v>
      </c>
      <c r="ED76" s="31" t="s">
        <v>115</v>
      </c>
      <c r="EE76" s="8">
        <v>2</v>
      </c>
    </row>
    <row r="77" spans="1:148" ht="13.5" customHeight="1">
      <c r="A77" s="9">
        <v>74</v>
      </c>
      <c r="B77" s="9">
        <v>1</v>
      </c>
      <c r="C77" s="9">
        <v>2001</v>
      </c>
      <c r="D77" s="9">
        <f t="shared" si="40"/>
        <v>131666</v>
      </c>
      <c r="E77" s="9" t="str">
        <f t="shared" si="44"/>
        <v>3202041,3202041,3200043,3502041,3500042,3502041</v>
      </c>
      <c r="F77" s="9" t="str">
        <f t="shared" si="45"/>
        <v>4,4,4,4,4,4</v>
      </c>
      <c r="G77" s="9" t="str">
        <f t="shared" si="46"/>
        <v>213,218,218,218,218,218</v>
      </c>
      <c r="H77" s="9">
        <v>70</v>
      </c>
      <c r="I77" s="9" t="s">
        <v>278</v>
      </c>
      <c r="J77" s="9" t="s">
        <v>279</v>
      </c>
      <c r="K77" s="9" t="s">
        <v>279</v>
      </c>
      <c r="L77" s="9" t="s">
        <v>279</v>
      </c>
      <c r="M77" s="9" t="s">
        <v>284</v>
      </c>
      <c r="O77" s="3">
        <f t="shared" si="47"/>
        <v>131666</v>
      </c>
      <c r="P77" s="9">
        <v>113996.75</v>
      </c>
      <c r="Q77" s="9">
        <v>3202041</v>
      </c>
      <c r="R77" s="9">
        <v>3202041</v>
      </c>
      <c r="S77" s="9">
        <v>3200043</v>
      </c>
      <c r="T77" s="9">
        <v>3502041</v>
      </c>
      <c r="U77" s="9">
        <v>3500042</v>
      </c>
      <c r="V77" s="9">
        <v>3502041</v>
      </c>
      <c r="W77" s="9">
        <v>4</v>
      </c>
      <c r="X77" s="9">
        <v>4</v>
      </c>
      <c r="Y77" s="9">
        <v>4</v>
      </c>
      <c r="Z77" s="9">
        <v>4</v>
      </c>
      <c r="AA77" s="9">
        <v>4</v>
      </c>
      <c r="AB77" s="9">
        <v>4</v>
      </c>
      <c r="AC77" s="9">
        <f t="shared" si="66"/>
        <v>213</v>
      </c>
      <c r="AD77" s="9">
        <f t="shared" si="67"/>
        <v>218</v>
      </c>
      <c r="AE77" s="9">
        <f t="shared" si="68"/>
        <v>218</v>
      </c>
      <c r="AF77" s="9">
        <f t="shared" si="69"/>
        <v>218</v>
      </c>
      <c r="AG77" s="9">
        <f t="shared" si="70"/>
        <v>218</v>
      </c>
      <c r="AH77" s="9">
        <f t="shared" si="71"/>
        <v>218</v>
      </c>
      <c r="AI77" s="7">
        <f t="shared" si="43"/>
        <v>18999.458333333332</v>
      </c>
      <c r="AJ77" s="7">
        <f t="shared" si="43"/>
        <v>18999.458333333332</v>
      </c>
      <c r="AK77" s="7">
        <f t="shared" si="43"/>
        <v>18999.458333333332</v>
      </c>
      <c r="AL77" s="7">
        <f t="shared" si="43"/>
        <v>18999.458333333332</v>
      </c>
      <c r="AM77" s="7">
        <f t="shared" si="43"/>
        <v>18999.458333333332</v>
      </c>
      <c r="AN77" s="7">
        <f t="shared" si="43"/>
        <v>18999.458333333332</v>
      </c>
      <c r="AO77" s="16"/>
      <c r="AP77" s="7"/>
      <c r="AQ77" s="9">
        <v>4</v>
      </c>
      <c r="AR77" s="9">
        <f t="shared" si="72"/>
        <v>197</v>
      </c>
      <c r="AS77" s="7">
        <f t="shared" si="73"/>
        <v>99</v>
      </c>
      <c r="AT77" s="7"/>
      <c r="AU77" s="16"/>
      <c r="AV77" s="7"/>
      <c r="AW77" s="7"/>
      <c r="AX77" s="7"/>
      <c r="AZ77" s="7"/>
      <c r="BA77" s="9">
        <f t="shared" si="42"/>
        <v>18565.300000000021</v>
      </c>
      <c r="BC77" s="5">
        <f t="shared" si="74"/>
        <v>197</v>
      </c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18"/>
      <c r="BQ77" s="18"/>
      <c r="BR77" s="18">
        <v>4200052</v>
      </c>
      <c r="BS77" s="18">
        <f>[1]monsters!$N77</f>
        <v>134.4</v>
      </c>
      <c r="BT77" s="18">
        <f>[1]monsters!$O77</f>
        <v>13.44</v>
      </c>
      <c r="BU77" s="18">
        <f>[1]monsters!$P77</f>
        <v>2133.33</v>
      </c>
      <c r="BV77" s="18">
        <f>[1]monsters!$Q77</f>
        <v>213.33</v>
      </c>
      <c r="BW77" s="18">
        <f>[1]monsters!$R77</f>
        <v>26.88</v>
      </c>
      <c r="BX77" s="18">
        <f>[1]monsters!$S77</f>
        <v>2.69</v>
      </c>
      <c r="BY77" s="18">
        <f>[1]monsters!$K77</f>
        <v>1.4</v>
      </c>
      <c r="BZ77" s="5">
        <f>[1]monsters!$D77</f>
        <v>3</v>
      </c>
      <c r="CA77" s="5">
        <f t="shared" si="75"/>
        <v>0.1</v>
      </c>
      <c r="CB77" s="5">
        <f t="shared" si="76"/>
        <v>198.83729292929291</v>
      </c>
      <c r="CC77" s="5">
        <f t="shared" si="77"/>
        <v>19.883729292929292</v>
      </c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>
        <v>0</v>
      </c>
      <c r="CR77" s="3" t="b">
        <f t="shared" si="48"/>
        <v>1</v>
      </c>
      <c r="CS77" s="3" t="b">
        <f t="shared" si="49"/>
        <v>1</v>
      </c>
      <c r="CT77" s="3" t="b">
        <f t="shared" si="50"/>
        <v>1</v>
      </c>
      <c r="CU77" s="3" t="b">
        <f t="shared" si="51"/>
        <v>1</v>
      </c>
      <c r="CV77" s="3" t="b">
        <f t="shared" si="52"/>
        <v>1</v>
      </c>
      <c r="CW77" s="3" t="b">
        <f t="shared" si="53"/>
        <v>1</v>
      </c>
      <c r="CX77" s="9" t="str">
        <f t="shared" si="54"/>
        <v>3202041</v>
      </c>
      <c r="CY77" s="9" t="str">
        <f t="shared" si="55"/>
        <v>3202041</v>
      </c>
      <c r="CZ77" s="9" t="str">
        <f t="shared" si="56"/>
        <v>3200043</v>
      </c>
      <c r="DA77" s="9" t="str">
        <f t="shared" si="57"/>
        <v>3502041</v>
      </c>
      <c r="DB77" s="9" t="str">
        <f t="shared" si="58"/>
        <v>3500042</v>
      </c>
      <c r="DC77" s="9" t="str">
        <f t="shared" si="59"/>
        <v>3502041</v>
      </c>
      <c r="DD77" s="9">
        <v>4</v>
      </c>
      <c r="DE77" s="9">
        <v>4</v>
      </c>
      <c r="DF77" s="9">
        <v>4</v>
      </c>
      <c r="DG77" s="9">
        <v>4</v>
      </c>
      <c r="DH77" s="9">
        <v>4</v>
      </c>
      <c r="DI77" s="9">
        <v>4</v>
      </c>
      <c r="DJ77" s="9">
        <v>3</v>
      </c>
      <c r="DK77" s="9">
        <v>3</v>
      </c>
      <c r="DL77" s="9">
        <v>3</v>
      </c>
      <c r="DM77" s="9">
        <v>3</v>
      </c>
      <c r="DN77" s="9">
        <v>3</v>
      </c>
      <c r="DO77" s="9">
        <v>3</v>
      </c>
      <c r="DP77" s="25" t="s">
        <v>111</v>
      </c>
      <c r="DQ77" s="25" t="s">
        <v>111</v>
      </c>
      <c r="DR77" s="25" t="s">
        <v>113</v>
      </c>
      <c r="DS77" s="26" t="s">
        <v>119</v>
      </c>
      <c r="DT77" s="26" t="s">
        <v>109</v>
      </c>
      <c r="DU77" s="26" t="s">
        <v>119</v>
      </c>
      <c r="DV77" s="26">
        <f t="shared" si="60"/>
        <v>1</v>
      </c>
      <c r="DW77" s="26">
        <f t="shared" si="61"/>
        <v>1</v>
      </c>
      <c r="DX77" s="26">
        <f t="shared" si="62"/>
        <v>1</v>
      </c>
      <c r="DY77" s="26">
        <f t="shared" si="63"/>
        <v>2</v>
      </c>
      <c r="DZ77" s="26">
        <f t="shared" si="64"/>
        <v>2</v>
      </c>
      <c r="EA77" s="3">
        <f t="shared" si="65"/>
        <v>2</v>
      </c>
      <c r="EB77" s="33"/>
      <c r="EC77" s="5">
        <v>3302073</v>
      </c>
      <c r="ED77" s="31" t="s">
        <v>108</v>
      </c>
      <c r="EE77" s="8">
        <v>1</v>
      </c>
    </row>
    <row r="78" spans="1:148" ht="13.5" customHeight="1">
      <c r="A78" s="9">
        <v>75</v>
      </c>
      <c r="B78" s="9">
        <v>1</v>
      </c>
      <c r="C78" s="9">
        <v>2001</v>
      </c>
      <c r="D78" s="9">
        <f t="shared" si="40"/>
        <v>133793</v>
      </c>
      <c r="E78" s="9" t="str">
        <f t="shared" si="44"/>
        <v>3302043,3201042,3301041,3300042,3502041,3502041</v>
      </c>
      <c r="F78" s="9" t="str">
        <f t="shared" si="45"/>
        <v>4,4,4,4,4,4</v>
      </c>
      <c r="G78" s="9" t="str">
        <f t="shared" si="46"/>
        <v>215,220,220,220,220,220</v>
      </c>
      <c r="H78" s="9">
        <v>71</v>
      </c>
      <c r="I78" s="9" t="s">
        <v>278</v>
      </c>
      <c r="J78" s="9" t="s">
        <v>279</v>
      </c>
      <c r="K78" s="9" t="s">
        <v>279</v>
      </c>
      <c r="L78" s="9" t="s">
        <v>279</v>
      </c>
      <c r="M78" s="9" t="s">
        <v>284</v>
      </c>
      <c r="O78" s="3">
        <f t="shared" si="47"/>
        <v>133793</v>
      </c>
      <c r="P78" s="9">
        <v>115837.75</v>
      </c>
      <c r="Q78" s="9">
        <v>3302043</v>
      </c>
      <c r="R78" s="9">
        <v>3201042</v>
      </c>
      <c r="S78" s="9">
        <v>3301041</v>
      </c>
      <c r="T78" s="9">
        <v>3300042</v>
      </c>
      <c r="U78" s="9">
        <v>3502041</v>
      </c>
      <c r="V78" s="9">
        <v>3502041</v>
      </c>
      <c r="W78" s="9">
        <v>4</v>
      </c>
      <c r="X78" s="9">
        <v>4</v>
      </c>
      <c r="Y78" s="9">
        <v>4</v>
      </c>
      <c r="Z78" s="9">
        <v>4</v>
      </c>
      <c r="AA78" s="9">
        <v>4</v>
      </c>
      <c r="AB78" s="9">
        <v>4</v>
      </c>
      <c r="AC78" s="9">
        <f t="shared" si="66"/>
        <v>215</v>
      </c>
      <c r="AD78" s="9">
        <f t="shared" si="67"/>
        <v>220</v>
      </c>
      <c r="AE78" s="9">
        <f t="shared" si="68"/>
        <v>220</v>
      </c>
      <c r="AF78" s="9">
        <f t="shared" si="69"/>
        <v>220</v>
      </c>
      <c r="AG78" s="9">
        <f t="shared" si="70"/>
        <v>220</v>
      </c>
      <c r="AH78" s="9">
        <f t="shared" si="71"/>
        <v>220</v>
      </c>
      <c r="AI78" s="7">
        <f t="shared" si="43"/>
        <v>19306.291666666668</v>
      </c>
      <c r="AJ78" s="7">
        <f t="shared" si="43"/>
        <v>19306.291666666668</v>
      </c>
      <c r="AK78" s="7">
        <f t="shared" si="43"/>
        <v>19306.291666666668</v>
      </c>
      <c r="AL78" s="7">
        <f t="shared" si="43"/>
        <v>19306.291666666668</v>
      </c>
      <c r="AM78" s="7">
        <f t="shared" si="43"/>
        <v>19306.291666666668</v>
      </c>
      <c r="AN78" s="7">
        <f t="shared" si="43"/>
        <v>19306.291666666668</v>
      </c>
      <c r="AO78" s="16"/>
      <c r="AP78" s="7"/>
      <c r="AQ78" s="9">
        <v>4</v>
      </c>
      <c r="AR78" s="9">
        <f t="shared" si="72"/>
        <v>198</v>
      </c>
      <c r="AS78" s="7">
        <f t="shared" si="73"/>
        <v>100</v>
      </c>
      <c r="AT78" s="7"/>
      <c r="AU78" s="16"/>
      <c r="AV78" s="7"/>
      <c r="AW78" s="7"/>
      <c r="AX78" s="7"/>
      <c r="AZ78" s="7"/>
      <c r="BA78" s="9">
        <f t="shared" si="42"/>
        <v>18920.750000000022</v>
      </c>
      <c r="BC78" s="5">
        <f t="shared" si="74"/>
        <v>198</v>
      </c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18"/>
      <c r="BQ78" s="18"/>
      <c r="BR78" s="18">
        <v>4300052</v>
      </c>
      <c r="BS78" s="18">
        <f>[1]monsters!$N78</f>
        <v>179.2</v>
      </c>
      <c r="BT78" s="18">
        <f>[1]monsters!$O78</f>
        <v>17.920000000000002</v>
      </c>
      <c r="BU78" s="18">
        <f>[1]monsters!$P78</f>
        <v>1600</v>
      </c>
      <c r="BV78" s="18">
        <f>[1]monsters!$Q78</f>
        <v>160</v>
      </c>
      <c r="BW78" s="18">
        <f>[1]monsters!$R78</f>
        <v>25.6</v>
      </c>
      <c r="BX78" s="18">
        <f>[1]monsters!$S78</f>
        <v>2.56</v>
      </c>
      <c r="BY78" s="18">
        <f>[1]monsters!$K78</f>
        <v>1.4</v>
      </c>
      <c r="BZ78" s="5">
        <f>[1]monsters!$D78</f>
        <v>4</v>
      </c>
      <c r="CA78" s="5">
        <f t="shared" si="75"/>
        <v>0.1</v>
      </c>
      <c r="CB78" s="5">
        <f t="shared" si="76"/>
        <v>223.21605387205386</v>
      </c>
      <c r="CC78" s="5">
        <f t="shared" si="77"/>
        <v>22.321605387205388</v>
      </c>
      <c r="CD78" s="5"/>
      <c r="CE78" s="5"/>
      <c r="CF78" s="5"/>
      <c r="CG78" s="5"/>
      <c r="CH78" s="5">
        <v>1</v>
      </c>
      <c r="CI78" s="5">
        <v>2</v>
      </c>
      <c r="CJ78" s="5">
        <v>3</v>
      </c>
      <c r="CK78" s="5">
        <v>4</v>
      </c>
      <c r="CL78" s="5">
        <v>5</v>
      </c>
      <c r="CM78" s="5">
        <v>6</v>
      </c>
      <c r="CN78" s="5"/>
      <c r="CO78" s="5"/>
      <c r="CP78" s="5">
        <v>1</v>
      </c>
      <c r="CR78" s="3" t="b">
        <f t="shared" si="48"/>
        <v>1</v>
      </c>
      <c r="CS78" s="3" t="b">
        <f t="shared" si="49"/>
        <v>1</v>
      </c>
      <c r="CT78" s="3" t="b">
        <f t="shared" si="50"/>
        <v>1</v>
      </c>
      <c r="CU78" s="3" t="b">
        <f t="shared" si="51"/>
        <v>1</v>
      </c>
      <c r="CV78" s="3" t="b">
        <f t="shared" si="52"/>
        <v>1</v>
      </c>
      <c r="CW78" s="3" t="b">
        <f t="shared" si="53"/>
        <v>1</v>
      </c>
      <c r="CX78" s="9" t="str">
        <f t="shared" si="54"/>
        <v>3302043</v>
      </c>
      <c r="CY78" s="9" t="str">
        <f t="shared" si="55"/>
        <v>3201042</v>
      </c>
      <c r="CZ78" s="9" t="str">
        <f t="shared" si="56"/>
        <v>3301041</v>
      </c>
      <c r="DA78" s="9" t="str">
        <f t="shared" si="57"/>
        <v>3300042</v>
      </c>
      <c r="DB78" s="9" t="str">
        <f t="shared" si="58"/>
        <v>3502041</v>
      </c>
      <c r="DC78" s="9" t="str">
        <f t="shared" si="59"/>
        <v>3502041</v>
      </c>
      <c r="DD78" s="9">
        <v>4</v>
      </c>
      <c r="DE78" s="9">
        <v>4</v>
      </c>
      <c r="DF78" s="9">
        <v>4</v>
      </c>
      <c r="DG78" s="9">
        <v>4</v>
      </c>
      <c r="DH78" s="9">
        <v>4</v>
      </c>
      <c r="DI78" s="9">
        <v>4</v>
      </c>
      <c r="DJ78" s="9">
        <v>3</v>
      </c>
      <c r="DK78" s="9">
        <v>3</v>
      </c>
      <c r="DL78" s="9">
        <v>3</v>
      </c>
      <c r="DM78" s="9">
        <v>3</v>
      </c>
      <c r="DN78" s="9">
        <v>3</v>
      </c>
      <c r="DO78" s="9">
        <v>3</v>
      </c>
      <c r="DP78" s="27" t="s">
        <v>108</v>
      </c>
      <c r="DQ78" s="27" t="s">
        <v>114</v>
      </c>
      <c r="DR78" s="27" t="s">
        <v>107</v>
      </c>
      <c r="DS78" s="25" t="s">
        <v>115</v>
      </c>
      <c r="DT78" s="28" t="s">
        <v>119</v>
      </c>
      <c r="DU78" s="28" t="s">
        <v>119</v>
      </c>
      <c r="DV78" s="28">
        <f t="shared" si="60"/>
        <v>1</v>
      </c>
      <c r="DW78" s="28">
        <f t="shared" si="61"/>
        <v>1</v>
      </c>
      <c r="DX78" s="28">
        <f t="shared" si="62"/>
        <v>1</v>
      </c>
      <c r="DY78" s="28">
        <f t="shared" si="63"/>
        <v>2</v>
      </c>
      <c r="DZ78" s="28">
        <f t="shared" si="64"/>
        <v>2</v>
      </c>
      <c r="EA78" s="3">
        <f t="shared" si="65"/>
        <v>2</v>
      </c>
      <c r="EB78" s="33"/>
      <c r="EC78" s="5">
        <v>3400072</v>
      </c>
      <c r="ED78" s="31" t="s">
        <v>110</v>
      </c>
      <c r="EE78" s="8">
        <v>2</v>
      </c>
    </row>
    <row r="79" spans="1:148" ht="13.5" customHeight="1">
      <c r="A79" s="9">
        <v>76</v>
      </c>
      <c r="B79" s="9">
        <v>1</v>
      </c>
      <c r="C79" s="9">
        <v>2001</v>
      </c>
      <c r="D79" s="9">
        <f t="shared" si="40"/>
        <v>135933</v>
      </c>
      <c r="E79" s="9" t="str">
        <f t="shared" si="44"/>
        <v>3201042,3201042,3301041,3402043,3502041,3402043</v>
      </c>
      <c r="F79" s="9" t="str">
        <f t="shared" si="45"/>
        <v>4,4,4,4,4,4</v>
      </c>
      <c r="G79" s="9" t="str">
        <f t="shared" si="46"/>
        <v>217,222,222,222,222,222</v>
      </c>
      <c r="H79" s="9">
        <v>73</v>
      </c>
      <c r="I79" s="9" t="s">
        <v>278</v>
      </c>
      <c r="J79" s="9" t="s">
        <v>279</v>
      </c>
      <c r="K79" s="9" t="s">
        <v>279</v>
      </c>
      <c r="L79" s="9" t="s">
        <v>279</v>
      </c>
      <c r="M79" s="9" t="s">
        <v>285</v>
      </c>
      <c r="O79" s="3">
        <f t="shared" si="47"/>
        <v>135933</v>
      </c>
      <c r="P79" s="9">
        <v>117691</v>
      </c>
      <c r="Q79" s="9">
        <v>3201042</v>
      </c>
      <c r="R79" s="9">
        <v>3201042</v>
      </c>
      <c r="S79" s="9">
        <v>3301041</v>
      </c>
      <c r="T79" s="9">
        <v>3402043</v>
      </c>
      <c r="U79" s="9">
        <v>3502041</v>
      </c>
      <c r="V79" s="9">
        <v>3402043</v>
      </c>
      <c r="W79" s="9">
        <v>4</v>
      </c>
      <c r="X79" s="9">
        <v>4</v>
      </c>
      <c r="Y79" s="9">
        <v>4</v>
      </c>
      <c r="Z79" s="9">
        <v>4</v>
      </c>
      <c r="AA79" s="9">
        <v>4</v>
      </c>
      <c r="AB79" s="9">
        <v>4</v>
      </c>
      <c r="AC79" s="9">
        <f t="shared" si="66"/>
        <v>217</v>
      </c>
      <c r="AD79" s="9">
        <f t="shared" si="67"/>
        <v>222</v>
      </c>
      <c r="AE79" s="9">
        <f t="shared" si="68"/>
        <v>222</v>
      </c>
      <c r="AF79" s="9">
        <f t="shared" si="69"/>
        <v>222</v>
      </c>
      <c r="AG79" s="9">
        <f t="shared" si="70"/>
        <v>222</v>
      </c>
      <c r="AH79" s="9">
        <f t="shared" si="71"/>
        <v>222</v>
      </c>
      <c r="AI79" s="7">
        <f t="shared" si="43"/>
        <v>19615.166666666668</v>
      </c>
      <c r="AJ79" s="7">
        <f t="shared" si="43"/>
        <v>19615.166666666668</v>
      </c>
      <c r="AK79" s="7">
        <f t="shared" si="43"/>
        <v>19615.166666666668</v>
      </c>
      <c r="AL79" s="7">
        <f t="shared" si="43"/>
        <v>19615.166666666668</v>
      </c>
      <c r="AM79" s="7">
        <f t="shared" si="43"/>
        <v>19615.166666666668</v>
      </c>
      <c r="AN79" s="7">
        <f t="shared" si="43"/>
        <v>19615.166666666668</v>
      </c>
      <c r="AO79" s="16"/>
      <c r="AP79" s="7"/>
      <c r="AQ79" s="9">
        <v>4</v>
      </c>
      <c r="AR79" s="9">
        <f t="shared" si="72"/>
        <v>200</v>
      </c>
      <c r="AS79" s="7">
        <f t="shared" si="73"/>
        <v>101</v>
      </c>
      <c r="AT79" s="7"/>
      <c r="AU79" s="16"/>
      <c r="AV79" s="7"/>
      <c r="AW79" s="7"/>
      <c r="AX79" s="7"/>
      <c r="AZ79" s="7"/>
      <c r="BA79" s="9">
        <f t="shared" si="42"/>
        <v>19276.200000000023</v>
      </c>
      <c r="BC79" s="5">
        <f t="shared" si="74"/>
        <v>200</v>
      </c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18"/>
      <c r="BQ79" s="18"/>
      <c r="BR79" s="18">
        <v>4402052</v>
      </c>
      <c r="BS79" s="18">
        <f>[1]monsters!$N79</f>
        <v>190.08</v>
      </c>
      <c r="BT79" s="18">
        <f>[1]monsters!$O79</f>
        <v>19.010000000000002</v>
      </c>
      <c r="BU79" s="18">
        <f>[1]monsters!$P79</f>
        <v>2346.67</v>
      </c>
      <c r="BV79" s="18">
        <f>[1]monsters!$Q79</f>
        <v>234.67</v>
      </c>
      <c r="BW79" s="18">
        <f>[1]monsters!$R79</f>
        <v>38.020000000000003</v>
      </c>
      <c r="BX79" s="18">
        <f>[1]monsters!$S79</f>
        <v>3.8</v>
      </c>
      <c r="BY79" s="18">
        <f>[1]monsters!$K79</f>
        <v>1.8</v>
      </c>
      <c r="BZ79" s="5">
        <f>[1]monsters!$D79</f>
        <v>2</v>
      </c>
      <c r="CA79" s="5">
        <f t="shared" si="75"/>
        <v>0.1</v>
      </c>
      <c r="CB79" s="5">
        <f t="shared" si="76"/>
        <v>258.63805791245795</v>
      </c>
      <c r="CC79" s="5">
        <f t="shared" si="77"/>
        <v>25.863805791245795</v>
      </c>
      <c r="CD79" s="6" t="s">
        <v>182</v>
      </c>
      <c r="CE79" s="6" t="s">
        <v>183</v>
      </c>
      <c r="CF79" s="5"/>
      <c r="CG79" s="5"/>
      <c r="CH79" s="6" t="s">
        <v>184</v>
      </c>
      <c r="CI79" s="6" t="s">
        <v>185</v>
      </c>
      <c r="CJ79" s="6" t="s">
        <v>185</v>
      </c>
      <c r="CK79" s="6" t="s">
        <v>185</v>
      </c>
      <c r="CL79" s="6" t="s">
        <v>184</v>
      </c>
      <c r="CM79" s="6" t="s">
        <v>184</v>
      </c>
      <c r="CN79" s="5"/>
      <c r="CO79" s="5"/>
      <c r="CP79" s="5">
        <v>0</v>
      </c>
      <c r="CR79" s="3" t="b">
        <f t="shared" si="48"/>
        <v>1</v>
      </c>
      <c r="CS79" s="3" t="b">
        <f t="shared" si="49"/>
        <v>1</v>
      </c>
      <c r="CT79" s="3" t="b">
        <f t="shared" si="50"/>
        <v>1</v>
      </c>
      <c r="CU79" s="3" t="b">
        <f t="shared" si="51"/>
        <v>1</v>
      </c>
      <c r="CV79" s="3" t="b">
        <f t="shared" si="52"/>
        <v>1</v>
      </c>
      <c r="CW79" s="3" t="b">
        <f t="shared" si="53"/>
        <v>1</v>
      </c>
      <c r="CX79" s="9" t="str">
        <f t="shared" si="54"/>
        <v>3201042</v>
      </c>
      <c r="CY79" s="9" t="str">
        <f t="shared" si="55"/>
        <v>3201042</v>
      </c>
      <c r="CZ79" s="9" t="str">
        <f t="shared" si="56"/>
        <v>3301041</v>
      </c>
      <c r="DA79" s="9" t="str">
        <f t="shared" si="57"/>
        <v>3402043</v>
      </c>
      <c r="DB79" s="9" t="str">
        <f t="shared" si="58"/>
        <v>3502041</v>
      </c>
      <c r="DC79" s="9" t="str">
        <f t="shared" si="59"/>
        <v>3402043</v>
      </c>
      <c r="DD79" s="9">
        <v>4</v>
      </c>
      <c r="DE79" s="9">
        <v>4</v>
      </c>
      <c r="DF79" s="9">
        <v>4</v>
      </c>
      <c r="DG79" s="9">
        <v>4</v>
      </c>
      <c r="DH79" s="9">
        <v>4</v>
      </c>
      <c r="DI79" s="9">
        <v>4</v>
      </c>
      <c r="DJ79" s="9">
        <v>3</v>
      </c>
      <c r="DK79" s="9">
        <v>3</v>
      </c>
      <c r="DL79" s="9">
        <v>3</v>
      </c>
      <c r="DM79" s="9">
        <v>3</v>
      </c>
      <c r="DN79" s="9">
        <v>3</v>
      </c>
      <c r="DO79" s="9">
        <v>3</v>
      </c>
      <c r="DP79" s="25" t="s">
        <v>114</v>
      </c>
      <c r="DQ79" s="25" t="s">
        <v>114</v>
      </c>
      <c r="DR79" s="25" t="s">
        <v>107</v>
      </c>
      <c r="DS79" s="26" t="s">
        <v>118</v>
      </c>
      <c r="DT79" s="25" t="s">
        <v>119</v>
      </c>
      <c r="DU79" s="26" t="s">
        <v>118</v>
      </c>
      <c r="DV79" s="25">
        <f t="shared" si="60"/>
        <v>1</v>
      </c>
      <c r="DW79" s="25">
        <f t="shared" si="61"/>
        <v>1</v>
      </c>
      <c r="DX79" s="25">
        <f t="shared" si="62"/>
        <v>1</v>
      </c>
      <c r="DY79" s="25">
        <f t="shared" si="63"/>
        <v>2</v>
      </c>
      <c r="DZ79" s="25">
        <f t="shared" si="64"/>
        <v>2</v>
      </c>
      <c r="EA79" s="3">
        <f t="shared" si="65"/>
        <v>2</v>
      </c>
      <c r="EB79" s="33"/>
      <c r="EC79" s="5">
        <v>3202081</v>
      </c>
      <c r="ED79" s="30" t="s">
        <v>111</v>
      </c>
      <c r="EE79" s="8">
        <v>1</v>
      </c>
    </row>
    <row r="80" spans="1:148" ht="13.5" customHeight="1">
      <c r="A80" s="9">
        <v>77</v>
      </c>
      <c r="B80" s="9">
        <v>1</v>
      </c>
      <c r="C80" s="9">
        <v>2001</v>
      </c>
      <c r="D80" s="9">
        <f t="shared" si="40"/>
        <v>138094</v>
      </c>
      <c r="E80" s="9" t="str">
        <f t="shared" si="44"/>
        <v>3200043,3200043,3200043,3502041,3401041,3502041</v>
      </c>
      <c r="F80" s="9" t="str">
        <f t="shared" si="45"/>
        <v>4,4,4,4,4,4</v>
      </c>
      <c r="G80" s="9" t="str">
        <f t="shared" si="46"/>
        <v>219,224,224,224,224,224</v>
      </c>
      <c r="H80" s="9">
        <v>73</v>
      </c>
      <c r="I80" s="9" t="s">
        <v>278</v>
      </c>
      <c r="J80" s="9" t="s">
        <v>279</v>
      </c>
      <c r="K80" s="9" t="s">
        <v>279</v>
      </c>
      <c r="L80" s="9" t="s">
        <v>279</v>
      </c>
      <c r="M80" s="9" t="s">
        <v>285</v>
      </c>
      <c r="O80" s="3">
        <f t="shared" si="47"/>
        <v>138094</v>
      </c>
      <c r="P80" s="9">
        <v>119561.75</v>
      </c>
      <c r="Q80" s="9">
        <v>3200043</v>
      </c>
      <c r="R80" s="9">
        <v>3200043</v>
      </c>
      <c r="S80" s="9">
        <v>3200043</v>
      </c>
      <c r="T80" s="9">
        <v>3502041</v>
      </c>
      <c r="U80" s="9">
        <v>3401041</v>
      </c>
      <c r="V80" s="9">
        <v>3502041</v>
      </c>
      <c r="W80" s="9">
        <v>4</v>
      </c>
      <c r="X80" s="9">
        <v>4</v>
      </c>
      <c r="Y80" s="9">
        <v>4</v>
      </c>
      <c r="Z80" s="9">
        <v>4</v>
      </c>
      <c r="AA80" s="9">
        <v>4</v>
      </c>
      <c r="AB80" s="9">
        <v>4</v>
      </c>
      <c r="AC80" s="9">
        <f t="shared" si="66"/>
        <v>219</v>
      </c>
      <c r="AD80" s="9">
        <f t="shared" si="67"/>
        <v>224</v>
      </c>
      <c r="AE80" s="9">
        <f t="shared" si="68"/>
        <v>224</v>
      </c>
      <c r="AF80" s="9">
        <f t="shared" si="69"/>
        <v>224</v>
      </c>
      <c r="AG80" s="9">
        <f t="shared" si="70"/>
        <v>224</v>
      </c>
      <c r="AH80" s="9">
        <f t="shared" si="71"/>
        <v>224</v>
      </c>
      <c r="AI80" s="7">
        <f t="shared" si="43"/>
        <v>19926.958333333332</v>
      </c>
      <c r="AJ80" s="7">
        <f t="shared" si="43"/>
        <v>19926.958333333332</v>
      </c>
      <c r="AK80" s="7">
        <f t="shared" si="43"/>
        <v>19926.958333333332</v>
      </c>
      <c r="AL80" s="7">
        <f t="shared" si="43"/>
        <v>19926.958333333332</v>
      </c>
      <c r="AM80" s="7">
        <f t="shared" si="43"/>
        <v>19926.958333333332</v>
      </c>
      <c r="AN80" s="7">
        <f t="shared" si="43"/>
        <v>19926.958333333332</v>
      </c>
      <c r="AO80" s="16"/>
      <c r="AP80" s="7"/>
      <c r="AQ80" s="9">
        <v>4</v>
      </c>
      <c r="AR80" s="9">
        <f t="shared" si="72"/>
        <v>202</v>
      </c>
      <c r="AS80" s="7">
        <f t="shared" si="73"/>
        <v>102</v>
      </c>
      <c r="AT80" s="7"/>
      <c r="AU80" s="16"/>
      <c r="AV80" s="7"/>
      <c r="AW80" s="7"/>
      <c r="AX80" s="7"/>
      <c r="AZ80" s="7"/>
      <c r="BA80" s="9">
        <f t="shared" si="42"/>
        <v>19631.650000000023</v>
      </c>
      <c r="BC80" s="5">
        <f t="shared" si="74"/>
        <v>202</v>
      </c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18"/>
      <c r="BQ80" s="18"/>
      <c r="BR80" s="18">
        <v>4502052</v>
      </c>
      <c r="BS80" s="18">
        <f>[1]monsters!$N80</f>
        <v>126.72</v>
      </c>
      <c r="BT80" s="18">
        <f>[1]monsters!$O80</f>
        <v>12.67</v>
      </c>
      <c r="BU80" s="18">
        <f>[1]monsters!$P80</f>
        <v>2346.67</v>
      </c>
      <c r="BV80" s="18">
        <f>[1]monsters!$Q80</f>
        <v>234.67</v>
      </c>
      <c r="BW80" s="18">
        <f>[1]monsters!$R80</f>
        <v>25.34</v>
      </c>
      <c r="BX80" s="18">
        <f>[1]monsters!$S80</f>
        <v>2.5299999999999998</v>
      </c>
      <c r="BY80" s="18">
        <f>[1]monsters!$K80</f>
        <v>1.2</v>
      </c>
      <c r="BZ80" s="5">
        <f>[1]monsters!$D80</f>
        <v>3</v>
      </c>
      <c r="CA80" s="5">
        <f t="shared" si="75"/>
        <v>0.1</v>
      </c>
      <c r="CB80" s="5">
        <f t="shared" si="76"/>
        <v>198.76285791245792</v>
      </c>
      <c r="CC80" s="5">
        <f t="shared" si="77"/>
        <v>19.876285791245792</v>
      </c>
      <c r="CD80" s="6"/>
      <c r="CE80" s="6" t="s">
        <v>186</v>
      </c>
      <c r="CF80" s="6"/>
      <c r="CG80" s="5"/>
      <c r="CH80" s="6" t="s">
        <v>185</v>
      </c>
      <c r="CI80" s="6" t="s">
        <v>184</v>
      </c>
      <c r="CJ80" s="6" t="s">
        <v>184</v>
      </c>
      <c r="CK80" s="6" t="s">
        <v>185</v>
      </c>
      <c r="CL80" s="6" t="s">
        <v>185</v>
      </c>
      <c r="CM80" s="6" t="s">
        <v>184</v>
      </c>
      <c r="CN80" s="5"/>
      <c r="CO80" s="5"/>
      <c r="CP80" s="5">
        <v>0</v>
      </c>
      <c r="CR80" s="3" t="b">
        <f t="shared" si="48"/>
        <v>1</v>
      </c>
      <c r="CS80" s="3" t="b">
        <f t="shared" si="49"/>
        <v>1</v>
      </c>
      <c r="CT80" s="3" t="b">
        <f t="shared" si="50"/>
        <v>1</v>
      </c>
      <c r="CU80" s="3" t="b">
        <f t="shared" si="51"/>
        <v>1</v>
      </c>
      <c r="CV80" s="3" t="b">
        <f t="shared" si="52"/>
        <v>1</v>
      </c>
      <c r="CW80" s="3" t="b">
        <f t="shared" si="53"/>
        <v>1</v>
      </c>
      <c r="CX80" s="9" t="str">
        <f t="shared" si="54"/>
        <v>3200043</v>
      </c>
      <c r="CY80" s="9" t="str">
        <f t="shared" si="55"/>
        <v>3200043</v>
      </c>
      <c r="CZ80" s="9" t="str">
        <f t="shared" si="56"/>
        <v>3200043</v>
      </c>
      <c r="DA80" s="9" t="str">
        <f t="shared" si="57"/>
        <v>3502041</v>
      </c>
      <c r="DB80" s="9" t="str">
        <f t="shared" si="58"/>
        <v>3401041</v>
      </c>
      <c r="DC80" s="9" t="str">
        <f t="shared" si="59"/>
        <v>3502041</v>
      </c>
      <c r="DD80" s="9">
        <v>4</v>
      </c>
      <c r="DE80" s="9">
        <v>4</v>
      </c>
      <c r="DF80" s="9">
        <v>4</v>
      </c>
      <c r="DG80" s="9">
        <v>4</v>
      </c>
      <c r="DH80" s="9">
        <v>4</v>
      </c>
      <c r="DI80" s="9">
        <v>4</v>
      </c>
      <c r="DJ80" s="9">
        <v>3</v>
      </c>
      <c r="DK80" s="9">
        <v>3</v>
      </c>
      <c r="DL80" s="9">
        <v>3</v>
      </c>
      <c r="DM80" s="9">
        <v>3</v>
      </c>
      <c r="DN80" s="9">
        <v>3</v>
      </c>
      <c r="DO80" s="9">
        <v>3</v>
      </c>
      <c r="DP80" s="25" t="s">
        <v>113</v>
      </c>
      <c r="DQ80" s="25" t="s">
        <v>113</v>
      </c>
      <c r="DR80" s="25" t="s">
        <v>113</v>
      </c>
      <c r="DS80" s="28" t="s">
        <v>119</v>
      </c>
      <c r="DT80" s="26" t="s">
        <v>117</v>
      </c>
      <c r="DU80" s="28" t="s">
        <v>119</v>
      </c>
      <c r="DV80" s="28">
        <f t="shared" si="60"/>
        <v>1</v>
      </c>
      <c r="DW80" s="28">
        <f t="shared" si="61"/>
        <v>1</v>
      </c>
      <c r="DX80" s="28">
        <f t="shared" si="62"/>
        <v>1</v>
      </c>
      <c r="DY80" s="28">
        <f t="shared" si="63"/>
        <v>2</v>
      </c>
      <c r="DZ80" s="28">
        <f t="shared" si="64"/>
        <v>2</v>
      </c>
      <c r="EA80" s="3">
        <f t="shared" si="65"/>
        <v>2</v>
      </c>
      <c r="EB80" s="33"/>
      <c r="EC80" s="5">
        <v>3301081</v>
      </c>
      <c r="ED80" s="30" t="s">
        <v>107</v>
      </c>
      <c r="EE80" s="8">
        <v>1</v>
      </c>
    </row>
    <row r="81" spans="1:135" ht="13.5" customHeight="1">
      <c r="A81" s="9">
        <v>78</v>
      </c>
      <c r="B81" s="9">
        <v>1</v>
      </c>
      <c r="C81" s="9">
        <v>2001</v>
      </c>
      <c r="D81" s="9">
        <f t="shared" ref="D81:D144" si="78">O81</f>
        <v>140493</v>
      </c>
      <c r="E81" s="9" t="str">
        <f t="shared" si="44"/>
        <v>3202041,3202041,3202041,3401041,3300042,3300042</v>
      </c>
      <c r="F81" s="9" t="str">
        <f t="shared" si="45"/>
        <v>4,4,4,4,4,4</v>
      </c>
      <c r="G81" s="9" t="str">
        <f t="shared" si="46"/>
        <v>221,226,226,226,226,226</v>
      </c>
      <c r="H81" s="9">
        <v>73</v>
      </c>
      <c r="I81" s="9" t="s">
        <v>278</v>
      </c>
      <c r="J81" s="9" t="s">
        <v>279</v>
      </c>
      <c r="K81" s="9" t="s">
        <v>279</v>
      </c>
      <c r="L81" s="9" t="s">
        <v>279</v>
      </c>
      <c r="M81" s="9" t="s">
        <v>285</v>
      </c>
      <c r="O81" s="3">
        <f t="shared" si="47"/>
        <v>140493</v>
      </c>
      <c r="P81" s="9">
        <v>121639</v>
      </c>
      <c r="Q81" s="9">
        <v>3202041</v>
      </c>
      <c r="R81" s="9">
        <v>3202041</v>
      </c>
      <c r="S81" s="9">
        <v>3202041</v>
      </c>
      <c r="T81" s="9">
        <v>3401041</v>
      </c>
      <c r="U81" s="9">
        <v>3300042</v>
      </c>
      <c r="V81" s="9">
        <v>3300042</v>
      </c>
      <c r="W81" s="9">
        <v>4</v>
      </c>
      <c r="X81" s="9">
        <v>4</v>
      </c>
      <c r="Y81" s="9">
        <v>4</v>
      </c>
      <c r="Z81" s="9">
        <v>4</v>
      </c>
      <c r="AA81" s="9">
        <v>4</v>
      </c>
      <c r="AB81" s="9">
        <v>4</v>
      </c>
      <c r="AC81" s="9">
        <f t="shared" si="66"/>
        <v>221</v>
      </c>
      <c r="AD81" s="9">
        <f t="shared" si="67"/>
        <v>226</v>
      </c>
      <c r="AE81" s="9">
        <f t="shared" si="68"/>
        <v>226</v>
      </c>
      <c r="AF81" s="9">
        <f t="shared" si="69"/>
        <v>226</v>
      </c>
      <c r="AG81" s="9">
        <f t="shared" si="70"/>
        <v>226</v>
      </c>
      <c r="AH81" s="9">
        <f t="shared" si="71"/>
        <v>226</v>
      </c>
      <c r="AI81" s="7">
        <f t="shared" si="43"/>
        <v>20273.166666666668</v>
      </c>
      <c r="AJ81" s="7">
        <f t="shared" si="43"/>
        <v>20273.166666666668</v>
      </c>
      <c r="AK81" s="7">
        <f t="shared" si="43"/>
        <v>20273.166666666668</v>
      </c>
      <c r="AL81" s="7">
        <f t="shared" si="43"/>
        <v>20273.166666666668</v>
      </c>
      <c r="AM81" s="7">
        <f t="shared" si="43"/>
        <v>20273.166666666668</v>
      </c>
      <c r="AN81" s="7">
        <f t="shared" si="43"/>
        <v>20273.166666666668</v>
      </c>
      <c r="AO81" s="16"/>
      <c r="AP81" s="7"/>
      <c r="AQ81" s="9">
        <v>4</v>
      </c>
      <c r="AR81" s="9">
        <f t="shared" si="72"/>
        <v>204</v>
      </c>
      <c r="AS81" s="7">
        <f t="shared" si="73"/>
        <v>103</v>
      </c>
      <c r="AT81" s="7"/>
      <c r="AU81" s="16"/>
      <c r="AV81" s="7"/>
      <c r="AW81" s="7"/>
      <c r="AX81" s="7"/>
      <c r="AZ81" s="7"/>
      <c r="BA81" s="9">
        <f t="shared" si="42"/>
        <v>19987.100000000024</v>
      </c>
      <c r="BC81" s="5">
        <f t="shared" si="74"/>
        <v>204</v>
      </c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18"/>
      <c r="BQ81" s="18"/>
      <c r="BR81" s="18">
        <v>4602052</v>
      </c>
      <c r="BS81" s="18">
        <f>[1]monsters!$N81</f>
        <v>229.97</v>
      </c>
      <c r="BT81" s="18">
        <f>[1]monsters!$O81</f>
        <v>23</v>
      </c>
      <c r="BU81" s="18">
        <f>[1]monsters!$P81</f>
        <v>1508.57</v>
      </c>
      <c r="BV81" s="18">
        <f>[1]monsters!$Q81</f>
        <v>150.86000000000001</v>
      </c>
      <c r="BW81" s="18">
        <f>[1]monsters!$R81</f>
        <v>28.75</v>
      </c>
      <c r="BX81" s="18">
        <f>[1]monsters!$S81</f>
        <v>2.87</v>
      </c>
      <c r="BY81" s="18">
        <f>[1]monsters!$K81</f>
        <v>1.4</v>
      </c>
      <c r="BZ81" s="5">
        <f>[1]monsters!$D81</f>
        <v>5</v>
      </c>
      <c r="CA81" s="5">
        <f t="shared" si="75"/>
        <v>0.1</v>
      </c>
      <c r="CB81" s="5">
        <f t="shared" si="76"/>
        <v>268.11525269360271</v>
      </c>
      <c r="CC81" s="5">
        <f t="shared" si="77"/>
        <v>26.811525269360274</v>
      </c>
      <c r="CD81" s="6" t="s">
        <v>187</v>
      </c>
      <c r="CE81" s="6" t="s">
        <v>188</v>
      </c>
      <c r="CF81" s="5"/>
      <c r="CG81" s="5"/>
      <c r="CH81" s="6" t="s">
        <v>185</v>
      </c>
      <c r="CI81" s="6" t="s">
        <v>185</v>
      </c>
      <c r="CJ81" s="6" t="s">
        <v>185</v>
      </c>
      <c r="CK81" s="6" t="s">
        <v>185</v>
      </c>
      <c r="CL81" s="6" t="s">
        <v>185</v>
      </c>
      <c r="CM81" s="6" t="s">
        <v>185</v>
      </c>
      <c r="CN81" s="5"/>
      <c r="CO81" s="5"/>
      <c r="CP81" s="5">
        <v>0</v>
      </c>
      <c r="CR81" s="3" t="b">
        <f t="shared" si="48"/>
        <v>1</v>
      </c>
      <c r="CS81" s="3" t="b">
        <f t="shared" si="49"/>
        <v>1</v>
      </c>
      <c r="CT81" s="3" t="b">
        <f t="shared" si="50"/>
        <v>1</v>
      </c>
      <c r="CU81" s="3" t="b">
        <f t="shared" si="51"/>
        <v>1</v>
      </c>
      <c r="CV81" s="3" t="b">
        <f t="shared" si="52"/>
        <v>1</v>
      </c>
      <c r="CW81" s="3" t="b">
        <f t="shared" si="53"/>
        <v>1</v>
      </c>
      <c r="CX81" s="9" t="str">
        <f t="shared" si="54"/>
        <v>3202041</v>
      </c>
      <c r="CY81" s="9" t="str">
        <f t="shared" si="55"/>
        <v>3202041</v>
      </c>
      <c r="CZ81" s="9" t="str">
        <f t="shared" si="56"/>
        <v>3202041</v>
      </c>
      <c r="DA81" s="9" t="str">
        <f t="shared" si="57"/>
        <v>3401041</v>
      </c>
      <c r="DB81" s="9" t="str">
        <f t="shared" si="58"/>
        <v>3300042</v>
      </c>
      <c r="DC81" s="9" t="str">
        <f t="shared" si="59"/>
        <v>3300042</v>
      </c>
      <c r="DD81" s="9">
        <v>4</v>
      </c>
      <c r="DE81" s="9">
        <v>4</v>
      </c>
      <c r="DF81" s="9">
        <v>4</v>
      </c>
      <c r="DG81" s="9">
        <v>4</v>
      </c>
      <c r="DH81" s="9">
        <v>4</v>
      </c>
      <c r="DI81" s="9">
        <v>4</v>
      </c>
      <c r="DJ81" s="9">
        <v>3</v>
      </c>
      <c r="DK81" s="9">
        <v>3</v>
      </c>
      <c r="DL81" s="9">
        <v>3</v>
      </c>
      <c r="DM81" s="9">
        <v>3</v>
      </c>
      <c r="DN81" s="9">
        <v>3</v>
      </c>
      <c r="DO81" s="9">
        <v>3</v>
      </c>
      <c r="DP81" s="25" t="s">
        <v>111</v>
      </c>
      <c r="DQ81" s="25" t="s">
        <v>111</v>
      </c>
      <c r="DR81" s="25" t="s">
        <v>111</v>
      </c>
      <c r="DS81" s="26" t="s">
        <v>117</v>
      </c>
      <c r="DT81" s="25" t="s">
        <v>115</v>
      </c>
      <c r="DU81" s="25" t="s">
        <v>115</v>
      </c>
      <c r="DV81" s="25">
        <f t="shared" si="60"/>
        <v>1</v>
      </c>
      <c r="DW81" s="25">
        <f t="shared" si="61"/>
        <v>1</v>
      </c>
      <c r="DX81" s="25">
        <f t="shared" si="62"/>
        <v>1</v>
      </c>
      <c r="DY81" s="25">
        <f t="shared" si="63"/>
        <v>2</v>
      </c>
      <c r="DZ81" s="25">
        <f t="shared" si="64"/>
        <v>2</v>
      </c>
      <c r="EA81" s="3">
        <f t="shared" si="65"/>
        <v>2</v>
      </c>
      <c r="EB81" s="33"/>
      <c r="EC81" s="5">
        <v>3502081</v>
      </c>
      <c r="ED81" s="31" t="s">
        <v>119</v>
      </c>
      <c r="EE81" s="8">
        <v>2</v>
      </c>
    </row>
    <row r="82" spans="1:135" ht="13.5" customHeight="1">
      <c r="A82" s="9">
        <v>79</v>
      </c>
      <c r="B82" s="9">
        <v>1</v>
      </c>
      <c r="C82" s="9">
        <v>2001</v>
      </c>
      <c r="D82" s="9">
        <f t="shared" si="78"/>
        <v>142688</v>
      </c>
      <c r="E82" s="9" t="str">
        <f t="shared" si="44"/>
        <v>3202041,3201042,3201042,3501043,3500042,3401041</v>
      </c>
      <c r="F82" s="9" t="str">
        <f t="shared" si="45"/>
        <v>4,4,4,4,4,4</v>
      </c>
      <c r="G82" s="9" t="str">
        <f t="shared" si="46"/>
        <v>222,227,227,227,227,227</v>
      </c>
      <c r="H82" s="9">
        <v>73</v>
      </c>
      <c r="I82" s="9" t="s">
        <v>278</v>
      </c>
      <c r="J82" s="9" t="s">
        <v>279</v>
      </c>
      <c r="K82" s="9" t="s">
        <v>279</v>
      </c>
      <c r="L82" s="9" t="s">
        <v>279</v>
      </c>
      <c r="M82" s="9" t="s">
        <v>285</v>
      </c>
      <c r="O82" s="3">
        <f t="shared" si="47"/>
        <v>142688</v>
      </c>
      <c r="P82" s="9">
        <v>123539.5</v>
      </c>
      <c r="Q82" s="9">
        <v>3202041</v>
      </c>
      <c r="R82" s="9">
        <v>3201042</v>
      </c>
      <c r="S82" s="9">
        <v>3201042</v>
      </c>
      <c r="T82" s="9">
        <v>3501043</v>
      </c>
      <c r="U82" s="9">
        <v>3500042</v>
      </c>
      <c r="V82" s="9">
        <v>3401041</v>
      </c>
      <c r="W82" s="9">
        <v>4</v>
      </c>
      <c r="X82" s="9">
        <v>4</v>
      </c>
      <c r="Y82" s="9">
        <v>4</v>
      </c>
      <c r="Z82" s="9">
        <v>4</v>
      </c>
      <c r="AA82" s="9">
        <v>4</v>
      </c>
      <c r="AB82" s="9">
        <v>4</v>
      </c>
      <c r="AC82" s="9">
        <f t="shared" si="66"/>
        <v>222</v>
      </c>
      <c r="AD82" s="9">
        <f t="shared" si="67"/>
        <v>227</v>
      </c>
      <c r="AE82" s="9">
        <f t="shared" si="68"/>
        <v>227</v>
      </c>
      <c r="AF82" s="9">
        <f t="shared" si="69"/>
        <v>227</v>
      </c>
      <c r="AG82" s="9">
        <f t="shared" si="70"/>
        <v>227</v>
      </c>
      <c r="AH82" s="9">
        <f t="shared" si="71"/>
        <v>227</v>
      </c>
      <c r="AI82" s="7">
        <f t="shared" si="43"/>
        <v>20589.916666666668</v>
      </c>
      <c r="AJ82" s="7">
        <f t="shared" si="43"/>
        <v>20589.916666666668</v>
      </c>
      <c r="AK82" s="7">
        <f t="shared" si="43"/>
        <v>20589.916666666668</v>
      </c>
      <c r="AL82" s="7">
        <f t="shared" si="43"/>
        <v>20589.916666666668</v>
      </c>
      <c r="AM82" s="7">
        <f t="shared" si="43"/>
        <v>20589.916666666668</v>
      </c>
      <c r="AN82" s="7">
        <f t="shared" si="43"/>
        <v>20589.916666666668</v>
      </c>
      <c r="AO82" s="16"/>
      <c r="AP82" s="7"/>
      <c r="AQ82" s="9">
        <v>4</v>
      </c>
      <c r="AR82" s="9">
        <f t="shared" si="72"/>
        <v>205</v>
      </c>
      <c r="AS82" s="7">
        <f t="shared" si="73"/>
        <v>104</v>
      </c>
      <c r="AT82" s="7"/>
      <c r="AU82" s="16"/>
      <c r="AV82" s="7"/>
      <c r="AW82" s="7"/>
      <c r="AX82" s="7"/>
      <c r="AZ82" s="7"/>
      <c r="BA82" s="9">
        <f t="shared" si="42"/>
        <v>20342.550000000025</v>
      </c>
      <c r="BC82" s="5">
        <f t="shared" si="74"/>
        <v>205</v>
      </c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18"/>
      <c r="BQ82" s="18"/>
      <c r="BR82" s="18">
        <v>4601052</v>
      </c>
      <c r="BS82" s="18">
        <f>[1]monsters!$N82</f>
        <v>168.96</v>
      </c>
      <c r="BT82" s="18">
        <f>[1]monsters!$O82</f>
        <v>16.899999999999999</v>
      </c>
      <c r="BU82" s="18">
        <f>[1]monsters!$P82</f>
        <v>2640</v>
      </c>
      <c r="BV82" s="18">
        <f>[1]monsters!$Q82</f>
        <v>264</v>
      </c>
      <c r="BW82" s="18">
        <f>[1]monsters!$R82</f>
        <v>56.32</v>
      </c>
      <c r="BX82" s="18">
        <f>[1]monsters!$S82</f>
        <v>5.63</v>
      </c>
      <c r="BY82" s="18">
        <f>[1]monsters!$K82</f>
        <v>1.8</v>
      </c>
      <c r="BZ82" s="5">
        <f>[1]monsters!$D82</f>
        <v>2</v>
      </c>
      <c r="CA82" s="5">
        <f t="shared" si="75"/>
        <v>0.1</v>
      </c>
      <c r="CB82" s="5">
        <f t="shared" si="76"/>
        <v>248.55608888888889</v>
      </c>
      <c r="CC82" s="5">
        <f t="shared" si="77"/>
        <v>24.855608888888892</v>
      </c>
      <c r="CD82" s="5"/>
      <c r="CE82" s="6" t="s">
        <v>189</v>
      </c>
      <c r="CF82" s="5"/>
      <c r="CG82" s="5"/>
      <c r="CH82" s="6" t="s">
        <v>184</v>
      </c>
      <c r="CI82" s="6" t="s">
        <v>184</v>
      </c>
      <c r="CJ82" s="6" t="s">
        <v>184</v>
      </c>
      <c r="CK82" s="6" t="s">
        <v>184</v>
      </c>
      <c r="CL82" s="6" t="s">
        <v>184</v>
      </c>
      <c r="CM82" s="6" t="s">
        <v>184</v>
      </c>
      <c r="CN82" s="5"/>
      <c r="CO82" s="5"/>
      <c r="CP82" s="5">
        <v>0</v>
      </c>
      <c r="CR82" s="3" t="b">
        <f t="shared" si="48"/>
        <v>1</v>
      </c>
      <c r="CS82" s="3" t="b">
        <f t="shared" si="49"/>
        <v>1</v>
      </c>
      <c r="CT82" s="3" t="b">
        <f t="shared" si="50"/>
        <v>1</v>
      </c>
      <c r="CU82" s="3" t="b">
        <f t="shared" si="51"/>
        <v>1</v>
      </c>
      <c r="CV82" s="3" t="b">
        <f t="shared" si="52"/>
        <v>1</v>
      </c>
      <c r="CW82" s="3" t="b">
        <f t="shared" si="53"/>
        <v>1</v>
      </c>
      <c r="CX82" s="9" t="str">
        <f t="shared" si="54"/>
        <v>3202041</v>
      </c>
      <c r="CY82" s="9" t="str">
        <f t="shared" si="55"/>
        <v>3201042</v>
      </c>
      <c r="CZ82" s="9" t="str">
        <f t="shared" si="56"/>
        <v>3201042</v>
      </c>
      <c r="DA82" s="9" t="str">
        <f t="shared" si="57"/>
        <v>3501043</v>
      </c>
      <c r="DB82" s="9" t="str">
        <f t="shared" si="58"/>
        <v>3500042</v>
      </c>
      <c r="DC82" s="9" t="str">
        <f t="shared" si="59"/>
        <v>3401041</v>
      </c>
      <c r="DD82" s="9">
        <v>4</v>
      </c>
      <c r="DE82" s="9">
        <v>4</v>
      </c>
      <c r="DF82" s="9">
        <v>4</v>
      </c>
      <c r="DG82" s="9">
        <v>4</v>
      </c>
      <c r="DH82" s="9">
        <v>4</v>
      </c>
      <c r="DI82" s="9">
        <v>4</v>
      </c>
      <c r="DJ82" s="9">
        <v>3</v>
      </c>
      <c r="DK82" s="9">
        <v>3</v>
      </c>
      <c r="DL82" s="9">
        <v>3</v>
      </c>
      <c r="DM82" s="9">
        <v>3</v>
      </c>
      <c r="DN82" s="9">
        <v>3</v>
      </c>
      <c r="DO82" s="9">
        <v>3</v>
      </c>
      <c r="DP82" s="25" t="s">
        <v>111</v>
      </c>
      <c r="DQ82" s="25" t="s">
        <v>114</v>
      </c>
      <c r="DR82" s="25" t="s">
        <v>114</v>
      </c>
      <c r="DS82" s="26" t="s">
        <v>121</v>
      </c>
      <c r="DT82" s="26" t="s">
        <v>109</v>
      </c>
      <c r="DU82" s="26" t="s">
        <v>117</v>
      </c>
      <c r="DV82" s="26">
        <f t="shared" si="60"/>
        <v>1</v>
      </c>
      <c r="DW82" s="26">
        <f t="shared" si="61"/>
        <v>1</v>
      </c>
      <c r="DX82" s="26">
        <f t="shared" si="62"/>
        <v>1</v>
      </c>
      <c r="DY82" s="26">
        <f t="shared" si="63"/>
        <v>2</v>
      </c>
      <c r="DZ82" s="26">
        <f t="shared" si="64"/>
        <v>2</v>
      </c>
      <c r="EA82" s="3">
        <f t="shared" si="65"/>
        <v>2</v>
      </c>
      <c r="EB82" s="33"/>
      <c r="EC82" s="5">
        <v>3201082</v>
      </c>
      <c r="ED82" s="31" t="s">
        <v>114</v>
      </c>
      <c r="EE82" s="8">
        <v>1</v>
      </c>
    </row>
    <row r="83" spans="1:135" ht="13.5" customHeight="1">
      <c r="A83" s="9">
        <v>80</v>
      </c>
      <c r="B83" s="9">
        <v>1</v>
      </c>
      <c r="C83" s="9">
        <v>2001</v>
      </c>
      <c r="D83" s="9">
        <f t="shared" si="78"/>
        <v>144901</v>
      </c>
      <c r="E83" s="9" t="str">
        <f t="shared" si="44"/>
        <v>3200043,3301041,3202041,3402043,3300042,3500042</v>
      </c>
      <c r="F83" s="9" t="str">
        <f t="shared" si="45"/>
        <v>4,4,4,4,4,4</v>
      </c>
      <c r="G83" s="9" t="str">
        <f t="shared" si="46"/>
        <v>224,229,229,229,229,229</v>
      </c>
      <c r="H83" s="9">
        <v>74</v>
      </c>
      <c r="I83" s="9" t="s">
        <v>278</v>
      </c>
      <c r="J83" s="9" t="s">
        <v>279</v>
      </c>
      <c r="K83" s="9" t="s">
        <v>279</v>
      </c>
      <c r="L83" s="9" t="s">
        <v>279</v>
      </c>
      <c r="M83" s="9" t="s">
        <v>285</v>
      </c>
      <c r="O83" s="3">
        <f t="shared" si="47"/>
        <v>144901</v>
      </c>
      <c r="P83" s="9">
        <v>125455.75</v>
      </c>
      <c r="Q83" s="9">
        <v>3200043</v>
      </c>
      <c r="R83" s="9">
        <v>3301041</v>
      </c>
      <c r="S83" s="9">
        <v>3202041</v>
      </c>
      <c r="T83" s="9">
        <v>3402043</v>
      </c>
      <c r="U83" s="9">
        <v>3300042</v>
      </c>
      <c r="V83" s="9">
        <v>3500042</v>
      </c>
      <c r="W83" s="9">
        <v>4</v>
      </c>
      <c r="X83" s="9">
        <v>4</v>
      </c>
      <c r="Y83" s="9">
        <v>4</v>
      </c>
      <c r="Z83" s="9">
        <v>4</v>
      </c>
      <c r="AA83" s="9">
        <v>4</v>
      </c>
      <c r="AB83" s="9">
        <v>4</v>
      </c>
      <c r="AC83" s="9">
        <f t="shared" si="66"/>
        <v>224</v>
      </c>
      <c r="AD83" s="9">
        <f t="shared" si="67"/>
        <v>229</v>
      </c>
      <c r="AE83" s="9">
        <f t="shared" si="68"/>
        <v>229</v>
      </c>
      <c r="AF83" s="9">
        <f t="shared" si="69"/>
        <v>229</v>
      </c>
      <c r="AG83" s="9">
        <f t="shared" si="70"/>
        <v>229</v>
      </c>
      <c r="AH83" s="9">
        <f t="shared" si="71"/>
        <v>229</v>
      </c>
      <c r="AI83" s="7">
        <f t="shared" si="43"/>
        <v>20909.291666666668</v>
      </c>
      <c r="AJ83" s="7">
        <f t="shared" si="43"/>
        <v>20909.291666666668</v>
      </c>
      <c r="AK83" s="7">
        <f t="shared" si="43"/>
        <v>20909.291666666668</v>
      </c>
      <c r="AL83" s="7">
        <f t="shared" si="43"/>
        <v>20909.291666666668</v>
      </c>
      <c r="AM83" s="7">
        <f t="shared" si="43"/>
        <v>20909.291666666668</v>
      </c>
      <c r="AN83" s="7">
        <f t="shared" si="43"/>
        <v>20909.291666666668</v>
      </c>
      <c r="AO83" s="16"/>
      <c r="AP83" s="7"/>
      <c r="AQ83" s="9">
        <v>4</v>
      </c>
      <c r="AR83" s="9">
        <f t="shared" si="72"/>
        <v>207</v>
      </c>
      <c r="AS83" s="7">
        <f t="shared" si="73"/>
        <v>105</v>
      </c>
      <c r="AT83" s="7"/>
      <c r="AU83" s="16"/>
      <c r="AV83" s="7"/>
      <c r="AW83" s="7"/>
      <c r="AX83" s="7"/>
      <c r="AY83" s="9">
        <v>4</v>
      </c>
      <c r="AZ83" s="7">
        <v>80</v>
      </c>
      <c r="BA83" s="9">
        <v>20698</v>
      </c>
      <c r="BC83" s="5">
        <f t="shared" si="74"/>
        <v>207</v>
      </c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18"/>
      <c r="BQ83" s="18"/>
      <c r="BR83" s="18">
        <v>4500052</v>
      </c>
      <c r="BS83" s="18">
        <f>[1]monsters!$N83</f>
        <v>246.4</v>
      </c>
      <c r="BT83" s="18">
        <f>[1]monsters!$O83</f>
        <v>24.64</v>
      </c>
      <c r="BU83" s="18">
        <f>[1]monsters!$P83</f>
        <v>1508.57</v>
      </c>
      <c r="BV83" s="18">
        <f>[1]monsters!$Q83</f>
        <v>150.86000000000001</v>
      </c>
      <c r="BW83" s="18">
        <f>[1]monsters!$R83</f>
        <v>30.8</v>
      </c>
      <c r="BX83" s="18">
        <f>[1]monsters!$S83</f>
        <v>3.08</v>
      </c>
      <c r="BY83" s="18">
        <f>[1]monsters!$K83</f>
        <v>1.5</v>
      </c>
      <c r="BZ83" s="5">
        <f>[1]monsters!$D83</f>
        <v>5</v>
      </c>
      <c r="CA83" s="5">
        <f t="shared" si="75"/>
        <v>0.1</v>
      </c>
      <c r="CB83" s="5">
        <f t="shared" si="76"/>
        <v>283.64160269360275</v>
      </c>
      <c r="CC83" s="5">
        <f t="shared" si="77"/>
        <v>28.364160269360276</v>
      </c>
      <c r="CD83" s="5"/>
      <c r="CE83" s="6" t="s">
        <v>190</v>
      </c>
      <c r="CF83" s="5"/>
      <c r="CG83" s="5"/>
      <c r="CH83" s="6" t="s">
        <v>184</v>
      </c>
      <c r="CI83" s="6" t="s">
        <v>184</v>
      </c>
      <c r="CJ83" s="6" t="s">
        <v>184</v>
      </c>
      <c r="CK83" s="6" t="s">
        <v>184</v>
      </c>
      <c r="CL83" s="6" t="s">
        <v>184</v>
      </c>
      <c r="CM83" s="6" t="s">
        <v>184</v>
      </c>
      <c r="CN83" s="5"/>
      <c r="CO83" s="5"/>
      <c r="CP83" s="5">
        <v>1</v>
      </c>
      <c r="CR83" s="3" t="b">
        <f t="shared" si="48"/>
        <v>1</v>
      </c>
      <c r="CS83" s="3" t="b">
        <f t="shared" si="49"/>
        <v>1</v>
      </c>
      <c r="CT83" s="3" t="b">
        <f t="shared" si="50"/>
        <v>1</v>
      </c>
      <c r="CU83" s="3" t="b">
        <f t="shared" si="51"/>
        <v>1</v>
      </c>
      <c r="CV83" s="3" t="b">
        <f t="shared" si="52"/>
        <v>1</v>
      </c>
      <c r="CW83" s="3" t="b">
        <f t="shared" si="53"/>
        <v>1</v>
      </c>
      <c r="CX83" s="9" t="str">
        <f t="shared" si="54"/>
        <v>3200043</v>
      </c>
      <c r="CY83" s="9" t="str">
        <f t="shared" si="55"/>
        <v>3301041</v>
      </c>
      <c r="CZ83" s="9" t="str">
        <f t="shared" si="56"/>
        <v>3202041</v>
      </c>
      <c r="DA83" s="9" t="str">
        <f t="shared" si="57"/>
        <v>3402043</v>
      </c>
      <c r="DB83" s="9" t="str">
        <f t="shared" si="58"/>
        <v>3300042</v>
      </c>
      <c r="DC83" s="9" t="str">
        <f t="shared" si="59"/>
        <v>3500042</v>
      </c>
      <c r="DD83" s="9">
        <v>4</v>
      </c>
      <c r="DE83" s="9">
        <v>4</v>
      </c>
      <c r="DF83" s="9">
        <v>4</v>
      </c>
      <c r="DG83" s="9">
        <v>4</v>
      </c>
      <c r="DH83" s="9">
        <v>4</v>
      </c>
      <c r="DI83" s="9">
        <v>4</v>
      </c>
      <c r="DJ83" s="9">
        <v>3</v>
      </c>
      <c r="DK83" s="9">
        <v>3</v>
      </c>
      <c r="DL83" s="9">
        <v>3</v>
      </c>
      <c r="DM83" s="9">
        <v>3</v>
      </c>
      <c r="DN83" s="9">
        <v>3</v>
      </c>
      <c r="DO83" s="9">
        <v>3</v>
      </c>
      <c r="DP83" s="25" t="s">
        <v>113</v>
      </c>
      <c r="DQ83" s="26" t="s">
        <v>107</v>
      </c>
      <c r="DR83" s="25" t="s">
        <v>111</v>
      </c>
      <c r="DS83" s="26" t="s">
        <v>118</v>
      </c>
      <c r="DT83" s="26" t="s">
        <v>115</v>
      </c>
      <c r="DU83" s="28" t="s">
        <v>109</v>
      </c>
      <c r="DV83" s="28">
        <f t="shared" si="60"/>
        <v>1</v>
      </c>
      <c r="DW83" s="28">
        <f t="shared" si="61"/>
        <v>1</v>
      </c>
      <c r="DX83" s="28">
        <f t="shared" si="62"/>
        <v>1</v>
      </c>
      <c r="DY83" s="28">
        <f t="shared" si="63"/>
        <v>2</v>
      </c>
      <c r="DZ83" s="28">
        <f t="shared" si="64"/>
        <v>2</v>
      </c>
      <c r="EA83" s="3">
        <f t="shared" si="65"/>
        <v>2</v>
      </c>
      <c r="EB83" s="33"/>
      <c r="EC83" s="5">
        <v>3500082</v>
      </c>
      <c r="ED83" s="31" t="s">
        <v>109</v>
      </c>
      <c r="EE83" s="8">
        <v>2</v>
      </c>
    </row>
    <row r="84" spans="1:135" ht="13.5" customHeight="1">
      <c r="A84" s="9">
        <v>81</v>
      </c>
      <c r="B84" s="9">
        <v>1</v>
      </c>
      <c r="C84" s="9">
        <v>2001</v>
      </c>
      <c r="D84" s="9">
        <f t="shared" si="78"/>
        <v>147131</v>
      </c>
      <c r="E84" s="9" t="str">
        <f t="shared" si="44"/>
        <v>3201042,3200043,3201042,3402043,3300042,3502041</v>
      </c>
      <c r="F84" s="9" t="str">
        <f t="shared" si="45"/>
        <v>4,4,4,4,4,4</v>
      </c>
      <c r="G84" s="9" t="str">
        <f t="shared" si="46"/>
        <v>226,231,231,231,231,231</v>
      </c>
      <c r="H84" s="9">
        <v>75</v>
      </c>
      <c r="I84" s="9" t="s">
        <v>278</v>
      </c>
      <c r="J84" s="9" t="s">
        <v>279</v>
      </c>
      <c r="K84" s="9" t="s">
        <v>279</v>
      </c>
      <c r="L84" s="9" t="s">
        <v>279</v>
      </c>
      <c r="M84" s="9" t="s">
        <v>285</v>
      </c>
      <c r="O84" s="3">
        <f t="shared" si="47"/>
        <v>147131</v>
      </c>
      <c r="P84" s="9">
        <v>127386</v>
      </c>
      <c r="Q84" s="9">
        <v>3201042</v>
      </c>
      <c r="R84" s="9">
        <v>3200043</v>
      </c>
      <c r="S84" s="9">
        <v>3201042</v>
      </c>
      <c r="T84" s="9">
        <v>3402043</v>
      </c>
      <c r="U84" s="9">
        <v>3300042</v>
      </c>
      <c r="V84" s="9">
        <v>3502041</v>
      </c>
      <c r="W84" s="9">
        <v>4</v>
      </c>
      <c r="X84" s="9">
        <v>4</v>
      </c>
      <c r="Y84" s="9">
        <v>4</v>
      </c>
      <c r="Z84" s="9">
        <v>4</v>
      </c>
      <c r="AA84" s="9">
        <v>4</v>
      </c>
      <c r="AB84" s="9">
        <v>4</v>
      </c>
      <c r="AC84" s="9">
        <f t="shared" si="66"/>
        <v>226</v>
      </c>
      <c r="AD84" s="9">
        <f t="shared" si="67"/>
        <v>231</v>
      </c>
      <c r="AE84" s="9">
        <f t="shared" si="68"/>
        <v>231</v>
      </c>
      <c r="AF84" s="9">
        <f t="shared" si="69"/>
        <v>231</v>
      </c>
      <c r="AG84" s="9">
        <f t="shared" si="70"/>
        <v>231</v>
      </c>
      <c r="AH84" s="9">
        <f t="shared" si="71"/>
        <v>231</v>
      </c>
      <c r="AI84" s="7">
        <f t="shared" si="43"/>
        <v>21231</v>
      </c>
      <c r="AJ84" s="7">
        <f t="shared" si="43"/>
        <v>21231</v>
      </c>
      <c r="AK84" s="7">
        <f t="shared" si="43"/>
        <v>21231</v>
      </c>
      <c r="AL84" s="7">
        <f t="shared" si="43"/>
        <v>21231</v>
      </c>
      <c r="AM84" s="7">
        <f t="shared" si="43"/>
        <v>21231</v>
      </c>
      <c r="AN84" s="7">
        <f t="shared" si="43"/>
        <v>21231</v>
      </c>
      <c r="AO84" s="16"/>
      <c r="AP84" s="7"/>
      <c r="AQ84" s="9">
        <v>4</v>
      </c>
      <c r="AR84" s="9">
        <f t="shared" si="72"/>
        <v>209</v>
      </c>
      <c r="AS84" s="7">
        <f t="shared" si="73"/>
        <v>106</v>
      </c>
      <c r="AT84" s="7"/>
      <c r="AU84" s="16"/>
      <c r="AV84" s="7"/>
      <c r="AW84" s="7"/>
      <c r="AX84" s="7"/>
      <c r="AZ84" s="7"/>
      <c r="BA84" s="9">
        <f>BA83+($BA$153-$BA$83)/($A$153-$A$83)</f>
        <v>21220.757142857143</v>
      </c>
      <c r="BC84" s="5">
        <f t="shared" si="74"/>
        <v>209</v>
      </c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18"/>
      <c r="BQ84" s="18"/>
      <c r="BR84" s="18">
        <v>4301052</v>
      </c>
      <c r="BS84" s="18">
        <f>[1]monsters!$N84</f>
        <v>272.8</v>
      </c>
      <c r="BT84" s="18">
        <f>[1]monsters!$O84</f>
        <v>27.28</v>
      </c>
      <c r="BU84" s="18">
        <f>[1]monsters!$P84</f>
        <v>1362.58</v>
      </c>
      <c r="BV84" s="18">
        <f>[1]monsters!$Q84</f>
        <v>136.26</v>
      </c>
      <c r="BW84" s="18">
        <f>[1]monsters!$R84</f>
        <v>27.28</v>
      </c>
      <c r="BX84" s="18">
        <f>[1]monsters!$S84</f>
        <v>2.73</v>
      </c>
      <c r="BY84" s="18">
        <f>[1]monsters!$K84</f>
        <v>1.5</v>
      </c>
      <c r="BZ84" s="5">
        <f>[1]monsters!$D84</f>
        <v>6</v>
      </c>
      <c r="CA84" s="5">
        <f t="shared" si="75"/>
        <v>0.1</v>
      </c>
      <c r="CB84" s="5">
        <f t="shared" si="76"/>
        <v>303.67411447811446</v>
      </c>
      <c r="CC84" s="5">
        <f t="shared" si="77"/>
        <v>30.367411447811449</v>
      </c>
      <c r="CD84" s="5"/>
      <c r="CE84" s="6" t="s">
        <v>191</v>
      </c>
      <c r="CF84" s="5"/>
      <c r="CG84" s="5"/>
      <c r="CH84" s="6" t="s">
        <v>185</v>
      </c>
      <c r="CI84" s="6" t="s">
        <v>185</v>
      </c>
      <c r="CJ84" s="6" t="s">
        <v>185</v>
      </c>
      <c r="CK84" s="6" t="s">
        <v>185</v>
      </c>
      <c r="CL84" s="6" t="s">
        <v>185</v>
      </c>
      <c r="CM84" s="6" t="s">
        <v>185</v>
      </c>
      <c r="CN84" s="5"/>
      <c r="CO84" s="5"/>
      <c r="CP84" s="5">
        <v>0</v>
      </c>
      <c r="CR84" s="3" t="b">
        <f t="shared" si="48"/>
        <v>1</v>
      </c>
      <c r="CS84" s="3" t="b">
        <f t="shared" si="49"/>
        <v>1</v>
      </c>
      <c r="CT84" s="3" t="b">
        <f t="shared" si="50"/>
        <v>1</v>
      </c>
      <c r="CU84" s="3" t="b">
        <f t="shared" si="51"/>
        <v>1</v>
      </c>
      <c r="CV84" s="3" t="b">
        <f t="shared" si="52"/>
        <v>1</v>
      </c>
      <c r="CW84" s="3" t="b">
        <f t="shared" si="53"/>
        <v>1</v>
      </c>
      <c r="CX84" s="9" t="str">
        <f t="shared" si="54"/>
        <v>3201042</v>
      </c>
      <c r="CY84" s="9" t="str">
        <f t="shared" si="55"/>
        <v>3200043</v>
      </c>
      <c r="CZ84" s="9" t="str">
        <f t="shared" si="56"/>
        <v>3201042</v>
      </c>
      <c r="DA84" s="9" t="str">
        <f t="shared" si="57"/>
        <v>3402043</v>
      </c>
      <c r="DB84" s="9" t="str">
        <f t="shared" si="58"/>
        <v>3300042</v>
      </c>
      <c r="DC84" s="9" t="str">
        <f t="shared" si="59"/>
        <v>3502041</v>
      </c>
      <c r="DD84" s="9">
        <v>4</v>
      </c>
      <c r="DE84" s="9">
        <v>4</v>
      </c>
      <c r="DF84" s="9">
        <v>4</v>
      </c>
      <c r="DG84" s="9">
        <v>4</v>
      </c>
      <c r="DH84" s="9">
        <v>4</v>
      </c>
      <c r="DI84" s="9">
        <v>4</v>
      </c>
      <c r="DJ84" s="9">
        <v>3</v>
      </c>
      <c r="DK84" s="9">
        <v>3</v>
      </c>
      <c r="DL84" s="9">
        <v>3</v>
      </c>
      <c r="DM84" s="9">
        <v>3</v>
      </c>
      <c r="DN84" s="9">
        <v>3</v>
      </c>
      <c r="DO84" s="9">
        <v>3</v>
      </c>
      <c r="DP84" s="25" t="s">
        <v>114</v>
      </c>
      <c r="DQ84" s="25" t="s">
        <v>113</v>
      </c>
      <c r="DR84" s="25" t="s">
        <v>114</v>
      </c>
      <c r="DS84" s="26" t="s">
        <v>118</v>
      </c>
      <c r="DT84" s="25" t="s">
        <v>115</v>
      </c>
      <c r="DU84" s="26" t="s">
        <v>119</v>
      </c>
      <c r="DV84" s="26">
        <f t="shared" si="60"/>
        <v>1</v>
      </c>
      <c r="DW84" s="26">
        <f t="shared" si="61"/>
        <v>1</v>
      </c>
      <c r="DX84" s="26">
        <f t="shared" si="62"/>
        <v>1</v>
      </c>
      <c r="DY84" s="26">
        <f t="shared" si="63"/>
        <v>2</v>
      </c>
      <c r="DZ84" s="26">
        <f t="shared" si="64"/>
        <v>2</v>
      </c>
      <c r="EA84" s="3">
        <f t="shared" si="65"/>
        <v>2</v>
      </c>
      <c r="EB84" s="33"/>
      <c r="EC84" s="5">
        <v>3601082</v>
      </c>
      <c r="ED84" s="31" t="s">
        <v>124</v>
      </c>
      <c r="EE84" s="8">
        <v>2</v>
      </c>
    </row>
    <row r="85" spans="1:135" ht="13.5" customHeight="1">
      <c r="A85" s="9">
        <v>82</v>
      </c>
      <c r="B85" s="9">
        <v>1</v>
      </c>
      <c r="C85" s="9">
        <v>2001</v>
      </c>
      <c r="D85" s="9">
        <f t="shared" si="78"/>
        <v>149607</v>
      </c>
      <c r="E85" s="9" t="str">
        <f t="shared" si="44"/>
        <v>3202041,3201042,3301041,3502041,3500042,3502041</v>
      </c>
      <c r="F85" s="9" t="str">
        <f t="shared" si="45"/>
        <v>4,4,4,4,4,4</v>
      </c>
      <c r="G85" s="9" t="str">
        <f t="shared" si="46"/>
        <v>228,233,233,233,233,233</v>
      </c>
      <c r="H85" s="9">
        <v>75</v>
      </c>
      <c r="I85" s="9" t="s">
        <v>278</v>
      </c>
      <c r="J85" s="9" t="s">
        <v>279</v>
      </c>
      <c r="K85" s="9" t="s">
        <v>279</v>
      </c>
      <c r="L85" s="9" t="s">
        <v>279</v>
      </c>
      <c r="M85" s="9" t="s">
        <v>285</v>
      </c>
      <c r="O85" s="3">
        <f t="shared" si="47"/>
        <v>149607</v>
      </c>
      <c r="P85" s="9">
        <v>129529.75</v>
      </c>
      <c r="Q85" s="9">
        <v>3202041</v>
      </c>
      <c r="R85" s="9">
        <v>3201042</v>
      </c>
      <c r="S85" s="9">
        <v>3301041</v>
      </c>
      <c r="T85" s="9">
        <v>3502041</v>
      </c>
      <c r="U85" s="9">
        <v>3500042</v>
      </c>
      <c r="V85" s="9">
        <v>3502041</v>
      </c>
      <c r="W85" s="9">
        <v>4</v>
      </c>
      <c r="X85" s="9">
        <v>4</v>
      </c>
      <c r="Y85" s="9">
        <v>4</v>
      </c>
      <c r="Z85" s="9">
        <v>4</v>
      </c>
      <c r="AA85" s="9">
        <v>4</v>
      </c>
      <c r="AB85" s="9">
        <v>4</v>
      </c>
      <c r="AC85" s="9">
        <f t="shared" si="66"/>
        <v>228</v>
      </c>
      <c r="AD85" s="9">
        <f t="shared" si="67"/>
        <v>233</v>
      </c>
      <c r="AE85" s="9">
        <f t="shared" si="68"/>
        <v>233</v>
      </c>
      <c r="AF85" s="9">
        <f t="shared" si="69"/>
        <v>233</v>
      </c>
      <c r="AG85" s="9">
        <f t="shared" si="70"/>
        <v>233</v>
      </c>
      <c r="AH85" s="9">
        <f t="shared" si="71"/>
        <v>233</v>
      </c>
      <c r="AI85" s="7">
        <f t="shared" si="43"/>
        <v>21588.291666666668</v>
      </c>
      <c r="AJ85" s="7">
        <f t="shared" si="43"/>
        <v>21588.291666666668</v>
      </c>
      <c r="AK85" s="7">
        <f t="shared" si="43"/>
        <v>21588.291666666668</v>
      </c>
      <c r="AL85" s="7">
        <f t="shared" si="43"/>
        <v>21588.291666666668</v>
      </c>
      <c r="AM85" s="7">
        <f t="shared" si="43"/>
        <v>21588.291666666668</v>
      </c>
      <c r="AN85" s="7">
        <f t="shared" si="43"/>
        <v>21588.291666666668</v>
      </c>
      <c r="AO85" s="16"/>
      <c r="AP85" s="7"/>
      <c r="AQ85" s="9">
        <v>4</v>
      </c>
      <c r="AR85" s="9">
        <f t="shared" si="72"/>
        <v>210</v>
      </c>
      <c r="AS85" s="7">
        <f t="shared" si="73"/>
        <v>107</v>
      </c>
      <c r="AT85" s="7"/>
      <c r="AU85" s="16"/>
      <c r="AV85" s="7"/>
      <c r="AW85" s="7"/>
      <c r="AX85" s="7"/>
      <c r="AZ85" s="7"/>
      <c r="BA85" s="9">
        <f t="shared" ref="BA85:BA146" si="79">BA84+($BA$153-$BA$83)/($A$153-$A$83)</f>
        <v>21743.514285714286</v>
      </c>
      <c r="BC85" s="5">
        <f t="shared" si="74"/>
        <v>210</v>
      </c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18"/>
      <c r="BQ85" s="18"/>
      <c r="BR85" s="18">
        <v>4202053</v>
      </c>
      <c r="BS85" s="18">
        <f>[1]monsters!$N85</f>
        <v>176</v>
      </c>
      <c r="BT85" s="18">
        <f>[1]monsters!$O85</f>
        <v>17.600000000000001</v>
      </c>
      <c r="BU85" s="18">
        <f>[1]monsters!$P85</f>
        <v>2112</v>
      </c>
      <c r="BV85" s="18">
        <f>[1]monsters!$Q85</f>
        <v>211.2</v>
      </c>
      <c r="BW85" s="18">
        <f>[1]monsters!$R85</f>
        <v>44</v>
      </c>
      <c r="BX85" s="18">
        <f>[1]monsters!$S85</f>
        <v>4.4000000000000004</v>
      </c>
      <c r="BY85" s="18">
        <f>[1]monsters!$K85</f>
        <v>1.5</v>
      </c>
      <c r="BZ85" s="5">
        <f>[1]monsters!$D85</f>
        <v>2</v>
      </c>
      <c r="CA85" s="5">
        <f t="shared" si="75"/>
        <v>0.1</v>
      </c>
      <c r="CB85" s="5">
        <f t="shared" si="76"/>
        <v>237.43111111111114</v>
      </c>
      <c r="CC85" s="5">
        <f t="shared" si="77"/>
        <v>23.743111111111116</v>
      </c>
      <c r="CD85" s="6" t="s">
        <v>192</v>
      </c>
      <c r="CE85" s="6" t="s">
        <v>193</v>
      </c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>
        <v>0</v>
      </c>
      <c r="CR85" s="3" t="b">
        <f t="shared" si="48"/>
        <v>1</v>
      </c>
      <c r="CS85" s="3" t="b">
        <f t="shared" si="49"/>
        <v>1</v>
      </c>
      <c r="CT85" s="3" t="b">
        <f t="shared" si="50"/>
        <v>1</v>
      </c>
      <c r="CU85" s="3" t="b">
        <f t="shared" si="51"/>
        <v>1</v>
      </c>
      <c r="CV85" s="3" t="b">
        <f t="shared" si="52"/>
        <v>1</v>
      </c>
      <c r="CW85" s="3" t="b">
        <f t="shared" si="53"/>
        <v>1</v>
      </c>
      <c r="CX85" s="9" t="str">
        <f t="shared" si="54"/>
        <v>3202041</v>
      </c>
      <c r="CY85" s="9" t="str">
        <f t="shared" si="55"/>
        <v>3201042</v>
      </c>
      <c r="CZ85" s="9" t="str">
        <f t="shared" si="56"/>
        <v>3301041</v>
      </c>
      <c r="DA85" s="9" t="str">
        <f t="shared" si="57"/>
        <v>3502041</v>
      </c>
      <c r="DB85" s="9" t="str">
        <f t="shared" si="58"/>
        <v>3500042</v>
      </c>
      <c r="DC85" s="9" t="str">
        <f t="shared" si="59"/>
        <v>3502041</v>
      </c>
      <c r="DD85" s="9">
        <v>4</v>
      </c>
      <c r="DE85" s="9">
        <v>4</v>
      </c>
      <c r="DF85" s="9">
        <v>4</v>
      </c>
      <c r="DG85" s="9">
        <v>4</v>
      </c>
      <c r="DH85" s="9">
        <v>4</v>
      </c>
      <c r="DI85" s="9">
        <v>4</v>
      </c>
      <c r="DJ85" s="9">
        <v>3</v>
      </c>
      <c r="DK85" s="9">
        <v>3</v>
      </c>
      <c r="DL85" s="9">
        <v>3</v>
      </c>
      <c r="DM85" s="9">
        <v>3</v>
      </c>
      <c r="DN85" s="9">
        <v>3</v>
      </c>
      <c r="DO85" s="9">
        <v>3</v>
      </c>
      <c r="DP85" s="25" t="s">
        <v>111</v>
      </c>
      <c r="DQ85" s="25" t="s">
        <v>114</v>
      </c>
      <c r="DR85" s="25" t="s">
        <v>107</v>
      </c>
      <c r="DS85" s="25" t="s">
        <v>119</v>
      </c>
      <c r="DT85" s="25" t="s">
        <v>109</v>
      </c>
      <c r="DU85" s="25" t="s">
        <v>119</v>
      </c>
      <c r="DV85" s="25">
        <f t="shared" si="60"/>
        <v>1</v>
      </c>
      <c r="DW85" s="25">
        <f t="shared" si="61"/>
        <v>1</v>
      </c>
      <c r="DX85" s="25">
        <f t="shared" si="62"/>
        <v>1</v>
      </c>
      <c r="DY85" s="25">
        <f t="shared" si="63"/>
        <v>2</v>
      </c>
      <c r="DZ85" s="25">
        <f t="shared" si="64"/>
        <v>2</v>
      </c>
      <c r="EA85" s="3">
        <f t="shared" si="65"/>
        <v>2</v>
      </c>
      <c r="EB85" s="33"/>
      <c r="EC85" s="5">
        <v>3200083</v>
      </c>
      <c r="ED85" s="31" t="s">
        <v>113</v>
      </c>
      <c r="EE85" s="8">
        <v>1</v>
      </c>
    </row>
    <row r="86" spans="1:135" ht="13.5" customHeight="1">
      <c r="A86" s="9">
        <v>83</v>
      </c>
      <c r="B86" s="9">
        <v>1</v>
      </c>
      <c r="C86" s="9">
        <v>2001</v>
      </c>
      <c r="D86" s="9">
        <f t="shared" si="78"/>
        <v>151871</v>
      </c>
      <c r="E86" s="9" t="str">
        <f t="shared" si="44"/>
        <v>3200043,3200043,3200043,3502041,3402043,3502041</v>
      </c>
      <c r="F86" s="9" t="str">
        <f t="shared" si="45"/>
        <v>4,4,4,4,4,4</v>
      </c>
      <c r="G86" s="9" t="str">
        <f t="shared" si="46"/>
        <v>230,235,235,235,235,235</v>
      </c>
      <c r="H86" s="9">
        <v>75</v>
      </c>
      <c r="I86" s="9" t="s">
        <v>278</v>
      </c>
      <c r="J86" s="9" t="s">
        <v>279</v>
      </c>
      <c r="K86" s="9" t="s">
        <v>279</v>
      </c>
      <c r="L86" s="9" t="s">
        <v>279</v>
      </c>
      <c r="M86" s="9" t="s">
        <v>285</v>
      </c>
      <c r="O86" s="3">
        <f t="shared" si="47"/>
        <v>151871</v>
      </c>
      <c r="P86" s="9">
        <v>131489.75</v>
      </c>
      <c r="Q86" s="9">
        <v>3200043</v>
      </c>
      <c r="R86" s="9">
        <v>3200043</v>
      </c>
      <c r="S86" s="9">
        <v>3200043</v>
      </c>
      <c r="T86" s="9">
        <v>3502041</v>
      </c>
      <c r="U86" s="9">
        <v>3402043</v>
      </c>
      <c r="V86" s="9">
        <v>3502041</v>
      </c>
      <c r="W86" s="9">
        <v>4</v>
      </c>
      <c r="X86" s="9">
        <v>4</v>
      </c>
      <c r="Y86" s="9">
        <v>4</v>
      </c>
      <c r="Z86" s="9">
        <v>4</v>
      </c>
      <c r="AA86" s="9">
        <v>4</v>
      </c>
      <c r="AB86" s="9">
        <v>4</v>
      </c>
      <c r="AC86" s="9">
        <f t="shared" si="66"/>
        <v>230</v>
      </c>
      <c r="AD86" s="9">
        <f t="shared" si="67"/>
        <v>235</v>
      </c>
      <c r="AE86" s="9">
        <f t="shared" si="68"/>
        <v>235</v>
      </c>
      <c r="AF86" s="9">
        <f t="shared" si="69"/>
        <v>235</v>
      </c>
      <c r="AG86" s="9">
        <f t="shared" si="70"/>
        <v>235</v>
      </c>
      <c r="AH86" s="9">
        <f t="shared" si="71"/>
        <v>235</v>
      </c>
      <c r="AI86" s="7">
        <f t="shared" si="43"/>
        <v>21914.958333333332</v>
      </c>
      <c r="AJ86" s="7">
        <f t="shared" si="43"/>
        <v>21914.958333333332</v>
      </c>
      <c r="AK86" s="7">
        <f t="shared" si="43"/>
        <v>21914.958333333332</v>
      </c>
      <c r="AL86" s="7">
        <f t="shared" si="43"/>
        <v>21914.958333333332</v>
      </c>
      <c r="AM86" s="7">
        <f t="shared" si="43"/>
        <v>21914.958333333332</v>
      </c>
      <c r="AN86" s="7">
        <f t="shared" si="43"/>
        <v>21914.958333333332</v>
      </c>
      <c r="AO86" s="16"/>
      <c r="AP86" s="7"/>
      <c r="AQ86" s="9">
        <v>4</v>
      </c>
      <c r="AR86" s="9">
        <f t="shared" si="72"/>
        <v>212</v>
      </c>
      <c r="AS86" s="7">
        <f t="shared" si="73"/>
        <v>108</v>
      </c>
      <c r="AT86" s="7"/>
      <c r="AU86" s="16"/>
      <c r="AV86" s="7"/>
      <c r="AW86" s="7"/>
      <c r="AX86" s="7"/>
      <c r="AZ86" s="7"/>
      <c r="BA86" s="9">
        <f t="shared" si="79"/>
        <v>22266.271428571428</v>
      </c>
      <c r="BC86" s="5">
        <f t="shared" si="74"/>
        <v>212</v>
      </c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18"/>
      <c r="BQ86" s="18"/>
      <c r="BR86" s="18">
        <v>4302053</v>
      </c>
      <c r="BS86" s="18">
        <f>[1]monsters!$N86</f>
        <v>225.28</v>
      </c>
      <c r="BT86" s="18">
        <f>[1]monsters!$O86</f>
        <v>22.53</v>
      </c>
      <c r="BU86" s="18">
        <f>[1]monsters!$P86</f>
        <v>1760</v>
      </c>
      <c r="BV86" s="18">
        <f>[1]monsters!$Q86</f>
        <v>176</v>
      </c>
      <c r="BW86" s="18">
        <f>[1]monsters!$R86</f>
        <v>32.18</v>
      </c>
      <c r="BX86" s="18">
        <f>[1]monsters!$S86</f>
        <v>3.22</v>
      </c>
      <c r="BY86" s="18">
        <f>[1]monsters!$K86</f>
        <v>1.6</v>
      </c>
      <c r="BZ86" s="5">
        <f>[1]monsters!$D86</f>
        <v>4</v>
      </c>
      <c r="CA86" s="5">
        <f t="shared" si="75"/>
        <v>0.1</v>
      </c>
      <c r="CB86" s="5">
        <f t="shared" si="76"/>
        <v>272.14885925925927</v>
      </c>
      <c r="CC86" s="5">
        <f t="shared" si="77"/>
        <v>27.214885925925927</v>
      </c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>
        <v>0</v>
      </c>
      <c r="CR86" s="3" t="b">
        <f t="shared" si="48"/>
        <v>1</v>
      </c>
      <c r="CS86" s="3" t="b">
        <f t="shared" si="49"/>
        <v>1</v>
      </c>
      <c r="CT86" s="3" t="b">
        <f t="shared" si="50"/>
        <v>1</v>
      </c>
      <c r="CU86" s="3" t="b">
        <f t="shared" si="51"/>
        <v>1</v>
      </c>
      <c r="CV86" s="3" t="b">
        <f t="shared" si="52"/>
        <v>1</v>
      </c>
      <c r="CW86" s="3" t="b">
        <f t="shared" si="53"/>
        <v>1</v>
      </c>
      <c r="CX86" s="9" t="str">
        <f t="shared" si="54"/>
        <v>3200043</v>
      </c>
      <c r="CY86" s="9" t="str">
        <f t="shared" si="55"/>
        <v>3200043</v>
      </c>
      <c r="CZ86" s="9" t="str">
        <f t="shared" si="56"/>
        <v>3200043</v>
      </c>
      <c r="DA86" s="9" t="str">
        <f t="shared" si="57"/>
        <v>3502041</v>
      </c>
      <c r="DB86" s="9" t="str">
        <f t="shared" si="58"/>
        <v>3402043</v>
      </c>
      <c r="DC86" s="9" t="str">
        <f t="shared" si="59"/>
        <v>3502041</v>
      </c>
      <c r="DD86" s="9">
        <v>4</v>
      </c>
      <c r="DE86" s="9">
        <v>4</v>
      </c>
      <c r="DF86" s="9">
        <v>4</v>
      </c>
      <c r="DG86" s="9">
        <v>4</v>
      </c>
      <c r="DH86" s="9">
        <v>4</v>
      </c>
      <c r="DI86" s="9">
        <v>4</v>
      </c>
      <c r="DJ86" s="9">
        <v>3</v>
      </c>
      <c r="DK86" s="9">
        <v>3</v>
      </c>
      <c r="DL86" s="9">
        <v>3</v>
      </c>
      <c r="DM86" s="9">
        <v>3</v>
      </c>
      <c r="DN86" s="9">
        <v>3</v>
      </c>
      <c r="DO86" s="9">
        <v>3</v>
      </c>
      <c r="DP86" s="25" t="s">
        <v>113</v>
      </c>
      <c r="DQ86" s="25" t="s">
        <v>113</v>
      </c>
      <c r="DR86" s="25" t="s">
        <v>113</v>
      </c>
      <c r="DS86" s="25" t="s">
        <v>119</v>
      </c>
      <c r="DT86" s="26" t="s">
        <v>118</v>
      </c>
      <c r="DU86" s="25" t="s">
        <v>119</v>
      </c>
      <c r="DV86" s="25">
        <f t="shared" si="60"/>
        <v>1</v>
      </c>
      <c r="DW86" s="25">
        <f t="shared" si="61"/>
        <v>1</v>
      </c>
      <c r="DX86" s="25">
        <f t="shared" si="62"/>
        <v>1</v>
      </c>
      <c r="DY86" s="25">
        <f t="shared" si="63"/>
        <v>2</v>
      </c>
      <c r="DZ86" s="25">
        <f t="shared" si="64"/>
        <v>2</v>
      </c>
      <c r="EA86" s="3">
        <f t="shared" si="65"/>
        <v>2</v>
      </c>
      <c r="EB86" s="33"/>
      <c r="EC86" s="5">
        <v>3401081</v>
      </c>
      <c r="ED86" s="31" t="s">
        <v>117</v>
      </c>
      <c r="EE86" s="8">
        <v>2</v>
      </c>
    </row>
    <row r="87" spans="1:135" ht="13.5" customHeight="1">
      <c r="A87" s="9">
        <v>84</v>
      </c>
      <c r="B87" s="9">
        <v>1</v>
      </c>
      <c r="C87" s="9">
        <v>2001</v>
      </c>
      <c r="D87" s="9">
        <f t="shared" si="78"/>
        <v>154155</v>
      </c>
      <c r="E87" s="9" t="str">
        <f t="shared" si="44"/>
        <v>3202041,3202041,3202041,3401041,3402043,3401041</v>
      </c>
      <c r="F87" s="9" t="str">
        <f t="shared" si="45"/>
        <v>4,4,4,4,4,4</v>
      </c>
      <c r="G87" s="9" t="str">
        <f t="shared" si="46"/>
        <v>232,237,237,237,237,237</v>
      </c>
      <c r="H87" s="9">
        <v>75</v>
      </c>
      <c r="I87" s="9" t="s">
        <v>278</v>
      </c>
      <c r="J87" s="9" t="s">
        <v>279</v>
      </c>
      <c r="K87" s="9" t="s">
        <v>279</v>
      </c>
      <c r="L87" s="9" t="s">
        <v>279</v>
      </c>
      <c r="M87" s="9" t="s">
        <v>285</v>
      </c>
      <c r="O87" s="3">
        <f t="shared" si="47"/>
        <v>154155</v>
      </c>
      <c r="P87" s="9">
        <v>133467.25</v>
      </c>
      <c r="Q87" s="9">
        <v>3202041</v>
      </c>
      <c r="R87" s="9">
        <v>3202041</v>
      </c>
      <c r="S87" s="9">
        <v>3202041</v>
      </c>
      <c r="T87" s="9">
        <v>3401041</v>
      </c>
      <c r="U87" s="9">
        <v>3402043</v>
      </c>
      <c r="V87" s="9">
        <v>3401041</v>
      </c>
      <c r="W87" s="9">
        <v>4</v>
      </c>
      <c r="X87" s="9">
        <v>4</v>
      </c>
      <c r="Y87" s="9">
        <v>4</v>
      </c>
      <c r="Z87" s="9">
        <v>4</v>
      </c>
      <c r="AA87" s="9">
        <v>4</v>
      </c>
      <c r="AB87" s="9">
        <v>4</v>
      </c>
      <c r="AC87" s="9">
        <f t="shared" si="66"/>
        <v>232</v>
      </c>
      <c r="AD87" s="9">
        <f t="shared" si="67"/>
        <v>237</v>
      </c>
      <c r="AE87" s="9">
        <f t="shared" si="68"/>
        <v>237</v>
      </c>
      <c r="AF87" s="9">
        <f t="shared" si="69"/>
        <v>237</v>
      </c>
      <c r="AG87" s="9">
        <f t="shared" si="70"/>
        <v>237</v>
      </c>
      <c r="AH87" s="9">
        <f t="shared" si="71"/>
        <v>237</v>
      </c>
      <c r="AI87" s="7">
        <f t="shared" si="43"/>
        <v>22244.541666666668</v>
      </c>
      <c r="AJ87" s="7">
        <f t="shared" si="43"/>
        <v>22244.541666666668</v>
      </c>
      <c r="AK87" s="7">
        <f t="shared" si="43"/>
        <v>22244.541666666668</v>
      </c>
      <c r="AL87" s="7">
        <f t="shared" si="43"/>
        <v>22244.541666666668</v>
      </c>
      <c r="AM87" s="7">
        <f t="shared" si="43"/>
        <v>22244.541666666668</v>
      </c>
      <c r="AN87" s="7">
        <f t="shared" si="43"/>
        <v>22244.541666666668</v>
      </c>
      <c r="AO87" s="16"/>
      <c r="AP87" s="7"/>
      <c r="AQ87" s="9">
        <v>4</v>
      </c>
      <c r="AR87" s="9">
        <f t="shared" si="72"/>
        <v>214</v>
      </c>
      <c r="AS87" s="7">
        <f t="shared" si="73"/>
        <v>109</v>
      </c>
      <c r="AT87" s="7"/>
      <c r="AU87" s="16"/>
      <c r="AV87" s="7"/>
      <c r="AW87" s="7"/>
      <c r="AX87" s="7"/>
      <c r="AZ87" s="7"/>
      <c r="BA87" s="9">
        <f t="shared" si="79"/>
        <v>22789.028571428571</v>
      </c>
      <c r="BC87" s="5">
        <f t="shared" si="74"/>
        <v>214</v>
      </c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18"/>
      <c r="BQ87" s="18"/>
      <c r="BR87" s="18">
        <v>4400053</v>
      </c>
      <c r="BS87" s="18">
        <f>[1]monsters!$N87</f>
        <v>211.2</v>
      </c>
      <c r="BT87" s="18">
        <f>[1]monsters!$O87</f>
        <v>21.12</v>
      </c>
      <c r="BU87" s="18">
        <f>[1]monsters!$P87</f>
        <v>1760</v>
      </c>
      <c r="BV87" s="18">
        <f>[1]monsters!$Q87</f>
        <v>176</v>
      </c>
      <c r="BW87" s="18">
        <f>[1]monsters!$R87</f>
        <v>30.17</v>
      </c>
      <c r="BX87" s="18">
        <f>[1]monsters!$S87</f>
        <v>3.02</v>
      </c>
      <c r="BY87" s="18">
        <f>[1]monsters!$K87</f>
        <v>1.5</v>
      </c>
      <c r="BZ87" s="5">
        <f>[1]monsters!$D87</f>
        <v>4</v>
      </c>
      <c r="CA87" s="5">
        <f t="shared" si="75"/>
        <v>0.1</v>
      </c>
      <c r="CB87" s="5">
        <f t="shared" si="76"/>
        <v>258.84325925925924</v>
      </c>
      <c r="CC87" s="5">
        <f t="shared" si="77"/>
        <v>25.884325925925925</v>
      </c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>
        <v>0</v>
      </c>
      <c r="CR87" s="3" t="b">
        <f t="shared" si="48"/>
        <v>1</v>
      </c>
      <c r="CS87" s="3" t="b">
        <f t="shared" si="49"/>
        <v>1</v>
      </c>
      <c r="CT87" s="3" t="b">
        <f t="shared" si="50"/>
        <v>1</v>
      </c>
      <c r="CU87" s="3" t="b">
        <f t="shared" si="51"/>
        <v>1</v>
      </c>
      <c r="CV87" s="3" t="b">
        <f t="shared" si="52"/>
        <v>1</v>
      </c>
      <c r="CW87" s="3" t="b">
        <f t="shared" si="53"/>
        <v>1</v>
      </c>
      <c r="CX87" s="9" t="str">
        <f t="shared" si="54"/>
        <v>3202041</v>
      </c>
      <c r="CY87" s="9" t="str">
        <f t="shared" si="55"/>
        <v>3202041</v>
      </c>
      <c r="CZ87" s="9" t="str">
        <f t="shared" si="56"/>
        <v>3202041</v>
      </c>
      <c r="DA87" s="9" t="str">
        <f t="shared" si="57"/>
        <v>3401041</v>
      </c>
      <c r="DB87" s="9" t="str">
        <f t="shared" si="58"/>
        <v>3402043</v>
      </c>
      <c r="DC87" s="9" t="str">
        <f t="shared" si="59"/>
        <v>3401041</v>
      </c>
      <c r="DD87" s="9">
        <v>4</v>
      </c>
      <c r="DE87" s="9">
        <v>4</v>
      </c>
      <c r="DF87" s="9">
        <v>4</v>
      </c>
      <c r="DG87" s="9">
        <v>4</v>
      </c>
      <c r="DH87" s="9">
        <v>4</v>
      </c>
      <c r="DI87" s="9">
        <v>4</v>
      </c>
      <c r="DJ87" s="9">
        <v>3</v>
      </c>
      <c r="DK87" s="9">
        <v>3</v>
      </c>
      <c r="DL87" s="9">
        <v>3</v>
      </c>
      <c r="DM87" s="9">
        <v>3</v>
      </c>
      <c r="DN87" s="9">
        <v>3</v>
      </c>
      <c r="DO87" s="9">
        <v>3</v>
      </c>
      <c r="DP87" s="25" t="s">
        <v>111</v>
      </c>
      <c r="DQ87" s="25" t="s">
        <v>111</v>
      </c>
      <c r="DR87" s="25" t="s">
        <v>111</v>
      </c>
      <c r="DS87" s="25" t="s">
        <v>117</v>
      </c>
      <c r="DT87" s="25" t="s">
        <v>118</v>
      </c>
      <c r="DU87" s="25" t="s">
        <v>117</v>
      </c>
      <c r="DV87" s="25">
        <f t="shared" si="60"/>
        <v>1</v>
      </c>
      <c r="DW87" s="25">
        <f t="shared" si="61"/>
        <v>1</v>
      </c>
      <c r="DX87" s="25">
        <f t="shared" si="62"/>
        <v>1</v>
      </c>
      <c r="DY87" s="25">
        <f t="shared" si="63"/>
        <v>2</v>
      </c>
      <c r="DZ87" s="25">
        <f t="shared" si="64"/>
        <v>2</v>
      </c>
      <c r="EA87" s="3">
        <f t="shared" si="65"/>
        <v>2</v>
      </c>
      <c r="EB87" s="33"/>
      <c r="EC87" s="5">
        <v>3402083</v>
      </c>
      <c r="ED87" s="31" t="s">
        <v>118</v>
      </c>
      <c r="EE87" s="8">
        <v>2</v>
      </c>
    </row>
    <row r="88" spans="1:135" ht="13.5" customHeight="1">
      <c r="A88" s="9">
        <v>85</v>
      </c>
      <c r="B88" s="9">
        <v>1</v>
      </c>
      <c r="C88" s="9">
        <v>2001</v>
      </c>
      <c r="D88" s="9">
        <f t="shared" si="78"/>
        <v>156453</v>
      </c>
      <c r="E88" s="9" t="str">
        <f t="shared" si="44"/>
        <v>3202041,3202041,3202041,3500042,3500042,3500042</v>
      </c>
      <c r="F88" s="9" t="str">
        <f t="shared" si="45"/>
        <v>4,4,4,4,4,4</v>
      </c>
      <c r="G88" s="9" t="str">
        <f t="shared" si="46"/>
        <v>233,239,239,239,239,239</v>
      </c>
      <c r="H88" s="9">
        <v>76</v>
      </c>
      <c r="I88" s="9" t="s">
        <v>278</v>
      </c>
      <c r="J88" s="9" t="s">
        <v>279</v>
      </c>
      <c r="K88" s="9" t="s">
        <v>279</v>
      </c>
      <c r="L88" s="9" t="s">
        <v>279</v>
      </c>
      <c r="M88" s="9" t="s">
        <v>285</v>
      </c>
      <c r="O88" s="3">
        <f t="shared" si="47"/>
        <v>156453</v>
      </c>
      <c r="P88" s="9">
        <v>135457</v>
      </c>
      <c r="Q88" s="9">
        <v>3202041</v>
      </c>
      <c r="R88" s="9">
        <v>3202041</v>
      </c>
      <c r="S88" s="9">
        <v>3202041</v>
      </c>
      <c r="T88" s="9">
        <v>3500042</v>
      </c>
      <c r="U88" s="9">
        <v>3500042</v>
      </c>
      <c r="V88" s="9">
        <v>3500042</v>
      </c>
      <c r="W88" s="9">
        <v>4</v>
      </c>
      <c r="X88" s="9">
        <v>4</v>
      </c>
      <c r="Y88" s="9">
        <v>4</v>
      </c>
      <c r="Z88" s="9">
        <v>4</v>
      </c>
      <c r="AA88" s="9">
        <v>4</v>
      </c>
      <c r="AB88" s="9">
        <v>4</v>
      </c>
      <c r="AC88" s="9">
        <f t="shared" si="66"/>
        <v>233</v>
      </c>
      <c r="AD88" s="9">
        <f t="shared" si="67"/>
        <v>239</v>
      </c>
      <c r="AE88" s="9">
        <f t="shared" si="68"/>
        <v>239</v>
      </c>
      <c r="AF88" s="9">
        <f t="shared" si="69"/>
        <v>239</v>
      </c>
      <c r="AG88" s="9">
        <f t="shared" si="70"/>
        <v>239</v>
      </c>
      <c r="AH88" s="9">
        <f t="shared" si="71"/>
        <v>239</v>
      </c>
      <c r="AI88" s="7">
        <f t="shared" si="43"/>
        <v>22576.166666666668</v>
      </c>
      <c r="AJ88" s="7">
        <f t="shared" si="43"/>
        <v>22576.166666666668</v>
      </c>
      <c r="AK88" s="7">
        <f t="shared" si="43"/>
        <v>22576.166666666668</v>
      </c>
      <c r="AL88" s="7">
        <f t="shared" si="43"/>
        <v>22576.166666666668</v>
      </c>
      <c r="AM88" s="7">
        <f t="shared" si="43"/>
        <v>22576.166666666668</v>
      </c>
      <c r="AN88" s="7">
        <f t="shared" si="43"/>
        <v>22576.166666666668</v>
      </c>
      <c r="AO88" s="16"/>
      <c r="AP88" s="7"/>
      <c r="AQ88" s="9">
        <v>4</v>
      </c>
      <c r="AR88" s="9">
        <f t="shared" si="72"/>
        <v>215</v>
      </c>
      <c r="AS88" s="7">
        <f t="shared" si="73"/>
        <v>110</v>
      </c>
      <c r="AT88" s="7"/>
      <c r="AU88" s="16"/>
      <c r="AV88" s="7"/>
      <c r="AW88" s="7"/>
      <c r="AX88" s="7"/>
      <c r="AZ88" s="7"/>
      <c r="BA88" s="9">
        <f t="shared" si="79"/>
        <v>23311.785714285714</v>
      </c>
      <c r="BC88" s="5">
        <f t="shared" si="74"/>
        <v>215</v>
      </c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18"/>
      <c r="BQ88" s="18"/>
      <c r="BR88" s="18">
        <v>4501053</v>
      </c>
      <c r="BS88" s="18">
        <f>[1]monsters!$N88</f>
        <v>262.83</v>
      </c>
      <c r="BT88" s="18">
        <f>[1]monsters!$O88</f>
        <v>26.28</v>
      </c>
      <c r="BU88" s="18">
        <f>[1]monsters!$P88</f>
        <v>1508.57</v>
      </c>
      <c r="BV88" s="18">
        <f>[1]monsters!$Q88</f>
        <v>150.86000000000001</v>
      </c>
      <c r="BW88" s="18">
        <f>[1]monsters!$R88</f>
        <v>32.85</v>
      </c>
      <c r="BX88" s="18">
        <f>[1]monsters!$S88</f>
        <v>3.29</v>
      </c>
      <c r="BY88" s="18">
        <f>[1]monsters!$K88</f>
        <v>1.6</v>
      </c>
      <c r="BZ88" s="5">
        <f>[1]monsters!$D88</f>
        <v>5</v>
      </c>
      <c r="CA88" s="5">
        <f t="shared" si="75"/>
        <v>0.1</v>
      </c>
      <c r="CB88" s="5">
        <f t="shared" si="76"/>
        <v>299.16795269360267</v>
      </c>
      <c r="CC88" s="5">
        <f t="shared" si="77"/>
        <v>29.916795269360268</v>
      </c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>
        <v>1</v>
      </c>
      <c r="CR88" s="3" t="b">
        <f t="shared" si="48"/>
        <v>1</v>
      </c>
      <c r="CS88" s="3" t="b">
        <f t="shared" si="49"/>
        <v>1</v>
      </c>
      <c r="CT88" s="3" t="b">
        <f t="shared" si="50"/>
        <v>1</v>
      </c>
      <c r="CU88" s="3" t="b">
        <f t="shared" si="51"/>
        <v>1</v>
      </c>
      <c r="CV88" s="3" t="b">
        <f t="shared" si="52"/>
        <v>1</v>
      </c>
      <c r="CW88" s="3" t="b">
        <f t="shared" si="53"/>
        <v>1</v>
      </c>
      <c r="CX88" s="9" t="str">
        <f t="shared" si="54"/>
        <v>3202041</v>
      </c>
      <c r="CY88" s="9" t="str">
        <f t="shared" si="55"/>
        <v>3202041</v>
      </c>
      <c r="CZ88" s="9" t="str">
        <f t="shared" si="56"/>
        <v>3202041</v>
      </c>
      <c r="DA88" s="9" t="str">
        <f t="shared" si="57"/>
        <v>3500042</v>
      </c>
      <c r="DB88" s="9" t="str">
        <f t="shared" si="58"/>
        <v>3500042</v>
      </c>
      <c r="DC88" s="9" t="str">
        <f t="shared" si="59"/>
        <v>3500042</v>
      </c>
      <c r="DD88" s="9">
        <v>4</v>
      </c>
      <c r="DE88" s="9">
        <v>4</v>
      </c>
      <c r="DF88" s="9">
        <v>4</v>
      </c>
      <c r="DG88" s="9">
        <v>4</v>
      </c>
      <c r="DH88" s="9">
        <v>4</v>
      </c>
      <c r="DI88" s="9">
        <v>4</v>
      </c>
      <c r="DJ88" s="9">
        <v>3</v>
      </c>
      <c r="DK88" s="9">
        <v>3</v>
      </c>
      <c r="DL88" s="9">
        <v>3</v>
      </c>
      <c r="DM88" s="9">
        <v>3</v>
      </c>
      <c r="DN88" s="9">
        <v>3</v>
      </c>
      <c r="DO88" s="9">
        <v>3</v>
      </c>
      <c r="DP88" s="25" t="s">
        <v>111</v>
      </c>
      <c r="DQ88" s="25" t="s">
        <v>111</v>
      </c>
      <c r="DR88" s="25" t="s">
        <v>111</v>
      </c>
      <c r="DS88" s="25" t="s">
        <v>109</v>
      </c>
      <c r="DT88" s="25" t="s">
        <v>109</v>
      </c>
      <c r="DU88" s="25" t="s">
        <v>109</v>
      </c>
      <c r="DV88" s="25">
        <f t="shared" si="60"/>
        <v>1</v>
      </c>
      <c r="DW88" s="25">
        <f t="shared" si="61"/>
        <v>1</v>
      </c>
      <c r="DX88" s="25">
        <f t="shared" si="62"/>
        <v>1</v>
      </c>
      <c r="DY88" s="25">
        <f t="shared" si="63"/>
        <v>2</v>
      </c>
      <c r="DZ88" s="25">
        <f t="shared" si="64"/>
        <v>2</v>
      </c>
      <c r="EA88" s="3">
        <f t="shared" si="65"/>
        <v>2</v>
      </c>
      <c r="EB88" s="33"/>
      <c r="EC88" s="5">
        <v>3501083</v>
      </c>
      <c r="ED88" s="31" t="s">
        <v>121</v>
      </c>
      <c r="EE88" s="8">
        <v>2</v>
      </c>
    </row>
    <row r="89" spans="1:135" ht="13.5" customHeight="1">
      <c r="A89" s="9">
        <v>86</v>
      </c>
      <c r="B89" s="9">
        <v>1</v>
      </c>
      <c r="C89" s="9">
        <v>2001</v>
      </c>
      <c r="D89" s="9">
        <f t="shared" si="78"/>
        <v>159006</v>
      </c>
      <c r="E89" s="9" t="str">
        <f t="shared" si="44"/>
        <v>3202041,3202041,3200043,3300042,3501043,3300042</v>
      </c>
      <c r="F89" s="9" t="str">
        <f t="shared" si="45"/>
        <v>4,4,4,4,4,4</v>
      </c>
      <c r="G89" s="9" t="str">
        <f t="shared" si="46"/>
        <v>235,241,241,241,241,241</v>
      </c>
      <c r="H89" s="9">
        <v>78</v>
      </c>
      <c r="I89" s="9" t="s">
        <v>278</v>
      </c>
      <c r="J89" s="9" t="s">
        <v>279</v>
      </c>
      <c r="K89" s="9" t="s">
        <v>279</v>
      </c>
      <c r="L89" s="9" t="s">
        <v>279</v>
      </c>
      <c r="M89" s="9" t="s">
        <v>285</v>
      </c>
      <c r="O89" s="3">
        <f t="shared" si="47"/>
        <v>159006</v>
      </c>
      <c r="P89" s="9">
        <v>137667.25</v>
      </c>
      <c r="Q89" s="9">
        <v>3202041</v>
      </c>
      <c r="R89" s="9">
        <v>3202041</v>
      </c>
      <c r="S89" s="9">
        <v>3200043</v>
      </c>
      <c r="T89" s="9">
        <v>3300042</v>
      </c>
      <c r="U89" s="9">
        <v>3501043</v>
      </c>
      <c r="V89" s="9">
        <v>3300042</v>
      </c>
      <c r="W89" s="9">
        <v>4</v>
      </c>
      <c r="X89" s="9">
        <v>4</v>
      </c>
      <c r="Y89" s="9">
        <v>4</v>
      </c>
      <c r="Z89" s="9">
        <v>4</v>
      </c>
      <c r="AA89" s="9">
        <v>4</v>
      </c>
      <c r="AB89" s="9">
        <v>4</v>
      </c>
      <c r="AC89" s="9">
        <f t="shared" si="66"/>
        <v>235</v>
      </c>
      <c r="AD89" s="9">
        <f t="shared" si="67"/>
        <v>241</v>
      </c>
      <c r="AE89" s="9">
        <f t="shared" si="68"/>
        <v>241</v>
      </c>
      <c r="AF89" s="9">
        <f t="shared" si="69"/>
        <v>241</v>
      </c>
      <c r="AG89" s="9">
        <f t="shared" si="70"/>
        <v>241</v>
      </c>
      <c r="AH89" s="9">
        <f t="shared" si="71"/>
        <v>241</v>
      </c>
      <c r="AI89" s="7">
        <f t="shared" si="43"/>
        <v>22944.541666666668</v>
      </c>
      <c r="AJ89" s="7">
        <f t="shared" si="43"/>
        <v>22944.541666666668</v>
      </c>
      <c r="AK89" s="7">
        <f t="shared" si="43"/>
        <v>22944.541666666668</v>
      </c>
      <c r="AL89" s="7">
        <f t="shared" si="43"/>
        <v>22944.541666666668</v>
      </c>
      <c r="AM89" s="7">
        <f t="shared" si="43"/>
        <v>22944.541666666668</v>
      </c>
      <c r="AN89" s="7">
        <f t="shared" si="43"/>
        <v>22944.541666666668</v>
      </c>
      <c r="AO89" s="16"/>
      <c r="AP89" s="7"/>
      <c r="AQ89" s="9">
        <v>4</v>
      </c>
      <c r="AR89" s="9">
        <f t="shared" si="72"/>
        <v>217</v>
      </c>
      <c r="AS89" s="7">
        <f t="shared" si="73"/>
        <v>111</v>
      </c>
      <c r="AT89" s="7"/>
      <c r="AU89" s="16"/>
      <c r="AV89" s="7"/>
      <c r="AW89" s="7"/>
      <c r="AX89" s="7"/>
      <c r="AZ89" s="7"/>
      <c r="BA89" s="9">
        <f t="shared" si="79"/>
        <v>23834.542857142857</v>
      </c>
      <c r="BC89" s="5">
        <f t="shared" si="74"/>
        <v>217</v>
      </c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18"/>
      <c r="BQ89" s="18"/>
      <c r="BR89" s="18">
        <v>4600053</v>
      </c>
      <c r="BS89" s="18">
        <f>[1]monsters!$N89</f>
        <v>254.61</v>
      </c>
      <c r="BT89" s="18">
        <f>[1]monsters!$O89</f>
        <v>25.46</v>
      </c>
      <c r="BU89" s="18">
        <f>[1]monsters!$P89</f>
        <v>1362.58</v>
      </c>
      <c r="BV89" s="18">
        <f>[1]monsters!$Q89</f>
        <v>136.26</v>
      </c>
      <c r="BW89" s="18">
        <f>[1]monsters!$R89</f>
        <v>25.46</v>
      </c>
      <c r="BX89" s="18">
        <f>[1]monsters!$S89</f>
        <v>2.5499999999999998</v>
      </c>
      <c r="BY89" s="18">
        <f>[1]monsters!$K89</f>
        <v>1.4</v>
      </c>
      <c r="BZ89" s="5">
        <f>[1]monsters!$D89</f>
        <v>6</v>
      </c>
      <c r="CA89" s="5">
        <f t="shared" si="75"/>
        <v>0.1</v>
      </c>
      <c r="CB89" s="5">
        <f t="shared" si="76"/>
        <v>286.48456447811452</v>
      </c>
      <c r="CC89" s="5">
        <f t="shared" si="77"/>
        <v>28.648456447811455</v>
      </c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>
        <v>0</v>
      </c>
      <c r="CR89" s="3" t="b">
        <f t="shared" si="48"/>
        <v>1</v>
      </c>
      <c r="CS89" s="3" t="b">
        <f t="shared" si="49"/>
        <v>1</v>
      </c>
      <c r="CT89" s="3" t="b">
        <f t="shared" si="50"/>
        <v>1</v>
      </c>
      <c r="CU89" s="3" t="b">
        <f t="shared" si="51"/>
        <v>1</v>
      </c>
      <c r="CV89" s="3" t="b">
        <f t="shared" si="52"/>
        <v>1</v>
      </c>
      <c r="CW89" s="3" t="b">
        <f t="shared" si="53"/>
        <v>1</v>
      </c>
      <c r="CX89" s="9" t="str">
        <f t="shared" si="54"/>
        <v>3202041</v>
      </c>
      <c r="CY89" s="9" t="str">
        <f t="shared" si="55"/>
        <v>3202041</v>
      </c>
      <c r="CZ89" s="9" t="str">
        <f t="shared" si="56"/>
        <v>3200043</v>
      </c>
      <c r="DA89" s="9" t="str">
        <f t="shared" si="57"/>
        <v>3300042</v>
      </c>
      <c r="DB89" s="9" t="str">
        <f t="shared" si="58"/>
        <v>3501043</v>
      </c>
      <c r="DC89" s="9" t="str">
        <f t="shared" si="59"/>
        <v>3300042</v>
      </c>
      <c r="DD89" s="9">
        <v>4</v>
      </c>
      <c r="DE89" s="9">
        <v>4</v>
      </c>
      <c r="DF89" s="9">
        <v>4</v>
      </c>
      <c r="DG89" s="9">
        <v>4</v>
      </c>
      <c r="DH89" s="9">
        <v>4</v>
      </c>
      <c r="DI89" s="9">
        <v>4</v>
      </c>
      <c r="DJ89" s="9">
        <v>3</v>
      </c>
      <c r="DK89" s="9">
        <v>3</v>
      </c>
      <c r="DL89" s="9">
        <v>3</v>
      </c>
      <c r="DM89" s="9">
        <v>3</v>
      </c>
      <c r="DN89" s="9">
        <v>3</v>
      </c>
      <c r="DO89" s="9">
        <v>3</v>
      </c>
      <c r="DP89" s="25" t="s">
        <v>111</v>
      </c>
      <c r="DQ89" s="25" t="s">
        <v>111</v>
      </c>
      <c r="DR89" s="25" t="s">
        <v>113</v>
      </c>
      <c r="DS89" s="25" t="s">
        <v>115</v>
      </c>
      <c r="DT89" s="25" t="s">
        <v>121</v>
      </c>
      <c r="DU89" s="25" t="s">
        <v>115</v>
      </c>
      <c r="DV89" s="25">
        <f t="shared" si="60"/>
        <v>1</v>
      </c>
      <c r="DW89" s="25">
        <f t="shared" si="61"/>
        <v>1</v>
      </c>
      <c r="DX89" s="25">
        <f t="shared" si="62"/>
        <v>1</v>
      </c>
      <c r="DY89" s="25">
        <f t="shared" si="63"/>
        <v>2</v>
      </c>
      <c r="DZ89" s="25">
        <f t="shared" si="64"/>
        <v>2</v>
      </c>
      <c r="EA89" s="3">
        <f t="shared" si="65"/>
        <v>2</v>
      </c>
      <c r="EB89" s="33"/>
      <c r="EC89" s="8">
        <v>3600083</v>
      </c>
      <c r="ED89" s="31" t="s">
        <v>131</v>
      </c>
      <c r="EE89" s="8">
        <v>1</v>
      </c>
    </row>
    <row r="90" spans="1:135" ht="13.5" customHeight="1">
      <c r="A90" s="9">
        <v>87</v>
      </c>
      <c r="B90" s="9">
        <v>1</v>
      </c>
      <c r="C90" s="9">
        <v>2001</v>
      </c>
      <c r="D90" s="9">
        <f t="shared" si="78"/>
        <v>161340</v>
      </c>
      <c r="E90" s="9" t="str">
        <f t="shared" si="44"/>
        <v>3202041,3201042,3301041,3501043,3500042,3501043</v>
      </c>
      <c r="F90" s="9" t="str">
        <f t="shared" si="45"/>
        <v>4,4,4,4,4,4</v>
      </c>
      <c r="G90" s="9" t="str">
        <f t="shared" si="46"/>
        <v>237,243,243,243,243,243</v>
      </c>
      <c r="H90" s="9">
        <v>78</v>
      </c>
      <c r="I90" s="9" t="s">
        <v>278</v>
      </c>
      <c r="J90" s="9" t="s">
        <v>279</v>
      </c>
      <c r="K90" s="9" t="s">
        <v>279</v>
      </c>
      <c r="L90" s="9" t="s">
        <v>279</v>
      </c>
      <c r="M90" s="9" t="s">
        <v>285</v>
      </c>
      <c r="O90" s="3">
        <f t="shared" si="47"/>
        <v>161340</v>
      </c>
      <c r="P90" s="9">
        <v>139688.5</v>
      </c>
      <c r="Q90" s="9">
        <v>3202041</v>
      </c>
      <c r="R90" s="9">
        <v>3201042</v>
      </c>
      <c r="S90" s="9">
        <v>3301041</v>
      </c>
      <c r="T90" s="9">
        <v>3501043</v>
      </c>
      <c r="U90" s="9">
        <v>3500042</v>
      </c>
      <c r="V90" s="9">
        <v>3501043</v>
      </c>
      <c r="W90" s="9">
        <v>4</v>
      </c>
      <c r="X90" s="9">
        <v>4</v>
      </c>
      <c r="Y90" s="9">
        <v>4</v>
      </c>
      <c r="Z90" s="9">
        <v>4</v>
      </c>
      <c r="AA90" s="9">
        <v>4</v>
      </c>
      <c r="AB90" s="9">
        <v>4</v>
      </c>
      <c r="AC90" s="9">
        <f t="shared" si="66"/>
        <v>237</v>
      </c>
      <c r="AD90" s="9">
        <f t="shared" si="67"/>
        <v>243</v>
      </c>
      <c r="AE90" s="9">
        <f t="shared" si="68"/>
        <v>243</v>
      </c>
      <c r="AF90" s="9">
        <f t="shared" si="69"/>
        <v>243</v>
      </c>
      <c r="AG90" s="9">
        <f t="shared" si="70"/>
        <v>243</v>
      </c>
      <c r="AH90" s="9">
        <f t="shared" si="71"/>
        <v>243</v>
      </c>
      <c r="AI90" s="7">
        <f t="shared" si="43"/>
        <v>23281.416666666668</v>
      </c>
      <c r="AJ90" s="7">
        <f t="shared" si="43"/>
        <v>23281.416666666668</v>
      </c>
      <c r="AK90" s="7">
        <f t="shared" si="43"/>
        <v>23281.416666666668</v>
      </c>
      <c r="AL90" s="7">
        <f t="shared" si="43"/>
        <v>23281.416666666668</v>
      </c>
      <c r="AM90" s="7">
        <f t="shared" si="43"/>
        <v>23281.416666666668</v>
      </c>
      <c r="AN90" s="7">
        <f t="shared" si="43"/>
        <v>23281.416666666668</v>
      </c>
      <c r="AO90" s="16"/>
      <c r="AP90" s="7"/>
      <c r="AQ90" s="9">
        <v>4</v>
      </c>
      <c r="AR90" s="9">
        <f t="shared" si="72"/>
        <v>219</v>
      </c>
      <c r="AS90" s="7">
        <f t="shared" si="73"/>
        <v>112</v>
      </c>
      <c r="AT90" s="7"/>
      <c r="AU90" s="16"/>
      <c r="AV90" s="7"/>
      <c r="AW90" s="7"/>
      <c r="AX90" s="7"/>
      <c r="AZ90" s="7"/>
      <c r="BA90" s="9">
        <f t="shared" si="79"/>
        <v>24357.3</v>
      </c>
      <c r="BC90" s="5">
        <f t="shared" si="74"/>
        <v>219</v>
      </c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18"/>
      <c r="BQ90" s="18"/>
      <c r="BR90" s="18">
        <v>4201053</v>
      </c>
      <c r="BS90" s="18">
        <f>[1]monsters!$N90</f>
        <v>327.36</v>
      </c>
      <c r="BT90" s="18">
        <f>[1]monsters!$O90</f>
        <v>32.74</v>
      </c>
      <c r="BU90" s="18">
        <f>[1]monsters!$P90</f>
        <v>1362.58</v>
      </c>
      <c r="BV90" s="18">
        <f>[1]monsters!$Q90</f>
        <v>136.26</v>
      </c>
      <c r="BW90" s="18">
        <f>[1]monsters!$R90</f>
        <v>32.74</v>
      </c>
      <c r="BX90" s="18">
        <f>[1]monsters!$S90</f>
        <v>3.27</v>
      </c>
      <c r="BY90" s="18">
        <f>[1]monsters!$K90</f>
        <v>1.8</v>
      </c>
      <c r="BZ90" s="5">
        <f>[1]monsters!$D90</f>
        <v>6</v>
      </c>
      <c r="CA90" s="5">
        <f t="shared" si="75"/>
        <v>0.1</v>
      </c>
      <c r="CB90" s="5">
        <f t="shared" si="76"/>
        <v>355.23331447811449</v>
      </c>
      <c r="CC90" s="5">
        <f t="shared" si="77"/>
        <v>35.523331447811451</v>
      </c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>
        <v>0</v>
      </c>
      <c r="CR90" s="3" t="b">
        <f t="shared" si="48"/>
        <v>1</v>
      </c>
      <c r="CS90" s="3" t="b">
        <f t="shared" si="49"/>
        <v>1</v>
      </c>
      <c r="CT90" s="3" t="b">
        <f t="shared" si="50"/>
        <v>1</v>
      </c>
      <c r="CU90" s="3" t="b">
        <f t="shared" si="51"/>
        <v>1</v>
      </c>
      <c r="CV90" s="3" t="b">
        <f t="shared" si="52"/>
        <v>1</v>
      </c>
      <c r="CW90" s="3" t="b">
        <f t="shared" si="53"/>
        <v>1</v>
      </c>
      <c r="CX90" s="9" t="str">
        <f t="shared" si="54"/>
        <v>3202041</v>
      </c>
      <c r="CY90" s="9" t="str">
        <f t="shared" si="55"/>
        <v>3201042</v>
      </c>
      <c r="CZ90" s="9" t="str">
        <f t="shared" si="56"/>
        <v>3301041</v>
      </c>
      <c r="DA90" s="9" t="str">
        <f t="shared" si="57"/>
        <v>3501043</v>
      </c>
      <c r="DB90" s="9" t="str">
        <f t="shared" si="58"/>
        <v>3500042</v>
      </c>
      <c r="DC90" s="9" t="str">
        <f t="shared" si="59"/>
        <v>3501043</v>
      </c>
      <c r="DD90" s="9">
        <v>4</v>
      </c>
      <c r="DE90" s="9">
        <v>4</v>
      </c>
      <c r="DF90" s="9">
        <v>4</v>
      </c>
      <c r="DG90" s="9">
        <v>4</v>
      </c>
      <c r="DH90" s="9">
        <v>4</v>
      </c>
      <c r="DI90" s="9">
        <v>4</v>
      </c>
      <c r="DJ90" s="9">
        <v>3</v>
      </c>
      <c r="DK90" s="9">
        <v>3</v>
      </c>
      <c r="DL90" s="9">
        <v>3</v>
      </c>
      <c r="DM90" s="9">
        <v>3</v>
      </c>
      <c r="DN90" s="9">
        <v>3</v>
      </c>
      <c r="DO90" s="9">
        <v>3</v>
      </c>
      <c r="DP90" s="25" t="s">
        <v>111</v>
      </c>
      <c r="DQ90" s="25" t="s">
        <v>114</v>
      </c>
      <c r="DR90" s="25" t="s">
        <v>107</v>
      </c>
      <c r="DS90" s="25" t="s">
        <v>121</v>
      </c>
      <c r="DT90" s="25" t="s">
        <v>109</v>
      </c>
      <c r="DU90" s="25" t="s">
        <v>121</v>
      </c>
      <c r="DV90" s="25">
        <f t="shared" si="60"/>
        <v>1</v>
      </c>
      <c r="DW90" s="25">
        <f t="shared" si="61"/>
        <v>1</v>
      </c>
      <c r="DX90" s="25">
        <f t="shared" si="62"/>
        <v>1</v>
      </c>
      <c r="DY90" s="25">
        <f t="shared" si="63"/>
        <v>2</v>
      </c>
      <c r="DZ90" s="25">
        <f t="shared" si="64"/>
        <v>2</v>
      </c>
      <c r="EA90" s="3">
        <f t="shared" si="65"/>
        <v>2</v>
      </c>
      <c r="EB90" s="33"/>
      <c r="EC90" s="8">
        <v>3602081</v>
      </c>
      <c r="ED90" s="31" t="s">
        <v>133</v>
      </c>
      <c r="EE90" s="8">
        <v>2</v>
      </c>
    </row>
    <row r="91" spans="1:135" ht="13.5" customHeight="1">
      <c r="A91" s="9">
        <v>88</v>
      </c>
      <c r="B91" s="9">
        <v>1</v>
      </c>
      <c r="C91" s="9">
        <v>2001</v>
      </c>
      <c r="D91" s="9">
        <f t="shared" si="78"/>
        <v>163693</v>
      </c>
      <c r="E91" s="9" t="str">
        <f t="shared" si="44"/>
        <v>3202041,3201042,3201042,3500042,3502041,3501043</v>
      </c>
      <c r="F91" s="9" t="str">
        <f t="shared" si="45"/>
        <v>4,4,4,4,4,4</v>
      </c>
      <c r="G91" s="9" t="str">
        <f t="shared" si="46"/>
        <v>239,244,244,244,244,244</v>
      </c>
      <c r="H91" s="9">
        <v>78</v>
      </c>
      <c r="I91" s="9" t="s">
        <v>278</v>
      </c>
      <c r="J91" s="9" t="s">
        <v>279</v>
      </c>
      <c r="K91" s="9" t="s">
        <v>279</v>
      </c>
      <c r="L91" s="9" t="s">
        <v>279</v>
      </c>
      <c r="M91" s="9" t="s">
        <v>285</v>
      </c>
      <c r="O91" s="3">
        <f t="shared" si="47"/>
        <v>163693</v>
      </c>
      <c r="P91" s="9">
        <v>141725.5</v>
      </c>
      <c r="Q91" s="9">
        <v>3202041</v>
      </c>
      <c r="R91" s="9">
        <v>3201042</v>
      </c>
      <c r="S91" s="9">
        <v>3201042</v>
      </c>
      <c r="T91" s="9">
        <v>3500042</v>
      </c>
      <c r="U91" s="9">
        <v>3502041</v>
      </c>
      <c r="V91" s="9">
        <v>3501043</v>
      </c>
      <c r="W91" s="9">
        <v>4</v>
      </c>
      <c r="X91" s="9">
        <v>4</v>
      </c>
      <c r="Y91" s="9">
        <v>4</v>
      </c>
      <c r="Z91" s="9">
        <v>4</v>
      </c>
      <c r="AA91" s="9">
        <v>4</v>
      </c>
      <c r="AB91" s="9">
        <v>4</v>
      </c>
      <c r="AC91" s="9">
        <f t="shared" si="66"/>
        <v>239</v>
      </c>
      <c r="AD91" s="9">
        <f t="shared" si="67"/>
        <v>244</v>
      </c>
      <c r="AE91" s="9">
        <f t="shared" si="68"/>
        <v>244</v>
      </c>
      <c r="AF91" s="9">
        <f t="shared" si="69"/>
        <v>244</v>
      </c>
      <c r="AG91" s="9">
        <f t="shared" si="70"/>
        <v>244</v>
      </c>
      <c r="AH91" s="9">
        <f t="shared" si="71"/>
        <v>244</v>
      </c>
      <c r="AI91" s="7">
        <f t="shared" si="43"/>
        <v>23620.916666666668</v>
      </c>
      <c r="AJ91" s="7">
        <f t="shared" si="43"/>
        <v>23620.916666666668</v>
      </c>
      <c r="AK91" s="7">
        <f t="shared" si="43"/>
        <v>23620.916666666668</v>
      </c>
      <c r="AL91" s="7">
        <f t="shared" si="43"/>
        <v>23620.916666666668</v>
      </c>
      <c r="AM91" s="7">
        <f t="shared" si="43"/>
        <v>23620.916666666668</v>
      </c>
      <c r="AN91" s="7">
        <f t="shared" si="43"/>
        <v>23620.916666666668</v>
      </c>
      <c r="AO91" s="16"/>
      <c r="AP91" s="7"/>
      <c r="AQ91" s="9">
        <v>4</v>
      </c>
      <c r="AR91" s="9">
        <f t="shared" si="72"/>
        <v>221</v>
      </c>
      <c r="AS91" s="7">
        <f t="shared" si="73"/>
        <v>113</v>
      </c>
      <c r="AT91" s="7"/>
      <c r="AU91" s="16"/>
      <c r="AV91" s="7"/>
      <c r="AW91" s="7"/>
      <c r="AX91" s="7"/>
      <c r="AZ91" s="7"/>
      <c r="BA91" s="9">
        <f t="shared" si="79"/>
        <v>24880.057142857142</v>
      </c>
      <c r="BC91" s="5">
        <f t="shared" si="74"/>
        <v>221</v>
      </c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18"/>
      <c r="BQ91" s="18"/>
      <c r="BR91" s="18">
        <v>4502053</v>
      </c>
      <c r="BS91" s="18">
        <f>[1]monsters!$N91</f>
        <v>137.28</v>
      </c>
      <c r="BT91" s="18">
        <f>[1]monsters!$O91</f>
        <v>13.73</v>
      </c>
      <c r="BU91" s="18">
        <f>[1]monsters!$P91</f>
        <v>2346.67</v>
      </c>
      <c r="BV91" s="18">
        <f>[1]monsters!$Q91</f>
        <v>234.67</v>
      </c>
      <c r="BW91" s="18">
        <f>[1]monsters!$R91</f>
        <v>27.46</v>
      </c>
      <c r="BX91" s="18">
        <f>[1]monsters!$S91</f>
        <v>2.75</v>
      </c>
      <c r="BY91" s="18">
        <f>[1]monsters!$K91</f>
        <v>1.3</v>
      </c>
      <c r="BZ91" s="5">
        <f>[1]monsters!$D91</f>
        <v>3</v>
      </c>
      <c r="CA91" s="5">
        <f t="shared" si="75"/>
        <v>0.1</v>
      </c>
      <c r="CB91" s="5">
        <f t="shared" si="76"/>
        <v>208.74205791245791</v>
      </c>
      <c r="CC91" s="5">
        <f t="shared" si="77"/>
        <v>20.874205791245792</v>
      </c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>
        <v>0</v>
      </c>
      <c r="CR91" s="3" t="b">
        <f t="shared" si="48"/>
        <v>1</v>
      </c>
      <c r="CS91" s="3" t="b">
        <f t="shared" si="49"/>
        <v>1</v>
      </c>
      <c r="CT91" s="3" t="b">
        <f t="shared" si="50"/>
        <v>1</v>
      </c>
      <c r="CU91" s="3" t="b">
        <f t="shared" si="51"/>
        <v>1</v>
      </c>
      <c r="CV91" s="3" t="b">
        <f t="shared" si="52"/>
        <v>1</v>
      </c>
      <c r="CW91" s="3" t="b">
        <f t="shared" si="53"/>
        <v>1</v>
      </c>
      <c r="CX91" s="9" t="str">
        <f t="shared" si="54"/>
        <v>3202041</v>
      </c>
      <c r="CY91" s="9" t="str">
        <f t="shared" si="55"/>
        <v>3201042</v>
      </c>
      <c r="CZ91" s="9" t="str">
        <f t="shared" si="56"/>
        <v>3201042</v>
      </c>
      <c r="DA91" s="9" t="str">
        <f t="shared" si="57"/>
        <v>3500042</v>
      </c>
      <c r="DB91" s="9" t="str">
        <f t="shared" si="58"/>
        <v>3502041</v>
      </c>
      <c r="DC91" s="9" t="str">
        <f t="shared" si="59"/>
        <v>3501043</v>
      </c>
      <c r="DD91" s="9">
        <v>4</v>
      </c>
      <c r="DE91" s="9">
        <v>4</v>
      </c>
      <c r="DF91" s="9">
        <v>4</v>
      </c>
      <c r="DG91" s="9">
        <v>4</v>
      </c>
      <c r="DH91" s="9">
        <v>4</v>
      </c>
      <c r="DI91" s="9">
        <v>4</v>
      </c>
      <c r="DJ91" s="9">
        <v>3</v>
      </c>
      <c r="DK91" s="9">
        <v>3</v>
      </c>
      <c r="DL91" s="9">
        <v>3</v>
      </c>
      <c r="DM91" s="9">
        <v>3</v>
      </c>
      <c r="DN91" s="9">
        <v>3</v>
      </c>
      <c r="DO91" s="9">
        <v>3</v>
      </c>
      <c r="DP91" s="26" t="s">
        <v>111</v>
      </c>
      <c r="DQ91" s="26" t="s">
        <v>114</v>
      </c>
      <c r="DR91" s="26" t="s">
        <v>114</v>
      </c>
      <c r="DS91" s="25" t="s">
        <v>109</v>
      </c>
      <c r="DT91" s="25" t="s">
        <v>119</v>
      </c>
      <c r="DU91" s="25" t="s">
        <v>121</v>
      </c>
      <c r="DV91" s="25">
        <f t="shared" si="60"/>
        <v>1</v>
      </c>
      <c r="DW91" s="25">
        <f t="shared" si="61"/>
        <v>1</v>
      </c>
      <c r="DX91" s="25">
        <f t="shared" si="62"/>
        <v>1</v>
      </c>
      <c r="DY91" s="25">
        <f t="shared" si="63"/>
        <v>2</v>
      </c>
      <c r="DZ91" s="25">
        <f t="shared" si="64"/>
        <v>2</v>
      </c>
      <c r="EA91" s="3">
        <f t="shared" si="65"/>
        <v>2</v>
      </c>
      <c r="EB91" s="33"/>
      <c r="EC91" s="8">
        <v>3300082</v>
      </c>
      <c r="ED91" s="31" t="s">
        <v>115</v>
      </c>
      <c r="EE91" s="8">
        <v>2</v>
      </c>
    </row>
    <row r="92" spans="1:135" ht="13.5" customHeight="1">
      <c r="A92" s="9">
        <v>89</v>
      </c>
      <c r="B92" s="9">
        <v>1</v>
      </c>
      <c r="C92" s="9">
        <v>2001</v>
      </c>
      <c r="D92" s="9">
        <f t="shared" si="78"/>
        <v>166064</v>
      </c>
      <c r="E92" s="9" t="str">
        <f t="shared" si="44"/>
        <v>3302043,3202041,3200043,3401041,3402043,3401041</v>
      </c>
      <c r="F92" s="9" t="str">
        <f t="shared" si="45"/>
        <v>4,4,4,4,4,4</v>
      </c>
      <c r="G92" s="9" t="str">
        <f t="shared" si="46"/>
        <v>241,246,246,246,246,246</v>
      </c>
      <c r="H92" s="9">
        <v>78</v>
      </c>
      <c r="I92" s="9" t="s">
        <v>278</v>
      </c>
      <c r="J92" s="9" t="s">
        <v>279</v>
      </c>
      <c r="K92" s="9" t="s">
        <v>279</v>
      </c>
      <c r="L92" s="9" t="s">
        <v>279</v>
      </c>
      <c r="M92" s="9" t="s">
        <v>285</v>
      </c>
      <c r="O92" s="3">
        <f t="shared" si="47"/>
        <v>166064</v>
      </c>
      <c r="P92" s="9">
        <v>143778.25</v>
      </c>
      <c r="Q92" s="9">
        <v>3302043</v>
      </c>
      <c r="R92" s="9">
        <v>3202041</v>
      </c>
      <c r="S92" s="9">
        <v>3200043</v>
      </c>
      <c r="T92" s="9">
        <v>3401041</v>
      </c>
      <c r="U92" s="9">
        <v>3402043</v>
      </c>
      <c r="V92" s="9">
        <v>3401041</v>
      </c>
      <c r="W92" s="9">
        <v>4</v>
      </c>
      <c r="X92" s="9">
        <v>4</v>
      </c>
      <c r="Y92" s="9">
        <v>4</v>
      </c>
      <c r="Z92" s="9">
        <v>4</v>
      </c>
      <c r="AA92" s="9">
        <v>4</v>
      </c>
      <c r="AB92" s="9">
        <v>4</v>
      </c>
      <c r="AC92" s="9">
        <f t="shared" si="66"/>
        <v>241</v>
      </c>
      <c r="AD92" s="9">
        <f t="shared" si="67"/>
        <v>246</v>
      </c>
      <c r="AE92" s="9">
        <f t="shared" si="68"/>
        <v>246</v>
      </c>
      <c r="AF92" s="9">
        <f t="shared" si="69"/>
        <v>246</v>
      </c>
      <c r="AG92" s="9">
        <f t="shared" si="70"/>
        <v>246</v>
      </c>
      <c r="AH92" s="9">
        <f t="shared" si="71"/>
        <v>246</v>
      </c>
      <c r="AI92" s="7">
        <f t="shared" si="43"/>
        <v>23963.041666666668</v>
      </c>
      <c r="AJ92" s="7">
        <f t="shared" si="43"/>
        <v>23963.041666666668</v>
      </c>
      <c r="AK92" s="7">
        <f t="shared" si="43"/>
        <v>23963.041666666668</v>
      </c>
      <c r="AL92" s="7">
        <f t="shared" si="43"/>
        <v>23963.041666666668</v>
      </c>
      <c r="AM92" s="7">
        <f t="shared" si="43"/>
        <v>23963.041666666668</v>
      </c>
      <c r="AN92" s="7">
        <f t="shared" si="43"/>
        <v>23963.041666666668</v>
      </c>
      <c r="AO92" s="16"/>
      <c r="AP92" s="7"/>
      <c r="AQ92" s="9">
        <v>4</v>
      </c>
      <c r="AR92" s="9">
        <f t="shared" si="72"/>
        <v>222</v>
      </c>
      <c r="AS92" s="7">
        <f t="shared" si="73"/>
        <v>114</v>
      </c>
      <c r="AT92" s="7"/>
      <c r="AU92" s="16"/>
      <c r="AV92" s="7"/>
      <c r="AW92" s="7"/>
      <c r="AX92" s="7"/>
      <c r="AZ92" s="7"/>
      <c r="BA92" s="9">
        <f t="shared" si="79"/>
        <v>25402.814285714285</v>
      </c>
      <c r="BC92" s="5">
        <f t="shared" si="74"/>
        <v>222</v>
      </c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18"/>
      <c r="BQ92" s="18"/>
      <c r="BR92" s="18">
        <v>4401053</v>
      </c>
      <c r="BS92" s="18">
        <f>[1]monsters!$N92</f>
        <v>147.84</v>
      </c>
      <c r="BT92" s="18">
        <f>[1]monsters!$O92</f>
        <v>14.78</v>
      </c>
      <c r="BU92" s="18">
        <f>[1]monsters!$P92</f>
        <v>2346.67</v>
      </c>
      <c r="BV92" s="18">
        <f>[1]monsters!$Q92</f>
        <v>234.67</v>
      </c>
      <c r="BW92" s="18">
        <f>[1]monsters!$R92</f>
        <v>29.57</v>
      </c>
      <c r="BX92" s="18">
        <f>[1]monsters!$S92</f>
        <v>2.96</v>
      </c>
      <c r="BY92" s="18">
        <f>[1]monsters!$K92</f>
        <v>1.4</v>
      </c>
      <c r="BZ92" s="5">
        <f>[1]monsters!$D92</f>
        <v>3</v>
      </c>
      <c r="CA92" s="5">
        <f t="shared" si="75"/>
        <v>0.1</v>
      </c>
      <c r="CB92" s="5">
        <f t="shared" si="76"/>
        <v>218.7212579124579</v>
      </c>
      <c r="CC92" s="5">
        <f t="shared" si="77"/>
        <v>21.872125791245793</v>
      </c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>
        <v>0</v>
      </c>
      <c r="CR92" s="3" t="b">
        <f t="shared" si="48"/>
        <v>1</v>
      </c>
      <c r="CS92" s="3" t="b">
        <f t="shared" si="49"/>
        <v>1</v>
      </c>
      <c r="CT92" s="3" t="b">
        <f t="shared" si="50"/>
        <v>1</v>
      </c>
      <c r="CU92" s="3" t="b">
        <f t="shared" si="51"/>
        <v>1</v>
      </c>
      <c r="CV92" s="3" t="b">
        <f t="shared" si="52"/>
        <v>1</v>
      </c>
      <c r="CW92" s="3" t="b">
        <f t="shared" si="53"/>
        <v>1</v>
      </c>
      <c r="CX92" s="9" t="str">
        <f t="shared" si="54"/>
        <v>3302043</v>
      </c>
      <c r="CY92" s="9" t="str">
        <f t="shared" si="55"/>
        <v>3202041</v>
      </c>
      <c r="CZ92" s="9" t="str">
        <f t="shared" si="56"/>
        <v>3200043</v>
      </c>
      <c r="DA92" s="9" t="str">
        <f t="shared" si="57"/>
        <v>3401041</v>
      </c>
      <c r="DB92" s="9" t="str">
        <f t="shared" si="58"/>
        <v>3402043</v>
      </c>
      <c r="DC92" s="9" t="str">
        <f t="shared" si="59"/>
        <v>3401041</v>
      </c>
      <c r="DD92" s="9">
        <v>4</v>
      </c>
      <c r="DE92" s="9">
        <v>4</v>
      </c>
      <c r="DF92" s="9">
        <v>4</v>
      </c>
      <c r="DG92" s="9">
        <v>4</v>
      </c>
      <c r="DH92" s="9">
        <v>4</v>
      </c>
      <c r="DI92" s="9">
        <v>4</v>
      </c>
      <c r="DJ92" s="9">
        <v>3</v>
      </c>
      <c r="DK92" s="9">
        <v>3</v>
      </c>
      <c r="DL92" s="9">
        <v>3</v>
      </c>
      <c r="DM92" s="9">
        <v>3</v>
      </c>
      <c r="DN92" s="9">
        <v>3</v>
      </c>
      <c r="DO92" s="9">
        <v>3</v>
      </c>
      <c r="DP92" s="25" t="s">
        <v>108</v>
      </c>
      <c r="DQ92" s="25" t="s">
        <v>111</v>
      </c>
      <c r="DR92" s="25" t="s">
        <v>113</v>
      </c>
      <c r="DS92" s="25" t="s">
        <v>117</v>
      </c>
      <c r="DT92" s="25" t="s">
        <v>118</v>
      </c>
      <c r="DU92" s="25" t="s">
        <v>117</v>
      </c>
      <c r="DV92" s="25">
        <f t="shared" si="60"/>
        <v>1</v>
      </c>
      <c r="DW92" s="25">
        <f t="shared" si="61"/>
        <v>1</v>
      </c>
      <c r="DX92" s="25">
        <f t="shared" si="62"/>
        <v>1</v>
      </c>
      <c r="DY92" s="25">
        <f t="shared" si="63"/>
        <v>2</v>
      </c>
      <c r="DZ92" s="25">
        <f t="shared" si="64"/>
        <v>2</v>
      </c>
      <c r="EA92" s="3">
        <f t="shared" si="65"/>
        <v>2</v>
      </c>
      <c r="EB92" s="33"/>
      <c r="EC92" s="8">
        <v>3302083</v>
      </c>
      <c r="ED92" s="31" t="s">
        <v>108</v>
      </c>
      <c r="EE92" s="8">
        <v>1</v>
      </c>
    </row>
    <row r="93" spans="1:135" ht="13.5" customHeight="1">
      <c r="A93" s="9">
        <v>90</v>
      </c>
      <c r="B93" s="9">
        <v>1</v>
      </c>
      <c r="C93" s="9">
        <v>2001</v>
      </c>
      <c r="D93" s="9">
        <f t="shared" si="78"/>
        <v>168692</v>
      </c>
      <c r="E93" s="9" t="str">
        <f t="shared" si="44"/>
        <v>3202041,3202041,3202041,3300042,3300042,3300042</v>
      </c>
      <c r="F93" s="9" t="str">
        <f t="shared" si="45"/>
        <v>4,4,4,4,4,4</v>
      </c>
      <c r="G93" s="9" t="str">
        <f t="shared" si="46"/>
        <v>243,248,248,248,248,248</v>
      </c>
      <c r="H93" s="9">
        <v>80</v>
      </c>
      <c r="I93" s="9" t="s">
        <v>278</v>
      </c>
      <c r="J93" s="9" t="s">
        <v>279</v>
      </c>
      <c r="K93" s="9" t="s">
        <v>279</v>
      </c>
      <c r="L93" s="9" t="s">
        <v>279</v>
      </c>
      <c r="M93" s="9" t="s">
        <v>285</v>
      </c>
      <c r="O93" s="3">
        <f t="shared" si="47"/>
        <v>168692</v>
      </c>
      <c r="P93" s="9">
        <v>146053.25</v>
      </c>
      <c r="Q93" s="9">
        <v>3202041</v>
      </c>
      <c r="R93" s="9">
        <v>3202041</v>
      </c>
      <c r="S93" s="9">
        <v>3202041</v>
      </c>
      <c r="T93" s="9">
        <v>3300042</v>
      </c>
      <c r="U93" s="9">
        <v>3300042</v>
      </c>
      <c r="V93" s="9">
        <v>3300042</v>
      </c>
      <c r="W93" s="9">
        <v>4</v>
      </c>
      <c r="X93" s="9">
        <v>4</v>
      </c>
      <c r="Y93" s="9">
        <v>4</v>
      </c>
      <c r="Z93" s="9">
        <v>4</v>
      </c>
      <c r="AA93" s="9">
        <v>4</v>
      </c>
      <c r="AB93" s="9">
        <v>4</v>
      </c>
      <c r="AC93" s="9">
        <f t="shared" si="66"/>
        <v>243</v>
      </c>
      <c r="AD93" s="9">
        <f t="shared" si="67"/>
        <v>248</v>
      </c>
      <c r="AE93" s="9">
        <f t="shared" si="68"/>
        <v>248</v>
      </c>
      <c r="AF93" s="9">
        <f t="shared" si="69"/>
        <v>248</v>
      </c>
      <c r="AG93" s="9">
        <f t="shared" si="70"/>
        <v>248</v>
      </c>
      <c r="AH93" s="9">
        <f t="shared" si="71"/>
        <v>248</v>
      </c>
      <c r="AI93" s="7">
        <f t="shared" si="43"/>
        <v>24342.208333333332</v>
      </c>
      <c r="AJ93" s="7">
        <f t="shared" si="43"/>
        <v>24342.208333333332</v>
      </c>
      <c r="AK93" s="7">
        <f t="shared" si="43"/>
        <v>24342.208333333332</v>
      </c>
      <c r="AL93" s="7">
        <f t="shared" si="43"/>
        <v>24342.208333333332</v>
      </c>
      <c r="AM93" s="7">
        <f t="shared" si="43"/>
        <v>24342.208333333332</v>
      </c>
      <c r="AN93" s="7">
        <f t="shared" si="43"/>
        <v>24342.208333333332</v>
      </c>
      <c r="AO93" s="16"/>
      <c r="AP93" s="7"/>
      <c r="AQ93" s="9">
        <v>5</v>
      </c>
      <c r="AR93" s="9">
        <f t="shared" si="72"/>
        <v>195</v>
      </c>
      <c r="AS93" s="7">
        <f t="shared" si="73"/>
        <v>115</v>
      </c>
      <c r="AT93" s="7"/>
      <c r="AU93" s="16"/>
      <c r="AV93" s="7"/>
      <c r="AW93" s="7"/>
      <c r="AX93" s="7"/>
      <c r="AZ93" s="7"/>
      <c r="BA93" s="9">
        <f t="shared" si="79"/>
        <v>25925.571428571428</v>
      </c>
      <c r="BC93" s="5">
        <f t="shared" si="74"/>
        <v>224</v>
      </c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7"/>
      <c r="BQ93" s="18"/>
      <c r="BR93" s="18">
        <v>4201054</v>
      </c>
      <c r="BS93" s="18">
        <f>[1]monsters!$N93</f>
        <v>197.12</v>
      </c>
      <c r="BT93" s="18">
        <f>[1]monsters!$O93</f>
        <v>19.71</v>
      </c>
      <c r="BU93" s="18">
        <f>[1]monsters!$P93</f>
        <v>1760</v>
      </c>
      <c r="BV93" s="18">
        <f>[1]monsters!$Q93</f>
        <v>176</v>
      </c>
      <c r="BW93" s="18">
        <f>[1]monsters!$R93</f>
        <v>28.16</v>
      </c>
      <c r="BX93" s="18">
        <f>[1]monsters!$S93</f>
        <v>2.82</v>
      </c>
      <c r="BY93" s="18">
        <f>[1]monsters!$K93</f>
        <v>1.4</v>
      </c>
      <c r="BZ93" s="5">
        <f>[1]monsters!$D93</f>
        <v>4</v>
      </c>
      <c r="CA93" s="5">
        <f t="shared" si="75"/>
        <v>0.1</v>
      </c>
      <c r="CB93" s="5">
        <f t="shared" si="76"/>
        <v>245.5376592592593</v>
      </c>
      <c r="CC93" s="5">
        <f t="shared" si="77"/>
        <v>24.55376592592593</v>
      </c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>
        <v>1</v>
      </c>
      <c r="CR93" s="3" t="b">
        <f t="shared" si="48"/>
        <v>1</v>
      </c>
      <c r="CS93" s="3" t="b">
        <f t="shared" si="49"/>
        <v>1</v>
      </c>
      <c r="CT93" s="3" t="b">
        <f t="shared" si="50"/>
        <v>1</v>
      </c>
      <c r="CU93" s="3" t="b">
        <f t="shared" si="51"/>
        <v>1</v>
      </c>
      <c r="CV93" s="3" t="b">
        <f t="shared" si="52"/>
        <v>1</v>
      </c>
      <c r="CW93" s="3" t="b">
        <f t="shared" si="53"/>
        <v>1</v>
      </c>
      <c r="CX93" s="9" t="str">
        <f t="shared" si="54"/>
        <v>3202041</v>
      </c>
      <c r="CY93" s="9" t="str">
        <f t="shared" si="55"/>
        <v>3202041</v>
      </c>
      <c r="CZ93" s="9" t="str">
        <f t="shared" si="56"/>
        <v>3202041</v>
      </c>
      <c r="DA93" s="9" t="str">
        <f t="shared" si="57"/>
        <v>3300042</v>
      </c>
      <c r="DB93" s="9" t="str">
        <f t="shared" si="58"/>
        <v>3300042</v>
      </c>
      <c r="DC93" s="9" t="str">
        <f t="shared" si="59"/>
        <v>3300042</v>
      </c>
      <c r="DD93" s="9">
        <v>4</v>
      </c>
      <c r="DE93" s="9">
        <v>4</v>
      </c>
      <c r="DF93" s="9">
        <v>4</v>
      </c>
      <c r="DG93" s="9">
        <v>4</v>
      </c>
      <c r="DH93" s="9">
        <v>4</v>
      </c>
      <c r="DI93" s="9">
        <v>4</v>
      </c>
      <c r="DJ93" s="9">
        <v>3</v>
      </c>
      <c r="DK93" s="9">
        <v>3</v>
      </c>
      <c r="DL93" s="9">
        <v>3</v>
      </c>
      <c r="DM93" s="9">
        <v>3</v>
      </c>
      <c r="DN93" s="9">
        <v>3</v>
      </c>
      <c r="DO93" s="9">
        <v>3</v>
      </c>
      <c r="DP93" s="25" t="s">
        <v>111</v>
      </c>
      <c r="DQ93" s="25" t="s">
        <v>111</v>
      </c>
      <c r="DR93" s="25" t="s">
        <v>111</v>
      </c>
      <c r="DS93" s="25" t="s">
        <v>115</v>
      </c>
      <c r="DT93" s="25" t="s">
        <v>115</v>
      </c>
      <c r="DU93" s="25" t="s">
        <v>115</v>
      </c>
      <c r="DV93" s="25">
        <f t="shared" si="60"/>
        <v>1</v>
      </c>
      <c r="DW93" s="25">
        <f t="shared" si="61"/>
        <v>1</v>
      </c>
      <c r="DX93" s="25">
        <f t="shared" si="62"/>
        <v>1</v>
      </c>
      <c r="DY93" s="25">
        <f t="shared" si="63"/>
        <v>2</v>
      </c>
      <c r="DZ93" s="25">
        <f t="shared" si="64"/>
        <v>2</v>
      </c>
      <c r="EA93" s="3">
        <f t="shared" si="65"/>
        <v>2</v>
      </c>
      <c r="EB93" s="33"/>
      <c r="EC93" s="8">
        <v>3400082</v>
      </c>
      <c r="ED93" s="31" t="s">
        <v>110</v>
      </c>
      <c r="EE93" s="8">
        <v>2</v>
      </c>
    </row>
    <row r="94" spans="1:135" ht="13.5" customHeight="1">
      <c r="A94" s="9">
        <v>91</v>
      </c>
      <c r="B94" s="9">
        <v>1</v>
      </c>
      <c r="C94" s="9">
        <v>2001</v>
      </c>
      <c r="D94" s="9">
        <f t="shared" si="78"/>
        <v>180289</v>
      </c>
      <c r="E94" s="9" t="str">
        <f t="shared" si="44"/>
        <v>3202041,3201042,3201042,3402043,3500042,3501043</v>
      </c>
      <c r="F94" s="9" t="str">
        <f t="shared" si="45"/>
        <v>4,4,4,4,4,4</v>
      </c>
      <c r="G94" s="9" t="str">
        <f t="shared" si="46"/>
        <v>251,257,257,257,257,257</v>
      </c>
      <c r="H94" s="9">
        <v>81</v>
      </c>
      <c r="I94" s="9" t="s">
        <v>278</v>
      </c>
      <c r="J94" s="9" t="s">
        <v>279</v>
      </c>
      <c r="K94" s="9" t="s">
        <v>279</v>
      </c>
      <c r="L94" s="9" t="s">
        <v>279</v>
      </c>
      <c r="M94" s="9" t="s">
        <v>286</v>
      </c>
      <c r="O94" s="3">
        <f t="shared" si="47"/>
        <v>180289</v>
      </c>
      <c r="P94" s="9">
        <v>156094.75</v>
      </c>
      <c r="Q94" s="9">
        <v>3202041</v>
      </c>
      <c r="R94" s="9">
        <v>3201042</v>
      </c>
      <c r="S94" s="9">
        <v>3201042</v>
      </c>
      <c r="T94" s="9">
        <v>3402043</v>
      </c>
      <c r="U94" s="9">
        <v>3500042</v>
      </c>
      <c r="V94" s="9">
        <v>3501043</v>
      </c>
      <c r="W94" s="9">
        <v>4</v>
      </c>
      <c r="X94" s="9">
        <v>4</v>
      </c>
      <c r="Y94" s="9">
        <v>4</v>
      </c>
      <c r="Z94" s="9">
        <v>4</v>
      </c>
      <c r="AA94" s="9">
        <v>4</v>
      </c>
      <c r="AB94" s="9">
        <v>4</v>
      </c>
      <c r="AC94" s="9">
        <f t="shared" si="66"/>
        <v>251</v>
      </c>
      <c r="AD94" s="9">
        <f t="shared" si="67"/>
        <v>257</v>
      </c>
      <c r="AE94" s="9">
        <f t="shared" si="68"/>
        <v>257</v>
      </c>
      <c r="AF94" s="9">
        <f t="shared" si="69"/>
        <v>257</v>
      </c>
      <c r="AG94" s="9">
        <f t="shared" si="70"/>
        <v>257</v>
      </c>
      <c r="AH94" s="9">
        <f t="shared" si="71"/>
        <v>257</v>
      </c>
      <c r="AI94" s="7">
        <f t="shared" si="43"/>
        <v>26015.791666666668</v>
      </c>
      <c r="AJ94" s="7">
        <f t="shared" si="43"/>
        <v>26015.791666666668</v>
      </c>
      <c r="AK94" s="7">
        <f t="shared" si="43"/>
        <v>26015.791666666668</v>
      </c>
      <c r="AL94" s="7">
        <f t="shared" si="43"/>
        <v>26015.791666666668</v>
      </c>
      <c r="AM94" s="7">
        <f t="shared" si="43"/>
        <v>26015.791666666668</v>
      </c>
      <c r="AN94" s="7">
        <f t="shared" si="43"/>
        <v>26015.791666666668</v>
      </c>
      <c r="AO94" s="16"/>
      <c r="AP94" s="7"/>
      <c r="AQ94" s="9">
        <v>5</v>
      </c>
      <c r="AR94" s="9">
        <f t="shared" si="72"/>
        <v>202</v>
      </c>
      <c r="AS94" s="7">
        <f t="shared" si="73"/>
        <v>116</v>
      </c>
      <c r="AT94" s="7"/>
      <c r="AU94" s="16"/>
      <c r="AV94" s="7"/>
      <c r="AW94" s="7"/>
      <c r="AX94" s="7"/>
      <c r="AZ94" s="7"/>
      <c r="BA94" s="9">
        <f t="shared" si="79"/>
        <v>26448.32857142857</v>
      </c>
      <c r="BC94" s="5">
        <f t="shared" si="74"/>
        <v>232</v>
      </c>
      <c r="BP94" s="7"/>
      <c r="BQ94" s="18"/>
      <c r="BR94" s="18">
        <v>4301054</v>
      </c>
      <c r="BS94" s="18">
        <f>[1]monsters!$N94</f>
        <v>128</v>
      </c>
      <c r="BT94" s="18">
        <f>[1]monsters!$O94</f>
        <v>12.8</v>
      </c>
      <c r="BU94" s="18">
        <f>[1]monsters!$P94</f>
        <v>1536</v>
      </c>
      <c r="BV94" s="18">
        <f>[1]monsters!$Q94</f>
        <v>153.6</v>
      </c>
      <c r="BW94" s="18">
        <f>[1]monsters!$R94</f>
        <v>32</v>
      </c>
      <c r="BX94" s="18">
        <f>[1]monsters!$S94</f>
        <v>3.2</v>
      </c>
      <c r="BY94" s="18">
        <f>[1]monsters!$K94</f>
        <v>1.5</v>
      </c>
      <c r="BZ94" s="5">
        <f>[1]monsters!$D94</f>
        <v>2</v>
      </c>
      <c r="CA94" s="5">
        <f t="shared" si="75"/>
        <v>0.1</v>
      </c>
      <c r="CB94" s="5">
        <f t="shared" si="76"/>
        <v>172.67717171717172</v>
      </c>
      <c r="CC94" s="5">
        <f t="shared" si="77"/>
        <v>17.267717171717173</v>
      </c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>
        <v>0</v>
      </c>
      <c r="CR94" s="3" t="b">
        <f t="shared" si="48"/>
        <v>1</v>
      </c>
      <c r="CS94" s="3" t="b">
        <f t="shared" si="49"/>
        <v>1</v>
      </c>
      <c r="CT94" s="3" t="b">
        <f t="shared" si="50"/>
        <v>1</v>
      </c>
      <c r="CU94" s="3" t="b">
        <f t="shared" si="51"/>
        <v>1</v>
      </c>
      <c r="CV94" s="3" t="b">
        <f t="shared" si="52"/>
        <v>1</v>
      </c>
      <c r="CW94" s="3" t="b">
        <f t="shared" si="53"/>
        <v>1</v>
      </c>
      <c r="CX94" s="9" t="str">
        <f t="shared" si="54"/>
        <v>3202041</v>
      </c>
      <c r="CY94" s="9" t="str">
        <f t="shared" si="55"/>
        <v>3201042</v>
      </c>
      <c r="CZ94" s="9" t="str">
        <f t="shared" si="56"/>
        <v>3201042</v>
      </c>
      <c r="DA94" s="9" t="str">
        <f t="shared" si="57"/>
        <v>3402043</v>
      </c>
      <c r="DB94" s="9" t="str">
        <f t="shared" si="58"/>
        <v>3500042</v>
      </c>
      <c r="DC94" s="9" t="str">
        <f t="shared" si="59"/>
        <v>3501043</v>
      </c>
      <c r="DD94" s="9">
        <v>4</v>
      </c>
      <c r="DE94" s="9">
        <v>4</v>
      </c>
      <c r="DF94" s="9">
        <v>4</v>
      </c>
      <c r="DG94" s="9">
        <v>4</v>
      </c>
      <c r="DH94" s="9">
        <v>4</v>
      </c>
      <c r="DI94" s="9">
        <v>4</v>
      </c>
      <c r="DJ94" s="9">
        <v>3</v>
      </c>
      <c r="DK94" s="9">
        <v>3</v>
      </c>
      <c r="DL94" s="9">
        <v>3</v>
      </c>
      <c r="DM94" s="9">
        <v>3</v>
      </c>
      <c r="DN94" s="9">
        <v>3</v>
      </c>
      <c r="DO94" s="9">
        <v>3</v>
      </c>
      <c r="DP94" s="25" t="s">
        <v>111</v>
      </c>
      <c r="DQ94" s="25" t="s">
        <v>114</v>
      </c>
      <c r="DR94" s="25" t="s">
        <v>114</v>
      </c>
      <c r="DS94" s="25" t="s">
        <v>118</v>
      </c>
      <c r="DT94" s="25" t="s">
        <v>109</v>
      </c>
      <c r="DU94" s="25" t="s">
        <v>121</v>
      </c>
      <c r="DV94" s="25">
        <f t="shared" si="60"/>
        <v>1</v>
      </c>
      <c r="DW94" s="25">
        <f t="shared" si="61"/>
        <v>1</v>
      </c>
      <c r="DX94" s="25">
        <f t="shared" si="62"/>
        <v>1</v>
      </c>
      <c r="DY94" s="25">
        <f t="shared" si="63"/>
        <v>2</v>
      </c>
      <c r="DZ94" s="25">
        <f t="shared" si="64"/>
        <v>2</v>
      </c>
      <c r="EA94" s="3">
        <f t="shared" si="65"/>
        <v>2</v>
      </c>
      <c r="EB94" s="33"/>
      <c r="EC94" s="5">
        <v>5200051</v>
      </c>
      <c r="ED94" s="34" t="s">
        <v>194</v>
      </c>
      <c r="EE94" s="8">
        <v>1</v>
      </c>
    </row>
    <row r="95" spans="1:135" ht="13.5" customHeight="1">
      <c r="A95" s="9">
        <v>92</v>
      </c>
      <c r="B95" s="9">
        <v>1</v>
      </c>
      <c r="C95" s="9">
        <v>2001</v>
      </c>
      <c r="D95" s="9">
        <f t="shared" si="78"/>
        <v>192189</v>
      </c>
      <c r="E95" s="9" t="str">
        <f t="shared" si="44"/>
        <v>3302043,3202041,3200043,3400042,3300042,3400042</v>
      </c>
      <c r="F95" s="9" t="str">
        <f t="shared" si="45"/>
        <v>4,4,4,4,4,4</v>
      </c>
      <c r="G95" s="9" t="str">
        <f t="shared" si="46"/>
        <v>260,266,266,266,266,266</v>
      </c>
      <c r="H95" s="9">
        <v>81</v>
      </c>
      <c r="I95" s="9" t="s">
        <v>278</v>
      </c>
      <c r="J95" s="9" t="s">
        <v>279</v>
      </c>
      <c r="K95" s="9" t="s">
        <v>279</v>
      </c>
      <c r="L95" s="9" t="s">
        <v>279</v>
      </c>
      <c r="M95" s="9" t="s">
        <v>286</v>
      </c>
      <c r="O95" s="3">
        <f t="shared" ref="O95:O102" si="80">ROUND(P95*1.1*1.05,0)</f>
        <v>192189</v>
      </c>
      <c r="P95" s="9">
        <v>166397</v>
      </c>
      <c r="Q95" s="9">
        <v>3302043</v>
      </c>
      <c r="R95" s="9">
        <v>3202041</v>
      </c>
      <c r="S95" s="9">
        <v>3200043</v>
      </c>
      <c r="T95" s="9">
        <v>3400042</v>
      </c>
      <c r="U95" s="9">
        <v>3300042</v>
      </c>
      <c r="V95" s="9">
        <v>3400042</v>
      </c>
      <c r="W95" s="9">
        <v>4</v>
      </c>
      <c r="X95" s="9">
        <v>4</v>
      </c>
      <c r="Y95" s="9">
        <v>4</v>
      </c>
      <c r="Z95" s="9">
        <v>4</v>
      </c>
      <c r="AA95" s="9">
        <v>4</v>
      </c>
      <c r="AB95" s="9">
        <v>4</v>
      </c>
      <c r="AC95" s="9">
        <f t="shared" si="66"/>
        <v>260</v>
      </c>
      <c r="AD95" s="9">
        <f t="shared" si="67"/>
        <v>266</v>
      </c>
      <c r="AE95" s="9">
        <f t="shared" si="68"/>
        <v>266</v>
      </c>
      <c r="AF95" s="9">
        <f t="shared" si="69"/>
        <v>266</v>
      </c>
      <c r="AG95" s="9">
        <f t="shared" si="70"/>
        <v>266</v>
      </c>
      <c r="AH95" s="9">
        <f t="shared" si="71"/>
        <v>266</v>
      </c>
      <c r="AI95" s="7">
        <f t="shared" si="43"/>
        <v>27732.833333333332</v>
      </c>
      <c r="AJ95" s="7">
        <f t="shared" si="43"/>
        <v>27732.833333333332</v>
      </c>
      <c r="AK95" s="7">
        <f t="shared" si="43"/>
        <v>27732.833333333332</v>
      </c>
      <c r="AL95" s="7">
        <f t="shared" si="43"/>
        <v>27732.833333333332</v>
      </c>
      <c r="AM95" s="7">
        <f t="shared" si="43"/>
        <v>27732.833333333332</v>
      </c>
      <c r="AN95" s="7">
        <f t="shared" si="43"/>
        <v>27732.833333333332</v>
      </c>
      <c r="AO95" s="16"/>
      <c r="AP95" s="7"/>
      <c r="AQ95" s="9">
        <v>5</v>
      </c>
      <c r="AR95" s="9">
        <f t="shared" si="72"/>
        <v>209</v>
      </c>
      <c r="AS95" s="7">
        <f t="shared" si="73"/>
        <v>117</v>
      </c>
      <c r="AT95" s="7"/>
      <c r="AU95" s="16"/>
      <c r="AV95" s="7"/>
      <c r="AW95" s="7"/>
      <c r="AX95" s="7"/>
      <c r="AZ95" s="7"/>
      <c r="BA95" s="9">
        <f t="shared" si="79"/>
        <v>26971.085714285713</v>
      </c>
      <c r="BC95" s="5">
        <f t="shared" si="74"/>
        <v>240</v>
      </c>
      <c r="BP95" s="7"/>
      <c r="BQ95" s="18"/>
      <c r="BR95" s="18">
        <v>4401054</v>
      </c>
      <c r="BS95" s="18">
        <f>[1]monsters!$N95</f>
        <v>122.88</v>
      </c>
      <c r="BT95" s="18">
        <f>[1]monsters!$O95</f>
        <v>12.29</v>
      </c>
      <c r="BU95" s="18">
        <f>[1]monsters!$P95</f>
        <v>1920</v>
      </c>
      <c r="BV95" s="18">
        <f>[1]monsters!$Q95</f>
        <v>192</v>
      </c>
      <c r="BW95" s="18">
        <f>[1]monsters!$R95</f>
        <v>40.96</v>
      </c>
      <c r="BX95" s="18">
        <f>[1]monsters!$S95</f>
        <v>4.0999999999999996</v>
      </c>
      <c r="BY95" s="18">
        <f>[1]monsters!$K95</f>
        <v>1.8</v>
      </c>
      <c r="BZ95" s="5">
        <f>[1]monsters!$D95</f>
        <v>2</v>
      </c>
      <c r="CA95" s="5">
        <f t="shared" si="75"/>
        <v>0.1</v>
      </c>
      <c r="CB95" s="5">
        <f t="shared" si="76"/>
        <v>180.76806464646464</v>
      </c>
      <c r="CC95" s="5">
        <f t="shared" si="77"/>
        <v>18.076806464646463</v>
      </c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>
        <v>0</v>
      </c>
      <c r="CR95" s="3" t="b">
        <f t="shared" si="48"/>
        <v>1</v>
      </c>
      <c r="CS95" s="3" t="b">
        <f t="shared" si="49"/>
        <v>1</v>
      </c>
      <c r="CT95" s="3" t="b">
        <f t="shared" si="50"/>
        <v>1</v>
      </c>
      <c r="CU95" s="3" t="b">
        <f t="shared" si="51"/>
        <v>1</v>
      </c>
      <c r="CV95" s="3" t="b">
        <f t="shared" si="52"/>
        <v>1</v>
      </c>
      <c r="CW95" s="3" t="b">
        <f t="shared" si="53"/>
        <v>1</v>
      </c>
      <c r="CX95" s="9" t="str">
        <f t="shared" si="54"/>
        <v>3302043</v>
      </c>
      <c r="CY95" s="9" t="str">
        <f t="shared" si="55"/>
        <v>3202041</v>
      </c>
      <c r="CZ95" s="9" t="str">
        <f t="shared" si="56"/>
        <v>3200043</v>
      </c>
      <c r="DA95" s="9" t="str">
        <f t="shared" si="57"/>
        <v>3400042</v>
      </c>
      <c r="DB95" s="9" t="str">
        <f t="shared" si="58"/>
        <v>3300042</v>
      </c>
      <c r="DC95" s="9" t="str">
        <f t="shared" si="59"/>
        <v>3400042</v>
      </c>
      <c r="DD95" s="9">
        <v>4</v>
      </c>
      <c r="DE95" s="9">
        <v>4</v>
      </c>
      <c r="DF95" s="9">
        <v>4</v>
      </c>
      <c r="DG95" s="9">
        <v>4</v>
      </c>
      <c r="DH95" s="9">
        <v>4</v>
      </c>
      <c r="DI95" s="9">
        <v>4</v>
      </c>
      <c r="DJ95" s="9">
        <v>3</v>
      </c>
      <c r="DK95" s="9">
        <v>3</v>
      </c>
      <c r="DL95" s="9">
        <v>3</v>
      </c>
      <c r="DM95" s="9">
        <v>3</v>
      </c>
      <c r="DN95" s="9">
        <v>3</v>
      </c>
      <c r="DO95" s="9">
        <v>3</v>
      </c>
      <c r="DP95" s="25" t="s">
        <v>108</v>
      </c>
      <c r="DQ95" s="25" t="s">
        <v>111</v>
      </c>
      <c r="DR95" s="25" t="s">
        <v>113</v>
      </c>
      <c r="DS95" s="25" t="s">
        <v>110</v>
      </c>
      <c r="DT95" s="25" t="s">
        <v>115</v>
      </c>
      <c r="DU95" s="25" t="s">
        <v>110</v>
      </c>
      <c r="DV95" s="25">
        <f t="shared" si="60"/>
        <v>1</v>
      </c>
      <c r="DW95" s="25">
        <f t="shared" si="61"/>
        <v>1</v>
      </c>
      <c r="DX95" s="25">
        <f t="shared" si="62"/>
        <v>1</v>
      </c>
      <c r="DY95" s="25">
        <f t="shared" si="63"/>
        <v>2</v>
      </c>
      <c r="DZ95" s="25">
        <f t="shared" si="64"/>
        <v>2</v>
      </c>
      <c r="EA95" s="3">
        <f t="shared" si="65"/>
        <v>2</v>
      </c>
      <c r="EB95" s="33"/>
      <c r="EC95" s="5">
        <v>5201051</v>
      </c>
      <c r="ED95" s="34" t="s">
        <v>195</v>
      </c>
      <c r="EE95" s="8">
        <v>1</v>
      </c>
    </row>
    <row r="96" spans="1:135" ht="13.5" customHeight="1">
      <c r="A96" s="9">
        <v>93</v>
      </c>
      <c r="B96" s="9">
        <v>1</v>
      </c>
      <c r="C96" s="9">
        <v>2001</v>
      </c>
      <c r="D96" s="9">
        <f t="shared" si="78"/>
        <v>204391</v>
      </c>
      <c r="E96" s="9" t="str">
        <f t="shared" si="44"/>
        <v>3301041,3301041,3301041,3500042,3300042,3502041</v>
      </c>
      <c r="F96" s="9" t="str">
        <f t="shared" si="45"/>
        <v>4,4,4,4,4,4</v>
      </c>
      <c r="G96" s="9" t="str">
        <f t="shared" si="46"/>
        <v>268,274,274,274,274,274</v>
      </c>
      <c r="H96" s="9">
        <v>81</v>
      </c>
      <c r="I96" s="9" t="s">
        <v>278</v>
      </c>
      <c r="J96" s="9" t="s">
        <v>279</v>
      </c>
      <c r="K96" s="9" t="s">
        <v>279</v>
      </c>
      <c r="L96" s="9" t="s">
        <v>279</v>
      </c>
      <c r="M96" s="9" t="s">
        <v>286</v>
      </c>
      <c r="O96" s="3">
        <f t="shared" si="80"/>
        <v>204391</v>
      </c>
      <c r="P96" s="9">
        <v>176961.75</v>
      </c>
      <c r="Q96" s="9">
        <v>3301041</v>
      </c>
      <c r="R96" s="9">
        <v>3301041</v>
      </c>
      <c r="S96" s="9">
        <v>3301041</v>
      </c>
      <c r="T96" s="9">
        <v>3500042</v>
      </c>
      <c r="U96" s="9">
        <v>3300042</v>
      </c>
      <c r="V96" s="9">
        <v>3502041</v>
      </c>
      <c r="W96" s="9">
        <v>4</v>
      </c>
      <c r="X96" s="9">
        <v>4</v>
      </c>
      <c r="Y96" s="9">
        <v>4</v>
      </c>
      <c r="Z96" s="9">
        <v>4</v>
      </c>
      <c r="AA96" s="9">
        <v>4</v>
      </c>
      <c r="AB96" s="9">
        <v>4</v>
      </c>
      <c r="AC96" s="9">
        <f t="shared" si="66"/>
        <v>268</v>
      </c>
      <c r="AD96" s="9">
        <f t="shared" si="67"/>
        <v>274</v>
      </c>
      <c r="AE96" s="9">
        <f t="shared" si="68"/>
        <v>274</v>
      </c>
      <c r="AF96" s="9">
        <f t="shared" si="69"/>
        <v>274</v>
      </c>
      <c r="AG96" s="9">
        <f t="shared" si="70"/>
        <v>274</v>
      </c>
      <c r="AH96" s="9">
        <f t="shared" si="71"/>
        <v>274</v>
      </c>
      <c r="AI96" s="7">
        <f t="shared" si="43"/>
        <v>29493.625</v>
      </c>
      <c r="AJ96" s="7">
        <f t="shared" si="43"/>
        <v>29493.625</v>
      </c>
      <c r="AK96" s="7">
        <f t="shared" si="43"/>
        <v>29493.625</v>
      </c>
      <c r="AL96" s="7">
        <f t="shared" si="43"/>
        <v>29493.625</v>
      </c>
      <c r="AM96" s="7">
        <f t="shared" si="43"/>
        <v>29493.625</v>
      </c>
      <c r="AN96" s="7">
        <f t="shared" si="43"/>
        <v>29493.625</v>
      </c>
      <c r="AO96" s="16"/>
      <c r="AP96" s="7"/>
      <c r="AQ96" s="9">
        <v>5</v>
      </c>
      <c r="AR96" s="9">
        <f t="shared" si="72"/>
        <v>215</v>
      </c>
      <c r="AS96" s="7">
        <f t="shared" si="73"/>
        <v>118</v>
      </c>
      <c r="AT96" s="7"/>
      <c r="AU96" s="16"/>
      <c r="AV96" s="7"/>
      <c r="AW96" s="7"/>
      <c r="AX96" s="7"/>
      <c r="AZ96" s="7"/>
      <c r="BA96" s="9">
        <f t="shared" si="79"/>
        <v>27493.842857142856</v>
      </c>
      <c r="BC96" s="5">
        <f t="shared" si="74"/>
        <v>248</v>
      </c>
      <c r="BP96" s="7"/>
      <c r="BQ96" s="18"/>
      <c r="BR96" s="18">
        <v>4501054</v>
      </c>
      <c r="BS96" s="18">
        <f>[1]monsters!$N96</f>
        <v>138.24</v>
      </c>
      <c r="BT96" s="18">
        <f>[1]monsters!$O96</f>
        <v>13.82</v>
      </c>
      <c r="BU96" s="18">
        <f>[1]monsters!$P96</f>
        <v>1706.67</v>
      </c>
      <c r="BV96" s="18">
        <f>[1]monsters!$Q96</f>
        <v>170.67</v>
      </c>
      <c r="BW96" s="18">
        <f>[1]monsters!$R96</f>
        <v>27.65</v>
      </c>
      <c r="BX96" s="18">
        <f>[1]monsters!$S96</f>
        <v>2.76</v>
      </c>
      <c r="BY96" s="18">
        <f>[1]monsters!$K96</f>
        <v>1.8</v>
      </c>
      <c r="BZ96" s="5">
        <f>[1]monsters!$D96</f>
        <v>2</v>
      </c>
      <c r="CA96" s="5">
        <f t="shared" si="75"/>
        <v>0.1</v>
      </c>
      <c r="CB96" s="5">
        <f t="shared" si="76"/>
        <v>188.10043636363639</v>
      </c>
      <c r="CC96" s="5">
        <f t="shared" si="77"/>
        <v>18.810043636363641</v>
      </c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>
        <v>0</v>
      </c>
      <c r="CR96" s="3" t="b">
        <f t="shared" si="48"/>
        <v>1</v>
      </c>
      <c r="CS96" s="3" t="b">
        <f t="shared" si="49"/>
        <v>1</v>
      </c>
      <c r="CT96" s="3" t="b">
        <f t="shared" si="50"/>
        <v>1</v>
      </c>
      <c r="CU96" s="3" t="b">
        <f t="shared" si="51"/>
        <v>1</v>
      </c>
      <c r="CV96" s="3" t="b">
        <f t="shared" si="52"/>
        <v>1</v>
      </c>
      <c r="CW96" s="3" t="b">
        <f t="shared" si="53"/>
        <v>1</v>
      </c>
      <c r="CX96" s="9" t="str">
        <f t="shared" si="54"/>
        <v>3301041</v>
      </c>
      <c r="CY96" s="9" t="str">
        <f t="shared" si="55"/>
        <v>3301041</v>
      </c>
      <c r="CZ96" s="9" t="str">
        <f t="shared" si="56"/>
        <v>3301041</v>
      </c>
      <c r="DA96" s="9" t="str">
        <f t="shared" si="57"/>
        <v>3500042</v>
      </c>
      <c r="DB96" s="9" t="str">
        <f t="shared" si="58"/>
        <v>3300042</v>
      </c>
      <c r="DC96" s="9" t="str">
        <f t="shared" si="59"/>
        <v>3502041</v>
      </c>
      <c r="DD96" s="9">
        <v>4</v>
      </c>
      <c r="DE96" s="9">
        <v>4</v>
      </c>
      <c r="DF96" s="9">
        <v>4</v>
      </c>
      <c r="DG96" s="9">
        <v>4</v>
      </c>
      <c r="DH96" s="9">
        <v>4</v>
      </c>
      <c r="DI96" s="9">
        <v>4</v>
      </c>
      <c r="DJ96" s="9">
        <v>3</v>
      </c>
      <c r="DK96" s="9">
        <v>3</v>
      </c>
      <c r="DL96" s="9">
        <v>3</v>
      </c>
      <c r="DM96" s="9">
        <v>3</v>
      </c>
      <c r="DN96" s="9">
        <v>3</v>
      </c>
      <c r="DO96" s="9">
        <v>3</v>
      </c>
      <c r="DP96" s="25" t="s">
        <v>107</v>
      </c>
      <c r="DQ96" s="25" t="s">
        <v>107</v>
      </c>
      <c r="DR96" s="25" t="s">
        <v>107</v>
      </c>
      <c r="DS96" s="25" t="s">
        <v>109</v>
      </c>
      <c r="DT96" s="25" t="s">
        <v>115</v>
      </c>
      <c r="DU96" s="25" t="s">
        <v>119</v>
      </c>
      <c r="DV96" s="25">
        <f t="shared" si="60"/>
        <v>1</v>
      </c>
      <c r="DW96" s="25">
        <f t="shared" si="61"/>
        <v>1</v>
      </c>
      <c r="DX96" s="25">
        <f t="shared" si="62"/>
        <v>1</v>
      </c>
      <c r="DY96" s="25">
        <f t="shared" si="63"/>
        <v>2</v>
      </c>
      <c r="DZ96" s="25">
        <f t="shared" si="64"/>
        <v>2</v>
      </c>
      <c r="EA96" s="3">
        <f t="shared" si="65"/>
        <v>2</v>
      </c>
      <c r="EB96" s="33"/>
      <c r="EC96" s="5">
        <v>5202051</v>
      </c>
      <c r="ED96" s="34" t="s">
        <v>111</v>
      </c>
      <c r="EE96" s="8">
        <v>1</v>
      </c>
    </row>
    <row r="97" spans="1:135" ht="13.5" customHeight="1">
      <c r="A97" s="9">
        <v>94</v>
      </c>
      <c r="B97" s="9">
        <v>1</v>
      </c>
      <c r="C97" s="9">
        <v>2001</v>
      </c>
      <c r="D97" s="9">
        <f t="shared" si="78"/>
        <v>217169</v>
      </c>
      <c r="E97" s="9" t="str">
        <f t="shared" si="44"/>
        <v>3201042,3200043,3301041,3501043,3500042,3501043</v>
      </c>
      <c r="F97" s="9" t="str">
        <f t="shared" si="45"/>
        <v>4,4,4,4,4,4</v>
      </c>
      <c r="G97" s="9" t="str">
        <f t="shared" si="46"/>
        <v>277,283,283,283,283,283</v>
      </c>
      <c r="H97" s="9">
        <v>81</v>
      </c>
      <c r="I97" s="9" t="s">
        <v>278</v>
      </c>
      <c r="J97" s="9" t="s">
        <v>279</v>
      </c>
      <c r="K97" s="9" t="s">
        <v>279</v>
      </c>
      <c r="L97" s="9" t="s">
        <v>279</v>
      </c>
      <c r="M97" s="9" t="s">
        <v>286</v>
      </c>
      <c r="O97" s="3">
        <f t="shared" si="80"/>
        <v>217169</v>
      </c>
      <c r="P97" s="9">
        <v>188025.25</v>
      </c>
      <c r="Q97" s="9">
        <v>3201042</v>
      </c>
      <c r="R97" s="9">
        <v>3200043</v>
      </c>
      <c r="S97" s="9">
        <v>3301041</v>
      </c>
      <c r="T97" s="9">
        <v>3501043</v>
      </c>
      <c r="U97" s="9">
        <v>3500042</v>
      </c>
      <c r="V97" s="9">
        <v>3501043</v>
      </c>
      <c r="W97" s="9">
        <v>4</v>
      </c>
      <c r="X97" s="9">
        <v>4</v>
      </c>
      <c r="Y97" s="9">
        <v>4</v>
      </c>
      <c r="Z97" s="9">
        <v>4</v>
      </c>
      <c r="AA97" s="9">
        <v>4</v>
      </c>
      <c r="AB97" s="9">
        <v>4</v>
      </c>
      <c r="AC97" s="9">
        <f t="shared" si="66"/>
        <v>277</v>
      </c>
      <c r="AD97" s="9">
        <f t="shared" si="67"/>
        <v>283</v>
      </c>
      <c r="AE97" s="9">
        <f t="shared" si="68"/>
        <v>283</v>
      </c>
      <c r="AF97" s="9">
        <f t="shared" si="69"/>
        <v>283</v>
      </c>
      <c r="AG97" s="9">
        <f t="shared" si="70"/>
        <v>283</v>
      </c>
      <c r="AH97" s="9">
        <f t="shared" si="71"/>
        <v>283</v>
      </c>
      <c r="AI97" s="7">
        <f t="shared" si="43"/>
        <v>31337.541666666668</v>
      </c>
      <c r="AJ97" s="7">
        <f t="shared" si="43"/>
        <v>31337.541666666668</v>
      </c>
      <c r="AK97" s="7">
        <f t="shared" si="43"/>
        <v>31337.541666666668</v>
      </c>
      <c r="AL97" s="7">
        <f t="shared" si="43"/>
        <v>31337.541666666668</v>
      </c>
      <c r="AM97" s="7">
        <f t="shared" si="43"/>
        <v>31337.541666666668</v>
      </c>
      <c r="AN97" s="7">
        <f t="shared" si="43"/>
        <v>31337.541666666668</v>
      </c>
      <c r="AO97" s="16"/>
      <c r="AP97" s="7"/>
      <c r="AQ97" s="9">
        <v>5</v>
      </c>
      <c r="AR97" s="9">
        <f t="shared" si="72"/>
        <v>222</v>
      </c>
      <c r="AS97" s="7">
        <f t="shared" si="73"/>
        <v>119</v>
      </c>
      <c r="AT97" s="7"/>
      <c r="AU97" s="16"/>
      <c r="AV97" s="7"/>
      <c r="AW97" s="7"/>
      <c r="AX97" s="7"/>
      <c r="AZ97" s="7"/>
      <c r="BA97" s="9">
        <f t="shared" si="79"/>
        <v>28016.6</v>
      </c>
      <c r="BC97" s="5">
        <f t="shared" si="74"/>
        <v>256</v>
      </c>
      <c r="BP97" s="7"/>
      <c r="BQ97" s="18"/>
      <c r="BR97" s="18">
        <v>4601054</v>
      </c>
      <c r="BS97" s="18">
        <f>[1]monsters!$N97</f>
        <v>92.16</v>
      </c>
      <c r="BT97" s="18">
        <f>[1]monsters!$O97</f>
        <v>9.2200000000000006</v>
      </c>
      <c r="BU97" s="18">
        <f>[1]monsters!$P97</f>
        <v>1706.67</v>
      </c>
      <c r="BV97" s="18">
        <f>[1]monsters!$Q97</f>
        <v>170.67</v>
      </c>
      <c r="BW97" s="18">
        <f>[1]monsters!$R97</f>
        <v>18.43</v>
      </c>
      <c r="BX97" s="18">
        <f>[1]monsters!$S97</f>
        <v>1.84</v>
      </c>
      <c r="BY97" s="18">
        <f>[1]monsters!$K97</f>
        <v>1.2</v>
      </c>
      <c r="BZ97" s="5">
        <f>[1]monsters!$D97</f>
        <v>3</v>
      </c>
      <c r="CA97" s="5">
        <f t="shared" si="75"/>
        <v>0.1</v>
      </c>
      <c r="CB97" s="5">
        <f t="shared" si="76"/>
        <v>144.55483636363635</v>
      </c>
      <c r="CC97" s="5">
        <f t="shared" si="77"/>
        <v>14.455483636363637</v>
      </c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>
        <v>0</v>
      </c>
      <c r="CR97" s="3" t="b">
        <f t="shared" si="48"/>
        <v>1</v>
      </c>
      <c r="CS97" s="3" t="b">
        <f t="shared" si="49"/>
        <v>1</v>
      </c>
      <c r="CT97" s="3" t="b">
        <f t="shared" si="50"/>
        <v>1</v>
      </c>
      <c r="CU97" s="3" t="b">
        <f t="shared" si="51"/>
        <v>1</v>
      </c>
      <c r="CV97" s="3" t="b">
        <f t="shared" si="52"/>
        <v>1</v>
      </c>
      <c r="CW97" s="3" t="b">
        <f t="shared" si="53"/>
        <v>1</v>
      </c>
      <c r="CX97" s="9" t="str">
        <f t="shared" si="54"/>
        <v>3201042</v>
      </c>
      <c r="CY97" s="9" t="str">
        <f t="shared" si="55"/>
        <v>3200043</v>
      </c>
      <c r="CZ97" s="9" t="str">
        <f t="shared" si="56"/>
        <v>3301041</v>
      </c>
      <c r="DA97" s="9" t="str">
        <f t="shared" si="57"/>
        <v>3501043</v>
      </c>
      <c r="DB97" s="9" t="str">
        <f t="shared" si="58"/>
        <v>3500042</v>
      </c>
      <c r="DC97" s="9" t="str">
        <f t="shared" si="59"/>
        <v>3501043</v>
      </c>
      <c r="DD97" s="9">
        <v>4</v>
      </c>
      <c r="DE97" s="9">
        <v>4</v>
      </c>
      <c r="DF97" s="9">
        <v>4</v>
      </c>
      <c r="DG97" s="9">
        <v>4</v>
      </c>
      <c r="DH97" s="9">
        <v>4</v>
      </c>
      <c r="DI97" s="9">
        <v>4</v>
      </c>
      <c r="DJ97" s="9">
        <v>3</v>
      </c>
      <c r="DK97" s="9">
        <v>3</v>
      </c>
      <c r="DL97" s="9">
        <v>3</v>
      </c>
      <c r="DM97" s="9">
        <v>3</v>
      </c>
      <c r="DN97" s="9">
        <v>3</v>
      </c>
      <c r="DO97" s="9">
        <v>3</v>
      </c>
      <c r="DP97" s="25" t="s">
        <v>114</v>
      </c>
      <c r="DQ97" s="25" t="s">
        <v>113</v>
      </c>
      <c r="DR97" s="25" t="s">
        <v>107</v>
      </c>
      <c r="DS97" s="25" t="s">
        <v>121</v>
      </c>
      <c r="DT97" s="25" t="s">
        <v>109</v>
      </c>
      <c r="DU97" s="25" t="s">
        <v>121</v>
      </c>
      <c r="DV97" s="25">
        <f t="shared" si="60"/>
        <v>1</v>
      </c>
      <c r="DW97" s="25">
        <f t="shared" si="61"/>
        <v>1</v>
      </c>
      <c r="DX97" s="25">
        <f t="shared" si="62"/>
        <v>1</v>
      </c>
      <c r="DY97" s="25">
        <f t="shared" si="63"/>
        <v>2</v>
      </c>
      <c r="DZ97" s="25">
        <f t="shared" si="64"/>
        <v>2</v>
      </c>
      <c r="EA97" s="3">
        <f t="shared" si="65"/>
        <v>2</v>
      </c>
      <c r="EB97" s="33"/>
      <c r="EC97" s="5">
        <v>5301051</v>
      </c>
      <c r="ED97" s="34" t="s">
        <v>107</v>
      </c>
      <c r="EE97" s="8">
        <v>1</v>
      </c>
    </row>
    <row r="98" spans="1:135" ht="13.5" customHeight="1">
      <c r="A98" s="9">
        <v>95</v>
      </c>
      <c r="B98" s="9">
        <v>1</v>
      </c>
      <c r="C98" s="9">
        <v>2001</v>
      </c>
      <c r="D98" s="9">
        <f t="shared" si="78"/>
        <v>230000</v>
      </c>
      <c r="E98" s="9" t="str">
        <f t="shared" si="44"/>
        <v>3200043,3200043,3200043,3401041,3401041,3401041</v>
      </c>
      <c r="F98" s="9" t="str">
        <f t="shared" si="45"/>
        <v>4,4,4,4,4,4</v>
      </c>
      <c r="G98" s="9" t="str">
        <f t="shared" si="46"/>
        <v>285,292,292,292,292,292</v>
      </c>
      <c r="H98" s="9">
        <v>82</v>
      </c>
      <c r="I98" s="9" t="s">
        <v>278</v>
      </c>
      <c r="J98" s="9" t="s">
        <v>279</v>
      </c>
      <c r="K98" s="9" t="s">
        <v>279</v>
      </c>
      <c r="L98" s="9" t="s">
        <v>279</v>
      </c>
      <c r="M98" s="9" t="s">
        <v>286</v>
      </c>
      <c r="O98" s="3">
        <f t="shared" si="80"/>
        <v>230000</v>
      </c>
      <c r="P98" s="9">
        <v>199134.25</v>
      </c>
      <c r="Q98" s="9">
        <v>3200043</v>
      </c>
      <c r="R98" s="9">
        <v>3200043</v>
      </c>
      <c r="S98" s="9">
        <v>3200043</v>
      </c>
      <c r="T98" s="9">
        <v>3401041</v>
      </c>
      <c r="U98" s="9">
        <v>3401041</v>
      </c>
      <c r="V98" s="9">
        <v>3401041</v>
      </c>
      <c r="W98" s="9">
        <v>4</v>
      </c>
      <c r="X98" s="9">
        <v>4</v>
      </c>
      <c r="Y98" s="9">
        <v>4</v>
      </c>
      <c r="Z98" s="9">
        <v>4</v>
      </c>
      <c r="AA98" s="9">
        <v>4</v>
      </c>
      <c r="AB98" s="9">
        <v>4</v>
      </c>
      <c r="AC98" s="9">
        <f t="shared" si="66"/>
        <v>285</v>
      </c>
      <c r="AD98" s="9">
        <f t="shared" si="67"/>
        <v>292</v>
      </c>
      <c r="AE98" s="9">
        <f t="shared" si="68"/>
        <v>292</v>
      </c>
      <c r="AF98" s="9">
        <f t="shared" si="69"/>
        <v>292</v>
      </c>
      <c r="AG98" s="9">
        <f t="shared" si="70"/>
        <v>292</v>
      </c>
      <c r="AH98" s="9">
        <f t="shared" si="71"/>
        <v>292</v>
      </c>
      <c r="AI98" s="7">
        <f t="shared" si="43"/>
        <v>33189.041666666664</v>
      </c>
      <c r="AJ98" s="7">
        <f t="shared" si="43"/>
        <v>33189.041666666664</v>
      </c>
      <c r="AK98" s="7">
        <f t="shared" si="43"/>
        <v>33189.041666666664</v>
      </c>
      <c r="AL98" s="7">
        <f t="shared" si="43"/>
        <v>33189.041666666664</v>
      </c>
      <c r="AM98" s="7">
        <f t="shared" si="43"/>
        <v>33189.041666666664</v>
      </c>
      <c r="AN98" s="7">
        <f t="shared" si="43"/>
        <v>33189.041666666664</v>
      </c>
      <c r="AO98" s="16"/>
      <c r="AP98" s="7"/>
      <c r="AQ98" s="9">
        <v>5</v>
      </c>
      <c r="AR98" s="9">
        <f t="shared" si="72"/>
        <v>229</v>
      </c>
      <c r="AS98" s="7">
        <f t="shared" si="73"/>
        <v>120</v>
      </c>
      <c r="AT98" s="7"/>
      <c r="AU98" s="16"/>
      <c r="AV98" s="7"/>
      <c r="AW98" s="7"/>
      <c r="AX98" s="7"/>
      <c r="AZ98" s="7"/>
      <c r="BA98" s="9">
        <f t="shared" si="79"/>
        <v>28539.357142857141</v>
      </c>
      <c r="BC98" s="5">
        <f t="shared" si="74"/>
        <v>263</v>
      </c>
      <c r="BP98" s="7"/>
      <c r="BQ98" s="18"/>
      <c r="BR98" s="18">
        <v>4502054</v>
      </c>
      <c r="BS98" s="18">
        <f>[1]monsters!$N98</f>
        <v>163.84</v>
      </c>
      <c r="BT98" s="18">
        <f>[1]monsters!$O98</f>
        <v>16.38</v>
      </c>
      <c r="BU98" s="18">
        <f>[1]monsters!$P98</f>
        <v>1280</v>
      </c>
      <c r="BV98" s="18">
        <f>[1]monsters!$Q98</f>
        <v>128</v>
      </c>
      <c r="BW98" s="18">
        <f>[1]monsters!$R98</f>
        <v>23.41</v>
      </c>
      <c r="BX98" s="18">
        <f>[1]monsters!$S98</f>
        <v>2.34</v>
      </c>
      <c r="BY98" s="18">
        <f>[1]monsters!$K98</f>
        <v>1.6</v>
      </c>
      <c r="BZ98" s="5">
        <f>[1]monsters!$D98</f>
        <v>4</v>
      </c>
      <c r="CA98" s="5">
        <f t="shared" si="75"/>
        <v>0.1</v>
      </c>
      <c r="CB98" s="5">
        <f t="shared" si="76"/>
        <v>197.9264430976431</v>
      </c>
      <c r="CC98" s="5">
        <f t="shared" si="77"/>
        <v>19.792644309764313</v>
      </c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>
        <v>1</v>
      </c>
      <c r="CR98" s="3" t="b">
        <f t="shared" si="48"/>
        <v>1</v>
      </c>
      <c r="CS98" s="3" t="b">
        <f t="shared" si="49"/>
        <v>1</v>
      </c>
      <c r="CT98" s="3" t="b">
        <f t="shared" si="50"/>
        <v>1</v>
      </c>
      <c r="CU98" s="3" t="b">
        <f t="shared" si="51"/>
        <v>1</v>
      </c>
      <c r="CV98" s="3" t="b">
        <f t="shared" si="52"/>
        <v>1</v>
      </c>
      <c r="CW98" s="3" t="b">
        <f t="shared" si="53"/>
        <v>1</v>
      </c>
      <c r="CX98" s="9" t="str">
        <f t="shared" si="54"/>
        <v>3200043</v>
      </c>
      <c r="CY98" s="9" t="str">
        <f t="shared" si="55"/>
        <v>3200043</v>
      </c>
      <c r="CZ98" s="9" t="str">
        <f t="shared" si="56"/>
        <v>3200043</v>
      </c>
      <c r="DA98" s="9" t="str">
        <f t="shared" si="57"/>
        <v>3401041</v>
      </c>
      <c r="DB98" s="9" t="str">
        <f t="shared" si="58"/>
        <v>3401041</v>
      </c>
      <c r="DC98" s="9" t="str">
        <f t="shared" si="59"/>
        <v>3401041</v>
      </c>
      <c r="DD98" s="9">
        <v>4</v>
      </c>
      <c r="DE98" s="9">
        <v>4</v>
      </c>
      <c r="DF98" s="9">
        <v>4</v>
      </c>
      <c r="DG98" s="9">
        <v>4</v>
      </c>
      <c r="DH98" s="9">
        <v>4</v>
      </c>
      <c r="DI98" s="9">
        <v>4</v>
      </c>
      <c r="DJ98" s="9">
        <v>3</v>
      </c>
      <c r="DK98" s="9">
        <v>3</v>
      </c>
      <c r="DL98" s="9">
        <v>3</v>
      </c>
      <c r="DM98" s="9">
        <v>3</v>
      </c>
      <c r="DN98" s="9">
        <v>3</v>
      </c>
      <c r="DO98" s="9">
        <v>3</v>
      </c>
      <c r="DP98" s="25" t="s">
        <v>113</v>
      </c>
      <c r="DQ98" s="25" t="s">
        <v>113</v>
      </c>
      <c r="DR98" s="25" t="s">
        <v>113</v>
      </c>
      <c r="DS98" s="25" t="s">
        <v>117</v>
      </c>
      <c r="DT98" s="25" t="s">
        <v>117</v>
      </c>
      <c r="DU98" s="25" t="s">
        <v>117</v>
      </c>
      <c r="DV98" s="25">
        <f t="shared" si="60"/>
        <v>1</v>
      </c>
      <c r="DW98" s="25">
        <f t="shared" si="61"/>
        <v>1</v>
      </c>
      <c r="DX98" s="25">
        <f t="shared" si="62"/>
        <v>1</v>
      </c>
      <c r="DY98" s="25">
        <f t="shared" si="63"/>
        <v>2</v>
      </c>
      <c r="DZ98" s="25">
        <f t="shared" si="64"/>
        <v>2</v>
      </c>
      <c r="EA98" s="3">
        <f t="shared" si="65"/>
        <v>2</v>
      </c>
      <c r="EB98" s="33"/>
      <c r="EC98" s="5">
        <v>5401051</v>
      </c>
      <c r="ED98" s="34" t="s">
        <v>117</v>
      </c>
      <c r="EE98" s="8">
        <v>2</v>
      </c>
    </row>
    <row r="99" spans="1:135" ht="13.5" customHeight="1">
      <c r="A99" s="9">
        <v>96</v>
      </c>
      <c r="B99" s="9">
        <v>1</v>
      </c>
      <c r="C99" s="9">
        <v>2001</v>
      </c>
      <c r="D99" s="9">
        <f t="shared" si="78"/>
        <v>233182</v>
      </c>
      <c r="E99" s="9" t="str">
        <f t="shared" si="44"/>
        <v>3202041,3201042,3201042,3502041,3500042,3502041</v>
      </c>
      <c r="F99" s="9" t="str">
        <f t="shared" si="45"/>
        <v>4,4,4,4,4,4</v>
      </c>
      <c r="G99" s="9" t="str">
        <f t="shared" si="46"/>
        <v>287,294,294,294,294,294</v>
      </c>
      <c r="H99" s="9">
        <v>84</v>
      </c>
      <c r="I99" s="9" t="s">
        <v>278</v>
      </c>
      <c r="J99" s="9" t="s">
        <v>279</v>
      </c>
      <c r="K99" s="9" t="s">
        <v>279</v>
      </c>
      <c r="L99" s="9" t="s">
        <v>279</v>
      </c>
      <c r="M99" s="9" t="s">
        <v>286</v>
      </c>
      <c r="O99" s="3">
        <f t="shared" si="80"/>
        <v>233182</v>
      </c>
      <c r="P99" s="9">
        <v>201888.75</v>
      </c>
      <c r="Q99" s="9">
        <v>3202041</v>
      </c>
      <c r="R99" s="9">
        <v>3201042</v>
      </c>
      <c r="S99" s="9">
        <v>3201042</v>
      </c>
      <c r="T99" s="9">
        <v>3502041</v>
      </c>
      <c r="U99" s="9">
        <v>3500042</v>
      </c>
      <c r="V99" s="9">
        <v>3502041</v>
      </c>
      <c r="W99" s="9">
        <v>4</v>
      </c>
      <c r="X99" s="9">
        <v>4</v>
      </c>
      <c r="Y99" s="9">
        <v>4</v>
      </c>
      <c r="Z99" s="9">
        <v>4</v>
      </c>
      <c r="AA99" s="9">
        <v>4</v>
      </c>
      <c r="AB99" s="9">
        <v>4</v>
      </c>
      <c r="AC99" s="9">
        <f t="shared" si="66"/>
        <v>287</v>
      </c>
      <c r="AD99" s="9">
        <f t="shared" si="67"/>
        <v>294</v>
      </c>
      <c r="AE99" s="9">
        <f t="shared" si="68"/>
        <v>294</v>
      </c>
      <c r="AF99" s="9">
        <f t="shared" si="69"/>
        <v>294</v>
      </c>
      <c r="AG99" s="9">
        <f t="shared" si="70"/>
        <v>294</v>
      </c>
      <c r="AH99" s="9">
        <f t="shared" si="71"/>
        <v>294</v>
      </c>
      <c r="AI99" s="7">
        <f t="shared" si="43"/>
        <v>33648.125</v>
      </c>
      <c r="AJ99" s="7">
        <f t="shared" si="43"/>
        <v>33648.125</v>
      </c>
      <c r="AK99" s="7">
        <f t="shared" si="43"/>
        <v>33648.125</v>
      </c>
      <c r="AL99" s="7">
        <f t="shared" si="43"/>
        <v>33648.125</v>
      </c>
      <c r="AM99" s="7">
        <f t="shared" si="43"/>
        <v>33648.125</v>
      </c>
      <c r="AN99" s="7">
        <f t="shared" si="43"/>
        <v>33648.125</v>
      </c>
      <c r="AO99" s="16"/>
      <c r="AP99" s="7"/>
      <c r="AQ99" s="9">
        <v>5</v>
      </c>
      <c r="AR99" s="9">
        <f t="shared" si="72"/>
        <v>231</v>
      </c>
      <c r="AS99" s="7">
        <f t="shared" si="73"/>
        <v>121</v>
      </c>
      <c r="AT99" s="7"/>
      <c r="AU99" s="16"/>
      <c r="AV99" s="7"/>
      <c r="AW99" s="7"/>
      <c r="AX99" s="7"/>
      <c r="AZ99" s="7"/>
      <c r="BA99" s="9">
        <f t="shared" si="79"/>
        <v>29062.114285714284</v>
      </c>
      <c r="BC99" s="5">
        <f t="shared" si="74"/>
        <v>265</v>
      </c>
      <c r="BP99" s="7"/>
      <c r="BQ99" s="18"/>
      <c r="BR99" s="18">
        <v>4600054</v>
      </c>
      <c r="BS99" s="18">
        <f>[1]monsters!$N99</f>
        <v>153.6</v>
      </c>
      <c r="BT99" s="18">
        <f>[1]monsters!$O99</f>
        <v>15.36</v>
      </c>
      <c r="BU99" s="18">
        <f>[1]monsters!$P99</f>
        <v>1280</v>
      </c>
      <c r="BV99" s="18">
        <f>[1]monsters!$Q99</f>
        <v>128</v>
      </c>
      <c r="BW99" s="18">
        <f>[1]monsters!$R99</f>
        <v>21.94</v>
      </c>
      <c r="BX99" s="18">
        <f>[1]monsters!$S99</f>
        <v>2.19</v>
      </c>
      <c r="BY99" s="18">
        <f>[1]monsters!$K99</f>
        <v>1.5</v>
      </c>
      <c r="BZ99" s="5">
        <f>[1]monsters!$D99</f>
        <v>4</v>
      </c>
      <c r="CA99" s="5">
        <f t="shared" si="75"/>
        <v>0.1</v>
      </c>
      <c r="CB99" s="5">
        <f t="shared" si="76"/>
        <v>188.24964309764312</v>
      </c>
      <c r="CC99" s="5">
        <f t="shared" si="77"/>
        <v>18.824964309764312</v>
      </c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>
        <v>0</v>
      </c>
      <c r="CR99" s="3" t="b">
        <f t="shared" si="48"/>
        <v>1</v>
      </c>
      <c r="CS99" s="3" t="b">
        <f t="shared" si="49"/>
        <v>1</v>
      </c>
      <c r="CT99" s="3" t="b">
        <f t="shared" si="50"/>
        <v>1</v>
      </c>
      <c r="CU99" s="3" t="b">
        <f t="shared" si="51"/>
        <v>1</v>
      </c>
      <c r="CV99" s="3" t="b">
        <f t="shared" si="52"/>
        <v>1</v>
      </c>
      <c r="CW99" s="3" t="b">
        <f t="shared" si="53"/>
        <v>1</v>
      </c>
      <c r="CX99" s="9" t="str">
        <f t="shared" si="54"/>
        <v>3202041</v>
      </c>
      <c r="CY99" s="9" t="str">
        <f t="shared" si="55"/>
        <v>3201042</v>
      </c>
      <c r="CZ99" s="9" t="str">
        <f t="shared" si="56"/>
        <v>3201042</v>
      </c>
      <c r="DA99" s="9" t="str">
        <f t="shared" si="57"/>
        <v>3502041</v>
      </c>
      <c r="DB99" s="9" t="str">
        <f t="shared" si="58"/>
        <v>3500042</v>
      </c>
      <c r="DC99" s="9" t="str">
        <f t="shared" si="59"/>
        <v>3502041</v>
      </c>
      <c r="DD99" s="9">
        <v>4</v>
      </c>
      <c r="DE99" s="9">
        <v>4</v>
      </c>
      <c r="DF99" s="9">
        <v>4</v>
      </c>
      <c r="DG99" s="9">
        <v>4</v>
      </c>
      <c r="DH99" s="9">
        <v>4</v>
      </c>
      <c r="DI99" s="9">
        <v>4</v>
      </c>
      <c r="DJ99" s="9">
        <v>3</v>
      </c>
      <c r="DK99" s="9">
        <v>3</v>
      </c>
      <c r="DL99" s="9">
        <v>3</v>
      </c>
      <c r="DM99" s="9">
        <v>3</v>
      </c>
      <c r="DN99" s="9">
        <v>3</v>
      </c>
      <c r="DO99" s="9">
        <v>3</v>
      </c>
      <c r="DP99" s="25" t="s">
        <v>111</v>
      </c>
      <c r="DQ99" s="25" t="s">
        <v>114</v>
      </c>
      <c r="DR99" s="25" t="s">
        <v>114</v>
      </c>
      <c r="DS99" s="25" t="s">
        <v>119</v>
      </c>
      <c r="DT99" s="25" t="s">
        <v>109</v>
      </c>
      <c r="DU99" s="25" t="s">
        <v>119</v>
      </c>
      <c r="DV99" s="25">
        <f t="shared" si="60"/>
        <v>1</v>
      </c>
      <c r="DW99" s="25">
        <f t="shared" si="61"/>
        <v>1</v>
      </c>
      <c r="DX99" s="25">
        <f t="shared" si="62"/>
        <v>1</v>
      </c>
      <c r="DY99" s="25">
        <f t="shared" si="63"/>
        <v>2</v>
      </c>
      <c r="DZ99" s="25">
        <f t="shared" si="64"/>
        <v>2</v>
      </c>
      <c r="EA99" s="3">
        <f t="shared" si="65"/>
        <v>2</v>
      </c>
      <c r="EB99" s="33"/>
      <c r="EC99" s="5">
        <v>5402051</v>
      </c>
      <c r="ED99" s="34" t="s">
        <v>196</v>
      </c>
      <c r="EE99" s="8">
        <v>2</v>
      </c>
    </row>
    <row r="100" spans="1:135" ht="13.5" customHeight="1">
      <c r="A100" s="9">
        <v>97</v>
      </c>
      <c r="B100" s="9">
        <v>1</v>
      </c>
      <c r="C100" s="9">
        <v>2001</v>
      </c>
      <c r="D100" s="9">
        <f t="shared" si="78"/>
        <v>236385</v>
      </c>
      <c r="E100" s="9" t="str">
        <f t="shared" si="44"/>
        <v>3202041,3201042,3201042,3501043,3300042,3500042</v>
      </c>
      <c r="F100" s="9" t="str">
        <f t="shared" si="45"/>
        <v>4,4,4,4,4,4</v>
      </c>
      <c r="G100" s="9" t="str">
        <f t="shared" si="46"/>
        <v>289,296,296,296,296,296</v>
      </c>
      <c r="H100" s="9">
        <v>84</v>
      </c>
      <c r="I100" s="9" t="s">
        <v>278</v>
      </c>
      <c r="J100" s="9" t="s">
        <v>279</v>
      </c>
      <c r="K100" s="9" t="s">
        <v>279</v>
      </c>
      <c r="L100" s="9" t="s">
        <v>279</v>
      </c>
      <c r="M100" s="9" t="s">
        <v>286</v>
      </c>
      <c r="O100" s="3">
        <f t="shared" si="80"/>
        <v>236385</v>
      </c>
      <c r="P100" s="9">
        <v>204662.5</v>
      </c>
      <c r="Q100" s="9">
        <v>3202041</v>
      </c>
      <c r="R100" s="9">
        <v>3201042</v>
      </c>
      <c r="S100" s="9">
        <v>3201042</v>
      </c>
      <c r="T100" s="9">
        <v>3501043</v>
      </c>
      <c r="U100" s="9">
        <v>3300042</v>
      </c>
      <c r="V100" s="9">
        <v>3500042</v>
      </c>
      <c r="W100" s="9">
        <v>4</v>
      </c>
      <c r="X100" s="9">
        <v>4</v>
      </c>
      <c r="Y100" s="9">
        <v>4</v>
      </c>
      <c r="Z100" s="9">
        <v>4</v>
      </c>
      <c r="AA100" s="9">
        <v>4</v>
      </c>
      <c r="AB100" s="9">
        <v>4</v>
      </c>
      <c r="AC100" s="9">
        <f t="shared" si="66"/>
        <v>289</v>
      </c>
      <c r="AD100" s="9">
        <f t="shared" si="67"/>
        <v>296</v>
      </c>
      <c r="AE100" s="9">
        <f t="shared" si="68"/>
        <v>296</v>
      </c>
      <c r="AF100" s="9">
        <f t="shared" si="69"/>
        <v>296</v>
      </c>
      <c r="AG100" s="9">
        <f t="shared" si="70"/>
        <v>296</v>
      </c>
      <c r="AH100" s="9">
        <f t="shared" si="71"/>
        <v>296</v>
      </c>
      <c r="AI100" s="7">
        <f t="shared" si="43"/>
        <v>34110.416666666664</v>
      </c>
      <c r="AJ100" s="7">
        <f t="shared" si="43"/>
        <v>34110.416666666664</v>
      </c>
      <c r="AK100" s="7">
        <f t="shared" si="43"/>
        <v>34110.416666666664</v>
      </c>
      <c r="AL100" s="7">
        <f t="shared" si="43"/>
        <v>34110.416666666664</v>
      </c>
      <c r="AM100" s="7">
        <f t="shared" si="43"/>
        <v>34110.416666666664</v>
      </c>
      <c r="AN100" s="7">
        <f t="shared" si="43"/>
        <v>34110.416666666664</v>
      </c>
      <c r="AO100" s="16"/>
      <c r="AP100" s="7"/>
      <c r="AQ100" s="9">
        <v>5</v>
      </c>
      <c r="AR100" s="9">
        <f t="shared" si="72"/>
        <v>232</v>
      </c>
      <c r="AS100" s="7">
        <f t="shared" si="73"/>
        <v>122</v>
      </c>
      <c r="AT100" s="7"/>
      <c r="AU100" s="16"/>
      <c r="AV100" s="7"/>
      <c r="AW100" s="7"/>
      <c r="AX100" s="7"/>
      <c r="AZ100" s="7"/>
      <c r="BA100" s="9">
        <f t="shared" si="79"/>
        <v>29584.871428571427</v>
      </c>
      <c r="BC100" s="5">
        <f t="shared" si="74"/>
        <v>267</v>
      </c>
      <c r="BP100" s="7"/>
      <c r="BQ100" s="18"/>
      <c r="BR100" s="18">
        <v>4200054</v>
      </c>
      <c r="BS100" s="18">
        <f>[1]monsters!$N100</f>
        <v>179.2</v>
      </c>
      <c r="BT100" s="18">
        <f>[1]monsters!$O100</f>
        <v>17.920000000000002</v>
      </c>
      <c r="BU100" s="18">
        <f>[1]monsters!$P100</f>
        <v>1097.1400000000001</v>
      </c>
      <c r="BV100" s="18">
        <f>[1]monsters!$Q100</f>
        <v>109.71</v>
      </c>
      <c r="BW100" s="18">
        <f>[1]monsters!$R100</f>
        <v>22.4</v>
      </c>
      <c r="BX100" s="18">
        <f>[1]monsters!$S100</f>
        <v>2.2400000000000002</v>
      </c>
      <c r="BY100" s="18">
        <f>[1]monsters!$K100</f>
        <v>1.5</v>
      </c>
      <c r="BZ100" s="5">
        <f>[1]monsters!$D100</f>
        <v>5</v>
      </c>
      <c r="CA100" s="5">
        <f t="shared" si="75"/>
        <v>0.1</v>
      </c>
      <c r="CB100" s="5">
        <f t="shared" si="76"/>
        <v>206.28474074074074</v>
      </c>
      <c r="CC100" s="5">
        <f t="shared" si="77"/>
        <v>20.628474074074077</v>
      </c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>
        <v>0</v>
      </c>
      <c r="CR100" s="3" t="b">
        <f t="shared" si="48"/>
        <v>1</v>
      </c>
      <c r="CS100" s="3" t="b">
        <f t="shared" si="49"/>
        <v>1</v>
      </c>
      <c r="CT100" s="3" t="b">
        <f t="shared" si="50"/>
        <v>1</v>
      </c>
      <c r="CU100" s="3" t="b">
        <f t="shared" si="51"/>
        <v>1</v>
      </c>
      <c r="CV100" s="3" t="b">
        <f t="shared" si="52"/>
        <v>1</v>
      </c>
      <c r="CW100" s="3" t="b">
        <f t="shared" si="53"/>
        <v>1</v>
      </c>
      <c r="CX100" s="9" t="str">
        <f t="shared" si="54"/>
        <v>3202041</v>
      </c>
      <c r="CY100" s="9" t="str">
        <f t="shared" si="55"/>
        <v>3201042</v>
      </c>
      <c r="CZ100" s="9" t="str">
        <f t="shared" si="56"/>
        <v>3201042</v>
      </c>
      <c r="DA100" s="9" t="str">
        <f t="shared" si="57"/>
        <v>3501043</v>
      </c>
      <c r="DB100" s="9" t="str">
        <f t="shared" si="58"/>
        <v>3300042</v>
      </c>
      <c r="DC100" s="9" t="str">
        <f t="shared" si="59"/>
        <v>3500042</v>
      </c>
      <c r="DD100" s="9">
        <v>4</v>
      </c>
      <c r="DE100" s="9">
        <v>4</v>
      </c>
      <c r="DF100" s="9">
        <v>4</v>
      </c>
      <c r="DG100" s="9">
        <v>4</v>
      </c>
      <c r="DH100" s="9">
        <v>4</v>
      </c>
      <c r="DI100" s="9">
        <v>4</v>
      </c>
      <c r="DJ100" s="9">
        <v>3</v>
      </c>
      <c r="DK100" s="9">
        <v>3</v>
      </c>
      <c r="DL100" s="9">
        <v>3</v>
      </c>
      <c r="DM100" s="9">
        <v>3</v>
      </c>
      <c r="DN100" s="9">
        <v>3</v>
      </c>
      <c r="DO100" s="9">
        <v>3</v>
      </c>
      <c r="DP100" s="25" t="s">
        <v>111</v>
      </c>
      <c r="DQ100" s="25" t="s">
        <v>114</v>
      </c>
      <c r="DR100" s="25" t="s">
        <v>114</v>
      </c>
      <c r="DS100" s="25" t="s">
        <v>121</v>
      </c>
      <c r="DT100" s="25" t="s">
        <v>115</v>
      </c>
      <c r="DU100" s="25" t="s">
        <v>109</v>
      </c>
      <c r="DV100" s="25">
        <f t="shared" si="60"/>
        <v>1</v>
      </c>
      <c r="DW100" s="25">
        <f t="shared" si="61"/>
        <v>1</v>
      </c>
      <c r="DX100" s="25">
        <f t="shared" si="62"/>
        <v>1</v>
      </c>
      <c r="DY100" s="25">
        <f t="shared" si="63"/>
        <v>2</v>
      </c>
      <c r="DZ100" s="25">
        <f t="shared" si="64"/>
        <v>2</v>
      </c>
      <c r="EA100" s="3">
        <f t="shared" si="65"/>
        <v>2</v>
      </c>
      <c r="EB100" s="33"/>
      <c r="EC100" s="5">
        <v>5500051</v>
      </c>
      <c r="ED100" s="34" t="s">
        <v>197</v>
      </c>
      <c r="EE100" s="8">
        <v>2</v>
      </c>
    </row>
    <row r="101" spans="1:135" ht="13.5" customHeight="1">
      <c r="A101" s="9">
        <v>98</v>
      </c>
      <c r="B101" s="9">
        <v>1</v>
      </c>
      <c r="C101" s="9">
        <v>2001</v>
      </c>
      <c r="D101" s="9">
        <f t="shared" si="78"/>
        <v>239890</v>
      </c>
      <c r="E101" s="9" t="str">
        <f t="shared" si="44"/>
        <v>3201042,3202041,3202041,3501043,3402043,3300042</v>
      </c>
      <c r="F101" s="9" t="str">
        <f t="shared" si="45"/>
        <v>4,4,4,4,4,4</v>
      </c>
      <c r="G101" s="9" t="str">
        <f t="shared" si="46"/>
        <v>292,298,298,298,298,298</v>
      </c>
      <c r="H101" s="9">
        <v>84</v>
      </c>
      <c r="I101" s="9" t="s">
        <v>278</v>
      </c>
      <c r="J101" s="9" t="s">
        <v>279</v>
      </c>
      <c r="K101" s="9" t="s">
        <v>279</v>
      </c>
      <c r="L101" s="9" t="s">
        <v>279</v>
      </c>
      <c r="M101" s="9" t="s">
        <v>286</v>
      </c>
      <c r="O101" s="3">
        <f t="shared" si="80"/>
        <v>239890</v>
      </c>
      <c r="P101" s="9">
        <v>207697</v>
      </c>
      <c r="Q101" s="9">
        <v>3201042</v>
      </c>
      <c r="R101" s="9">
        <v>3202041</v>
      </c>
      <c r="S101" s="9">
        <v>3202041</v>
      </c>
      <c r="T101" s="9">
        <v>3501043</v>
      </c>
      <c r="U101" s="9">
        <v>3402043</v>
      </c>
      <c r="V101" s="9">
        <v>3300042</v>
      </c>
      <c r="W101" s="9">
        <v>4</v>
      </c>
      <c r="X101" s="9">
        <v>4</v>
      </c>
      <c r="Y101" s="9">
        <v>4</v>
      </c>
      <c r="Z101" s="9">
        <v>4</v>
      </c>
      <c r="AA101" s="9">
        <v>4</v>
      </c>
      <c r="AB101" s="9">
        <v>4</v>
      </c>
      <c r="AC101" s="9">
        <f t="shared" si="66"/>
        <v>292</v>
      </c>
      <c r="AD101" s="9">
        <f t="shared" si="67"/>
        <v>298</v>
      </c>
      <c r="AE101" s="9">
        <f t="shared" si="68"/>
        <v>298</v>
      </c>
      <c r="AF101" s="9">
        <f t="shared" si="69"/>
        <v>298</v>
      </c>
      <c r="AG101" s="9">
        <f t="shared" si="70"/>
        <v>298</v>
      </c>
      <c r="AH101" s="9">
        <f t="shared" si="71"/>
        <v>298</v>
      </c>
      <c r="AI101" s="7">
        <f t="shared" si="43"/>
        <v>34616.166666666664</v>
      </c>
      <c r="AJ101" s="7">
        <f t="shared" si="43"/>
        <v>34616.166666666664</v>
      </c>
      <c r="AK101" s="7">
        <f t="shared" si="43"/>
        <v>34616.166666666664</v>
      </c>
      <c r="AL101" s="7">
        <f t="shared" si="43"/>
        <v>34616.166666666664</v>
      </c>
      <c r="AM101" s="7">
        <f t="shared" si="43"/>
        <v>34616.166666666664</v>
      </c>
      <c r="AN101" s="7">
        <f t="shared" si="43"/>
        <v>34616.166666666664</v>
      </c>
      <c r="AO101" s="16"/>
      <c r="AP101" s="7"/>
      <c r="AQ101" s="9">
        <v>5</v>
      </c>
      <c r="AR101" s="9">
        <f t="shared" si="72"/>
        <v>234</v>
      </c>
      <c r="AS101" s="7">
        <f t="shared" si="73"/>
        <v>123</v>
      </c>
      <c r="AT101" s="7"/>
      <c r="AU101" s="16"/>
      <c r="AV101" s="7"/>
      <c r="AW101" s="7"/>
      <c r="AX101" s="7"/>
      <c r="AZ101" s="7"/>
      <c r="BA101" s="9">
        <f t="shared" si="79"/>
        <v>30107.62857142857</v>
      </c>
      <c r="BC101" s="5">
        <f t="shared" si="74"/>
        <v>269</v>
      </c>
      <c r="BP101" s="7"/>
      <c r="BQ101" s="18"/>
      <c r="BR101" s="18">
        <v>4202055</v>
      </c>
      <c r="BS101" s="18">
        <f>[1]monsters!$N101</f>
        <v>167.25</v>
      </c>
      <c r="BT101" s="18">
        <f>[1]monsters!$O101</f>
        <v>16.73</v>
      </c>
      <c r="BU101" s="18">
        <f>[1]monsters!$P101</f>
        <v>1097.1400000000001</v>
      </c>
      <c r="BV101" s="18">
        <f>[1]monsters!$Q101</f>
        <v>109.71</v>
      </c>
      <c r="BW101" s="18">
        <f>[1]monsters!$R101</f>
        <v>20.91</v>
      </c>
      <c r="BX101" s="18">
        <f>[1]monsters!$S101</f>
        <v>2.09</v>
      </c>
      <c r="BY101" s="18">
        <f>[1]monsters!$K101</f>
        <v>1.4</v>
      </c>
      <c r="BZ101" s="5">
        <f>[1]monsters!$D101</f>
        <v>5</v>
      </c>
      <c r="CA101" s="5">
        <f t="shared" si="75"/>
        <v>0.1</v>
      </c>
      <c r="CB101" s="5">
        <f t="shared" si="76"/>
        <v>194.99199074074076</v>
      </c>
      <c r="CC101" s="5">
        <f t="shared" si="77"/>
        <v>19.499199074074077</v>
      </c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>
        <v>0</v>
      </c>
      <c r="CR101" s="3" t="b">
        <f t="shared" si="48"/>
        <v>1</v>
      </c>
      <c r="CS101" s="3" t="b">
        <f t="shared" si="49"/>
        <v>1</v>
      </c>
      <c r="CT101" s="3" t="b">
        <f t="shared" si="50"/>
        <v>1</v>
      </c>
      <c r="CU101" s="3" t="b">
        <f t="shared" si="51"/>
        <v>1</v>
      </c>
      <c r="CV101" s="3" t="b">
        <f t="shared" si="52"/>
        <v>1</v>
      </c>
      <c r="CW101" s="3" t="b">
        <f t="shared" si="53"/>
        <v>1</v>
      </c>
      <c r="CX101" s="9" t="str">
        <f t="shared" si="54"/>
        <v>3201042</v>
      </c>
      <c r="CY101" s="9" t="str">
        <f t="shared" si="55"/>
        <v>3202041</v>
      </c>
      <c r="CZ101" s="9" t="str">
        <f t="shared" si="56"/>
        <v>3202041</v>
      </c>
      <c r="DA101" s="9" t="str">
        <f t="shared" si="57"/>
        <v>3501043</v>
      </c>
      <c r="DB101" s="9" t="str">
        <f t="shared" si="58"/>
        <v>3402043</v>
      </c>
      <c r="DC101" s="9" t="str">
        <f t="shared" si="59"/>
        <v>3300042</v>
      </c>
      <c r="DD101" s="9">
        <v>4</v>
      </c>
      <c r="DE101" s="9">
        <v>4</v>
      </c>
      <c r="DF101" s="9">
        <v>4</v>
      </c>
      <c r="DG101" s="9">
        <v>4</v>
      </c>
      <c r="DH101" s="9">
        <v>4</v>
      </c>
      <c r="DI101" s="9">
        <v>4</v>
      </c>
      <c r="DJ101" s="9">
        <v>3</v>
      </c>
      <c r="DK101" s="9">
        <v>3</v>
      </c>
      <c r="DL101" s="9">
        <v>3</v>
      </c>
      <c r="DM101" s="9">
        <v>3</v>
      </c>
      <c r="DN101" s="9">
        <v>3</v>
      </c>
      <c r="DO101" s="9">
        <v>3</v>
      </c>
      <c r="DP101" s="25" t="s">
        <v>114</v>
      </c>
      <c r="DQ101" s="25" t="s">
        <v>111</v>
      </c>
      <c r="DR101" s="25" t="s">
        <v>111</v>
      </c>
      <c r="DS101" s="25" t="s">
        <v>121</v>
      </c>
      <c r="DT101" s="25" t="s">
        <v>118</v>
      </c>
      <c r="DU101" s="25" t="s">
        <v>115</v>
      </c>
      <c r="DV101" s="25">
        <f t="shared" si="60"/>
        <v>1</v>
      </c>
      <c r="DW101" s="25">
        <f t="shared" si="61"/>
        <v>1</v>
      </c>
      <c r="DX101" s="25">
        <f t="shared" si="62"/>
        <v>1</v>
      </c>
      <c r="DY101" s="25">
        <f t="shared" si="63"/>
        <v>2</v>
      </c>
      <c r="DZ101" s="25">
        <f t="shared" si="64"/>
        <v>2</v>
      </c>
      <c r="EA101" s="3">
        <f t="shared" si="65"/>
        <v>2</v>
      </c>
      <c r="EB101" s="33"/>
      <c r="EC101" s="5">
        <v>5502051</v>
      </c>
      <c r="ED101" s="34" t="s">
        <v>119</v>
      </c>
      <c r="EE101" s="8">
        <v>2</v>
      </c>
    </row>
    <row r="102" spans="1:135" ht="13.5" customHeight="1">
      <c r="A102" s="9">
        <v>99</v>
      </c>
      <c r="B102" s="9">
        <v>1</v>
      </c>
      <c r="C102" s="9">
        <v>2001</v>
      </c>
      <c r="D102" s="9">
        <f t="shared" si="78"/>
        <v>243138</v>
      </c>
      <c r="E102" s="9" t="str">
        <f t="shared" si="44"/>
        <v>3302043,3202041,3200043,3401041,3300042,3400042</v>
      </c>
      <c r="F102" s="9" t="str">
        <f t="shared" si="45"/>
        <v>4,4,4,4,4,4</v>
      </c>
      <c r="G102" s="9" t="str">
        <f t="shared" si="46"/>
        <v>294,300,300,300,300,300</v>
      </c>
      <c r="H102" s="9">
        <v>84</v>
      </c>
      <c r="I102" s="9" t="s">
        <v>278</v>
      </c>
      <c r="J102" s="9" t="s">
        <v>279</v>
      </c>
      <c r="K102" s="9" t="s">
        <v>279</v>
      </c>
      <c r="L102" s="9" t="s">
        <v>279</v>
      </c>
      <c r="M102" s="9" t="s">
        <v>286</v>
      </c>
      <c r="O102" s="3">
        <f t="shared" si="80"/>
        <v>243138</v>
      </c>
      <c r="P102" s="9">
        <v>210509.25</v>
      </c>
      <c r="Q102" s="9">
        <v>3302043</v>
      </c>
      <c r="R102" s="9">
        <v>3202041</v>
      </c>
      <c r="S102" s="9">
        <v>3200043</v>
      </c>
      <c r="T102" s="9">
        <v>3401041</v>
      </c>
      <c r="U102" s="9">
        <v>3300042</v>
      </c>
      <c r="V102" s="9">
        <v>3400042</v>
      </c>
      <c r="W102" s="9">
        <v>4</v>
      </c>
      <c r="X102" s="9">
        <v>4</v>
      </c>
      <c r="Y102" s="9">
        <v>4</v>
      </c>
      <c r="Z102" s="9">
        <v>4</v>
      </c>
      <c r="AA102" s="9">
        <v>4</v>
      </c>
      <c r="AB102" s="9">
        <v>4</v>
      </c>
      <c r="AC102" s="9">
        <f t="shared" si="66"/>
        <v>294</v>
      </c>
      <c r="AD102" s="9">
        <f t="shared" si="67"/>
        <v>300</v>
      </c>
      <c r="AE102" s="9">
        <f t="shared" si="68"/>
        <v>300</v>
      </c>
      <c r="AF102" s="9">
        <f t="shared" si="69"/>
        <v>300</v>
      </c>
      <c r="AG102" s="9">
        <f t="shared" si="70"/>
        <v>300</v>
      </c>
      <c r="AH102" s="9">
        <f t="shared" si="71"/>
        <v>300</v>
      </c>
      <c r="AI102" s="7">
        <f t="shared" si="43"/>
        <v>35084.875</v>
      </c>
      <c r="AJ102" s="7">
        <f t="shared" si="43"/>
        <v>35084.875</v>
      </c>
      <c r="AK102" s="7">
        <f t="shared" si="43"/>
        <v>35084.875</v>
      </c>
      <c r="AL102" s="7">
        <f t="shared" ref="AJ102:AN153" si="81">$P102/6</f>
        <v>35084.875</v>
      </c>
      <c r="AM102" s="7">
        <f t="shared" si="81"/>
        <v>35084.875</v>
      </c>
      <c r="AN102" s="7">
        <f t="shared" si="81"/>
        <v>35084.875</v>
      </c>
      <c r="AO102" s="16"/>
      <c r="AP102" s="7"/>
      <c r="AQ102" s="9">
        <v>5</v>
      </c>
      <c r="AR102" s="9">
        <f t="shared" si="72"/>
        <v>236</v>
      </c>
      <c r="AS102" s="7">
        <f t="shared" si="73"/>
        <v>124</v>
      </c>
      <c r="AT102" s="7"/>
      <c r="AU102" s="16"/>
      <c r="AV102" s="7"/>
      <c r="AW102" s="7"/>
      <c r="AX102" s="7"/>
      <c r="AZ102" s="7"/>
      <c r="BA102" s="9">
        <f t="shared" si="79"/>
        <v>30630.385714285712</v>
      </c>
      <c r="BC102" s="5">
        <f t="shared" si="74"/>
        <v>271</v>
      </c>
      <c r="BP102" s="7"/>
      <c r="BQ102" s="18"/>
      <c r="BR102" s="18">
        <v>4302055</v>
      </c>
      <c r="BS102" s="18">
        <f>[1]monsters!$N102</f>
        <v>198.4</v>
      </c>
      <c r="BT102" s="18">
        <f>[1]monsters!$O102</f>
        <v>19.84</v>
      </c>
      <c r="BU102" s="18">
        <f>[1]monsters!$P102</f>
        <v>990.97</v>
      </c>
      <c r="BV102" s="18">
        <f>[1]monsters!$Q102</f>
        <v>99.1</v>
      </c>
      <c r="BW102" s="18">
        <f>[1]monsters!$R102</f>
        <v>19.84</v>
      </c>
      <c r="BX102" s="18">
        <f>[1]monsters!$S102</f>
        <v>1.98</v>
      </c>
      <c r="BY102" s="18">
        <f>[1]monsters!$K102</f>
        <v>1.5</v>
      </c>
      <c r="BZ102" s="5">
        <f>[1]monsters!$D102</f>
        <v>6</v>
      </c>
      <c r="CA102" s="5">
        <f t="shared" si="75"/>
        <v>0.1</v>
      </c>
      <c r="CB102" s="5">
        <f t="shared" si="76"/>
        <v>220.8539932659933</v>
      </c>
      <c r="CC102" s="5">
        <f t="shared" si="77"/>
        <v>22.08539932659933</v>
      </c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>
        <v>0</v>
      </c>
      <c r="CR102" s="3" t="b">
        <f t="shared" si="48"/>
        <v>1</v>
      </c>
      <c r="CS102" s="3" t="b">
        <f t="shared" si="49"/>
        <v>1</v>
      </c>
      <c r="CT102" s="3" t="b">
        <f t="shared" si="50"/>
        <v>1</v>
      </c>
      <c r="CU102" s="3" t="b">
        <f t="shared" si="51"/>
        <v>1</v>
      </c>
      <c r="CV102" s="3" t="b">
        <f t="shared" si="52"/>
        <v>1</v>
      </c>
      <c r="CW102" s="3" t="b">
        <f t="shared" si="53"/>
        <v>1</v>
      </c>
      <c r="CX102" s="9" t="str">
        <f t="shared" si="54"/>
        <v>3302043</v>
      </c>
      <c r="CY102" s="9" t="str">
        <f t="shared" si="55"/>
        <v>3202041</v>
      </c>
      <c r="CZ102" s="9" t="str">
        <f t="shared" si="56"/>
        <v>3200043</v>
      </c>
      <c r="DA102" s="9" t="str">
        <f t="shared" si="57"/>
        <v>3401041</v>
      </c>
      <c r="DB102" s="9" t="str">
        <f t="shared" si="58"/>
        <v>3300042</v>
      </c>
      <c r="DC102" s="9" t="str">
        <f t="shared" si="59"/>
        <v>3400042</v>
      </c>
      <c r="DD102" s="9">
        <v>4</v>
      </c>
      <c r="DE102" s="9">
        <v>4</v>
      </c>
      <c r="DF102" s="9">
        <v>4</v>
      </c>
      <c r="DG102" s="9">
        <v>4</v>
      </c>
      <c r="DH102" s="9">
        <v>4</v>
      </c>
      <c r="DI102" s="9">
        <v>4</v>
      </c>
      <c r="DJ102" s="9">
        <v>3</v>
      </c>
      <c r="DK102" s="9">
        <v>3</v>
      </c>
      <c r="DL102" s="9">
        <v>3</v>
      </c>
      <c r="DM102" s="9">
        <v>3</v>
      </c>
      <c r="DN102" s="9">
        <v>3</v>
      </c>
      <c r="DO102" s="9">
        <v>3</v>
      </c>
      <c r="DP102" s="25" t="s">
        <v>108</v>
      </c>
      <c r="DQ102" s="25" t="s">
        <v>111</v>
      </c>
      <c r="DR102" s="25" t="s">
        <v>113</v>
      </c>
      <c r="DS102" s="25" t="s">
        <v>117</v>
      </c>
      <c r="DT102" s="25" t="s">
        <v>115</v>
      </c>
      <c r="DU102" s="25" t="s">
        <v>110</v>
      </c>
      <c r="DV102" s="25">
        <f t="shared" si="60"/>
        <v>1</v>
      </c>
      <c r="DW102" s="25">
        <f t="shared" si="61"/>
        <v>1</v>
      </c>
      <c r="DX102" s="25">
        <f t="shared" si="62"/>
        <v>1</v>
      </c>
      <c r="DY102" s="25">
        <f t="shared" si="63"/>
        <v>2</v>
      </c>
      <c r="DZ102" s="25">
        <f t="shared" si="64"/>
        <v>2</v>
      </c>
      <c r="EA102" s="3">
        <f t="shared" si="65"/>
        <v>2</v>
      </c>
      <c r="EB102" s="33"/>
      <c r="EC102" s="5">
        <v>5601051</v>
      </c>
      <c r="ED102" s="34" t="s">
        <v>198</v>
      </c>
      <c r="EE102" s="8">
        <v>2</v>
      </c>
    </row>
    <row r="103" spans="1:135" ht="13.5" customHeight="1">
      <c r="A103" s="9">
        <v>100</v>
      </c>
      <c r="B103" s="9">
        <v>1</v>
      </c>
      <c r="C103" s="9">
        <v>2001</v>
      </c>
      <c r="D103" s="9">
        <f t="shared" si="78"/>
        <v>275846</v>
      </c>
      <c r="E103" s="9" t="str">
        <f t="shared" si="44"/>
        <v>3202041,3202041,3301041,3502041,3500042,3502041</v>
      </c>
      <c r="F103" s="9" t="str">
        <f t="shared" si="45"/>
        <v>4,4,4,4,4,4</v>
      </c>
      <c r="G103" s="9" t="str">
        <f t="shared" si="46"/>
        <v>306,313,313,313,313,313</v>
      </c>
      <c r="H103" s="9">
        <v>85</v>
      </c>
      <c r="I103" s="9" t="s">
        <v>278</v>
      </c>
      <c r="J103" s="9" t="s">
        <v>279</v>
      </c>
      <c r="K103" s="9" t="s">
        <v>279</v>
      </c>
      <c r="L103" s="9" t="s">
        <v>279</v>
      </c>
      <c r="M103" s="9" t="s">
        <v>286</v>
      </c>
      <c r="O103" s="3">
        <f>ROUND(P103*1.1*1.1,0)</f>
        <v>275846</v>
      </c>
      <c r="P103" s="9">
        <v>227971.7</v>
      </c>
      <c r="Q103" s="9">
        <v>3202041</v>
      </c>
      <c r="R103" s="9">
        <v>3202041</v>
      </c>
      <c r="S103" s="9">
        <v>3301041</v>
      </c>
      <c r="T103" s="9">
        <v>3502041</v>
      </c>
      <c r="U103" s="9">
        <v>3500042</v>
      </c>
      <c r="V103" s="9">
        <v>3502041</v>
      </c>
      <c r="W103" s="9">
        <v>4</v>
      </c>
      <c r="X103" s="9">
        <v>4</v>
      </c>
      <c r="Y103" s="9">
        <v>4</v>
      </c>
      <c r="Z103" s="9">
        <v>4</v>
      </c>
      <c r="AA103" s="9">
        <v>4</v>
      </c>
      <c r="AB103" s="9">
        <v>4</v>
      </c>
      <c r="AC103" s="9">
        <f t="shared" si="66"/>
        <v>306</v>
      </c>
      <c r="AD103" s="9">
        <f t="shared" si="67"/>
        <v>313</v>
      </c>
      <c r="AE103" s="9">
        <f t="shared" si="68"/>
        <v>313</v>
      </c>
      <c r="AF103" s="9">
        <f t="shared" si="69"/>
        <v>313</v>
      </c>
      <c r="AG103" s="9">
        <f t="shared" si="70"/>
        <v>313</v>
      </c>
      <c r="AH103" s="9">
        <f t="shared" si="71"/>
        <v>313</v>
      </c>
      <c r="AI103" s="7">
        <f t="shared" ref="AI103:AI166" si="82">$P103/6</f>
        <v>37995.283333333333</v>
      </c>
      <c r="AJ103" s="7">
        <f t="shared" si="81"/>
        <v>37995.283333333333</v>
      </c>
      <c r="AK103" s="7">
        <f t="shared" si="81"/>
        <v>37995.283333333333</v>
      </c>
      <c r="AL103" s="7">
        <f t="shared" si="81"/>
        <v>37995.283333333333</v>
      </c>
      <c r="AM103" s="7">
        <f t="shared" si="81"/>
        <v>37995.283333333333</v>
      </c>
      <c r="AN103" s="7">
        <f t="shared" si="81"/>
        <v>37995.283333333333</v>
      </c>
      <c r="AO103" s="16"/>
      <c r="AP103" s="7"/>
      <c r="AQ103" s="9">
        <v>5</v>
      </c>
      <c r="AR103" s="9">
        <f t="shared" si="72"/>
        <v>246</v>
      </c>
      <c r="AS103" s="7">
        <f t="shared" si="73"/>
        <v>125</v>
      </c>
      <c r="AT103" s="7"/>
      <c r="AU103" s="16"/>
      <c r="AV103" s="7"/>
      <c r="AW103" s="7"/>
      <c r="AX103" s="7"/>
      <c r="AZ103" s="7"/>
      <c r="BA103" s="9">
        <f t="shared" si="79"/>
        <v>31153.142857142855</v>
      </c>
      <c r="BC103" s="5">
        <f t="shared" si="74"/>
        <v>283</v>
      </c>
      <c r="BP103" s="7"/>
      <c r="BQ103" s="18"/>
      <c r="BR103" s="18">
        <v>4400055</v>
      </c>
      <c r="BS103" s="18">
        <f>[1]monsters!$N103</f>
        <v>128</v>
      </c>
      <c r="BT103" s="18">
        <f>[1]monsters!$O103</f>
        <v>12.8</v>
      </c>
      <c r="BU103" s="18">
        <f>[1]monsters!$P103</f>
        <v>1536</v>
      </c>
      <c r="BV103" s="18">
        <f>[1]monsters!$Q103</f>
        <v>153.6</v>
      </c>
      <c r="BW103" s="18">
        <f>[1]monsters!$R103</f>
        <v>32</v>
      </c>
      <c r="BX103" s="18">
        <f>[1]monsters!$S103</f>
        <v>3.2</v>
      </c>
      <c r="BY103" s="18">
        <f>[1]monsters!$K103</f>
        <v>1.5</v>
      </c>
      <c r="BZ103" s="5">
        <f>[1]monsters!$D103</f>
        <v>2</v>
      </c>
      <c r="CA103" s="5">
        <f t="shared" si="75"/>
        <v>0.1</v>
      </c>
      <c r="CB103" s="5">
        <f t="shared" si="76"/>
        <v>172.67717171717172</v>
      </c>
      <c r="CC103" s="5">
        <f t="shared" si="77"/>
        <v>17.267717171717173</v>
      </c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>
        <v>1</v>
      </c>
      <c r="CR103" s="3" t="b">
        <f t="shared" si="48"/>
        <v>1</v>
      </c>
      <c r="CS103" s="3" t="b">
        <f t="shared" si="49"/>
        <v>1</v>
      </c>
      <c r="CT103" s="3" t="b">
        <f t="shared" si="50"/>
        <v>1</v>
      </c>
      <c r="CU103" s="3" t="b">
        <f t="shared" si="51"/>
        <v>1</v>
      </c>
      <c r="CV103" s="3" t="b">
        <f t="shared" si="52"/>
        <v>1</v>
      </c>
      <c r="CW103" s="3" t="b">
        <f t="shared" si="53"/>
        <v>1</v>
      </c>
      <c r="CX103" s="9" t="str">
        <f t="shared" si="54"/>
        <v>3202041</v>
      </c>
      <c r="CY103" s="9" t="str">
        <f t="shared" si="55"/>
        <v>3202041</v>
      </c>
      <c r="CZ103" s="9" t="str">
        <f t="shared" si="56"/>
        <v>3301041</v>
      </c>
      <c r="DA103" s="9" t="str">
        <f t="shared" si="57"/>
        <v>3502041</v>
      </c>
      <c r="DB103" s="9" t="str">
        <f t="shared" si="58"/>
        <v>3500042</v>
      </c>
      <c r="DC103" s="9" t="str">
        <f t="shared" si="59"/>
        <v>3502041</v>
      </c>
      <c r="DD103" s="9">
        <v>4</v>
      </c>
      <c r="DE103" s="9">
        <v>4</v>
      </c>
      <c r="DF103" s="9">
        <v>4</v>
      </c>
      <c r="DG103" s="9">
        <v>4</v>
      </c>
      <c r="DH103" s="9">
        <v>4</v>
      </c>
      <c r="DI103" s="9">
        <v>4</v>
      </c>
      <c r="DJ103" s="9">
        <v>3</v>
      </c>
      <c r="DK103" s="9">
        <v>3</v>
      </c>
      <c r="DL103" s="9">
        <v>3</v>
      </c>
      <c r="DM103" s="9">
        <v>3</v>
      </c>
      <c r="DN103" s="9">
        <v>3</v>
      </c>
      <c r="DO103" s="9">
        <v>3</v>
      </c>
      <c r="DP103" s="25" t="s">
        <v>111</v>
      </c>
      <c r="DQ103" s="25" t="s">
        <v>111</v>
      </c>
      <c r="DR103" s="25" t="s">
        <v>107</v>
      </c>
      <c r="DS103" s="25" t="s">
        <v>119</v>
      </c>
      <c r="DT103" s="25" t="s">
        <v>109</v>
      </c>
      <c r="DU103" s="25" t="s">
        <v>119</v>
      </c>
      <c r="DV103" s="25">
        <f t="shared" si="60"/>
        <v>1</v>
      </c>
      <c r="DW103" s="25">
        <f t="shared" si="61"/>
        <v>1</v>
      </c>
      <c r="DX103" s="25">
        <f t="shared" si="62"/>
        <v>1</v>
      </c>
      <c r="DY103" s="25">
        <f t="shared" si="63"/>
        <v>2</v>
      </c>
      <c r="DZ103" s="25">
        <f t="shared" si="64"/>
        <v>2</v>
      </c>
      <c r="EA103" s="3">
        <f t="shared" si="65"/>
        <v>2</v>
      </c>
      <c r="EB103" s="33"/>
      <c r="EC103" s="5">
        <v>5200052</v>
      </c>
      <c r="ED103" s="34" t="s">
        <v>199</v>
      </c>
      <c r="EE103" s="8">
        <v>1</v>
      </c>
    </row>
    <row r="104" spans="1:135" ht="13.5" customHeight="1">
      <c r="A104" s="9">
        <v>101</v>
      </c>
      <c r="B104" s="9">
        <v>1</v>
      </c>
      <c r="C104" s="9">
        <v>2001</v>
      </c>
      <c r="D104" s="9">
        <f t="shared" si="78"/>
        <v>279532</v>
      </c>
      <c r="E104" s="9" t="str">
        <f t="shared" si="44"/>
        <v>3202051,3201052,3301051,3400052,3500052,3400052</v>
      </c>
      <c r="F104" s="9" t="str">
        <f t="shared" si="45"/>
        <v>5,5,5,5,5,5</v>
      </c>
      <c r="G104" s="9" t="str">
        <f t="shared" si="46"/>
        <v>268,274,274,274,274,274</v>
      </c>
      <c r="H104" s="9">
        <v>87</v>
      </c>
      <c r="I104" s="9" t="s">
        <v>278</v>
      </c>
      <c r="J104" s="9" t="s">
        <v>279</v>
      </c>
      <c r="K104" s="9" t="s">
        <v>279</v>
      </c>
      <c r="L104" s="9" t="s">
        <v>279</v>
      </c>
      <c r="M104" s="9" t="s">
        <v>286</v>
      </c>
      <c r="O104" s="3">
        <f t="shared" ref="O104:O122" si="83">ROUND(P104*1.1*1.1,0)</f>
        <v>279532</v>
      </c>
      <c r="P104" s="9">
        <v>231017.93</v>
      </c>
      <c r="Q104" s="9">
        <v>3202051</v>
      </c>
      <c r="R104" s="9">
        <v>3201052</v>
      </c>
      <c r="S104" s="9">
        <v>3301051</v>
      </c>
      <c r="T104" s="9">
        <v>3400052</v>
      </c>
      <c r="U104" s="9">
        <v>3500052</v>
      </c>
      <c r="V104" s="9">
        <v>3400052</v>
      </c>
      <c r="W104" s="9">
        <v>5</v>
      </c>
      <c r="X104" s="9">
        <v>5</v>
      </c>
      <c r="Y104" s="9">
        <v>5</v>
      </c>
      <c r="Z104" s="9">
        <v>5</v>
      </c>
      <c r="AA104" s="9">
        <v>5</v>
      </c>
      <c r="AB104" s="9">
        <v>5</v>
      </c>
      <c r="AC104" s="9">
        <f t="shared" si="66"/>
        <v>268</v>
      </c>
      <c r="AD104" s="9">
        <f t="shared" si="67"/>
        <v>274</v>
      </c>
      <c r="AE104" s="9">
        <f t="shared" si="68"/>
        <v>274</v>
      </c>
      <c r="AF104" s="9">
        <f t="shared" si="69"/>
        <v>274</v>
      </c>
      <c r="AG104" s="9">
        <f t="shared" si="70"/>
        <v>274</v>
      </c>
      <c r="AH104" s="9">
        <f t="shared" si="71"/>
        <v>274</v>
      </c>
      <c r="AI104" s="7">
        <f t="shared" si="82"/>
        <v>38502.988333333335</v>
      </c>
      <c r="AJ104" s="7">
        <f t="shared" si="81"/>
        <v>38502.988333333335</v>
      </c>
      <c r="AK104" s="7">
        <f t="shared" si="81"/>
        <v>38502.988333333335</v>
      </c>
      <c r="AL104" s="7">
        <f t="shared" si="81"/>
        <v>38502.988333333335</v>
      </c>
      <c r="AM104" s="7">
        <f t="shared" si="81"/>
        <v>38502.988333333335</v>
      </c>
      <c r="AN104" s="7">
        <f t="shared" si="81"/>
        <v>38502.988333333335</v>
      </c>
      <c r="AO104" s="16"/>
      <c r="AP104" s="7"/>
      <c r="AQ104" s="9">
        <v>5</v>
      </c>
      <c r="AR104" s="9">
        <f t="shared" si="72"/>
        <v>248</v>
      </c>
      <c r="AS104" s="7">
        <f t="shared" si="73"/>
        <v>126</v>
      </c>
      <c r="AT104" s="7"/>
      <c r="AU104" s="16"/>
      <c r="AV104" s="7"/>
      <c r="AW104" s="7"/>
      <c r="AX104" s="7"/>
      <c r="AZ104" s="7"/>
      <c r="BA104" s="9">
        <f t="shared" si="79"/>
        <v>31675.899999999998</v>
      </c>
      <c r="BC104" s="5">
        <f t="shared" si="74"/>
        <v>248</v>
      </c>
      <c r="BP104" s="7"/>
      <c r="BQ104" s="18"/>
      <c r="BR104" s="18">
        <v>4500055</v>
      </c>
      <c r="BS104" s="18">
        <f>[1]monsters!$N104</f>
        <v>122.88</v>
      </c>
      <c r="BT104" s="18">
        <f>[1]monsters!$O104</f>
        <v>12.29</v>
      </c>
      <c r="BU104" s="18">
        <f>[1]monsters!$P104</f>
        <v>1920</v>
      </c>
      <c r="BV104" s="18">
        <f>[1]monsters!$Q104</f>
        <v>192</v>
      </c>
      <c r="BW104" s="18">
        <f>[1]monsters!$R104</f>
        <v>40.96</v>
      </c>
      <c r="BX104" s="18">
        <f>[1]monsters!$S104</f>
        <v>4.0999999999999996</v>
      </c>
      <c r="BY104" s="18">
        <f>[1]monsters!$K104</f>
        <v>1.8</v>
      </c>
      <c r="BZ104" s="5">
        <f>[1]monsters!$D104</f>
        <v>2</v>
      </c>
      <c r="CA104" s="5">
        <f t="shared" si="75"/>
        <v>0.1</v>
      </c>
      <c r="CB104" s="5">
        <f t="shared" si="76"/>
        <v>180.76806464646464</v>
      </c>
      <c r="CC104" s="5">
        <f t="shared" si="77"/>
        <v>18.076806464646463</v>
      </c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>
        <v>0</v>
      </c>
      <c r="CR104" s="3" t="b">
        <f t="shared" si="48"/>
        <v>1</v>
      </c>
      <c r="CS104" s="3" t="b">
        <f t="shared" si="49"/>
        <v>1</v>
      </c>
      <c r="CT104" s="3" t="b">
        <f t="shared" si="50"/>
        <v>1</v>
      </c>
      <c r="CU104" s="3" t="b">
        <f t="shared" si="51"/>
        <v>1</v>
      </c>
      <c r="CV104" s="3" t="b">
        <f t="shared" si="52"/>
        <v>1</v>
      </c>
      <c r="CW104" s="3" t="b">
        <f t="shared" si="53"/>
        <v>1</v>
      </c>
      <c r="CX104" s="9" t="str">
        <f t="shared" si="54"/>
        <v>3202051</v>
      </c>
      <c r="CY104" s="9" t="str">
        <f t="shared" si="55"/>
        <v>3201052</v>
      </c>
      <c r="CZ104" s="9" t="str">
        <f t="shared" si="56"/>
        <v>3301051</v>
      </c>
      <c r="DA104" s="9" t="str">
        <f t="shared" si="57"/>
        <v>3400052</v>
      </c>
      <c r="DB104" s="9" t="str">
        <f t="shared" si="58"/>
        <v>3500052</v>
      </c>
      <c r="DC104" s="9" t="str">
        <f t="shared" si="59"/>
        <v>3400052</v>
      </c>
      <c r="DD104" s="9">
        <v>5</v>
      </c>
      <c r="DE104" s="9">
        <v>5</v>
      </c>
      <c r="DF104" s="9">
        <v>5</v>
      </c>
      <c r="DG104" s="9">
        <v>5</v>
      </c>
      <c r="DH104" s="9">
        <v>5</v>
      </c>
      <c r="DI104" s="9">
        <v>5</v>
      </c>
      <c r="DJ104" s="9">
        <v>3</v>
      </c>
      <c r="DK104" s="9">
        <v>3</v>
      </c>
      <c r="DL104" s="9">
        <v>3</v>
      </c>
      <c r="DM104" s="9">
        <v>3</v>
      </c>
      <c r="DN104" s="9">
        <v>3</v>
      </c>
      <c r="DO104" s="9">
        <v>3</v>
      </c>
      <c r="DP104" s="25" t="s">
        <v>111</v>
      </c>
      <c r="DQ104" s="25" t="s">
        <v>114</v>
      </c>
      <c r="DR104" s="25" t="s">
        <v>107</v>
      </c>
      <c r="DS104" s="25" t="s">
        <v>110</v>
      </c>
      <c r="DT104" s="25" t="s">
        <v>109</v>
      </c>
      <c r="DU104" s="25" t="s">
        <v>110</v>
      </c>
      <c r="DV104" s="25">
        <f t="shared" si="60"/>
        <v>1</v>
      </c>
      <c r="DW104" s="25">
        <f t="shared" si="61"/>
        <v>1</v>
      </c>
      <c r="DX104" s="25">
        <f t="shared" si="62"/>
        <v>1</v>
      </c>
      <c r="DY104" s="25">
        <f t="shared" si="63"/>
        <v>2</v>
      </c>
      <c r="DZ104" s="25">
        <f t="shared" si="64"/>
        <v>2</v>
      </c>
      <c r="EA104" s="3">
        <f t="shared" si="65"/>
        <v>2</v>
      </c>
      <c r="EB104" s="33"/>
      <c r="EC104" s="5">
        <v>5201052</v>
      </c>
      <c r="ED104" s="34" t="s">
        <v>114</v>
      </c>
      <c r="EE104" s="8">
        <v>1</v>
      </c>
    </row>
    <row r="105" spans="1:135" ht="13.5" customHeight="1">
      <c r="A105" s="9">
        <v>102</v>
      </c>
      <c r="B105" s="9">
        <v>1</v>
      </c>
      <c r="C105" s="9">
        <v>2001</v>
      </c>
      <c r="D105" s="9">
        <f t="shared" si="78"/>
        <v>283564</v>
      </c>
      <c r="E105" s="9" t="str">
        <f t="shared" si="44"/>
        <v>3200053,3202051,3301051,3401051,3300052,3300052</v>
      </c>
      <c r="F105" s="9" t="str">
        <f t="shared" si="45"/>
        <v>5,5,5,5,5,5</v>
      </c>
      <c r="G105" s="9" t="str">
        <f t="shared" si="46"/>
        <v>270,276,276,276,276,276</v>
      </c>
      <c r="H105" s="9">
        <v>87</v>
      </c>
      <c r="I105" s="9" t="s">
        <v>278</v>
      </c>
      <c r="J105" s="9" t="s">
        <v>279</v>
      </c>
      <c r="K105" s="9" t="s">
        <v>279</v>
      </c>
      <c r="L105" s="9" t="s">
        <v>279</v>
      </c>
      <c r="M105" s="9" t="s">
        <v>286</v>
      </c>
      <c r="O105" s="3">
        <f t="shared" si="83"/>
        <v>283564</v>
      </c>
      <c r="P105" s="9">
        <v>234350.27</v>
      </c>
      <c r="Q105" s="9">
        <v>3200053</v>
      </c>
      <c r="R105" s="9">
        <v>3202051</v>
      </c>
      <c r="S105" s="9">
        <v>3301051</v>
      </c>
      <c r="T105" s="9">
        <v>3401051</v>
      </c>
      <c r="U105" s="9">
        <v>3300052</v>
      </c>
      <c r="V105" s="9">
        <v>3300052</v>
      </c>
      <c r="W105" s="9">
        <v>5</v>
      </c>
      <c r="X105" s="9">
        <v>5</v>
      </c>
      <c r="Y105" s="9">
        <v>5</v>
      </c>
      <c r="Z105" s="9">
        <v>5</v>
      </c>
      <c r="AA105" s="9">
        <v>5</v>
      </c>
      <c r="AB105" s="9">
        <v>5</v>
      </c>
      <c r="AC105" s="9">
        <f t="shared" si="66"/>
        <v>270</v>
      </c>
      <c r="AD105" s="9">
        <f t="shared" si="67"/>
        <v>276</v>
      </c>
      <c r="AE105" s="9">
        <f t="shared" si="68"/>
        <v>276</v>
      </c>
      <c r="AF105" s="9">
        <f t="shared" si="69"/>
        <v>276</v>
      </c>
      <c r="AG105" s="9">
        <f t="shared" si="70"/>
        <v>276</v>
      </c>
      <c r="AH105" s="9">
        <f t="shared" si="71"/>
        <v>276</v>
      </c>
      <c r="AI105" s="7">
        <f t="shared" si="82"/>
        <v>39058.378333333334</v>
      </c>
      <c r="AJ105" s="7">
        <f t="shared" si="81"/>
        <v>39058.378333333334</v>
      </c>
      <c r="AK105" s="7">
        <f t="shared" si="81"/>
        <v>39058.378333333334</v>
      </c>
      <c r="AL105" s="7">
        <f t="shared" si="81"/>
        <v>39058.378333333334</v>
      </c>
      <c r="AM105" s="7">
        <f t="shared" si="81"/>
        <v>39058.378333333334</v>
      </c>
      <c r="AN105" s="7">
        <f t="shared" si="81"/>
        <v>39058.378333333334</v>
      </c>
      <c r="AO105" s="16"/>
      <c r="AP105" s="7"/>
      <c r="AQ105" s="9">
        <v>5</v>
      </c>
      <c r="AR105" s="9">
        <f t="shared" si="72"/>
        <v>249</v>
      </c>
      <c r="AS105" s="7">
        <f t="shared" si="73"/>
        <v>127</v>
      </c>
      <c r="AT105" s="7"/>
      <c r="AU105" s="16"/>
      <c r="AV105" s="7"/>
      <c r="AW105" s="7"/>
      <c r="AX105" s="7"/>
      <c r="AZ105" s="7"/>
      <c r="BA105" s="9">
        <f t="shared" si="79"/>
        <v>32198.657142857141</v>
      </c>
      <c r="BC105" s="5">
        <f t="shared" si="74"/>
        <v>249</v>
      </c>
      <c r="BP105" s="18"/>
      <c r="BQ105" s="18"/>
      <c r="BR105" s="18">
        <v>4602055</v>
      </c>
      <c r="BS105" s="18">
        <f>[1]monsters!$N105</f>
        <v>138.24</v>
      </c>
      <c r="BT105" s="18">
        <f>[1]monsters!$O105</f>
        <v>13.82</v>
      </c>
      <c r="BU105" s="18">
        <f>[1]monsters!$P105</f>
        <v>1706.67</v>
      </c>
      <c r="BV105" s="18">
        <f>[1]monsters!$Q105</f>
        <v>170.67</v>
      </c>
      <c r="BW105" s="18">
        <f>[1]monsters!$R105</f>
        <v>27.65</v>
      </c>
      <c r="BX105" s="18">
        <f>[1]monsters!$S105</f>
        <v>2.76</v>
      </c>
      <c r="BY105" s="18">
        <f>[1]monsters!$K105</f>
        <v>1.8</v>
      </c>
      <c r="BZ105" s="5">
        <f>[1]monsters!$D105</f>
        <v>2</v>
      </c>
      <c r="CA105" s="5">
        <f t="shared" si="75"/>
        <v>0.1</v>
      </c>
      <c r="CB105" s="5">
        <f t="shared" si="76"/>
        <v>188.10043636363639</v>
      </c>
      <c r="CC105" s="5">
        <f t="shared" si="77"/>
        <v>18.810043636363641</v>
      </c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>
        <v>0</v>
      </c>
      <c r="CR105" s="3" t="b">
        <f t="shared" si="48"/>
        <v>1</v>
      </c>
      <c r="CS105" s="3" t="b">
        <f t="shared" si="49"/>
        <v>1</v>
      </c>
      <c r="CT105" s="3" t="b">
        <f t="shared" si="50"/>
        <v>1</v>
      </c>
      <c r="CU105" s="3" t="b">
        <f t="shared" si="51"/>
        <v>1</v>
      </c>
      <c r="CV105" s="3" t="b">
        <f t="shared" si="52"/>
        <v>1</v>
      </c>
      <c r="CW105" s="3" t="b">
        <f t="shared" si="53"/>
        <v>1</v>
      </c>
      <c r="CX105" s="9" t="str">
        <f t="shared" si="54"/>
        <v>3200053</v>
      </c>
      <c r="CY105" s="9" t="str">
        <f t="shared" si="55"/>
        <v>3202051</v>
      </c>
      <c r="CZ105" s="9" t="str">
        <f t="shared" si="56"/>
        <v>3301051</v>
      </c>
      <c r="DA105" s="9" t="str">
        <f t="shared" si="57"/>
        <v>3401051</v>
      </c>
      <c r="DB105" s="9" t="str">
        <f t="shared" si="58"/>
        <v>3300052</v>
      </c>
      <c r="DC105" s="9" t="str">
        <f t="shared" si="59"/>
        <v>3300052</v>
      </c>
      <c r="DD105" s="9">
        <v>5</v>
      </c>
      <c r="DE105" s="9">
        <v>5</v>
      </c>
      <c r="DF105" s="9">
        <v>5</v>
      </c>
      <c r="DG105" s="9">
        <v>5</v>
      </c>
      <c r="DH105" s="9">
        <v>5</v>
      </c>
      <c r="DI105" s="9">
        <v>5</v>
      </c>
      <c r="DJ105" s="9">
        <v>3</v>
      </c>
      <c r="DK105" s="9">
        <v>3</v>
      </c>
      <c r="DL105" s="9">
        <v>3</v>
      </c>
      <c r="DM105" s="9">
        <v>3</v>
      </c>
      <c r="DN105" s="9">
        <v>3</v>
      </c>
      <c r="DO105" s="9">
        <v>3</v>
      </c>
      <c r="DP105" s="25" t="s">
        <v>113</v>
      </c>
      <c r="DQ105" s="25" t="s">
        <v>111</v>
      </c>
      <c r="DR105" s="25" t="s">
        <v>107</v>
      </c>
      <c r="DS105" s="25" t="s">
        <v>117</v>
      </c>
      <c r="DT105" s="25" t="s">
        <v>115</v>
      </c>
      <c r="DU105" s="25" t="s">
        <v>115</v>
      </c>
      <c r="DV105" s="25">
        <f t="shared" si="60"/>
        <v>1</v>
      </c>
      <c r="DW105" s="25">
        <f t="shared" si="61"/>
        <v>1</v>
      </c>
      <c r="DX105" s="25">
        <f t="shared" si="62"/>
        <v>1</v>
      </c>
      <c r="DY105" s="25">
        <f t="shared" si="63"/>
        <v>2</v>
      </c>
      <c r="DZ105" s="25">
        <f t="shared" si="64"/>
        <v>2</v>
      </c>
      <c r="EA105" s="3">
        <f t="shared" si="65"/>
        <v>2</v>
      </c>
      <c r="EB105" s="33"/>
      <c r="EC105" s="5">
        <v>5202052</v>
      </c>
      <c r="ED105" s="34" t="s">
        <v>200</v>
      </c>
      <c r="EE105" s="8">
        <v>1</v>
      </c>
    </row>
    <row r="106" spans="1:135" ht="13.5" customHeight="1">
      <c r="A106" s="9">
        <v>103</v>
      </c>
      <c r="B106" s="9">
        <v>1</v>
      </c>
      <c r="C106" s="9">
        <v>2001</v>
      </c>
      <c r="D106" s="9">
        <f t="shared" si="78"/>
        <v>287300</v>
      </c>
      <c r="E106" s="9" t="str">
        <f t="shared" si="44"/>
        <v>3201052,3200053,3301051,3501053,3500052,3501053</v>
      </c>
      <c r="F106" s="9" t="str">
        <f t="shared" si="45"/>
        <v>5,5,5,5,5,5</v>
      </c>
      <c r="G106" s="9" t="str">
        <f t="shared" si="46"/>
        <v>272,278,278,278,278,278</v>
      </c>
      <c r="H106" s="9">
        <v>87</v>
      </c>
      <c r="I106" s="9" t="s">
        <v>278</v>
      </c>
      <c r="J106" s="9" t="s">
        <v>279</v>
      </c>
      <c r="K106" s="9" t="s">
        <v>279</v>
      </c>
      <c r="L106" s="9" t="s">
        <v>279</v>
      </c>
      <c r="M106" s="9" t="s">
        <v>286</v>
      </c>
      <c r="O106" s="3">
        <f t="shared" si="83"/>
        <v>287300</v>
      </c>
      <c r="P106" s="9">
        <v>237437.64</v>
      </c>
      <c r="Q106" s="9">
        <v>3201052</v>
      </c>
      <c r="R106" s="9">
        <v>3200053</v>
      </c>
      <c r="S106" s="9">
        <v>3301051</v>
      </c>
      <c r="T106" s="9">
        <v>3501053</v>
      </c>
      <c r="U106" s="9">
        <v>3500052</v>
      </c>
      <c r="V106" s="9">
        <v>3501053</v>
      </c>
      <c r="W106" s="9">
        <v>5</v>
      </c>
      <c r="X106" s="9">
        <v>5</v>
      </c>
      <c r="Y106" s="9">
        <v>5</v>
      </c>
      <c r="Z106" s="9">
        <v>5</v>
      </c>
      <c r="AA106" s="9">
        <v>5</v>
      </c>
      <c r="AB106" s="9">
        <v>5</v>
      </c>
      <c r="AC106" s="9">
        <f t="shared" si="66"/>
        <v>272</v>
      </c>
      <c r="AD106" s="9">
        <f t="shared" si="67"/>
        <v>278</v>
      </c>
      <c r="AE106" s="9">
        <f t="shared" si="68"/>
        <v>278</v>
      </c>
      <c r="AF106" s="9">
        <f t="shared" si="69"/>
        <v>278</v>
      </c>
      <c r="AG106" s="9">
        <f t="shared" si="70"/>
        <v>278</v>
      </c>
      <c r="AH106" s="9">
        <f t="shared" si="71"/>
        <v>278</v>
      </c>
      <c r="AI106" s="7">
        <f t="shared" si="82"/>
        <v>39572.94</v>
      </c>
      <c r="AJ106" s="7">
        <f t="shared" si="81"/>
        <v>39572.94</v>
      </c>
      <c r="AK106" s="7">
        <f t="shared" si="81"/>
        <v>39572.94</v>
      </c>
      <c r="AL106" s="7">
        <f t="shared" si="81"/>
        <v>39572.94</v>
      </c>
      <c r="AM106" s="7">
        <f t="shared" si="81"/>
        <v>39572.94</v>
      </c>
      <c r="AN106" s="7">
        <f t="shared" si="81"/>
        <v>39572.94</v>
      </c>
      <c r="AO106" s="16"/>
      <c r="AP106" s="7"/>
      <c r="AQ106" s="9">
        <v>5</v>
      </c>
      <c r="AR106" s="9">
        <f t="shared" si="72"/>
        <v>251</v>
      </c>
      <c r="AS106" s="7">
        <f t="shared" si="73"/>
        <v>128</v>
      </c>
      <c r="AT106" s="7"/>
      <c r="AU106" s="16"/>
      <c r="AV106" s="7"/>
      <c r="AW106" s="7"/>
      <c r="AX106" s="7"/>
      <c r="AZ106" s="7"/>
      <c r="BA106" s="9">
        <f t="shared" si="79"/>
        <v>32721.414285714283</v>
      </c>
      <c r="BC106" s="5">
        <f t="shared" si="74"/>
        <v>251</v>
      </c>
      <c r="BP106" s="18"/>
      <c r="BQ106" s="18"/>
      <c r="BR106" s="18">
        <v>4301055</v>
      </c>
      <c r="BS106" s="18">
        <f>[1]monsters!$N106</f>
        <v>92.16</v>
      </c>
      <c r="BT106" s="18">
        <f>[1]monsters!$O106</f>
        <v>9.2200000000000006</v>
      </c>
      <c r="BU106" s="18">
        <f>[1]monsters!$P106</f>
        <v>1706.67</v>
      </c>
      <c r="BV106" s="18">
        <f>[1]monsters!$Q106</f>
        <v>170.67</v>
      </c>
      <c r="BW106" s="18">
        <f>[1]monsters!$R106</f>
        <v>18.43</v>
      </c>
      <c r="BX106" s="18">
        <f>[1]monsters!$S106</f>
        <v>1.84</v>
      </c>
      <c r="BY106" s="18">
        <f>[1]monsters!$K106</f>
        <v>1.2</v>
      </c>
      <c r="BZ106" s="5">
        <f>[1]monsters!$D106</f>
        <v>3</v>
      </c>
      <c r="CA106" s="5">
        <f t="shared" si="75"/>
        <v>0.1</v>
      </c>
      <c r="CB106" s="5">
        <f t="shared" si="76"/>
        <v>144.55483636363635</v>
      </c>
      <c r="CC106" s="5">
        <f t="shared" si="77"/>
        <v>14.455483636363637</v>
      </c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>
        <v>0</v>
      </c>
      <c r="CR106" s="3" t="b">
        <f t="shared" si="48"/>
        <v>1</v>
      </c>
      <c r="CS106" s="3" t="b">
        <f t="shared" si="49"/>
        <v>1</v>
      </c>
      <c r="CT106" s="3" t="b">
        <f t="shared" si="50"/>
        <v>1</v>
      </c>
      <c r="CU106" s="3" t="b">
        <f t="shared" si="51"/>
        <v>1</v>
      </c>
      <c r="CV106" s="3" t="b">
        <f t="shared" si="52"/>
        <v>1</v>
      </c>
      <c r="CW106" s="3" t="b">
        <f t="shared" si="53"/>
        <v>1</v>
      </c>
      <c r="CX106" s="9" t="str">
        <f t="shared" si="54"/>
        <v>3201052</v>
      </c>
      <c r="CY106" s="9" t="str">
        <f t="shared" si="55"/>
        <v>3200053</v>
      </c>
      <c r="CZ106" s="9" t="str">
        <f t="shared" si="56"/>
        <v>3301051</v>
      </c>
      <c r="DA106" s="9" t="str">
        <f t="shared" si="57"/>
        <v>3501053</v>
      </c>
      <c r="DB106" s="9" t="str">
        <f t="shared" si="58"/>
        <v>3500052</v>
      </c>
      <c r="DC106" s="9" t="str">
        <f t="shared" si="59"/>
        <v>3501053</v>
      </c>
      <c r="DD106" s="9">
        <v>5</v>
      </c>
      <c r="DE106" s="9">
        <v>5</v>
      </c>
      <c r="DF106" s="9">
        <v>5</v>
      </c>
      <c r="DG106" s="9">
        <v>5</v>
      </c>
      <c r="DH106" s="9">
        <v>5</v>
      </c>
      <c r="DI106" s="9">
        <v>5</v>
      </c>
      <c r="DJ106" s="9">
        <v>3</v>
      </c>
      <c r="DK106" s="9">
        <v>3</v>
      </c>
      <c r="DL106" s="9">
        <v>3</v>
      </c>
      <c r="DM106" s="9">
        <v>3</v>
      </c>
      <c r="DN106" s="9">
        <v>3</v>
      </c>
      <c r="DO106" s="9">
        <v>3</v>
      </c>
      <c r="DP106" s="25" t="s">
        <v>114</v>
      </c>
      <c r="DQ106" s="25" t="s">
        <v>113</v>
      </c>
      <c r="DR106" s="25" t="s">
        <v>107</v>
      </c>
      <c r="DS106" s="25" t="s">
        <v>121</v>
      </c>
      <c r="DT106" s="25" t="s">
        <v>109</v>
      </c>
      <c r="DU106" s="25" t="s">
        <v>121</v>
      </c>
      <c r="DV106" s="25">
        <f t="shared" si="60"/>
        <v>1</v>
      </c>
      <c r="DW106" s="25">
        <f t="shared" si="61"/>
        <v>1</v>
      </c>
      <c r="DX106" s="25">
        <f t="shared" si="62"/>
        <v>1</v>
      </c>
      <c r="DY106" s="25">
        <f t="shared" si="63"/>
        <v>2</v>
      </c>
      <c r="DZ106" s="25">
        <f t="shared" si="64"/>
        <v>2</v>
      </c>
      <c r="EA106" s="3">
        <f t="shared" si="65"/>
        <v>2</v>
      </c>
      <c r="EB106" s="33"/>
      <c r="EC106" s="5">
        <v>5301052</v>
      </c>
      <c r="ED106" s="34" t="s">
        <v>201</v>
      </c>
      <c r="EE106" s="8">
        <v>1</v>
      </c>
    </row>
    <row r="107" spans="1:135" ht="13.5" customHeight="1">
      <c r="A107" s="9">
        <v>104</v>
      </c>
      <c r="B107" s="9">
        <v>1</v>
      </c>
      <c r="C107" s="9">
        <v>2001</v>
      </c>
      <c r="D107" s="9">
        <f t="shared" si="78"/>
        <v>291062</v>
      </c>
      <c r="E107" s="9" t="str">
        <f t="shared" si="44"/>
        <v>3200053,3301051,3201052,3401051,3401051,3402053</v>
      </c>
      <c r="F107" s="9" t="str">
        <f t="shared" si="45"/>
        <v>5,5,5,5,5,5</v>
      </c>
      <c r="G107" s="9" t="str">
        <f t="shared" si="46"/>
        <v>274,280,280,280,280,280</v>
      </c>
      <c r="H107" s="9">
        <v>87</v>
      </c>
      <c r="I107" s="9" t="s">
        <v>278</v>
      </c>
      <c r="J107" s="9" t="s">
        <v>279</v>
      </c>
      <c r="K107" s="9" t="s">
        <v>279</v>
      </c>
      <c r="L107" s="9" t="s">
        <v>279</v>
      </c>
      <c r="M107" s="9" t="s">
        <v>286</v>
      </c>
      <c r="O107" s="3">
        <f t="shared" si="83"/>
        <v>291062</v>
      </c>
      <c r="P107" s="9">
        <v>240547.45</v>
      </c>
      <c r="Q107" s="9">
        <v>3200053</v>
      </c>
      <c r="R107" s="9">
        <v>3301051</v>
      </c>
      <c r="S107" s="9">
        <v>3201052</v>
      </c>
      <c r="T107" s="9">
        <v>3401051</v>
      </c>
      <c r="U107" s="9">
        <v>3401051</v>
      </c>
      <c r="V107" s="9">
        <v>3402053</v>
      </c>
      <c r="W107" s="9">
        <v>5</v>
      </c>
      <c r="X107" s="9">
        <v>5</v>
      </c>
      <c r="Y107" s="9">
        <v>5</v>
      </c>
      <c r="Z107" s="9">
        <v>5</v>
      </c>
      <c r="AA107" s="9">
        <v>5</v>
      </c>
      <c r="AB107" s="9">
        <v>5</v>
      </c>
      <c r="AC107" s="9">
        <f t="shared" si="66"/>
        <v>274</v>
      </c>
      <c r="AD107" s="9">
        <f t="shared" si="67"/>
        <v>280</v>
      </c>
      <c r="AE107" s="9">
        <f t="shared" si="68"/>
        <v>280</v>
      </c>
      <c r="AF107" s="9">
        <f t="shared" si="69"/>
        <v>280</v>
      </c>
      <c r="AG107" s="9">
        <f t="shared" si="70"/>
        <v>280</v>
      </c>
      <c r="AH107" s="9">
        <f t="shared" si="71"/>
        <v>280</v>
      </c>
      <c r="AI107" s="7">
        <f t="shared" si="82"/>
        <v>40091.241666666669</v>
      </c>
      <c r="AJ107" s="7">
        <f t="shared" si="81"/>
        <v>40091.241666666669</v>
      </c>
      <c r="AK107" s="7">
        <f t="shared" si="81"/>
        <v>40091.241666666669</v>
      </c>
      <c r="AL107" s="7">
        <f t="shared" si="81"/>
        <v>40091.241666666669</v>
      </c>
      <c r="AM107" s="7">
        <f t="shared" si="81"/>
        <v>40091.241666666669</v>
      </c>
      <c r="AN107" s="7">
        <f t="shared" si="81"/>
        <v>40091.241666666669</v>
      </c>
      <c r="AO107" s="16"/>
      <c r="AP107" s="7"/>
      <c r="AQ107" s="9">
        <v>5</v>
      </c>
      <c r="AR107" s="9">
        <f t="shared" si="72"/>
        <v>253</v>
      </c>
      <c r="AS107" s="7">
        <f t="shared" si="73"/>
        <v>129</v>
      </c>
      <c r="AT107" s="7"/>
      <c r="AU107" s="16"/>
      <c r="AV107" s="7"/>
      <c r="AW107" s="7"/>
      <c r="AX107" s="7"/>
      <c r="AZ107" s="7"/>
      <c r="BA107" s="9">
        <f t="shared" si="79"/>
        <v>33244.171428571426</v>
      </c>
      <c r="BC107" s="5">
        <f t="shared" si="74"/>
        <v>253</v>
      </c>
      <c r="BP107" s="18"/>
      <c r="BQ107" s="18"/>
      <c r="BR107" s="18">
        <v>4502055</v>
      </c>
      <c r="BS107" s="18">
        <f>[1]monsters!$N107</f>
        <v>163.84</v>
      </c>
      <c r="BT107" s="18">
        <f>[1]monsters!$O107</f>
        <v>16.38</v>
      </c>
      <c r="BU107" s="18">
        <f>[1]monsters!$P107</f>
        <v>1280</v>
      </c>
      <c r="BV107" s="18">
        <f>[1]monsters!$Q107</f>
        <v>128</v>
      </c>
      <c r="BW107" s="18">
        <f>[1]monsters!$R107</f>
        <v>23.41</v>
      </c>
      <c r="BX107" s="18">
        <f>[1]monsters!$S107</f>
        <v>2.34</v>
      </c>
      <c r="BY107" s="18">
        <f>[1]monsters!$K107</f>
        <v>1.6</v>
      </c>
      <c r="BZ107" s="5">
        <f>[1]monsters!$D107</f>
        <v>4</v>
      </c>
      <c r="CA107" s="5">
        <f t="shared" si="75"/>
        <v>0.1</v>
      </c>
      <c r="CB107" s="5">
        <f t="shared" si="76"/>
        <v>197.9264430976431</v>
      </c>
      <c r="CC107" s="5">
        <f t="shared" si="77"/>
        <v>19.792644309764313</v>
      </c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>
        <v>0</v>
      </c>
      <c r="CR107" s="3" t="b">
        <f t="shared" si="48"/>
        <v>1</v>
      </c>
      <c r="CS107" s="3" t="b">
        <f t="shared" si="49"/>
        <v>1</v>
      </c>
      <c r="CT107" s="3" t="b">
        <f t="shared" si="50"/>
        <v>1</v>
      </c>
      <c r="CU107" s="3" t="b">
        <f t="shared" si="51"/>
        <v>1</v>
      </c>
      <c r="CV107" s="3" t="b">
        <f t="shared" si="52"/>
        <v>1</v>
      </c>
      <c r="CW107" s="3" t="b">
        <f t="shared" si="53"/>
        <v>1</v>
      </c>
      <c r="CX107" s="9" t="str">
        <f t="shared" si="54"/>
        <v>3200053</v>
      </c>
      <c r="CY107" s="9" t="str">
        <f t="shared" si="55"/>
        <v>3301051</v>
      </c>
      <c r="CZ107" s="9" t="str">
        <f t="shared" si="56"/>
        <v>3201052</v>
      </c>
      <c r="DA107" s="9" t="str">
        <f t="shared" si="57"/>
        <v>3401051</v>
      </c>
      <c r="DB107" s="9" t="str">
        <f t="shared" si="58"/>
        <v>3401051</v>
      </c>
      <c r="DC107" s="9" t="str">
        <f t="shared" si="59"/>
        <v>3402053</v>
      </c>
      <c r="DD107" s="9">
        <v>5</v>
      </c>
      <c r="DE107" s="9">
        <v>5</v>
      </c>
      <c r="DF107" s="9">
        <v>5</v>
      </c>
      <c r="DG107" s="9">
        <v>5</v>
      </c>
      <c r="DH107" s="9">
        <v>5</v>
      </c>
      <c r="DI107" s="9">
        <v>5</v>
      </c>
      <c r="DJ107" s="9">
        <v>3</v>
      </c>
      <c r="DK107" s="9">
        <v>3</v>
      </c>
      <c r="DL107" s="9">
        <v>3</v>
      </c>
      <c r="DM107" s="9">
        <v>3</v>
      </c>
      <c r="DN107" s="9">
        <v>3</v>
      </c>
      <c r="DO107" s="9">
        <v>3</v>
      </c>
      <c r="DP107" s="25" t="s">
        <v>113</v>
      </c>
      <c r="DQ107" s="25" t="s">
        <v>107</v>
      </c>
      <c r="DR107" s="27" t="s">
        <v>114</v>
      </c>
      <c r="DS107" s="25" t="s">
        <v>117</v>
      </c>
      <c r="DT107" s="25" t="s">
        <v>117</v>
      </c>
      <c r="DU107" s="25" t="s">
        <v>118</v>
      </c>
      <c r="DV107" s="25">
        <f t="shared" si="60"/>
        <v>1</v>
      </c>
      <c r="DW107" s="25">
        <f t="shared" si="61"/>
        <v>1</v>
      </c>
      <c r="DX107" s="25">
        <f t="shared" si="62"/>
        <v>1</v>
      </c>
      <c r="DY107" s="25">
        <f t="shared" si="63"/>
        <v>2</v>
      </c>
      <c r="DZ107" s="25">
        <f t="shared" si="64"/>
        <v>2</v>
      </c>
      <c r="EA107" s="3">
        <f t="shared" si="65"/>
        <v>2</v>
      </c>
      <c r="EB107" s="33"/>
      <c r="EC107" s="5">
        <v>5401052</v>
      </c>
      <c r="ED107" s="34" t="s">
        <v>202</v>
      </c>
      <c r="EE107" s="8">
        <v>2</v>
      </c>
    </row>
    <row r="108" spans="1:135" ht="13.5" customHeight="1">
      <c r="A108" s="9">
        <v>105</v>
      </c>
      <c r="B108" s="9">
        <v>1</v>
      </c>
      <c r="C108" s="9">
        <v>2001</v>
      </c>
      <c r="D108" s="9">
        <f t="shared" si="78"/>
        <v>294848</v>
      </c>
      <c r="E108" s="9" t="str">
        <f t="shared" si="44"/>
        <v>3201052,3301051,3202051,3402053,3401051,3502051</v>
      </c>
      <c r="F108" s="9" t="str">
        <f t="shared" si="45"/>
        <v>5,5,5,5,5,5</v>
      </c>
      <c r="G108" s="9" t="str">
        <f t="shared" si="46"/>
        <v>276,282,282,282,282,282</v>
      </c>
      <c r="H108" s="9">
        <v>88</v>
      </c>
      <c r="I108" s="9" t="s">
        <v>278</v>
      </c>
      <c r="J108" s="9" t="s">
        <v>279</v>
      </c>
      <c r="K108" s="9" t="s">
        <v>279</v>
      </c>
      <c r="L108" s="9" t="s">
        <v>279</v>
      </c>
      <c r="M108" s="9" t="s">
        <v>286</v>
      </c>
      <c r="O108" s="3">
        <f t="shared" si="83"/>
        <v>294848</v>
      </c>
      <c r="P108" s="9">
        <v>243675.96</v>
      </c>
      <c r="Q108" s="9">
        <v>3201052</v>
      </c>
      <c r="R108" s="9">
        <v>3301051</v>
      </c>
      <c r="S108" s="9">
        <v>3202051</v>
      </c>
      <c r="T108" s="9">
        <v>3402053</v>
      </c>
      <c r="U108" s="9">
        <v>3401051</v>
      </c>
      <c r="V108" s="9">
        <v>3502051</v>
      </c>
      <c r="W108" s="9">
        <v>5</v>
      </c>
      <c r="X108" s="9">
        <v>5</v>
      </c>
      <c r="Y108" s="9">
        <v>5</v>
      </c>
      <c r="Z108" s="9">
        <v>5</v>
      </c>
      <c r="AA108" s="9">
        <v>5</v>
      </c>
      <c r="AB108" s="9">
        <v>5</v>
      </c>
      <c r="AC108" s="9">
        <f t="shared" si="66"/>
        <v>276</v>
      </c>
      <c r="AD108" s="9">
        <f t="shared" si="67"/>
        <v>282</v>
      </c>
      <c r="AE108" s="9">
        <f t="shared" si="68"/>
        <v>282</v>
      </c>
      <c r="AF108" s="9">
        <f t="shared" si="69"/>
        <v>282</v>
      </c>
      <c r="AG108" s="9">
        <f t="shared" si="70"/>
        <v>282</v>
      </c>
      <c r="AH108" s="9">
        <f t="shared" si="71"/>
        <v>282</v>
      </c>
      <c r="AI108" s="7">
        <f t="shared" si="82"/>
        <v>40612.659999999996</v>
      </c>
      <c r="AJ108" s="7">
        <f t="shared" si="81"/>
        <v>40612.659999999996</v>
      </c>
      <c r="AK108" s="7">
        <f t="shared" si="81"/>
        <v>40612.659999999996</v>
      </c>
      <c r="AL108" s="7">
        <f t="shared" si="81"/>
        <v>40612.659999999996</v>
      </c>
      <c r="AM108" s="7">
        <f t="shared" si="81"/>
        <v>40612.659999999996</v>
      </c>
      <c r="AN108" s="7">
        <f t="shared" si="81"/>
        <v>40612.659999999996</v>
      </c>
      <c r="AO108" s="16"/>
      <c r="AP108" s="7"/>
      <c r="AQ108" s="9">
        <v>5</v>
      </c>
      <c r="AR108" s="9">
        <f t="shared" si="72"/>
        <v>255</v>
      </c>
      <c r="AS108" s="7">
        <f t="shared" si="73"/>
        <v>130</v>
      </c>
      <c r="AT108" s="7"/>
      <c r="AU108" s="16"/>
      <c r="AV108" s="7"/>
      <c r="AW108" s="7"/>
      <c r="AX108" s="7"/>
      <c r="AZ108" s="7"/>
      <c r="BA108" s="9">
        <f t="shared" si="79"/>
        <v>33766.928571428572</v>
      </c>
      <c r="BC108" s="5">
        <f t="shared" si="74"/>
        <v>255</v>
      </c>
      <c r="BP108" s="18"/>
      <c r="BQ108" s="18"/>
      <c r="BR108" s="18">
        <v>4201055</v>
      </c>
      <c r="BS108" s="18">
        <f>[1]monsters!$N108</f>
        <v>153.6</v>
      </c>
      <c r="BT108" s="18">
        <f>[1]monsters!$O108</f>
        <v>15.36</v>
      </c>
      <c r="BU108" s="18">
        <f>[1]monsters!$P108</f>
        <v>1280</v>
      </c>
      <c r="BV108" s="18">
        <f>[1]monsters!$Q108</f>
        <v>128</v>
      </c>
      <c r="BW108" s="18">
        <f>[1]monsters!$R108</f>
        <v>21.94</v>
      </c>
      <c r="BX108" s="18">
        <f>[1]monsters!$S108</f>
        <v>2.19</v>
      </c>
      <c r="BY108" s="18">
        <f>[1]monsters!$K108</f>
        <v>1.5</v>
      </c>
      <c r="BZ108" s="5">
        <f>[1]monsters!$D108</f>
        <v>4</v>
      </c>
      <c r="CA108" s="5">
        <f t="shared" si="75"/>
        <v>0.1</v>
      </c>
      <c r="CB108" s="5">
        <f t="shared" si="76"/>
        <v>188.24964309764312</v>
      </c>
      <c r="CC108" s="5">
        <f t="shared" si="77"/>
        <v>18.824964309764312</v>
      </c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>
        <v>1</v>
      </c>
      <c r="CR108" s="3" t="b">
        <f t="shared" si="48"/>
        <v>1</v>
      </c>
      <c r="CS108" s="3" t="b">
        <f t="shared" si="49"/>
        <v>1</v>
      </c>
      <c r="CT108" s="3" t="b">
        <f t="shared" si="50"/>
        <v>1</v>
      </c>
      <c r="CU108" s="3" t="b">
        <f t="shared" si="51"/>
        <v>1</v>
      </c>
      <c r="CV108" s="3" t="b">
        <f t="shared" si="52"/>
        <v>1</v>
      </c>
      <c r="CW108" s="3" t="b">
        <f t="shared" si="53"/>
        <v>1</v>
      </c>
      <c r="CX108" s="9" t="str">
        <f t="shared" si="54"/>
        <v>3201052</v>
      </c>
      <c r="CY108" s="9" t="str">
        <f t="shared" si="55"/>
        <v>3301051</v>
      </c>
      <c r="CZ108" s="9" t="str">
        <f t="shared" si="56"/>
        <v>3202051</v>
      </c>
      <c r="DA108" s="9" t="str">
        <f t="shared" si="57"/>
        <v>3402053</v>
      </c>
      <c r="DB108" s="9" t="str">
        <f t="shared" si="58"/>
        <v>3401051</v>
      </c>
      <c r="DC108" s="9" t="str">
        <f t="shared" si="59"/>
        <v>3502051</v>
      </c>
      <c r="DD108" s="9">
        <v>5</v>
      </c>
      <c r="DE108" s="9">
        <v>5</v>
      </c>
      <c r="DF108" s="9">
        <v>5</v>
      </c>
      <c r="DG108" s="9">
        <v>5</v>
      </c>
      <c r="DH108" s="9">
        <v>5</v>
      </c>
      <c r="DI108" s="9">
        <v>5</v>
      </c>
      <c r="DJ108" s="9">
        <v>3</v>
      </c>
      <c r="DK108" s="9">
        <v>3</v>
      </c>
      <c r="DL108" s="9">
        <v>3</v>
      </c>
      <c r="DM108" s="9">
        <v>3</v>
      </c>
      <c r="DN108" s="9">
        <v>3</v>
      </c>
      <c r="DO108" s="9">
        <v>3</v>
      </c>
      <c r="DP108" s="25" t="s">
        <v>114</v>
      </c>
      <c r="DQ108" s="27" t="s">
        <v>107</v>
      </c>
      <c r="DR108" s="27" t="s">
        <v>111</v>
      </c>
      <c r="DS108" s="27" t="s">
        <v>118</v>
      </c>
      <c r="DT108" s="25" t="s">
        <v>117</v>
      </c>
      <c r="DU108" s="25" t="s">
        <v>119</v>
      </c>
      <c r="DV108" s="25">
        <f t="shared" si="60"/>
        <v>1</v>
      </c>
      <c r="DW108" s="25">
        <f t="shared" si="61"/>
        <v>1</v>
      </c>
      <c r="DX108" s="25">
        <f t="shared" si="62"/>
        <v>1</v>
      </c>
      <c r="DY108" s="25">
        <f t="shared" si="63"/>
        <v>2</v>
      </c>
      <c r="DZ108" s="25">
        <f t="shared" si="64"/>
        <v>2</v>
      </c>
      <c r="EA108" s="3">
        <f t="shared" si="65"/>
        <v>2</v>
      </c>
      <c r="EB108" s="33"/>
      <c r="EC108" s="5">
        <v>5402052</v>
      </c>
      <c r="ED108" s="34" t="s">
        <v>203</v>
      </c>
      <c r="EE108" s="8">
        <v>2</v>
      </c>
    </row>
    <row r="109" spans="1:135" ht="13.5" customHeight="1">
      <c r="A109" s="9">
        <v>106</v>
      </c>
      <c r="B109" s="9">
        <v>1</v>
      </c>
      <c r="C109" s="9">
        <v>2001</v>
      </c>
      <c r="D109" s="9">
        <f t="shared" si="78"/>
        <v>298989</v>
      </c>
      <c r="E109" s="9" t="str">
        <f t="shared" si="44"/>
        <v>3202051,3201052,3201052,3501053,3300052,3500052</v>
      </c>
      <c r="F109" s="9" t="str">
        <f t="shared" si="45"/>
        <v>5,5,5,5,5,5</v>
      </c>
      <c r="G109" s="9" t="str">
        <f t="shared" si="46"/>
        <v>278,284,284,284,284,284</v>
      </c>
      <c r="H109" s="9">
        <v>90</v>
      </c>
      <c r="I109" s="9" t="s">
        <v>278</v>
      </c>
      <c r="J109" s="9" t="s">
        <v>279</v>
      </c>
      <c r="K109" s="9" t="s">
        <v>279</v>
      </c>
      <c r="L109" s="9" t="s">
        <v>279</v>
      </c>
      <c r="M109" s="9" t="s">
        <v>287</v>
      </c>
      <c r="O109" s="3">
        <f t="shared" si="83"/>
        <v>298989</v>
      </c>
      <c r="P109" s="9">
        <v>247098.06</v>
      </c>
      <c r="Q109" s="9">
        <v>3202051</v>
      </c>
      <c r="R109" s="9">
        <v>3201052</v>
      </c>
      <c r="S109" s="9">
        <v>3201052</v>
      </c>
      <c r="T109" s="9">
        <v>3501053</v>
      </c>
      <c r="U109" s="9">
        <v>3300052</v>
      </c>
      <c r="V109" s="9">
        <v>3500052</v>
      </c>
      <c r="W109" s="9">
        <v>5</v>
      </c>
      <c r="X109" s="9">
        <v>5</v>
      </c>
      <c r="Y109" s="9">
        <v>5</v>
      </c>
      <c r="Z109" s="9">
        <v>5</v>
      </c>
      <c r="AA109" s="9">
        <v>5</v>
      </c>
      <c r="AB109" s="9">
        <v>5</v>
      </c>
      <c r="AC109" s="9">
        <f t="shared" si="66"/>
        <v>278</v>
      </c>
      <c r="AD109" s="9">
        <f t="shared" si="67"/>
        <v>284</v>
      </c>
      <c r="AE109" s="9">
        <f t="shared" si="68"/>
        <v>284</v>
      </c>
      <c r="AF109" s="9">
        <f t="shared" si="69"/>
        <v>284</v>
      </c>
      <c r="AG109" s="9">
        <f t="shared" si="70"/>
        <v>284</v>
      </c>
      <c r="AH109" s="9">
        <f t="shared" si="71"/>
        <v>284</v>
      </c>
      <c r="AI109" s="7">
        <f t="shared" si="82"/>
        <v>41183.01</v>
      </c>
      <c r="AJ109" s="7">
        <f t="shared" si="81"/>
        <v>41183.01</v>
      </c>
      <c r="AK109" s="7">
        <f t="shared" si="81"/>
        <v>41183.01</v>
      </c>
      <c r="AL109" s="7">
        <f t="shared" si="81"/>
        <v>41183.01</v>
      </c>
      <c r="AM109" s="7">
        <f t="shared" si="81"/>
        <v>41183.01</v>
      </c>
      <c r="AN109" s="7">
        <f t="shared" si="81"/>
        <v>41183.01</v>
      </c>
      <c r="AO109" s="16"/>
      <c r="AP109" s="7"/>
      <c r="AQ109" s="9">
        <v>5</v>
      </c>
      <c r="AR109" s="9">
        <f t="shared" si="72"/>
        <v>256</v>
      </c>
      <c r="AS109" s="7">
        <f t="shared" si="73"/>
        <v>131</v>
      </c>
      <c r="AT109" s="7"/>
      <c r="AU109" s="16"/>
      <c r="AV109" s="7"/>
      <c r="AW109" s="7"/>
      <c r="AX109" s="7"/>
      <c r="AZ109" s="7"/>
      <c r="BA109" s="9">
        <f t="shared" si="79"/>
        <v>34289.685714285719</v>
      </c>
      <c r="BC109" s="5">
        <f t="shared" si="74"/>
        <v>256</v>
      </c>
      <c r="BQ109" s="18"/>
      <c r="BR109" s="18">
        <v>5200051</v>
      </c>
      <c r="BS109" s="18">
        <f>[1]monsters!$N109</f>
        <v>179.2</v>
      </c>
      <c r="BT109" s="18">
        <f>[1]monsters!$O109</f>
        <v>17.920000000000002</v>
      </c>
      <c r="BU109" s="18">
        <f>[1]monsters!$P109</f>
        <v>1097.1400000000001</v>
      </c>
      <c r="BV109" s="18">
        <f>[1]monsters!$Q109</f>
        <v>109.71</v>
      </c>
      <c r="BW109" s="18">
        <f>[1]monsters!$R109</f>
        <v>22.4</v>
      </c>
      <c r="BX109" s="18">
        <f>[1]monsters!$S109</f>
        <v>2.2400000000000002</v>
      </c>
      <c r="BY109" s="18">
        <f>[1]monsters!$K109</f>
        <v>1.5</v>
      </c>
      <c r="BZ109" s="5">
        <f>[1]monsters!$D109</f>
        <v>5</v>
      </c>
      <c r="CA109" s="5">
        <f t="shared" si="75"/>
        <v>0.1</v>
      </c>
      <c r="CB109" s="5">
        <f t="shared" si="76"/>
        <v>206.28474074074074</v>
      </c>
      <c r="CC109" s="5">
        <f t="shared" si="77"/>
        <v>20.628474074074077</v>
      </c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>
        <v>0</v>
      </c>
      <c r="CR109" s="3" t="b">
        <f t="shared" si="48"/>
        <v>1</v>
      </c>
      <c r="CS109" s="3" t="b">
        <f t="shared" si="49"/>
        <v>1</v>
      </c>
      <c r="CT109" s="3" t="b">
        <f t="shared" si="50"/>
        <v>1</v>
      </c>
      <c r="CU109" s="3" t="b">
        <f t="shared" si="51"/>
        <v>1</v>
      </c>
      <c r="CV109" s="3" t="b">
        <f t="shared" si="52"/>
        <v>1</v>
      </c>
      <c r="CW109" s="3" t="b">
        <f t="shared" si="53"/>
        <v>1</v>
      </c>
      <c r="CX109" s="9" t="str">
        <f t="shared" si="54"/>
        <v>3202051</v>
      </c>
      <c r="CY109" s="9" t="str">
        <f t="shared" si="55"/>
        <v>3201052</v>
      </c>
      <c r="CZ109" s="9" t="str">
        <f t="shared" si="56"/>
        <v>3201052</v>
      </c>
      <c r="DA109" s="9" t="str">
        <f t="shared" si="57"/>
        <v>3501053</v>
      </c>
      <c r="DB109" s="9" t="str">
        <f t="shared" si="58"/>
        <v>3300052</v>
      </c>
      <c r="DC109" s="9" t="str">
        <f t="shared" si="59"/>
        <v>3500052</v>
      </c>
      <c r="DD109" s="9">
        <v>5</v>
      </c>
      <c r="DE109" s="9">
        <v>5</v>
      </c>
      <c r="DF109" s="9">
        <v>5</v>
      </c>
      <c r="DG109" s="9">
        <v>5</v>
      </c>
      <c r="DH109" s="9">
        <v>5</v>
      </c>
      <c r="DI109" s="9">
        <v>5</v>
      </c>
      <c r="DJ109" s="9">
        <v>3</v>
      </c>
      <c r="DK109" s="9">
        <v>3</v>
      </c>
      <c r="DL109" s="9">
        <v>3</v>
      </c>
      <c r="DM109" s="9">
        <v>3</v>
      </c>
      <c r="DN109" s="9">
        <v>3</v>
      </c>
      <c r="DO109" s="9">
        <v>3</v>
      </c>
      <c r="DP109" s="25" t="s">
        <v>111</v>
      </c>
      <c r="DQ109" s="25" t="s">
        <v>114</v>
      </c>
      <c r="DR109" s="25" t="s">
        <v>114</v>
      </c>
      <c r="DS109" s="25" t="s">
        <v>121</v>
      </c>
      <c r="DT109" s="25" t="s">
        <v>115</v>
      </c>
      <c r="DU109" s="25" t="s">
        <v>109</v>
      </c>
      <c r="DV109" s="25">
        <f t="shared" si="60"/>
        <v>1</v>
      </c>
      <c r="DW109" s="25">
        <f t="shared" si="61"/>
        <v>1</v>
      </c>
      <c r="DX109" s="25">
        <f t="shared" si="62"/>
        <v>1</v>
      </c>
      <c r="DY109" s="25">
        <f t="shared" si="63"/>
        <v>2</v>
      </c>
      <c r="DZ109" s="25">
        <f t="shared" si="64"/>
        <v>2</v>
      </c>
      <c r="EA109" s="3">
        <f t="shared" si="65"/>
        <v>2</v>
      </c>
      <c r="EB109" s="34"/>
      <c r="EC109" s="5">
        <v>5500052</v>
      </c>
      <c r="ED109" s="34" t="s">
        <v>109</v>
      </c>
      <c r="EE109" s="8">
        <v>2</v>
      </c>
    </row>
    <row r="110" spans="1:135" ht="13.5" customHeight="1">
      <c r="A110" s="9">
        <v>107</v>
      </c>
      <c r="B110" s="9">
        <v>1</v>
      </c>
      <c r="C110" s="9">
        <v>2001</v>
      </c>
      <c r="D110" s="9">
        <f t="shared" si="78"/>
        <v>302826</v>
      </c>
      <c r="E110" s="9" t="str">
        <f t="shared" si="44"/>
        <v>3201052,3202051,3202051,3501053,3402053,3300052</v>
      </c>
      <c r="F110" s="9" t="str">
        <f t="shared" si="45"/>
        <v>5,5,5,5,5,5</v>
      </c>
      <c r="G110" s="9" t="str">
        <f t="shared" si="46"/>
        <v>280,286,286,286,286,286</v>
      </c>
      <c r="H110" s="9">
        <v>90</v>
      </c>
      <c r="I110" s="9" t="s">
        <v>278</v>
      </c>
      <c r="J110" s="9" t="s">
        <v>279</v>
      </c>
      <c r="K110" s="9" t="s">
        <v>279</v>
      </c>
      <c r="L110" s="9" t="s">
        <v>279</v>
      </c>
      <c r="M110" s="9" t="s">
        <v>287</v>
      </c>
      <c r="O110" s="3">
        <f t="shared" si="83"/>
        <v>302826</v>
      </c>
      <c r="P110" s="9">
        <v>250269.58</v>
      </c>
      <c r="Q110" s="9">
        <v>3201052</v>
      </c>
      <c r="R110" s="9">
        <v>3202051</v>
      </c>
      <c r="S110" s="9">
        <v>3202051</v>
      </c>
      <c r="T110" s="9">
        <v>3501053</v>
      </c>
      <c r="U110" s="9">
        <v>3402053</v>
      </c>
      <c r="V110" s="9">
        <v>3300052</v>
      </c>
      <c r="W110" s="9">
        <v>5</v>
      </c>
      <c r="X110" s="9">
        <v>5</v>
      </c>
      <c r="Y110" s="9">
        <v>5</v>
      </c>
      <c r="Z110" s="9">
        <v>5</v>
      </c>
      <c r="AA110" s="9">
        <v>5</v>
      </c>
      <c r="AB110" s="9">
        <v>5</v>
      </c>
      <c r="AC110" s="9">
        <f t="shared" si="66"/>
        <v>280</v>
      </c>
      <c r="AD110" s="9">
        <f t="shared" si="67"/>
        <v>286</v>
      </c>
      <c r="AE110" s="9">
        <f t="shared" si="68"/>
        <v>286</v>
      </c>
      <c r="AF110" s="9">
        <f t="shared" si="69"/>
        <v>286</v>
      </c>
      <c r="AG110" s="9">
        <f t="shared" si="70"/>
        <v>286</v>
      </c>
      <c r="AH110" s="9">
        <f t="shared" si="71"/>
        <v>286</v>
      </c>
      <c r="AI110" s="7">
        <f t="shared" si="82"/>
        <v>41711.596666666665</v>
      </c>
      <c r="AJ110" s="7">
        <f t="shared" si="81"/>
        <v>41711.596666666665</v>
      </c>
      <c r="AK110" s="7">
        <f t="shared" si="81"/>
        <v>41711.596666666665</v>
      </c>
      <c r="AL110" s="7">
        <f t="shared" si="81"/>
        <v>41711.596666666665</v>
      </c>
      <c r="AM110" s="7">
        <f t="shared" si="81"/>
        <v>41711.596666666665</v>
      </c>
      <c r="AN110" s="7">
        <f t="shared" si="81"/>
        <v>41711.596666666665</v>
      </c>
      <c r="AO110" s="16"/>
      <c r="AP110" s="7"/>
      <c r="AQ110" s="9">
        <v>5</v>
      </c>
      <c r="AR110" s="9">
        <f t="shared" si="72"/>
        <v>258</v>
      </c>
      <c r="AS110" s="7">
        <f t="shared" si="73"/>
        <v>132</v>
      </c>
      <c r="AT110" s="7"/>
      <c r="AU110" s="16"/>
      <c r="AV110" s="7"/>
      <c r="AW110" s="7"/>
      <c r="AX110" s="7"/>
      <c r="AZ110" s="7"/>
      <c r="BA110" s="9">
        <f t="shared" si="79"/>
        <v>34812.442857142865</v>
      </c>
      <c r="BC110" s="5">
        <f t="shared" si="74"/>
        <v>258</v>
      </c>
      <c r="BQ110" s="18"/>
      <c r="BR110" s="18">
        <v>5201051</v>
      </c>
      <c r="BS110" s="18">
        <f>[1]monsters!$N110</f>
        <v>167.25</v>
      </c>
      <c r="BT110" s="18">
        <f>[1]monsters!$O110</f>
        <v>16.73</v>
      </c>
      <c r="BU110" s="18">
        <f>[1]monsters!$P110</f>
        <v>1097.1400000000001</v>
      </c>
      <c r="BV110" s="18">
        <f>[1]monsters!$Q110</f>
        <v>109.71</v>
      </c>
      <c r="BW110" s="18">
        <f>[1]monsters!$R110</f>
        <v>20.91</v>
      </c>
      <c r="BX110" s="18">
        <f>[1]monsters!$S110</f>
        <v>2.09</v>
      </c>
      <c r="BY110" s="18">
        <f>[1]monsters!$K110</f>
        <v>1.4</v>
      </c>
      <c r="BZ110" s="5">
        <f>[1]monsters!$D110</f>
        <v>5</v>
      </c>
      <c r="CA110" s="5">
        <f t="shared" si="75"/>
        <v>0.1</v>
      </c>
      <c r="CB110" s="5">
        <f t="shared" si="76"/>
        <v>194.99199074074076</v>
      </c>
      <c r="CC110" s="5">
        <f t="shared" si="77"/>
        <v>19.499199074074077</v>
      </c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>
        <v>0</v>
      </c>
      <c r="CR110" s="3" t="b">
        <f t="shared" si="48"/>
        <v>1</v>
      </c>
      <c r="CS110" s="3" t="b">
        <f t="shared" si="49"/>
        <v>1</v>
      </c>
      <c r="CT110" s="3" t="b">
        <f t="shared" si="50"/>
        <v>1</v>
      </c>
      <c r="CU110" s="3" t="b">
        <f t="shared" si="51"/>
        <v>1</v>
      </c>
      <c r="CV110" s="3" t="b">
        <f t="shared" si="52"/>
        <v>1</v>
      </c>
      <c r="CW110" s="3" t="b">
        <f t="shared" si="53"/>
        <v>1</v>
      </c>
      <c r="CX110" s="9" t="str">
        <f t="shared" si="54"/>
        <v>3201052</v>
      </c>
      <c r="CY110" s="9" t="str">
        <f t="shared" si="55"/>
        <v>3202051</v>
      </c>
      <c r="CZ110" s="9" t="str">
        <f t="shared" si="56"/>
        <v>3202051</v>
      </c>
      <c r="DA110" s="9" t="str">
        <f t="shared" si="57"/>
        <v>3501053</v>
      </c>
      <c r="DB110" s="9" t="str">
        <f t="shared" si="58"/>
        <v>3402053</v>
      </c>
      <c r="DC110" s="9" t="str">
        <f t="shared" si="59"/>
        <v>3300052</v>
      </c>
      <c r="DD110" s="9">
        <v>5</v>
      </c>
      <c r="DE110" s="9">
        <v>5</v>
      </c>
      <c r="DF110" s="9">
        <v>5</v>
      </c>
      <c r="DG110" s="9">
        <v>5</v>
      </c>
      <c r="DH110" s="9">
        <v>5</v>
      </c>
      <c r="DI110" s="9">
        <v>5</v>
      </c>
      <c r="DJ110" s="9">
        <v>3</v>
      </c>
      <c r="DK110" s="9">
        <v>3</v>
      </c>
      <c r="DL110" s="9">
        <v>3</v>
      </c>
      <c r="DM110" s="9">
        <v>3</v>
      </c>
      <c r="DN110" s="9">
        <v>3</v>
      </c>
      <c r="DO110" s="9">
        <v>3</v>
      </c>
      <c r="DP110" s="25" t="s">
        <v>114</v>
      </c>
      <c r="DQ110" s="25" t="s">
        <v>111</v>
      </c>
      <c r="DR110" s="25" t="s">
        <v>111</v>
      </c>
      <c r="DS110" s="25" t="s">
        <v>121</v>
      </c>
      <c r="DT110" s="25" t="s">
        <v>118</v>
      </c>
      <c r="DU110" s="25" t="s">
        <v>115</v>
      </c>
      <c r="DV110" s="25">
        <f t="shared" si="60"/>
        <v>1</v>
      </c>
      <c r="DW110" s="25">
        <f t="shared" si="61"/>
        <v>1</v>
      </c>
      <c r="DX110" s="25">
        <f t="shared" si="62"/>
        <v>1</v>
      </c>
      <c r="DY110" s="25">
        <f t="shared" si="63"/>
        <v>2</v>
      </c>
      <c r="DZ110" s="25">
        <f t="shared" si="64"/>
        <v>2</v>
      </c>
      <c r="EA110" s="3">
        <f t="shared" si="65"/>
        <v>2</v>
      </c>
      <c r="EB110" s="35"/>
      <c r="EC110" s="5">
        <v>5502052</v>
      </c>
      <c r="ED110" s="34" t="s">
        <v>204</v>
      </c>
      <c r="EE110" s="8">
        <v>2</v>
      </c>
    </row>
    <row r="111" spans="1:135" ht="13.5" customHeight="1">
      <c r="A111" s="9">
        <v>108</v>
      </c>
      <c r="B111" s="9">
        <v>1</v>
      </c>
      <c r="C111" s="9">
        <v>2001</v>
      </c>
      <c r="D111" s="9">
        <f t="shared" si="78"/>
        <v>307024</v>
      </c>
      <c r="E111" s="9" t="str">
        <f t="shared" si="44"/>
        <v>3302053,3202051,3200053,3401051,3300052,3400052</v>
      </c>
      <c r="F111" s="9" t="str">
        <f t="shared" si="45"/>
        <v>5,5,5,5,5,5</v>
      </c>
      <c r="G111" s="9" t="str">
        <f t="shared" si="46"/>
        <v>282,288,288,288,288,288</v>
      </c>
      <c r="H111" s="9">
        <v>90</v>
      </c>
      <c r="I111" s="9" t="s">
        <v>278</v>
      </c>
      <c r="J111" s="9" t="s">
        <v>279</v>
      </c>
      <c r="K111" s="9" t="s">
        <v>279</v>
      </c>
      <c r="L111" s="9" t="s">
        <v>279</v>
      </c>
      <c r="M111" s="9" t="s">
        <v>287</v>
      </c>
      <c r="O111" s="3">
        <f t="shared" si="83"/>
        <v>307024</v>
      </c>
      <c r="P111" s="9">
        <v>253738.43</v>
      </c>
      <c r="Q111" s="9">
        <v>3302053</v>
      </c>
      <c r="R111" s="9">
        <v>3202051</v>
      </c>
      <c r="S111" s="9">
        <v>3200053</v>
      </c>
      <c r="T111" s="9">
        <v>3401051</v>
      </c>
      <c r="U111" s="9">
        <v>3300052</v>
      </c>
      <c r="V111" s="9">
        <v>3400052</v>
      </c>
      <c r="W111" s="9">
        <v>5</v>
      </c>
      <c r="X111" s="9">
        <v>5</v>
      </c>
      <c r="Y111" s="9">
        <v>5</v>
      </c>
      <c r="Z111" s="9">
        <v>5</v>
      </c>
      <c r="AA111" s="9">
        <v>5</v>
      </c>
      <c r="AB111" s="9">
        <v>5</v>
      </c>
      <c r="AC111" s="9">
        <f t="shared" si="66"/>
        <v>282</v>
      </c>
      <c r="AD111" s="9">
        <f t="shared" si="67"/>
        <v>288</v>
      </c>
      <c r="AE111" s="9">
        <f t="shared" si="68"/>
        <v>288</v>
      </c>
      <c r="AF111" s="9">
        <f t="shared" si="69"/>
        <v>288</v>
      </c>
      <c r="AG111" s="9">
        <f t="shared" si="70"/>
        <v>288</v>
      </c>
      <c r="AH111" s="9">
        <f t="shared" si="71"/>
        <v>288</v>
      </c>
      <c r="AI111" s="7">
        <f t="shared" si="82"/>
        <v>42289.738333333335</v>
      </c>
      <c r="AJ111" s="7">
        <f t="shared" si="81"/>
        <v>42289.738333333335</v>
      </c>
      <c r="AK111" s="7">
        <f t="shared" si="81"/>
        <v>42289.738333333335</v>
      </c>
      <c r="AL111" s="7">
        <f t="shared" si="81"/>
        <v>42289.738333333335</v>
      </c>
      <c r="AM111" s="7">
        <f t="shared" si="81"/>
        <v>42289.738333333335</v>
      </c>
      <c r="AN111" s="7">
        <f t="shared" si="81"/>
        <v>42289.738333333335</v>
      </c>
      <c r="AO111" s="16"/>
      <c r="AP111" s="7"/>
      <c r="AQ111" s="9">
        <v>5</v>
      </c>
      <c r="AR111" s="9">
        <f t="shared" si="72"/>
        <v>260</v>
      </c>
      <c r="AS111" s="7">
        <f t="shared" si="73"/>
        <v>133</v>
      </c>
      <c r="AT111" s="7"/>
      <c r="AU111" s="16"/>
      <c r="AV111" s="7"/>
      <c r="AW111" s="7"/>
      <c r="AX111" s="7"/>
      <c r="AZ111" s="7"/>
      <c r="BA111" s="9">
        <f t="shared" si="79"/>
        <v>35335.200000000012</v>
      </c>
      <c r="BC111" s="5">
        <f t="shared" si="74"/>
        <v>260</v>
      </c>
      <c r="BQ111" s="18"/>
      <c r="BR111" s="18">
        <v>5300051</v>
      </c>
      <c r="BS111" s="18">
        <f>[1]monsters!$N111</f>
        <v>198.4</v>
      </c>
      <c r="BT111" s="18">
        <f>[1]monsters!$O111</f>
        <v>19.84</v>
      </c>
      <c r="BU111" s="18">
        <f>[1]monsters!$P111</f>
        <v>990.97</v>
      </c>
      <c r="BV111" s="18">
        <f>[1]monsters!$Q111</f>
        <v>99.1</v>
      </c>
      <c r="BW111" s="18">
        <f>[1]monsters!$R111</f>
        <v>19.84</v>
      </c>
      <c r="BX111" s="18">
        <f>[1]monsters!$S111</f>
        <v>1.98</v>
      </c>
      <c r="BY111" s="18">
        <f>[1]monsters!$K111</f>
        <v>1.5</v>
      </c>
      <c r="BZ111" s="5">
        <f>[1]monsters!$D111</f>
        <v>6</v>
      </c>
      <c r="CA111" s="5">
        <f t="shared" si="75"/>
        <v>0.1</v>
      </c>
      <c r="CB111" s="5">
        <f t="shared" si="76"/>
        <v>220.8539932659933</v>
      </c>
      <c r="CC111" s="5">
        <f t="shared" si="77"/>
        <v>22.08539932659933</v>
      </c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>
        <v>0</v>
      </c>
      <c r="CR111" s="3" t="b">
        <f t="shared" si="48"/>
        <v>1</v>
      </c>
      <c r="CS111" s="3" t="b">
        <f t="shared" si="49"/>
        <v>1</v>
      </c>
      <c r="CT111" s="3" t="b">
        <f t="shared" si="50"/>
        <v>1</v>
      </c>
      <c r="CU111" s="3" t="b">
        <f t="shared" si="51"/>
        <v>1</v>
      </c>
      <c r="CV111" s="3" t="b">
        <f t="shared" si="52"/>
        <v>1</v>
      </c>
      <c r="CW111" s="3" t="b">
        <f t="shared" si="53"/>
        <v>1</v>
      </c>
      <c r="CX111" s="9" t="str">
        <f t="shared" si="54"/>
        <v>3302053</v>
      </c>
      <c r="CY111" s="9" t="str">
        <f t="shared" si="55"/>
        <v>3202051</v>
      </c>
      <c r="CZ111" s="9" t="str">
        <f t="shared" si="56"/>
        <v>3200053</v>
      </c>
      <c r="DA111" s="9" t="str">
        <f t="shared" si="57"/>
        <v>3401051</v>
      </c>
      <c r="DB111" s="9" t="str">
        <f t="shared" si="58"/>
        <v>3300052</v>
      </c>
      <c r="DC111" s="9" t="str">
        <f t="shared" si="59"/>
        <v>3400052</v>
      </c>
      <c r="DD111" s="9">
        <v>5</v>
      </c>
      <c r="DE111" s="9">
        <v>5</v>
      </c>
      <c r="DF111" s="9">
        <v>5</v>
      </c>
      <c r="DG111" s="9">
        <v>5</v>
      </c>
      <c r="DH111" s="9">
        <v>5</v>
      </c>
      <c r="DI111" s="9">
        <v>5</v>
      </c>
      <c r="DJ111" s="9">
        <v>3</v>
      </c>
      <c r="DK111" s="9">
        <v>3</v>
      </c>
      <c r="DL111" s="9">
        <v>3</v>
      </c>
      <c r="DM111" s="9">
        <v>3</v>
      </c>
      <c r="DN111" s="9">
        <v>3</v>
      </c>
      <c r="DO111" s="9">
        <v>3</v>
      </c>
      <c r="DP111" s="25" t="s">
        <v>108</v>
      </c>
      <c r="DQ111" s="25" t="s">
        <v>111</v>
      </c>
      <c r="DR111" s="25" t="s">
        <v>113</v>
      </c>
      <c r="DS111" s="25" t="s">
        <v>117</v>
      </c>
      <c r="DT111" s="25" t="s">
        <v>115</v>
      </c>
      <c r="DU111" s="25" t="s">
        <v>110</v>
      </c>
      <c r="DV111" s="25">
        <f t="shared" si="60"/>
        <v>1</v>
      </c>
      <c r="DW111" s="25">
        <f t="shared" si="61"/>
        <v>1</v>
      </c>
      <c r="DX111" s="25">
        <f t="shared" si="62"/>
        <v>1</v>
      </c>
      <c r="DY111" s="25">
        <f t="shared" si="63"/>
        <v>2</v>
      </c>
      <c r="DZ111" s="25">
        <f t="shared" si="64"/>
        <v>2</v>
      </c>
      <c r="EA111" s="3">
        <f t="shared" si="65"/>
        <v>2</v>
      </c>
      <c r="EB111" s="35"/>
      <c r="EC111" s="5">
        <v>5601052</v>
      </c>
      <c r="ED111" s="34" t="s">
        <v>124</v>
      </c>
      <c r="EE111" s="8">
        <v>2</v>
      </c>
    </row>
    <row r="112" spans="1:135" ht="13.5" customHeight="1">
      <c r="A112" s="9">
        <v>109</v>
      </c>
      <c r="B112" s="9">
        <v>1</v>
      </c>
      <c r="C112" s="9">
        <v>2001</v>
      </c>
      <c r="D112" s="9">
        <f t="shared" si="78"/>
        <v>310911</v>
      </c>
      <c r="E112" s="9" t="str">
        <f t="shared" si="44"/>
        <v>3202051,3202051,3301051,3502051,3500052,3300052</v>
      </c>
      <c r="F112" s="9" t="str">
        <f t="shared" si="45"/>
        <v>5,5,5,5,5,5</v>
      </c>
      <c r="G112" s="9" t="str">
        <f t="shared" si="46"/>
        <v>284,290,290,290,290,290</v>
      </c>
      <c r="H112" s="9">
        <v>90</v>
      </c>
      <c r="I112" s="9" t="s">
        <v>278</v>
      </c>
      <c r="J112" s="9" t="s">
        <v>279</v>
      </c>
      <c r="K112" s="9" t="s">
        <v>279</v>
      </c>
      <c r="L112" s="9" t="s">
        <v>279</v>
      </c>
      <c r="M112" s="9" t="s">
        <v>287</v>
      </c>
      <c r="O112" s="3">
        <f t="shared" si="83"/>
        <v>310911</v>
      </c>
      <c r="P112" s="9">
        <v>256951.09</v>
      </c>
      <c r="Q112" s="9">
        <v>3202051</v>
      </c>
      <c r="R112" s="9">
        <v>3202051</v>
      </c>
      <c r="S112" s="9">
        <v>3301051</v>
      </c>
      <c r="T112" s="9">
        <v>3502051</v>
      </c>
      <c r="U112" s="9">
        <v>3500052</v>
      </c>
      <c r="V112" s="9">
        <v>3300052</v>
      </c>
      <c r="W112" s="9">
        <v>5</v>
      </c>
      <c r="X112" s="9">
        <v>5</v>
      </c>
      <c r="Y112" s="9">
        <v>5</v>
      </c>
      <c r="Z112" s="9">
        <v>5</v>
      </c>
      <c r="AA112" s="9">
        <v>5</v>
      </c>
      <c r="AB112" s="9">
        <v>5</v>
      </c>
      <c r="AC112" s="9">
        <f t="shared" si="66"/>
        <v>284</v>
      </c>
      <c r="AD112" s="9">
        <f t="shared" si="67"/>
        <v>290</v>
      </c>
      <c r="AE112" s="9">
        <f t="shared" si="68"/>
        <v>290</v>
      </c>
      <c r="AF112" s="9">
        <f t="shared" si="69"/>
        <v>290</v>
      </c>
      <c r="AG112" s="9">
        <f t="shared" si="70"/>
        <v>290</v>
      </c>
      <c r="AH112" s="9">
        <f t="shared" si="71"/>
        <v>290</v>
      </c>
      <c r="AI112" s="7">
        <f t="shared" si="82"/>
        <v>42825.181666666664</v>
      </c>
      <c r="AJ112" s="7">
        <f t="shared" si="81"/>
        <v>42825.181666666664</v>
      </c>
      <c r="AK112" s="7">
        <f t="shared" si="81"/>
        <v>42825.181666666664</v>
      </c>
      <c r="AL112" s="7">
        <f t="shared" si="81"/>
        <v>42825.181666666664</v>
      </c>
      <c r="AM112" s="7">
        <f t="shared" si="81"/>
        <v>42825.181666666664</v>
      </c>
      <c r="AN112" s="7">
        <f t="shared" si="81"/>
        <v>42825.181666666664</v>
      </c>
      <c r="AO112" s="16"/>
      <c r="AP112" s="7"/>
      <c r="AQ112" s="9">
        <v>5</v>
      </c>
      <c r="AR112" s="9">
        <f t="shared" si="72"/>
        <v>262</v>
      </c>
      <c r="AS112" s="7">
        <f t="shared" si="73"/>
        <v>134</v>
      </c>
      <c r="AT112" s="7"/>
      <c r="AU112" s="16"/>
      <c r="AV112" s="7"/>
      <c r="AW112" s="7"/>
      <c r="AX112" s="7"/>
      <c r="AZ112" s="7"/>
      <c r="BA112" s="9">
        <f t="shared" si="79"/>
        <v>35857.957142857158</v>
      </c>
      <c r="BC112" s="5">
        <f t="shared" si="74"/>
        <v>262</v>
      </c>
      <c r="BQ112" s="18"/>
      <c r="BR112" s="18">
        <v>5301051</v>
      </c>
      <c r="BS112" s="18">
        <f>[1]monsters!$N112</f>
        <v>128</v>
      </c>
      <c r="BT112" s="18">
        <f>[1]monsters!$O112</f>
        <v>12.8</v>
      </c>
      <c r="BU112" s="18">
        <f>[1]monsters!$P112</f>
        <v>1536</v>
      </c>
      <c r="BV112" s="18">
        <f>[1]monsters!$Q112</f>
        <v>153.6</v>
      </c>
      <c r="BW112" s="18">
        <f>[1]monsters!$R112</f>
        <v>32</v>
      </c>
      <c r="BX112" s="18">
        <f>[1]monsters!$S112</f>
        <v>3.2</v>
      </c>
      <c r="BY112" s="18">
        <f>[1]monsters!$K112</f>
        <v>1.5</v>
      </c>
      <c r="BZ112" s="5">
        <f>[1]monsters!$D112</f>
        <v>2</v>
      </c>
      <c r="CA112" s="5">
        <f t="shared" si="75"/>
        <v>0.1</v>
      </c>
      <c r="CB112" s="5">
        <f t="shared" si="76"/>
        <v>172.67717171717172</v>
      </c>
      <c r="CC112" s="5">
        <f t="shared" si="77"/>
        <v>17.267717171717173</v>
      </c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>
        <v>0</v>
      </c>
      <c r="CR112" s="3" t="b">
        <f t="shared" si="48"/>
        <v>1</v>
      </c>
      <c r="CS112" s="3" t="b">
        <f t="shared" si="49"/>
        <v>1</v>
      </c>
      <c r="CT112" s="3" t="b">
        <f t="shared" si="50"/>
        <v>1</v>
      </c>
      <c r="CU112" s="3" t="b">
        <f t="shared" si="51"/>
        <v>1</v>
      </c>
      <c r="CV112" s="3" t="b">
        <f t="shared" si="52"/>
        <v>1</v>
      </c>
      <c r="CW112" s="3" t="b">
        <f t="shared" si="53"/>
        <v>1</v>
      </c>
      <c r="CX112" s="9" t="str">
        <f t="shared" si="54"/>
        <v>3202051</v>
      </c>
      <c r="CY112" s="9" t="str">
        <f t="shared" si="55"/>
        <v>3202051</v>
      </c>
      <c r="CZ112" s="9" t="str">
        <f t="shared" si="56"/>
        <v>3301051</v>
      </c>
      <c r="DA112" s="9" t="str">
        <f t="shared" si="57"/>
        <v>3502051</v>
      </c>
      <c r="DB112" s="9" t="str">
        <f t="shared" si="58"/>
        <v>3500052</v>
      </c>
      <c r="DC112" s="9" t="str">
        <f t="shared" si="59"/>
        <v>3300052</v>
      </c>
      <c r="DD112" s="9">
        <v>5</v>
      </c>
      <c r="DE112" s="9">
        <v>5</v>
      </c>
      <c r="DF112" s="9">
        <v>5</v>
      </c>
      <c r="DG112" s="9">
        <v>5</v>
      </c>
      <c r="DH112" s="9">
        <v>5</v>
      </c>
      <c r="DI112" s="9">
        <v>5</v>
      </c>
      <c r="DJ112" s="9">
        <v>3</v>
      </c>
      <c r="DK112" s="9">
        <v>3</v>
      </c>
      <c r="DL112" s="9">
        <v>3</v>
      </c>
      <c r="DM112" s="9">
        <v>3</v>
      </c>
      <c r="DN112" s="9">
        <v>3</v>
      </c>
      <c r="DO112" s="9">
        <v>3</v>
      </c>
      <c r="DP112" s="25" t="s">
        <v>111</v>
      </c>
      <c r="DQ112" s="25" t="s">
        <v>111</v>
      </c>
      <c r="DR112" s="25" t="s">
        <v>107</v>
      </c>
      <c r="DS112" s="25" t="s">
        <v>119</v>
      </c>
      <c r="DT112" s="25" t="s">
        <v>109</v>
      </c>
      <c r="DU112" s="25" t="s">
        <v>115</v>
      </c>
      <c r="DV112" s="25">
        <f t="shared" si="60"/>
        <v>1</v>
      </c>
      <c r="DW112" s="25">
        <f t="shared" si="61"/>
        <v>1</v>
      </c>
      <c r="DX112" s="25">
        <f t="shared" si="62"/>
        <v>1</v>
      </c>
      <c r="DY112" s="25">
        <f t="shared" si="63"/>
        <v>2</v>
      </c>
      <c r="DZ112" s="25">
        <f t="shared" si="64"/>
        <v>2</v>
      </c>
      <c r="EA112" s="3">
        <f t="shared" si="65"/>
        <v>2</v>
      </c>
      <c r="EB112" s="35"/>
      <c r="EC112" s="5">
        <v>5200053</v>
      </c>
      <c r="ED112" s="34" t="s">
        <v>113</v>
      </c>
      <c r="EE112" s="8">
        <v>1</v>
      </c>
    </row>
    <row r="113" spans="1:135" ht="13.5" customHeight="1">
      <c r="A113" s="9">
        <v>110</v>
      </c>
      <c r="B113" s="9">
        <v>1</v>
      </c>
      <c r="C113" s="9">
        <v>2001</v>
      </c>
      <c r="D113" s="9">
        <f t="shared" si="78"/>
        <v>314823</v>
      </c>
      <c r="E113" s="9" t="str">
        <f t="shared" si="44"/>
        <v>3202051,3201052,3301051,3400052,3402053,3400052</v>
      </c>
      <c r="F113" s="9" t="str">
        <f t="shared" si="45"/>
        <v>5,5,5,5,5,5</v>
      </c>
      <c r="G113" s="9" t="str">
        <f t="shared" si="46"/>
        <v>285,292,292,292,292,292</v>
      </c>
      <c r="H113" s="9">
        <v>91</v>
      </c>
      <c r="I113" s="9" t="s">
        <v>278</v>
      </c>
      <c r="J113" s="9" t="s">
        <v>279</v>
      </c>
      <c r="K113" s="9" t="s">
        <v>279</v>
      </c>
      <c r="L113" s="9" t="s">
        <v>279</v>
      </c>
      <c r="M113" s="9" t="s">
        <v>287</v>
      </c>
      <c r="O113" s="3">
        <f t="shared" si="83"/>
        <v>314823</v>
      </c>
      <c r="P113" s="9">
        <v>260184.32000000001</v>
      </c>
      <c r="Q113" s="9">
        <v>3202051</v>
      </c>
      <c r="R113" s="9">
        <v>3201052</v>
      </c>
      <c r="S113" s="9">
        <v>3301051</v>
      </c>
      <c r="T113" s="9">
        <v>3400052</v>
      </c>
      <c r="U113" s="9">
        <v>3402053</v>
      </c>
      <c r="V113" s="9">
        <v>3400052</v>
      </c>
      <c r="W113" s="9">
        <v>5</v>
      </c>
      <c r="X113" s="9">
        <v>5</v>
      </c>
      <c r="Y113" s="9">
        <v>5</v>
      </c>
      <c r="Z113" s="9">
        <v>5</v>
      </c>
      <c r="AA113" s="9">
        <v>5</v>
      </c>
      <c r="AB113" s="9">
        <v>5</v>
      </c>
      <c r="AC113" s="9">
        <f t="shared" si="66"/>
        <v>285</v>
      </c>
      <c r="AD113" s="9">
        <f t="shared" si="67"/>
        <v>292</v>
      </c>
      <c r="AE113" s="9">
        <f t="shared" si="68"/>
        <v>292</v>
      </c>
      <c r="AF113" s="9">
        <f t="shared" si="69"/>
        <v>292</v>
      </c>
      <c r="AG113" s="9">
        <f t="shared" si="70"/>
        <v>292</v>
      </c>
      <c r="AH113" s="9">
        <f t="shared" si="71"/>
        <v>292</v>
      </c>
      <c r="AI113" s="7">
        <f t="shared" si="82"/>
        <v>43364.053333333337</v>
      </c>
      <c r="AJ113" s="7">
        <f t="shared" si="81"/>
        <v>43364.053333333337</v>
      </c>
      <c r="AK113" s="7">
        <f t="shared" si="81"/>
        <v>43364.053333333337</v>
      </c>
      <c r="AL113" s="7">
        <f t="shared" si="81"/>
        <v>43364.053333333337</v>
      </c>
      <c r="AM113" s="7">
        <f t="shared" si="81"/>
        <v>43364.053333333337</v>
      </c>
      <c r="AN113" s="7">
        <f t="shared" si="81"/>
        <v>43364.053333333337</v>
      </c>
      <c r="AO113" s="16"/>
      <c r="AP113" s="7"/>
      <c r="AQ113" s="9">
        <v>5</v>
      </c>
      <c r="AR113" s="9">
        <f t="shared" si="72"/>
        <v>263</v>
      </c>
      <c r="AS113" s="7">
        <f t="shared" si="73"/>
        <v>135</v>
      </c>
      <c r="AT113" s="7"/>
      <c r="AU113" s="16"/>
      <c r="AV113" s="7"/>
      <c r="AW113" s="7"/>
      <c r="AX113" s="7"/>
      <c r="AZ113" s="7"/>
      <c r="BA113" s="9">
        <f t="shared" si="79"/>
        <v>36380.714285714304</v>
      </c>
      <c r="BC113" s="5">
        <f t="shared" si="74"/>
        <v>263</v>
      </c>
      <c r="BQ113" s="18"/>
      <c r="BR113" s="18">
        <v>5401051</v>
      </c>
      <c r="BS113" s="18">
        <f>[1]monsters!$N113</f>
        <v>122.88</v>
      </c>
      <c r="BT113" s="18">
        <f>[1]monsters!$O113</f>
        <v>12.29</v>
      </c>
      <c r="BU113" s="18">
        <f>[1]monsters!$P113</f>
        <v>1920</v>
      </c>
      <c r="BV113" s="18">
        <f>[1]monsters!$Q113</f>
        <v>192</v>
      </c>
      <c r="BW113" s="18">
        <f>[1]monsters!$R113</f>
        <v>40.96</v>
      </c>
      <c r="BX113" s="18">
        <f>[1]monsters!$S113</f>
        <v>4.0999999999999996</v>
      </c>
      <c r="BY113" s="18">
        <f>[1]monsters!$K113</f>
        <v>1.8</v>
      </c>
      <c r="BZ113" s="5">
        <f>[1]monsters!$D113</f>
        <v>2</v>
      </c>
      <c r="CA113" s="5">
        <f t="shared" si="75"/>
        <v>0.1</v>
      </c>
      <c r="CB113" s="5">
        <f t="shared" si="76"/>
        <v>180.76806464646464</v>
      </c>
      <c r="CC113" s="5">
        <f t="shared" si="77"/>
        <v>18.076806464646463</v>
      </c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>
        <v>1</v>
      </c>
      <c r="CR113" s="3" t="b">
        <f t="shared" si="48"/>
        <v>1</v>
      </c>
      <c r="CS113" s="3" t="b">
        <f t="shared" si="49"/>
        <v>1</v>
      </c>
      <c r="CT113" s="3" t="b">
        <f t="shared" si="50"/>
        <v>1</v>
      </c>
      <c r="CU113" s="3" t="b">
        <f t="shared" si="51"/>
        <v>1</v>
      </c>
      <c r="CV113" s="3" t="b">
        <f t="shared" si="52"/>
        <v>1</v>
      </c>
      <c r="CW113" s="3" t="b">
        <f t="shared" si="53"/>
        <v>1</v>
      </c>
      <c r="CX113" s="9" t="str">
        <f t="shared" si="54"/>
        <v>3202051</v>
      </c>
      <c r="CY113" s="9" t="str">
        <f t="shared" si="55"/>
        <v>3201052</v>
      </c>
      <c r="CZ113" s="9" t="str">
        <f t="shared" si="56"/>
        <v>3301051</v>
      </c>
      <c r="DA113" s="9" t="str">
        <f t="shared" si="57"/>
        <v>3400052</v>
      </c>
      <c r="DB113" s="9" t="str">
        <f t="shared" si="58"/>
        <v>3402053</v>
      </c>
      <c r="DC113" s="9" t="str">
        <f t="shared" si="59"/>
        <v>3400052</v>
      </c>
      <c r="DD113" s="9">
        <v>5</v>
      </c>
      <c r="DE113" s="9">
        <v>5</v>
      </c>
      <c r="DF113" s="9">
        <v>5</v>
      </c>
      <c r="DG113" s="9">
        <v>5</v>
      </c>
      <c r="DH113" s="9">
        <v>5</v>
      </c>
      <c r="DI113" s="9">
        <v>5</v>
      </c>
      <c r="DJ113" s="9">
        <v>3</v>
      </c>
      <c r="DK113" s="9">
        <v>3</v>
      </c>
      <c r="DL113" s="9">
        <v>3</v>
      </c>
      <c r="DM113" s="9">
        <v>3</v>
      </c>
      <c r="DN113" s="9">
        <v>3</v>
      </c>
      <c r="DO113" s="9">
        <v>3</v>
      </c>
      <c r="DP113" s="25" t="s">
        <v>111</v>
      </c>
      <c r="DQ113" s="25" t="s">
        <v>114</v>
      </c>
      <c r="DR113" s="25" t="s">
        <v>107</v>
      </c>
      <c r="DS113" s="25" t="s">
        <v>110</v>
      </c>
      <c r="DT113" s="25" t="s">
        <v>118</v>
      </c>
      <c r="DU113" s="25" t="s">
        <v>110</v>
      </c>
      <c r="DV113" s="25">
        <f t="shared" si="60"/>
        <v>1</v>
      </c>
      <c r="DW113" s="25">
        <f t="shared" si="61"/>
        <v>1</v>
      </c>
      <c r="DX113" s="25">
        <f t="shared" si="62"/>
        <v>1</v>
      </c>
      <c r="DY113" s="25">
        <f t="shared" si="63"/>
        <v>2</v>
      </c>
      <c r="DZ113" s="25">
        <f t="shared" si="64"/>
        <v>2</v>
      </c>
      <c r="EA113" s="3">
        <f t="shared" si="65"/>
        <v>2</v>
      </c>
      <c r="EB113" s="35"/>
      <c r="EC113" s="5">
        <v>5201053</v>
      </c>
      <c r="ED113" s="34" t="s">
        <v>205</v>
      </c>
      <c r="EE113" s="8">
        <v>1</v>
      </c>
    </row>
    <row r="114" spans="1:135" ht="13.5" customHeight="1">
      <c r="A114" s="9">
        <v>111</v>
      </c>
      <c r="B114" s="9">
        <v>1</v>
      </c>
      <c r="C114" s="9">
        <v>2001</v>
      </c>
      <c r="D114" s="9">
        <f t="shared" si="78"/>
        <v>318762</v>
      </c>
      <c r="E114" s="9" t="str">
        <f t="shared" si="44"/>
        <v>5301051,5301052,5301053,5500051,5500052,5500053</v>
      </c>
      <c r="F114" s="9" t="str">
        <f t="shared" si="45"/>
        <v>5,5,5,5,5,5</v>
      </c>
      <c r="G114" s="9" t="str">
        <f t="shared" si="46"/>
        <v>287,294,294,294,294,294</v>
      </c>
      <c r="H114" s="9">
        <v>93</v>
      </c>
      <c r="I114" s="9" t="s">
        <v>278</v>
      </c>
      <c r="J114" s="9" t="s">
        <v>279</v>
      </c>
      <c r="K114" s="9" t="s">
        <v>279</v>
      </c>
      <c r="L114" s="9" t="s">
        <v>279</v>
      </c>
      <c r="M114" s="9" t="s">
        <v>287</v>
      </c>
      <c r="O114" s="3">
        <f t="shared" si="83"/>
        <v>318762</v>
      </c>
      <c r="P114" s="9">
        <v>263439.99</v>
      </c>
      <c r="Q114" s="9">
        <v>5301051</v>
      </c>
      <c r="R114" s="9">
        <v>5301052</v>
      </c>
      <c r="S114" s="9">
        <v>5301053</v>
      </c>
      <c r="T114" s="9">
        <v>5500051</v>
      </c>
      <c r="U114" s="9">
        <v>5500052</v>
      </c>
      <c r="V114" s="9">
        <v>5500053</v>
      </c>
      <c r="W114" s="9">
        <v>5</v>
      </c>
      <c r="X114" s="9">
        <v>5</v>
      </c>
      <c r="Y114" s="9">
        <v>5</v>
      </c>
      <c r="Z114" s="9">
        <v>5</v>
      </c>
      <c r="AA114" s="9">
        <v>5</v>
      </c>
      <c r="AB114" s="9">
        <v>5</v>
      </c>
      <c r="AC114" s="9">
        <f t="shared" si="66"/>
        <v>287</v>
      </c>
      <c r="AD114" s="9">
        <f t="shared" si="67"/>
        <v>294</v>
      </c>
      <c r="AE114" s="9">
        <f t="shared" si="68"/>
        <v>294</v>
      </c>
      <c r="AF114" s="9">
        <f t="shared" si="69"/>
        <v>294</v>
      </c>
      <c r="AG114" s="9">
        <f t="shared" si="70"/>
        <v>294</v>
      </c>
      <c r="AH114" s="9">
        <f t="shared" si="71"/>
        <v>294</v>
      </c>
      <c r="AI114" s="7">
        <f t="shared" si="82"/>
        <v>43906.665000000001</v>
      </c>
      <c r="AJ114" s="7">
        <f t="shared" si="81"/>
        <v>43906.665000000001</v>
      </c>
      <c r="AK114" s="7">
        <f t="shared" si="81"/>
        <v>43906.665000000001</v>
      </c>
      <c r="AL114" s="7">
        <f t="shared" si="81"/>
        <v>43906.665000000001</v>
      </c>
      <c r="AM114" s="7">
        <f t="shared" si="81"/>
        <v>43906.665000000001</v>
      </c>
      <c r="AN114" s="7">
        <f t="shared" si="81"/>
        <v>43906.665000000001</v>
      </c>
      <c r="AO114" s="16"/>
      <c r="AP114" s="7"/>
      <c r="AQ114" s="9">
        <v>5</v>
      </c>
      <c r="AR114" s="9">
        <f t="shared" si="72"/>
        <v>265</v>
      </c>
      <c r="AS114" s="7">
        <f t="shared" si="73"/>
        <v>136</v>
      </c>
      <c r="AT114" s="7"/>
      <c r="AU114" s="16"/>
      <c r="AV114" s="7"/>
      <c r="AW114" s="7"/>
      <c r="AX114" s="7"/>
      <c r="AZ114" s="7"/>
      <c r="BA114" s="9">
        <f t="shared" si="79"/>
        <v>36903.471428571451</v>
      </c>
      <c r="BC114" s="5">
        <f t="shared" si="74"/>
        <v>265</v>
      </c>
      <c r="BQ114" s="18"/>
      <c r="BR114" s="18">
        <v>5402051</v>
      </c>
      <c r="BS114" s="18">
        <f>[1]monsters!$N114</f>
        <v>138.24</v>
      </c>
      <c r="BT114" s="18">
        <f>[1]monsters!$O114</f>
        <v>13.82</v>
      </c>
      <c r="BU114" s="18">
        <f>[1]monsters!$P114</f>
        <v>1706.67</v>
      </c>
      <c r="BV114" s="18">
        <f>[1]monsters!$Q114</f>
        <v>170.67</v>
      </c>
      <c r="BW114" s="18">
        <f>[1]monsters!$R114</f>
        <v>27.65</v>
      </c>
      <c r="BX114" s="18">
        <f>[1]monsters!$S114</f>
        <v>2.76</v>
      </c>
      <c r="BY114" s="18">
        <f>[1]monsters!$K114</f>
        <v>1.8</v>
      </c>
      <c r="BZ114" s="5">
        <f>[1]monsters!$D114</f>
        <v>2</v>
      </c>
      <c r="CA114" s="5">
        <f t="shared" si="75"/>
        <v>0.1</v>
      </c>
      <c r="CB114" s="5">
        <f t="shared" si="76"/>
        <v>188.10043636363639</v>
      </c>
      <c r="CC114" s="5">
        <f t="shared" si="77"/>
        <v>18.810043636363641</v>
      </c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>
        <v>0</v>
      </c>
      <c r="CR114" s="3" t="b">
        <f t="shared" si="48"/>
        <v>1</v>
      </c>
      <c r="CS114" s="3" t="b">
        <f t="shared" si="49"/>
        <v>1</v>
      </c>
      <c r="CT114" s="3" t="b">
        <f t="shared" si="50"/>
        <v>1</v>
      </c>
      <c r="CU114" s="3" t="b">
        <f t="shared" si="51"/>
        <v>1</v>
      </c>
      <c r="CV114" s="3" t="b">
        <f t="shared" si="52"/>
        <v>1</v>
      </c>
      <c r="CW114" s="3" t="b">
        <f t="shared" si="53"/>
        <v>1</v>
      </c>
      <c r="CX114" s="9" t="str">
        <f t="shared" si="54"/>
        <v>5301051</v>
      </c>
      <c r="CY114" s="9" t="str">
        <f t="shared" si="55"/>
        <v>5301052</v>
      </c>
      <c r="CZ114" s="9" t="str">
        <f t="shared" si="56"/>
        <v>5301053</v>
      </c>
      <c r="DA114" s="9" t="str">
        <f t="shared" si="57"/>
        <v>5500051</v>
      </c>
      <c r="DB114" s="9" t="str">
        <f t="shared" si="58"/>
        <v>5500052</v>
      </c>
      <c r="DC114" s="9" t="str">
        <f t="shared" si="59"/>
        <v>5500053</v>
      </c>
      <c r="DD114" s="9">
        <v>5</v>
      </c>
      <c r="DE114" s="9">
        <v>5</v>
      </c>
      <c r="DF114" s="9">
        <v>5</v>
      </c>
      <c r="DG114" s="9">
        <v>5</v>
      </c>
      <c r="DH114" s="9">
        <v>5</v>
      </c>
      <c r="DI114" s="9">
        <v>5</v>
      </c>
      <c r="DJ114" s="9">
        <v>5</v>
      </c>
      <c r="DK114" s="9">
        <v>5</v>
      </c>
      <c r="DL114" s="9">
        <v>5</v>
      </c>
      <c r="DM114" s="9">
        <v>5</v>
      </c>
      <c r="DN114" s="9">
        <v>5</v>
      </c>
      <c r="DO114" s="9">
        <v>5</v>
      </c>
      <c r="DP114" s="3" t="s">
        <v>107</v>
      </c>
      <c r="DQ114" s="3" t="s">
        <v>201</v>
      </c>
      <c r="DR114" s="3" t="s">
        <v>206</v>
      </c>
      <c r="DS114" s="3" t="s">
        <v>197</v>
      </c>
      <c r="DT114" s="3" t="s">
        <v>109</v>
      </c>
      <c r="DU114" s="3" t="s">
        <v>207</v>
      </c>
      <c r="DV114" s="3">
        <f t="shared" si="60"/>
        <v>1</v>
      </c>
      <c r="DW114" s="3">
        <f t="shared" si="61"/>
        <v>1</v>
      </c>
      <c r="DX114" s="3">
        <f t="shared" si="62"/>
        <v>1</v>
      </c>
      <c r="DY114" s="3">
        <f t="shared" si="63"/>
        <v>2</v>
      </c>
      <c r="DZ114" s="3">
        <f t="shared" si="64"/>
        <v>2</v>
      </c>
      <c r="EA114" s="3">
        <f t="shared" si="65"/>
        <v>2</v>
      </c>
      <c r="EB114" s="35"/>
      <c r="EC114" s="5">
        <v>5202053</v>
      </c>
      <c r="ED114" s="34" t="s">
        <v>208</v>
      </c>
      <c r="EE114" s="8">
        <v>1</v>
      </c>
    </row>
    <row r="115" spans="1:135" ht="13.5" customHeight="1">
      <c r="A115" s="9">
        <v>112</v>
      </c>
      <c r="B115" s="9">
        <v>1</v>
      </c>
      <c r="C115" s="9">
        <v>2001</v>
      </c>
      <c r="D115" s="9">
        <f t="shared" si="78"/>
        <v>322724</v>
      </c>
      <c r="E115" s="9" t="str">
        <f t="shared" si="44"/>
        <v>5200052,5200053,5200052,5501055,5400055,5501055</v>
      </c>
      <c r="F115" s="9" t="str">
        <f t="shared" si="45"/>
        <v>5,5,5,5,5,5</v>
      </c>
      <c r="G115" s="9" t="str">
        <f t="shared" si="46"/>
        <v>289,295,295,295,295,295</v>
      </c>
      <c r="H115" s="9">
        <v>93</v>
      </c>
      <c r="I115" s="9" t="s">
        <v>278</v>
      </c>
      <c r="J115" s="9" t="s">
        <v>279</v>
      </c>
      <c r="K115" s="9" t="s">
        <v>279</v>
      </c>
      <c r="L115" s="9" t="s">
        <v>279</v>
      </c>
      <c r="M115" s="9" t="s">
        <v>287</v>
      </c>
      <c r="O115" s="3">
        <f t="shared" si="83"/>
        <v>322724</v>
      </c>
      <c r="P115" s="9">
        <v>266714.36</v>
      </c>
      <c r="Q115" s="9">
        <v>5200052</v>
      </c>
      <c r="R115" s="9">
        <v>5200053</v>
      </c>
      <c r="S115" s="9">
        <v>5200052</v>
      </c>
      <c r="T115" s="9">
        <v>5501055</v>
      </c>
      <c r="U115" s="9">
        <v>5400055</v>
      </c>
      <c r="V115" s="9">
        <v>5501055</v>
      </c>
      <c r="W115" s="9">
        <v>5</v>
      </c>
      <c r="X115" s="9">
        <v>5</v>
      </c>
      <c r="Y115" s="9">
        <v>5</v>
      </c>
      <c r="Z115" s="9">
        <v>5</v>
      </c>
      <c r="AA115" s="9">
        <v>5</v>
      </c>
      <c r="AB115" s="9">
        <v>5</v>
      </c>
      <c r="AC115" s="9">
        <f t="shared" si="66"/>
        <v>289</v>
      </c>
      <c r="AD115" s="9">
        <f t="shared" si="67"/>
        <v>295</v>
      </c>
      <c r="AE115" s="9">
        <f t="shared" si="68"/>
        <v>295</v>
      </c>
      <c r="AF115" s="9">
        <f t="shared" si="69"/>
        <v>295</v>
      </c>
      <c r="AG115" s="9">
        <f t="shared" si="70"/>
        <v>295</v>
      </c>
      <c r="AH115" s="9">
        <f t="shared" si="71"/>
        <v>295</v>
      </c>
      <c r="AI115" s="7">
        <f t="shared" si="82"/>
        <v>44452.393333333333</v>
      </c>
      <c r="AJ115" s="7">
        <f t="shared" si="81"/>
        <v>44452.393333333333</v>
      </c>
      <c r="AK115" s="7">
        <f t="shared" si="81"/>
        <v>44452.393333333333</v>
      </c>
      <c r="AL115" s="7">
        <f t="shared" si="81"/>
        <v>44452.393333333333</v>
      </c>
      <c r="AM115" s="7">
        <f t="shared" si="81"/>
        <v>44452.393333333333</v>
      </c>
      <c r="AN115" s="7">
        <f t="shared" si="81"/>
        <v>44452.393333333333</v>
      </c>
      <c r="AO115" s="16"/>
      <c r="AP115" s="7"/>
      <c r="AQ115" s="9">
        <v>5</v>
      </c>
      <c r="AR115" s="9">
        <f t="shared" si="72"/>
        <v>267</v>
      </c>
      <c r="AS115" s="7">
        <f t="shared" si="73"/>
        <v>137</v>
      </c>
      <c r="AT115" s="7"/>
      <c r="AU115" s="16"/>
      <c r="AV115" s="7"/>
      <c r="AW115" s="7"/>
      <c r="AX115" s="7"/>
      <c r="AZ115" s="7"/>
      <c r="BA115" s="9">
        <f t="shared" si="79"/>
        <v>37426.228571428597</v>
      </c>
      <c r="BC115" s="5">
        <f t="shared" si="74"/>
        <v>267</v>
      </c>
      <c r="BQ115" s="18"/>
      <c r="BR115" s="18">
        <v>5500051</v>
      </c>
      <c r="BS115" s="18">
        <f>[1]monsters!$N115</f>
        <v>92.16</v>
      </c>
      <c r="BT115" s="18">
        <f>[1]monsters!$O115</f>
        <v>9.2200000000000006</v>
      </c>
      <c r="BU115" s="18">
        <f>[1]monsters!$P115</f>
        <v>1706.67</v>
      </c>
      <c r="BV115" s="18">
        <f>[1]monsters!$Q115</f>
        <v>170.67</v>
      </c>
      <c r="BW115" s="18">
        <f>[1]monsters!$R115</f>
        <v>18.43</v>
      </c>
      <c r="BX115" s="18">
        <f>[1]monsters!$S115</f>
        <v>1.84</v>
      </c>
      <c r="BY115" s="18">
        <f>[1]monsters!$K115</f>
        <v>1.2</v>
      </c>
      <c r="BZ115" s="5">
        <f>[1]monsters!$D115</f>
        <v>3</v>
      </c>
      <c r="CA115" s="5">
        <f t="shared" si="75"/>
        <v>0.1</v>
      </c>
      <c r="CB115" s="5">
        <f t="shared" si="76"/>
        <v>144.55483636363635</v>
      </c>
      <c r="CC115" s="5">
        <f t="shared" si="77"/>
        <v>14.455483636363637</v>
      </c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>
        <v>0</v>
      </c>
      <c r="CR115" s="3" t="b">
        <f t="shared" si="48"/>
        <v>1</v>
      </c>
      <c r="CS115" s="3" t="b">
        <f t="shared" si="49"/>
        <v>1</v>
      </c>
      <c r="CT115" s="3" t="b">
        <f t="shared" si="50"/>
        <v>1</v>
      </c>
      <c r="CU115" s="3" t="b">
        <f t="shared" si="51"/>
        <v>1</v>
      </c>
      <c r="CV115" s="3" t="b">
        <f t="shared" si="52"/>
        <v>1</v>
      </c>
      <c r="CW115" s="3" t="b">
        <f t="shared" si="53"/>
        <v>1</v>
      </c>
      <c r="CX115" s="9" t="str">
        <f t="shared" si="54"/>
        <v>5200052</v>
      </c>
      <c r="CY115" s="9" t="str">
        <f t="shared" si="55"/>
        <v>5200053</v>
      </c>
      <c r="CZ115" s="9" t="str">
        <f t="shared" si="56"/>
        <v>5200052</v>
      </c>
      <c r="DA115" s="9" t="str">
        <f t="shared" si="57"/>
        <v>5501055</v>
      </c>
      <c r="DB115" s="9" t="str">
        <f t="shared" si="58"/>
        <v>5400055</v>
      </c>
      <c r="DC115" s="9" t="str">
        <f t="shared" si="59"/>
        <v>5501055</v>
      </c>
      <c r="DD115" s="9">
        <v>5</v>
      </c>
      <c r="DE115" s="9">
        <v>5</v>
      </c>
      <c r="DF115" s="9">
        <v>5</v>
      </c>
      <c r="DG115" s="9">
        <v>5</v>
      </c>
      <c r="DH115" s="9">
        <v>5</v>
      </c>
      <c r="DI115" s="9">
        <v>5</v>
      </c>
      <c r="DJ115" s="9">
        <v>5</v>
      </c>
      <c r="DK115" s="9">
        <v>5</v>
      </c>
      <c r="DL115" s="9">
        <v>5</v>
      </c>
      <c r="DM115" s="9">
        <v>5</v>
      </c>
      <c r="DN115" s="9">
        <v>5</v>
      </c>
      <c r="DO115" s="9">
        <v>5</v>
      </c>
      <c r="DP115" s="3" t="s">
        <v>199</v>
      </c>
      <c r="DQ115" s="3" t="s">
        <v>113</v>
      </c>
      <c r="DR115" s="3" t="s">
        <v>199</v>
      </c>
      <c r="DS115" s="25" t="s">
        <v>209</v>
      </c>
      <c r="DT115" s="25" t="s">
        <v>210</v>
      </c>
      <c r="DU115" s="25" t="s">
        <v>209</v>
      </c>
      <c r="DV115" s="25">
        <f t="shared" si="60"/>
        <v>1</v>
      </c>
      <c r="DW115" s="25">
        <f t="shared" si="61"/>
        <v>1</v>
      </c>
      <c r="DX115" s="25">
        <f t="shared" si="62"/>
        <v>1</v>
      </c>
      <c r="DY115" s="25">
        <f t="shared" si="63"/>
        <v>2</v>
      </c>
      <c r="DZ115" s="25">
        <f t="shared" si="64"/>
        <v>2</v>
      </c>
      <c r="EA115" s="3">
        <f t="shared" si="65"/>
        <v>2</v>
      </c>
      <c r="EB115" s="35"/>
      <c r="EC115" s="5">
        <v>5301053</v>
      </c>
      <c r="ED115" s="34" t="s">
        <v>206</v>
      </c>
      <c r="EE115" s="8">
        <v>1</v>
      </c>
    </row>
    <row r="116" spans="1:135" ht="13.5" customHeight="1">
      <c r="A116" s="9">
        <v>113</v>
      </c>
      <c r="B116" s="9">
        <v>1</v>
      </c>
      <c r="C116" s="9">
        <v>2001</v>
      </c>
      <c r="D116" s="9">
        <f t="shared" si="78"/>
        <v>327055</v>
      </c>
      <c r="E116" s="9" t="str">
        <f t="shared" si="44"/>
        <v>5202051,5201052,5201051,5401051,5401052,5402052</v>
      </c>
      <c r="F116" s="9" t="str">
        <f t="shared" si="45"/>
        <v>5,5,5,5,5,5</v>
      </c>
      <c r="G116" s="9" t="str">
        <f t="shared" si="46"/>
        <v>291,298,298,298,298,298</v>
      </c>
      <c r="H116" s="9">
        <v>93</v>
      </c>
      <c r="I116" s="9" t="s">
        <v>278</v>
      </c>
      <c r="J116" s="9" t="s">
        <v>279</v>
      </c>
      <c r="K116" s="9" t="s">
        <v>279</v>
      </c>
      <c r="L116" s="9" t="s">
        <v>279</v>
      </c>
      <c r="M116" s="9" t="s">
        <v>287</v>
      </c>
      <c r="O116" s="3">
        <f t="shared" si="83"/>
        <v>327055</v>
      </c>
      <c r="P116" s="9">
        <v>270293.53999999998</v>
      </c>
      <c r="Q116" s="9">
        <v>5202051</v>
      </c>
      <c r="R116" s="9">
        <v>5201052</v>
      </c>
      <c r="S116" s="9">
        <v>5201051</v>
      </c>
      <c r="T116" s="9">
        <v>5401051</v>
      </c>
      <c r="U116" s="9">
        <v>5401052</v>
      </c>
      <c r="V116" s="9">
        <v>5402052</v>
      </c>
      <c r="W116" s="9">
        <v>5</v>
      </c>
      <c r="X116" s="9">
        <v>5</v>
      </c>
      <c r="Y116" s="9">
        <v>5</v>
      </c>
      <c r="Z116" s="9">
        <v>5</v>
      </c>
      <c r="AA116" s="9">
        <v>5</v>
      </c>
      <c r="AB116" s="9">
        <v>5</v>
      </c>
      <c r="AC116" s="9">
        <f t="shared" si="66"/>
        <v>291</v>
      </c>
      <c r="AD116" s="9">
        <f t="shared" si="67"/>
        <v>298</v>
      </c>
      <c r="AE116" s="9">
        <f t="shared" si="68"/>
        <v>298</v>
      </c>
      <c r="AF116" s="9">
        <f t="shared" si="69"/>
        <v>298</v>
      </c>
      <c r="AG116" s="9">
        <f t="shared" si="70"/>
        <v>298</v>
      </c>
      <c r="AH116" s="9">
        <f t="shared" si="71"/>
        <v>298</v>
      </c>
      <c r="AI116" s="7">
        <f t="shared" si="82"/>
        <v>45048.923333333332</v>
      </c>
      <c r="AJ116" s="7">
        <f t="shared" si="81"/>
        <v>45048.923333333332</v>
      </c>
      <c r="AK116" s="7">
        <f t="shared" si="81"/>
        <v>45048.923333333332</v>
      </c>
      <c r="AL116" s="7">
        <f t="shared" si="81"/>
        <v>45048.923333333332</v>
      </c>
      <c r="AM116" s="7">
        <f t="shared" si="81"/>
        <v>45048.923333333332</v>
      </c>
      <c r="AN116" s="7">
        <f t="shared" si="81"/>
        <v>45048.923333333332</v>
      </c>
      <c r="AO116" s="16"/>
      <c r="AP116" s="7"/>
      <c r="AQ116" s="9">
        <v>5</v>
      </c>
      <c r="AR116" s="9">
        <f t="shared" si="72"/>
        <v>269</v>
      </c>
      <c r="AS116" s="7">
        <f t="shared" si="73"/>
        <v>138</v>
      </c>
      <c r="AT116" s="7"/>
      <c r="AU116" s="16"/>
      <c r="AV116" s="7"/>
      <c r="AW116" s="7"/>
      <c r="AX116" s="7"/>
      <c r="AZ116" s="7"/>
      <c r="BA116" s="9">
        <f t="shared" si="79"/>
        <v>37948.985714285744</v>
      </c>
      <c r="BC116" s="5">
        <f t="shared" si="74"/>
        <v>269</v>
      </c>
      <c r="BQ116" s="18"/>
      <c r="BR116" s="18">
        <v>5501051</v>
      </c>
      <c r="BS116" s="18">
        <f>[1]monsters!$N116</f>
        <v>163.84</v>
      </c>
      <c r="BT116" s="18">
        <f>[1]monsters!$O116</f>
        <v>16.38</v>
      </c>
      <c r="BU116" s="18">
        <f>[1]monsters!$P116</f>
        <v>1280</v>
      </c>
      <c r="BV116" s="18">
        <f>[1]monsters!$Q116</f>
        <v>128</v>
      </c>
      <c r="BW116" s="18">
        <f>[1]monsters!$R116</f>
        <v>23.41</v>
      </c>
      <c r="BX116" s="18">
        <f>[1]monsters!$S116</f>
        <v>2.34</v>
      </c>
      <c r="BY116" s="18">
        <f>[1]monsters!$K116</f>
        <v>1.6</v>
      </c>
      <c r="BZ116" s="5">
        <f>[1]monsters!$D116</f>
        <v>4</v>
      </c>
      <c r="CA116" s="5">
        <f t="shared" si="75"/>
        <v>0.1</v>
      </c>
      <c r="CB116" s="5">
        <f t="shared" si="76"/>
        <v>197.9264430976431</v>
      </c>
      <c r="CC116" s="5">
        <f t="shared" si="77"/>
        <v>19.792644309764313</v>
      </c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>
        <v>0</v>
      </c>
      <c r="CR116" s="3" t="b">
        <f t="shared" si="48"/>
        <v>1</v>
      </c>
      <c r="CS116" s="3" t="b">
        <f t="shared" si="49"/>
        <v>1</v>
      </c>
      <c r="CT116" s="3" t="b">
        <f t="shared" si="50"/>
        <v>1</v>
      </c>
      <c r="CU116" s="3" t="b">
        <f t="shared" si="51"/>
        <v>1</v>
      </c>
      <c r="CV116" s="3" t="b">
        <f t="shared" si="52"/>
        <v>1</v>
      </c>
      <c r="CW116" s="3" t="b">
        <f t="shared" si="53"/>
        <v>1</v>
      </c>
      <c r="CX116" s="9" t="str">
        <f t="shared" si="54"/>
        <v>5202051</v>
      </c>
      <c r="CY116" s="9" t="str">
        <f t="shared" si="55"/>
        <v>5201052</v>
      </c>
      <c r="CZ116" s="9" t="str">
        <f t="shared" si="56"/>
        <v>5201051</v>
      </c>
      <c r="DA116" s="9" t="str">
        <f t="shared" si="57"/>
        <v>5401051</v>
      </c>
      <c r="DB116" s="9" t="str">
        <f t="shared" si="58"/>
        <v>5401052</v>
      </c>
      <c r="DC116" s="9" t="str">
        <f t="shared" si="59"/>
        <v>5402052</v>
      </c>
      <c r="DD116" s="9">
        <v>5</v>
      </c>
      <c r="DE116" s="9">
        <v>5</v>
      </c>
      <c r="DF116" s="9">
        <v>5</v>
      </c>
      <c r="DG116" s="9">
        <v>5</v>
      </c>
      <c r="DH116" s="9">
        <v>5</v>
      </c>
      <c r="DI116" s="9">
        <v>5</v>
      </c>
      <c r="DJ116" s="9">
        <v>5</v>
      </c>
      <c r="DK116" s="9">
        <v>5</v>
      </c>
      <c r="DL116" s="9">
        <v>5</v>
      </c>
      <c r="DM116" s="9">
        <v>5</v>
      </c>
      <c r="DN116" s="9">
        <v>5</v>
      </c>
      <c r="DO116" s="9">
        <v>5</v>
      </c>
      <c r="DP116" s="3" t="s">
        <v>111</v>
      </c>
      <c r="DQ116" s="3" t="s">
        <v>114</v>
      </c>
      <c r="DR116" s="3" t="s">
        <v>195</v>
      </c>
      <c r="DS116" s="3" t="s">
        <v>117</v>
      </c>
      <c r="DT116" s="3" t="s">
        <v>202</v>
      </c>
      <c r="DU116" s="3" t="s">
        <v>203</v>
      </c>
      <c r="DV116" s="3">
        <f t="shared" si="60"/>
        <v>1</v>
      </c>
      <c r="DW116" s="3">
        <f t="shared" si="61"/>
        <v>1</v>
      </c>
      <c r="DX116" s="3">
        <f t="shared" si="62"/>
        <v>1</v>
      </c>
      <c r="DY116" s="3">
        <f t="shared" si="63"/>
        <v>2</v>
      </c>
      <c r="DZ116" s="3">
        <f t="shared" si="64"/>
        <v>2</v>
      </c>
      <c r="EA116" s="3">
        <f t="shared" si="65"/>
        <v>2</v>
      </c>
      <c r="EB116" s="35"/>
      <c r="EC116" s="5">
        <v>5401053</v>
      </c>
      <c r="ED116" s="34" t="s">
        <v>211</v>
      </c>
      <c r="EE116" s="8">
        <v>2</v>
      </c>
    </row>
    <row r="117" spans="1:135" ht="13.5" customHeight="1">
      <c r="A117" s="9">
        <v>114</v>
      </c>
      <c r="B117" s="9">
        <v>1</v>
      </c>
      <c r="C117" s="9">
        <v>2001</v>
      </c>
      <c r="D117" s="9">
        <f t="shared" si="78"/>
        <v>331067</v>
      </c>
      <c r="E117" s="9" t="str">
        <f t="shared" si="44"/>
        <v>5300055,5202055,5202055,5501054,5500053,5501054</v>
      </c>
      <c r="F117" s="9" t="str">
        <f t="shared" si="45"/>
        <v>5,5,5,5,5,5</v>
      </c>
      <c r="G117" s="9" t="str">
        <f t="shared" si="46"/>
        <v>293,299,299,299,299,299</v>
      </c>
      <c r="H117" s="9">
        <v>93</v>
      </c>
      <c r="I117" s="9" t="s">
        <v>278</v>
      </c>
      <c r="J117" s="9" t="s">
        <v>279</v>
      </c>
      <c r="K117" s="9" t="s">
        <v>279</v>
      </c>
      <c r="L117" s="9" t="s">
        <v>279</v>
      </c>
      <c r="M117" s="9" t="s">
        <v>287</v>
      </c>
      <c r="O117" s="3">
        <f t="shared" si="83"/>
        <v>331067</v>
      </c>
      <c r="P117" s="9">
        <v>273609.05</v>
      </c>
      <c r="Q117" s="9">
        <v>5300055</v>
      </c>
      <c r="R117" s="9">
        <v>5202055</v>
      </c>
      <c r="S117" s="9">
        <v>5202055</v>
      </c>
      <c r="T117" s="9">
        <v>5501054</v>
      </c>
      <c r="U117" s="9">
        <v>5500053</v>
      </c>
      <c r="V117" s="9">
        <v>5501054</v>
      </c>
      <c r="W117" s="9">
        <v>5</v>
      </c>
      <c r="X117" s="9">
        <v>5</v>
      </c>
      <c r="Y117" s="9">
        <v>5</v>
      </c>
      <c r="Z117" s="9">
        <v>5</v>
      </c>
      <c r="AA117" s="9">
        <v>5</v>
      </c>
      <c r="AB117" s="9">
        <v>5</v>
      </c>
      <c r="AC117" s="9">
        <f t="shared" si="66"/>
        <v>293</v>
      </c>
      <c r="AD117" s="9">
        <f t="shared" si="67"/>
        <v>299</v>
      </c>
      <c r="AE117" s="9">
        <f t="shared" si="68"/>
        <v>299</v>
      </c>
      <c r="AF117" s="9">
        <f t="shared" si="69"/>
        <v>299</v>
      </c>
      <c r="AG117" s="9">
        <f t="shared" si="70"/>
        <v>299</v>
      </c>
      <c r="AH117" s="9">
        <f t="shared" si="71"/>
        <v>299</v>
      </c>
      <c r="AI117" s="7">
        <f t="shared" si="82"/>
        <v>45601.508333333331</v>
      </c>
      <c r="AJ117" s="7">
        <f t="shared" si="81"/>
        <v>45601.508333333331</v>
      </c>
      <c r="AK117" s="7">
        <f t="shared" si="81"/>
        <v>45601.508333333331</v>
      </c>
      <c r="AL117" s="7">
        <f t="shared" si="81"/>
        <v>45601.508333333331</v>
      </c>
      <c r="AM117" s="7">
        <f t="shared" si="81"/>
        <v>45601.508333333331</v>
      </c>
      <c r="AN117" s="7">
        <f t="shared" si="81"/>
        <v>45601.508333333331</v>
      </c>
      <c r="AO117" s="16"/>
      <c r="AP117" s="7"/>
      <c r="AQ117" s="9">
        <v>5</v>
      </c>
      <c r="AR117" s="9">
        <f t="shared" si="72"/>
        <v>270</v>
      </c>
      <c r="AS117" s="7">
        <f t="shared" si="73"/>
        <v>139</v>
      </c>
      <c r="AT117" s="7"/>
      <c r="AU117" s="16"/>
      <c r="AV117" s="7"/>
      <c r="AW117" s="7"/>
      <c r="AX117" s="7"/>
      <c r="AZ117" s="7"/>
      <c r="BA117" s="9">
        <f t="shared" si="79"/>
        <v>38471.74285714289</v>
      </c>
      <c r="BC117" s="5">
        <f t="shared" si="74"/>
        <v>270</v>
      </c>
      <c r="BQ117" s="18"/>
      <c r="BR117" s="18">
        <v>5600051</v>
      </c>
      <c r="BS117" s="18">
        <f>[1]monsters!$N117</f>
        <v>153.6</v>
      </c>
      <c r="BT117" s="18">
        <f>[1]monsters!$O117</f>
        <v>15.36</v>
      </c>
      <c r="BU117" s="18">
        <f>[1]monsters!$P117</f>
        <v>1280</v>
      </c>
      <c r="BV117" s="18">
        <f>[1]monsters!$Q117</f>
        <v>128</v>
      </c>
      <c r="BW117" s="18">
        <f>[1]monsters!$R117</f>
        <v>21.94</v>
      </c>
      <c r="BX117" s="18">
        <f>[1]monsters!$S117</f>
        <v>2.19</v>
      </c>
      <c r="BY117" s="18">
        <f>[1]monsters!$K117</f>
        <v>1.5</v>
      </c>
      <c r="BZ117" s="5">
        <f>[1]monsters!$D117</f>
        <v>4</v>
      </c>
      <c r="CA117" s="5">
        <f t="shared" si="75"/>
        <v>0.1</v>
      </c>
      <c r="CB117" s="5">
        <f t="shared" si="76"/>
        <v>188.24964309764312</v>
      </c>
      <c r="CC117" s="5">
        <f t="shared" si="77"/>
        <v>18.824964309764312</v>
      </c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>
        <v>0</v>
      </c>
      <c r="CR117" s="3" t="b">
        <f t="shared" si="48"/>
        <v>1</v>
      </c>
      <c r="CS117" s="3" t="b">
        <f t="shared" si="49"/>
        <v>1</v>
      </c>
      <c r="CT117" s="3" t="b">
        <f t="shared" si="50"/>
        <v>1</v>
      </c>
      <c r="CU117" s="3" t="b">
        <f t="shared" si="51"/>
        <v>1</v>
      </c>
      <c r="CV117" s="3" t="b">
        <f t="shared" si="52"/>
        <v>1</v>
      </c>
      <c r="CW117" s="3" t="b">
        <f t="shared" si="53"/>
        <v>1</v>
      </c>
      <c r="CX117" s="9" t="str">
        <f t="shared" si="54"/>
        <v>5300055</v>
      </c>
      <c r="CY117" s="9" t="str">
        <f t="shared" si="55"/>
        <v>5202055</v>
      </c>
      <c r="CZ117" s="9" t="str">
        <f t="shared" si="56"/>
        <v>5202055</v>
      </c>
      <c r="DA117" s="9" t="str">
        <f t="shared" si="57"/>
        <v>5501054</v>
      </c>
      <c r="DB117" s="9" t="str">
        <f t="shared" si="58"/>
        <v>5500053</v>
      </c>
      <c r="DC117" s="9" t="str">
        <f t="shared" si="59"/>
        <v>5501054</v>
      </c>
      <c r="DD117" s="9">
        <v>5</v>
      </c>
      <c r="DE117" s="9">
        <v>5</v>
      </c>
      <c r="DF117" s="9">
        <v>5</v>
      </c>
      <c r="DG117" s="9">
        <v>5</v>
      </c>
      <c r="DH117" s="9">
        <v>5</v>
      </c>
      <c r="DI117" s="9">
        <v>5</v>
      </c>
      <c r="DJ117" s="9">
        <v>5</v>
      </c>
      <c r="DK117" s="9">
        <v>5</v>
      </c>
      <c r="DL117" s="9">
        <v>5</v>
      </c>
      <c r="DM117" s="9">
        <v>5</v>
      </c>
      <c r="DN117" s="9">
        <v>5</v>
      </c>
      <c r="DO117" s="9">
        <v>5</v>
      </c>
      <c r="DP117" s="3" t="s">
        <v>212</v>
      </c>
      <c r="DQ117" s="3" t="s">
        <v>213</v>
      </c>
      <c r="DR117" s="3" t="s">
        <v>213</v>
      </c>
      <c r="DS117" s="3" t="s">
        <v>214</v>
      </c>
      <c r="DT117" s="3" t="s">
        <v>207</v>
      </c>
      <c r="DU117" s="3" t="s">
        <v>214</v>
      </c>
      <c r="DV117" s="3">
        <f t="shared" si="60"/>
        <v>1</v>
      </c>
      <c r="DW117" s="3">
        <f t="shared" si="61"/>
        <v>1</v>
      </c>
      <c r="DX117" s="3">
        <f t="shared" si="62"/>
        <v>1</v>
      </c>
      <c r="DY117" s="3">
        <f t="shared" si="63"/>
        <v>2</v>
      </c>
      <c r="DZ117" s="3">
        <f t="shared" si="64"/>
        <v>2</v>
      </c>
      <c r="EA117" s="3">
        <f t="shared" si="65"/>
        <v>2</v>
      </c>
      <c r="EB117" s="35"/>
      <c r="EC117" s="5">
        <v>5402053</v>
      </c>
      <c r="ED117" s="34" t="s">
        <v>118</v>
      </c>
      <c r="EE117" s="8">
        <v>2</v>
      </c>
    </row>
    <row r="118" spans="1:135" ht="13.5" customHeight="1">
      <c r="A118" s="9">
        <v>115</v>
      </c>
      <c r="B118" s="9">
        <v>1</v>
      </c>
      <c r="C118" s="9">
        <v>2001</v>
      </c>
      <c r="D118" s="9">
        <f t="shared" si="78"/>
        <v>335106</v>
      </c>
      <c r="E118" s="9" t="str">
        <f t="shared" si="44"/>
        <v>5202051,5301052,5301051,5502052,5501054,5501054</v>
      </c>
      <c r="F118" s="9" t="str">
        <f t="shared" si="45"/>
        <v>5,5,5,5,5,5</v>
      </c>
      <c r="G118" s="9" t="str">
        <f t="shared" si="46"/>
        <v>295,301,301,301,301,301</v>
      </c>
      <c r="H118" s="9">
        <v>94</v>
      </c>
      <c r="I118" s="9" t="s">
        <v>278</v>
      </c>
      <c r="J118" s="9" t="s">
        <v>279</v>
      </c>
      <c r="K118" s="9" t="s">
        <v>279</v>
      </c>
      <c r="L118" s="9" t="s">
        <v>279</v>
      </c>
      <c r="M118" s="9" t="s">
        <v>287</v>
      </c>
      <c r="O118" s="3">
        <f t="shared" si="83"/>
        <v>335106</v>
      </c>
      <c r="P118" s="9">
        <v>276947</v>
      </c>
      <c r="Q118" s="9">
        <v>5202051</v>
      </c>
      <c r="R118" s="9">
        <v>5301052</v>
      </c>
      <c r="S118" s="9">
        <v>5301051</v>
      </c>
      <c r="T118" s="9">
        <v>5502052</v>
      </c>
      <c r="U118" s="9">
        <v>5501054</v>
      </c>
      <c r="V118" s="9">
        <v>5501054</v>
      </c>
      <c r="W118" s="9">
        <v>5</v>
      </c>
      <c r="X118" s="9">
        <v>5</v>
      </c>
      <c r="Y118" s="9">
        <v>5</v>
      </c>
      <c r="Z118" s="9">
        <v>5</v>
      </c>
      <c r="AA118" s="9">
        <v>5</v>
      </c>
      <c r="AB118" s="9">
        <v>5</v>
      </c>
      <c r="AC118" s="9">
        <f t="shared" si="66"/>
        <v>295</v>
      </c>
      <c r="AD118" s="9">
        <f t="shared" si="67"/>
        <v>301</v>
      </c>
      <c r="AE118" s="9">
        <f t="shared" si="68"/>
        <v>301</v>
      </c>
      <c r="AF118" s="9">
        <f t="shared" si="69"/>
        <v>301</v>
      </c>
      <c r="AG118" s="9">
        <f t="shared" si="70"/>
        <v>301</v>
      </c>
      <c r="AH118" s="9">
        <f t="shared" si="71"/>
        <v>301</v>
      </c>
      <c r="AI118" s="7">
        <f t="shared" si="82"/>
        <v>46157.833333333336</v>
      </c>
      <c r="AJ118" s="7">
        <f t="shared" si="81"/>
        <v>46157.833333333336</v>
      </c>
      <c r="AK118" s="7">
        <f t="shared" si="81"/>
        <v>46157.833333333336</v>
      </c>
      <c r="AL118" s="7">
        <f t="shared" si="81"/>
        <v>46157.833333333336</v>
      </c>
      <c r="AM118" s="7">
        <f t="shared" si="81"/>
        <v>46157.833333333336</v>
      </c>
      <c r="AN118" s="7">
        <f t="shared" si="81"/>
        <v>46157.833333333336</v>
      </c>
      <c r="AO118" s="16"/>
      <c r="AP118" s="7"/>
      <c r="AQ118" s="9">
        <v>5</v>
      </c>
      <c r="AR118" s="9">
        <f t="shared" si="72"/>
        <v>272</v>
      </c>
      <c r="AS118" s="7">
        <f t="shared" si="73"/>
        <v>140</v>
      </c>
      <c r="AT118" s="7"/>
      <c r="AU118" s="16"/>
      <c r="AV118" s="7"/>
      <c r="AW118" s="7"/>
      <c r="AX118" s="7"/>
      <c r="AZ118" s="7"/>
      <c r="BA118" s="9">
        <f t="shared" si="79"/>
        <v>38994.500000000036</v>
      </c>
      <c r="BC118" s="5">
        <f t="shared" si="74"/>
        <v>272</v>
      </c>
      <c r="BQ118" s="18"/>
      <c r="BR118" s="18">
        <v>5601051</v>
      </c>
      <c r="BS118" s="18">
        <f>[1]monsters!$N118</f>
        <v>179.2</v>
      </c>
      <c r="BT118" s="18">
        <f>[1]monsters!$O118</f>
        <v>17.920000000000002</v>
      </c>
      <c r="BU118" s="18">
        <f>[1]monsters!$P118</f>
        <v>1097.1400000000001</v>
      </c>
      <c r="BV118" s="18">
        <f>[1]monsters!$Q118</f>
        <v>109.71</v>
      </c>
      <c r="BW118" s="18">
        <f>[1]monsters!$R118</f>
        <v>22.4</v>
      </c>
      <c r="BX118" s="18">
        <f>[1]monsters!$S118</f>
        <v>2.2400000000000002</v>
      </c>
      <c r="BY118" s="18">
        <f>[1]monsters!$K118</f>
        <v>1.5</v>
      </c>
      <c r="BZ118" s="5">
        <f>[1]monsters!$D118</f>
        <v>5</v>
      </c>
      <c r="CA118" s="5">
        <f t="shared" si="75"/>
        <v>0.1</v>
      </c>
      <c r="CB118" s="5">
        <f t="shared" si="76"/>
        <v>206.28474074074074</v>
      </c>
      <c r="CC118" s="5">
        <f t="shared" si="77"/>
        <v>20.628474074074077</v>
      </c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>
        <v>1</v>
      </c>
      <c r="CR118" s="3" t="b">
        <f t="shared" si="48"/>
        <v>1</v>
      </c>
      <c r="CS118" s="3" t="b">
        <f t="shared" si="49"/>
        <v>1</v>
      </c>
      <c r="CT118" s="3" t="b">
        <f t="shared" si="50"/>
        <v>1</v>
      </c>
      <c r="CU118" s="3" t="b">
        <f t="shared" si="51"/>
        <v>1</v>
      </c>
      <c r="CV118" s="3" t="b">
        <f t="shared" si="52"/>
        <v>1</v>
      </c>
      <c r="CW118" s="3" t="b">
        <f t="shared" si="53"/>
        <v>1</v>
      </c>
      <c r="CX118" s="9" t="str">
        <f t="shared" si="54"/>
        <v>5202051</v>
      </c>
      <c r="CY118" s="9" t="str">
        <f t="shared" si="55"/>
        <v>5301052</v>
      </c>
      <c r="CZ118" s="9" t="str">
        <f t="shared" si="56"/>
        <v>5301051</v>
      </c>
      <c r="DA118" s="9" t="str">
        <f t="shared" si="57"/>
        <v>5502052</v>
      </c>
      <c r="DB118" s="9" t="str">
        <f t="shared" si="58"/>
        <v>5501054</v>
      </c>
      <c r="DC118" s="9" t="str">
        <f t="shared" si="59"/>
        <v>5501054</v>
      </c>
      <c r="DD118" s="9">
        <v>5</v>
      </c>
      <c r="DE118" s="9">
        <v>5</v>
      </c>
      <c r="DF118" s="9">
        <v>5</v>
      </c>
      <c r="DG118" s="9">
        <v>5</v>
      </c>
      <c r="DH118" s="9">
        <v>5</v>
      </c>
      <c r="DI118" s="9">
        <v>5</v>
      </c>
      <c r="DJ118" s="9">
        <v>5</v>
      </c>
      <c r="DK118" s="9">
        <v>5</v>
      </c>
      <c r="DL118" s="9">
        <v>5</v>
      </c>
      <c r="DM118" s="9">
        <v>5</v>
      </c>
      <c r="DN118" s="9">
        <v>5</v>
      </c>
      <c r="DO118" s="9">
        <v>5</v>
      </c>
      <c r="DP118" s="3" t="s">
        <v>111</v>
      </c>
      <c r="DQ118" s="3" t="s">
        <v>201</v>
      </c>
      <c r="DR118" s="3" t="s">
        <v>107</v>
      </c>
      <c r="DS118" s="3" t="s">
        <v>204</v>
      </c>
      <c r="DT118" s="3" t="s">
        <v>214</v>
      </c>
      <c r="DU118" s="3" t="s">
        <v>214</v>
      </c>
      <c r="DV118" s="3">
        <f t="shared" si="60"/>
        <v>1</v>
      </c>
      <c r="DW118" s="3">
        <f t="shared" si="61"/>
        <v>1</v>
      </c>
      <c r="DX118" s="3">
        <f t="shared" si="62"/>
        <v>1</v>
      </c>
      <c r="DY118" s="3">
        <f t="shared" si="63"/>
        <v>2</v>
      </c>
      <c r="DZ118" s="3">
        <f t="shared" si="64"/>
        <v>2</v>
      </c>
      <c r="EA118" s="3">
        <f t="shared" si="65"/>
        <v>2</v>
      </c>
      <c r="EB118" s="35"/>
      <c r="EC118" s="5">
        <v>5500053</v>
      </c>
      <c r="ED118" s="34" t="s">
        <v>207</v>
      </c>
      <c r="EE118" s="8">
        <v>2</v>
      </c>
    </row>
    <row r="119" spans="1:135" ht="13.5" customHeight="1">
      <c r="A119" s="9">
        <v>116</v>
      </c>
      <c r="B119" s="9">
        <v>1</v>
      </c>
      <c r="C119" s="9">
        <v>2001</v>
      </c>
      <c r="D119" s="9">
        <f t="shared" si="78"/>
        <v>339167</v>
      </c>
      <c r="E119" s="9" t="str">
        <f t="shared" si="44"/>
        <v>5202053,5202052,5202053,5400055,5400055,5400055</v>
      </c>
      <c r="F119" s="9" t="str">
        <f t="shared" si="45"/>
        <v>5,5,5,5,5,5</v>
      </c>
      <c r="G119" s="9" t="str">
        <f t="shared" si="46"/>
        <v>297,303,303,303,303,303</v>
      </c>
      <c r="H119" s="9">
        <v>96</v>
      </c>
      <c r="I119" s="9" t="s">
        <v>278</v>
      </c>
      <c r="J119" s="9" t="s">
        <v>279</v>
      </c>
      <c r="K119" s="9" t="s">
        <v>279</v>
      </c>
      <c r="L119" s="9" t="s">
        <v>279</v>
      </c>
      <c r="M119" s="9" t="s">
        <v>287</v>
      </c>
      <c r="O119" s="3">
        <f t="shared" si="83"/>
        <v>339167</v>
      </c>
      <c r="P119" s="9">
        <v>280303.65000000002</v>
      </c>
      <c r="Q119" s="9">
        <v>5202053</v>
      </c>
      <c r="R119" s="9">
        <v>5202052</v>
      </c>
      <c r="S119" s="9">
        <v>5202053</v>
      </c>
      <c r="T119" s="9">
        <v>5400055</v>
      </c>
      <c r="U119" s="9">
        <v>5400055</v>
      </c>
      <c r="V119" s="9">
        <v>5400055</v>
      </c>
      <c r="W119" s="9">
        <v>5</v>
      </c>
      <c r="X119" s="9">
        <v>5</v>
      </c>
      <c r="Y119" s="9">
        <v>5</v>
      </c>
      <c r="Z119" s="9">
        <v>5</v>
      </c>
      <c r="AA119" s="9">
        <v>5</v>
      </c>
      <c r="AB119" s="9">
        <v>5</v>
      </c>
      <c r="AC119" s="9">
        <f t="shared" si="66"/>
        <v>297</v>
      </c>
      <c r="AD119" s="9">
        <f t="shared" si="67"/>
        <v>303</v>
      </c>
      <c r="AE119" s="9">
        <f t="shared" si="68"/>
        <v>303</v>
      </c>
      <c r="AF119" s="9">
        <f t="shared" si="69"/>
        <v>303</v>
      </c>
      <c r="AG119" s="9">
        <f t="shared" si="70"/>
        <v>303</v>
      </c>
      <c r="AH119" s="9">
        <f t="shared" si="71"/>
        <v>303</v>
      </c>
      <c r="AI119" s="7">
        <f t="shared" si="82"/>
        <v>46717.275000000001</v>
      </c>
      <c r="AJ119" s="7">
        <f t="shared" si="81"/>
        <v>46717.275000000001</v>
      </c>
      <c r="AK119" s="7">
        <f t="shared" si="81"/>
        <v>46717.275000000001</v>
      </c>
      <c r="AL119" s="7">
        <f t="shared" si="81"/>
        <v>46717.275000000001</v>
      </c>
      <c r="AM119" s="7">
        <f t="shared" si="81"/>
        <v>46717.275000000001</v>
      </c>
      <c r="AN119" s="7">
        <f t="shared" si="81"/>
        <v>46717.275000000001</v>
      </c>
      <c r="AO119" s="16"/>
      <c r="AP119" s="7"/>
      <c r="AQ119" s="9">
        <v>5</v>
      </c>
      <c r="AR119" s="9">
        <f t="shared" si="72"/>
        <v>274</v>
      </c>
      <c r="AS119" s="7">
        <f t="shared" si="73"/>
        <v>141</v>
      </c>
      <c r="AT119" s="7"/>
      <c r="AU119" s="16"/>
      <c r="AV119" s="7"/>
      <c r="AW119" s="7"/>
      <c r="AX119" s="7"/>
      <c r="AZ119" s="7"/>
      <c r="BA119" s="9">
        <f t="shared" si="79"/>
        <v>39517.257142857183</v>
      </c>
      <c r="BC119" s="5">
        <f t="shared" si="74"/>
        <v>274</v>
      </c>
      <c r="BQ119" s="18"/>
      <c r="BR119" s="18">
        <v>5200052</v>
      </c>
      <c r="BS119" s="18">
        <f>[1]monsters!$N119</f>
        <v>167.25</v>
      </c>
      <c r="BT119" s="18">
        <f>[1]monsters!$O119</f>
        <v>16.73</v>
      </c>
      <c r="BU119" s="18">
        <f>[1]monsters!$P119</f>
        <v>1097.1400000000001</v>
      </c>
      <c r="BV119" s="18">
        <f>[1]monsters!$Q119</f>
        <v>109.71</v>
      </c>
      <c r="BW119" s="18">
        <f>[1]monsters!$R119</f>
        <v>20.91</v>
      </c>
      <c r="BX119" s="18">
        <f>[1]monsters!$S119</f>
        <v>2.09</v>
      </c>
      <c r="BY119" s="18">
        <f>[1]monsters!$K119</f>
        <v>1.4</v>
      </c>
      <c r="BZ119" s="5">
        <f>[1]monsters!$D119</f>
        <v>5</v>
      </c>
      <c r="CA119" s="5">
        <f t="shared" si="75"/>
        <v>0.1</v>
      </c>
      <c r="CB119" s="5">
        <f t="shared" si="76"/>
        <v>194.99199074074076</v>
      </c>
      <c r="CC119" s="5">
        <f t="shared" si="77"/>
        <v>19.499199074074077</v>
      </c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>
        <v>0</v>
      </c>
      <c r="CR119" s="3" t="b">
        <f t="shared" si="48"/>
        <v>1</v>
      </c>
      <c r="CS119" s="3" t="b">
        <f t="shared" si="49"/>
        <v>1</v>
      </c>
      <c r="CT119" s="3" t="b">
        <f t="shared" si="50"/>
        <v>1</v>
      </c>
      <c r="CU119" s="3" t="b">
        <f t="shared" si="51"/>
        <v>1</v>
      </c>
      <c r="CV119" s="3" t="b">
        <f t="shared" si="52"/>
        <v>1</v>
      </c>
      <c r="CW119" s="3" t="b">
        <f t="shared" si="53"/>
        <v>1</v>
      </c>
      <c r="CX119" s="9" t="str">
        <f t="shared" si="54"/>
        <v>5202053</v>
      </c>
      <c r="CY119" s="9" t="str">
        <f t="shared" si="55"/>
        <v>5202052</v>
      </c>
      <c r="CZ119" s="9" t="str">
        <f t="shared" si="56"/>
        <v>5202053</v>
      </c>
      <c r="DA119" s="9" t="str">
        <f t="shared" si="57"/>
        <v>5400055</v>
      </c>
      <c r="DB119" s="9" t="str">
        <f t="shared" si="58"/>
        <v>5400055</v>
      </c>
      <c r="DC119" s="9" t="str">
        <f t="shared" si="59"/>
        <v>5400055</v>
      </c>
      <c r="DD119" s="9">
        <v>5</v>
      </c>
      <c r="DE119" s="9">
        <v>5</v>
      </c>
      <c r="DF119" s="9">
        <v>5</v>
      </c>
      <c r="DG119" s="9">
        <v>5</v>
      </c>
      <c r="DH119" s="9">
        <v>5</v>
      </c>
      <c r="DI119" s="9">
        <v>5</v>
      </c>
      <c r="DJ119" s="9">
        <v>5</v>
      </c>
      <c r="DK119" s="9">
        <v>5</v>
      </c>
      <c r="DL119" s="9">
        <v>5</v>
      </c>
      <c r="DM119" s="9">
        <v>5</v>
      </c>
      <c r="DN119" s="9">
        <v>5</v>
      </c>
      <c r="DO119" s="9">
        <v>5</v>
      </c>
      <c r="DP119" s="25" t="s">
        <v>208</v>
      </c>
      <c r="DQ119" s="25" t="s">
        <v>200</v>
      </c>
      <c r="DR119" s="25" t="s">
        <v>208</v>
      </c>
      <c r="DS119" s="25" t="s">
        <v>210</v>
      </c>
      <c r="DT119" s="25" t="s">
        <v>210</v>
      </c>
      <c r="DU119" s="25" t="s">
        <v>210</v>
      </c>
      <c r="DV119" s="25">
        <f t="shared" si="60"/>
        <v>1</v>
      </c>
      <c r="DW119" s="25">
        <f t="shared" si="61"/>
        <v>1</v>
      </c>
      <c r="DX119" s="25">
        <f t="shared" si="62"/>
        <v>1</v>
      </c>
      <c r="DY119" s="25">
        <f t="shared" si="63"/>
        <v>2</v>
      </c>
      <c r="DZ119" s="25">
        <f t="shared" si="64"/>
        <v>2</v>
      </c>
      <c r="EA119" s="3">
        <f t="shared" si="65"/>
        <v>2</v>
      </c>
      <c r="EB119" s="34"/>
      <c r="EC119" s="5">
        <v>5502053</v>
      </c>
      <c r="ED119" s="34" t="s">
        <v>215</v>
      </c>
      <c r="EE119" s="8">
        <v>2</v>
      </c>
    </row>
    <row r="120" spans="1:135" ht="13.5" customHeight="1">
      <c r="A120" s="9">
        <v>117</v>
      </c>
      <c r="B120" s="9">
        <v>1</v>
      </c>
      <c r="C120" s="9">
        <v>2001</v>
      </c>
      <c r="D120" s="9">
        <f t="shared" si="78"/>
        <v>343256</v>
      </c>
      <c r="E120" s="9" t="str">
        <f t="shared" si="44"/>
        <v>5301051,5301052,5301053,5501054,5400055,5502053</v>
      </c>
      <c r="F120" s="9" t="str">
        <f t="shared" si="45"/>
        <v>5,5,5,5,5,5</v>
      </c>
      <c r="G120" s="9" t="str">
        <f t="shared" si="46"/>
        <v>298,305,305,305,305,305</v>
      </c>
      <c r="H120" s="9">
        <v>96</v>
      </c>
      <c r="I120" s="9" t="s">
        <v>278</v>
      </c>
      <c r="J120" s="9" t="s">
        <v>279</v>
      </c>
      <c r="K120" s="9" t="s">
        <v>279</v>
      </c>
      <c r="L120" s="9" t="s">
        <v>279</v>
      </c>
      <c r="M120" s="9" t="s">
        <v>287</v>
      </c>
      <c r="O120" s="3">
        <f t="shared" si="83"/>
        <v>343256</v>
      </c>
      <c r="P120" s="9">
        <v>283682.74</v>
      </c>
      <c r="Q120" s="9">
        <v>5301051</v>
      </c>
      <c r="R120" s="9">
        <v>5301052</v>
      </c>
      <c r="S120" s="9">
        <v>5301053</v>
      </c>
      <c r="T120" s="9">
        <v>5501054</v>
      </c>
      <c r="U120" s="9">
        <v>5400055</v>
      </c>
      <c r="V120" s="9">
        <v>5502053</v>
      </c>
      <c r="W120" s="9">
        <v>5</v>
      </c>
      <c r="X120" s="9">
        <v>5</v>
      </c>
      <c r="Y120" s="9">
        <v>5</v>
      </c>
      <c r="Z120" s="9">
        <v>5</v>
      </c>
      <c r="AA120" s="9">
        <v>5</v>
      </c>
      <c r="AB120" s="9">
        <v>5</v>
      </c>
      <c r="AC120" s="9">
        <f t="shared" si="66"/>
        <v>298</v>
      </c>
      <c r="AD120" s="9">
        <f t="shared" si="67"/>
        <v>305</v>
      </c>
      <c r="AE120" s="9">
        <f t="shared" si="68"/>
        <v>305</v>
      </c>
      <c r="AF120" s="9">
        <f t="shared" si="69"/>
        <v>305</v>
      </c>
      <c r="AG120" s="9">
        <f t="shared" si="70"/>
        <v>305</v>
      </c>
      <c r="AH120" s="9">
        <f t="shared" si="71"/>
        <v>305</v>
      </c>
      <c r="AI120" s="7">
        <f t="shared" si="82"/>
        <v>47280.456666666665</v>
      </c>
      <c r="AJ120" s="7">
        <f t="shared" si="81"/>
        <v>47280.456666666665</v>
      </c>
      <c r="AK120" s="7">
        <f t="shared" si="81"/>
        <v>47280.456666666665</v>
      </c>
      <c r="AL120" s="7">
        <f t="shared" si="81"/>
        <v>47280.456666666665</v>
      </c>
      <c r="AM120" s="7">
        <f t="shared" si="81"/>
        <v>47280.456666666665</v>
      </c>
      <c r="AN120" s="7">
        <f t="shared" si="81"/>
        <v>47280.456666666665</v>
      </c>
      <c r="AO120" s="16"/>
      <c r="AP120" s="7"/>
      <c r="AQ120" s="9">
        <v>5</v>
      </c>
      <c r="AR120" s="9">
        <f t="shared" si="72"/>
        <v>276</v>
      </c>
      <c r="AS120" s="7">
        <f t="shared" si="73"/>
        <v>142</v>
      </c>
      <c r="AT120" s="7"/>
      <c r="AU120" s="16"/>
      <c r="AV120" s="7"/>
      <c r="AW120" s="7"/>
      <c r="AX120" s="7"/>
      <c r="AZ120" s="7"/>
      <c r="BA120" s="9">
        <f t="shared" si="79"/>
        <v>40040.014285714329</v>
      </c>
      <c r="BC120" s="5">
        <f t="shared" si="74"/>
        <v>276</v>
      </c>
      <c r="BQ120" s="18"/>
      <c r="BR120" s="18">
        <v>5202052</v>
      </c>
      <c r="BS120" s="18">
        <f>[1]monsters!$N120</f>
        <v>198.4</v>
      </c>
      <c r="BT120" s="18">
        <f>[1]monsters!$O120</f>
        <v>19.84</v>
      </c>
      <c r="BU120" s="18">
        <f>[1]monsters!$P120</f>
        <v>990.97</v>
      </c>
      <c r="BV120" s="18">
        <f>[1]monsters!$Q120</f>
        <v>99.1</v>
      </c>
      <c r="BW120" s="18">
        <f>[1]monsters!$R120</f>
        <v>19.84</v>
      </c>
      <c r="BX120" s="18">
        <f>[1]monsters!$S120</f>
        <v>1.98</v>
      </c>
      <c r="BY120" s="18">
        <f>[1]monsters!$K120</f>
        <v>1.5</v>
      </c>
      <c r="BZ120" s="5">
        <f>[1]monsters!$D120</f>
        <v>6</v>
      </c>
      <c r="CA120" s="5">
        <f t="shared" si="75"/>
        <v>0.1</v>
      </c>
      <c r="CB120" s="5">
        <f t="shared" si="76"/>
        <v>220.8539932659933</v>
      </c>
      <c r="CC120" s="5">
        <f t="shared" si="77"/>
        <v>22.08539932659933</v>
      </c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>
        <v>0</v>
      </c>
      <c r="CR120" s="3" t="b">
        <f t="shared" si="48"/>
        <v>1</v>
      </c>
      <c r="CS120" s="3" t="b">
        <f t="shared" si="49"/>
        <v>1</v>
      </c>
      <c r="CT120" s="3" t="b">
        <f t="shared" si="50"/>
        <v>1</v>
      </c>
      <c r="CU120" s="3" t="b">
        <f t="shared" si="51"/>
        <v>1</v>
      </c>
      <c r="CV120" s="3" t="b">
        <f t="shared" si="52"/>
        <v>1</v>
      </c>
      <c r="CW120" s="3" t="b">
        <f t="shared" si="53"/>
        <v>1</v>
      </c>
      <c r="CX120" s="9" t="str">
        <f t="shared" si="54"/>
        <v>5301051</v>
      </c>
      <c r="CY120" s="9" t="str">
        <f t="shared" si="55"/>
        <v>5301052</v>
      </c>
      <c r="CZ120" s="9" t="str">
        <f t="shared" si="56"/>
        <v>5301053</v>
      </c>
      <c r="DA120" s="9" t="str">
        <f t="shared" si="57"/>
        <v>5501054</v>
      </c>
      <c r="DB120" s="9" t="str">
        <f t="shared" si="58"/>
        <v>5400055</v>
      </c>
      <c r="DC120" s="9" t="str">
        <f t="shared" si="59"/>
        <v>5502053</v>
      </c>
      <c r="DD120" s="9">
        <v>5</v>
      </c>
      <c r="DE120" s="9">
        <v>5</v>
      </c>
      <c r="DF120" s="9">
        <v>5</v>
      </c>
      <c r="DG120" s="9">
        <v>5</v>
      </c>
      <c r="DH120" s="9">
        <v>5</v>
      </c>
      <c r="DI120" s="9">
        <v>5</v>
      </c>
      <c r="DJ120" s="9">
        <v>5</v>
      </c>
      <c r="DK120" s="9">
        <v>5</v>
      </c>
      <c r="DL120" s="9">
        <v>5</v>
      </c>
      <c r="DM120" s="9">
        <v>5</v>
      </c>
      <c r="DN120" s="9">
        <v>5</v>
      </c>
      <c r="DO120" s="9">
        <v>5</v>
      </c>
      <c r="DP120" s="26" t="s">
        <v>107</v>
      </c>
      <c r="DQ120" s="26" t="s">
        <v>201</v>
      </c>
      <c r="DR120" s="26" t="s">
        <v>206</v>
      </c>
      <c r="DS120" s="26" t="s">
        <v>214</v>
      </c>
      <c r="DT120" s="26" t="s">
        <v>210</v>
      </c>
      <c r="DU120" s="26" t="s">
        <v>215</v>
      </c>
      <c r="DV120" s="26">
        <f t="shared" si="60"/>
        <v>1</v>
      </c>
      <c r="DW120" s="26">
        <f t="shared" si="61"/>
        <v>1</v>
      </c>
      <c r="DX120" s="26">
        <f t="shared" si="62"/>
        <v>1</v>
      </c>
      <c r="DY120" s="26">
        <f t="shared" si="63"/>
        <v>2</v>
      </c>
      <c r="DZ120" s="26">
        <f t="shared" si="64"/>
        <v>2</v>
      </c>
      <c r="EA120" s="3">
        <f t="shared" si="65"/>
        <v>2</v>
      </c>
      <c r="EB120" s="35"/>
      <c r="EC120" s="5">
        <v>5601053</v>
      </c>
      <c r="ED120" s="34" t="s">
        <v>216</v>
      </c>
      <c r="EE120" s="8">
        <v>2</v>
      </c>
    </row>
    <row r="121" spans="1:135" ht="13.5" customHeight="1">
      <c r="A121" s="9">
        <v>118</v>
      </c>
      <c r="B121" s="9">
        <v>1</v>
      </c>
      <c r="C121" s="9">
        <v>2001</v>
      </c>
      <c r="D121" s="9">
        <f t="shared" si="78"/>
        <v>347720</v>
      </c>
      <c r="E121" s="9" t="str">
        <f t="shared" si="44"/>
        <v>5200052,5200053,5200052,5402052,5500053,5501054</v>
      </c>
      <c r="F121" s="9" t="str">
        <f t="shared" si="45"/>
        <v>5,5,5,5,5,5</v>
      </c>
      <c r="G121" s="9" t="str">
        <f t="shared" si="46"/>
        <v>300,307,307,307,307,307</v>
      </c>
      <c r="H121" s="9">
        <v>96</v>
      </c>
      <c r="I121" s="9" t="s">
        <v>278</v>
      </c>
      <c r="J121" s="9" t="s">
        <v>279</v>
      </c>
      <c r="K121" s="9" t="s">
        <v>279</v>
      </c>
      <c r="L121" s="9" t="s">
        <v>279</v>
      </c>
      <c r="M121" s="9" t="s">
        <v>287</v>
      </c>
      <c r="O121" s="3">
        <f t="shared" si="83"/>
        <v>347720</v>
      </c>
      <c r="P121" s="9">
        <v>287372.25</v>
      </c>
      <c r="Q121" s="9">
        <v>5200052</v>
      </c>
      <c r="R121" s="9">
        <v>5200053</v>
      </c>
      <c r="S121" s="9">
        <v>5200052</v>
      </c>
      <c r="T121" s="9">
        <v>5402052</v>
      </c>
      <c r="U121" s="9">
        <v>5500053</v>
      </c>
      <c r="V121" s="9">
        <v>5501054</v>
      </c>
      <c r="W121" s="9">
        <v>5</v>
      </c>
      <c r="X121" s="9">
        <v>5</v>
      </c>
      <c r="Y121" s="9">
        <v>5</v>
      </c>
      <c r="Z121" s="9">
        <v>5</v>
      </c>
      <c r="AA121" s="9">
        <v>5</v>
      </c>
      <c r="AB121" s="9">
        <v>5</v>
      </c>
      <c r="AC121" s="9">
        <f t="shared" si="66"/>
        <v>300</v>
      </c>
      <c r="AD121" s="9">
        <f t="shared" si="67"/>
        <v>307</v>
      </c>
      <c r="AE121" s="9">
        <f t="shared" si="68"/>
        <v>307</v>
      </c>
      <c r="AF121" s="9">
        <f t="shared" si="69"/>
        <v>307</v>
      </c>
      <c r="AG121" s="9">
        <f t="shared" si="70"/>
        <v>307</v>
      </c>
      <c r="AH121" s="9">
        <f t="shared" si="71"/>
        <v>307</v>
      </c>
      <c r="AI121" s="7">
        <f t="shared" si="82"/>
        <v>47895.375</v>
      </c>
      <c r="AJ121" s="7">
        <f t="shared" si="81"/>
        <v>47895.375</v>
      </c>
      <c r="AK121" s="7">
        <f t="shared" si="81"/>
        <v>47895.375</v>
      </c>
      <c r="AL121" s="7">
        <f t="shared" si="81"/>
        <v>47895.375</v>
      </c>
      <c r="AM121" s="7">
        <f t="shared" si="81"/>
        <v>47895.375</v>
      </c>
      <c r="AN121" s="7">
        <f t="shared" si="81"/>
        <v>47895.375</v>
      </c>
      <c r="AO121" s="16"/>
      <c r="AP121" s="7"/>
      <c r="AQ121" s="9">
        <v>5</v>
      </c>
      <c r="AR121" s="9">
        <f t="shared" si="72"/>
        <v>277</v>
      </c>
      <c r="AS121" s="7">
        <f t="shared" si="73"/>
        <v>143</v>
      </c>
      <c r="AT121" s="7"/>
      <c r="AU121" s="16"/>
      <c r="AV121" s="7"/>
      <c r="AW121" s="7"/>
      <c r="AX121" s="7"/>
      <c r="AZ121" s="7"/>
      <c r="BA121" s="9">
        <f t="shared" si="79"/>
        <v>40562.771428571476</v>
      </c>
      <c r="BC121" s="5">
        <f t="shared" si="74"/>
        <v>277</v>
      </c>
      <c r="BQ121" s="18"/>
      <c r="BR121" s="18">
        <v>5302052</v>
      </c>
      <c r="BS121" s="18">
        <f>[1]monsters!$N121</f>
        <v>122.88</v>
      </c>
      <c r="BT121" s="18">
        <f>[1]monsters!$O121</f>
        <v>12.29</v>
      </c>
      <c r="BU121" s="18">
        <f>[1]monsters!$P121</f>
        <v>1920</v>
      </c>
      <c r="BV121" s="18">
        <f>[1]monsters!$Q121</f>
        <v>192</v>
      </c>
      <c r="BW121" s="18">
        <f>[1]monsters!$R121</f>
        <v>40.96</v>
      </c>
      <c r="BX121" s="18">
        <f>[1]monsters!$S121</f>
        <v>4.0999999999999996</v>
      </c>
      <c r="BY121" s="18">
        <f>[1]monsters!$K121</f>
        <v>1.8</v>
      </c>
      <c r="BZ121" s="5">
        <f>[1]monsters!$D121</f>
        <v>2</v>
      </c>
      <c r="CA121" s="5">
        <f t="shared" si="75"/>
        <v>0.1</v>
      </c>
      <c r="CB121" s="5">
        <f t="shared" si="76"/>
        <v>180.76806464646464</v>
      </c>
      <c r="CC121" s="5">
        <f t="shared" si="77"/>
        <v>18.076806464646463</v>
      </c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>
        <v>0</v>
      </c>
      <c r="CR121" s="3" t="b">
        <f t="shared" si="48"/>
        <v>1</v>
      </c>
      <c r="CS121" s="3" t="b">
        <f t="shared" si="49"/>
        <v>1</v>
      </c>
      <c r="CT121" s="3" t="b">
        <f t="shared" si="50"/>
        <v>1</v>
      </c>
      <c r="CU121" s="3" t="b">
        <f t="shared" si="51"/>
        <v>1</v>
      </c>
      <c r="CV121" s="3" t="b">
        <f t="shared" si="52"/>
        <v>1</v>
      </c>
      <c r="CW121" s="3" t="b">
        <f t="shared" si="53"/>
        <v>1</v>
      </c>
      <c r="CX121" s="9" t="str">
        <f t="shared" si="54"/>
        <v>5200052</v>
      </c>
      <c r="CY121" s="9" t="str">
        <f t="shared" si="55"/>
        <v>5200053</v>
      </c>
      <c r="CZ121" s="9" t="str">
        <f t="shared" si="56"/>
        <v>5200052</v>
      </c>
      <c r="DA121" s="9" t="str">
        <f t="shared" si="57"/>
        <v>5402052</v>
      </c>
      <c r="DB121" s="9" t="str">
        <f t="shared" si="58"/>
        <v>5500053</v>
      </c>
      <c r="DC121" s="9" t="str">
        <f t="shared" si="59"/>
        <v>5501054</v>
      </c>
      <c r="DD121" s="9">
        <v>5</v>
      </c>
      <c r="DE121" s="9">
        <v>5</v>
      </c>
      <c r="DF121" s="9">
        <v>5</v>
      </c>
      <c r="DG121" s="9">
        <v>5</v>
      </c>
      <c r="DH121" s="9">
        <v>5</v>
      </c>
      <c r="DI121" s="9">
        <v>5</v>
      </c>
      <c r="DJ121" s="9">
        <v>5</v>
      </c>
      <c r="DK121" s="9">
        <v>5</v>
      </c>
      <c r="DL121" s="9">
        <v>5</v>
      </c>
      <c r="DM121" s="9">
        <v>5</v>
      </c>
      <c r="DN121" s="9">
        <v>5</v>
      </c>
      <c r="DO121" s="9">
        <v>5</v>
      </c>
      <c r="DP121" s="25" t="s">
        <v>199</v>
      </c>
      <c r="DQ121" s="25" t="s">
        <v>113</v>
      </c>
      <c r="DR121" s="25" t="s">
        <v>199</v>
      </c>
      <c r="DS121" s="26" t="s">
        <v>203</v>
      </c>
      <c r="DT121" s="26" t="s">
        <v>207</v>
      </c>
      <c r="DU121" s="26" t="s">
        <v>214</v>
      </c>
      <c r="DV121" s="26">
        <f t="shared" si="60"/>
        <v>1</v>
      </c>
      <c r="DW121" s="26">
        <f t="shared" si="61"/>
        <v>1</v>
      </c>
      <c r="DX121" s="26">
        <f t="shared" si="62"/>
        <v>1</v>
      </c>
      <c r="DY121" s="26">
        <f t="shared" si="63"/>
        <v>2</v>
      </c>
      <c r="DZ121" s="26">
        <f t="shared" si="64"/>
        <v>2</v>
      </c>
      <c r="EA121" s="3">
        <f t="shared" si="65"/>
        <v>2</v>
      </c>
      <c r="EB121" s="35"/>
      <c r="EC121" s="5">
        <v>5201054</v>
      </c>
      <c r="ED121" s="34" t="s">
        <v>217</v>
      </c>
      <c r="EE121" s="8">
        <v>1</v>
      </c>
    </row>
    <row r="122" spans="1:135" ht="13.5" customHeight="1">
      <c r="A122" s="9">
        <v>119</v>
      </c>
      <c r="B122" s="9">
        <v>1</v>
      </c>
      <c r="C122" s="9">
        <v>2001</v>
      </c>
      <c r="D122" s="9">
        <f t="shared" si="78"/>
        <v>351859</v>
      </c>
      <c r="E122" s="9" t="str">
        <f t="shared" si="44"/>
        <v>5300055,5202055,5202055,5400055,5501055,5400055</v>
      </c>
      <c r="F122" s="9" t="str">
        <f t="shared" si="45"/>
        <v>5,5,5,5,5,5</v>
      </c>
      <c r="G122" s="9" t="str">
        <f t="shared" si="46"/>
        <v>302,309,309,309,309,309</v>
      </c>
      <c r="H122" s="9">
        <v>96</v>
      </c>
      <c r="I122" s="9" t="s">
        <v>278</v>
      </c>
      <c r="J122" s="9" t="s">
        <v>279</v>
      </c>
      <c r="K122" s="9" t="s">
        <v>279</v>
      </c>
      <c r="L122" s="9" t="s">
        <v>279</v>
      </c>
      <c r="M122" s="9" t="s">
        <v>287</v>
      </c>
      <c r="O122" s="3">
        <f t="shared" si="83"/>
        <v>351859</v>
      </c>
      <c r="P122" s="9">
        <v>290792.48</v>
      </c>
      <c r="Q122" s="9">
        <v>5300055</v>
      </c>
      <c r="R122" s="9">
        <v>5202055</v>
      </c>
      <c r="S122" s="9">
        <v>5202055</v>
      </c>
      <c r="T122" s="9">
        <v>5400055</v>
      </c>
      <c r="U122" s="9">
        <v>5501055</v>
      </c>
      <c r="V122" s="9">
        <v>5400055</v>
      </c>
      <c r="W122" s="9">
        <v>5</v>
      </c>
      <c r="X122" s="9">
        <v>5</v>
      </c>
      <c r="Y122" s="9">
        <v>5</v>
      </c>
      <c r="Z122" s="9">
        <v>5</v>
      </c>
      <c r="AA122" s="9">
        <v>5</v>
      </c>
      <c r="AB122" s="9">
        <v>5</v>
      </c>
      <c r="AC122" s="9">
        <f t="shared" si="66"/>
        <v>302</v>
      </c>
      <c r="AD122" s="9">
        <f t="shared" si="67"/>
        <v>309</v>
      </c>
      <c r="AE122" s="9">
        <f t="shared" si="68"/>
        <v>309</v>
      </c>
      <c r="AF122" s="9">
        <f t="shared" si="69"/>
        <v>309</v>
      </c>
      <c r="AG122" s="9">
        <f t="shared" si="70"/>
        <v>309</v>
      </c>
      <c r="AH122" s="9">
        <f t="shared" si="71"/>
        <v>309</v>
      </c>
      <c r="AI122" s="7">
        <f t="shared" si="82"/>
        <v>48465.41333333333</v>
      </c>
      <c r="AJ122" s="7">
        <f t="shared" si="81"/>
        <v>48465.41333333333</v>
      </c>
      <c r="AK122" s="7">
        <f t="shared" si="81"/>
        <v>48465.41333333333</v>
      </c>
      <c r="AL122" s="7">
        <f t="shared" si="81"/>
        <v>48465.41333333333</v>
      </c>
      <c r="AM122" s="7">
        <f t="shared" si="81"/>
        <v>48465.41333333333</v>
      </c>
      <c r="AN122" s="7">
        <f t="shared" si="81"/>
        <v>48465.41333333333</v>
      </c>
      <c r="AO122" s="16"/>
      <c r="AP122" s="7"/>
      <c r="AQ122" s="9">
        <v>5</v>
      </c>
      <c r="AR122" s="9">
        <f t="shared" si="72"/>
        <v>279</v>
      </c>
      <c r="AS122" s="7">
        <f t="shared" si="73"/>
        <v>144</v>
      </c>
      <c r="AT122" s="7"/>
      <c r="AU122" s="16"/>
      <c r="AV122" s="7"/>
      <c r="AW122" s="7"/>
      <c r="AX122" s="7"/>
      <c r="AZ122" s="7"/>
      <c r="BA122" s="9">
        <f t="shared" si="79"/>
        <v>41085.528571428622</v>
      </c>
      <c r="BC122" s="5">
        <f t="shared" si="74"/>
        <v>279</v>
      </c>
      <c r="BQ122" s="18"/>
      <c r="BR122" s="18">
        <v>5300052</v>
      </c>
      <c r="BS122" s="18">
        <f>[1]monsters!$N122</f>
        <v>107.52</v>
      </c>
      <c r="BT122" s="18">
        <f>[1]monsters!$O122</f>
        <v>10.75</v>
      </c>
      <c r="BU122" s="18">
        <f>[1]monsters!$P122</f>
        <v>1706.67</v>
      </c>
      <c r="BV122" s="18">
        <f>[1]monsters!$Q122</f>
        <v>170.67</v>
      </c>
      <c r="BW122" s="18">
        <f>[1]monsters!$R122</f>
        <v>21.5</v>
      </c>
      <c r="BX122" s="18">
        <f>[1]monsters!$S122</f>
        <v>2.15</v>
      </c>
      <c r="BY122" s="18">
        <f>[1]monsters!$K122</f>
        <v>1.4</v>
      </c>
      <c r="BZ122" s="5">
        <f>[1]monsters!$D122</f>
        <v>3</v>
      </c>
      <c r="CA122" s="5">
        <f t="shared" si="75"/>
        <v>0.1</v>
      </c>
      <c r="CB122" s="5">
        <f t="shared" si="76"/>
        <v>159.07003636363638</v>
      </c>
      <c r="CC122" s="5">
        <f t="shared" si="77"/>
        <v>15.907003636363639</v>
      </c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>
        <v>0</v>
      </c>
      <c r="CR122" s="3" t="b">
        <f t="shared" si="48"/>
        <v>1</v>
      </c>
      <c r="CS122" s="3" t="b">
        <f t="shared" si="49"/>
        <v>1</v>
      </c>
      <c r="CT122" s="3" t="b">
        <f t="shared" si="50"/>
        <v>1</v>
      </c>
      <c r="CU122" s="3" t="b">
        <f t="shared" si="51"/>
        <v>1</v>
      </c>
      <c r="CV122" s="3" t="b">
        <f t="shared" si="52"/>
        <v>1</v>
      </c>
      <c r="CW122" s="3" t="b">
        <f t="shared" si="53"/>
        <v>1</v>
      </c>
      <c r="CX122" s="9" t="str">
        <f t="shared" si="54"/>
        <v>5300055</v>
      </c>
      <c r="CY122" s="9" t="str">
        <f t="shared" si="55"/>
        <v>5202055</v>
      </c>
      <c r="CZ122" s="9" t="str">
        <f t="shared" si="56"/>
        <v>5202055</v>
      </c>
      <c r="DA122" s="9" t="str">
        <f t="shared" si="57"/>
        <v>5400055</v>
      </c>
      <c r="DB122" s="9" t="str">
        <f t="shared" si="58"/>
        <v>5501055</v>
      </c>
      <c r="DC122" s="9" t="str">
        <f t="shared" si="59"/>
        <v>5400055</v>
      </c>
      <c r="DD122" s="9">
        <v>5</v>
      </c>
      <c r="DE122" s="9">
        <v>5</v>
      </c>
      <c r="DF122" s="9">
        <v>5</v>
      </c>
      <c r="DG122" s="9">
        <v>5</v>
      </c>
      <c r="DH122" s="9">
        <v>5</v>
      </c>
      <c r="DI122" s="9">
        <v>5</v>
      </c>
      <c r="DJ122" s="9">
        <v>5</v>
      </c>
      <c r="DK122" s="9">
        <v>5</v>
      </c>
      <c r="DL122" s="9">
        <v>5</v>
      </c>
      <c r="DM122" s="9">
        <v>5</v>
      </c>
      <c r="DN122" s="9">
        <v>5</v>
      </c>
      <c r="DO122" s="9">
        <v>5</v>
      </c>
      <c r="DP122" s="25" t="s">
        <v>212</v>
      </c>
      <c r="DQ122" s="25" t="s">
        <v>213</v>
      </c>
      <c r="DR122" s="25" t="s">
        <v>213</v>
      </c>
      <c r="DS122" s="26" t="s">
        <v>210</v>
      </c>
      <c r="DT122" s="26" t="s">
        <v>209</v>
      </c>
      <c r="DU122" s="26" t="s">
        <v>210</v>
      </c>
      <c r="DV122" s="26">
        <f t="shared" si="60"/>
        <v>1</v>
      </c>
      <c r="DW122" s="26">
        <f t="shared" si="61"/>
        <v>1</v>
      </c>
      <c r="DX122" s="26">
        <f t="shared" si="62"/>
        <v>1</v>
      </c>
      <c r="DY122" s="26">
        <f t="shared" si="63"/>
        <v>2</v>
      </c>
      <c r="DZ122" s="26">
        <f t="shared" si="64"/>
        <v>2</v>
      </c>
      <c r="EA122" s="3">
        <f t="shared" si="65"/>
        <v>2</v>
      </c>
      <c r="EB122" s="35"/>
      <c r="EC122" s="5">
        <v>5302054</v>
      </c>
      <c r="ED122" s="34" t="s">
        <v>218</v>
      </c>
      <c r="EE122" s="8">
        <v>1</v>
      </c>
    </row>
    <row r="123" spans="1:135" ht="13.5" customHeight="1">
      <c r="A123" s="9">
        <v>120</v>
      </c>
      <c r="B123" s="9">
        <v>1</v>
      </c>
      <c r="C123" s="9">
        <v>2001</v>
      </c>
      <c r="D123" s="9">
        <f t="shared" si="78"/>
        <v>362493</v>
      </c>
      <c r="E123" s="9" t="str">
        <f t="shared" si="44"/>
        <v>5202051,5200052,5200052,5502052,5500051,5401053</v>
      </c>
      <c r="F123" s="9" t="str">
        <f t="shared" si="45"/>
        <v>5,5,5,5,5,5</v>
      </c>
      <c r="G123" s="9" t="str">
        <f t="shared" si="46"/>
        <v>304,311,311,311,311,311</v>
      </c>
      <c r="H123" s="9">
        <v>97</v>
      </c>
      <c r="I123" s="9" t="s">
        <v>278</v>
      </c>
      <c r="J123" s="9" t="s">
        <v>279</v>
      </c>
      <c r="K123" s="9" t="s">
        <v>279</v>
      </c>
      <c r="L123" s="9" t="s">
        <v>279</v>
      </c>
      <c r="M123" s="9" t="s">
        <v>287</v>
      </c>
      <c r="O123" s="3">
        <f>ROUND(P123*1.1*1.12,0)</f>
        <v>362493</v>
      </c>
      <c r="P123" s="9">
        <v>294231.40999999997</v>
      </c>
      <c r="Q123" s="9">
        <v>5202051</v>
      </c>
      <c r="R123" s="9">
        <v>5200052</v>
      </c>
      <c r="S123" s="9">
        <v>5200052</v>
      </c>
      <c r="T123" s="9">
        <v>5502052</v>
      </c>
      <c r="U123" s="9">
        <v>5500051</v>
      </c>
      <c r="V123" s="9">
        <v>5401053</v>
      </c>
      <c r="W123" s="9">
        <v>5</v>
      </c>
      <c r="X123" s="9">
        <v>5</v>
      </c>
      <c r="Y123" s="9">
        <v>5</v>
      </c>
      <c r="Z123" s="9">
        <v>5</v>
      </c>
      <c r="AA123" s="9">
        <v>5</v>
      </c>
      <c r="AB123" s="9">
        <v>5</v>
      </c>
      <c r="AC123" s="9">
        <f t="shared" si="66"/>
        <v>304</v>
      </c>
      <c r="AD123" s="9">
        <f t="shared" si="67"/>
        <v>311</v>
      </c>
      <c r="AE123" s="9">
        <f t="shared" si="68"/>
        <v>311</v>
      </c>
      <c r="AF123" s="9">
        <f t="shared" si="69"/>
        <v>311</v>
      </c>
      <c r="AG123" s="9">
        <f t="shared" si="70"/>
        <v>311</v>
      </c>
      <c r="AH123" s="9">
        <f t="shared" si="71"/>
        <v>311</v>
      </c>
      <c r="AI123" s="7">
        <f t="shared" si="82"/>
        <v>49038.568333333329</v>
      </c>
      <c r="AJ123" s="7">
        <f t="shared" si="81"/>
        <v>49038.568333333329</v>
      </c>
      <c r="AK123" s="7">
        <f t="shared" si="81"/>
        <v>49038.568333333329</v>
      </c>
      <c r="AL123" s="7">
        <f t="shared" si="81"/>
        <v>49038.568333333329</v>
      </c>
      <c r="AM123" s="7">
        <f t="shared" si="81"/>
        <v>49038.568333333329</v>
      </c>
      <c r="AN123" s="7">
        <f t="shared" si="81"/>
        <v>49038.568333333329</v>
      </c>
      <c r="AO123" s="16"/>
      <c r="AP123" s="7"/>
      <c r="AQ123" s="9">
        <v>5</v>
      </c>
      <c r="AR123" s="9">
        <f t="shared" si="72"/>
        <v>281</v>
      </c>
      <c r="AS123" s="7">
        <f t="shared" si="73"/>
        <v>145</v>
      </c>
      <c r="AT123" s="7"/>
      <c r="AU123" s="16"/>
      <c r="AV123" s="7"/>
      <c r="AW123" s="7"/>
      <c r="AX123" s="7"/>
      <c r="AZ123" s="7"/>
      <c r="BA123" s="9">
        <f t="shared" si="79"/>
        <v>41608.285714285768</v>
      </c>
      <c r="BC123" s="5">
        <f t="shared" si="74"/>
        <v>281</v>
      </c>
      <c r="BQ123" s="18"/>
      <c r="BR123" s="18">
        <v>5400052</v>
      </c>
      <c r="BS123" s="18">
        <f>[1]monsters!$N123</f>
        <v>191.15</v>
      </c>
      <c r="BT123" s="18">
        <f>[1]monsters!$O123</f>
        <v>19.11</v>
      </c>
      <c r="BU123" s="18">
        <f>[1]monsters!$P123</f>
        <v>1097.1400000000001</v>
      </c>
      <c r="BV123" s="18">
        <f>[1]monsters!$Q123</f>
        <v>109.71</v>
      </c>
      <c r="BW123" s="18">
        <f>[1]monsters!$R123</f>
        <v>23.89</v>
      </c>
      <c r="BX123" s="18">
        <f>[1]monsters!$S123</f>
        <v>2.39</v>
      </c>
      <c r="BY123" s="18">
        <f>[1]monsters!$K123</f>
        <v>1.6</v>
      </c>
      <c r="BZ123" s="5">
        <f>[1]monsters!$D123</f>
        <v>5</v>
      </c>
      <c r="CA123" s="5">
        <f t="shared" si="75"/>
        <v>0.1</v>
      </c>
      <c r="CB123" s="5">
        <f t="shared" si="76"/>
        <v>217.57749074074076</v>
      </c>
      <c r="CC123" s="5">
        <f t="shared" si="77"/>
        <v>21.757749074074077</v>
      </c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>
        <v>1</v>
      </c>
      <c r="CR123" s="3" t="b">
        <f t="shared" si="48"/>
        <v>1</v>
      </c>
      <c r="CS123" s="3" t="b">
        <f t="shared" si="49"/>
        <v>1</v>
      </c>
      <c r="CT123" s="3" t="b">
        <f t="shared" si="50"/>
        <v>1</v>
      </c>
      <c r="CU123" s="3" t="b">
        <f t="shared" si="51"/>
        <v>1</v>
      </c>
      <c r="CV123" s="3" t="b">
        <f t="shared" si="52"/>
        <v>1</v>
      </c>
      <c r="CW123" s="3" t="b">
        <f t="shared" si="53"/>
        <v>1</v>
      </c>
      <c r="CX123" s="9" t="str">
        <f t="shared" si="54"/>
        <v>5202051</v>
      </c>
      <c r="CY123" s="9" t="str">
        <f t="shared" si="55"/>
        <v>5200052</v>
      </c>
      <c r="CZ123" s="9" t="str">
        <f t="shared" si="56"/>
        <v>5200052</v>
      </c>
      <c r="DA123" s="9" t="str">
        <f t="shared" si="57"/>
        <v>5502052</v>
      </c>
      <c r="DB123" s="9" t="str">
        <f t="shared" si="58"/>
        <v>5500051</v>
      </c>
      <c r="DC123" s="9" t="str">
        <f t="shared" si="59"/>
        <v>5401053</v>
      </c>
      <c r="DD123" s="9">
        <v>5</v>
      </c>
      <c r="DE123" s="9">
        <v>5</v>
      </c>
      <c r="DF123" s="9">
        <v>5</v>
      </c>
      <c r="DG123" s="9">
        <v>5</v>
      </c>
      <c r="DH123" s="9">
        <v>5</v>
      </c>
      <c r="DI123" s="9">
        <v>5</v>
      </c>
      <c r="DJ123" s="9">
        <v>5</v>
      </c>
      <c r="DK123" s="9">
        <v>5</v>
      </c>
      <c r="DL123" s="9">
        <v>5</v>
      </c>
      <c r="DM123" s="9">
        <v>5</v>
      </c>
      <c r="DN123" s="9">
        <v>5</v>
      </c>
      <c r="DO123" s="9">
        <v>5</v>
      </c>
      <c r="DP123" s="25" t="s">
        <v>111</v>
      </c>
      <c r="DQ123" s="25" t="s">
        <v>199</v>
      </c>
      <c r="DR123" s="25" t="s">
        <v>199</v>
      </c>
      <c r="DS123" s="28" t="s">
        <v>204</v>
      </c>
      <c r="DT123" s="26" t="s">
        <v>197</v>
      </c>
      <c r="DU123" s="26" t="s">
        <v>211</v>
      </c>
      <c r="DV123" s="26">
        <f t="shared" si="60"/>
        <v>1</v>
      </c>
      <c r="DW123" s="26">
        <f t="shared" si="61"/>
        <v>1</v>
      </c>
      <c r="DX123" s="26">
        <f t="shared" si="62"/>
        <v>1</v>
      </c>
      <c r="DY123" s="26">
        <f t="shared" si="63"/>
        <v>2</v>
      </c>
      <c r="DZ123" s="26">
        <f t="shared" si="64"/>
        <v>2</v>
      </c>
      <c r="EA123" s="3">
        <f t="shared" si="65"/>
        <v>2</v>
      </c>
      <c r="EB123" s="35"/>
      <c r="EC123" s="5">
        <v>5501054</v>
      </c>
      <c r="ED123" s="34" t="s">
        <v>214</v>
      </c>
      <c r="EE123" s="8">
        <v>2</v>
      </c>
    </row>
    <row r="124" spans="1:135" ht="13.5" customHeight="1">
      <c r="A124" s="9">
        <v>121</v>
      </c>
      <c r="B124" s="9">
        <v>1</v>
      </c>
      <c r="C124" s="9">
        <v>2001</v>
      </c>
      <c r="D124" s="9">
        <f t="shared" si="78"/>
        <v>366758</v>
      </c>
      <c r="E124" s="9" t="str">
        <f t="shared" si="44"/>
        <v>5200052,5200053,5200052,5501054,5500053,5501054</v>
      </c>
      <c r="F124" s="9" t="str">
        <f t="shared" si="45"/>
        <v>5,5,5,5,5,5</v>
      </c>
      <c r="G124" s="9" t="str">
        <f t="shared" si="46"/>
        <v>306,313,313,313,313,313</v>
      </c>
      <c r="H124" s="9">
        <v>99</v>
      </c>
      <c r="I124" s="9" t="s">
        <v>278</v>
      </c>
      <c r="J124" s="9" t="s">
        <v>279</v>
      </c>
      <c r="K124" s="9" t="s">
        <v>279</v>
      </c>
      <c r="L124" s="9" t="s">
        <v>279</v>
      </c>
      <c r="M124" s="9" t="s">
        <v>288</v>
      </c>
      <c r="O124" s="3">
        <f t="shared" ref="O124:O187" si="84">ROUND(P124*1.1*1.12,0)</f>
        <v>366758</v>
      </c>
      <c r="P124" s="9">
        <v>297692.78000000003</v>
      </c>
      <c r="Q124" s="9">
        <v>5200052</v>
      </c>
      <c r="R124" s="9">
        <v>5200053</v>
      </c>
      <c r="S124" s="9">
        <v>5200052</v>
      </c>
      <c r="T124" s="9">
        <v>5501054</v>
      </c>
      <c r="U124" s="9">
        <v>5500053</v>
      </c>
      <c r="V124" s="9">
        <v>5501054</v>
      </c>
      <c r="W124" s="9">
        <v>5</v>
      </c>
      <c r="X124" s="9">
        <v>5</v>
      </c>
      <c r="Y124" s="9">
        <v>5</v>
      </c>
      <c r="Z124" s="9">
        <v>5</v>
      </c>
      <c r="AA124" s="9">
        <v>5</v>
      </c>
      <c r="AB124" s="9">
        <v>5</v>
      </c>
      <c r="AC124" s="9">
        <f t="shared" si="66"/>
        <v>306</v>
      </c>
      <c r="AD124" s="9">
        <f t="shared" si="67"/>
        <v>313</v>
      </c>
      <c r="AE124" s="9">
        <f t="shared" si="68"/>
        <v>313</v>
      </c>
      <c r="AF124" s="9">
        <f t="shared" si="69"/>
        <v>313</v>
      </c>
      <c r="AG124" s="9">
        <f t="shared" si="70"/>
        <v>313</v>
      </c>
      <c r="AH124" s="9">
        <f t="shared" si="71"/>
        <v>313</v>
      </c>
      <c r="AI124" s="7">
        <f t="shared" si="82"/>
        <v>49615.46333333334</v>
      </c>
      <c r="AJ124" s="7">
        <f t="shared" si="81"/>
        <v>49615.46333333334</v>
      </c>
      <c r="AK124" s="7">
        <f t="shared" si="81"/>
        <v>49615.46333333334</v>
      </c>
      <c r="AL124" s="7">
        <f t="shared" si="81"/>
        <v>49615.46333333334</v>
      </c>
      <c r="AM124" s="7">
        <f t="shared" si="81"/>
        <v>49615.46333333334</v>
      </c>
      <c r="AN124" s="7">
        <f t="shared" si="81"/>
        <v>49615.46333333334</v>
      </c>
      <c r="AO124" s="16"/>
      <c r="AP124" s="7"/>
      <c r="AQ124" s="9">
        <v>5</v>
      </c>
      <c r="AR124" s="9">
        <f t="shared" si="72"/>
        <v>282</v>
      </c>
      <c r="AS124" s="7">
        <f t="shared" si="73"/>
        <v>146</v>
      </c>
      <c r="AT124" s="7"/>
      <c r="AU124" s="16"/>
      <c r="AV124" s="7"/>
      <c r="AW124" s="7"/>
      <c r="AX124" s="7"/>
      <c r="AZ124" s="7"/>
      <c r="BA124" s="9">
        <f t="shared" si="79"/>
        <v>42131.042857142915</v>
      </c>
      <c r="BC124" s="5">
        <f t="shared" si="74"/>
        <v>282</v>
      </c>
      <c r="BQ124" s="18"/>
      <c r="BR124" s="18">
        <v>5402052</v>
      </c>
      <c r="BS124" s="18">
        <f>[1]monsters!$N124</f>
        <v>185.17</v>
      </c>
      <c r="BT124" s="18">
        <f>[1]monsters!$O124</f>
        <v>18.52</v>
      </c>
      <c r="BU124" s="18">
        <f>[1]monsters!$P124</f>
        <v>990.97</v>
      </c>
      <c r="BV124" s="18">
        <f>[1]monsters!$Q124</f>
        <v>99.1</v>
      </c>
      <c r="BW124" s="18">
        <f>[1]monsters!$R124</f>
        <v>18.52</v>
      </c>
      <c r="BX124" s="18">
        <f>[1]monsters!$S124</f>
        <v>1.85</v>
      </c>
      <c r="BY124" s="18">
        <f>[1]monsters!$K124</f>
        <v>1.4</v>
      </c>
      <c r="BZ124" s="5">
        <f>[1]monsters!$D124</f>
        <v>6</v>
      </c>
      <c r="CA124" s="5">
        <f t="shared" si="75"/>
        <v>0.1</v>
      </c>
      <c r="CB124" s="5">
        <f t="shared" si="76"/>
        <v>208.35164326599326</v>
      </c>
      <c r="CC124" s="5">
        <f t="shared" si="77"/>
        <v>20.835164326599326</v>
      </c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>
        <v>0</v>
      </c>
      <c r="CR124" s="3" t="b">
        <f t="shared" si="48"/>
        <v>1</v>
      </c>
      <c r="CS124" s="3" t="b">
        <f t="shared" si="49"/>
        <v>1</v>
      </c>
      <c r="CT124" s="3" t="b">
        <f t="shared" si="50"/>
        <v>1</v>
      </c>
      <c r="CU124" s="3" t="b">
        <f t="shared" si="51"/>
        <v>1</v>
      </c>
      <c r="CV124" s="3" t="b">
        <f t="shared" si="52"/>
        <v>1</v>
      </c>
      <c r="CW124" s="3" t="b">
        <f t="shared" si="53"/>
        <v>1</v>
      </c>
      <c r="CX124" s="9" t="str">
        <f t="shared" si="54"/>
        <v>5200052</v>
      </c>
      <c r="CY124" s="9" t="str">
        <f t="shared" si="55"/>
        <v>5200053</v>
      </c>
      <c r="CZ124" s="9" t="str">
        <f t="shared" si="56"/>
        <v>5200052</v>
      </c>
      <c r="DA124" s="9" t="str">
        <f t="shared" si="57"/>
        <v>5501054</v>
      </c>
      <c r="DB124" s="9" t="str">
        <f t="shared" si="58"/>
        <v>5500053</v>
      </c>
      <c r="DC124" s="9" t="str">
        <f t="shared" si="59"/>
        <v>5501054</v>
      </c>
      <c r="DD124" s="9">
        <v>5</v>
      </c>
      <c r="DE124" s="9">
        <v>5</v>
      </c>
      <c r="DF124" s="9">
        <v>5</v>
      </c>
      <c r="DG124" s="9">
        <v>5</v>
      </c>
      <c r="DH124" s="9">
        <v>5</v>
      </c>
      <c r="DI124" s="9">
        <v>5</v>
      </c>
      <c r="DJ124" s="9">
        <v>5</v>
      </c>
      <c r="DK124" s="9">
        <v>5</v>
      </c>
      <c r="DL124" s="9">
        <v>5</v>
      </c>
      <c r="DM124" s="9">
        <v>5</v>
      </c>
      <c r="DN124" s="9">
        <v>5</v>
      </c>
      <c r="DO124" s="9">
        <v>5</v>
      </c>
      <c r="DP124" s="25" t="s">
        <v>199</v>
      </c>
      <c r="DQ124" s="25" t="s">
        <v>113</v>
      </c>
      <c r="DR124" s="25" t="s">
        <v>199</v>
      </c>
      <c r="DS124" s="26" t="s">
        <v>214</v>
      </c>
      <c r="DT124" s="26" t="s">
        <v>207</v>
      </c>
      <c r="DU124" s="26" t="s">
        <v>214</v>
      </c>
      <c r="DV124" s="26">
        <f t="shared" si="60"/>
        <v>1</v>
      </c>
      <c r="DW124" s="26">
        <f t="shared" si="61"/>
        <v>1</v>
      </c>
      <c r="DX124" s="26">
        <f t="shared" si="62"/>
        <v>1</v>
      </c>
      <c r="DY124" s="26">
        <f t="shared" si="63"/>
        <v>2</v>
      </c>
      <c r="DZ124" s="26">
        <f t="shared" si="64"/>
        <v>2</v>
      </c>
      <c r="EA124" s="3">
        <f t="shared" si="65"/>
        <v>2</v>
      </c>
      <c r="EB124" s="35"/>
      <c r="EC124" s="5">
        <v>5600054</v>
      </c>
      <c r="ED124" s="34" t="s">
        <v>219</v>
      </c>
      <c r="EE124" s="8">
        <v>1</v>
      </c>
    </row>
    <row r="125" spans="1:135" ht="13.5" customHeight="1">
      <c r="A125" s="9">
        <v>122</v>
      </c>
      <c r="B125" s="9">
        <v>1</v>
      </c>
      <c r="C125" s="9">
        <v>2001</v>
      </c>
      <c r="D125" s="9">
        <f t="shared" si="78"/>
        <v>371047</v>
      </c>
      <c r="E125" s="9" t="str">
        <f t="shared" si="44"/>
        <v>5202052,5201052,5301051,5400055,5400055,5501055</v>
      </c>
      <c r="F125" s="9" t="str">
        <f t="shared" si="45"/>
        <v>5,5,5,5,5,5</v>
      </c>
      <c r="G125" s="9" t="str">
        <f t="shared" si="46"/>
        <v>308,315,315,315,315,315</v>
      </c>
      <c r="H125" s="9">
        <v>99</v>
      </c>
      <c r="I125" s="9" t="s">
        <v>278</v>
      </c>
      <c r="J125" s="9" t="s">
        <v>279</v>
      </c>
      <c r="K125" s="9" t="s">
        <v>279</v>
      </c>
      <c r="L125" s="9" t="s">
        <v>279</v>
      </c>
      <c r="M125" s="9" t="s">
        <v>288</v>
      </c>
      <c r="O125" s="3">
        <f t="shared" si="84"/>
        <v>371047</v>
      </c>
      <c r="P125" s="9">
        <v>301174.71999999997</v>
      </c>
      <c r="Q125" s="9">
        <v>5202052</v>
      </c>
      <c r="R125" s="9">
        <v>5201052</v>
      </c>
      <c r="S125" s="9">
        <v>5301051</v>
      </c>
      <c r="T125" s="9">
        <v>5400055</v>
      </c>
      <c r="U125" s="9">
        <v>5400055</v>
      </c>
      <c r="V125" s="9">
        <v>5501055</v>
      </c>
      <c r="W125" s="9">
        <v>5</v>
      </c>
      <c r="X125" s="9">
        <v>5</v>
      </c>
      <c r="Y125" s="9">
        <v>5</v>
      </c>
      <c r="Z125" s="9">
        <v>5</v>
      </c>
      <c r="AA125" s="9">
        <v>5</v>
      </c>
      <c r="AB125" s="9">
        <v>5</v>
      </c>
      <c r="AC125" s="9">
        <f t="shared" si="66"/>
        <v>308</v>
      </c>
      <c r="AD125" s="9">
        <f t="shared" si="67"/>
        <v>315</v>
      </c>
      <c r="AE125" s="9">
        <f t="shared" si="68"/>
        <v>315</v>
      </c>
      <c r="AF125" s="9">
        <f t="shared" si="69"/>
        <v>315</v>
      </c>
      <c r="AG125" s="9">
        <f t="shared" si="70"/>
        <v>315</v>
      </c>
      <c r="AH125" s="9">
        <f t="shared" si="71"/>
        <v>315</v>
      </c>
      <c r="AI125" s="7">
        <f t="shared" si="82"/>
        <v>50195.78666666666</v>
      </c>
      <c r="AJ125" s="7">
        <f t="shared" si="81"/>
        <v>50195.78666666666</v>
      </c>
      <c r="AK125" s="7">
        <f t="shared" si="81"/>
        <v>50195.78666666666</v>
      </c>
      <c r="AL125" s="7">
        <f t="shared" si="81"/>
        <v>50195.78666666666</v>
      </c>
      <c r="AM125" s="7">
        <f t="shared" si="81"/>
        <v>50195.78666666666</v>
      </c>
      <c r="AN125" s="7">
        <f t="shared" si="81"/>
        <v>50195.78666666666</v>
      </c>
      <c r="AO125" s="16"/>
      <c r="AP125" s="7"/>
      <c r="AQ125" s="9">
        <v>5</v>
      </c>
      <c r="AR125" s="9">
        <f t="shared" si="72"/>
        <v>284</v>
      </c>
      <c r="AS125" s="7">
        <f t="shared" si="73"/>
        <v>147</v>
      </c>
      <c r="AT125" s="7"/>
      <c r="AU125" s="16"/>
      <c r="AV125" s="7"/>
      <c r="AW125" s="7"/>
      <c r="AX125" s="7"/>
      <c r="AZ125" s="7"/>
      <c r="BA125" s="9">
        <f t="shared" si="79"/>
        <v>42653.800000000061</v>
      </c>
      <c r="BC125" s="5">
        <f t="shared" si="74"/>
        <v>284</v>
      </c>
      <c r="BQ125" s="18"/>
      <c r="BR125" s="18">
        <v>5500052</v>
      </c>
      <c r="BS125" s="18">
        <f>[1]monsters!$N125</f>
        <v>238.08</v>
      </c>
      <c r="BT125" s="18">
        <f>[1]monsters!$O125</f>
        <v>23.81</v>
      </c>
      <c r="BU125" s="18">
        <f>[1]monsters!$P125</f>
        <v>990.97</v>
      </c>
      <c r="BV125" s="18">
        <f>[1]monsters!$Q125</f>
        <v>99.1</v>
      </c>
      <c r="BW125" s="18">
        <f>[1]monsters!$R125</f>
        <v>23.81</v>
      </c>
      <c r="BX125" s="18">
        <f>[1]monsters!$S125</f>
        <v>2.38</v>
      </c>
      <c r="BY125" s="18">
        <f>[1]monsters!$K125</f>
        <v>1.8</v>
      </c>
      <c r="BZ125" s="5">
        <f>[1]monsters!$D125</f>
        <v>6</v>
      </c>
      <c r="CA125" s="5">
        <f t="shared" si="75"/>
        <v>0.1</v>
      </c>
      <c r="CB125" s="5">
        <f t="shared" si="76"/>
        <v>258.3515932659933</v>
      </c>
      <c r="CC125" s="5">
        <f t="shared" si="77"/>
        <v>25.835159326599332</v>
      </c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>
        <v>0</v>
      </c>
      <c r="CR125" s="3" t="b">
        <f t="shared" si="48"/>
        <v>1</v>
      </c>
      <c r="CS125" s="3" t="b">
        <f t="shared" si="49"/>
        <v>1</v>
      </c>
      <c r="CT125" s="3" t="b">
        <f t="shared" si="50"/>
        <v>1</v>
      </c>
      <c r="CU125" s="3" t="b">
        <f t="shared" si="51"/>
        <v>1</v>
      </c>
      <c r="CV125" s="3" t="b">
        <f t="shared" si="52"/>
        <v>1</v>
      </c>
      <c r="CW125" s="3" t="b">
        <f t="shared" si="53"/>
        <v>1</v>
      </c>
      <c r="CX125" s="9" t="str">
        <f t="shared" si="54"/>
        <v>5202052</v>
      </c>
      <c r="CY125" s="9" t="str">
        <f t="shared" si="55"/>
        <v>5201052</v>
      </c>
      <c r="CZ125" s="9" t="str">
        <f t="shared" si="56"/>
        <v>5301051</v>
      </c>
      <c r="DA125" s="9" t="str">
        <f t="shared" si="57"/>
        <v>5400055</v>
      </c>
      <c r="DB125" s="9" t="str">
        <f t="shared" si="58"/>
        <v>5400055</v>
      </c>
      <c r="DC125" s="9" t="str">
        <f t="shared" si="59"/>
        <v>5501055</v>
      </c>
      <c r="DD125" s="9">
        <v>5</v>
      </c>
      <c r="DE125" s="9">
        <v>5</v>
      </c>
      <c r="DF125" s="9">
        <v>5</v>
      </c>
      <c r="DG125" s="9">
        <v>5</v>
      </c>
      <c r="DH125" s="9">
        <v>5</v>
      </c>
      <c r="DI125" s="9">
        <v>5</v>
      </c>
      <c r="DJ125" s="9">
        <v>5</v>
      </c>
      <c r="DK125" s="9">
        <v>5</v>
      </c>
      <c r="DL125" s="9">
        <v>5</v>
      </c>
      <c r="DM125" s="9">
        <v>5</v>
      </c>
      <c r="DN125" s="9">
        <v>5</v>
      </c>
      <c r="DO125" s="9">
        <v>5</v>
      </c>
      <c r="DP125" s="25" t="s">
        <v>200</v>
      </c>
      <c r="DQ125" s="25" t="s">
        <v>114</v>
      </c>
      <c r="DR125" s="25" t="s">
        <v>107</v>
      </c>
      <c r="DS125" s="25" t="s">
        <v>210</v>
      </c>
      <c r="DT125" s="25" t="s">
        <v>210</v>
      </c>
      <c r="DU125" s="25" t="s">
        <v>209</v>
      </c>
      <c r="DV125" s="25">
        <f t="shared" si="60"/>
        <v>1</v>
      </c>
      <c r="DW125" s="25">
        <f t="shared" si="61"/>
        <v>1</v>
      </c>
      <c r="DX125" s="25">
        <f t="shared" si="62"/>
        <v>1</v>
      </c>
      <c r="DY125" s="25">
        <f t="shared" si="63"/>
        <v>2</v>
      </c>
      <c r="DZ125" s="25">
        <f t="shared" si="64"/>
        <v>2</v>
      </c>
      <c r="EA125" s="3">
        <f t="shared" si="65"/>
        <v>2</v>
      </c>
      <c r="EB125" s="35"/>
      <c r="EC125" s="5">
        <v>5602054</v>
      </c>
      <c r="ED125" s="34" t="s">
        <v>220</v>
      </c>
      <c r="EE125" s="8">
        <v>2</v>
      </c>
    </row>
    <row r="126" spans="1:135" ht="13.5" customHeight="1">
      <c r="A126" s="9">
        <v>123</v>
      </c>
      <c r="B126" s="9">
        <v>1</v>
      </c>
      <c r="C126" s="9">
        <v>2001</v>
      </c>
      <c r="D126" s="9">
        <f t="shared" si="78"/>
        <v>375729</v>
      </c>
      <c r="E126" s="9" t="str">
        <f t="shared" si="44"/>
        <v>5301051,5301052,5301053,5500052,5500051,5500052</v>
      </c>
      <c r="F126" s="9" t="str">
        <f t="shared" si="45"/>
        <v>5,5,5,5,5,5</v>
      </c>
      <c r="G126" s="9" t="str">
        <f t="shared" si="46"/>
        <v>310,317,317,317,317,317</v>
      </c>
      <c r="H126" s="9">
        <v>99</v>
      </c>
      <c r="I126" s="9" t="s">
        <v>278</v>
      </c>
      <c r="J126" s="9" t="s">
        <v>279</v>
      </c>
      <c r="K126" s="9" t="s">
        <v>279</v>
      </c>
      <c r="L126" s="9" t="s">
        <v>279</v>
      </c>
      <c r="M126" s="9" t="s">
        <v>288</v>
      </c>
      <c r="O126" s="3">
        <f t="shared" si="84"/>
        <v>375729</v>
      </c>
      <c r="P126" s="9">
        <v>304974.56</v>
      </c>
      <c r="Q126" s="9">
        <v>5301051</v>
      </c>
      <c r="R126" s="9">
        <v>5301052</v>
      </c>
      <c r="S126" s="9">
        <v>5301053</v>
      </c>
      <c r="T126" s="9">
        <v>5500052</v>
      </c>
      <c r="U126" s="9">
        <v>5500051</v>
      </c>
      <c r="V126" s="9">
        <v>5500052</v>
      </c>
      <c r="W126" s="9">
        <v>5</v>
      </c>
      <c r="X126" s="9">
        <v>5</v>
      </c>
      <c r="Y126" s="9">
        <v>5</v>
      </c>
      <c r="Z126" s="9">
        <v>5</v>
      </c>
      <c r="AA126" s="9">
        <v>5</v>
      </c>
      <c r="AB126" s="9">
        <v>5</v>
      </c>
      <c r="AC126" s="9">
        <f t="shared" si="66"/>
        <v>310</v>
      </c>
      <c r="AD126" s="9">
        <f t="shared" si="67"/>
        <v>317</v>
      </c>
      <c r="AE126" s="9">
        <f t="shared" si="68"/>
        <v>317</v>
      </c>
      <c r="AF126" s="9">
        <f t="shared" si="69"/>
        <v>317</v>
      </c>
      <c r="AG126" s="9">
        <f t="shared" si="70"/>
        <v>317</v>
      </c>
      <c r="AH126" s="9">
        <f t="shared" si="71"/>
        <v>317</v>
      </c>
      <c r="AI126" s="7">
        <f t="shared" si="82"/>
        <v>50829.093333333331</v>
      </c>
      <c r="AJ126" s="7">
        <f t="shared" si="81"/>
        <v>50829.093333333331</v>
      </c>
      <c r="AK126" s="7">
        <f t="shared" si="81"/>
        <v>50829.093333333331</v>
      </c>
      <c r="AL126" s="7">
        <f t="shared" si="81"/>
        <v>50829.093333333331</v>
      </c>
      <c r="AM126" s="7">
        <f t="shared" si="81"/>
        <v>50829.093333333331</v>
      </c>
      <c r="AN126" s="7">
        <f t="shared" si="81"/>
        <v>50829.093333333331</v>
      </c>
      <c r="AO126" s="16"/>
      <c r="AP126" s="7"/>
      <c r="AQ126" s="9">
        <v>5</v>
      </c>
      <c r="AR126" s="9">
        <f t="shared" si="72"/>
        <v>286</v>
      </c>
      <c r="AS126" s="7">
        <f t="shared" si="73"/>
        <v>148</v>
      </c>
      <c r="AT126" s="7"/>
      <c r="AU126" s="16"/>
      <c r="AV126" s="7"/>
      <c r="AW126" s="7"/>
      <c r="AX126" s="7"/>
      <c r="AZ126" s="7"/>
      <c r="BA126" s="9">
        <f t="shared" si="79"/>
        <v>43176.557142857208</v>
      </c>
      <c r="BC126" s="5">
        <f t="shared" si="74"/>
        <v>286</v>
      </c>
      <c r="BQ126" s="18"/>
      <c r="BR126" s="18">
        <v>5502052</v>
      </c>
      <c r="BS126" s="18">
        <f>[1]monsters!$N126</f>
        <v>138.24</v>
      </c>
      <c r="BT126" s="18">
        <f>[1]monsters!$O126</f>
        <v>13.82</v>
      </c>
      <c r="BU126" s="18">
        <f>[1]monsters!$P126</f>
        <v>1706.67</v>
      </c>
      <c r="BV126" s="18">
        <f>[1]monsters!$Q126</f>
        <v>170.67</v>
      </c>
      <c r="BW126" s="18">
        <f>[1]monsters!$R126</f>
        <v>27.65</v>
      </c>
      <c r="BX126" s="18">
        <f>[1]monsters!$S126</f>
        <v>2.76</v>
      </c>
      <c r="BY126" s="18">
        <f>[1]monsters!$K126</f>
        <v>1.8</v>
      </c>
      <c r="BZ126" s="5">
        <f>[1]monsters!$D126</f>
        <v>2</v>
      </c>
      <c r="CA126" s="5">
        <f t="shared" si="75"/>
        <v>0.1</v>
      </c>
      <c r="CB126" s="5">
        <f t="shared" si="76"/>
        <v>188.10043636363639</v>
      </c>
      <c r="CC126" s="5">
        <f t="shared" si="77"/>
        <v>18.810043636363641</v>
      </c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>
        <v>0</v>
      </c>
      <c r="CR126" s="3" t="b">
        <f t="shared" si="48"/>
        <v>1</v>
      </c>
      <c r="CS126" s="3" t="b">
        <f t="shared" si="49"/>
        <v>1</v>
      </c>
      <c r="CT126" s="3" t="b">
        <f t="shared" si="50"/>
        <v>1</v>
      </c>
      <c r="CU126" s="3" t="b">
        <f t="shared" si="51"/>
        <v>1</v>
      </c>
      <c r="CV126" s="3" t="b">
        <f t="shared" si="52"/>
        <v>1</v>
      </c>
      <c r="CW126" s="3" t="b">
        <f t="shared" si="53"/>
        <v>1</v>
      </c>
      <c r="CX126" s="9" t="str">
        <f t="shared" si="54"/>
        <v>5301051</v>
      </c>
      <c r="CY126" s="9" t="str">
        <f t="shared" si="55"/>
        <v>5301052</v>
      </c>
      <c r="CZ126" s="9" t="str">
        <f t="shared" si="56"/>
        <v>5301053</v>
      </c>
      <c r="DA126" s="9" t="str">
        <f t="shared" si="57"/>
        <v>5500052</v>
      </c>
      <c r="DB126" s="9" t="str">
        <f t="shared" si="58"/>
        <v>5500051</v>
      </c>
      <c r="DC126" s="9" t="str">
        <f t="shared" si="59"/>
        <v>5500052</v>
      </c>
      <c r="DD126" s="9">
        <v>5</v>
      </c>
      <c r="DE126" s="9">
        <v>5</v>
      </c>
      <c r="DF126" s="9">
        <v>5</v>
      </c>
      <c r="DG126" s="9">
        <v>5</v>
      </c>
      <c r="DH126" s="9">
        <v>5</v>
      </c>
      <c r="DI126" s="9">
        <v>5</v>
      </c>
      <c r="DJ126" s="9">
        <v>5</v>
      </c>
      <c r="DK126" s="9">
        <v>5</v>
      </c>
      <c r="DL126" s="9">
        <v>5</v>
      </c>
      <c r="DM126" s="9">
        <v>5</v>
      </c>
      <c r="DN126" s="9">
        <v>5</v>
      </c>
      <c r="DO126" s="9">
        <v>5</v>
      </c>
      <c r="DP126" s="26" t="s">
        <v>107</v>
      </c>
      <c r="DQ126" s="26" t="s">
        <v>201</v>
      </c>
      <c r="DR126" s="26" t="s">
        <v>206</v>
      </c>
      <c r="DS126" s="26" t="s">
        <v>109</v>
      </c>
      <c r="DT126" s="26" t="s">
        <v>197</v>
      </c>
      <c r="DU126" s="26" t="s">
        <v>109</v>
      </c>
      <c r="DV126" s="26">
        <f t="shared" si="60"/>
        <v>1</v>
      </c>
      <c r="DW126" s="26">
        <f t="shared" si="61"/>
        <v>1</v>
      </c>
      <c r="DX126" s="26">
        <f t="shared" si="62"/>
        <v>1</v>
      </c>
      <c r="DY126" s="26">
        <f t="shared" si="63"/>
        <v>2</v>
      </c>
      <c r="DZ126" s="26">
        <f t="shared" si="64"/>
        <v>2</v>
      </c>
      <c r="EA126" s="3">
        <f t="shared" si="65"/>
        <v>2</v>
      </c>
      <c r="EB126" s="35"/>
      <c r="EC126" s="5">
        <v>5202055</v>
      </c>
      <c r="ED126" s="34" t="s">
        <v>213</v>
      </c>
      <c r="EE126" s="8">
        <v>1</v>
      </c>
    </row>
    <row r="127" spans="1:135" ht="13.5" customHeight="1">
      <c r="A127" s="9">
        <v>124</v>
      </c>
      <c r="B127" s="9">
        <v>1</v>
      </c>
      <c r="C127" s="9">
        <v>2001</v>
      </c>
      <c r="D127" s="9">
        <f t="shared" si="78"/>
        <v>380069</v>
      </c>
      <c r="E127" s="9" t="str">
        <f t="shared" si="44"/>
        <v>5201052,5201052,5201052,5501055,5400055,5400055</v>
      </c>
      <c r="F127" s="9" t="str">
        <f t="shared" si="45"/>
        <v>5,5,5,5,5,5</v>
      </c>
      <c r="G127" s="9" t="str">
        <f t="shared" si="46"/>
        <v>312,319,319,319,319,319</v>
      </c>
      <c r="H127" s="9">
        <v>99</v>
      </c>
      <c r="I127" s="9" t="s">
        <v>278</v>
      </c>
      <c r="J127" s="9" t="s">
        <v>279</v>
      </c>
      <c r="K127" s="9" t="s">
        <v>279</v>
      </c>
      <c r="L127" s="9" t="s">
        <v>279</v>
      </c>
      <c r="M127" s="9" t="s">
        <v>288</v>
      </c>
      <c r="O127" s="3">
        <f t="shared" si="84"/>
        <v>380069</v>
      </c>
      <c r="P127" s="9">
        <v>308497.64</v>
      </c>
      <c r="Q127" s="9">
        <v>5201052</v>
      </c>
      <c r="R127" s="9">
        <v>5201052</v>
      </c>
      <c r="S127" s="9">
        <v>5201052</v>
      </c>
      <c r="T127" s="9">
        <v>5501055</v>
      </c>
      <c r="U127" s="9">
        <v>5400055</v>
      </c>
      <c r="V127" s="9">
        <v>5400055</v>
      </c>
      <c r="W127" s="9">
        <v>5</v>
      </c>
      <c r="X127" s="9">
        <v>5</v>
      </c>
      <c r="Y127" s="9">
        <v>5</v>
      </c>
      <c r="Z127" s="9">
        <v>5</v>
      </c>
      <c r="AA127" s="9">
        <v>5</v>
      </c>
      <c r="AB127" s="9">
        <v>5</v>
      </c>
      <c r="AC127" s="9">
        <f t="shared" si="66"/>
        <v>312</v>
      </c>
      <c r="AD127" s="9">
        <f t="shared" si="67"/>
        <v>319</v>
      </c>
      <c r="AE127" s="9">
        <f t="shared" si="68"/>
        <v>319</v>
      </c>
      <c r="AF127" s="9">
        <f t="shared" si="69"/>
        <v>319</v>
      </c>
      <c r="AG127" s="9">
        <f t="shared" si="70"/>
        <v>319</v>
      </c>
      <c r="AH127" s="9">
        <f t="shared" si="71"/>
        <v>319</v>
      </c>
      <c r="AI127" s="7">
        <f t="shared" si="82"/>
        <v>51416.273333333338</v>
      </c>
      <c r="AJ127" s="7">
        <f t="shared" si="81"/>
        <v>51416.273333333338</v>
      </c>
      <c r="AK127" s="7">
        <f t="shared" si="81"/>
        <v>51416.273333333338</v>
      </c>
      <c r="AL127" s="7">
        <f t="shared" si="81"/>
        <v>51416.273333333338</v>
      </c>
      <c r="AM127" s="7">
        <f t="shared" si="81"/>
        <v>51416.273333333338</v>
      </c>
      <c r="AN127" s="7">
        <f t="shared" si="81"/>
        <v>51416.273333333338</v>
      </c>
      <c r="AO127" s="16"/>
      <c r="AP127" s="7"/>
      <c r="AQ127" s="9">
        <v>5</v>
      </c>
      <c r="AR127" s="9">
        <f t="shared" si="72"/>
        <v>288</v>
      </c>
      <c r="AS127" s="7">
        <f t="shared" si="73"/>
        <v>149</v>
      </c>
      <c r="AT127" s="7"/>
      <c r="AU127" s="16"/>
      <c r="AV127" s="7"/>
      <c r="AW127" s="7"/>
      <c r="AX127" s="7"/>
      <c r="AZ127" s="7"/>
      <c r="BA127" s="9">
        <f t="shared" si="79"/>
        <v>43699.314285714354</v>
      </c>
      <c r="BC127" s="5">
        <f t="shared" si="74"/>
        <v>288</v>
      </c>
      <c r="BQ127" s="18"/>
      <c r="BR127" s="18">
        <v>5600052</v>
      </c>
      <c r="BS127" s="18">
        <f>[1]monsters!$N127</f>
        <v>99.84</v>
      </c>
      <c r="BT127" s="18">
        <f>[1]monsters!$O127</f>
        <v>9.98</v>
      </c>
      <c r="BU127" s="18">
        <f>[1]monsters!$P127</f>
        <v>1706.67</v>
      </c>
      <c r="BV127" s="18">
        <f>[1]monsters!$Q127</f>
        <v>170.67</v>
      </c>
      <c r="BW127" s="18">
        <f>[1]monsters!$R127</f>
        <v>19.97</v>
      </c>
      <c r="BX127" s="18">
        <f>[1]monsters!$S127</f>
        <v>2</v>
      </c>
      <c r="BY127" s="18">
        <f>[1]monsters!$K127</f>
        <v>1.3</v>
      </c>
      <c r="BZ127" s="5">
        <f>[1]monsters!$D127</f>
        <v>3</v>
      </c>
      <c r="CA127" s="5">
        <f t="shared" si="75"/>
        <v>0.1</v>
      </c>
      <c r="CB127" s="5">
        <f t="shared" si="76"/>
        <v>151.81243636363638</v>
      </c>
      <c r="CC127" s="5">
        <f t="shared" si="77"/>
        <v>15.181243636363639</v>
      </c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>
        <v>0</v>
      </c>
      <c r="CR127" s="3" t="b">
        <f t="shared" si="48"/>
        <v>1</v>
      </c>
      <c r="CS127" s="3" t="b">
        <f t="shared" si="49"/>
        <v>1</v>
      </c>
      <c r="CT127" s="3" t="b">
        <f t="shared" si="50"/>
        <v>1</v>
      </c>
      <c r="CU127" s="3" t="b">
        <f t="shared" si="51"/>
        <v>1</v>
      </c>
      <c r="CV127" s="3" t="b">
        <f t="shared" si="52"/>
        <v>1</v>
      </c>
      <c r="CW127" s="3" t="b">
        <f t="shared" si="53"/>
        <v>1</v>
      </c>
      <c r="CX127" s="9" t="str">
        <f t="shared" si="54"/>
        <v>5201052</v>
      </c>
      <c r="CY127" s="9" t="str">
        <f t="shared" si="55"/>
        <v>5201052</v>
      </c>
      <c r="CZ127" s="9" t="str">
        <f t="shared" si="56"/>
        <v>5201052</v>
      </c>
      <c r="DA127" s="9" t="str">
        <f t="shared" si="57"/>
        <v>5501055</v>
      </c>
      <c r="DB127" s="9" t="str">
        <f t="shared" si="58"/>
        <v>5400055</v>
      </c>
      <c r="DC127" s="9" t="str">
        <f t="shared" si="59"/>
        <v>5400055</v>
      </c>
      <c r="DD127" s="9">
        <v>5</v>
      </c>
      <c r="DE127" s="9">
        <v>5</v>
      </c>
      <c r="DF127" s="9">
        <v>5</v>
      </c>
      <c r="DG127" s="9">
        <v>5</v>
      </c>
      <c r="DH127" s="9">
        <v>5</v>
      </c>
      <c r="DI127" s="9">
        <v>5</v>
      </c>
      <c r="DJ127" s="9">
        <v>5</v>
      </c>
      <c r="DK127" s="9">
        <v>5</v>
      </c>
      <c r="DL127" s="9">
        <v>5</v>
      </c>
      <c r="DM127" s="9">
        <v>5</v>
      </c>
      <c r="DN127" s="9">
        <v>5</v>
      </c>
      <c r="DO127" s="9">
        <v>5</v>
      </c>
      <c r="DP127" s="25" t="s">
        <v>114</v>
      </c>
      <c r="DQ127" s="25" t="s">
        <v>114</v>
      </c>
      <c r="DR127" s="25" t="s">
        <v>114</v>
      </c>
      <c r="DS127" s="25" t="s">
        <v>209</v>
      </c>
      <c r="DT127" s="25" t="s">
        <v>210</v>
      </c>
      <c r="DU127" s="25" t="s">
        <v>210</v>
      </c>
      <c r="DV127" s="25">
        <f t="shared" si="60"/>
        <v>1</v>
      </c>
      <c r="DW127" s="25">
        <f t="shared" si="61"/>
        <v>1</v>
      </c>
      <c r="DX127" s="25">
        <f t="shared" si="62"/>
        <v>1</v>
      </c>
      <c r="DY127" s="25">
        <f t="shared" si="63"/>
        <v>2</v>
      </c>
      <c r="DZ127" s="25">
        <f t="shared" si="64"/>
        <v>2</v>
      </c>
      <c r="EA127" s="3">
        <f t="shared" si="65"/>
        <v>2</v>
      </c>
      <c r="EB127" s="35"/>
      <c r="EC127" s="9">
        <v>5300055</v>
      </c>
      <c r="ED127" s="34" t="s">
        <v>212</v>
      </c>
      <c r="EE127" s="8">
        <v>1</v>
      </c>
    </row>
    <row r="128" spans="1:135" ht="13.5" customHeight="1">
      <c r="A128" s="9">
        <v>125</v>
      </c>
      <c r="B128" s="9">
        <v>1</v>
      </c>
      <c r="C128" s="9">
        <v>2001</v>
      </c>
      <c r="D128" s="9">
        <f t="shared" si="78"/>
        <v>401868</v>
      </c>
      <c r="E128" s="9" t="str">
        <f t="shared" ref="E128:E191" si="85">Q128&amp;","&amp;R128&amp;","&amp;S128&amp;","&amp;T128&amp;","&amp;U128&amp;","&amp;V128</f>
        <v>5600064,5202063,5202063,5501064,5501064,5501064</v>
      </c>
      <c r="F128" s="9" t="str">
        <f t="shared" ref="F128:F191" si="86">W128&amp;","&amp;X128&amp;","&amp;Y128&amp;","&amp;Z128&amp;","&amp;AA128&amp;","&amp;AB128</f>
        <v>6,6,6,6,6,6</v>
      </c>
      <c r="G128" s="9" t="str">
        <f t="shared" ref="G128:G191" si="87">AC128&amp;","&amp;AD128&amp;","&amp;AE128&amp;","&amp;AF128&amp;","&amp;AG128&amp;","&amp;AH128</f>
        <v>262,284,284,284,284,284</v>
      </c>
      <c r="H128" s="9">
        <v>100</v>
      </c>
      <c r="I128" s="9" t="s">
        <v>278</v>
      </c>
      <c r="J128" s="9" t="s">
        <v>279</v>
      </c>
      <c r="K128" s="9" t="s">
        <v>279</v>
      </c>
      <c r="L128" s="9" t="s">
        <v>279</v>
      </c>
      <c r="M128" s="9" t="s">
        <v>288</v>
      </c>
      <c r="O128" s="3">
        <f t="shared" si="84"/>
        <v>401868</v>
      </c>
      <c r="P128" s="9">
        <v>326191.58</v>
      </c>
      <c r="Q128" s="9">
        <v>5600064</v>
      </c>
      <c r="R128" s="9">
        <v>5202063</v>
      </c>
      <c r="S128" s="9">
        <v>5202063</v>
      </c>
      <c r="T128" s="9">
        <v>5501064</v>
      </c>
      <c r="U128" s="9">
        <v>5501064</v>
      </c>
      <c r="V128" s="9">
        <v>5501064</v>
      </c>
      <c r="W128" s="9">
        <v>6</v>
      </c>
      <c r="X128" s="9">
        <v>6</v>
      </c>
      <c r="Y128" s="9">
        <v>6</v>
      </c>
      <c r="Z128" s="9">
        <v>6</v>
      </c>
      <c r="AA128" s="9">
        <v>6</v>
      </c>
      <c r="AB128" s="9">
        <v>6</v>
      </c>
      <c r="AC128" s="9">
        <f t="shared" si="66"/>
        <v>262</v>
      </c>
      <c r="AD128" s="9">
        <f t="shared" si="67"/>
        <v>284</v>
      </c>
      <c r="AE128" s="9">
        <f t="shared" si="68"/>
        <v>284</v>
      </c>
      <c r="AF128" s="9">
        <f t="shared" si="69"/>
        <v>284</v>
      </c>
      <c r="AG128" s="9">
        <f t="shared" si="70"/>
        <v>284</v>
      </c>
      <c r="AH128" s="9">
        <f t="shared" si="71"/>
        <v>284</v>
      </c>
      <c r="AI128" s="7">
        <f t="shared" si="82"/>
        <v>54365.263333333336</v>
      </c>
      <c r="AJ128" s="7">
        <f t="shared" si="81"/>
        <v>54365.263333333336</v>
      </c>
      <c r="AK128" s="7">
        <f t="shared" si="81"/>
        <v>54365.263333333336</v>
      </c>
      <c r="AL128" s="7">
        <f t="shared" si="81"/>
        <v>54365.263333333336</v>
      </c>
      <c r="AM128" s="7">
        <f t="shared" si="81"/>
        <v>54365.263333333336</v>
      </c>
      <c r="AN128" s="7">
        <f t="shared" si="81"/>
        <v>54365.263333333336</v>
      </c>
      <c r="AO128" s="16"/>
      <c r="AP128" s="7"/>
      <c r="AQ128" s="9">
        <v>5</v>
      </c>
      <c r="AR128" s="9">
        <f t="shared" si="72"/>
        <v>296</v>
      </c>
      <c r="AS128" s="7">
        <f t="shared" si="73"/>
        <v>150</v>
      </c>
      <c r="AT128" s="7"/>
      <c r="AU128" s="16"/>
      <c r="AV128" s="7"/>
      <c r="AW128" s="7"/>
      <c r="AX128" s="7"/>
      <c r="AZ128" s="7"/>
      <c r="BA128" s="9">
        <f t="shared" si="79"/>
        <v>44222.0714285715</v>
      </c>
      <c r="BC128" s="5">
        <f t="shared" si="74"/>
        <v>244</v>
      </c>
      <c r="BQ128" s="18"/>
      <c r="BR128" s="18">
        <v>5602052</v>
      </c>
      <c r="BS128" s="18">
        <f>[1]monsters!$N128</f>
        <v>107.52</v>
      </c>
      <c r="BT128" s="18">
        <f>[1]monsters!$O128</f>
        <v>10.75</v>
      </c>
      <c r="BU128" s="18">
        <f>[1]monsters!$P128</f>
        <v>1706.67</v>
      </c>
      <c r="BV128" s="18">
        <f>[1]monsters!$Q128</f>
        <v>170.67</v>
      </c>
      <c r="BW128" s="18">
        <f>[1]monsters!$R128</f>
        <v>21.5</v>
      </c>
      <c r="BX128" s="18">
        <f>[1]monsters!$S128</f>
        <v>2.15</v>
      </c>
      <c r="BY128" s="18">
        <f>[1]monsters!$K128</f>
        <v>1.4</v>
      </c>
      <c r="BZ128" s="5">
        <f>[1]monsters!$D128</f>
        <v>3</v>
      </c>
      <c r="CA128" s="5">
        <f t="shared" si="75"/>
        <v>0.1</v>
      </c>
      <c r="CB128" s="5">
        <f t="shared" si="76"/>
        <v>159.07003636363638</v>
      </c>
      <c r="CC128" s="5">
        <f t="shared" si="77"/>
        <v>15.907003636363639</v>
      </c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>
        <v>1</v>
      </c>
      <c r="CR128" s="3" t="b">
        <f t="shared" si="48"/>
        <v>1</v>
      </c>
      <c r="CS128" s="3" t="b">
        <f t="shared" si="49"/>
        <v>1</v>
      </c>
      <c r="CT128" s="3" t="b">
        <f t="shared" si="50"/>
        <v>1</v>
      </c>
      <c r="CU128" s="3" t="b">
        <f t="shared" si="51"/>
        <v>1</v>
      </c>
      <c r="CV128" s="3" t="b">
        <f t="shared" si="52"/>
        <v>1</v>
      </c>
      <c r="CW128" s="3" t="b">
        <f t="shared" si="53"/>
        <v>1</v>
      </c>
      <c r="CX128" s="9" t="str">
        <f t="shared" si="54"/>
        <v>5600064</v>
      </c>
      <c r="CY128" s="9" t="str">
        <f t="shared" si="55"/>
        <v>5202063</v>
      </c>
      <c r="CZ128" s="9" t="str">
        <f t="shared" si="56"/>
        <v>5202063</v>
      </c>
      <c r="DA128" s="9" t="str">
        <f t="shared" si="57"/>
        <v>5501064</v>
      </c>
      <c r="DB128" s="9" t="str">
        <f t="shared" si="58"/>
        <v>5501064</v>
      </c>
      <c r="DC128" s="9" t="str">
        <f t="shared" si="59"/>
        <v>5501064</v>
      </c>
      <c r="DD128" s="9">
        <v>6</v>
      </c>
      <c r="DE128" s="9">
        <v>6</v>
      </c>
      <c r="DF128" s="9">
        <v>6</v>
      </c>
      <c r="DG128" s="9">
        <v>6</v>
      </c>
      <c r="DH128" s="9">
        <v>6</v>
      </c>
      <c r="DI128" s="9">
        <v>6</v>
      </c>
      <c r="DJ128" s="9">
        <v>5</v>
      </c>
      <c r="DK128" s="9">
        <v>5</v>
      </c>
      <c r="DL128" s="9">
        <v>5</v>
      </c>
      <c r="DM128" s="9">
        <v>5</v>
      </c>
      <c r="DN128" s="9">
        <v>5</v>
      </c>
      <c r="DO128" s="9">
        <v>5</v>
      </c>
      <c r="DP128" s="27" t="s">
        <v>219</v>
      </c>
      <c r="DQ128" s="25" t="s">
        <v>208</v>
      </c>
      <c r="DR128" s="25" t="s">
        <v>208</v>
      </c>
      <c r="DS128" s="25" t="s">
        <v>214</v>
      </c>
      <c r="DT128" s="25" t="s">
        <v>214</v>
      </c>
      <c r="DU128" s="25" t="s">
        <v>214</v>
      </c>
      <c r="DV128" s="25">
        <f t="shared" si="60"/>
        <v>1</v>
      </c>
      <c r="DW128" s="25">
        <f t="shared" si="61"/>
        <v>1</v>
      </c>
      <c r="DX128" s="25">
        <f t="shared" si="62"/>
        <v>1</v>
      </c>
      <c r="DY128" s="25">
        <f t="shared" si="63"/>
        <v>2</v>
      </c>
      <c r="DZ128" s="25">
        <f t="shared" si="64"/>
        <v>2</v>
      </c>
      <c r="EA128" s="3">
        <f t="shared" si="65"/>
        <v>2</v>
      </c>
      <c r="EB128" s="35"/>
      <c r="EC128" s="9">
        <v>5302055</v>
      </c>
      <c r="ED128" s="34" t="s">
        <v>221</v>
      </c>
      <c r="EE128" s="8">
        <v>1</v>
      </c>
    </row>
    <row r="129" spans="1:135" ht="13.5" customHeight="1">
      <c r="A129" s="9">
        <v>126</v>
      </c>
      <c r="B129" s="9">
        <v>1</v>
      </c>
      <c r="C129" s="9">
        <v>2001</v>
      </c>
      <c r="D129" s="9">
        <f t="shared" si="78"/>
        <v>404713</v>
      </c>
      <c r="E129" s="9" t="str">
        <f t="shared" si="85"/>
        <v>5200062,5200063,5200062,5402062,5400065,5400065</v>
      </c>
      <c r="F129" s="9" t="str">
        <f t="shared" si="86"/>
        <v>6,6,6,6,6,6</v>
      </c>
      <c r="G129" s="9" t="str">
        <f t="shared" si="87"/>
        <v>263,285,285,285,285,285</v>
      </c>
      <c r="H129" s="9">
        <v>102</v>
      </c>
      <c r="I129" s="9" t="s">
        <v>278</v>
      </c>
      <c r="J129" s="9" t="s">
        <v>279</v>
      </c>
      <c r="K129" s="9" t="s">
        <v>279</v>
      </c>
      <c r="L129" s="9" t="s">
        <v>279</v>
      </c>
      <c r="M129" s="9" t="s">
        <v>288</v>
      </c>
      <c r="O129" s="3">
        <f t="shared" si="84"/>
        <v>404713</v>
      </c>
      <c r="P129" s="9">
        <v>328501.03000000003</v>
      </c>
      <c r="Q129" s="9">
        <v>5200062</v>
      </c>
      <c r="R129" s="9">
        <v>5200063</v>
      </c>
      <c r="S129" s="9">
        <v>5200062</v>
      </c>
      <c r="T129" s="9">
        <v>5402062</v>
      </c>
      <c r="U129" s="9">
        <v>5400065</v>
      </c>
      <c r="V129" s="9">
        <v>5400065</v>
      </c>
      <c r="W129" s="9">
        <v>6</v>
      </c>
      <c r="X129" s="9">
        <v>6</v>
      </c>
      <c r="Y129" s="9">
        <v>6</v>
      </c>
      <c r="Z129" s="9">
        <v>6</v>
      </c>
      <c r="AA129" s="9">
        <v>6</v>
      </c>
      <c r="AB129" s="9">
        <v>6</v>
      </c>
      <c r="AC129" s="9">
        <f t="shared" si="66"/>
        <v>263</v>
      </c>
      <c r="AD129" s="9">
        <f t="shared" si="67"/>
        <v>285</v>
      </c>
      <c r="AE129" s="9">
        <f t="shared" si="68"/>
        <v>285</v>
      </c>
      <c r="AF129" s="9">
        <f t="shared" si="69"/>
        <v>285</v>
      </c>
      <c r="AG129" s="9">
        <f t="shared" si="70"/>
        <v>285</v>
      </c>
      <c r="AH129" s="9">
        <f t="shared" si="71"/>
        <v>285</v>
      </c>
      <c r="AI129" s="7">
        <f t="shared" si="82"/>
        <v>54750.171666666669</v>
      </c>
      <c r="AJ129" s="7">
        <f t="shared" si="81"/>
        <v>54750.171666666669</v>
      </c>
      <c r="AK129" s="7">
        <f t="shared" si="81"/>
        <v>54750.171666666669</v>
      </c>
      <c r="AL129" s="7">
        <f t="shared" si="81"/>
        <v>54750.171666666669</v>
      </c>
      <c r="AM129" s="7">
        <f t="shared" si="81"/>
        <v>54750.171666666669</v>
      </c>
      <c r="AN129" s="7">
        <f t="shared" si="81"/>
        <v>54750.171666666669</v>
      </c>
      <c r="AO129" s="16"/>
      <c r="AP129" s="7"/>
      <c r="AQ129" s="9">
        <v>5</v>
      </c>
      <c r="AR129" s="9">
        <f t="shared" si="72"/>
        <v>297</v>
      </c>
      <c r="AS129" s="7">
        <f t="shared" si="73"/>
        <v>151</v>
      </c>
      <c r="AT129" s="7"/>
      <c r="AU129" s="16"/>
      <c r="AV129" s="7"/>
      <c r="AW129" s="7"/>
      <c r="AX129" s="7"/>
      <c r="AZ129" s="7"/>
      <c r="BA129" s="9">
        <f t="shared" si="79"/>
        <v>44744.828571428647</v>
      </c>
      <c r="BC129" s="5">
        <f t="shared" si="74"/>
        <v>245</v>
      </c>
      <c r="BQ129" s="18"/>
      <c r="BR129" s="18">
        <v>5200053</v>
      </c>
      <c r="BS129" s="18">
        <f>[1]monsters!$N129</f>
        <v>143.36000000000001</v>
      </c>
      <c r="BT129" s="18">
        <f>[1]monsters!$O129</f>
        <v>14.34</v>
      </c>
      <c r="BU129" s="18">
        <f>[1]monsters!$P129</f>
        <v>1280</v>
      </c>
      <c r="BV129" s="18">
        <f>[1]monsters!$Q129</f>
        <v>128</v>
      </c>
      <c r="BW129" s="18">
        <f>[1]monsters!$R129</f>
        <v>20.48</v>
      </c>
      <c r="BX129" s="18">
        <f>[1]monsters!$S129</f>
        <v>2.0499999999999998</v>
      </c>
      <c r="BY129" s="18">
        <f>[1]monsters!$K129</f>
        <v>1.4</v>
      </c>
      <c r="BZ129" s="5">
        <f>[1]monsters!$D129</f>
        <v>4</v>
      </c>
      <c r="CA129" s="5">
        <f t="shared" si="75"/>
        <v>0.1</v>
      </c>
      <c r="CB129" s="5">
        <f t="shared" si="76"/>
        <v>178.57284309764313</v>
      </c>
      <c r="CC129" s="5">
        <f t="shared" si="77"/>
        <v>17.857284309764314</v>
      </c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>
        <v>0</v>
      </c>
      <c r="CR129" s="3" t="b">
        <f t="shared" si="48"/>
        <v>1</v>
      </c>
      <c r="CS129" s="3" t="b">
        <f t="shared" si="49"/>
        <v>1</v>
      </c>
      <c r="CT129" s="3" t="b">
        <f t="shared" si="50"/>
        <v>1</v>
      </c>
      <c r="CU129" s="3" t="b">
        <f t="shared" si="51"/>
        <v>1</v>
      </c>
      <c r="CV129" s="3" t="b">
        <f t="shared" si="52"/>
        <v>1</v>
      </c>
      <c r="CW129" s="3" t="b">
        <f t="shared" si="53"/>
        <v>1</v>
      </c>
      <c r="CX129" s="9" t="str">
        <f t="shared" si="54"/>
        <v>5200062</v>
      </c>
      <c r="CY129" s="9" t="str">
        <f t="shared" si="55"/>
        <v>5200063</v>
      </c>
      <c r="CZ129" s="9" t="str">
        <f t="shared" si="56"/>
        <v>5200062</v>
      </c>
      <c r="DA129" s="9" t="str">
        <f t="shared" si="57"/>
        <v>5402062</v>
      </c>
      <c r="DB129" s="9" t="str">
        <f t="shared" si="58"/>
        <v>5400065</v>
      </c>
      <c r="DC129" s="9" t="str">
        <f t="shared" si="59"/>
        <v>5400065</v>
      </c>
      <c r="DD129" s="9">
        <v>6</v>
      </c>
      <c r="DE129" s="9">
        <v>6</v>
      </c>
      <c r="DF129" s="9">
        <v>6</v>
      </c>
      <c r="DG129" s="9">
        <v>6</v>
      </c>
      <c r="DH129" s="9">
        <v>6</v>
      </c>
      <c r="DI129" s="9">
        <v>6</v>
      </c>
      <c r="DJ129" s="9">
        <v>5</v>
      </c>
      <c r="DK129" s="9">
        <v>5</v>
      </c>
      <c r="DL129" s="9">
        <v>5</v>
      </c>
      <c r="DM129" s="9">
        <v>5</v>
      </c>
      <c r="DN129" s="9">
        <v>5</v>
      </c>
      <c r="DO129" s="9">
        <v>5</v>
      </c>
      <c r="DP129" s="26" t="s">
        <v>199</v>
      </c>
      <c r="DQ129" s="26" t="s">
        <v>113</v>
      </c>
      <c r="DR129" s="26" t="s">
        <v>199</v>
      </c>
      <c r="DS129" s="26" t="s">
        <v>203</v>
      </c>
      <c r="DT129" s="26" t="s">
        <v>210</v>
      </c>
      <c r="DU129" s="26" t="s">
        <v>210</v>
      </c>
      <c r="DV129" s="26">
        <f t="shared" si="60"/>
        <v>1</v>
      </c>
      <c r="DW129" s="26">
        <f t="shared" si="61"/>
        <v>1</v>
      </c>
      <c r="DX129" s="26">
        <f t="shared" si="62"/>
        <v>1</v>
      </c>
      <c r="DY129" s="26">
        <f t="shared" si="63"/>
        <v>2</v>
      </c>
      <c r="DZ129" s="26">
        <f t="shared" si="64"/>
        <v>2</v>
      </c>
      <c r="EA129" s="3">
        <f t="shared" si="65"/>
        <v>2</v>
      </c>
      <c r="EB129" s="34"/>
      <c r="EC129" s="9">
        <v>5400055</v>
      </c>
      <c r="ED129" s="34" t="s">
        <v>210</v>
      </c>
      <c r="EE129" s="8">
        <v>2</v>
      </c>
    </row>
    <row r="130" spans="1:135" ht="13.5" customHeight="1">
      <c r="A130" s="9">
        <v>127</v>
      </c>
      <c r="B130" s="9">
        <v>1</v>
      </c>
      <c r="C130" s="9">
        <v>2001</v>
      </c>
      <c r="D130" s="9">
        <f t="shared" si="78"/>
        <v>425282</v>
      </c>
      <c r="E130" s="9" t="str">
        <f t="shared" si="85"/>
        <v>5302065,5202065,5301062,5500062,5501065,5501065</v>
      </c>
      <c r="F130" s="9" t="str">
        <f t="shared" si="86"/>
        <v>6,6,6,6,6,6</v>
      </c>
      <c r="G130" s="9" t="str">
        <f t="shared" si="87"/>
        <v>270,292,292,292,292,292</v>
      </c>
      <c r="H130" s="9">
        <v>102</v>
      </c>
      <c r="I130" s="9" t="s">
        <v>278</v>
      </c>
      <c r="J130" s="9" t="s">
        <v>279</v>
      </c>
      <c r="K130" s="9" t="s">
        <v>279</v>
      </c>
      <c r="L130" s="9" t="s">
        <v>279</v>
      </c>
      <c r="M130" s="9" t="s">
        <v>288</v>
      </c>
      <c r="O130" s="3">
        <f t="shared" si="84"/>
        <v>425282</v>
      </c>
      <c r="P130" s="9">
        <v>345196.39</v>
      </c>
      <c r="Q130" s="9">
        <v>5302065</v>
      </c>
      <c r="R130" s="9">
        <v>5202065</v>
      </c>
      <c r="S130" s="9">
        <v>5301062</v>
      </c>
      <c r="T130" s="9">
        <v>5500062</v>
      </c>
      <c r="U130" s="9">
        <v>5501065</v>
      </c>
      <c r="V130" s="9">
        <v>5501065</v>
      </c>
      <c r="W130" s="9">
        <v>6</v>
      </c>
      <c r="X130" s="9">
        <v>6</v>
      </c>
      <c r="Y130" s="9">
        <v>6</v>
      </c>
      <c r="Z130" s="9">
        <v>6</v>
      </c>
      <c r="AA130" s="9">
        <v>6</v>
      </c>
      <c r="AB130" s="9">
        <v>6</v>
      </c>
      <c r="AC130" s="9">
        <f t="shared" si="66"/>
        <v>270</v>
      </c>
      <c r="AD130" s="9">
        <f t="shared" si="67"/>
        <v>292</v>
      </c>
      <c r="AE130" s="9">
        <f t="shared" si="68"/>
        <v>292</v>
      </c>
      <c r="AF130" s="9">
        <f t="shared" si="69"/>
        <v>292</v>
      </c>
      <c r="AG130" s="9">
        <f t="shared" si="70"/>
        <v>292</v>
      </c>
      <c r="AH130" s="9">
        <f t="shared" si="71"/>
        <v>292</v>
      </c>
      <c r="AI130" s="7">
        <f t="shared" si="82"/>
        <v>57532.731666666667</v>
      </c>
      <c r="AJ130" s="7">
        <f t="shared" si="81"/>
        <v>57532.731666666667</v>
      </c>
      <c r="AK130" s="7">
        <f t="shared" si="81"/>
        <v>57532.731666666667</v>
      </c>
      <c r="AL130" s="7">
        <f t="shared" si="81"/>
        <v>57532.731666666667</v>
      </c>
      <c r="AM130" s="7">
        <f t="shared" si="81"/>
        <v>57532.731666666667</v>
      </c>
      <c r="AN130" s="7">
        <f t="shared" si="81"/>
        <v>57532.731666666667</v>
      </c>
      <c r="AO130" s="16"/>
      <c r="AP130" s="7"/>
      <c r="AQ130" s="9">
        <v>5</v>
      </c>
      <c r="AR130" s="9">
        <f t="shared" si="72"/>
        <v>305</v>
      </c>
      <c r="AS130" s="7">
        <f t="shared" si="73"/>
        <v>152</v>
      </c>
      <c r="AT130" s="7"/>
      <c r="AU130" s="16"/>
      <c r="AV130" s="7"/>
      <c r="AW130" s="7"/>
      <c r="AX130" s="7"/>
      <c r="AZ130" s="7"/>
      <c r="BA130" s="9">
        <f t="shared" si="79"/>
        <v>45267.585714285793</v>
      </c>
      <c r="BC130" s="5">
        <f t="shared" si="74"/>
        <v>252</v>
      </c>
      <c r="BQ130" s="18"/>
      <c r="BR130" s="18">
        <v>5202053</v>
      </c>
      <c r="BS130" s="18">
        <f>[1]monsters!$N130</f>
        <v>191.15</v>
      </c>
      <c r="BT130" s="18">
        <f>[1]monsters!$O130</f>
        <v>19.11</v>
      </c>
      <c r="BU130" s="18">
        <f>[1]monsters!$P130</f>
        <v>1097.1400000000001</v>
      </c>
      <c r="BV130" s="18">
        <f>[1]monsters!$Q130</f>
        <v>109.71</v>
      </c>
      <c r="BW130" s="18">
        <f>[1]monsters!$R130</f>
        <v>23.89</v>
      </c>
      <c r="BX130" s="18">
        <f>[1]monsters!$S130</f>
        <v>2.39</v>
      </c>
      <c r="BY130" s="18">
        <f>[1]monsters!$K130</f>
        <v>1.6</v>
      </c>
      <c r="BZ130" s="5">
        <f>[1]monsters!$D130</f>
        <v>5</v>
      </c>
      <c r="CA130" s="5">
        <f t="shared" si="75"/>
        <v>0.1</v>
      </c>
      <c r="CB130" s="5">
        <f t="shared" si="76"/>
        <v>217.57749074074076</v>
      </c>
      <c r="CC130" s="5">
        <f t="shared" si="77"/>
        <v>21.757749074074077</v>
      </c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>
        <v>0</v>
      </c>
      <c r="CR130" s="3" t="b">
        <f t="shared" si="48"/>
        <v>1</v>
      </c>
      <c r="CS130" s="3" t="b">
        <f t="shared" si="49"/>
        <v>1</v>
      </c>
      <c r="CT130" s="3" t="b">
        <f t="shared" si="50"/>
        <v>1</v>
      </c>
      <c r="CU130" s="3" t="b">
        <f t="shared" si="51"/>
        <v>1</v>
      </c>
      <c r="CV130" s="3" t="b">
        <f t="shared" si="52"/>
        <v>1</v>
      </c>
      <c r="CW130" s="3" t="b">
        <f t="shared" si="53"/>
        <v>1</v>
      </c>
      <c r="CX130" s="9" t="str">
        <f t="shared" si="54"/>
        <v>5302065</v>
      </c>
      <c r="CY130" s="9" t="str">
        <f t="shared" si="55"/>
        <v>5202065</v>
      </c>
      <c r="CZ130" s="9" t="str">
        <f t="shared" si="56"/>
        <v>5301062</v>
      </c>
      <c r="DA130" s="9" t="str">
        <f t="shared" si="57"/>
        <v>5500062</v>
      </c>
      <c r="DB130" s="9" t="str">
        <f t="shared" si="58"/>
        <v>5501065</v>
      </c>
      <c r="DC130" s="9" t="str">
        <f t="shared" si="59"/>
        <v>5501065</v>
      </c>
      <c r="DD130" s="9">
        <v>6</v>
      </c>
      <c r="DE130" s="9">
        <v>6</v>
      </c>
      <c r="DF130" s="9">
        <v>6</v>
      </c>
      <c r="DG130" s="9">
        <v>6</v>
      </c>
      <c r="DH130" s="9">
        <v>6</v>
      </c>
      <c r="DI130" s="9">
        <v>6</v>
      </c>
      <c r="DJ130" s="9">
        <v>5</v>
      </c>
      <c r="DK130" s="9">
        <v>5</v>
      </c>
      <c r="DL130" s="9">
        <v>5</v>
      </c>
      <c r="DM130" s="9">
        <v>5</v>
      </c>
      <c r="DN130" s="9">
        <v>5</v>
      </c>
      <c r="DO130" s="9">
        <v>5</v>
      </c>
      <c r="DP130" s="25" t="s">
        <v>221</v>
      </c>
      <c r="DQ130" s="25" t="s">
        <v>213</v>
      </c>
      <c r="DR130" s="26" t="s">
        <v>201</v>
      </c>
      <c r="DS130" s="26" t="s">
        <v>109</v>
      </c>
      <c r="DT130" s="25" t="s">
        <v>209</v>
      </c>
      <c r="DU130" s="25" t="s">
        <v>209</v>
      </c>
      <c r="DV130" s="25">
        <f t="shared" si="60"/>
        <v>1</v>
      </c>
      <c r="DW130" s="25">
        <f t="shared" si="61"/>
        <v>1</v>
      </c>
      <c r="DX130" s="25">
        <f t="shared" si="62"/>
        <v>1</v>
      </c>
      <c r="DY130" s="25">
        <f t="shared" si="63"/>
        <v>2</v>
      </c>
      <c r="DZ130" s="25">
        <f t="shared" si="64"/>
        <v>2</v>
      </c>
      <c r="EA130" s="3">
        <f t="shared" si="65"/>
        <v>2</v>
      </c>
      <c r="EB130" s="35"/>
      <c r="EC130" s="9">
        <v>5501055</v>
      </c>
      <c r="ED130" s="37" t="s">
        <v>209</v>
      </c>
      <c r="EE130" s="8">
        <v>2</v>
      </c>
    </row>
    <row r="131" spans="1:135" ht="13.5" customHeight="1">
      <c r="A131" s="9">
        <v>128</v>
      </c>
      <c r="B131" s="9">
        <v>1</v>
      </c>
      <c r="C131" s="9">
        <v>2001</v>
      </c>
      <c r="D131" s="9">
        <f t="shared" si="78"/>
        <v>446537</v>
      </c>
      <c r="E131" s="9" t="str">
        <f t="shared" si="85"/>
        <v>5202063,5202062,5202063,5501064,5500063,5501064</v>
      </c>
      <c r="F131" s="9" t="str">
        <f t="shared" si="86"/>
        <v>6,6,6,6,6,6</v>
      </c>
      <c r="G131" s="9" t="str">
        <f t="shared" si="87"/>
        <v>277,300,300,300,300,300</v>
      </c>
      <c r="H131" s="9">
        <v>102</v>
      </c>
      <c r="I131" s="9" t="s">
        <v>278</v>
      </c>
      <c r="J131" s="9" t="s">
        <v>279</v>
      </c>
      <c r="K131" s="9" t="s">
        <v>279</v>
      </c>
      <c r="L131" s="9" t="s">
        <v>279</v>
      </c>
      <c r="M131" s="9" t="s">
        <v>288</v>
      </c>
      <c r="O131" s="3">
        <f t="shared" si="84"/>
        <v>446537</v>
      </c>
      <c r="P131" s="9">
        <v>362449.01</v>
      </c>
      <c r="Q131" s="9">
        <v>5202063</v>
      </c>
      <c r="R131" s="9">
        <v>5202062</v>
      </c>
      <c r="S131" s="9">
        <v>5202063</v>
      </c>
      <c r="T131" s="9">
        <v>5501064</v>
      </c>
      <c r="U131" s="9">
        <v>5500063</v>
      </c>
      <c r="V131" s="9">
        <v>5501064</v>
      </c>
      <c r="W131" s="9">
        <v>6</v>
      </c>
      <c r="X131" s="9">
        <v>6</v>
      </c>
      <c r="Y131" s="9">
        <v>6</v>
      </c>
      <c r="Z131" s="9">
        <v>6</v>
      </c>
      <c r="AA131" s="9">
        <v>6</v>
      </c>
      <c r="AB131" s="9">
        <v>6</v>
      </c>
      <c r="AC131" s="9">
        <f t="shared" si="66"/>
        <v>277</v>
      </c>
      <c r="AD131" s="9">
        <f t="shared" si="67"/>
        <v>300</v>
      </c>
      <c r="AE131" s="9">
        <f t="shared" si="68"/>
        <v>300</v>
      </c>
      <c r="AF131" s="9">
        <f t="shared" si="69"/>
        <v>300</v>
      </c>
      <c r="AG131" s="9">
        <f t="shared" si="70"/>
        <v>300</v>
      </c>
      <c r="AH131" s="9">
        <f t="shared" si="71"/>
        <v>300</v>
      </c>
      <c r="AI131" s="7">
        <f t="shared" si="82"/>
        <v>60408.168333333335</v>
      </c>
      <c r="AJ131" s="7">
        <f t="shared" si="81"/>
        <v>60408.168333333335</v>
      </c>
      <c r="AK131" s="7">
        <f t="shared" si="81"/>
        <v>60408.168333333335</v>
      </c>
      <c r="AL131" s="7">
        <f t="shared" si="81"/>
        <v>60408.168333333335</v>
      </c>
      <c r="AM131" s="7">
        <f t="shared" si="81"/>
        <v>60408.168333333335</v>
      </c>
      <c r="AN131" s="7">
        <f t="shared" si="81"/>
        <v>60408.168333333335</v>
      </c>
      <c r="AO131" s="16"/>
      <c r="AP131" s="7"/>
      <c r="AQ131" s="9">
        <v>5</v>
      </c>
      <c r="AR131" s="9">
        <f t="shared" si="72"/>
        <v>313</v>
      </c>
      <c r="AS131" s="7">
        <f t="shared" si="73"/>
        <v>153</v>
      </c>
      <c r="AT131" s="7"/>
      <c r="AU131" s="16"/>
      <c r="AV131" s="7"/>
      <c r="AW131" s="7"/>
      <c r="AX131" s="7"/>
      <c r="AZ131" s="7"/>
      <c r="BA131" s="9">
        <f t="shared" si="79"/>
        <v>45790.342857142939</v>
      </c>
      <c r="BC131" s="5">
        <f t="shared" si="74"/>
        <v>258</v>
      </c>
      <c r="BQ131" s="18"/>
      <c r="BR131" s="18">
        <v>5302053</v>
      </c>
      <c r="BS131" s="18">
        <f>[1]monsters!$N131</f>
        <v>144</v>
      </c>
      <c r="BT131" s="18">
        <f>[1]monsters!$O131</f>
        <v>14.4</v>
      </c>
      <c r="BU131" s="18">
        <f>[1]monsters!$P131</f>
        <v>1728</v>
      </c>
      <c r="BV131" s="18">
        <f>[1]monsters!$Q131</f>
        <v>172.8</v>
      </c>
      <c r="BW131" s="18">
        <f>[1]monsters!$R131</f>
        <v>36</v>
      </c>
      <c r="BX131" s="18">
        <f>[1]monsters!$S131</f>
        <v>3.6</v>
      </c>
      <c r="BY131" s="18">
        <f>[1]monsters!$K131</f>
        <v>1.5</v>
      </c>
      <c r="BZ131" s="5">
        <f>[1]monsters!$D131</f>
        <v>2</v>
      </c>
      <c r="CA131" s="5">
        <f t="shared" si="75"/>
        <v>0.1</v>
      </c>
      <c r="CB131" s="5">
        <f t="shared" si="76"/>
        <v>194.2618181818182</v>
      </c>
      <c r="CC131" s="5">
        <f t="shared" si="77"/>
        <v>19.426181818181821</v>
      </c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>
        <v>0</v>
      </c>
      <c r="CR131" s="3" t="b">
        <f t="shared" si="48"/>
        <v>1</v>
      </c>
      <c r="CS131" s="3" t="b">
        <f t="shared" si="49"/>
        <v>1</v>
      </c>
      <c r="CT131" s="3" t="b">
        <f t="shared" si="50"/>
        <v>1</v>
      </c>
      <c r="CU131" s="3" t="b">
        <f t="shared" si="51"/>
        <v>1</v>
      </c>
      <c r="CV131" s="3" t="b">
        <f t="shared" si="52"/>
        <v>1</v>
      </c>
      <c r="CW131" s="3" t="b">
        <f t="shared" si="53"/>
        <v>1</v>
      </c>
      <c r="CX131" s="9" t="str">
        <f t="shared" si="54"/>
        <v>5202063</v>
      </c>
      <c r="CY131" s="9" t="str">
        <f t="shared" si="55"/>
        <v>5202062</v>
      </c>
      <c r="CZ131" s="9" t="str">
        <f t="shared" si="56"/>
        <v>5202063</v>
      </c>
      <c r="DA131" s="9" t="str">
        <f t="shared" si="57"/>
        <v>5501064</v>
      </c>
      <c r="DB131" s="9" t="str">
        <f t="shared" si="58"/>
        <v>5500063</v>
      </c>
      <c r="DC131" s="9" t="str">
        <f t="shared" si="59"/>
        <v>5501064</v>
      </c>
      <c r="DD131" s="9">
        <v>6</v>
      </c>
      <c r="DE131" s="9">
        <v>6</v>
      </c>
      <c r="DF131" s="9">
        <v>6</v>
      </c>
      <c r="DG131" s="9">
        <v>6</v>
      </c>
      <c r="DH131" s="9">
        <v>6</v>
      </c>
      <c r="DI131" s="9">
        <v>6</v>
      </c>
      <c r="DJ131" s="9">
        <v>5</v>
      </c>
      <c r="DK131" s="9">
        <v>5</v>
      </c>
      <c r="DL131" s="9">
        <v>5</v>
      </c>
      <c r="DM131" s="9">
        <v>5</v>
      </c>
      <c r="DN131" s="9">
        <v>5</v>
      </c>
      <c r="DO131" s="9">
        <v>5</v>
      </c>
      <c r="DP131" s="25" t="s">
        <v>208</v>
      </c>
      <c r="DQ131" s="25" t="s">
        <v>200</v>
      </c>
      <c r="DR131" s="25" t="s">
        <v>208</v>
      </c>
      <c r="DS131" s="26" t="s">
        <v>214</v>
      </c>
      <c r="DT131" s="26" t="s">
        <v>207</v>
      </c>
      <c r="DU131" s="26" t="s">
        <v>214</v>
      </c>
      <c r="DV131" s="26">
        <f t="shared" si="60"/>
        <v>1</v>
      </c>
      <c r="DW131" s="26">
        <f t="shared" si="61"/>
        <v>1</v>
      </c>
      <c r="DX131" s="26">
        <f t="shared" si="62"/>
        <v>1</v>
      </c>
      <c r="DY131" s="26">
        <f t="shared" si="63"/>
        <v>2</v>
      </c>
      <c r="DZ131" s="26">
        <f t="shared" si="64"/>
        <v>2</v>
      </c>
      <c r="EA131" s="3">
        <f t="shared" si="65"/>
        <v>2</v>
      </c>
      <c r="EB131" s="35"/>
      <c r="EC131" s="9">
        <v>5200061</v>
      </c>
      <c r="ED131" s="34" t="s">
        <v>194</v>
      </c>
      <c r="EE131" s="8">
        <v>1</v>
      </c>
    </row>
    <row r="132" spans="1:135" ht="13.5" customHeight="1">
      <c r="A132" s="9">
        <v>129</v>
      </c>
      <c r="B132" s="9">
        <v>1</v>
      </c>
      <c r="C132" s="9">
        <v>2001</v>
      </c>
      <c r="D132" s="9">
        <f t="shared" si="78"/>
        <v>467698</v>
      </c>
      <c r="E132" s="9" t="str">
        <f t="shared" si="85"/>
        <v>5202063,5202062,5202063,5402063,5500063,5500063</v>
      </c>
      <c r="F132" s="9" t="str">
        <f t="shared" si="86"/>
        <v>6,6,6,6,6,6</v>
      </c>
      <c r="G132" s="9" t="str">
        <f t="shared" si="87"/>
        <v>284,307,307,307,307,307</v>
      </c>
      <c r="H132" s="9">
        <v>102</v>
      </c>
      <c r="I132" s="9" t="s">
        <v>278</v>
      </c>
      <c r="J132" s="9" t="s">
        <v>279</v>
      </c>
      <c r="K132" s="9" t="s">
        <v>279</v>
      </c>
      <c r="L132" s="9" t="s">
        <v>279</v>
      </c>
      <c r="M132" s="9" t="s">
        <v>288</v>
      </c>
      <c r="O132" s="3">
        <f t="shared" si="84"/>
        <v>467698</v>
      </c>
      <c r="P132" s="9">
        <v>379624.96000000002</v>
      </c>
      <c r="Q132" s="9">
        <v>5202063</v>
      </c>
      <c r="R132" s="9">
        <v>5202062</v>
      </c>
      <c r="S132" s="9">
        <v>5202063</v>
      </c>
      <c r="T132" s="9">
        <v>5402063</v>
      </c>
      <c r="U132" s="9">
        <v>5500063</v>
      </c>
      <c r="V132" s="9">
        <v>5500063</v>
      </c>
      <c r="W132" s="9">
        <v>6</v>
      </c>
      <c r="X132" s="9">
        <v>6</v>
      </c>
      <c r="Y132" s="9">
        <v>6</v>
      </c>
      <c r="Z132" s="9">
        <v>6</v>
      </c>
      <c r="AA132" s="9">
        <v>6</v>
      </c>
      <c r="AB132" s="9">
        <v>6</v>
      </c>
      <c r="AC132" s="9">
        <f t="shared" si="66"/>
        <v>284</v>
      </c>
      <c r="AD132" s="9">
        <f t="shared" si="67"/>
        <v>307</v>
      </c>
      <c r="AE132" s="9">
        <f t="shared" si="68"/>
        <v>307</v>
      </c>
      <c r="AF132" s="9">
        <f t="shared" si="69"/>
        <v>307</v>
      </c>
      <c r="AG132" s="9">
        <f t="shared" si="70"/>
        <v>307</v>
      </c>
      <c r="AH132" s="9">
        <f t="shared" si="71"/>
        <v>307</v>
      </c>
      <c r="AI132" s="7">
        <f t="shared" si="82"/>
        <v>63270.826666666668</v>
      </c>
      <c r="AJ132" s="7">
        <f t="shared" si="81"/>
        <v>63270.826666666668</v>
      </c>
      <c r="AK132" s="7">
        <f t="shared" si="81"/>
        <v>63270.826666666668</v>
      </c>
      <c r="AL132" s="7">
        <f t="shared" si="81"/>
        <v>63270.826666666668</v>
      </c>
      <c r="AM132" s="7">
        <f t="shared" si="81"/>
        <v>63270.826666666668</v>
      </c>
      <c r="AN132" s="7">
        <f t="shared" si="81"/>
        <v>63270.826666666668</v>
      </c>
      <c r="AO132" s="16"/>
      <c r="AP132" s="7"/>
      <c r="AQ132" s="9">
        <v>5</v>
      </c>
      <c r="AR132" s="9">
        <f t="shared" si="72"/>
        <v>320</v>
      </c>
      <c r="AS132" s="7">
        <f t="shared" si="73"/>
        <v>154</v>
      </c>
      <c r="AT132" s="7"/>
      <c r="AU132" s="16"/>
      <c r="AV132" s="7"/>
      <c r="AW132" s="7"/>
      <c r="AX132" s="7"/>
      <c r="AZ132" s="7"/>
      <c r="BA132" s="9">
        <f t="shared" si="79"/>
        <v>46313.100000000086</v>
      </c>
      <c r="BC132" s="5">
        <f t="shared" si="74"/>
        <v>265</v>
      </c>
      <c r="BQ132" s="18"/>
      <c r="BR132" s="18">
        <v>5301053</v>
      </c>
      <c r="BS132" s="18">
        <f>[1]monsters!$N132</f>
        <v>138.24</v>
      </c>
      <c r="BT132" s="18">
        <f>[1]monsters!$O132</f>
        <v>13.82</v>
      </c>
      <c r="BU132" s="18">
        <f>[1]monsters!$P132</f>
        <v>2160</v>
      </c>
      <c r="BV132" s="18">
        <f>[1]monsters!$Q132</f>
        <v>216</v>
      </c>
      <c r="BW132" s="18">
        <f>[1]monsters!$R132</f>
        <v>46.08</v>
      </c>
      <c r="BX132" s="18">
        <f>[1]monsters!$S132</f>
        <v>4.6100000000000003</v>
      </c>
      <c r="BY132" s="18">
        <f>[1]monsters!$K132</f>
        <v>1.8</v>
      </c>
      <c r="BZ132" s="5">
        <f>[1]monsters!$D132</f>
        <v>2</v>
      </c>
      <c r="CA132" s="5">
        <f t="shared" si="75"/>
        <v>0.1</v>
      </c>
      <c r="CB132" s="5">
        <f t="shared" si="76"/>
        <v>203.36407272727274</v>
      </c>
      <c r="CC132" s="5">
        <f t="shared" si="77"/>
        <v>20.336407272727275</v>
      </c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>
        <v>0</v>
      </c>
      <c r="CR132" s="3" t="b">
        <f t="shared" ref="CR132:CR195" si="88">IF(ISERROR(MATCH(INT(CX132),$EC$4:$EC$426,0))=FALSE,TRUE)</f>
        <v>1</v>
      </c>
      <c r="CS132" s="3" t="b">
        <f t="shared" ref="CS132:CS195" si="89">IF(ISERROR(MATCH(INT(CY132),$EC$4:$EC$426,0))=FALSE,TRUE)</f>
        <v>1</v>
      </c>
      <c r="CT132" s="3" t="b">
        <f t="shared" ref="CT132:CT195" si="90">IF(ISERROR(MATCH(INT(CZ132),$EC$4:$EC$426,0))=FALSE,TRUE)</f>
        <v>1</v>
      </c>
      <c r="CU132" s="3" t="b">
        <f t="shared" ref="CU132:CU195" si="91">IF(ISERROR(MATCH(INT(DA132),$EC$4:$EC$426,0))=FALSE,TRUE)</f>
        <v>1</v>
      </c>
      <c r="CV132" s="3" t="b">
        <f t="shared" ref="CV132:CV195" si="92">IF(ISERROR(MATCH(INT(DB132),$EC$4:$EC$426,0))=FALSE,TRUE)</f>
        <v>1</v>
      </c>
      <c r="CW132" s="3" t="b">
        <f t="shared" ref="CW132:CW195" si="93">IF(ISERROR(MATCH(INT(DC132),$EC$4:$EC$426,0))=FALSE,TRUE)</f>
        <v>1</v>
      </c>
      <c r="CX132" s="9" t="str">
        <f t="shared" ref="CX132:CX195" si="94">REPLACE(REPLACE(INDEX($EC$4:$EC$426,MATCH(DP132,$ED$4:$ED$426,0)),IF(DD132&gt;9,5,6),IF(DD132&gt;9,2,1),DD132),1,1,DJ132)</f>
        <v>5202063</v>
      </c>
      <c r="CY132" s="9" t="str">
        <f t="shared" ref="CY132:CY195" si="95">REPLACE(REPLACE(INDEX($EC$4:$EC$426,MATCH(DQ132,$ED$4:$ED$426,0)),IF(DE132&gt;9,5,6),IF(DE132&gt;9,2,1),DE132),1,1,DK132)</f>
        <v>5202062</v>
      </c>
      <c r="CZ132" s="9" t="str">
        <f t="shared" ref="CZ132:CZ195" si="96">REPLACE(REPLACE(INDEX($EC$4:$EC$426,MATCH(DR132,$ED$4:$ED$426,0)),IF(DF132&gt;9,5,6),IF(DF132&gt;9,2,1),DF132),1,1,DL132)</f>
        <v>5202063</v>
      </c>
      <c r="DA132" s="9" t="str">
        <f t="shared" ref="DA132:DA195" si="97">REPLACE(REPLACE(INDEX($EC$4:$EC$426,MATCH(DS132,$ED$4:$ED$426,0)),IF(DG132&gt;9,5,6),IF(DG132&gt;9,2,1),DG132),1,1,DM132)</f>
        <v>5402063</v>
      </c>
      <c r="DB132" s="9" t="str">
        <f t="shared" ref="DB132:DB195" si="98">REPLACE(REPLACE(INDEX($EC$4:$EC$426,MATCH(DT132,$ED$4:$ED$426,0)),IF(DH132&gt;9,5,6),IF(DH132&gt;9,2,1),DH132),1,1,DN132)</f>
        <v>5500063</v>
      </c>
      <c r="DC132" s="9" t="str">
        <f t="shared" ref="DC132:DC195" si="99">REPLACE(REPLACE(INDEX($EC$4:$EC$426,MATCH(DU132,$ED$4:$ED$426,0)),IF(DI132&gt;9,5,6),IF(DI132&gt;9,2,1),DI132),1,1,DO132)</f>
        <v>5500063</v>
      </c>
      <c r="DD132" s="9">
        <v>6</v>
      </c>
      <c r="DE132" s="9">
        <v>6</v>
      </c>
      <c r="DF132" s="9">
        <v>6</v>
      </c>
      <c r="DG132" s="9">
        <v>6</v>
      </c>
      <c r="DH132" s="9">
        <v>6</v>
      </c>
      <c r="DI132" s="9">
        <v>6</v>
      </c>
      <c r="DJ132" s="9">
        <v>5</v>
      </c>
      <c r="DK132" s="9">
        <v>5</v>
      </c>
      <c r="DL132" s="9">
        <v>5</v>
      </c>
      <c r="DM132" s="9">
        <v>5</v>
      </c>
      <c r="DN132" s="9">
        <v>5</v>
      </c>
      <c r="DO132" s="9">
        <v>5</v>
      </c>
      <c r="DP132" s="25" t="s">
        <v>208</v>
      </c>
      <c r="DQ132" s="25" t="s">
        <v>200</v>
      </c>
      <c r="DR132" s="25" t="s">
        <v>208</v>
      </c>
      <c r="DS132" s="25" t="s">
        <v>118</v>
      </c>
      <c r="DT132" s="26" t="s">
        <v>207</v>
      </c>
      <c r="DU132" s="26" t="s">
        <v>207</v>
      </c>
      <c r="DV132" s="26">
        <f t="shared" ref="DV132:DV195" si="100">INDEX($EE$4:$EE$426,MATCH(DP132,$ED$4:$ED$426,0))</f>
        <v>1</v>
      </c>
      <c r="DW132" s="26">
        <f t="shared" ref="DW132:DW195" si="101">INDEX($EE$4:$EE$426,MATCH(DQ132,$ED$4:$ED$426,0))</f>
        <v>1</v>
      </c>
      <c r="DX132" s="26">
        <f t="shared" ref="DX132:DX195" si="102">INDEX($EE$4:$EE$426,MATCH(DR132,$ED$4:$ED$426,0))</f>
        <v>1</v>
      </c>
      <c r="DY132" s="26">
        <f t="shared" ref="DY132:DY195" si="103">INDEX($EE$4:$EE$426,MATCH(DS132,$ED$4:$ED$426,0))</f>
        <v>2</v>
      </c>
      <c r="DZ132" s="26">
        <f t="shared" ref="DZ132:DZ195" si="104">INDEX($EE$4:$EE$426,MATCH(DT132,$ED$4:$ED$426,0))</f>
        <v>2</v>
      </c>
      <c r="EA132" s="3">
        <f t="shared" ref="EA132:EA195" si="105">INDEX($EE$4:$EE$426,MATCH(DU132,$ED$4:$ED$426,0))</f>
        <v>2</v>
      </c>
      <c r="EB132" s="35"/>
      <c r="EC132" s="9">
        <v>5201061</v>
      </c>
      <c r="ED132" s="34" t="s">
        <v>195</v>
      </c>
      <c r="EE132" s="8">
        <v>1</v>
      </c>
    </row>
    <row r="133" spans="1:135" ht="13.5" customHeight="1">
      <c r="A133" s="9">
        <v>130</v>
      </c>
      <c r="B133" s="9">
        <v>1</v>
      </c>
      <c r="C133" s="9">
        <v>2001</v>
      </c>
      <c r="D133" s="9">
        <f t="shared" si="78"/>
        <v>520543</v>
      </c>
      <c r="E133" s="9" t="str">
        <f t="shared" si="85"/>
        <v>5200061,5201062,5202063,5402063,5402062,5402063</v>
      </c>
      <c r="F133" s="9" t="str">
        <f t="shared" si="86"/>
        <v>6,6,6,6,6,6</v>
      </c>
      <c r="G133" s="9" t="str">
        <f t="shared" si="87"/>
        <v>300,325,325,325,325,325</v>
      </c>
      <c r="H133" s="9">
        <v>103</v>
      </c>
      <c r="I133" s="9" t="s">
        <v>278</v>
      </c>
      <c r="J133" s="9" t="s">
        <v>279</v>
      </c>
      <c r="K133" s="9" t="s">
        <v>279</v>
      </c>
      <c r="L133" s="9" t="s">
        <v>279</v>
      </c>
      <c r="M133" s="9" t="s">
        <v>288</v>
      </c>
      <c r="O133" s="3">
        <f t="shared" si="84"/>
        <v>520543</v>
      </c>
      <c r="P133" s="9">
        <v>422518.79</v>
      </c>
      <c r="Q133" s="9">
        <v>5200061</v>
      </c>
      <c r="R133" s="9">
        <v>5201062</v>
      </c>
      <c r="S133" s="9">
        <v>5202063</v>
      </c>
      <c r="T133" s="9">
        <v>5402063</v>
      </c>
      <c r="U133" s="9">
        <v>5402062</v>
      </c>
      <c r="V133" s="9">
        <v>5402063</v>
      </c>
      <c r="W133" s="9">
        <v>6</v>
      </c>
      <c r="X133" s="9">
        <v>6</v>
      </c>
      <c r="Y133" s="9">
        <v>6</v>
      </c>
      <c r="Z133" s="9">
        <v>6</v>
      </c>
      <c r="AA133" s="9">
        <v>6</v>
      </c>
      <c r="AB133" s="9">
        <v>6</v>
      </c>
      <c r="AC133" s="9">
        <f t="shared" ref="AC133:AC196" si="106">IF(AI133&gt;0,FLOOR((POWER((AI133/IF(AND(W133&gt;=2,W133&lt;4),1.1,IF(AND(W133&gt;=4,W133&lt;6),1.2,IF(W133&gt;=6,1.4,1)))/$Z$1),0.5)/INDEX($BD$4:$BQ$4,MATCH(W133,$BD$3:$BQ$3,0))-1)*10,1),"")</f>
        <v>300</v>
      </c>
      <c r="AD133" s="9">
        <f t="shared" ref="AD133:AD196" si="107">IF(AJ133&gt;0,FLOOR((POWER((AJ133/IF(AND(X133&gt;=2,X133&lt;4),1.1,IF(AND(X133&gt;=4,X133&lt;6),1.15,IF(X133&gt;=6,1.2,1)))/$Z$1),0.5)/INDEX($BD$4:$BQ$4,MATCH(X133,$BD$3:$BQ$3,0))-1)*10,1),"")</f>
        <v>325</v>
      </c>
      <c r="AE133" s="9">
        <f t="shared" ref="AE133:AE196" si="108">IF(AK133&gt;0,FLOOR((POWER((AK133/IF(AND(Y133&gt;=2,Y133&lt;4),1.1,IF(AND(Y133&gt;=4,Y133&lt;6),1.15,IF(Y133&gt;=6,1.2,1)))/$Z$1),0.5)/INDEX($BD$4:$BQ$4,MATCH(Y133,$BD$3:$BQ$3,0))-1)*10,1),"")</f>
        <v>325</v>
      </c>
      <c r="AF133" s="9">
        <f t="shared" ref="AF133:AF196" si="109">IF(AL133&gt;0,FLOOR((POWER((AL133/IF(AND(Z133&gt;=2,Z133&lt;4),1.1,IF(AND(Z133&gt;=4,Z133&lt;6),1.15,IF(Z133&gt;=6,1.2,1)))/$Z$1),0.5)/INDEX($BD$4:$BQ$4,MATCH(Z133,$BD$3:$BQ$3,0))-1)*10,1),"")</f>
        <v>325</v>
      </c>
      <c r="AG133" s="9">
        <f t="shared" ref="AG133:AG196" si="110">IF(AM133&gt;0,FLOOR((POWER((AM133/IF(AND(AA133&gt;=2,AA133&lt;4),1.1,IF(AND(AA133&gt;=4,AA133&lt;6),1.15,IF(AA133&gt;=6,1.2,1)))/$Z$1),0.5)/INDEX($BD$4:$BQ$4,MATCH(AA133,$BD$3:$BQ$3,0))-1)*10,1),"")</f>
        <v>325</v>
      </c>
      <c r="AH133" s="9">
        <f t="shared" ref="AH133:AH196" si="111">IF(AN133&gt;0,FLOOR((POWER((AN133/IF(AND(AB133&gt;=2,AB133&lt;4),1.1,IF(AND(AB133&gt;=4,AB133&lt;6),1.15,IF(AB133&gt;=6,1.2,1)))/$Z$1),0.5)/INDEX($BD$4:$BQ$4,MATCH(AB133,$BD$3:$BQ$3,0))-1)*10,1),"")</f>
        <v>325</v>
      </c>
      <c r="AI133" s="7">
        <f t="shared" si="82"/>
        <v>70419.798333333325</v>
      </c>
      <c r="AJ133" s="7">
        <f t="shared" si="81"/>
        <v>70419.798333333325</v>
      </c>
      <c r="AK133" s="7">
        <f t="shared" si="81"/>
        <v>70419.798333333325</v>
      </c>
      <c r="AL133" s="7">
        <f t="shared" si="81"/>
        <v>70419.798333333325</v>
      </c>
      <c r="AM133" s="7">
        <f t="shared" si="81"/>
        <v>70419.798333333325</v>
      </c>
      <c r="AN133" s="7">
        <f t="shared" si="81"/>
        <v>70419.798333333325</v>
      </c>
      <c r="AO133" s="16"/>
      <c r="AP133" s="7"/>
      <c r="AQ133" s="9">
        <v>5</v>
      </c>
      <c r="AR133" s="9">
        <f t="shared" ref="AR133:AR196" si="112">IF(AI133&gt;0,FLOOR((POWER((AI133/IF(AND(AQ133&gt;=2,AQ133&lt;4),1.2,IF(AND(AQ133&gt;=4,AQ133&lt;6),1.4,IF(AQ133&gt;=6,1.6,1)))/$Z$1),0.5)/INDEX($BD$4:$BQ$4,MATCH(AQ133,$BD$3:$BQ$3,0))-1)*10,1),"")</f>
        <v>339</v>
      </c>
      <c r="AS133" s="7">
        <f t="shared" ref="AS133:AS153" si="113">FLOOR(A133/1,1)+25</f>
        <v>155</v>
      </c>
      <c r="AT133" s="7"/>
      <c r="AU133" s="16"/>
      <c r="AV133" s="7"/>
      <c r="AW133" s="7"/>
      <c r="AX133" s="7"/>
      <c r="AZ133" s="7"/>
      <c r="BA133" s="9">
        <f t="shared" si="79"/>
        <v>46835.857142857232</v>
      </c>
      <c r="BC133" s="5">
        <f t="shared" ref="BC133:BC196" si="114">FLOOR(POWER(((3000*1.5/0.9/1.05)/(96*INDEX($BD$4:$BO$4,MATCH(W133,$BD$3:$BO$3,0))*8*INDEX($BD$4:$BO$4,MATCH(W133,$BD$3:$BO$3,0)))*AI133/IF(AND(W133&gt;=2,W133&lt;4),1.2,IF(AND(W133&gt;=4,W133&lt;6),1.4,IF(W133&gt;=6,1.6,1)))),1/2)-10,1)</f>
        <v>280</v>
      </c>
      <c r="BQ133" s="18"/>
      <c r="BR133" s="18">
        <v>5400053</v>
      </c>
      <c r="BS133" s="18">
        <f>[1]monsters!$N133</f>
        <v>155.52000000000001</v>
      </c>
      <c r="BT133" s="18">
        <f>[1]monsters!$O133</f>
        <v>15.55</v>
      </c>
      <c r="BU133" s="18">
        <f>[1]monsters!$P133</f>
        <v>1920</v>
      </c>
      <c r="BV133" s="18">
        <f>[1]monsters!$Q133</f>
        <v>192</v>
      </c>
      <c r="BW133" s="18">
        <f>[1]monsters!$R133</f>
        <v>31.1</v>
      </c>
      <c r="BX133" s="18">
        <f>[1]monsters!$S133</f>
        <v>3.11</v>
      </c>
      <c r="BY133" s="18">
        <f>[1]monsters!$K133</f>
        <v>1.8</v>
      </c>
      <c r="BZ133" s="5">
        <f>[1]monsters!$D133</f>
        <v>2</v>
      </c>
      <c r="CA133" s="5">
        <f t="shared" ref="CA133:CA196" si="115">INDEX($CH$5:$CH$10,MATCH($BZ133,$CG$5:$CG$10))</f>
        <v>0.1</v>
      </c>
      <c r="CB133" s="5">
        <f t="shared" ref="CB133:CB196" si="116">(BU133/33/(1-CA133)/(1-0)+BS133*(1+0.5*0.1)*0.9)</f>
        <v>211.61286464646466</v>
      </c>
      <c r="CC133" s="5">
        <f t="shared" ref="CC133:CC196" si="117">(BU133/33/(1-CA133)/(1-0)+BS133*(1+0.5*0.1)*0.9)*0.1</f>
        <v>21.161286464646466</v>
      </c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>
        <v>1</v>
      </c>
      <c r="CR133" s="3" t="b">
        <f t="shared" si="88"/>
        <v>1</v>
      </c>
      <c r="CS133" s="3" t="b">
        <f t="shared" si="89"/>
        <v>1</v>
      </c>
      <c r="CT133" s="3" t="b">
        <f t="shared" si="90"/>
        <v>1</v>
      </c>
      <c r="CU133" s="3" t="b">
        <f t="shared" si="91"/>
        <v>1</v>
      </c>
      <c r="CV133" s="3" t="b">
        <f t="shared" si="92"/>
        <v>1</v>
      </c>
      <c r="CW133" s="3" t="b">
        <f t="shared" si="93"/>
        <v>1</v>
      </c>
      <c r="CX133" s="9" t="str">
        <f t="shared" si="94"/>
        <v>5200061</v>
      </c>
      <c r="CY133" s="9" t="str">
        <f t="shared" si="95"/>
        <v>5201062</v>
      </c>
      <c r="CZ133" s="9" t="str">
        <f t="shared" si="96"/>
        <v>5202063</v>
      </c>
      <c r="DA133" s="9" t="str">
        <f t="shared" si="97"/>
        <v>5402063</v>
      </c>
      <c r="DB133" s="9" t="str">
        <f t="shared" si="98"/>
        <v>5402062</v>
      </c>
      <c r="DC133" s="9" t="str">
        <f t="shared" si="99"/>
        <v>5402063</v>
      </c>
      <c r="DD133" s="9">
        <v>6</v>
      </c>
      <c r="DE133" s="9">
        <v>6</v>
      </c>
      <c r="DF133" s="9">
        <v>6</v>
      </c>
      <c r="DG133" s="9">
        <v>6</v>
      </c>
      <c r="DH133" s="9">
        <v>6</v>
      </c>
      <c r="DI133" s="9">
        <v>6</v>
      </c>
      <c r="DJ133" s="9">
        <v>5</v>
      </c>
      <c r="DK133" s="9">
        <v>5</v>
      </c>
      <c r="DL133" s="9">
        <v>5</v>
      </c>
      <c r="DM133" s="9">
        <v>5</v>
      </c>
      <c r="DN133" s="9">
        <v>5</v>
      </c>
      <c r="DO133" s="9">
        <v>5</v>
      </c>
      <c r="DP133" s="25" t="s">
        <v>194</v>
      </c>
      <c r="DQ133" s="27" t="s">
        <v>114</v>
      </c>
      <c r="DR133" s="27" t="s">
        <v>208</v>
      </c>
      <c r="DS133" s="26" t="s">
        <v>118</v>
      </c>
      <c r="DT133" s="26" t="s">
        <v>203</v>
      </c>
      <c r="DU133" s="26" t="s">
        <v>118</v>
      </c>
      <c r="DV133" s="26">
        <f t="shared" si="100"/>
        <v>1</v>
      </c>
      <c r="DW133" s="26">
        <f t="shared" si="101"/>
        <v>1</v>
      </c>
      <c r="DX133" s="26">
        <f t="shared" si="102"/>
        <v>1</v>
      </c>
      <c r="DY133" s="26">
        <f t="shared" si="103"/>
        <v>2</v>
      </c>
      <c r="DZ133" s="26">
        <f t="shared" si="104"/>
        <v>2</v>
      </c>
      <c r="EA133" s="3">
        <f t="shared" si="105"/>
        <v>2</v>
      </c>
      <c r="EB133" s="35"/>
      <c r="EC133" s="9">
        <v>5202061</v>
      </c>
      <c r="ED133" s="34" t="s">
        <v>111</v>
      </c>
      <c r="EE133" s="8">
        <v>1</v>
      </c>
    </row>
    <row r="134" spans="1:135" ht="13.5" customHeight="1">
      <c r="A134" s="9">
        <v>131</v>
      </c>
      <c r="B134" s="9">
        <v>1</v>
      </c>
      <c r="C134" s="9">
        <v>2001</v>
      </c>
      <c r="D134" s="9">
        <f t="shared" si="78"/>
        <v>524174</v>
      </c>
      <c r="E134" s="9" t="str">
        <f t="shared" si="85"/>
        <v>5300065,5202065,5202065,5502062,5500062,5502061</v>
      </c>
      <c r="F134" s="9" t="str">
        <f t="shared" si="86"/>
        <v>6,6,6,6,6,6</v>
      </c>
      <c r="G134" s="9" t="str">
        <f t="shared" si="87"/>
        <v>301,326,326,326,326,326</v>
      </c>
      <c r="H134" s="9">
        <v>105</v>
      </c>
      <c r="I134" s="9" t="s">
        <v>278</v>
      </c>
      <c r="J134" s="9" t="s">
        <v>279</v>
      </c>
      <c r="K134" s="9" t="s">
        <v>279</v>
      </c>
      <c r="L134" s="9" t="s">
        <v>279</v>
      </c>
      <c r="M134" s="9" t="s">
        <v>288</v>
      </c>
      <c r="O134" s="3">
        <f t="shared" si="84"/>
        <v>524174</v>
      </c>
      <c r="P134" s="9">
        <v>425465.98</v>
      </c>
      <c r="Q134" s="9">
        <v>5300065</v>
      </c>
      <c r="R134" s="9">
        <v>5202065</v>
      </c>
      <c r="S134" s="9">
        <v>5202065</v>
      </c>
      <c r="T134" s="9">
        <v>5502062</v>
      </c>
      <c r="U134" s="9">
        <v>5500062</v>
      </c>
      <c r="V134" s="9">
        <v>5502061</v>
      </c>
      <c r="W134" s="9">
        <v>6</v>
      </c>
      <c r="X134" s="9">
        <v>6</v>
      </c>
      <c r="Y134" s="9">
        <v>6</v>
      </c>
      <c r="Z134" s="9">
        <v>6</v>
      </c>
      <c r="AA134" s="9">
        <v>6</v>
      </c>
      <c r="AB134" s="9">
        <v>6</v>
      </c>
      <c r="AC134" s="9">
        <f t="shared" si="106"/>
        <v>301</v>
      </c>
      <c r="AD134" s="9">
        <f t="shared" si="107"/>
        <v>326</v>
      </c>
      <c r="AE134" s="9">
        <f t="shared" si="108"/>
        <v>326</v>
      </c>
      <c r="AF134" s="9">
        <f t="shared" si="109"/>
        <v>326</v>
      </c>
      <c r="AG134" s="9">
        <f t="shared" si="110"/>
        <v>326</v>
      </c>
      <c r="AH134" s="9">
        <f t="shared" si="111"/>
        <v>326</v>
      </c>
      <c r="AI134" s="7">
        <f t="shared" si="82"/>
        <v>70910.996666666659</v>
      </c>
      <c r="AJ134" s="7">
        <f t="shared" si="81"/>
        <v>70910.996666666659</v>
      </c>
      <c r="AK134" s="7">
        <f t="shared" si="81"/>
        <v>70910.996666666659</v>
      </c>
      <c r="AL134" s="7">
        <f t="shared" si="81"/>
        <v>70910.996666666659</v>
      </c>
      <c r="AM134" s="7">
        <f t="shared" si="81"/>
        <v>70910.996666666659</v>
      </c>
      <c r="AN134" s="7">
        <f t="shared" si="81"/>
        <v>70910.996666666659</v>
      </c>
      <c r="AO134" s="16"/>
      <c r="AP134" s="7"/>
      <c r="AQ134" s="9">
        <v>5</v>
      </c>
      <c r="AR134" s="9">
        <f t="shared" si="112"/>
        <v>340</v>
      </c>
      <c r="AS134" s="7">
        <f t="shared" si="113"/>
        <v>156</v>
      </c>
      <c r="AT134" s="7"/>
      <c r="AU134" s="16"/>
      <c r="AV134" s="7"/>
      <c r="AW134" s="7"/>
      <c r="AX134" s="7"/>
      <c r="AZ134" s="7"/>
      <c r="BA134" s="9">
        <f t="shared" si="79"/>
        <v>47358.614285714379</v>
      </c>
      <c r="BC134" s="5">
        <f t="shared" si="114"/>
        <v>281</v>
      </c>
      <c r="BQ134" s="18"/>
      <c r="BR134" s="18">
        <v>5401053</v>
      </c>
      <c r="BS134" s="18">
        <f>[1]monsters!$N134</f>
        <v>103.68</v>
      </c>
      <c r="BT134" s="18">
        <f>[1]monsters!$O134</f>
        <v>10.37</v>
      </c>
      <c r="BU134" s="18">
        <f>[1]monsters!$P134</f>
        <v>1920</v>
      </c>
      <c r="BV134" s="18">
        <f>[1]monsters!$Q134</f>
        <v>192</v>
      </c>
      <c r="BW134" s="18">
        <f>[1]monsters!$R134</f>
        <v>20.74</v>
      </c>
      <c r="BX134" s="18">
        <f>[1]monsters!$S134</f>
        <v>2.0699999999999998</v>
      </c>
      <c r="BY134" s="18">
        <f>[1]monsters!$K134</f>
        <v>1.2</v>
      </c>
      <c r="BZ134" s="5">
        <f>[1]monsters!$D134</f>
        <v>3</v>
      </c>
      <c r="CA134" s="5">
        <f t="shared" si="115"/>
        <v>0.1</v>
      </c>
      <c r="CB134" s="5">
        <f t="shared" si="116"/>
        <v>162.62406464646466</v>
      </c>
      <c r="CC134" s="5">
        <f t="shared" si="117"/>
        <v>16.262406464646467</v>
      </c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>
        <v>0</v>
      </c>
      <c r="CR134" s="3" t="b">
        <f t="shared" si="88"/>
        <v>1</v>
      </c>
      <c r="CS134" s="3" t="b">
        <f t="shared" si="89"/>
        <v>1</v>
      </c>
      <c r="CT134" s="3" t="b">
        <f t="shared" si="90"/>
        <v>1</v>
      </c>
      <c r="CU134" s="3" t="b">
        <f t="shared" si="91"/>
        <v>1</v>
      </c>
      <c r="CV134" s="3" t="b">
        <f t="shared" si="92"/>
        <v>1</v>
      </c>
      <c r="CW134" s="3" t="b">
        <f t="shared" si="93"/>
        <v>1</v>
      </c>
      <c r="CX134" s="9" t="str">
        <f t="shared" si="94"/>
        <v>5300065</v>
      </c>
      <c r="CY134" s="9" t="str">
        <f t="shared" si="95"/>
        <v>5202065</v>
      </c>
      <c r="CZ134" s="9" t="str">
        <f t="shared" si="96"/>
        <v>5202065</v>
      </c>
      <c r="DA134" s="9" t="str">
        <f t="shared" si="97"/>
        <v>5502062</v>
      </c>
      <c r="DB134" s="9" t="str">
        <f t="shared" si="98"/>
        <v>5500062</v>
      </c>
      <c r="DC134" s="9" t="str">
        <f t="shared" si="99"/>
        <v>5502061</v>
      </c>
      <c r="DD134" s="9">
        <v>6</v>
      </c>
      <c r="DE134" s="9">
        <v>6</v>
      </c>
      <c r="DF134" s="9">
        <v>6</v>
      </c>
      <c r="DG134" s="9">
        <v>6</v>
      </c>
      <c r="DH134" s="9">
        <v>6</v>
      </c>
      <c r="DI134" s="9">
        <v>6</v>
      </c>
      <c r="DJ134" s="9">
        <v>5</v>
      </c>
      <c r="DK134" s="9">
        <v>5</v>
      </c>
      <c r="DL134" s="9">
        <v>5</v>
      </c>
      <c r="DM134" s="9">
        <v>5</v>
      </c>
      <c r="DN134" s="9">
        <v>5</v>
      </c>
      <c r="DO134" s="9">
        <v>5</v>
      </c>
      <c r="DP134" s="25" t="s">
        <v>212</v>
      </c>
      <c r="DQ134" s="25" t="s">
        <v>213</v>
      </c>
      <c r="DR134" s="25" t="s">
        <v>213</v>
      </c>
      <c r="DS134" s="26" t="s">
        <v>204</v>
      </c>
      <c r="DT134" s="26" t="s">
        <v>109</v>
      </c>
      <c r="DU134" s="26" t="s">
        <v>119</v>
      </c>
      <c r="DV134" s="26">
        <f t="shared" si="100"/>
        <v>1</v>
      </c>
      <c r="DW134" s="26">
        <f t="shared" si="101"/>
        <v>1</v>
      </c>
      <c r="DX134" s="26">
        <f t="shared" si="102"/>
        <v>1</v>
      </c>
      <c r="DY134" s="26">
        <f t="shared" si="103"/>
        <v>2</v>
      </c>
      <c r="DZ134" s="26">
        <f t="shared" si="104"/>
        <v>2</v>
      </c>
      <c r="EA134" s="3">
        <f t="shared" si="105"/>
        <v>2</v>
      </c>
      <c r="EB134" s="35"/>
      <c r="EC134" s="9">
        <v>5301061</v>
      </c>
      <c r="ED134" s="34" t="s">
        <v>107</v>
      </c>
      <c r="EE134" s="8">
        <v>1</v>
      </c>
    </row>
    <row r="135" spans="1:135" ht="13.5" customHeight="1">
      <c r="A135" s="9">
        <v>132</v>
      </c>
      <c r="B135" s="9">
        <v>1</v>
      </c>
      <c r="C135" s="9">
        <v>2001</v>
      </c>
      <c r="D135" s="9">
        <f t="shared" si="78"/>
        <v>527815</v>
      </c>
      <c r="E135" s="9" t="str">
        <f t="shared" si="85"/>
        <v>5200062,5200063,5200062,5401061,5401062,5402062</v>
      </c>
      <c r="F135" s="9" t="str">
        <f t="shared" si="86"/>
        <v>6,6,6,6,6,6</v>
      </c>
      <c r="G135" s="9" t="str">
        <f t="shared" si="87"/>
        <v>302,327,327,327,327,327</v>
      </c>
      <c r="H135" s="9">
        <v>105</v>
      </c>
      <c r="I135" s="9" t="s">
        <v>278</v>
      </c>
      <c r="J135" s="9" t="s">
        <v>279</v>
      </c>
      <c r="K135" s="9" t="s">
        <v>279</v>
      </c>
      <c r="L135" s="9" t="s">
        <v>279</v>
      </c>
      <c r="M135" s="9" t="s">
        <v>288</v>
      </c>
      <c r="O135" s="3">
        <f t="shared" si="84"/>
        <v>527815</v>
      </c>
      <c r="P135" s="9">
        <v>428421.13</v>
      </c>
      <c r="Q135" s="9">
        <v>5200062</v>
      </c>
      <c r="R135" s="9">
        <v>5200063</v>
      </c>
      <c r="S135" s="9">
        <v>5200062</v>
      </c>
      <c r="T135" s="9">
        <v>5401061</v>
      </c>
      <c r="U135" s="9">
        <v>5401062</v>
      </c>
      <c r="V135" s="9">
        <v>5402062</v>
      </c>
      <c r="W135" s="9">
        <v>6</v>
      </c>
      <c r="X135" s="9">
        <v>6</v>
      </c>
      <c r="Y135" s="9">
        <v>6</v>
      </c>
      <c r="Z135" s="9">
        <v>6</v>
      </c>
      <c r="AA135" s="9">
        <v>6</v>
      </c>
      <c r="AB135" s="9">
        <v>6</v>
      </c>
      <c r="AC135" s="9">
        <f t="shared" si="106"/>
        <v>302</v>
      </c>
      <c r="AD135" s="9">
        <f t="shared" si="107"/>
        <v>327</v>
      </c>
      <c r="AE135" s="9">
        <f t="shared" si="108"/>
        <v>327</v>
      </c>
      <c r="AF135" s="9">
        <f t="shared" si="109"/>
        <v>327</v>
      </c>
      <c r="AG135" s="9">
        <f t="shared" si="110"/>
        <v>327</v>
      </c>
      <c r="AH135" s="9">
        <f t="shared" si="111"/>
        <v>327</v>
      </c>
      <c r="AI135" s="7">
        <f t="shared" si="82"/>
        <v>71403.521666666667</v>
      </c>
      <c r="AJ135" s="7">
        <f t="shared" si="81"/>
        <v>71403.521666666667</v>
      </c>
      <c r="AK135" s="7">
        <f t="shared" si="81"/>
        <v>71403.521666666667</v>
      </c>
      <c r="AL135" s="7">
        <f t="shared" si="81"/>
        <v>71403.521666666667</v>
      </c>
      <c r="AM135" s="7">
        <f t="shared" si="81"/>
        <v>71403.521666666667</v>
      </c>
      <c r="AN135" s="7">
        <f t="shared" si="81"/>
        <v>71403.521666666667</v>
      </c>
      <c r="AO135" s="16"/>
      <c r="AP135" s="7"/>
      <c r="AQ135" s="9">
        <v>5</v>
      </c>
      <c r="AR135" s="9">
        <f t="shared" si="112"/>
        <v>341</v>
      </c>
      <c r="AS135" s="7">
        <f t="shared" si="113"/>
        <v>157</v>
      </c>
      <c r="AT135" s="7"/>
      <c r="AU135" s="16"/>
      <c r="AV135" s="7"/>
      <c r="AW135" s="7"/>
      <c r="AX135" s="7"/>
      <c r="AZ135" s="7"/>
      <c r="BA135" s="9">
        <f t="shared" si="79"/>
        <v>47881.371428571525</v>
      </c>
      <c r="BC135" s="5">
        <f t="shared" si="114"/>
        <v>282</v>
      </c>
      <c r="BR135" s="5">
        <v>5501053</v>
      </c>
      <c r="BS135" s="18">
        <f>[1]monsters!$N135</f>
        <v>184.32</v>
      </c>
      <c r="BT135" s="18">
        <f>[1]monsters!$O135</f>
        <v>18.43</v>
      </c>
      <c r="BU135" s="18">
        <f>[1]monsters!$P135</f>
        <v>1440</v>
      </c>
      <c r="BV135" s="18">
        <f>[1]monsters!$Q135</f>
        <v>144</v>
      </c>
      <c r="BW135" s="18">
        <f>[1]monsters!$R135</f>
        <v>26.33</v>
      </c>
      <c r="BX135" s="18">
        <f>[1]monsters!$S135</f>
        <v>2.63</v>
      </c>
      <c r="BY135" s="18">
        <f>[1]monsters!$K135</f>
        <v>1.6</v>
      </c>
      <c r="BZ135" s="5">
        <f>[1]monsters!$D135</f>
        <v>4</v>
      </c>
      <c r="CA135" s="5">
        <f t="shared" si="115"/>
        <v>0.1</v>
      </c>
      <c r="CB135" s="5">
        <f t="shared" si="116"/>
        <v>222.66724848484847</v>
      </c>
      <c r="CC135" s="5">
        <f t="shared" si="117"/>
        <v>22.266724848484849</v>
      </c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>
        <v>0</v>
      </c>
      <c r="CR135" s="3" t="b">
        <f t="shared" si="88"/>
        <v>1</v>
      </c>
      <c r="CS135" s="3" t="b">
        <f t="shared" si="89"/>
        <v>1</v>
      </c>
      <c r="CT135" s="3" t="b">
        <f t="shared" si="90"/>
        <v>1</v>
      </c>
      <c r="CU135" s="3" t="b">
        <f t="shared" si="91"/>
        <v>1</v>
      </c>
      <c r="CV135" s="3" t="b">
        <f t="shared" si="92"/>
        <v>1</v>
      </c>
      <c r="CW135" s="3" t="b">
        <f t="shared" si="93"/>
        <v>1</v>
      </c>
      <c r="CX135" s="9" t="str">
        <f t="shared" si="94"/>
        <v>5200062</v>
      </c>
      <c r="CY135" s="9" t="str">
        <f t="shared" si="95"/>
        <v>5200063</v>
      </c>
      <c r="CZ135" s="9" t="str">
        <f t="shared" si="96"/>
        <v>5200062</v>
      </c>
      <c r="DA135" s="9" t="str">
        <f t="shared" si="97"/>
        <v>5401061</v>
      </c>
      <c r="DB135" s="9" t="str">
        <f t="shared" si="98"/>
        <v>5401062</v>
      </c>
      <c r="DC135" s="9" t="str">
        <f t="shared" si="99"/>
        <v>5402062</v>
      </c>
      <c r="DD135" s="9">
        <v>6</v>
      </c>
      <c r="DE135" s="9">
        <v>6</v>
      </c>
      <c r="DF135" s="9">
        <v>6</v>
      </c>
      <c r="DG135" s="9">
        <v>6</v>
      </c>
      <c r="DH135" s="9">
        <v>6</v>
      </c>
      <c r="DI135" s="9">
        <v>6</v>
      </c>
      <c r="DJ135" s="9">
        <v>5</v>
      </c>
      <c r="DK135" s="9">
        <v>5</v>
      </c>
      <c r="DL135" s="9">
        <v>5</v>
      </c>
      <c r="DM135" s="9">
        <v>5</v>
      </c>
      <c r="DN135" s="9">
        <v>5</v>
      </c>
      <c r="DO135" s="9">
        <v>5</v>
      </c>
      <c r="DP135" s="25" t="s">
        <v>199</v>
      </c>
      <c r="DQ135" s="25" t="s">
        <v>113</v>
      </c>
      <c r="DR135" s="25" t="s">
        <v>199</v>
      </c>
      <c r="DS135" s="26" t="s">
        <v>117</v>
      </c>
      <c r="DT135" s="26" t="s">
        <v>202</v>
      </c>
      <c r="DU135" s="26" t="s">
        <v>203</v>
      </c>
      <c r="DV135" s="26">
        <f t="shared" si="100"/>
        <v>1</v>
      </c>
      <c r="DW135" s="26">
        <f t="shared" si="101"/>
        <v>1</v>
      </c>
      <c r="DX135" s="26">
        <f t="shared" si="102"/>
        <v>1</v>
      </c>
      <c r="DY135" s="26">
        <f t="shared" si="103"/>
        <v>2</v>
      </c>
      <c r="DZ135" s="26">
        <f t="shared" si="104"/>
        <v>2</v>
      </c>
      <c r="EA135" s="3">
        <f t="shared" si="105"/>
        <v>2</v>
      </c>
      <c r="EB135" s="35"/>
      <c r="EC135" s="9">
        <v>5401061</v>
      </c>
      <c r="ED135" s="34" t="s">
        <v>117</v>
      </c>
      <c r="EE135" s="8">
        <v>2</v>
      </c>
    </row>
    <row r="136" spans="1:135" ht="13.5" customHeight="1">
      <c r="A136" s="9">
        <v>133</v>
      </c>
      <c r="B136" s="9">
        <v>1</v>
      </c>
      <c r="C136" s="9">
        <v>2001</v>
      </c>
      <c r="D136" s="9">
        <f t="shared" si="78"/>
        <v>531912</v>
      </c>
      <c r="E136" s="9" t="str">
        <f t="shared" si="85"/>
        <v>5202061,5202062,5200061,5502061,5500061,5502061</v>
      </c>
      <c r="F136" s="9" t="str">
        <f t="shared" si="86"/>
        <v>6,6,6,6,6,6</v>
      </c>
      <c r="G136" s="9" t="str">
        <f t="shared" si="87"/>
        <v>303,328,328,328,328,328</v>
      </c>
      <c r="H136" s="9">
        <v>105</v>
      </c>
      <c r="I136" s="9" t="s">
        <v>278</v>
      </c>
      <c r="J136" s="9" t="s">
        <v>279</v>
      </c>
      <c r="K136" s="9" t="s">
        <v>279</v>
      </c>
      <c r="L136" s="9" t="s">
        <v>279</v>
      </c>
      <c r="M136" s="9" t="s">
        <v>288</v>
      </c>
      <c r="O136" s="3">
        <f t="shared" si="84"/>
        <v>531912</v>
      </c>
      <c r="P136" s="9">
        <v>431746.42</v>
      </c>
      <c r="Q136" s="9">
        <v>5202061</v>
      </c>
      <c r="R136" s="9">
        <v>5202062</v>
      </c>
      <c r="S136" s="9">
        <v>5200061</v>
      </c>
      <c r="T136" s="9">
        <v>5502061</v>
      </c>
      <c r="U136" s="9">
        <v>5500061</v>
      </c>
      <c r="V136" s="9">
        <v>5502061</v>
      </c>
      <c r="W136" s="9">
        <v>6</v>
      </c>
      <c r="X136" s="9">
        <v>6</v>
      </c>
      <c r="Y136" s="9">
        <v>6</v>
      </c>
      <c r="Z136" s="9">
        <v>6</v>
      </c>
      <c r="AA136" s="9">
        <v>6</v>
      </c>
      <c r="AB136" s="9">
        <v>6</v>
      </c>
      <c r="AC136" s="9">
        <f t="shared" si="106"/>
        <v>303</v>
      </c>
      <c r="AD136" s="9">
        <f t="shared" si="107"/>
        <v>328</v>
      </c>
      <c r="AE136" s="9">
        <f t="shared" si="108"/>
        <v>328</v>
      </c>
      <c r="AF136" s="9">
        <f t="shared" si="109"/>
        <v>328</v>
      </c>
      <c r="AG136" s="9">
        <f t="shared" si="110"/>
        <v>328</v>
      </c>
      <c r="AH136" s="9">
        <f t="shared" si="111"/>
        <v>328</v>
      </c>
      <c r="AI136" s="7">
        <f t="shared" si="82"/>
        <v>71957.736666666664</v>
      </c>
      <c r="AJ136" s="7">
        <f t="shared" si="81"/>
        <v>71957.736666666664</v>
      </c>
      <c r="AK136" s="7">
        <f t="shared" si="81"/>
        <v>71957.736666666664</v>
      </c>
      <c r="AL136" s="7">
        <f t="shared" si="81"/>
        <v>71957.736666666664</v>
      </c>
      <c r="AM136" s="7">
        <f t="shared" si="81"/>
        <v>71957.736666666664</v>
      </c>
      <c r="AN136" s="7">
        <f t="shared" si="81"/>
        <v>71957.736666666664</v>
      </c>
      <c r="AO136" s="16"/>
      <c r="AP136" s="7"/>
      <c r="AQ136" s="9">
        <v>5</v>
      </c>
      <c r="AR136" s="9">
        <f t="shared" si="112"/>
        <v>342</v>
      </c>
      <c r="AS136" s="7">
        <f t="shared" si="113"/>
        <v>158</v>
      </c>
      <c r="AT136" s="7"/>
      <c r="AU136" s="16"/>
      <c r="AV136" s="7"/>
      <c r="AW136" s="7"/>
      <c r="AX136" s="7"/>
      <c r="AZ136" s="7"/>
      <c r="BA136" s="9">
        <f t="shared" si="79"/>
        <v>48404.128571428671</v>
      </c>
      <c r="BC136" s="5">
        <f t="shared" si="114"/>
        <v>283</v>
      </c>
      <c r="BR136" s="5">
        <v>5502053</v>
      </c>
      <c r="BS136" s="18">
        <f>[1]monsters!$N136</f>
        <v>172.8</v>
      </c>
      <c r="BT136" s="18">
        <f>[1]monsters!$O136</f>
        <v>17.28</v>
      </c>
      <c r="BU136" s="18">
        <f>[1]monsters!$P136</f>
        <v>1440</v>
      </c>
      <c r="BV136" s="18">
        <f>[1]monsters!$Q136</f>
        <v>144</v>
      </c>
      <c r="BW136" s="18">
        <f>[1]monsters!$R136</f>
        <v>24.69</v>
      </c>
      <c r="BX136" s="18">
        <f>[1]monsters!$S136</f>
        <v>2.4700000000000002</v>
      </c>
      <c r="BY136" s="18">
        <f>[1]monsters!$K136</f>
        <v>1.5</v>
      </c>
      <c r="BZ136" s="5">
        <f>[1]monsters!$D136</f>
        <v>4</v>
      </c>
      <c r="CA136" s="5">
        <f t="shared" si="115"/>
        <v>0.1</v>
      </c>
      <c r="CB136" s="5">
        <f t="shared" si="116"/>
        <v>211.78084848484849</v>
      </c>
      <c r="CC136" s="5">
        <f t="shared" si="117"/>
        <v>21.178084848484851</v>
      </c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>
        <v>0</v>
      </c>
      <c r="CR136" s="3" t="b">
        <f t="shared" si="88"/>
        <v>1</v>
      </c>
      <c r="CS136" s="3" t="b">
        <f t="shared" si="89"/>
        <v>1</v>
      </c>
      <c r="CT136" s="3" t="b">
        <f t="shared" si="90"/>
        <v>1</v>
      </c>
      <c r="CU136" s="3" t="b">
        <f t="shared" si="91"/>
        <v>1</v>
      </c>
      <c r="CV136" s="3" t="b">
        <f t="shared" si="92"/>
        <v>1</v>
      </c>
      <c r="CW136" s="3" t="b">
        <f t="shared" si="93"/>
        <v>1</v>
      </c>
      <c r="CX136" s="9" t="str">
        <f t="shared" si="94"/>
        <v>5202061</v>
      </c>
      <c r="CY136" s="9" t="str">
        <f t="shared" si="95"/>
        <v>5202062</v>
      </c>
      <c r="CZ136" s="9" t="str">
        <f t="shared" si="96"/>
        <v>5200061</v>
      </c>
      <c r="DA136" s="9" t="str">
        <f t="shared" si="97"/>
        <v>5502061</v>
      </c>
      <c r="DB136" s="9" t="str">
        <f t="shared" si="98"/>
        <v>5500061</v>
      </c>
      <c r="DC136" s="9" t="str">
        <f t="shared" si="99"/>
        <v>5502061</v>
      </c>
      <c r="DD136" s="9">
        <v>6</v>
      </c>
      <c r="DE136" s="9">
        <v>6</v>
      </c>
      <c r="DF136" s="9">
        <v>6</v>
      </c>
      <c r="DG136" s="9">
        <v>6</v>
      </c>
      <c r="DH136" s="9">
        <v>6</v>
      </c>
      <c r="DI136" s="9">
        <v>6</v>
      </c>
      <c r="DJ136" s="9">
        <v>5</v>
      </c>
      <c r="DK136" s="9">
        <v>5</v>
      </c>
      <c r="DL136" s="9">
        <v>5</v>
      </c>
      <c r="DM136" s="9">
        <v>5</v>
      </c>
      <c r="DN136" s="9">
        <v>5</v>
      </c>
      <c r="DO136" s="9">
        <v>5</v>
      </c>
      <c r="DP136" s="25" t="s">
        <v>111</v>
      </c>
      <c r="DQ136" s="25" t="s">
        <v>200</v>
      </c>
      <c r="DR136" s="25" t="s">
        <v>194</v>
      </c>
      <c r="DS136" s="26" t="s">
        <v>119</v>
      </c>
      <c r="DT136" s="26" t="s">
        <v>197</v>
      </c>
      <c r="DU136" s="26" t="s">
        <v>119</v>
      </c>
      <c r="DV136" s="26">
        <f t="shared" si="100"/>
        <v>1</v>
      </c>
      <c r="DW136" s="26">
        <f t="shared" si="101"/>
        <v>1</v>
      </c>
      <c r="DX136" s="26">
        <f t="shared" si="102"/>
        <v>1</v>
      </c>
      <c r="DY136" s="26">
        <f t="shared" si="103"/>
        <v>2</v>
      </c>
      <c r="DZ136" s="26">
        <f t="shared" si="104"/>
        <v>2</v>
      </c>
      <c r="EA136" s="3">
        <f t="shared" si="105"/>
        <v>2</v>
      </c>
      <c r="EB136" s="35"/>
      <c r="EC136" s="9">
        <v>5402061</v>
      </c>
      <c r="ED136" s="34" t="s">
        <v>196</v>
      </c>
      <c r="EE136" s="8">
        <v>2</v>
      </c>
    </row>
    <row r="137" spans="1:135" ht="13.5" customHeight="1">
      <c r="A137" s="9">
        <v>134</v>
      </c>
      <c r="B137" s="9">
        <v>1</v>
      </c>
      <c r="C137" s="9">
        <v>2001</v>
      </c>
      <c r="D137" s="9">
        <f t="shared" si="78"/>
        <v>535582</v>
      </c>
      <c r="E137" s="9" t="str">
        <f t="shared" si="85"/>
        <v>5202065,5201064,5202061,5400065,5502062,5502062</v>
      </c>
      <c r="F137" s="9" t="str">
        <f t="shared" si="86"/>
        <v>6,6,6,6,6,6</v>
      </c>
      <c r="G137" s="9" t="str">
        <f t="shared" si="87"/>
        <v>304,329,329,329,329,329</v>
      </c>
      <c r="H137" s="9">
        <v>105</v>
      </c>
      <c r="I137" s="9" t="s">
        <v>278</v>
      </c>
      <c r="J137" s="9" t="s">
        <v>279</v>
      </c>
      <c r="K137" s="9" t="s">
        <v>279</v>
      </c>
      <c r="L137" s="9" t="s">
        <v>279</v>
      </c>
      <c r="M137" s="9" t="s">
        <v>288</v>
      </c>
      <c r="O137" s="3">
        <f t="shared" si="84"/>
        <v>535582</v>
      </c>
      <c r="P137" s="9">
        <v>434725.45</v>
      </c>
      <c r="Q137" s="9">
        <v>5202065</v>
      </c>
      <c r="R137" s="9">
        <v>5201064</v>
      </c>
      <c r="S137" s="9">
        <v>5202061</v>
      </c>
      <c r="T137" s="9">
        <v>5400065</v>
      </c>
      <c r="U137" s="9">
        <v>5502062</v>
      </c>
      <c r="V137" s="9">
        <v>5502062</v>
      </c>
      <c r="W137" s="9">
        <v>6</v>
      </c>
      <c r="X137" s="9">
        <v>6</v>
      </c>
      <c r="Y137" s="9">
        <v>6</v>
      </c>
      <c r="Z137" s="9">
        <v>6</v>
      </c>
      <c r="AA137" s="9">
        <v>6</v>
      </c>
      <c r="AB137" s="9">
        <v>6</v>
      </c>
      <c r="AC137" s="9">
        <f t="shared" si="106"/>
        <v>304</v>
      </c>
      <c r="AD137" s="9">
        <f t="shared" si="107"/>
        <v>329</v>
      </c>
      <c r="AE137" s="9">
        <f t="shared" si="108"/>
        <v>329</v>
      </c>
      <c r="AF137" s="9">
        <f t="shared" si="109"/>
        <v>329</v>
      </c>
      <c r="AG137" s="9">
        <f t="shared" si="110"/>
        <v>329</v>
      </c>
      <c r="AH137" s="9">
        <f t="shared" si="111"/>
        <v>329</v>
      </c>
      <c r="AI137" s="7">
        <f t="shared" si="82"/>
        <v>72454.241666666669</v>
      </c>
      <c r="AJ137" s="7">
        <f t="shared" si="81"/>
        <v>72454.241666666669</v>
      </c>
      <c r="AK137" s="7">
        <f t="shared" si="81"/>
        <v>72454.241666666669</v>
      </c>
      <c r="AL137" s="7">
        <f t="shared" si="81"/>
        <v>72454.241666666669</v>
      </c>
      <c r="AM137" s="7">
        <f t="shared" si="81"/>
        <v>72454.241666666669</v>
      </c>
      <c r="AN137" s="7">
        <f t="shared" si="81"/>
        <v>72454.241666666669</v>
      </c>
      <c r="AO137" s="16"/>
      <c r="AP137" s="7"/>
      <c r="AQ137" s="9">
        <v>5</v>
      </c>
      <c r="AR137" s="9">
        <f t="shared" si="112"/>
        <v>344</v>
      </c>
      <c r="AS137" s="7">
        <f t="shared" si="113"/>
        <v>159</v>
      </c>
      <c r="AT137" s="7"/>
      <c r="AU137" s="16"/>
      <c r="AV137" s="7"/>
      <c r="AW137" s="7"/>
      <c r="AX137" s="7"/>
      <c r="AZ137" s="7"/>
      <c r="BA137" s="9">
        <f t="shared" si="79"/>
        <v>48926.885714285818</v>
      </c>
      <c r="BC137" s="5">
        <f t="shared" si="114"/>
        <v>284</v>
      </c>
      <c r="BR137" s="5">
        <v>5600053</v>
      </c>
      <c r="BS137" s="18">
        <f>[1]monsters!$N137</f>
        <v>201.6</v>
      </c>
      <c r="BT137" s="18">
        <f>[1]monsters!$O137</f>
        <v>20.16</v>
      </c>
      <c r="BU137" s="18">
        <f>[1]monsters!$P137</f>
        <v>1234.29</v>
      </c>
      <c r="BV137" s="18">
        <f>[1]monsters!$Q137</f>
        <v>123.43</v>
      </c>
      <c r="BW137" s="18">
        <f>[1]monsters!$R137</f>
        <v>25.2</v>
      </c>
      <c r="BX137" s="18">
        <f>[1]monsters!$S137</f>
        <v>2.52</v>
      </c>
      <c r="BY137" s="18">
        <f>[1]monsters!$K137</f>
        <v>1.5</v>
      </c>
      <c r="BZ137" s="5">
        <f>[1]monsters!$D137</f>
        <v>5</v>
      </c>
      <c r="CA137" s="5">
        <f t="shared" si="115"/>
        <v>0.1</v>
      </c>
      <c r="CB137" s="5">
        <f t="shared" si="116"/>
        <v>232.07058585858584</v>
      </c>
      <c r="CC137" s="5">
        <f t="shared" si="117"/>
        <v>23.207058585858586</v>
      </c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>
        <v>0</v>
      </c>
      <c r="CR137" s="3" t="b">
        <f t="shared" si="88"/>
        <v>1</v>
      </c>
      <c r="CS137" s="3" t="b">
        <f t="shared" si="89"/>
        <v>1</v>
      </c>
      <c r="CT137" s="3" t="b">
        <f t="shared" si="90"/>
        <v>1</v>
      </c>
      <c r="CU137" s="3" t="b">
        <f t="shared" si="91"/>
        <v>1</v>
      </c>
      <c r="CV137" s="3" t="b">
        <f t="shared" si="92"/>
        <v>1</v>
      </c>
      <c r="CW137" s="3" t="b">
        <f t="shared" si="93"/>
        <v>1</v>
      </c>
      <c r="CX137" s="9" t="str">
        <f t="shared" si="94"/>
        <v>5202065</v>
      </c>
      <c r="CY137" s="9" t="str">
        <f t="shared" si="95"/>
        <v>5201064</v>
      </c>
      <c r="CZ137" s="9" t="str">
        <f t="shared" si="96"/>
        <v>5202061</v>
      </c>
      <c r="DA137" s="9" t="str">
        <f t="shared" si="97"/>
        <v>5400065</v>
      </c>
      <c r="DB137" s="9" t="str">
        <f t="shared" si="98"/>
        <v>5502062</v>
      </c>
      <c r="DC137" s="9" t="str">
        <f t="shared" si="99"/>
        <v>5502062</v>
      </c>
      <c r="DD137" s="9">
        <v>6</v>
      </c>
      <c r="DE137" s="9">
        <v>6</v>
      </c>
      <c r="DF137" s="9">
        <v>6</v>
      </c>
      <c r="DG137" s="9">
        <v>6</v>
      </c>
      <c r="DH137" s="9">
        <v>6</v>
      </c>
      <c r="DI137" s="9">
        <v>6</v>
      </c>
      <c r="DJ137" s="9">
        <v>5</v>
      </c>
      <c r="DK137" s="9">
        <v>5</v>
      </c>
      <c r="DL137" s="9">
        <v>5</v>
      </c>
      <c r="DM137" s="9">
        <v>5</v>
      </c>
      <c r="DN137" s="9">
        <v>5</v>
      </c>
      <c r="DO137" s="9">
        <v>5</v>
      </c>
      <c r="DP137" s="27" t="s">
        <v>213</v>
      </c>
      <c r="DQ137" s="27" t="s">
        <v>217</v>
      </c>
      <c r="DR137" s="27" t="s">
        <v>111</v>
      </c>
      <c r="DS137" s="25" t="s">
        <v>210</v>
      </c>
      <c r="DT137" s="28" t="s">
        <v>204</v>
      </c>
      <c r="DU137" s="28" t="s">
        <v>204</v>
      </c>
      <c r="DV137" s="28">
        <f t="shared" si="100"/>
        <v>1</v>
      </c>
      <c r="DW137" s="28">
        <f t="shared" si="101"/>
        <v>1</v>
      </c>
      <c r="DX137" s="28">
        <f t="shared" si="102"/>
        <v>1</v>
      </c>
      <c r="DY137" s="28">
        <f t="shared" si="103"/>
        <v>2</v>
      </c>
      <c r="DZ137" s="28">
        <f t="shared" si="104"/>
        <v>2</v>
      </c>
      <c r="EA137" s="3">
        <f t="shared" si="105"/>
        <v>2</v>
      </c>
      <c r="EB137" s="35"/>
      <c r="EC137" s="9">
        <v>5500061</v>
      </c>
      <c r="ED137" s="34" t="s">
        <v>197</v>
      </c>
      <c r="EE137" s="8">
        <v>2</v>
      </c>
    </row>
    <row r="138" spans="1:135" ht="13.5" customHeight="1">
      <c r="A138" s="9">
        <v>135</v>
      </c>
      <c r="B138" s="9">
        <v>1</v>
      </c>
      <c r="C138" s="9">
        <v>2001</v>
      </c>
      <c r="D138" s="9">
        <f t="shared" si="78"/>
        <v>539262</v>
      </c>
      <c r="E138" s="9" t="str">
        <f t="shared" si="85"/>
        <v>5201062,5201064,5301062,5402062,5502063,5500062</v>
      </c>
      <c r="F138" s="9" t="str">
        <f t="shared" si="86"/>
        <v>6,6,6,6,6,6</v>
      </c>
      <c r="G138" s="9" t="str">
        <f t="shared" si="87"/>
        <v>305,331,331,331,331,331</v>
      </c>
      <c r="H138" s="9">
        <v>106</v>
      </c>
      <c r="I138" s="9" t="s">
        <v>278</v>
      </c>
      <c r="J138" s="9" t="s">
        <v>279</v>
      </c>
      <c r="K138" s="9" t="s">
        <v>279</v>
      </c>
      <c r="L138" s="9" t="s">
        <v>279</v>
      </c>
      <c r="M138" s="9" t="s">
        <v>288</v>
      </c>
      <c r="O138" s="3">
        <f t="shared" si="84"/>
        <v>539262</v>
      </c>
      <c r="P138" s="9">
        <v>437712.44</v>
      </c>
      <c r="Q138" s="9">
        <v>5201062</v>
      </c>
      <c r="R138" s="9">
        <v>5201064</v>
      </c>
      <c r="S138" s="9">
        <v>5301062</v>
      </c>
      <c r="T138" s="9">
        <v>5402062</v>
      </c>
      <c r="U138" s="9">
        <v>5502063</v>
      </c>
      <c r="V138" s="9">
        <v>5500062</v>
      </c>
      <c r="W138" s="9">
        <v>6</v>
      </c>
      <c r="X138" s="9">
        <v>6</v>
      </c>
      <c r="Y138" s="9">
        <v>6</v>
      </c>
      <c r="Z138" s="9">
        <v>6</v>
      </c>
      <c r="AA138" s="9">
        <v>6</v>
      </c>
      <c r="AB138" s="9">
        <v>6</v>
      </c>
      <c r="AC138" s="9">
        <f t="shared" si="106"/>
        <v>305</v>
      </c>
      <c r="AD138" s="9">
        <f t="shared" si="107"/>
        <v>331</v>
      </c>
      <c r="AE138" s="9">
        <f t="shared" si="108"/>
        <v>331</v>
      </c>
      <c r="AF138" s="9">
        <f t="shared" si="109"/>
        <v>331</v>
      </c>
      <c r="AG138" s="9">
        <f t="shared" si="110"/>
        <v>331</v>
      </c>
      <c r="AH138" s="9">
        <f t="shared" si="111"/>
        <v>331</v>
      </c>
      <c r="AI138" s="7">
        <f t="shared" si="82"/>
        <v>72952.073333333334</v>
      </c>
      <c r="AJ138" s="7">
        <f t="shared" si="81"/>
        <v>72952.073333333334</v>
      </c>
      <c r="AK138" s="7">
        <f t="shared" si="81"/>
        <v>72952.073333333334</v>
      </c>
      <c r="AL138" s="7">
        <f t="shared" si="81"/>
        <v>72952.073333333334</v>
      </c>
      <c r="AM138" s="7">
        <f t="shared" si="81"/>
        <v>72952.073333333334</v>
      </c>
      <c r="AN138" s="7">
        <f t="shared" si="81"/>
        <v>72952.073333333334</v>
      </c>
      <c r="AO138" s="16"/>
      <c r="AP138" s="7"/>
      <c r="AQ138" s="9">
        <v>5</v>
      </c>
      <c r="AR138" s="9">
        <f t="shared" si="112"/>
        <v>345</v>
      </c>
      <c r="AS138" s="7">
        <f t="shared" si="113"/>
        <v>160</v>
      </c>
      <c r="AT138" s="7"/>
      <c r="AU138" s="16"/>
      <c r="AV138" s="7"/>
      <c r="AW138" s="7"/>
      <c r="AX138" s="7"/>
      <c r="AZ138" s="7"/>
      <c r="BA138" s="9">
        <f t="shared" si="79"/>
        <v>49449.642857142964</v>
      </c>
      <c r="BC138" s="5">
        <f t="shared" si="114"/>
        <v>285</v>
      </c>
      <c r="BR138" s="5">
        <v>5601053</v>
      </c>
      <c r="BS138" s="18">
        <f>[1]monsters!$N138</f>
        <v>188.16</v>
      </c>
      <c r="BT138" s="18">
        <f>[1]monsters!$O138</f>
        <v>18.82</v>
      </c>
      <c r="BU138" s="18">
        <f>[1]monsters!$P138</f>
        <v>1234.29</v>
      </c>
      <c r="BV138" s="18">
        <f>[1]monsters!$Q138</f>
        <v>123.43</v>
      </c>
      <c r="BW138" s="18">
        <f>[1]monsters!$R138</f>
        <v>23.52</v>
      </c>
      <c r="BX138" s="18">
        <f>[1]monsters!$S138</f>
        <v>2.35</v>
      </c>
      <c r="BY138" s="18">
        <f>[1]monsters!$K138</f>
        <v>1.4</v>
      </c>
      <c r="BZ138" s="5">
        <f>[1]monsters!$D138</f>
        <v>5</v>
      </c>
      <c r="CA138" s="5">
        <f t="shared" si="115"/>
        <v>0.1</v>
      </c>
      <c r="CB138" s="5">
        <f t="shared" si="116"/>
        <v>219.36978585858586</v>
      </c>
      <c r="CC138" s="5">
        <f t="shared" si="117"/>
        <v>21.936978585858586</v>
      </c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>
        <v>1</v>
      </c>
      <c r="CR138" s="3" t="b">
        <f t="shared" si="88"/>
        <v>1</v>
      </c>
      <c r="CS138" s="3" t="b">
        <f t="shared" si="89"/>
        <v>1</v>
      </c>
      <c r="CT138" s="3" t="b">
        <f t="shared" si="90"/>
        <v>1</v>
      </c>
      <c r="CU138" s="3" t="b">
        <f t="shared" si="91"/>
        <v>1</v>
      </c>
      <c r="CV138" s="3" t="b">
        <f t="shared" si="92"/>
        <v>1</v>
      </c>
      <c r="CW138" s="3" t="b">
        <f t="shared" si="93"/>
        <v>1</v>
      </c>
      <c r="CX138" s="9" t="str">
        <f t="shared" si="94"/>
        <v>5201062</v>
      </c>
      <c r="CY138" s="9" t="str">
        <f t="shared" si="95"/>
        <v>5201064</v>
      </c>
      <c r="CZ138" s="9" t="str">
        <f t="shared" si="96"/>
        <v>5301062</v>
      </c>
      <c r="DA138" s="9" t="str">
        <f t="shared" si="97"/>
        <v>5402062</v>
      </c>
      <c r="DB138" s="9" t="str">
        <f t="shared" si="98"/>
        <v>5502063</v>
      </c>
      <c r="DC138" s="9" t="str">
        <f t="shared" si="99"/>
        <v>5500062</v>
      </c>
      <c r="DD138" s="9">
        <v>6</v>
      </c>
      <c r="DE138" s="9">
        <v>6</v>
      </c>
      <c r="DF138" s="9">
        <v>6</v>
      </c>
      <c r="DG138" s="9">
        <v>6</v>
      </c>
      <c r="DH138" s="9">
        <v>6</v>
      </c>
      <c r="DI138" s="9">
        <v>6</v>
      </c>
      <c r="DJ138" s="9">
        <v>5</v>
      </c>
      <c r="DK138" s="9">
        <v>5</v>
      </c>
      <c r="DL138" s="9">
        <v>5</v>
      </c>
      <c r="DM138" s="9">
        <v>5</v>
      </c>
      <c r="DN138" s="9">
        <v>5</v>
      </c>
      <c r="DO138" s="9">
        <v>5</v>
      </c>
      <c r="DP138" s="25" t="s">
        <v>114</v>
      </c>
      <c r="DQ138" s="27" t="s">
        <v>217</v>
      </c>
      <c r="DR138" s="25" t="s">
        <v>201</v>
      </c>
      <c r="DS138" s="26" t="s">
        <v>203</v>
      </c>
      <c r="DT138" s="25" t="s">
        <v>215</v>
      </c>
      <c r="DU138" s="25" t="s">
        <v>109</v>
      </c>
      <c r="DV138" s="25">
        <f t="shared" si="100"/>
        <v>1</v>
      </c>
      <c r="DW138" s="25">
        <f t="shared" si="101"/>
        <v>1</v>
      </c>
      <c r="DX138" s="25">
        <f t="shared" si="102"/>
        <v>1</v>
      </c>
      <c r="DY138" s="25">
        <f t="shared" si="103"/>
        <v>2</v>
      </c>
      <c r="DZ138" s="25">
        <f t="shared" si="104"/>
        <v>2</v>
      </c>
      <c r="EA138" s="3">
        <f t="shared" si="105"/>
        <v>2</v>
      </c>
      <c r="EB138" s="35"/>
      <c r="EC138" s="9">
        <v>5502061</v>
      </c>
      <c r="ED138" s="34" t="s">
        <v>119</v>
      </c>
      <c r="EE138" s="8">
        <v>2</v>
      </c>
    </row>
    <row r="139" spans="1:135" ht="13.5" customHeight="1">
      <c r="A139" s="9">
        <v>136</v>
      </c>
      <c r="B139" s="9">
        <v>1</v>
      </c>
      <c r="C139" s="9">
        <v>2001</v>
      </c>
      <c r="D139" s="9">
        <f t="shared" si="78"/>
        <v>542954</v>
      </c>
      <c r="E139" s="9" t="str">
        <f t="shared" si="85"/>
        <v>5200062,5200063,5200062,5502062,5500062,5502061</v>
      </c>
      <c r="F139" s="9" t="str">
        <f t="shared" si="86"/>
        <v>6,6,6,6,6,6</v>
      </c>
      <c r="G139" s="9" t="str">
        <f t="shared" si="87"/>
        <v>306,332,332,332,332,332</v>
      </c>
      <c r="H139" s="9">
        <v>108</v>
      </c>
      <c r="I139" s="9" t="s">
        <v>278</v>
      </c>
      <c r="J139" s="9" t="s">
        <v>279</v>
      </c>
      <c r="K139" s="9" t="s">
        <v>279</v>
      </c>
      <c r="L139" s="9" t="s">
        <v>279</v>
      </c>
      <c r="M139" s="9" t="s">
        <v>289</v>
      </c>
      <c r="O139" s="3">
        <f t="shared" si="84"/>
        <v>542954</v>
      </c>
      <c r="P139" s="9">
        <v>440709.38</v>
      </c>
      <c r="Q139" s="9">
        <v>5200062</v>
      </c>
      <c r="R139" s="9">
        <v>5200063</v>
      </c>
      <c r="S139" s="9">
        <v>5200062</v>
      </c>
      <c r="T139" s="9">
        <v>5502062</v>
      </c>
      <c r="U139" s="9">
        <v>5500062</v>
      </c>
      <c r="V139" s="9">
        <v>5502061</v>
      </c>
      <c r="W139" s="9">
        <v>6</v>
      </c>
      <c r="X139" s="9">
        <v>6</v>
      </c>
      <c r="Y139" s="9">
        <v>6</v>
      </c>
      <c r="Z139" s="9">
        <v>6</v>
      </c>
      <c r="AA139" s="9">
        <v>6</v>
      </c>
      <c r="AB139" s="9">
        <v>6</v>
      </c>
      <c r="AC139" s="9">
        <f t="shared" si="106"/>
        <v>306</v>
      </c>
      <c r="AD139" s="9">
        <f t="shared" si="107"/>
        <v>332</v>
      </c>
      <c r="AE139" s="9">
        <f t="shared" si="108"/>
        <v>332</v>
      </c>
      <c r="AF139" s="9">
        <f t="shared" si="109"/>
        <v>332</v>
      </c>
      <c r="AG139" s="9">
        <f t="shared" si="110"/>
        <v>332</v>
      </c>
      <c r="AH139" s="9">
        <f t="shared" si="111"/>
        <v>332</v>
      </c>
      <c r="AI139" s="7">
        <f t="shared" si="82"/>
        <v>73451.563333333339</v>
      </c>
      <c r="AJ139" s="7">
        <f t="shared" si="81"/>
        <v>73451.563333333339</v>
      </c>
      <c r="AK139" s="7">
        <f t="shared" si="81"/>
        <v>73451.563333333339</v>
      </c>
      <c r="AL139" s="7">
        <f t="shared" si="81"/>
        <v>73451.563333333339</v>
      </c>
      <c r="AM139" s="7">
        <f t="shared" si="81"/>
        <v>73451.563333333339</v>
      </c>
      <c r="AN139" s="7">
        <f t="shared" si="81"/>
        <v>73451.563333333339</v>
      </c>
      <c r="AO139" s="16"/>
      <c r="AP139" s="7"/>
      <c r="AQ139" s="9">
        <v>5</v>
      </c>
      <c r="AR139" s="9">
        <f t="shared" si="112"/>
        <v>346</v>
      </c>
      <c r="AS139" s="7">
        <f t="shared" si="113"/>
        <v>161</v>
      </c>
      <c r="AT139" s="7"/>
      <c r="AU139" s="16"/>
      <c r="AV139" s="7"/>
      <c r="AW139" s="7"/>
      <c r="AX139" s="7"/>
      <c r="AZ139" s="7"/>
      <c r="BA139" s="9">
        <f t="shared" si="79"/>
        <v>49972.400000000111</v>
      </c>
      <c r="BC139" s="5">
        <f t="shared" si="114"/>
        <v>286</v>
      </c>
      <c r="BR139" s="5">
        <v>5200054</v>
      </c>
      <c r="BS139" s="18">
        <f>[1]monsters!$N139</f>
        <v>223.2</v>
      </c>
      <c r="BT139" s="18">
        <f>[1]monsters!$O139</f>
        <v>22.32</v>
      </c>
      <c r="BU139" s="18">
        <f>[1]monsters!$P139</f>
        <v>1114.8399999999999</v>
      </c>
      <c r="BV139" s="18">
        <f>[1]monsters!$Q139</f>
        <v>111.48</v>
      </c>
      <c r="BW139" s="18">
        <f>[1]monsters!$R139</f>
        <v>22.32</v>
      </c>
      <c r="BX139" s="18">
        <f>[1]monsters!$S139</f>
        <v>2.23</v>
      </c>
      <c r="BY139" s="18">
        <f>[1]monsters!$K139</f>
        <v>1.5</v>
      </c>
      <c r="BZ139" s="5">
        <f>[1]monsters!$D139</f>
        <v>6</v>
      </c>
      <c r="CA139" s="5">
        <f t="shared" si="115"/>
        <v>0.1</v>
      </c>
      <c r="CB139" s="5">
        <f t="shared" si="116"/>
        <v>248.46070033670031</v>
      </c>
      <c r="CC139" s="5">
        <f t="shared" si="117"/>
        <v>24.846070033670031</v>
      </c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>
        <v>0</v>
      </c>
      <c r="CR139" s="3" t="b">
        <f t="shared" si="88"/>
        <v>1</v>
      </c>
      <c r="CS139" s="3" t="b">
        <f t="shared" si="89"/>
        <v>1</v>
      </c>
      <c r="CT139" s="3" t="b">
        <f t="shared" si="90"/>
        <v>1</v>
      </c>
      <c r="CU139" s="3" t="b">
        <f t="shared" si="91"/>
        <v>1</v>
      </c>
      <c r="CV139" s="3" t="b">
        <f t="shared" si="92"/>
        <v>1</v>
      </c>
      <c r="CW139" s="3" t="b">
        <f t="shared" si="93"/>
        <v>1</v>
      </c>
      <c r="CX139" s="9" t="str">
        <f t="shared" si="94"/>
        <v>5200062</v>
      </c>
      <c r="CY139" s="9" t="str">
        <f t="shared" si="95"/>
        <v>5200063</v>
      </c>
      <c r="CZ139" s="9" t="str">
        <f t="shared" si="96"/>
        <v>5200062</v>
      </c>
      <c r="DA139" s="9" t="str">
        <f t="shared" si="97"/>
        <v>5502062</v>
      </c>
      <c r="DB139" s="9" t="str">
        <f t="shared" si="98"/>
        <v>5500062</v>
      </c>
      <c r="DC139" s="9" t="str">
        <f t="shared" si="99"/>
        <v>5502061</v>
      </c>
      <c r="DD139" s="9">
        <v>6</v>
      </c>
      <c r="DE139" s="9">
        <v>6</v>
      </c>
      <c r="DF139" s="9">
        <v>6</v>
      </c>
      <c r="DG139" s="9">
        <v>6</v>
      </c>
      <c r="DH139" s="9">
        <v>6</v>
      </c>
      <c r="DI139" s="9">
        <v>6</v>
      </c>
      <c r="DJ139" s="9">
        <v>5</v>
      </c>
      <c r="DK139" s="9">
        <v>5</v>
      </c>
      <c r="DL139" s="9">
        <v>5</v>
      </c>
      <c r="DM139" s="9">
        <v>5</v>
      </c>
      <c r="DN139" s="9">
        <v>5</v>
      </c>
      <c r="DO139" s="9">
        <v>5</v>
      </c>
      <c r="DP139" s="25" t="s">
        <v>199</v>
      </c>
      <c r="DQ139" s="25" t="s">
        <v>113</v>
      </c>
      <c r="DR139" s="25" t="s">
        <v>199</v>
      </c>
      <c r="DS139" s="28" t="s">
        <v>204</v>
      </c>
      <c r="DT139" s="28" t="s">
        <v>109</v>
      </c>
      <c r="DU139" s="28" t="s">
        <v>119</v>
      </c>
      <c r="DV139" s="28">
        <f t="shared" si="100"/>
        <v>1</v>
      </c>
      <c r="DW139" s="28">
        <f t="shared" si="101"/>
        <v>1</v>
      </c>
      <c r="DX139" s="28">
        <f t="shared" si="102"/>
        <v>1</v>
      </c>
      <c r="DY139" s="28">
        <f t="shared" si="103"/>
        <v>2</v>
      </c>
      <c r="DZ139" s="28">
        <f t="shared" si="104"/>
        <v>2</v>
      </c>
      <c r="EA139" s="3">
        <f t="shared" si="105"/>
        <v>2</v>
      </c>
      <c r="EB139" s="34"/>
      <c r="EC139" s="9">
        <v>5601061</v>
      </c>
      <c r="ED139" s="34" t="s">
        <v>198</v>
      </c>
      <c r="EE139" s="8">
        <v>2</v>
      </c>
    </row>
    <row r="140" spans="1:135" ht="13.5" customHeight="1">
      <c r="A140" s="9">
        <v>137</v>
      </c>
      <c r="B140" s="9">
        <v>1</v>
      </c>
      <c r="C140" s="9">
        <v>2001</v>
      </c>
      <c r="D140" s="9">
        <f t="shared" si="78"/>
        <v>546661</v>
      </c>
      <c r="E140" s="9" t="str">
        <f t="shared" si="85"/>
        <v>5202063,5202062,5202063,5401063,5400065,5400065</v>
      </c>
      <c r="F140" s="9" t="str">
        <f t="shared" si="86"/>
        <v>6,6,6,6,6,6</v>
      </c>
      <c r="G140" s="9" t="str">
        <f t="shared" si="87"/>
        <v>307,333,333,333,333,333</v>
      </c>
      <c r="H140" s="9">
        <v>108</v>
      </c>
      <c r="I140" s="9" t="s">
        <v>278</v>
      </c>
      <c r="J140" s="9" t="s">
        <v>279</v>
      </c>
      <c r="K140" s="9" t="s">
        <v>279</v>
      </c>
      <c r="L140" s="9" t="s">
        <v>279</v>
      </c>
      <c r="M140" s="9" t="s">
        <v>289</v>
      </c>
      <c r="O140" s="3">
        <f t="shared" si="84"/>
        <v>546661</v>
      </c>
      <c r="P140" s="9">
        <v>443718.26</v>
      </c>
      <c r="Q140" s="9">
        <v>5202063</v>
      </c>
      <c r="R140" s="9">
        <v>5202062</v>
      </c>
      <c r="S140" s="9">
        <v>5202063</v>
      </c>
      <c r="T140" s="9">
        <v>5401063</v>
      </c>
      <c r="U140" s="9">
        <v>5400065</v>
      </c>
      <c r="V140" s="9">
        <v>5400065</v>
      </c>
      <c r="W140" s="9">
        <v>6</v>
      </c>
      <c r="X140" s="9">
        <v>6</v>
      </c>
      <c r="Y140" s="9">
        <v>6</v>
      </c>
      <c r="Z140" s="9">
        <v>6</v>
      </c>
      <c r="AA140" s="9">
        <v>6</v>
      </c>
      <c r="AB140" s="9">
        <v>6</v>
      </c>
      <c r="AC140" s="9">
        <f t="shared" si="106"/>
        <v>307</v>
      </c>
      <c r="AD140" s="9">
        <f t="shared" si="107"/>
        <v>333</v>
      </c>
      <c r="AE140" s="9">
        <f t="shared" si="108"/>
        <v>333</v>
      </c>
      <c r="AF140" s="9">
        <f t="shared" si="109"/>
        <v>333</v>
      </c>
      <c r="AG140" s="9">
        <f t="shared" si="110"/>
        <v>333</v>
      </c>
      <c r="AH140" s="9">
        <f t="shared" si="111"/>
        <v>333</v>
      </c>
      <c r="AI140" s="7">
        <f t="shared" si="82"/>
        <v>73953.043333333335</v>
      </c>
      <c r="AJ140" s="7">
        <f t="shared" si="81"/>
        <v>73953.043333333335</v>
      </c>
      <c r="AK140" s="7">
        <f t="shared" si="81"/>
        <v>73953.043333333335</v>
      </c>
      <c r="AL140" s="7">
        <f t="shared" si="81"/>
        <v>73953.043333333335</v>
      </c>
      <c r="AM140" s="7">
        <f t="shared" si="81"/>
        <v>73953.043333333335</v>
      </c>
      <c r="AN140" s="7">
        <f t="shared" si="81"/>
        <v>73953.043333333335</v>
      </c>
      <c r="AO140" s="16"/>
      <c r="AP140" s="7"/>
      <c r="AQ140" s="9">
        <v>5</v>
      </c>
      <c r="AR140" s="9">
        <f t="shared" si="112"/>
        <v>347</v>
      </c>
      <c r="AS140" s="7">
        <f t="shared" si="113"/>
        <v>162</v>
      </c>
      <c r="AT140" s="7"/>
      <c r="AU140" s="16"/>
      <c r="AV140" s="7"/>
      <c r="AW140" s="7"/>
      <c r="AX140" s="7"/>
      <c r="AZ140" s="7"/>
      <c r="BA140" s="9">
        <f t="shared" si="79"/>
        <v>50495.157142857257</v>
      </c>
      <c r="BC140" s="5">
        <f t="shared" si="114"/>
        <v>287</v>
      </c>
      <c r="BR140" s="5">
        <v>5201054</v>
      </c>
      <c r="BS140" s="18">
        <f>[1]monsters!$N140</f>
        <v>144</v>
      </c>
      <c r="BT140" s="18">
        <f>[1]monsters!$O140</f>
        <v>14.4</v>
      </c>
      <c r="BU140" s="18">
        <f>[1]monsters!$P140</f>
        <v>1728</v>
      </c>
      <c r="BV140" s="18">
        <f>[1]monsters!$Q140</f>
        <v>172.8</v>
      </c>
      <c r="BW140" s="18">
        <f>[1]monsters!$R140</f>
        <v>36</v>
      </c>
      <c r="BX140" s="18">
        <f>[1]monsters!$S140</f>
        <v>3.6</v>
      </c>
      <c r="BY140" s="18">
        <f>[1]monsters!$K140</f>
        <v>1.5</v>
      </c>
      <c r="BZ140" s="5">
        <f>[1]monsters!$D140</f>
        <v>2</v>
      </c>
      <c r="CA140" s="5">
        <f t="shared" si="115"/>
        <v>0.1</v>
      </c>
      <c r="CB140" s="5">
        <f t="shared" si="116"/>
        <v>194.2618181818182</v>
      </c>
      <c r="CC140" s="5">
        <f t="shared" si="117"/>
        <v>19.426181818181821</v>
      </c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>
        <v>0</v>
      </c>
      <c r="CR140" s="3" t="b">
        <f t="shared" si="88"/>
        <v>1</v>
      </c>
      <c r="CS140" s="3" t="b">
        <f t="shared" si="89"/>
        <v>1</v>
      </c>
      <c r="CT140" s="3" t="b">
        <f t="shared" si="90"/>
        <v>1</v>
      </c>
      <c r="CU140" s="3" t="b">
        <f t="shared" si="91"/>
        <v>1</v>
      </c>
      <c r="CV140" s="3" t="b">
        <f t="shared" si="92"/>
        <v>1</v>
      </c>
      <c r="CW140" s="3" t="b">
        <f t="shared" si="93"/>
        <v>1</v>
      </c>
      <c r="CX140" s="9" t="str">
        <f t="shared" si="94"/>
        <v>5202063</v>
      </c>
      <c r="CY140" s="9" t="str">
        <f t="shared" si="95"/>
        <v>5202062</v>
      </c>
      <c r="CZ140" s="9" t="str">
        <f t="shared" si="96"/>
        <v>5202063</v>
      </c>
      <c r="DA140" s="9" t="str">
        <f t="shared" si="97"/>
        <v>5401063</v>
      </c>
      <c r="DB140" s="9" t="str">
        <f t="shared" si="98"/>
        <v>5400065</v>
      </c>
      <c r="DC140" s="9" t="str">
        <f t="shared" si="99"/>
        <v>5400065</v>
      </c>
      <c r="DD140" s="9">
        <v>6</v>
      </c>
      <c r="DE140" s="9">
        <v>6</v>
      </c>
      <c r="DF140" s="9">
        <v>6</v>
      </c>
      <c r="DG140" s="9">
        <v>6</v>
      </c>
      <c r="DH140" s="9">
        <v>6</v>
      </c>
      <c r="DI140" s="9">
        <v>6</v>
      </c>
      <c r="DJ140" s="9">
        <v>5</v>
      </c>
      <c r="DK140" s="9">
        <v>5</v>
      </c>
      <c r="DL140" s="9">
        <v>5</v>
      </c>
      <c r="DM140" s="9">
        <v>5</v>
      </c>
      <c r="DN140" s="9">
        <v>5</v>
      </c>
      <c r="DO140" s="9">
        <v>5</v>
      </c>
      <c r="DP140" s="25" t="s">
        <v>208</v>
      </c>
      <c r="DQ140" s="25" t="s">
        <v>200</v>
      </c>
      <c r="DR140" s="25" t="s">
        <v>208</v>
      </c>
      <c r="DS140" s="26" t="s">
        <v>211</v>
      </c>
      <c r="DT140" s="25" t="s">
        <v>210</v>
      </c>
      <c r="DU140" s="25" t="s">
        <v>210</v>
      </c>
      <c r="DV140" s="25">
        <f t="shared" si="100"/>
        <v>1</v>
      </c>
      <c r="DW140" s="25">
        <f t="shared" si="101"/>
        <v>1</v>
      </c>
      <c r="DX140" s="25">
        <f t="shared" si="102"/>
        <v>1</v>
      </c>
      <c r="DY140" s="25">
        <f t="shared" si="103"/>
        <v>2</v>
      </c>
      <c r="DZ140" s="25">
        <f t="shared" si="104"/>
        <v>2</v>
      </c>
      <c r="EA140" s="3">
        <f t="shared" si="105"/>
        <v>2</v>
      </c>
      <c r="EB140" s="35"/>
      <c r="EC140" s="9">
        <v>5200062</v>
      </c>
      <c r="ED140" s="34" t="s">
        <v>199</v>
      </c>
      <c r="EE140" s="8">
        <v>1</v>
      </c>
    </row>
    <row r="141" spans="1:135" ht="13.5" customHeight="1">
      <c r="A141" s="9">
        <v>138</v>
      </c>
      <c r="B141" s="9">
        <v>1</v>
      </c>
      <c r="C141" s="9">
        <v>2001</v>
      </c>
      <c r="D141" s="9">
        <f t="shared" si="78"/>
        <v>550831</v>
      </c>
      <c r="E141" s="9" t="str">
        <f t="shared" si="85"/>
        <v>5202061,5201062,5301061,5501064,5500063,5401062</v>
      </c>
      <c r="F141" s="9" t="str">
        <f t="shared" si="86"/>
        <v>6,6,6,6,6,6</v>
      </c>
      <c r="G141" s="9" t="str">
        <f t="shared" si="87"/>
        <v>309,334,334,334,334,334</v>
      </c>
      <c r="H141" s="9">
        <v>108</v>
      </c>
      <c r="I141" s="9" t="s">
        <v>278</v>
      </c>
      <c r="J141" s="9" t="s">
        <v>279</v>
      </c>
      <c r="K141" s="9" t="s">
        <v>279</v>
      </c>
      <c r="L141" s="9" t="s">
        <v>279</v>
      </c>
      <c r="M141" s="9" t="s">
        <v>289</v>
      </c>
      <c r="O141" s="3">
        <f t="shared" si="84"/>
        <v>550831</v>
      </c>
      <c r="P141" s="9">
        <v>447103.25</v>
      </c>
      <c r="Q141" s="9">
        <v>5202061</v>
      </c>
      <c r="R141" s="9">
        <v>5201062</v>
      </c>
      <c r="S141" s="9">
        <v>5301061</v>
      </c>
      <c r="T141" s="9">
        <v>5501064</v>
      </c>
      <c r="U141" s="9">
        <v>5500063</v>
      </c>
      <c r="V141" s="9">
        <v>5401062</v>
      </c>
      <c r="W141" s="9">
        <v>6</v>
      </c>
      <c r="X141" s="9">
        <v>6</v>
      </c>
      <c r="Y141" s="9">
        <v>6</v>
      </c>
      <c r="Z141" s="9">
        <v>6</v>
      </c>
      <c r="AA141" s="9">
        <v>6</v>
      </c>
      <c r="AB141" s="9">
        <v>6</v>
      </c>
      <c r="AC141" s="9">
        <f t="shared" si="106"/>
        <v>309</v>
      </c>
      <c r="AD141" s="9">
        <f t="shared" si="107"/>
        <v>334</v>
      </c>
      <c r="AE141" s="9">
        <f t="shared" si="108"/>
        <v>334</v>
      </c>
      <c r="AF141" s="9">
        <f t="shared" si="109"/>
        <v>334</v>
      </c>
      <c r="AG141" s="9">
        <f t="shared" si="110"/>
        <v>334</v>
      </c>
      <c r="AH141" s="9">
        <f t="shared" si="111"/>
        <v>334</v>
      </c>
      <c r="AI141" s="7">
        <f t="shared" si="82"/>
        <v>74517.208333333328</v>
      </c>
      <c r="AJ141" s="7">
        <f t="shared" si="81"/>
        <v>74517.208333333328</v>
      </c>
      <c r="AK141" s="7">
        <f t="shared" si="81"/>
        <v>74517.208333333328</v>
      </c>
      <c r="AL141" s="7">
        <f t="shared" si="81"/>
        <v>74517.208333333328</v>
      </c>
      <c r="AM141" s="7">
        <f t="shared" si="81"/>
        <v>74517.208333333328</v>
      </c>
      <c r="AN141" s="7">
        <f t="shared" si="81"/>
        <v>74517.208333333328</v>
      </c>
      <c r="AO141" s="16"/>
      <c r="AP141" s="7"/>
      <c r="AQ141" s="9">
        <v>5</v>
      </c>
      <c r="AR141" s="9">
        <f t="shared" si="112"/>
        <v>349</v>
      </c>
      <c r="AS141" s="7">
        <f t="shared" si="113"/>
        <v>163</v>
      </c>
      <c r="AT141" s="7"/>
      <c r="AU141" s="16"/>
      <c r="AV141" s="7"/>
      <c r="AW141" s="7"/>
      <c r="AX141" s="7"/>
      <c r="AZ141" s="7"/>
      <c r="BA141" s="9">
        <f t="shared" si="79"/>
        <v>51017.914285714403</v>
      </c>
      <c r="BC141" s="5">
        <f t="shared" si="114"/>
        <v>288</v>
      </c>
      <c r="BR141" s="5">
        <v>5300054</v>
      </c>
      <c r="BS141" s="18">
        <f>[1]monsters!$N141</f>
        <v>138.24</v>
      </c>
      <c r="BT141" s="18">
        <f>[1]monsters!$O141</f>
        <v>13.82</v>
      </c>
      <c r="BU141" s="18">
        <f>[1]monsters!$P141</f>
        <v>2160</v>
      </c>
      <c r="BV141" s="18">
        <f>[1]monsters!$Q141</f>
        <v>216</v>
      </c>
      <c r="BW141" s="18">
        <f>[1]monsters!$R141</f>
        <v>46.08</v>
      </c>
      <c r="BX141" s="18">
        <f>[1]monsters!$S141</f>
        <v>4.6100000000000003</v>
      </c>
      <c r="BY141" s="18">
        <f>[1]monsters!$K141</f>
        <v>1.8</v>
      </c>
      <c r="BZ141" s="5">
        <f>[1]monsters!$D141</f>
        <v>2</v>
      </c>
      <c r="CA141" s="5">
        <f t="shared" si="115"/>
        <v>0.1</v>
      </c>
      <c r="CB141" s="5">
        <f t="shared" si="116"/>
        <v>203.36407272727274</v>
      </c>
      <c r="CC141" s="5">
        <f t="shared" si="117"/>
        <v>20.336407272727275</v>
      </c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>
        <v>0</v>
      </c>
      <c r="CR141" s="3" t="b">
        <f t="shared" si="88"/>
        <v>1</v>
      </c>
      <c r="CS141" s="3" t="b">
        <f t="shared" si="89"/>
        <v>1</v>
      </c>
      <c r="CT141" s="3" t="b">
        <f t="shared" si="90"/>
        <v>1</v>
      </c>
      <c r="CU141" s="3" t="b">
        <f t="shared" si="91"/>
        <v>1</v>
      </c>
      <c r="CV141" s="3" t="b">
        <f t="shared" si="92"/>
        <v>1</v>
      </c>
      <c r="CW141" s="3" t="b">
        <f t="shared" si="93"/>
        <v>1</v>
      </c>
      <c r="CX141" s="9" t="str">
        <f t="shared" si="94"/>
        <v>5202061</v>
      </c>
      <c r="CY141" s="9" t="str">
        <f t="shared" si="95"/>
        <v>5201062</v>
      </c>
      <c r="CZ141" s="9" t="str">
        <f t="shared" si="96"/>
        <v>5301061</v>
      </c>
      <c r="DA141" s="9" t="str">
        <f t="shared" si="97"/>
        <v>5501064</v>
      </c>
      <c r="DB141" s="9" t="str">
        <f t="shared" si="98"/>
        <v>5500063</v>
      </c>
      <c r="DC141" s="9" t="str">
        <f t="shared" si="99"/>
        <v>5401062</v>
      </c>
      <c r="DD141" s="9">
        <v>6</v>
      </c>
      <c r="DE141" s="9">
        <v>6</v>
      </c>
      <c r="DF141" s="9">
        <v>6</v>
      </c>
      <c r="DG141" s="9">
        <v>6</v>
      </c>
      <c r="DH141" s="9">
        <v>6</v>
      </c>
      <c r="DI141" s="9">
        <v>6</v>
      </c>
      <c r="DJ141" s="9">
        <v>5</v>
      </c>
      <c r="DK141" s="9">
        <v>5</v>
      </c>
      <c r="DL141" s="9">
        <v>5</v>
      </c>
      <c r="DM141" s="9">
        <v>5</v>
      </c>
      <c r="DN141" s="9">
        <v>5</v>
      </c>
      <c r="DO141" s="9">
        <v>5</v>
      </c>
      <c r="DP141" s="25" t="s">
        <v>111</v>
      </c>
      <c r="DQ141" s="25" t="s">
        <v>114</v>
      </c>
      <c r="DR141" s="27" t="s">
        <v>107</v>
      </c>
      <c r="DS141" s="26" t="s">
        <v>214</v>
      </c>
      <c r="DT141" s="26" t="s">
        <v>207</v>
      </c>
      <c r="DU141" s="26" t="s">
        <v>202</v>
      </c>
      <c r="DV141" s="26">
        <f t="shared" si="100"/>
        <v>1</v>
      </c>
      <c r="DW141" s="26">
        <f t="shared" si="101"/>
        <v>1</v>
      </c>
      <c r="DX141" s="26">
        <f t="shared" si="102"/>
        <v>1</v>
      </c>
      <c r="DY141" s="26">
        <f t="shared" si="103"/>
        <v>2</v>
      </c>
      <c r="DZ141" s="26">
        <f t="shared" si="104"/>
        <v>2</v>
      </c>
      <c r="EA141" s="3">
        <f t="shared" si="105"/>
        <v>2</v>
      </c>
      <c r="EB141" s="35"/>
      <c r="EC141" s="9">
        <v>5201062</v>
      </c>
      <c r="ED141" s="34" t="s">
        <v>114</v>
      </c>
      <c r="EE141" s="8">
        <v>1</v>
      </c>
    </row>
    <row r="142" spans="1:135" ht="13.5" customHeight="1">
      <c r="A142" s="9">
        <v>139</v>
      </c>
      <c r="B142" s="9">
        <v>1</v>
      </c>
      <c r="C142" s="9">
        <v>2001</v>
      </c>
      <c r="D142" s="9">
        <f t="shared" si="78"/>
        <v>554563</v>
      </c>
      <c r="E142" s="9" t="str">
        <f t="shared" si="85"/>
        <v>5200062,5301062,5202063,5402061,5501065,5500061</v>
      </c>
      <c r="F142" s="9" t="str">
        <f t="shared" si="86"/>
        <v>6,6,6,6,6,6</v>
      </c>
      <c r="G142" s="9" t="str">
        <f t="shared" si="87"/>
        <v>310,335,335,335,335,335</v>
      </c>
      <c r="H142" s="9">
        <v>108</v>
      </c>
      <c r="I142" s="9" t="s">
        <v>278</v>
      </c>
      <c r="J142" s="9" t="s">
        <v>279</v>
      </c>
      <c r="K142" s="9" t="s">
        <v>279</v>
      </c>
      <c r="L142" s="9" t="s">
        <v>279</v>
      </c>
      <c r="M142" s="9" t="s">
        <v>289</v>
      </c>
      <c r="O142" s="3">
        <f t="shared" si="84"/>
        <v>554563</v>
      </c>
      <c r="P142" s="9">
        <v>450132.03</v>
      </c>
      <c r="Q142" s="9">
        <v>5200062</v>
      </c>
      <c r="R142" s="9">
        <v>5301062</v>
      </c>
      <c r="S142" s="9">
        <v>5202063</v>
      </c>
      <c r="T142" s="9">
        <v>5402061</v>
      </c>
      <c r="U142" s="9">
        <v>5501065</v>
      </c>
      <c r="V142" s="9">
        <v>5500061</v>
      </c>
      <c r="W142" s="9">
        <v>6</v>
      </c>
      <c r="X142" s="9">
        <v>6</v>
      </c>
      <c r="Y142" s="9">
        <v>6</v>
      </c>
      <c r="Z142" s="9">
        <v>6</v>
      </c>
      <c r="AA142" s="9">
        <v>6</v>
      </c>
      <c r="AB142" s="9">
        <v>6</v>
      </c>
      <c r="AC142" s="9">
        <f t="shared" si="106"/>
        <v>310</v>
      </c>
      <c r="AD142" s="9">
        <f t="shared" si="107"/>
        <v>335</v>
      </c>
      <c r="AE142" s="9">
        <f t="shared" si="108"/>
        <v>335</v>
      </c>
      <c r="AF142" s="9">
        <f t="shared" si="109"/>
        <v>335</v>
      </c>
      <c r="AG142" s="9">
        <f t="shared" si="110"/>
        <v>335</v>
      </c>
      <c r="AH142" s="9">
        <f t="shared" si="111"/>
        <v>335</v>
      </c>
      <c r="AI142" s="7">
        <f t="shared" si="82"/>
        <v>75022.005000000005</v>
      </c>
      <c r="AJ142" s="7">
        <f t="shared" si="81"/>
        <v>75022.005000000005</v>
      </c>
      <c r="AK142" s="7">
        <f t="shared" si="81"/>
        <v>75022.005000000005</v>
      </c>
      <c r="AL142" s="7">
        <f t="shared" si="81"/>
        <v>75022.005000000005</v>
      </c>
      <c r="AM142" s="7">
        <f t="shared" si="81"/>
        <v>75022.005000000005</v>
      </c>
      <c r="AN142" s="7">
        <f t="shared" si="81"/>
        <v>75022.005000000005</v>
      </c>
      <c r="AO142" s="16"/>
      <c r="AP142" s="7"/>
      <c r="AQ142" s="9">
        <v>5</v>
      </c>
      <c r="AR142" s="9">
        <f t="shared" si="112"/>
        <v>350</v>
      </c>
      <c r="AS142" s="7">
        <f t="shared" si="113"/>
        <v>164</v>
      </c>
      <c r="AT142" s="7"/>
      <c r="AU142" s="16"/>
      <c r="AV142" s="7"/>
      <c r="AW142" s="7"/>
      <c r="AX142" s="7"/>
      <c r="AZ142" s="7"/>
      <c r="BA142" s="9">
        <f t="shared" si="79"/>
        <v>51540.67142857155</v>
      </c>
      <c r="BC142" s="5">
        <f t="shared" si="114"/>
        <v>289</v>
      </c>
      <c r="BR142" s="5">
        <v>5301054</v>
      </c>
      <c r="BS142" s="18">
        <f>[1]monsters!$N142</f>
        <v>155.52000000000001</v>
      </c>
      <c r="BT142" s="18">
        <f>[1]monsters!$O142</f>
        <v>15.55</v>
      </c>
      <c r="BU142" s="18">
        <f>[1]monsters!$P142</f>
        <v>1920</v>
      </c>
      <c r="BV142" s="18">
        <f>[1]monsters!$Q142</f>
        <v>192</v>
      </c>
      <c r="BW142" s="18">
        <f>[1]monsters!$R142</f>
        <v>31.1</v>
      </c>
      <c r="BX142" s="18">
        <f>[1]monsters!$S142</f>
        <v>3.11</v>
      </c>
      <c r="BY142" s="18">
        <f>[1]monsters!$K142</f>
        <v>1.8</v>
      </c>
      <c r="BZ142" s="5">
        <f>[1]monsters!$D142</f>
        <v>2</v>
      </c>
      <c r="CA142" s="5">
        <f t="shared" si="115"/>
        <v>0.1</v>
      </c>
      <c r="CB142" s="5">
        <f t="shared" si="116"/>
        <v>211.61286464646466</v>
      </c>
      <c r="CC142" s="5">
        <f t="shared" si="117"/>
        <v>21.161286464646466</v>
      </c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>
        <v>0</v>
      </c>
      <c r="CR142" s="3" t="b">
        <f t="shared" si="88"/>
        <v>1</v>
      </c>
      <c r="CS142" s="3" t="b">
        <f t="shared" si="89"/>
        <v>1</v>
      </c>
      <c r="CT142" s="3" t="b">
        <f t="shared" si="90"/>
        <v>1</v>
      </c>
      <c r="CU142" s="3" t="b">
        <f t="shared" si="91"/>
        <v>1</v>
      </c>
      <c r="CV142" s="3" t="b">
        <f t="shared" si="92"/>
        <v>1</v>
      </c>
      <c r="CW142" s="3" t="b">
        <f t="shared" si="93"/>
        <v>1</v>
      </c>
      <c r="CX142" s="9" t="str">
        <f t="shared" si="94"/>
        <v>5200062</v>
      </c>
      <c r="CY142" s="9" t="str">
        <f t="shared" si="95"/>
        <v>5301062</v>
      </c>
      <c r="CZ142" s="9" t="str">
        <f t="shared" si="96"/>
        <v>5202063</v>
      </c>
      <c r="DA142" s="9" t="str">
        <f t="shared" si="97"/>
        <v>5402061</v>
      </c>
      <c r="DB142" s="9" t="str">
        <f t="shared" si="98"/>
        <v>5501065</v>
      </c>
      <c r="DC142" s="9" t="str">
        <f t="shared" si="99"/>
        <v>5500061</v>
      </c>
      <c r="DD142" s="9">
        <v>6</v>
      </c>
      <c r="DE142" s="9">
        <v>6</v>
      </c>
      <c r="DF142" s="9">
        <v>6</v>
      </c>
      <c r="DG142" s="9">
        <v>6</v>
      </c>
      <c r="DH142" s="9">
        <v>6</v>
      </c>
      <c r="DI142" s="9">
        <v>6</v>
      </c>
      <c r="DJ142" s="9">
        <v>5</v>
      </c>
      <c r="DK142" s="9">
        <v>5</v>
      </c>
      <c r="DL142" s="9">
        <v>5</v>
      </c>
      <c r="DM142" s="9">
        <v>5</v>
      </c>
      <c r="DN142" s="9">
        <v>5</v>
      </c>
      <c r="DO142" s="9">
        <v>5</v>
      </c>
      <c r="DP142" s="25" t="s">
        <v>199</v>
      </c>
      <c r="DQ142" s="26" t="s">
        <v>201</v>
      </c>
      <c r="DR142" s="25" t="s">
        <v>208</v>
      </c>
      <c r="DS142" s="26" t="s">
        <v>196</v>
      </c>
      <c r="DT142" s="26" t="s">
        <v>209</v>
      </c>
      <c r="DU142" s="28" t="s">
        <v>197</v>
      </c>
      <c r="DV142" s="28">
        <f t="shared" si="100"/>
        <v>1</v>
      </c>
      <c r="DW142" s="28">
        <f t="shared" si="101"/>
        <v>1</v>
      </c>
      <c r="DX142" s="28">
        <f t="shared" si="102"/>
        <v>1</v>
      </c>
      <c r="DY142" s="28">
        <f t="shared" si="103"/>
        <v>2</v>
      </c>
      <c r="DZ142" s="28">
        <f t="shared" si="104"/>
        <v>2</v>
      </c>
      <c r="EA142" s="3">
        <f t="shared" si="105"/>
        <v>2</v>
      </c>
      <c r="EB142" s="35"/>
      <c r="EC142" s="9">
        <v>5202062</v>
      </c>
      <c r="ED142" s="34" t="s">
        <v>200</v>
      </c>
      <c r="EE142" s="8">
        <v>1</v>
      </c>
    </row>
    <row r="143" spans="1:135" ht="13.5" customHeight="1">
      <c r="A143" s="9">
        <v>140</v>
      </c>
      <c r="B143" s="9">
        <v>1</v>
      </c>
      <c r="C143" s="9">
        <v>2001</v>
      </c>
      <c r="D143" s="9">
        <f t="shared" si="78"/>
        <v>558309</v>
      </c>
      <c r="E143" s="9" t="str">
        <f t="shared" si="85"/>
        <v>5200061,5201062,5202063,5402063,5402062,5402063</v>
      </c>
      <c r="F143" s="9" t="str">
        <f t="shared" si="86"/>
        <v>6,6,6,6,6,6</v>
      </c>
      <c r="G143" s="9" t="str">
        <f t="shared" si="87"/>
        <v>311,337,337,337,337,337</v>
      </c>
      <c r="H143" s="9">
        <v>109</v>
      </c>
      <c r="I143" s="9" t="s">
        <v>278</v>
      </c>
      <c r="J143" s="9" t="s">
        <v>279</v>
      </c>
      <c r="K143" s="9" t="s">
        <v>279</v>
      </c>
      <c r="L143" s="9" t="s">
        <v>279</v>
      </c>
      <c r="M143" s="9" t="s">
        <v>289</v>
      </c>
      <c r="O143" s="3">
        <f t="shared" si="84"/>
        <v>558309</v>
      </c>
      <c r="P143" s="9">
        <v>453172.75</v>
      </c>
      <c r="Q143" s="9">
        <v>5200061</v>
      </c>
      <c r="R143" s="9">
        <v>5201062</v>
      </c>
      <c r="S143" s="9">
        <v>5202063</v>
      </c>
      <c r="T143" s="9">
        <v>5402063</v>
      </c>
      <c r="U143" s="9">
        <v>5402062</v>
      </c>
      <c r="V143" s="9">
        <v>5402063</v>
      </c>
      <c r="W143" s="9">
        <v>6</v>
      </c>
      <c r="X143" s="9">
        <v>6</v>
      </c>
      <c r="Y143" s="9">
        <v>6</v>
      </c>
      <c r="Z143" s="9">
        <v>6</v>
      </c>
      <c r="AA143" s="9">
        <v>6</v>
      </c>
      <c r="AB143" s="9">
        <v>6</v>
      </c>
      <c r="AC143" s="9">
        <f t="shared" si="106"/>
        <v>311</v>
      </c>
      <c r="AD143" s="9">
        <f t="shared" si="107"/>
        <v>337</v>
      </c>
      <c r="AE143" s="9">
        <f t="shared" si="108"/>
        <v>337</v>
      </c>
      <c r="AF143" s="9">
        <f t="shared" si="109"/>
        <v>337</v>
      </c>
      <c r="AG143" s="9">
        <f t="shared" si="110"/>
        <v>337</v>
      </c>
      <c r="AH143" s="9">
        <f t="shared" si="111"/>
        <v>337</v>
      </c>
      <c r="AI143" s="7">
        <f t="shared" si="82"/>
        <v>75528.791666666672</v>
      </c>
      <c r="AJ143" s="7">
        <f t="shared" si="81"/>
        <v>75528.791666666672</v>
      </c>
      <c r="AK143" s="7">
        <f t="shared" si="81"/>
        <v>75528.791666666672</v>
      </c>
      <c r="AL143" s="7">
        <f t="shared" si="81"/>
        <v>75528.791666666672</v>
      </c>
      <c r="AM143" s="7">
        <f t="shared" si="81"/>
        <v>75528.791666666672</v>
      </c>
      <c r="AN143" s="7">
        <f t="shared" si="81"/>
        <v>75528.791666666672</v>
      </c>
      <c r="AO143" s="16"/>
      <c r="AP143" s="7"/>
      <c r="AQ143" s="9">
        <v>5</v>
      </c>
      <c r="AR143" s="9">
        <f t="shared" si="112"/>
        <v>351</v>
      </c>
      <c r="AS143" s="7">
        <f t="shared" si="113"/>
        <v>165</v>
      </c>
      <c r="AT143" s="7"/>
      <c r="AU143" s="16"/>
      <c r="AV143" s="7"/>
      <c r="AW143" s="7"/>
      <c r="AX143" s="7"/>
      <c r="AZ143" s="7"/>
      <c r="BA143" s="9">
        <f t="shared" si="79"/>
        <v>52063.428571428696</v>
      </c>
      <c r="BC143" s="5">
        <f t="shared" si="114"/>
        <v>290</v>
      </c>
      <c r="BR143" s="5">
        <v>5401054</v>
      </c>
      <c r="BS143" s="18">
        <f>[1]monsters!$N143</f>
        <v>103.68</v>
      </c>
      <c r="BT143" s="18">
        <f>[1]monsters!$O143</f>
        <v>10.37</v>
      </c>
      <c r="BU143" s="18">
        <f>[1]monsters!$P143</f>
        <v>1920</v>
      </c>
      <c r="BV143" s="18">
        <f>[1]monsters!$Q143</f>
        <v>192</v>
      </c>
      <c r="BW143" s="18">
        <f>[1]monsters!$R143</f>
        <v>20.74</v>
      </c>
      <c r="BX143" s="18">
        <f>[1]monsters!$S143</f>
        <v>2.0699999999999998</v>
      </c>
      <c r="BY143" s="18">
        <f>[1]monsters!$K143</f>
        <v>1.2</v>
      </c>
      <c r="BZ143" s="5">
        <f>[1]monsters!$D143</f>
        <v>3</v>
      </c>
      <c r="CA143" s="5">
        <f t="shared" si="115"/>
        <v>0.1</v>
      </c>
      <c r="CB143" s="5">
        <f t="shared" si="116"/>
        <v>162.62406464646466</v>
      </c>
      <c r="CC143" s="5">
        <f t="shared" si="117"/>
        <v>16.262406464646467</v>
      </c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>
        <v>1</v>
      </c>
      <c r="CR143" s="3" t="b">
        <f t="shared" si="88"/>
        <v>1</v>
      </c>
      <c r="CS143" s="3" t="b">
        <f t="shared" si="89"/>
        <v>1</v>
      </c>
      <c r="CT143" s="3" t="b">
        <f t="shared" si="90"/>
        <v>1</v>
      </c>
      <c r="CU143" s="3" t="b">
        <f t="shared" si="91"/>
        <v>1</v>
      </c>
      <c r="CV143" s="3" t="b">
        <f t="shared" si="92"/>
        <v>1</v>
      </c>
      <c r="CW143" s="3" t="b">
        <f t="shared" si="93"/>
        <v>1</v>
      </c>
      <c r="CX143" s="9" t="str">
        <f t="shared" si="94"/>
        <v>5200061</v>
      </c>
      <c r="CY143" s="9" t="str">
        <f t="shared" si="95"/>
        <v>5201062</v>
      </c>
      <c r="CZ143" s="9" t="str">
        <f t="shared" si="96"/>
        <v>5202063</v>
      </c>
      <c r="DA143" s="9" t="str">
        <f t="shared" si="97"/>
        <v>5402063</v>
      </c>
      <c r="DB143" s="9" t="str">
        <f t="shared" si="98"/>
        <v>5402062</v>
      </c>
      <c r="DC143" s="9" t="str">
        <f t="shared" si="99"/>
        <v>5402063</v>
      </c>
      <c r="DD143" s="9">
        <v>6</v>
      </c>
      <c r="DE143" s="9">
        <v>6</v>
      </c>
      <c r="DF143" s="9">
        <v>6</v>
      </c>
      <c r="DG143" s="9">
        <v>6</v>
      </c>
      <c r="DH143" s="9">
        <v>6</v>
      </c>
      <c r="DI143" s="9">
        <v>6</v>
      </c>
      <c r="DJ143" s="9">
        <v>5</v>
      </c>
      <c r="DK143" s="9">
        <v>5</v>
      </c>
      <c r="DL143" s="9">
        <v>5</v>
      </c>
      <c r="DM143" s="9">
        <v>5</v>
      </c>
      <c r="DN143" s="9">
        <v>5</v>
      </c>
      <c r="DO143" s="9">
        <v>5</v>
      </c>
      <c r="DP143" s="25" t="s">
        <v>194</v>
      </c>
      <c r="DQ143" s="27" t="s">
        <v>114</v>
      </c>
      <c r="DR143" s="27" t="s">
        <v>208</v>
      </c>
      <c r="DS143" s="26" t="s">
        <v>118</v>
      </c>
      <c r="DT143" s="26" t="s">
        <v>203</v>
      </c>
      <c r="DU143" s="26" t="s">
        <v>118</v>
      </c>
      <c r="DV143" s="26">
        <f t="shared" si="100"/>
        <v>1</v>
      </c>
      <c r="DW143" s="26">
        <f t="shared" si="101"/>
        <v>1</v>
      </c>
      <c r="DX143" s="26">
        <f t="shared" si="102"/>
        <v>1</v>
      </c>
      <c r="DY143" s="26">
        <f t="shared" si="103"/>
        <v>2</v>
      </c>
      <c r="DZ143" s="26">
        <f t="shared" si="104"/>
        <v>2</v>
      </c>
      <c r="EA143" s="3">
        <f t="shared" si="105"/>
        <v>2</v>
      </c>
      <c r="EB143" s="35"/>
      <c r="EC143" s="9">
        <v>5301062</v>
      </c>
      <c r="ED143" s="34" t="s">
        <v>201</v>
      </c>
      <c r="EE143" s="8">
        <v>1</v>
      </c>
    </row>
    <row r="144" spans="1:135" ht="13.5" customHeight="1">
      <c r="A144" s="9">
        <v>141</v>
      </c>
      <c r="B144" s="9">
        <v>1</v>
      </c>
      <c r="C144" s="9">
        <v>2001</v>
      </c>
      <c r="D144" s="9">
        <f t="shared" si="78"/>
        <v>562067</v>
      </c>
      <c r="E144" s="9" t="str">
        <f t="shared" si="85"/>
        <v>5202061,5201062,5301063,5502061,5500061,5401061</v>
      </c>
      <c r="F144" s="9" t="str">
        <f t="shared" si="86"/>
        <v>6,6,6,6,6,6</v>
      </c>
      <c r="G144" s="9" t="str">
        <f t="shared" si="87"/>
        <v>312,338,338,338,338,338</v>
      </c>
      <c r="H144" s="9">
        <v>111</v>
      </c>
      <c r="I144" s="9" t="s">
        <v>278</v>
      </c>
      <c r="J144" s="9" t="s">
        <v>279</v>
      </c>
      <c r="K144" s="9" t="s">
        <v>279</v>
      </c>
      <c r="L144" s="9" t="s">
        <v>279</v>
      </c>
      <c r="M144" s="9" t="s">
        <v>289</v>
      </c>
      <c r="O144" s="3">
        <f t="shared" si="84"/>
        <v>562067</v>
      </c>
      <c r="P144" s="9">
        <v>456223.42</v>
      </c>
      <c r="Q144" s="9">
        <v>5202061</v>
      </c>
      <c r="R144" s="9">
        <v>5201062</v>
      </c>
      <c r="S144" s="9">
        <v>5301063</v>
      </c>
      <c r="T144" s="9">
        <v>5502061</v>
      </c>
      <c r="U144" s="9">
        <v>5500061</v>
      </c>
      <c r="V144" s="9">
        <v>5401061</v>
      </c>
      <c r="W144" s="9">
        <v>6</v>
      </c>
      <c r="X144" s="9">
        <v>6</v>
      </c>
      <c r="Y144" s="9">
        <v>6</v>
      </c>
      <c r="Z144" s="9">
        <v>6</v>
      </c>
      <c r="AA144" s="9">
        <v>6</v>
      </c>
      <c r="AB144" s="9">
        <v>6</v>
      </c>
      <c r="AC144" s="9">
        <f t="shared" si="106"/>
        <v>312</v>
      </c>
      <c r="AD144" s="9">
        <f t="shared" si="107"/>
        <v>338</v>
      </c>
      <c r="AE144" s="9">
        <f t="shared" si="108"/>
        <v>338</v>
      </c>
      <c r="AF144" s="9">
        <f t="shared" si="109"/>
        <v>338</v>
      </c>
      <c r="AG144" s="9">
        <f t="shared" si="110"/>
        <v>338</v>
      </c>
      <c r="AH144" s="9">
        <f t="shared" si="111"/>
        <v>338</v>
      </c>
      <c r="AI144" s="7">
        <f t="shared" si="82"/>
        <v>76037.236666666664</v>
      </c>
      <c r="AJ144" s="7">
        <f t="shared" si="81"/>
        <v>76037.236666666664</v>
      </c>
      <c r="AK144" s="7">
        <f t="shared" si="81"/>
        <v>76037.236666666664</v>
      </c>
      <c r="AL144" s="7">
        <f t="shared" si="81"/>
        <v>76037.236666666664</v>
      </c>
      <c r="AM144" s="7">
        <f t="shared" si="81"/>
        <v>76037.236666666664</v>
      </c>
      <c r="AN144" s="7">
        <f t="shared" si="81"/>
        <v>76037.236666666664</v>
      </c>
      <c r="AO144" s="16"/>
      <c r="AP144" s="7"/>
      <c r="AQ144" s="9">
        <v>5</v>
      </c>
      <c r="AR144" s="9">
        <f t="shared" si="112"/>
        <v>352</v>
      </c>
      <c r="AS144" s="7">
        <f t="shared" si="113"/>
        <v>166</v>
      </c>
      <c r="AT144" s="7"/>
      <c r="AU144" s="16"/>
      <c r="AV144" s="7"/>
      <c r="AW144" s="7"/>
      <c r="AX144" s="7"/>
      <c r="AZ144" s="7"/>
      <c r="BA144" s="9">
        <f t="shared" si="79"/>
        <v>52586.185714285843</v>
      </c>
      <c r="BC144" s="5">
        <f t="shared" si="114"/>
        <v>291</v>
      </c>
      <c r="BR144" s="5">
        <v>5402054</v>
      </c>
      <c r="BS144" s="18">
        <f>[1]monsters!$N144</f>
        <v>184.32</v>
      </c>
      <c r="BT144" s="18">
        <f>[1]monsters!$O144</f>
        <v>18.43</v>
      </c>
      <c r="BU144" s="18">
        <f>[1]monsters!$P144</f>
        <v>1440</v>
      </c>
      <c r="BV144" s="18">
        <f>[1]monsters!$Q144</f>
        <v>144</v>
      </c>
      <c r="BW144" s="18">
        <f>[1]monsters!$R144</f>
        <v>26.33</v>
      </c>
      <c r="BX144" s="18">
        <f>[1]monsters!$S144</f>
        <v>2.63</v>
      </c>
      <c r="BY144" s="18">
        <f>[1]monsters!$K144</f>
        <v>1.6</v>
      </c>
      <c r="BZ144" s="5">
        <f>[1]monsters!$D144</f>
        <v>4</v>
      </c>
      <c r="CA144" s="5">
        <f t="shared" si="115"/>
        <v>0.1</v>
      </c>
      <c r="CB144" s="5">
        <f t="shared" si="116"/>
        <v>222.66724848484847</v>
      </c>
      <c r="CC144" s="5">
        <f t="shared" si="117"/>
        <v>22.266724848484849</v>
      </c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>
        <v>0</v>
      </c>
      <c r="CR144" s="3" t="b">
        <f t="shared" si="88"/>
        <v>1</v>
      </c>
      <c r="CS144" s="3" t="b">
        <f t="shared" si="89"/>
        <v>1</v>
      </c>
      <c r="CT144" s="3" t="b">
        <f t="shared" si="90"/>
        <v>1</v>
      </c>
      <c r="CU144" s="3" t="b">
        <f t="shared" si="91"/>
        <v>1</v>
      </c>
      <c r="CV144" s="3" t="b">
        <f t="shared" si="92"/>
        <v>1</v>
      </c>
      <c r="CW144" s="3" t="b">
        <f t="shared" si="93"/>
        <v>1</v>
      </c>
      <c r="CX144" s="9" t="str">
        <f t="shared" si="94"/>
        <v>5202061</v>
      </c>
      <c r="CY144" s="9" t="str">
        <f t="shared" si="95"/>
        <v>5201062</v>
      </c>
      <c r="CZ144" s="9" t="str">
        <f t="shared" si="96"/>
        <v>5301063</v>
      </c>
      <c r="DA144" s="9" t="str">
        <f t="shared" si="97"/>
        <v>5502061</v>
      </c>
      <c r="DB144" s="9" t="str">
        <f t="shared" si="98"/>
        <v>5500061</v>
      </c>
      <c r="DC144" s="9" t="str">
        <f t="shared" si="99"/>
        <v>5401061</v>
      </c>
      <c r="DD144" s="9">
        <v>6</v>
      </c>
      <c r="DE144" s="9">
        <v>6</v>
      </c>
      <c r="DF144" s="9">
        <v>6</v>
      </c>
      <c r="DG144" s="9">
        <v>6</v>
      </c>
      <c r="DH144" s="9">
        <v>6</v>
      </c>
      <c r="DI144" s="9">
        <v>6</v>
      </c>
      <c r="DJ144" s="9">
        <v>5</v>
      </c>
      <c r="DK144" s="9">
        <v>5</v>
      </c>
      <c r="DL144" s="9">
        <v>5</v>
      </c>
      <c r="DM144" s="9">
        <v>5</v>
      </c>
      <c r="DN144" s="9">
        <v>5</v>
      </c>
      <c r="DO144" s="9">
        <v>5</v>
      </c>
      <c r="DP144" s="25" t="s">
        <v>111</v>
      </c>
      <c r="DQ144" s="25" t="s">
        <v>114</v>
      </c>
      <c r="DR144" s="25" t="s">
        <v>206</v>
      </c>
      <c r="DS144" s="25" t="s">
        <v>119</v>
      </c>
      <c r="DT144" s="25" t="s">
        <v>197</v>
      </c>
      <c r="DU144" s="25" t="s">
        <v>117</v>
      </c>
      <c r="DV144" s="25">
        <f t="shared" si="100"/>
        <v>1</v>
      </c>
      <c r="DW144" s="25">
        <f t="shared" si="101"/>
        <v>1</v>
      </c>
      <c r="DX144" s="25">
        <f t="shared" si="102"/>
        <v>1</v>
      </c>
      <c r="DY144" s="25">
        <f t="shared" si="103"/>
        <v>2</v>
      </c>
      <c r="DZ144" s="25">
        <f t="shared" si="104"/>
        <v>2</v>
      </c>
      <c r="EA144" s="3">
        <f t="shared" si="105"/>
        <v>2</v>
      </c>
      <c r="EB144" s="35"/>
      <c r="EC144" s="9">
        <v>5401062</v>
      </c>
      <c r="ED144" s="34" t="s">
        <v>202</v>
      </c>
      <c r="EE144" s="8">
        <v>2</v>
      </c>
    </row>
    <row r="145" spans="1:135" ht="13.5" customHeight="1">
      <c r="A145" s="9">
        <v>142</v>
      </c>
      <c r="B145" s="9">
        <v>1</v>
      </c>
      <c r="C145" s="9">
        <v>2001</v>
      </c>
      <c r="D145" s="9">
        <f t="shared" ref="D145:D208" si="118">O145</f>
        <v>565838</v>
      </c>
      <c r="E145" s="9" t="str">
        <f t="shared" si="85"/>
        <v>5200062,5200063,5200061,5502062,5500062,5502061</v>
      </c>
      <c r="F145" s="9" t="str">
        <f t="shared" si="86"/>
        <v>6,6,6,6,6,6</v>
      </c>
      <c r="G145" s="9" t="str">
        <f t="shared" si="87"/>
        <v>313,339,339,339,339,339</v>
      </c>
      <c r="H145" s="9">
        <v>111</v>
      </c>
      <c r="I145" s="9" t="s">
        <v>278</v>
      </c>
      <c r="J145" s="9" t="s">
        <v>279</v>
      </c>
      <c r="K145" s="9" t="s">
        <v>279</v>
      </c>
      <c r="L145" s="9" t="s">
        <v>279</v>
      </c>
      <c r="M145" s="9" t="s">
        <v>289</v>
      </c>
      <c r="O145" s="3">
        <f t="shared" si="84"/>
        <v>565838</v>
      </c>
      <c r="P145" s="9">
        <v>459284.04</v>
      </c>
      <c r="Q145" s="9">
        <v>5200062</v>
      </c>
      <c r="R145" s="9">
        <v>5200063</v>
      </c>
      <c r="S145" s="9">
        <v>5200061</v>
      </c>
      <c r="T145" s="9">
        <v>5502062</v>
      </c>
      <c r="U145" s="9">
        <v>5500062</v>
      </c>
      <c r="V145" s="9">
        <v>5502061</v>
      </c>
      <c r="W145" s="9">
        <v>6</v>
      </c>
      <c r="X145" s="9">
        <v>6</v>
      </c>
      <c r="Y145" s="9">
        <v>6</v>
      </c>
      <c r="Z145" s="9">
        <v>6</v>
      </c>
      <c r="AA145" s="9">
        <v>6</v>
      </c>
      <c r="AB145" s="9">
        <v>6</v>
      </c>
      <c r="AC145" s="9">
        <f t="shared" si="106"/>
        <v>313</v>
      </c>
      <c r="AD145" s="9">
        <f t="shared" si="107"/>
        <v>339</v>
      </c>
      <c r="AE145" s="9">
        <f t="shared" si="108"/>
        <v>339</v>
      </c>
      <c r="AF145" s="9">
        <f t="shared" si="109"/>
        <v>339</v>
      </c>
      <c r="AG145" s="9">
        <f t="shared" si="110"/>
        <v>339</v>
      </c>
      <c r="AH145" s="9">
        <f t="shared" si="111"/>
        <v>339</v>
      </c>
      <c r="AI145" s="7">
        <f t="shared" si="82"/>
        <v>76547.34</v>
      </c>
      <c r="AJ145" s="7">
        <f t="shared" si="81"/>
        <v>76547.34</v>
      </c>
      <c r="AK145" s="7">
        <f t="shared" si="81"/>
        <v>76547.34</v>
      </c>
      <c r="AL145" s="7">
        <f t="shared" si="81"/>
        <v>76547.34</v>
      </c>
      <c r="AM145" s="7">
        <f t="shared" si="81"/>
        <v>76547.34</v>
      </c>
      <c r="AN145" s="7">
        <f t="shared" si="81"/>
        <v>76547.34</v>
      </c>
      <c r="AO145" s="16"/>
      <c r="AP145" s="7"/>
      <c r="AQ145" s="9">
        <v>5</v>
      </c>
      <c r="AR145" s="9">
        <f t="shared" si="112"/>
        <v>353</v>
      </c>
      <c r="AS145" s="7">
        <f t="shared" si="113"/>
        <v>167</v>
      </c>
      <c r="AT145" s="7"/>
      <c r="AU145" s="16"/>
      <c r="AV145" s="7"/>
      <c r="AW145" s="7"/>
      <c r="AX145" s="7"/>
      <c r="AZ145" s="7"/>
      <c r="BA145" s="9">
        <f t="shared" si="79"/>
        <v>53108.942857142989</v>
      </c>
      <c r="BC145" s="5">
        <f t="shared" si="114"/>
        <v>292</v>
      </c>
      <c r="BR145" s="5">
        <v>5501054</v>
      </c>
      <c r="BS145" s="18">
        <f>[1]monsters!$N145</f>
        <v>172.8</v>
      </c>
      <c r="BT145" s="18">
        <f>[1]monsters!$O145</f>
        <v>17.28</v>
      </c>
      <c r="BU145" s="18">
        <f>[1]monsters!$P145</f>
        <v>1440</v>
      </c>
      <c r="BV145" s="18">
        <f>[1]monsters!$Q145</f>
        <v>144</v>
      </c>
      <c r="BW145" s="18">
        <f>[1]monsters!$R145</f>
        <v>24.69</v>
      </c>
      <c r="BX145" s="18">
        <f>[1]monsters!$S145</f>
        <v>2.4700000000000002</v>
      </c>
      <c r="BY145" s="18">
        <f>[1]monsters!$K145</f>
        <v>1.5</v>
      </c>
      <c r="BZ145" s="5">
        <f>[1]monsters!$D145</f>
        <v>4</v>
      </c>
      <c r="CA145" s="5">
        <f t="shared" si="115"/>
        <v>0.1</v>
      </c>
      <c r="CB145" s="5">
        <f t="shared" si="116"/>
        <v>211.78084848484849</v>
      </c>
      <c r="CC145" s="5">
        <f t="shared" si="117"/>
        <v>21.178084848484851</v>
      </c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>
        <v>0</v>
      </c>
      <c r="CR145" s="3" t="b">
        <f t="shared" si="88"/>
        <v>1</v>
      </c>
      <c r="CS145" s="3" t="b">
        <f t="shared" si="89"/>
        <v>1</v>
      </c>
      <c r="CT145" s="3" t="b">
        <f t="shared" si="90"/>
        <v>1</v>
      </c>
      <c r="CU145" s="3" t="b">
        <f t="shared" si="91"/>
        <v>1</v>
      </c>
      <c r="CV145" s="3" t="b">
        <f t="shared" si="92"/>
        <v>1</v>
      </c>
      <c r="CW145" s="3" t="b">
        <f t="shared" si="93"/>
        <v>1</v>
      </c>
      <c r="CX145" s="9" t="str">
        <f t="shared" si="94"/>
        <v>5200062</v>
      </c>
      <c r="CY145" s="9" t="str">
        <f t="shared" si="95"/>
        <v>5200063</v>
      </c>
      <c r="CZ145" s="9" t="str">
        <f t="shared" si="96"/>
        <v>5200061</v>
      </c>
      <c r="DA145" s="9" t="str">
        <f t="shared" si="97"/>
        <v>5502062</v>
      </c>
      <c r="DB145" s="9" t="str">
        <f t="shared" si="98"/>
        <v>5500062</v>
      </c>
      <c r="DC145" s="9" t="str">
        <f t="shared" si="99"/>
        <v>5502061</v>
      </c>
      <c r="DD145" s="9">
        <v>6</v>
      </c>
      <c r="DE145" s="9">
        <v>6</v>
      </c>
      <c r="DF145" s="9">
        <v>6</v>
      </c>
      <c r="DG145" s="9">
        <v>6</v>
      </c>
      <c r="DH145" s="9">
        <v>6</v>
      </c>
      <c r="DI145" s="9">
        <v>6</v>
      </c>
      <c r="DJ145" s="9">
        <v>5</v>
      </c>
      <c r="DK145" s="9">
        <v>5</v>
      </c>
      <c r="DL145" s="9">
        <v>5</v>
      </c>
      <c r="DM145" s="9">
        <v>5</v>
      </c>
      <c r="DN145" s="9">
        <v>5</v>
      </c>
      <c r="DO145" s="9">
        <v>5</v>
      </c>
      <c r="DP145" s="25" t="s">
        <v>199</v>
      </c>
      <c r="DQ145" s="25" t="s">
        <v>113</v>
      </c>
      <c r="DR145" s="27" t="s">
        <v>194</v>
      </c>
      <c r="DS145" s="25" t="s">
        <v>204</v>
      </c>
      <c r="DT145" s="25" t="s">
        <v>109</v>
      </c>
      <c r="DU145" s="25" t="s">
        <v>119</v>
      </c>
      <c r="DV145" s="25">
        <f t="shared" si="100"/>
        <v>1</v>
      </c>
      <c r="DW145" s="25">
        <f t="shared" si="101"/>
        <v>1</v>
      </c>
      <c r="DX145" s="25">
        <f t="shared" si="102"/>
        <v>1</v>
      </c>
      <c r="DY145" s="25">
        <f t="shared" si="103"/>
        <v>2</v>
      </c>
      <c r="DZ145" s="25">
        <f t="shared" si="104"/>
        <v>2</v>
      </c>
      <c r="EA145" s="3">
        <f t="shared" si="105"/>
        <v>2</v>
      </c>
      <c r="EB145" s="35"/>
      <c r="EC145" s="9">
        <v>5402062</v>
      </c>
      <c r="ED145" s="34" t="s">
        <v>203</v>
      </c>
      <c r="EE145" s="8">
        <v>2</v>
      </c>
    </row>
    <row r="146" spans="1:135" ht="13.5" customHeight="1">
      <c r="A146" s="9">
        <v>143</v>
      </c>
      <c r="B146" s="9">
        <v>1</v>
      </c>
      <c r="C146" s="9">
        <v>2001</v>
      </c>
      <c r="D146" s="9">
        <f t="shared" si="118"/>
        <v>570079</v>
      </c>
      <c r="E146" s="9" t="str">
        <f t="shared" si="85"/>
        <v>5202063,5202062,5202061,5401063,5402062,5401063</v>
      </c>
      <c r="F146" s="9" t="str">
        <f t="shared" si="86"/>
        <v>6,6,6,6,6,6</v>
      </c>
      <c r="G146" s="9" t="str">
        <f t="shared" si="87"/>
        <v>314,340,340,340,340,340</v>
      </c>
      <c r="H146" s="9">
        <v>111</v>
      </c>
      <c r="I146" s="9" t="s">
        <v>278</v>
      </c>
      <c r="J146" s="9" t="s">
        <v>279</v>
      </c>
      <c r="K146" s="9" t="s">
        <v>279</v>
      </c>
      <c r="L146" s="9" t="s">
        <v>279</v>
      </c>
      <c r="M146" s="9" t="s">
        <v>289</v>
      </c>
      <c r="O146" s="3">
        <f t="shared" si="84"/>
        <v>570079</v>
      </c>
      <c r="P146" s="9">
        <v>462726.74</v>
      </c>
      <c r="Q146" s="9">
        <v>5202063</v>
      </c>
      <c r="R146" s="9">
        <v>5202062</v>
      </c>
      <c r="S146" s="9">
        <v>5202061</v>
      </c>
      <c r="T146" s="9">
        <v>5401063</v>
      </c>
      <c r="U146" s="9">
        <v>5402062</v>
      </c>
      <c r="V146" s="9">
        <v>5401063</v>
      </c>
      <c r="W146" s="9">
        <v>6</v>
      </c>
      <c r="X146" s="9">
        <v>6</v>
      </c>
      <c r="Y146" s="9">
        <v>6</v>
      </c>
      <c r="Z146" s="9">
        <v>6</v>
      </c>
      <c r="AA146" s="9">
        <v>6</v>
      </c>
      <c r="AB146" s="9">
        <v>6</v>
      </c>
      <c r="AC146" s="9">
        <f t="shared" si="106"/>
        <v>314</v>
      </c>
      <c r="AD146" s="9">
        <f t="shared" si="107"/>
        <v>340</v>
      </c>
      <c r="AE146" s="9">
        <f t="shared" si="108"/>
        <v>340</v>
      </c>
      <c r="AF146" s="9">
        <f t="shared" si="109"/>
        <v>340</v>
      </c>
      <c r="AG146" s="9">
        <f t="shared" si="110"/>
        <v>340</v>
      </c>
      <c r="AH146" s="9">
        <f t="shared" si="111"/>
        <v>340</v>
      </c>
      <c r="AI146" s="7">
        <f t="shared" si="82"/>
        <v>77121.123333333337</v>
      </c>
      <c r="AJ146" s="7">
        <f t="shared" si="81"/>
        <v>77121.123333333337</v>
      </c>
      <c r="AK146" s="7">
        <f t="shared" si="81"/>
        <v>77121.123333333337</v>
      </c>
      <c r="AL146" s="7">
        <f t="shared" si="81"/>
        <v>77121.123333333337</v>
      </c>
      <c r="AM146" s="7">
        <f t="shared" si="81"/>
        <v>77121.123333333337</v>
      </c>
      <c r="AN146" s="7">
        <f t="shared" si="81"/>
        <v>77121.123333333337</v>
      </c>
      <c r="AO146" s="16"/>
      <c r="AP146" s="7"/>
      <c r="AQ146" s="9">
        <v>5</v>
      </c>
      <c r="AR146" s="9">
        <f t="shared" si="112"/>
        <v>355</v>
      </c>
      <c r="AS146" s="7">
        <f t="shared" si="113"/>
        <v>168</v>
      </c>
      <c r="AT146" s="7"/>
      <c r="AU146" s="16"/>
      <c r="AV146" s="7"/>
      <c r="AW146" s="7"/>
      <c r="AX146" s="7"/>
      <c r="AZ146" s="7"/>
      <c r="BA146" s="9">
        <f t="shared" si="79"/>
        <v>53631.700000000135</v>
      </c>
      <c r="BC146" s="5">
        <f t="shared" si="114"/>
        <v>293</v>
      </c>
      <c r="BR146" s="5">
        <v>5502054</v>
      </c>
      <c r="BS146" s="18">
        <f>[1]monsters!$N146</f>
        <v>201.6</v>
      </c>
      <c r="BT146" s="18">
        <f>[1]monsters!$O146</f>
        <v>20.16</v>
      </c>
      <c r="BU146" s="18">
        <f>[1]monsters!$P146</f>
        <v>1234.29</v>
      </c>
      <c r="BV146" s="18">
        <f>[1]monsters!$Q146</f>
        <v>123.43</v>
      </c>
      <c r="BW146" s="18">
        <f>[1]monsters!$R146</f>
        <v>25.2</v>
      </c>
      <c r="BX146" s="18">
        <f>[1]monsters!$S146</f>
        <v>2.52</v>
      </c>
      <c r="BY146" s="18">
        <f>[1]monsters!$K146</f>
        <v>1.5</v>
      </c>
      <c r="BZ146" s="5">
        <f>[1]monsters!$D146</f>
        <v>5</v>
      </c>
      <c r="CA146" s="5">
        <f t="shared" si="115"/>
        <v>0.1</v>
      </c>
      <c r="CB146" s="5">
        <f t="shared" si="116"/>
        <v>232.07058585858584</v>
      </c>
      <c r="CC146" s="5">
        <f t="shared" si="117"/>
        <v>23.207058585858586</v>
      </c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>
        <v>0</v>
      </c>
      <c r="CR146" s="3" t="b">
        <f t="shared" si="88"/>
        <v>1</v>
      </c>
      <c r="CS146" s="3" t="b">
        <f t="shared" si="89"/>
        <v>1</v>
      </c>
      <c r="CT146" s="3" t="b">
        <f t="shared" si="90"/>
        <v>1</v>
      </c>
      <c r="CU146" s="3" t="b">
        <f t="shared" si="91"/>
        <v>1</v>
      </c>
      <c r="CV146" s="3" t="b">
        <f t="shared" si="92"/>
        <v>1</v>
      </c>
      <c r="CW146" s="3" t="b">
        <f t="shared" si="93"/>
        <v>1</v>
      </c>
      <c r="CX146" s="9" t="str">
        <f t="shared" si="94"/>
        <v>5202063</v>
      </c>
      <c r="CY146" s="9" t="str">
        <f t="shared" si="95"/>
        <v>5202062</v>
      </c>
      <c r="CZ146" s="9" t="str">
        <f t="shared" si="96"/>
        <v>5202061</v>
      </c>
      <c r="DA146" s="9" t="str">
        <f t="shared" si="97"/>
        <v>5401063</v>
      </c>
      <c r="DB146" s="9" t="str">
        <f t="shared" si="98"/>
        <v>5402062</v>
      </c>
      <c r="DC146" s="9" t="str">
        <f t="shared" si="99"/>
        <v>5401063</v>
      </c>
      <c r="DD146" s="9">
        <v>6</v>
      </c>
      <c r="DE146" s="9">
        <v>6</v>
      </c>
      <c r="DF146" s="9">
        <v>6</v>
      </c>
      <c r="DG146" s="9">
        <v>6</v>
      </c>
      <c r="DH146" s="9">
        <v>6</v>
      </c>
      <c r="DI146" s="9">
        <v>6</v>
      </c>
      <c r="DJ146" s="9">
        <v>5</v>
      </c>
      <c r="DK146" s="9">
        <v>5</v>
      </c>
      <c r="DL146" s="9">
        <v>5</v>
      </c>
      <c r="DM146" s="9">
        <v>5</v>
      </c>
      <c r="DN146" s="9">
        <v>5</v>
      </c>
      <c r="DO146" s="9">
        <v>5</v>
      </c>
      <c r="DP146" s="25" t="s">
        <v>208</v>
      </c>
      <c r="DQ146" s="25" t="s">
        <v>200</v>
      </c>
      <c r="DR146" s="27" t="s">
        <v>111</v>
      </c>
      <c r="DS146" s="25" t="s">
        <v>211</v>
      </c>
      <c r="DT146" s="25" t="s">
        <v>203</v>
      </c>
      <c r="DU146" s="25" t="s">
        <v>211</v>
      </c>
      <c r="DV146" s="25">
        <f t="shared" si="100"/>
        <v>1</v>
      </c>
      <c r="DW146" s="25">
        <f t="shared" si="101"/>
        <v>1</v>
      </c>
      <c r="DX146" s="25">
        <f t="shared" si="102"/>
        <v>1</v>
      </c>
      <c r="DY146" s="25">
        <f t="shared" si="103"/>
        <v>2</v>
      </c>
      <c r="DZ146" s="25">
        <f t="shared" si="104"/>
        <v>2</v>
      </c>
      <c r="EA146" s="3">
        <f t="shared" si="105"/>
        <v>2</v>
      </c>
      <c r="EB146" s="35"/>
      <c r="EC146" s="9">
        <v>5500062</v>
      </c>
      <c r="ED146" s="34" t="s">
        <v>109</v>
      </c>
      <c r="EE146" s="8">
        <v>2</v>
      </c>
    </row>
    <row r="147" spans="1:135" ht="13.5" customHeight="1">
      <c r="A147" s="9">
        <v>144</v>
      </c>
      <c r="B147" s="9">
        <v>1</v>
      </c>
      <c r="C147" s="9">
        <v>2001</v>
      </c>
      <c r="D147" s="9">
        <f t="shared" si="118"/>
        <v>573877</v>
      </c>
      <c r="E147" s="9" t="str">
        <f t="shared" si="85"/>
        <v>5202063,5202062,5202061,5500062,5500061,5500063</v>
      </c>
      <c r="F147" s="9" t="str">
        <f t="shared" si="86"/>
        <v>6,6,6,6,6,6</v>
      </c>
      <c r="G147" s="9" t="str">
        <f t="shared" si="87"/>
        <v>315,341,341,341,341,341</v>
      </c>
      <c r="H147" s="9">
        <v>111</v>
      </c>
      <c r="I147" s="9" t="s">
        <v>278</v>
      </c>
      <c r="J147" s="9" t="s">
        <v>279</v>
      </c>
      <c r="K147" s="9" t="s">
        <v>279</v>
      </c>
      <c r="L147" s="9" t="s">
        <v>279</v>
      </c>
      <c r="M147" s="9" t="s">
        <v>289</v>
      </c>
      <c r="O147" s="3">
        <f t="shared" si="84"/>
        <v>573877</v>
      </c>
      <c r="P147" s="9">
        <v>465809.25</v>
      </c>
      <c r="Q147" s="9">
        <v>5202063</v>
      </c>
      <c r="R147" s="9">
        <v>5202062</v>
      </c>
      <c r="S147" s="9">
        <v>5202061</v>
      </c>
      <c r="T147" s="9">
        <v>5500062</v>
      </c>
      <c r="U147" s="9">
        <v>5500061</v>
      </c>
      <c r="V147" s="9">
        <v>5500063</v>
      </c>
      <c r="W147" s="9">
        <v>6</v>
      </c>
      <c r="X147" s="9">
        <v>6</v>
      </c>
      <c r="Y147" s="9">
        <v>6</v>
      </c>
      <c r="Z147" s="9">
        <v>6</v>
      </c>
      <c r="AA147" s="9">
        <v>6</v>
      </c>
      <c r="AB147" s="9">
        <v>6</v>
      </c>
      <c r="AC147" s="9">
        <f t="shared" si="106"/>
        <v>315</v>
      </c>
      <c r="AD147" s="9">
        <f t="shared" si="107"/>
        <v>341</v>
      </c>
      <c r="AE147" s="9">
        <f t="shared" si="108"/>
        <v>341</v>
      </c>
      <c r="AF147" s="9">
        <f t="shared" si="109"/>
        <v>341</v>
      </c>
      <c r="AG147" s="9">
        <f t="shared" si="110"/>
        <v>341</v>
      </c>
      <c r="AH147" s="9">
        <f t="shared" si="111"/>
        <v>341</v>
      </c>
      <c r="AI147" s="7">
        <f t="shared" si="82"/>
        <v>77634.875</v>
      </c>
      <c r="AJ147" s="7">
        <f t="shared" si="81"/>
        <v>77634.875</v>
      </c>
      <c r="AK147" s="7">
        <f t="shared" si="81"/>
        <v>77634.875</v>
      </c>
      <c r="AL147" s="7">
        <f t="shared" si="81"/>
        <v>77634.875</v>
      </c>
      <c r="AM147" s="7">
        <f t="shared" si="81"/>
        <v>77634.875</v>
      </c>
      <c r="AN147" s="7">
        <f t="shared" si="81"/>
        <v>77634.875</v>
      </c>
      <c r="AO147" s="16"/>
      <c r="AP147" s="7"/>
      <c r="AQ147" s="9">
        <v>5</v>
      </c>
      <c r="AR147" s="9">
        <f t="shared" si="112"/>
        <v>356</v>
      </c>
      <c r="AS147" s="7">
        <f t="shared" si="113"/>
        <v>169</v>
      </c>
      <c r="AT147" s="7"/>
      <c r="AU147" s="16"/>
      <c r="AV147" s="7"/>
      <c r="AW147" s="7"/>
      <c r="AX147" s="7"/>
      <c r="AZ147" s="7"/>
      <c r="BC147" s="5">
        <f t="shared" si="114"/>
        <v>294</v>
      </c>
      <c r="BR147" s="5">
        <v>5600054</v>
      </c>
      <c r="BS147" s="18">
        <f>[1]monsters!$N147</f>
        <v>188.16</v>
      </c>
      <c r="BT147" s="18">
        <f>[1]monsters!$O147</f>
        <v>18.82</v>
      </c>
      <c r="BU147" s="18">
        <f>[1]monsters!$P147</f>
        <v>1234.29</v>
      </c>
      <c r="BV147" s="18">
        <f>[1]monsters!$Q147</f>
        <v>123.43</v>
      </c>
      <c r="BW147" s="18">
        <f>[1]monsters!$R147</f>
        <v>23.52</v>
      </c>
      <c r="BX147" s="18">
        <f>[1]monsters!$S147</f>
        <v>2.35</v>
      </c>
      <c r="BY147" s="18">
        <f>[1]monsters!$K147</f>
        <v>1.4</v>
      </c>
      <c r="BZ147" s="5">
        <f>[1]monsters!$D147</f>
        <v>5</v>
      </c>
      <c r="CA147" s="5">
        <f t="shared" si="115"/>
        <v>0.1</v>
      </c>
      <c r="CB147" s="5">
        <f t="shared" si="116"/>
        <v>219.36978585858586</v>
      </c>
      <c r="CC147" s="5">
        <f t="shared" si="117"/>
        <v>21.936978585858586</v>
      </c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>
        <v>0</v>
      </c>
      <c r="CR147" s="3" t="b">
        <f t="shared" si="88"/>
        <v>1</v>
      </c>
      <c r="CS147" s="3" t="b">
        <f t="shared" si="89"/>
        <v>1</v>
      </c>
      <c r="CT147" s="3" t="b">
        <f t="shared" si="90"/>
        <v>1</v>
      </c>
      <c r="CU147" s="3" t="b">
        <f t="shared" si="91"/>
        <v>1</v>
      </c>
      <c r="CV147" s="3" t="b">
        <f t="shared" si="92"/>
        <v>1</v>
      </c>
      <c r="CW147" s="3" t="b">
        <f t="shared" si="93"/>
        <v>1</v>
      </c>
      <c r="CX147" s="9" t="str">
        <f t="shared" si="94"/>
        <v>5202063</v>
      </c>
      <c r="CY147" s="9" t="str">
        <f t="shared" si="95"/>
        <v>5202062</v>
      </c>
      <c r="CZ147" s="9" t="str">
        <f t="shared" si="96"/>
        <v>5202061</v>
      </c>
      <c r="DA147" s="9" t="str">
        <f t="shared" si="97"/>
        <v>5500062</v>
      </c>
      <c r="DB147" s="9" t="str">
        <f t="shared" si="98"/>
        <v>5500061</v>
      </c>
      <c r="DC147" s="9" t="str">
        <f t="shared" si="99"/>
        <v>5500063</v>
      </c>
      <c r="DD147" s="9">
        <v>6</v>
      </c>
      <c r="DE147" s="9">
        <v>6</v>
      </c>
      <c r="DF147" s="9">
        <v>6</v>
      </c>
      <c r="DG147" s="9">
        <v>6</v>
      </c>
      <c r="DH147" s="9">
        <v>6</v>
      </c>
      <c r="DI147" s="9">
        <v>6</v>
      </c>
      <c r="DJ147" s="9">
        <v>5</v>
      </c>
      <c r="DK147" s="9">
        <v>5</v>
      </c>
      <c r="DL147" s="9">
        <v>5</v>
      </c>
      <c r="DM147" s="9">
        <v>5</v>
      </c>
      <c r="DN147" s="9">
        <v>5</v>
      </c>
      <c r="DO147" s="9">
        <v>5</v>
      </c>
      <c r="DP147" s="25" t="s">
        <v>208</v>
      </c>
      <c r="DQ147" s="25" t="s">
        <v>200</v>
      </c>
      <c r="DR147" s="27" t="s">
        <v>111</v>
      </c>
      <c r="DS147" s="25" t="s">
        <v>109</v>
      </c>
      <c r="DT147" s="25" t="s">
        <v>197</v>
      </c>
      <c r="DU147" s="27" t="s">
        <v>207</v>
      </c>
      <c r="DV147" s="25">
        <f t="shared" si="100"/>
        <v>1</v>
      </c>
      <c r="DW147" s="25">
        <f t="shared" si="101"/>
        <v>1</v>
      </c>
      <c r="DX147" s="25">
        <f t="shared" si="102"/>
        <v>1</v>
      </c>
      <c r="DY147" s="25">
        <f t="shared" si="103"/>
        <v>2</v>
      </c>
      <c r="DZ147" s="25">
        <f t="shared" si="104"/>
        <v>2</v>
      </c>
      <c r="EA147" s="3">
        <f t="shared" si="105"/>
        <v>2</v>
      </c>
      <c r="EB147" s="35"/>
      <c r="EC147" s="9">
        <v>5502062</v>
      </c>
      <c r="ED147" s="34" t="s">
        <v>204</v>
      </c>
      <c r="EE147" s="8">
        <v>2</v>
      </c>
    </row>
    <row r="148" spans="1:135" ht="13.5" customHeight="1">
      <c r="A148" s="9">
        <v>145</v>
      </c>
      <c r="B148" s="9">
        <v>1</v>
      </c>
      <c r="C148" s="9">
        <v>2001</v>
      </c>
      <c r="D148" s="9">
        <f t="shared" si="118"/>
        <v>577687</v>
      </c>
      <c r="E148" s="9" t="str">
        <f t="shared" si="85"/>
        <v>5202061,5202062,5200063,5400065,5501064,5400065</v>
      </c>
      <c r="F148" s="9" t="str">
        <f t="shared" si="86"/>
        <v>6,6,6,6,6,6</v>
      </c>
      <c r="G148" s="9" t="str">
        <f t="shared" si="87"/>
        <v>316,343,343,343,343,343</v>
      </c>
      <c r="H148" s="9">
        <v>112</v>
      </c>
      <c r="I148" s="9" t="s">
        <v>278</v>
      </c>
      <c r="J148" s="9" t="s">
        <v>279</v>
      </c>
      <c r="K148" s="9" t="s">
        <v>279</v>
      </c>
      <c r="L148" s="9" t="s">
        <v>279</v>
      </c>
      <c r="M148" s="9" t="s">
        <v>289</v>
      </c>
      <c r="O148" s="3">
        <f t="shared" si="84"/>
        <v>577687</v>
      </c>
      <c r="P148" s="9">
        <v>468901.71</v>
      </c>
      <c r="Q148" s="9">
        <v>5202061</v>
      </c>
      <c r="R148" s="9">
        <v>5202062</v>
      </c>
      <c r="S148" s="9">
        <v>5200063</v>
      </c>
      <c r="T148" s="9">
        <v>5400065</v>
      </c>
      <c r="U148" s="9">
        <v>5501064</v>
      </c>
      <c r="V148" s="9">
        <v>5400065</v>
      </c>
      <c r="W148" s="9">
        <v>6</v>
      </c>
      <c r="X148" s="9">
        <v>6</v>
      </c>
      <c r="Y148" s="9">
        <v>6</v>
      </c>
      <c r="Z148" s="9">
        <v>6</v>
      </c>
      <c r="AA148" s="9">
        <v>6</v>
      </c>
      <c r="AB148" s="9">
        <v>6</v>
      </c>
      <c r="AC148" s="9">
        <f t="shared" si="106"/>
        <v>316</v>
      </c>
      <c r="AD148" s="9">
        <f t="shared" si="107"/>
        <v>343</v>
      </c>
      <c r="AE148" s="9">
        <f t="shared" si="108"/>
        <v>343</v>
      </c>
      <c r="AF148" s="9">
        <f t="shared" si="109"/>
        <v>343</v>
      </c>
      <c r="AG148" s="9">
        <f t="shared" si="110"/>
        <v>343</v>
      </c>
      <c r="AH148" s="9">
        <f t="shared" si="111"/>
        <v>343</v>
      </c>
      <c r="AI148" s="7">
        <f t="shared" si="82"/>
        <v>78150.285000000003</v>
      </c>
      <c r="AJ148" s="7">
        <f t="shared" si="81"/>
        <v>78150.285000000003</v>
      </c>
      <c r="AK148" s="7">
        <f t="shared" si="81"/>
        <v>78150.285000000003</v>
      </c>
      <c r="AL148" s="7">
        <f t="shared" si="81"/>
        <v>78150.285000000003</v>
      </c>
      <c r="AM148" s="7">
        <f t="shared" si="81"/>
        <v>78150.285000000003</v>
      </c>
      <c r="AN148" s="7">
        <f t="shared" si="81"/>
        <v>78150.285000000003</v>
      </c>
      <c r="AO148" s="16"/>
      <c r="AP148" s="7"/>
      <c r="AQ148" s="9">
        <v>5</v>
      </c>
      <c r="AR148" s="9">
        <f t="shared" si="112"/>
        <v>357</v>
      </c>
      <c r="AS148" s="7">
        <f t="shared" si="113"/>
        <v>170</v>
      </c>
      <c r="AT148" s="7"/>
      <c r="AU148" s="16"/>
      <c r="AV148" s="7"/>
      <c r="AW148" s="7"/>
      <c r="AX148" s="7"/>
      <c r="AZ148" s="7"/>
      <c r="BC148" s="5">
        <f t="shared" si="114"/>
        <v>295</v>
      </c>
      <c r="BR148" s="5">
        <v>5601054</v>
      </c>
      <c r="BS148" s="18">
        <f>[1]monsters!$N148</f>
        <v>223.2</v>
      </c>
      <c r="BT148" s="18">
        <f>[1]monsters!$O148</f>
        <v>22.32</v>
      </c>
      <c r="BU148" s="18">
        <f>[1]monsters!$P148</f>
        <v>1114.8399999999999</v>
      </c>
      <c r="BV148" s="18">
        <f>[1]monsters!$Q148</f>
        <v>111.48</v>
      </c>
      <c r="BW148" s="18">
        <f>[1]monsters!$R148</f>
        <v>22.32</v>
      </c>
      <c r="BX148" s="18">
        <f>[1]monsters!$S148</f>
        <v>2.23</v>
      </c>
      <c r="BY148" s="18">
        <f>[1]monsters!$K148</f>
        <v>1.5</v>
      </c>
      <c r="BZ148" s="5">
        <f>[1]monsters!$D148</f>
        <v>6</v>
      </c>
      <c r="CA148" s="5">
        <f t="shared" si="115"/>
        <v>0.1</v>
      </c>
      <c r="CB148" s="5">
        <f t="shared" si="116"/>
        <v>248.46070033670031</v>
      </c>
      <c r="CC148" s="5">
        <f t="shared" si="117"/>
        <v>24.846070033670031</v>
      </c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>
        <v>1</v>
      </c>
      <c r="CR148" s="3" t="b">
        <f t="shared" si="88"/>
        <v>1</v>
      </c>
      <c r="CS148" s="3" t="b">
        <f t="shared" si="89"/>
        <v>1</v>
      </c>
      <c r="CT148" s="3" t="b">
        <f t="shared" si="90"/>
        <v>1</v>
      </c>
      <c r="CU148" s="3" t="b">
        <f t="shared" si="91"/>
        <v>1</v>
      </c>
      <c r="CV148" s="3" t="b">
        <f t="shared" si="92"/>
        <v>1</v>
      </c>
      <c r="CW148" s="3" t="b">
        <f t="shared" si="93"/>
        <v>1</v>
      </c>
      <c r="CX148" s="9" t="str">
        <f t="shared" si="94"/>
        <v>5202061</v>
      </c>
      <c r="CY148" s="9" t="str">
        <f t="shared" si="95"/>
        <v>5202062</v>
      </c>
      <c r="CZ148" s="9" t="str">
        <f t="shared" si="96"/>
        <v>5200063</v>
      </c>
      <c r="DA148" s="9" t="str">
        <f t="shared" si="97"/>
        <v>5400065</v>
      </c>
      <c r="DB148" s="9" t="str">
        <f t="shared" si="98"/>
        <v>5501064</v>
      </c>
      <c r="DC148" s="9" t="str">
        <f t="shared" si="99"/>
        <v>5400065</v>
      </c>
      <c r="DD148" s="9">
        <v>6</v>
      </c>
      <c r="DE148" s="9">
        <v>6</v>
      </c>
      <c r="DF148" s="9">
        <v>6</v>
      </c>
      <c r="DG148" s="9">
        <v>6</v>
      </c>
      <c r="DH148" s="9">
        <v>6</v>
      </c>
      <c r="DI148" s="9">
        <v>6</v>
      </c>
      <c r="DJ148" s="9">
        <v>5</v>
      </c>
      <c r="DK148" s="9">
        <v>5</v>
      </c>
      <c r="DL148" s="9">
        <v>5</v>
      </c>
      <c r="DM148" s="9">
        <v>5</v>
      </c>
      <c r="DN148" s="9">
        <v>5</v>
      </c>
      <c r="DO148" s="9">
        <v>5</v>
      </c>
      <c r="DP148" s="25" t="s">
        <v>111</v>
      </c>
      <c r="DQ148" s="27" t="s">
        <v>200</v>
      </c>
      <c r="DR148" s="27" t="s">
        <v>113</v>
      </c>
      <c r="DS148" s="25" t="s">
        <v>210</v>
      </c>
      <c r="DT148" s="25" t="s">
        <v>214</v>
      </c>
      <c r="DU148" s="25" t="s">
        <v>210</v>
      </c>
      <c r="DV148" s="25">
        <f t="shared" si="100"/>
        <v>1</v>
      </c>
      <c r="DW148" s="25">
        <f t="shared" si="101"/>
        <v>1</v>
      </c>
      <c r="DX148" s="25">
        <f t="shared" si="102"/>
        <v>1</v>
      </c>
      <c r="DY148" s="25">
        <f t="shared" si="103"/>
        <v>2</v>
      </c>
      <c r="DZ148" s="25">
        <f t="shared" si="104"/>
        <v>2</v>
      </c>
      <c r="EA148" s="3">
        <f t="shared" si="105"/>
        <v>2</v>
      </c>
      <c r="EB148" s="35"/>
      <c r="EC148" s="9">
        <v>5601062</v>
      </c>
      <c r="ED148" s="34" t="s">
        <v>124</v>
      </c>
      <c r="EE148" s="8">
        <v>2</v>
      </c>
    </row>
    <row r="149" spans="1:135" ht="13.5" customHeight="1">
      <c r="A149" s="9">
        <v>146</v>
      </c>
      <c r="B149" s="9">
        <v>1</v>
      </c>
      <c r="C149" s="9">
        <v>2001</v>
      </c>
      <c r="D149" s="9">
        <f t="shared" si="118"/>
        <v>581509</v>
      </c>
      <c r="E149" s="9" t="str">
        <f t="shared" si="85"/>
        <v>5202062,5201063,5301061,5501064,5500063,5501064</v>
      </c>
      <c r="F149" s="9" t="str">
        <f t="shared" si="86"/>
        <v>6,6,6,6,6,6</v>
      </c>
      <c r="G149" s="9" t="str">
        <f t="shared" si="87"/>
        <v>317,344,344,344,344,344</v>
      </c>
      <c r="H149" s="9">
        <v>114</v>
      </c>
      <c r="I149" s="9" t="s">
        <v>278</v>
      </c>
      <c r="J149" s="9" t="s">
        <v>279</v>
      </c>
      <c r="K149" s="9" t="s">
        <v>279</v>
      </c>
      <c r="L149" s="9" t="s">
        <v>279</v>
      </c>
      <c r="M149" s="9" t="s">
        <v>289</v>
      </c>
      <c r="O149" s="3">
        <f t="shared" si="84"/>
        <v>581509</v>
      </c>
      <c r="P149" s="9">
        <v>472004.12</v>
      </c>
      <c r="Q149" s="9">
        <v>5202062</v>
      </c>
      <c r="R149" s="9">
        <v>5201063</v>
      </c>
      <c r="S149" s="9">
        <v>5301061</v>
      </c>
      <c r="T149" s="9">
        <v>5501064</v>
      </c>
      <c r="U149" s="9">
        <v>5500063</v>
      </c>
      <c r="V149" s="9">
        <v>5501064</v>
      </c>
      <c r="W149" s="9">
        <v>6</v>
      </c>
      <c r="X149" s="9">
        <v>6</v>
      </c>
      <c r="Y149" s="9">
        <v>6</v>
      </c>
      <c r="Z149" s="9">
        <v>6</v>
      </c>
      <c r="AA149" s="9">
        <v>6</v>
      </c>
      <c r="AB149" s="9">
        <v>6</v>
      </c>
      <c r="AC149" s="9">
        <f t="shared" si="106"/>
        <v>317</v>
      </c>
      <c r="AD149" s="9">
        <f t="shared" si="107"/>
        <v>344</v>
      </c>
      <c r="AE149" s="9">
        <f t="shared" si="108"/>
        <v>344</v>
      </c>
      <c r="AF149" s="9">
        <f t="shared" si="109"/>
        <v>344</v>
      </c>
      <c r="AG149" s="9">
        <f t="shared" si="110"/>
        <v>344</v>
      </c>
      <c r="AH149" s="9">
        <f t="shared" si="111"/>
        <v>344</v>
      </c>
      <c r="AI149" s="7">
        <f t="shared" si="82"/>
        <v>78667.353333333333</v>
      </c>
      <c r="AJ149" s="7">
        <f t="shared" si="81"/>
        <v>78667.353333333333</v>
      </c>
      <c r="AK149" s="7">
        <f t="shared" si="81"/>
        <v>78667.353333333333</v>
      </c>
      <c r="AL149" s="7">
        <f t="shared" si="81"/>
        <v>78667.353333333333</v>
      </c>
      <c r="AM149" s="7">
        <f t="shared" si="81"/>
        <v>78667.353333333333</v>
      </c>
      <c r="AN149" s="7">
        <f t="shared" si="81"/>
        <v>78667.353333333333</v>
      </c>
      <c r="AO149" s="16"/>
      <c r="AP149" s="7"/>
      <c r="AQ149" s="9">
        <v>5</v>
      </c>
      <c r="AR149" s="9">
        <f t="shared" si="112"/>
        <v>358</v>
      </c>
      <c r="AS149" s="7">
        <f t="shared" si="113"/>
        <v>171</v>
      </c>
      <c r="AT149" s="7"/>
      <c r="AU149" s="16"/>
      <c r="AV149" s="7"/>
      <c r="AW149" s="7"/>
      <c r="AX149" s="7"/>
      <c r="AZ149" s="7"/>
      <c r="BC149" s="5">
        <f t="shared" si="114"/>
        <v>296</v>
      </c>
      <c r="BR149" s="5">
        <v>5201055</v>
      </c>
      <c r="BS149" s="18">
        <f>[1]monsters!$N149</f>
        <v>144</v>
      </c>
      <c r="BT149" s="18">
        <f>[1]monsters!$O149</f>
        <v>14.4</v>
      </c>
      <c r="BU149" s="18">
        <f>[1]monsters!$P149</f>
        <v>1728</v>
      </c>
      <c r="BV149" s="18">
        <f>[1]monsters!$Q149</f>
        <v>172.8</v>
      </c>
      <c r="BW149" s="18">
        <f>[1]monsters!$R149</f>
        <v>36</v>
      </c>
      <c r="BX149" s="18">
        <f>[1]monsters!$S149</f>
        <v>3.6</v>
      </c>
      <c r="BY149" s="18">
        <f>[1]monsters!$K149</f>
        <v>1.5</v>
      </c>
      <c r="BZ149" s="5">
        <f>[1]monsters!$D149</f>
        <v>2</v>
      </c>
      <c r="CA149" s="5">
        <f t="shared" si="115"/>
        <v>0.1</v>
      </c>
      <c r="CB149" s="5">
        <f t="shared" si="116"/>
        <v>194.2618181818182</v>
      </c>
      <c r="CC149" s="5">
        <f t="shared" si="117"/>
        <v>19.426181818181821</v>
      </c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>
        <v>0</v>
      </c>
      <c r="CR149" s="3" t="b">
        <f t="shared" si="88"/>
        <v>1</v>
      </c>
      <c r="CS149" s="3" t="b">
        <f t="shared" si="89"/>
        <v>1</v>
      </c>
      <c r="CT149" s="3" t="b">
        <f t="shared" si="90"/>
        <v>1</v>
      </c>
      <c r="CU149" s="3" t="b">
        <f t="shared" si="91"/>
        <v>1</v>
      </c>
      <c r="CV149" s="3" t="b">
        <f t="shared" si="92"/>
        <v>1</v>
      </c>
      <c r="CW149" s="3" t="b">
        <f t="shared" si="93"/>
        <v>1</v>
      </c>
      <c r="CX149" s="9" t="str">
        <f t="shared" si="94"/>
        <v>5202062</v>
      </c>
      <c r="CY149" s="9" t="str">
        <f t="shared" si="95"/>
        <v>5201063</v>
      </c>
      <c r="CZ149" s="9" t="str">
        <f t="shared" si="96"/>
        <v>5301061</v>
      </c>
      <c r="DA149" s="9" t="str">
        <f t="shared" si="97"/>
        <v>5501064</v>
      </c>
      <c r="DB149" s="9" t="str">
        <f t="shared" si="98"/>
        <v>5500063</v>
      </c>
      <c r="DC149" s="9" t="str">
        <f t="shared" si="99"/>
        <v>5501064</v>
      </c>
      <c r="DD149" s="9">
        <v>6</v>
      </c>
      <c r="DE149" s="9">
        <v>6</v>
      </c>
      <c r="DF149" s="9">
        <v>6</v>
      </c>
      <c r="DG149" s="9">
        <v>6</v>
      </c>
      <c r="DH149" s="9">
        <v>6</v>
      </c>
      <c r="DI149" s="9">
        <v>6</v>
      </c>
      <c r="DJ149" s="9">
        <v>5</v>
      </c>
      <c r="DK149" s="9">
        <v>5</v>
      </c>
      <c r="DL149" s="9">
        <v>5</v>
      </c>
      <c r="DM149" s="9">
        <v>5</v>
      </c>
      <c r="DN149" s="9">
        <v>5</v>
      </c>
      <c r="DO149" s="9">
        <v>5</v>
      </c>
      <c r="DP149" s="25" t="s">
        <v>200</v>
      </c>
      <c r="DQ149" s="27" t="s">
        <v>205</v>
      </c>
      <c r="DR149" s="25" t="s">
        <v>107</v>
      </c>
      <c r="DS149" s="25" t="s">
        <v>214</v>
      </c>
      <c r="DT149" s="25" t="s">
        <v>207</v>
      </c>
      <c r="DU149" s="25" t="s">
        <v>214</v>
      </c>
      <c r="DV149" s="25">
        <f t="shared" si="100"/>
        <v>1</v>
      </c>
      <c r="DW149" s="25">
        <f t="shared" si="101"/>
        <v>1</v>
      </c>
      <c r="DX149" s="25">
        <f t="shared" si="102"/>
        <v>1</v>
      </c>
      <c r="DY149" s="25">
        <f t="shared" si="103"/>
        <v>2</v>
      </c>
      <c r="DZ149" s="25">
        <f t="shared" si="104"/>
        <v>2</v>
      </c>
      <c r="EA149" s="3">
        <f t="shared" si="105"/>
        <v>2</v>
      </c>
      <c r="EB149" s="35"/>
      <c r="EC149" s="9">
        <v>5200063</v>
      </c>
      <c r="ED149" s="34" t="s">
        <v>113</v>
      </c>
      <c r="EE149" s="8">
        <v>1</v>
      </c>
    </row>
    <row r="150" spans="1:135" ht="13.5" customHeight="1">
      <c r="A150" s="9">
        <v>147</v>
      </c>
      <c r="B150" s="9">
        <v>1</v>
      </c>
      <c r="C150" s="9">
        <v>2001</v>
      </c>
      <c r="D150" s="9">
        <f t="shared" si="118"/>
        <v>585346</v>
      </c>
      <c r="E150" s="9" t="str">
        <f t="shared" si="85"/>
        <v>5201064,5201062,5302064,5500063,5502062,5501064</v>
      </c>
      <c r="F150" s="9" t="str">
        <f t="shared" si="86"/>
        <v>6,6,6,6,6,6</v>
      </c>
      <c r="G150" s="9" t="str">
        <f t="shared" si="87"/>
        <v>319,345,345,345,345,345</v>
      </c>
      <c r="H150" s="9">
        <v>114</v>
      </c>
      <c r="I150" s="9" t="s">
        <v>278</v>
      </c>
      <c r="J150" s="9" t="s">
        <v>279</v>
      </c>
      <c r="K150" s="9" t="s">
        <v>279</v>
      </c>
      <c r="L150" s="9" t="s">
        <v>279</v>
      </c>
      <c r="M150" s="9" t="s">
        <v>289</v>
      </c>
      <c r="O150" s="3">
        <f t="shared" si="84"/>
        <v>585346</v>
      </c>
      <c r="P150" s="9">
        <v>475118.47</v>
      </c>
      <c r="Q150" s="9">
        <v>5201064</v>
      </c>
      <c r="R150" s="9">
        <v>5201062</v>
      </c>
      <c r="S150" s="9">
        <v>5302064</v>
      </c>
      <c r="T150" s="9">
        <v>5500063</v>
      </c>
      <c r="U150" s="9">
        <v>5502062</v>
      </c>
      <c r="V150" s="9">
        <v>5501064</v>
      </c>
      <c r="W150" s="9">
        <v>6</v>
      </c>
      <c r="X150" s="9">
        <v>6</v>
      </c>
      <c r="Y150" s="9">
        <v>6</v>
      </c>
      <c r="Z150" s="9">
        <v>6</v>
      </c>
      <c r="AA150" s="9">
        <v>6</v>
      </c>
      <c r="AB150" s="9">
        <v>6</v>
      </c>
      <c r="AC150" s="9">
        <f t="shared" si="106"/>
        <v>319</v>
      </c>
      <c r="AD150" s="9">
        <f t="shared" si="107"/>
        <v>345</v>
      </c>
      <c r="AE150" s="9">
        <f t="shared" si="108"/>
        <v>345</v>
      </c>
      <c r="AF150" s="9">
        <f t="shared" si="109"/>
        <v>345</v>
      </c>
      <c r="AG150" s="9">
        <f t="shared" si="110"/>
        <v>345</v>
      </c>
      <c r="AH150" s="9">
        <f t="shared" si="111"/>
        <v>345</v>
      </c>
      <c r="AI150" s="7">
        <f t="shared" si="82"/>
        <v>79186.411666666667</v>
      </c>
      <c r="AJ150" s="7">
        <f t="shared" si="81"/>
        <v>79186.411666666667</v>
      </c>
      <c r="AK150" s="7">
        <f t="shared" si="81"/>
        <v>79186.411666666667</v>
      </c>
      <c r="AL150" s="7">
        <f t="shared" si="81"/>
        <v>79186.411666666667</v>
      </c>
      <c r="AM150" s="7">
        <f t="shared" si="81"/>
        <v>79186.411666666667</v>
      </c>
      <c r="AN150" s="7">
        <f t="shared" si="81"/>
        <v>79186.411666666667</v>
      </c>
      <c r="AO150" s="16"/>
      <c r="AP150" s="7"/>
      <c r="AQ150" s="9">
        <v>5</v>
      </c>
      <c r="AR150" s="9">
        <f t="shared" si="112"/>
        <v>360</v>
      </c>
      <c r="AS150" s="7">
        <f t="shared" si="113"/>
        <v>172</v>
      </c>
      <c r="AT150" s="7"/>
      <c r="AU150" s="16"/>
      <c r="AV150" s="7"/>
      <c r="AW150" s="7"/>
      <c r="AX150" s="7"/>
      <c r="AZ150" s="7"/>
      <c r="BA150" s="9">
        <f t="shared" ref="BA150:BA152" si="119">BA149+($BA$153-$BA$83)/($A$153-$A$83)</f>
        <v>522.75714285714287</v>
      </c>
      <c r="BC150" s="5">
        <f t="shared" si="114"/>
        <v>297</v>
      </c>
      <c r="BR150" s="5">
        <v>5202055</v>
      </c>
      <c r="BS150" s="18">
        <f>[1]monsters!$N150</f>
        <v>138.24</v>
      </c>
      <c r="BT150" s="18">
        <f>[1]monsters!$O150</f>
        <v>13.82</v>
      </c>
      <c r="BU150" s="18">
        <f>[1]monsters!$P150</f>
        <v>2160</v>
      </c>
      <c r="BV150" s="18">
        <f>[1]monsters!$Q150</f>
        <v>216</v>
      </c>
      <c r="BW150" s="18">
        <f>[1]monsters!$R150</f>
        <v>46.08</v>
      </c>
      <c r="BX150" s="18">
        <f>[1]monsters!$S150</f>
        <v>4.6100000000000003</v>
      </c>
      <c r="BY150" s="18">
        <f>[1]monsters!$K150</f>
        <v>1.8</v>
      </c>
      <c r="BZ150" s="5">
        <f>[1]monsters!$D150</f>
        <v>2</v>
      </c>
      <c r="CA150" s="5">
        <f t="shared" si="115"/>
        <v>0.1</v>
      </c>
      <c r="CB150" s="5">
        <f t="shared" si="116"/>
        <v>203.36407272727274</v>
      </c>
      <c r="CC150" s="5">
        <f t="shared" si="117"/>
        <v>20.336407272727275</v>
      </c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>
        <v>0</v>
      </c>
      <c r="CR150" s="3" t="b">
        <f t="shared" si="88"/>
        <v>1</v>
      </c>
      <c r="CS150" s="3" t="b">
        <f t="shared" si="89"/>
        <v>1</v>
      </c>
      <c r="CT150" s="3" t="b">
        <f t="shared" si="90"/>
        <v>1</v>
      </c>
      <c r="CU150" s="3" t="b">
        <f t="shared" si="91"/>
        <v>1</v>
      </c>
      <c r="CV150" s="3" t="b">
        <f t="shared" si="92"/>
        <v>1</v>
      </c>
      <c r="CW150" s="3" t="b">
        <f t="shared" si="93"/>
        <v>1</v>
      </c>
      <c r="CX150" s="9" t="str">
        <f t="shared" si="94"/>
        <v>5201064</v>
      </c>
      <c r="CY150" s="9" t="str">
        <f t="shared" si="95"/>
        <v>5201062</v>
      </c>
      <c r="CZ150" s="9" t="str">
        <f t="shared" si="96"/>
        <v>5302064</v>
      </c>
      <c r="DA150" s="9" t="str">
        <f t="shared" si="97"/>
        <v>5500063</v>
      </c>
      <c r="DB150" s="9" t="str">
        <f t="shared" si="98"/>
        <v>5502062</v>
      </c>
      <c r="DC150" s="9" t="str">
        <f t="shared" si="99"/>
        <v>5501064</v>
      </c>
      <c r="DD150" s="9">
        <v>6</v>
      </c>
      <c r="DE150" s="9">
        <v>6</v>
      </c>
      <c r="DF150" s="9">
        <v>6</v>
      </c>
      <c r="DG150" s="9">
        <v>6</v>
      </c>
      <c r="DH150" s="9">
        <v>6</v>
      </c>
      <c r="DI150" s="9">
        <v>6</v>
      </c>
      <c r="DJ150" s="9">
        <v>5</v>
      </c>
      <c r="DK150" s="9">
        <v>5</v>
      </c>
      <c r="DL150" s="9">
        <v>5</v>
      </c>
      <c r="DM150" s="9">
        <v>5</v>
      </c>
      <c r="DN150" s="9">
        <v>5</v>
      </c>
      <c r="DO150" s="9">
        <v>5</v>
      </c>
      <c r="DP150" s="27" t="s">
        <v>217</v>
      </c>
      <c r="DQ150" s="27" t="s">
        <v>114</v>
      </c>
      <c r="DR150" s="27" t="s">
        <v>218</v>
      </c>
      <c r="DS150" s="25" t="s">
        <v>207</v>
      </c>
      <c r="DT150" s="25" t="s">
        <v>204</v>
      </c>
      <c r="DU150" s="25" t="s">
        <v>214</v>
      </c>
      <c r="DV150" s="25">
        <f t="shared" si="100"/>
        <v>1</v>
      </c>
      <c r="DW150" s="25">
        <f t="shared" si="101"/>
        <v>1</v>
      </c>
      <c r="DX150" s="25">
        <f t="shared" si="102"/>
        <v>1</v>
      </c>
      <c r="DY150" s="25">
        <f t="shared" si="103"/>
        <v>2</v>
      </c>
      <c r="DZ150" s="25">
        <f t="shared" si="104"/>
        <v>2</v>
      </c>
      <c r="EA150" s="3">
        <f t="shared" si="105"/>
        <v>2</v>
      </c>
      <c r="EB150" s="35"/>
      <c r="EC150" s="9">
        <v>5201063</v>
      </c>
      <c r="ED150" s="34" t="s">
        <v>205</v>
      </c>
      <c r="EE150" s="8">
        <v>1</v>
      </c>
    </row>
    <row r="151" spans="1:135" ht="13.5" customHeight="1">
      <c r="A151" s="9">
        <v>148</v>
      </c>
      <c r="B151" s="9">
        <v>1</v>
      </c>
      <c r="C151" s="9">
        <v>2001</v>
      </c>
      <c r="D151" s="9">
        <f t="shared" si="118"/>
        <v>589658</v>
      </c>
      <c r="E151" s="9" t="str">
        <f t="shared" si="85"/>
        <v>5302065,5202062,5202065,5401063,5402062,5401063</v>
      </c>
      <c r="F151" s="9" t="str">
        <f t="shared" si="86"/>
        <v>6,6,6,6,6,6</v>
      </c>
      <c r="G151" s="9" t="str">
        <f t="shared" si="87"/>
        <v>320,346,346,346,346,346</v>
      </c>
      <c r="H151" s="9">
        <v>114</v>
      </c>
      <c r="I151" s="9" t="s">
        <v>278</v>
      </c>
      <c r="J151" s="9" t="s">
        <v>279</v>
      </c>
      <c r="K151" s="9" t="s">
        <v>279</v>
      </c>
      <c r="L151" s="9" t="s">
        <v>279</v>
      </c>
      <c r="M151" s="9" t="s">
        <v>289</v>
      </c>
      <c r="O151" s="3">
        <f t="shared" si="84"/>
        <v>589658</v>
      </c>
      <c r="P151" s="9">
        <v>478618.88</v>
      </c>
      <c r="Q151" s="9">
        <v>5302065</v>
      </c>
      <c r="R151" s="9">
        <v>5202062</v>
      </c>
      <c r="S151" s="9">
        <v>5202065</v>
      </c>
      <c r="T151" s="9">
        <v>5401063</v>
      </c>
      <c r="U151" s="9">
        <v>5402062</v>
      </c>
      <c r="V151" s="9">
        <v>5401063</v>
      </c>
      <c r="W151" s="9">
        <v>6</v>
      </c>
      <c r="X151" s="9">
        <v>6</v>
      </c>
      <c r="Y151" s="9">
        <v>6</v>
      </c>
      <c r="Z151" s="9">
        <v>6</v>
      </c>
      <c r="AA151" s="9">
        <v>6</v>
      </c>
      <c r="AB151" s="9">
        <v>6</v>
      </c>
      <c r="AC151" s="9">
        <f t="shared" si="106"/>
        <v>320</v>
      </c>
      <c r="AD151" s="9">
        <f t="shared" si="107"/>
        <v>346</v>
      </c>
      <c r="AE151" s="9">
        <f t="shared" si="108"/>
        <v>346</v>
      </c>
      <c r="AF151" s="9">
        <f t="shared" si="109"/>
        <v>346</v>
      </c>
      <c r="AG151" s="9">
        <f t="shared" si="110"/>
        <v>346</v>
      </c>
      <c r="AH151" s="9">
        <f t="shared" si="111"/>
        <v>346</v>
      </c>
      <c r="AI151" s="7">
        <f t="shared" si="82"/>
        <v>79769.813333333339</v>
      </c>
      <c r="AJ151" s="7">
        <f t="shared" si="81"/>
        <v>79769.813333333339</v>
      </c>
      <c r="AK151" s="7">
        <f t="shared" si="81"/>
        <v>79769.813333333339</v>
      </c>
      <c r="AL151" s="7">
        <f t="shared" si="81"/>
        <v>79769.813333333339</v>
      </c>
      <c r="AM151" s="7">
        <f t="shared" si="81"/>
        <v>79769.813333333339</v>
      </c>
      <c r="AN151" s="7">
        <f t="shared" si="81"/>
        <v>79769.813333333339</v>
      </c>
      <c r="AO151" s="16"/>
      <c r="AP151" s="7"/>
      <c r="AQ151" s="9">
        <v>5</v>
      </c>
      <c r="AR151" s="9">
        <f t="shared" si="112"/>
        <v>361</v>
      </c>
      <c r="AS151" s="7">
        <f t="shared" si="113"/>
        <v>173</v>
      </c>
      <c r="AT151" s="7"/>
      <c r="AU151" s="16"/>
      <c r="AV151" s="7"/>
      <c r="AW151" s="7"/>
      <c r="AX151" s="7"/>
      <c r="AZ151" s="7"/>
      <c r="BA151" s="9">
        <f t="shared" si="119"/>
        <v>1045.5142857142857</v>
      </c>
      <c r="BC151" s="5">
        <f t="shared" si="114"/>
        <v>298</v>
      </c>
      <c r="BR151" s="5">
        <v>5302055</v>
      </c>
      <c r="BS151" s="18">
        <f>[1]monsters!$N151</f>
        <v>155.52000000000001</v>
      </c>
      <c r="BT151" s="18">
        <f>[1]monsters!$O151</f>
        <v>15.55</v>
      </c>
      <c r="BU151" s="18">
        <f>[1]monsters!$P151</f>
        <v>1920</v>
      </c>
      <c r="BV151" s="18">
        <f>[1]monsters!$Q151</f>
        <v>192</v>
      </c>
      <c r="BW151" s="18">
        <f>[1]monsters!$R151</f>
        <v>31.1</v>
      </c>
      <c r="BX151" s="18">
        <f>[1]monsters!$S151</f>
        <v>3.11</v>
      </c>
      <c r="BY151" s="18">
        <f>[1]monsters!$K151</f>
        <v>1.8</v>
      </c>
      <c r="BZ151" s="5">
        <f>[1]monsters!$D151</f>
        <v>2</v>
      </c>
      <c r="CA151" s="5">
        <f t="shared" si="115"/>
        <v>0.1</v>
      </c>
      <c r="CB151" s="5">
        <f t="shared" si="116"/>
        <v>211.61286464646466</v>
      </c>
      <c r="CC151" s="5">
        <f t="shared" si="117"/>
        <v>21.161286464646466</v>
      </c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>
        <v>0</v>
      </c>
      <c r="CR151" s="3" t="b">
        <f t="shared" si="88"/>
        <v>1</v>
      </c>
      <c r="CS151" s="3" t="b">
        <f t="shared" si="89"/>
        <v>1</v>
      </c>
      <c r="CT151" s="3" t="b">
        <f t="shared" si="90"/>
        <v>1</v>
      </c>
      <c r="CU151" s="3" t="b">
        <f t="shared" si="91"/>
        <v>1</v>
      </c>
      <c r="CV151" s="3" t="b">
        <f t="shared" si="92"/>
        <v>1</v>
      </c>
      <c r="CW151" s="3" t="b">
        <f t="shared" si="93"/>
        <v>1</v>
      </c>
      <c r="CX151" s="9" t="str">
        <f t="shared" si="94"/>
        <v>5302065</v>
      </c>
      <c r="CY151" s="9" t="str">
        <f t="shared" si="95"/>
        <v>5202062</v>
      </c>
      <c r="CZ151" s="9" t="str">
        <f t="shared" si="96"/>
        <v>5202065</v>
      </c>
      <c r="DA151" s="9" t="str">
        <f t="shared" si="97"/>
        <v>5401063</v>
      </c>
      <c r="DB151" s="9" t="str">
        <f t="shared" si="98"/>
        <v>5402062</v>
      </c>
      <c r="DC151" s="9" t="str">
        <f t="shared" si="99"/>
        <v>5401063</v>
      </c>
      <c r="DD151" s="9">
        <v>6</v>
      </c>
      <c r="DE151" s="9">
        <v>6</v>
      </c>
      <c r="DF151" s="9">
        <v>6</v>
      </c>
      <c r="DG151" s="9">
        <v>6</v>
      </c>
      <c r="DH151" s="9">
        <v>6</v>
      </c>
      <c r="DI151" s="9">
        <v>6</v>
      </c>
      <c r="DJ151" s="9">
        <v>5</v>
      </c>
      <c r="DK151" s="9">
        <v>5</v>
      </c>
      <c r="DL151" s="9">
        <v>5</v>
      </c>
      <c r="DM151" s="9">
        <v>5</v>
      </c>
      <c r="DN151" s="9">
        <v>5</v>
      </c>
      <c r="DO151" s="9">
        <v>5</v>
      </c>
      <c r="DP151" s="25" t="s">
        <v>221</v>
      </c>
      <c r="DQ151" s="27" t="s">
        <v>200</v>
      </c>
      <c r="DR151" s="25" t="s">
        <v>213</v>
      </c>
      <c r="DS151" s="25" t="s">
        <v>211</v>
      </c>
      <c r="DT151" s="25" t="s">
        <v>203</v>
      </c>
      <c r="DU151" s="25" t="s">
        <v>211</v>
      </c>
      <c r="DV151" s="25">
        <f t="shared" si="100"/>
        <v>1</v>
      </c>
      <c r="DW151" s="25">
        <f t="shared" si="101"/>
        <v>1</v>
      </c>
      <c r="DX151" s="25">
        <f t="shared" si="102"/>
        <v>1</v>
      </c>
      <c r="DY151" s="25">
        <f t="shared" si="103"/>
        <v>2</v>
      </c>
      <c r="DZ151" s="25">
        <f t="shared" si="104"/>
        <v>2</v>
      </c>
      <c r="EA151" s="3">
        <f t="shared" si="105"/>
        <v>2</v>
      </c>
      <c r="EB151" s="35"/>
      <c r="EC151" s="9">
        <v>5202063</v>
      </c>
      <c r="ED151" s="34" t="s">
        <v>208</v>
      </c>
      <c r="EE151" s="8">
        <v>1</v>
      </c>
    </row>
    <row r="152" spans="1:135" ht="13.5" customHeight="1">
      <c r="A152" s="9">
        <v>149</v>
      </c>
      <c r="B152" s="9">
        <v>1</v>
      </c>
      <c r="C152" s="9">
        <v>2001</v>
      </c>
      <c r="D152" s="9">
        <f t="shared" si="118"/>
        <v>593522</v>
      </c>
      <c r="E152" s="9" t="str">
        <f t="shared" si="85"/>
        <v>5202063,5202062,5202061,5501065,5400065,5501064</v>
      </c>
      <c r="F152" s="9" t="str">
        <f t="shared" si="86"/>
        <v>6,6,6,6,6,6</v>
      </c>
      <c r="G152" s="9" t="str">
        <f t="shared" si="87"/>
        <v>321,347,347,347,347,347</v>
      </c>
      <c r="H152" s="9">
        <v>114</v>
      </c>
      <c r="I152" s="9" t="s">
        <v>278</v>
      </c>
      <c r="J152" s="9" t="s">
        <v>279</v>
      </c>
      <c r="K152" s="9" t="s">
        <v>279</v>
      </c>
      <c r="L152" s="9" t="s">
        <v>279</v>
      </c>
      <c r="M152" s="9" t="s">
        <v>289</v>
      </c>
      <c r="O152" s="3">
        <f t="shared" si="84"/>
        <v>593522</v>
      </c>
      <c r="P152" s="9">
        <v>481755.12</v>
      </c>
      <c r="Q152" s="9">
        <v>5202063</v>
      </c>
      <c r="R152" s="9">
        <v>5202062</v>
      </c>
      <c r="S152" s="9">
        <v>5202061</v>
      </c>
      <c r="T152" s="9">
        <v>5501065</v>
      </c>
      <c r="U152" s="9">
        <v>5400065</v>
      </c>
      <c r="V152" s="9">
        <v>5501064</v>
      </c>
      <c r="W152" s="9">
        <v>6</v>
      </c>
      <c r="X152" s="9">
        <v>6</v>
      </c>
      <c r="Y152" s="9">
        <v>6</v>
      </c>
      <c r="Z152" s="9">
        <v>6</v>
      </c>
      <c r="AA152" s="9">
        <v>6</v>
      </c>
      <c r="AB152" s="9">
        <v>6</v>
      </c>
      <c r="AC152" s="9">
        <f t="shared" si="106"/>
        <v>321</v>
      </c>
      <c r="AD152" s="9">
        <f t="shared" si="107"/>
        <v>347</v>
      </c>
      <c r="AE152" s="9">
        <f t="shared" si="108"/>
        <v>347</v>
      </c>
      <c r="AF152" s="9">
        <f t="shared" si="109"/>
        <v>347</v>
      </c>
      <c r="AG152" s="9">
        <f t="shared" si="110"/>
        <v>347</v>
      </c>
      <c r="AH152" s="9">
        <f t="shared" si="111"/>
        <v>347</v>
      </c>
      <c r="AI152" s="7">
        <f t="shared" si="82"/>
        <v>80292.52</v>
      </c>
      <c r="AJ152" s="7">
        <f t="shared" si="81"/>
        <v>80292.52</v>
      </c>
      <c r="AK152" s="7">
        <f t="shared" si="81"/>
        <v>80292.52</v>
      </c>
      <c r="AL152" s="7">
        <f t="shared" si="81"/>
        <v>80292.52</v>
      </c>
      <c r="AM152" s="7">
        <f t="shared" si="81"/>
        <v>80292.52</v>
      </c>
      <c r="AN152" s="7">
        <f t="shared" si="81"/>
        <v>80292.52</v>
      </c>
      <c r="AO152" s="16"/>
      <c r="AP152" s="7"/>
      <c r="AQ152" s="9">
        <v>5</v>
      </c>
      <c r="AR152" s="9">
        <f t="shared" si="112"/>
        <v>362</v>
      </c>
      <c r="AS152" s="7">
        <f t="shared" si="113"/>
        <v>174</v>
      </c>
      <c r="AT152" s="7"/>
      <c r="AU152" s="16"/>
      <c r="AV152" s="7"/>
      <c r="AW152" s="7"/>
      <c r="AX152" s="7"/>
      <c r="AZ152" s="7"/>
      <c r="BA152" s="9">
        <f t="shared" si="119"/>
        <v>1568.2714285714287</v>
      </c>
      <c r="BC152" s="5">
        <f t="shared" si="114"/>
        <v>299</v>
      </c>
      <c r="BR152" s="5">
        <v>5301055</v>
      </c>
      <c r="BS152" s="18">
        <f>[1]monsters!$N152</f>
        <v>103.68</v>
      </c>
      <c r="BT152" s="18">
        <f>[1]monsters!$O152</f>
        <v>10.37</v>
      </c>
      <c r="BU152" s="18">
        <f>[1]monsters!$P152</f>
        <v>1920</v>
      </c>
      <c r="BV152" s="18">
        <f>[1]monsters!$Q152</f>
        <v>192</v>
      </c>
      <c r="BW152" s="18">
        <f>[1]monsters!$R152</f>
        <v>20.74</v>
      </c>
      <c r="BX152" s="18">
        <f>[1]monsters!$S152</f>
        <v>2.0699999999999998</v>
      </c>
      <c r="BY152" s="18">
        <f>[1]monsters!$K152</f>
        <v>1.2</v>
      </c>
      <c r="BZ152" s="5">
        <f>[1]monsters!$D152</f>
        <v>3</v>
      </c>
      <c r="CA152" s="5">
        <f t="shared" si="115"/>
        <v>0.1</v>
      </c>
      <c r="CB152" s="5">
        <f t="shared" si="116"/>
        <v>162.62406464646466</v>
      </c>
      <c r="CC152" s="5">
        <f t="shared" si="117"/>
        <v>16.262406464646467</v>
      </c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>
        <v>0</v>
      </c>
      <c r="CR152" s="3" t="b">
        <f t="shared" si="88"/>
        <v>1</v>
      </c>
      <c r="CS152" s="3" t="b">
        <f t="shared" si="89"/>
        <v>1</v>
      </c>
      <c r="CT152" s="3" t="b">
        <f t="shared" si="90"/>
        <v>1</v>
      </c>
      <c r="CU152" s="3" t="b">
        <f t="shared" si="91"/>
        <v>1</v>
      </c>
      <c r="CV152" s="3" t="b">
        <f t="shared" si="92"/>
        <v>1</v>
      </c>
      <c r="CW152" s="3" t="b">
        <f t="shared" si="93"/>
        <v>1</v>
      </c>
      <c r="CX152" s="9" t="str">
        <f t="shared" si="94"/>
        <v>5202063</v>
      </c>
      <c r="CY152" s="9" t="str">
        <f t="shared" si="95"/>
        <v>5202062</v>
      </c>
      <c r="CZ152" s="9" t="str">
        <f t="shared" si="96"/>
        <v>5202061</v>
      </c>
      <c r="DA152" s="9" t="str">
        <f t="shared" si="97"/>
        <v>5501065</v>
      </c>
      <c r="DB152" s="9" t="str">
        <f t="shared" si="98"/>
        <v>5400065</v>
      </c>
      <c r="DC152" s="9" t="str">
        <f t="shared" si="99"/>
        <v>5501064</v>
      </c>
      <c r="DD152" s="9">
        <v>6</v>
      </c>
      <c r="DE152" s="9">
        <v>6</v>
      </c>
      <c r="DF152" s="9">
        <v>6</v>
      </c>
      <c r="DG152" s="9">
        <v>6</v>
      </c>
      <c r="DH152" s="9">
        <v>6</v>
      </c>
      <c r="DI152" s="9">
        <v>6</v>
      </c>
      <c r="DJ152" s="9">
        <v>5</v>
      </c>
      <c r="DK152" s="9">
        <v>5</v>
      </c>
      <c r="DL152" s="9">
        <v>5</v>
      </c>
      <c r="DM152" s="9">
        <v>5</v>
      </c>
      <c r="DN152" s="9">
        <v>5</v>
      </c>
      <c r="DO152" s="9">
        <v>5</v>
      </c>
      <c r="DP152" s="25" t="s">
        <v>208</v>
      </c>
      <c r="DQ152" s="25" t="s">
        <v>200</v>
      </c>
      <c r="DR152" s="27" t="s">
        <v>111</v>
      </c>
      <c r="DS152" s="25" t="s">
        <v>209</v>
      </c>
      <c r="DT152" s="25" t="s">
        <v>210</v>
      </c>
      <c r="DU152" s="27" t="s">
        <v>214</v>
      </c>
      <c r="DV152" s="25">
        <f t="shared" si="100"/>
        <v>1</v>
      </c>
      <c r="DW152" s="25">
        <f t="shared" si="101"/>
        <v>1</v>
      </c>
      <c r="DX152" s="25">
        <f t="shared" si="102"/>
        <v>1</v>
      </c>
      <c r="DY152" s="25">
        <f t="shared" si="103"/>
        <v>2</v>
      </c>
      <c r="DZ152" s="25">
        <f t="shared" si="104"/>
        <v>2</v>
      </c>
      <c r="EA152" s="3">
        <f t="shared" si="105"/>
        <v>2</v>
      </c>
      <c r="EB152" s="35"/>
      <c r="EC152" s="9">
        <v>5301063</v>
      </c>
      <c r="ED152" s="34" t="s">
        <v>206</v>
      </c>
      <c r="EE152" s="8">
        <v>1</v>
      </c>
    </row>
    <row r="153" spans="1:135" ht="13.5" customHeight="1">
      <c r="A153" s="9">
        <v>150</v>
      </c>
      <c r="B153" s="9">
        <v>1</v>
      </c>
      <c r="C153" s="9">
        <v>2001</v>
      </c>
      <c r="D153" s="9">
        <f t="shared" si="118"/>
        <v>597396</v>
      </c>
      <c r="E153" s="9" t="str">
        <f t="shared" si="85"/>
        <v>5202061,5301062,5301061,5402061,5400065,5501064</v>
      </c>
      <c r="F153" s="9" t="str">
        <f t="shared" si="86"/>
        <v>6,6,6,6,6,6</v>
      </c>
      <c r="G153" s="9" t="str">
        <f t="shared" si="87"/>
        <v>322,349,349,349,349,349</v>
      </c>
      <c r="H153" s="9">
        <v>100</v>
      </c>
      <c r="I153" s="9" t="s">
        <v>278</v>
      </c>
      <c r="J153" s="9" t="s">
        <v>279</v>
      </c>
      <c r="K153" s="9" t="s">
        <v>279</v>
      </c>
      <c r="L153" s="9" t="s">
        <v>279</v>
      </c>
      <c r="M153" s="9" t="s">
        <v>289</v>
      </c>
      <c r="O153" s="3">
        <f t="shared" si="84"/>
        <v>597396</v>
      </c>
      <c r="P153" s="9">
        <v>484899.32</v>
      </c>
      <c r="Q153" s="9">
        <v>5202061</v>
      </c>
      <c r="R153" s="9">
        <v>5301062</v>
      </c>
      <c r="S153" s="9">
        <v>5301061</v>
      </c>
      <c r="T153" s="9">
        <v>5402061</v>
      </c>
      <c r="U153" s="9">
        <v>5400065</v>
      </c>
      <c r="V153" s="9">
        <v>5501064</v>
      </c>
      <c r="W153" s="9">
        <v>6</v>
      </c>
      <c r="X153" s="9">
        <v>6</v>
      </c>
      <c r="Y153" s="9">
        <v>6</v>
      </c>
      <c r="Z153" s="9">
        <v>6</v>
      </c>
      <c r="AA153" s="9">
        <v>6</v>
      </c>
      <c r="AB153" s="9">
        <v>6</v>
      </c>
      <c r="AC153" s="9">
        <f t="shared" si="106"/>
        <v>322</v>
      </c>
      <c r="AD153" s="9">
        <f t="shared" si="107"/>
        <v>349</v>
      </c>
      <c r="AE153" s="9">
        <f t="shared" si="108"/>
        <v>349</v>
      </c>
      <c r="AF153" s="9">
        <f t="shared" si="109"/>
        <v>349</v>
      </c>
      <c r="AG153" s="9">
        <f t="shared" si="110"/>
        <v>349</v>
      </c>
      <c r="AH153" s="9">
        <f t="shared" si="111"/>
        <v>349</v>
      </c>
      <c r="AI153" s="7">
        <f t="shared" si="82"/>
        <v>80816.55333333333</v>
      </c>
      <c r="AJ153" s="7">
        <f t="shared" si="81"/>
        <v>80816.55333333333</v>
      </c>
      <c r="AK153" s="7">
        <f t="shared" si="81"/>
        <v>80816.55333333333</v>
      </c>
      <c r="AL153" s="7">
        <f t="shared" ref="AJ153:AN204" si="120">$P153/6</f>
        <v>80816.55333333333</v>
      </c>
      <c r="AM153" s="7">
        <f t="shared" si="120"/>
        <v>80816.55333333333</v>
      </c>
      <c r="AN153" s="7">
        <f t="shared" si="120"/>
        <v>80816.55333333333</v>
      </c>
      <c r="AO153" s="16"/>
      <c r="AP153" s="7"/>
      <c r="AQ153" s="9">
        <v>5</v>
      </c>
      <c r="AR153" s="9">
        <f t="shared" si="112"/>
        <v>363</v>
      </c>
      <c r="AS153" s="7">
        <f t="shared" si="113"/>
        <v>175</v>
      </c>
      <c r="AT153" s="7"/>
      <c r="AU153" s="16"/>
      <c r="AV153" s="7"/>
      <c r="AW153" s="7"/>
      <c r="AX153" s="7"/>
      <c r="AY153" s="9">
        <v>5</v>
      </c>
      <c r="AZ153" s="7">
        <v>100</v>
      </c>
      <c r="BA153" s="9">
        <v>57291</v>
      </c>
      <c r="BC153" s="5">
        <f t="shared" si="114"/>
        <v>300</v>
      </c>
      <c r="BR153" s="5">
        <v>5400055</v>
      </c>
      <c r="BS153" s="18">
        <f>[1]monsters!$N153</f>
        <v>184.32</v>
      </c>
      <c r="BT153" s="18">
        <f>[1]monsters!$O153</f>
        <v>18.43</v>
      </c>
      <c r="BU153" s="18">
        <f>[1]monsters!$P153</f>
        <v>1440</v>
      </c>
      <c r="BV153" s="18">
        <f>[1]monsters!$Q153</f>
        <v>144</v>
      </c>
      <c r="BW153" s="18">
        <f>[1]monsters!$R153</f>
        <v>26.33</v>
      </c>
      <c r="BX153" s="18">
        <f>[1]monsters!$S153</f>
        <v>2.63</v>
      </c>
      <c r="BY153" s="18">
        <f>[1]monsters!$K153</f>
        <v>1.6</v>
      </c>
      <c r="BZ153" s="5">
        <f>[1]monsters!$D153</f>
        <v>4</v>
      </c>
      <c r="CA153" s="5">
        <f t="shared" si="115"/>
        <v>0.1</v>
      </c>
      <c r="CB153" s="5">
        <f t="shared" si="116"/>
        <v>222.66724848484847</v>
      </c>
      <c r="CC153" s="5">
        <f t="shared" si="117"/>
        <v>22.266724848484849</v>
      </c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>
        <v>1</v>
      </c>
      <c r="CR153" s="3" t="b">
        <f t="shared" si="88"/>
        <v>1</v>
      </c>
      <c r="CS153" s="3" t="b">
        <f t="shared" si="89"/>
        <v>1</v>
      </c>
      <c r="CT153" s="3" t="b">
        <f t="shared" si="90"/>
        <v>1</v>
      </c>
      <c r="CU153" s="3" t="b">
        <f t="shared" si="91"/>
        <v>1</v>
      </c>
      <c r="CV153" s="3" t="b">
        <f t="shared" si="92"/>
        <v>1</v>
      </c>
      <c r="CW153" s="3" t="b">
        <f t="shared" si="93"/>
        <v>1</v>
      </c>
      <c r="CX153" s="9" t="str">
        <f t="shared" si="94"/>
        <v>5202061</v>
      </c>
      <c r="CY153" s="9" t="str">
        <f t="shared" si="95"/>
        <v>5301062</v>
      </c>
      <c r="CZ153" s="9" t="str">
        <f t="shared" si="96"/>
        <v>5301061</v>
      </c>
      <c r="DA153" s="9" t="str">
        <f t="shared" si="97"/>
        <v>5402061</v>
      </c>
      <c r="DB153" s="9" t="str">
        <f t="shared" si="98"/>
        <v>5400065</v>
      </c>
      <c r="DC153" s="9" t="str">
        <f t="shared" si="99"/>
        <v>5501064</v>
      </c>
      <c r="DD153" s="9">
        <v>6</v>
      </c>
      <c r="DE153" s="9">
        <v>6</v>
      </c>
      <c r="DF153" s="9">
        <v>6</v>
      </c>
      <c r="DG153" s="9">
        <v>6</v>
      </c>
      <c r="DH153" s="9">
        <v>6</v>
      </c>
      <c r="DI153" s="9">
        <v>6</v>
      </c>
      <c r="DJ153" s="9">
        <v>5</v>
      </c>
      <c r="DK153" s="9">
        <v>5</v>
      </c>
      <c r="DL153" s="9">
        <v>5</v>
      </c>
      <c r="DM153" s="9">
        <v>5</v>
      </c>
      <c r="DN153" s="9">
        <v>5</v>
      </c>
      <c r="DO153" s="9">
        <v>5</v>
      </c>
      <c r="DP153" s="25" t="s">
        <v>111</v>
      </c>
      <c r="DQ153" s="25" t="s">
        <v>201</v>
      </c>
      <c r="DR153" s="25" t="s">
        <v>107</v>
      </c>
      <c r="DS153" s="25" t="s">
        <v>196</v>
      </c>
      <c r="DT153" s="25" t="s">
        <v>210</v>
      </c>
      <c r="DU153" s="25" t="s">
        <v>214</v>
      </c>
      <c r="DV153" s="25">
        <f t="shared" si="100"/>
        <v>1</v>
      </c>
      <c r="DW153" s="25">
        <f t="shared" si="101"/>
        <v>1</v>
      </c>
      <c r="DX153" s="25">
        <f t="shared" si="102"/>
        <v>1</v>
      </c>
      <c r="DY153" s="25">
        <f t="shared" si="103"/>
        <v>2</v>
      </c>
      <c r="DZ153" s="25">
        <f t="shared" si="104"/>
        <v>2</v>
      </c>
      <c r="EA153" s="3">
        <f t="shared" si="105"/>
        <v>2</v>
      </c>
      <c r="EB153" s="35"/>
      <c r="EC153" s="9">
        <v>5401063</v>
      </c>
      <c r="ED153" s="34" t="s">
        <v>211</v>
      </c>
      <c r="EE153" s="8">
        <v>2</v>
      </c>
    </row>
    <row r="154" spans="1:135" ht="13.5" customHeight="1">
      <c r="A154" s="9">
        <v>151</v>
      </c>
      <c r="B154" s="9">
        <v>1</v>
      </c>
      <c r="C154" s="9">
        <v>2001</v>
      </c>
      <c r="D154" s="9">
        <f t="shared" si="118"/>
        <v>636086</v>
      </c>
      <c r="E154" s="9" t="str">
        <f t="shared" si="85"/>
        <v>5302065,5202065,5202065,5400065,5400065,5400065</v>
      </c>
      <c r="F154" s="9" t="str">
        <f t="shared" si="86"/>
        <v>6,6,6,6,6,6</v>
      </c>
      <c r="G154" s="9" t="str">
        <f t="shared" si="87"/>
        <v>332,360,360,360,360,360</v>
      </c>
      <c r="H154" s="9">
        <v>100</v>
      </c>
      <c r="I154" s="9" t="s">
        <v>278</v>
      </c>
      <c r="J154" s="9" t="s">
        <v>279</v>
      </c>
      <c r="K154" s="9" t="s">
        <v>279</v>
      </c>
      <c r="L154" s="9" t="s">
        <v>279</v>
      </c>
      <c r="M154" s="9" t="s">
        <v>290</v>
      </c>
      <c r="O154" s="3">
        <f t="shared" si="84"/>
        <v>636086</v>
      </c>
      <c r="P154" s="9">
        <v>516303.51</v>
      </c>
      <c r="Q154" s="9">
        <v>5302065</v>
      </c>
      <c r="R154" s="9">
        <v>5202065</v>
      </c>
      <c r="S154" s="9">
        <v>5202065</v>
      </c>
      <c r="T154" s="9">
        <v>5400065</v>
      </c>
      <c r="U154" s="9">
        <v>5400065</v>
      </c>
      <c r="V154" s="9">
        <v>5400065</v>
      </c>
      <c r="W154" s="9">
        <v>6</v>
      </c>
      <c r="X154" s="9">
        <v>6</v>
      </c>
      <c r="Y154" s="9">
        <v>6</v>
      </c>
      <c r="Z154" s="9">
        <v>6</v>
      </c>
      <c r="AA154" s="9">
        <v>6</v>
      </c>
      <c r="AB154" s="9">
        <v>6</v>
      </c>
      <c r="AC154" s="9">
        <f t="shared" si="106"/>
        <v>332</v>
      </c>
      <c r="AD154" s="9">
        <f t="shared" si="107"/>
        <v>360</v>
      </c>
      <c r="AE154" s="9">
        <f t="shared" si="108"/>
        <v>360</v>
      </c>
      <c r="AF154" s="9">
        <f t="shared" si="109"/>
        <v>360</v>
      </c>
      <c r="AG154" s="9">
        <f t="shared" si="110"/>
        <v>360</v>
      </c>
      <c r="AH154" s="9">
        <f t="shared" si="111"/>
        <v>360</v>
      </c>
      <c r="AI154" s="7">
        <f t="shared" si="82"/>
        <v>86050.585000000006</v>
      </c>
      <c r="AJ154" s="7">
        <f t="shared" si="120"/>
        <v>86050.585000000006</v>
      </c>
      <c r="AK154" s="7">
        <f t="shared" si="120"/>
        <v>86050.585000000006</v>
      </c>
      <c r="AL154" s="7">
        <f t="shared" si="120"/>
        <v>86050.585000000006</v>
      </c>
      <c r="AM154" s="7">
        <f t="shared" si="120"/>
        <v>86050.585000000006</v>
      </c>
      <c r="AN154" s="7">
        <f t="shared" si="120"/>
        <v>86050.585000000006</v>
      </c>
      <c r="AO154" s="16"/>
      <c r="AP154" s="7"/>
      <c r="AQ154" s="9">
        <v>6</v>
      </c>
      <c r="AR154" s="9">
        <f t="shared" si="112"/>
        <v>310</v>
      </c>
      <c r="AS154" s="7">
        <f>FLOOR((A154-150)/2,1)+175</f>
        <v>175</v>
      </c>
      <c r="AT154" s="7"/>
      <c r="AU154" s="16"/>
      <c r="AV154" s="7"/>
      <c r="AW154" s="7"/>
      <c r="AX154" s="7"/>
      <c r="AZ154" s="7"/>
      <c r="BA154" s="9">
        <f>BA153+($BA$253-$BA$153)/($A$253-$A$153)</f>
        <v>59382.15</v>
      </c>
      <c r="BC154" s="5">
        <f t="shared" si="114"/>
        <v>310</v>
      </c>
      <c r="BR154" s="5">
        <v>5402055</v>
      </c>
      <c r="BS154" s="18">
        <f>[1]monsters!$N154</f>
        <v>172.8</v>
      </c>
      <c r="BT154" s="18">
        <f>[1]monsters!$O154</f>
        <v>17.28</v>
      </c>
      <c r="BU154" s="18">
        <f>[1]monsters!$P154</f>
        <v>1440</v>
      </c>
      <c r="BV154" s="18">
        <f>[1]monsters!$Q154</f>
        <v>144</v>
      </c>
      <c r="BW154" s="18">
        <f>[1]monsters!$R154</f>
        <v>24.69</v>
      </c>
      <c r="BX154" s="18">
        <f>[1]monsters!$S154</f>
        <v>2.4700000000000002</v>
      </c>
      <c r="BY154" s="18">
        <f>[1]monsters!$K154</f>
        <v>1.5</v>
      </c>
      <c r="BZ154" s="5">
        <f>[1]monsters!$D154</f>
        <v>4</v>
      </c>
      <c r="CA154" s="5">
        <f t="shared" si="115"/>
        <v>0.1</v>
      </c>
      <c r="CB154" s="5">
        <f t="shared" si="116"/>
        <v>211.78084848484849</v>
      </c>
      <c r="CC154" s="5">
        <f t="shared" si="117"/>
        <v>21.178084848484851</v>
      </c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>
        <v>0</v>
      </c>
      <c r="CR154" s="3" t="b">
        <f t="shared" si="88"/>
        <v>1</v>
      </c>
      <c r="CS154" s="3" t="b">
        <f t="shared" si="89"/>
        <v>1</v>
      </c>
      <c r="CT154" s="3" t="b">
        <f t="shared" si="90"/>
        <v>1</v>
      </c>
      <c r="CU154" s="3" t="b">
        <f t="shared" si="91"/>
        <v>1</v>
      </c>
      <c r="CV154" s="3" t="b">
        <f t="shared" si="92"/>
        <v>1</v>
      </c>
      <c r="CW154" s="3" t="b">
        <f t="shared" si="93"/>
        <v>1</v>
      </c>
      <c r="CX154" s="9" t="str">
        <f t="shared" si="94"/>
        <v>5302065</v>
      </c>
      <c r="CY154" s="9" t="str">
        <f t="shared" si="95"/>
        <v>5202065</v>
      </c>
      <c r="CZ154" s="9" t="str">
        <f t="shared" si="96"/>
        <v>5202065</v>
      </c>
      <c r="DA154" s="9" t="str">
        <f t="shared" si="97"/>
        <v>5400065</v>
      </c>
      <c r="DB154" s="9" t="str">
        <f t="shared" si="98"/>
        <v>5400065</v>
      </c>
      <c r="DC154" s="9" t="str">
        <f t="shared" si="99"/>
        <v>5400065</v>
      </c>
      <c r="DD154" s="9">
        <v>6</v>
      </c>
      <c r="DE154" s="9">
        <v>6</v>
      </c>
      <c r="DF154" s="9">
        <v>6</v>
      </c>
      <c r="DG154" s="9">
        <v>6</v>
      </c>
      <c r="DH154" s="9">
        <v>6</v>
      </c>
      <c r="DI154" s="9">
        <v>6</v>
      </c>
      <c r="DJ154" s="9">
        <v>5</v>
      </c>
      <c r="DK154" s="9">
        <v>5</v>
      </c>
      <c r="DL154" s="9">
        <v>5</v>
      </c>
      <c r="DM154" s="9">
        <v>5</v>
      </c>
      <c r="DN154" s="9">
        <v>5</v>
      </c>
      <c r="DO154" s="9">
        <v>5</v>
      </c>
      <c r="DP154" s="25" t="s">
        <v>221</v>
      </c>
      <c r="DQ154" s="25" t="s">
        <v>213</v>
      </c>
      <c r="DR154" s="25" t="s">
        <v>213</v>
      </c>
      <c r="DS154" s="25" t="s">
        <v>210</v>
      </c>
      <c r="DT154" s="25" t="s">
        <v>210</v>
      </c>
      <c r="DU154" s="25" t="s">
        <v>210</v>
      </c>
      <c r="DV154" s="25">
        <f t="shared" si="100"/>
        <v>1</v>
      </c>
      <c r="DW154" s="25">
        <f t="shared" si="101"/>
        <v>1</v>
      </c>
      <c r="DX154" s="25">
        <f t="shared" si="102"/>
        <v>1</v>
      </c>
      <c r="DY154" s="25">
        <f t="shared" si="103"/>
        <v>2</v>
      </c>
      <c r="DZ154" s="25">
        <f t="shared" si="104"/>
        <v>2</v>
      </c>
      <c r="EA154" s="3">
        <f t="shared" si="105"/>
        <v>2</v>
      </c>
      <c r="EB154" s="35"/>
      <c r="EC154" s="9">
        <v>5402063</v>
      </c>
      <c r="ED154" s="34" t="s">
        <v>118</v>
      </c>
      <c r="EE154" s="8">
        <v>2</v>
      </c>
    </row>
    <row r="155" spans="1:135" ht="13.5" customHeight="1">
      <c r="A155" s="9">
        <v>152</v>
      </c>
      <c r="B155" s="9">
        <v>1</v>
      </c>
      <c r="C155" s="9">
        <v>2001</v>
      </c>
      <c r="D155" s="9">
        <f t="shared" si="118"/>
        <v>675318</v>
      </c>
      <c r="E155" s="9" t="str">
        <f t="shared" si="85"/>
        <v>5301061,5301062,5301062,5500062,5501065,5502063</v>
      </c>
      <c r="F155" s="9" t="str">
        <f t="shared" si="86"/>
        <v>6,6,6,6,6,6</v>
      </c>
      <c r="G155" s="9" t="str">
        <f t="shared" si="87"/>
        <v>343,371,371,371,371,371</v>
      </c>
      <c r="H155" s="9">
        <v>100</v>
      </c>
      <c r="I155" s="9" t="s">
        <v>278</v>
      </c>
      <c r="J155" s="9" t="s">
        <v>279</v>
      </c>
      <c r="K155" s="9" t="s">
        <v>279</v>
      </c>
      <c r="L155" s="9" t="s">
        <v>279</v>
      </c>
      <c r="M155" s="9" t="s">
        <v>290</v>
      </c>
      <c r="O155" s="3">
        <f t="shared" si="84"/>
        <v>675318</v>
      </c>
      <c r="P155" s="9">
        <v>548147.49</v>
      </c>
      <c r="Q155" s="9">
        <v>5301061</v>
      </c>
      <c r="R155" s="9">
        <v>5301062</v>
      </c>
      <c r="S155" s="9">
        <v>5301062</v>
      </c>
      <c r="T155" s="9">
        <v>5500062</v>
      </c>
      <c r="U155" s="9">
        <v>5501065</v>
      </c>
      <c r="V155" s="9">
        <v>5502063</v>
      </c>
      <c r="W155" s="9">
        <v>6</v>
      </c>
      <c r="X155" s="9">
        <v>6</v>
      </c>
      <c r="Y155" s="9">
        <v>6</v>
      </c>
      <c r="Z155" s="9">
        <v>6</v>
      </c>
      <c r="AA155" s="9">
        <v>6</v>
      </c>
      <c r="AB155" s="9">
        <v>6</v>
      </c>
      <c r="AC155" s="9">
        <f t="shared" si="106"/>
        <v>343</v>
      </c>
      <c r="AD155" s="9">
        <f t="shared" si="107"/>
        <v>371</v>
      </c>
      <c r="AE155" s="9">
        <f t="shared" si="108"/>
        <v>371</v>
      </c>
      <c r="AF155" s="9">
        <f t="shared" si="109"/>
        <v>371</v>
      </c>
      <c r="AG155" s="9">
        <f t="shared" si="110"/>
        <v>371</v>
      </c>
      <c r="AH155" s="9">
        <f t="shared" si="111"/>
        <v>371</v>
      </c>
      <c r="AI155" s="7">
        <f t="shared" si="82"/>
        <v>91357.914999999994</v>
      </c>
      <c r="AJ155" s="7">
        <f t="shared" si="120"/>
        <v>91357.914999999994</v>
      </c>
      <c r="AK155" s="7">
        <f t="shared" si="120"/>
        <v>91357.914999999994</v>
      </c>
      <c r="AL155" s="7">
        <f t="shared" si="120"/>
        <v>91357.914999999994</v>
      </c>
      <c r="AM155" s="7">
        <f t="shared" si="120"/>
        <v>91357.914999999994</v>
      </c>
      <c r="AN155" s="7">
        <f t="shared" si="120"/>
        <v>91357.914999999994</v>
      </c>
      <c r="AO155" s="16"/>
      <c r="AP155" s="7"/>
      <c r="AQ155" s="9">
        <v>6</v>
      </c>
      <c r="AR155" s="9">
        <f t="shared" si="112"/>
        <v>320</v>
      </c>
      <c r="AS155" s="7">
        <f t="shared" ref="AS155:AS218" si="121">FLOOR((A155-150)/2,1)+175</f>
        <v>176</v>
      </c>
      <c r="AT155" s="7"/>
      <c r="AU155" s="16"/>
      <c r="AV155" s="7"/>
      <c r="AW155" s="7"/>
      <c r="AX155" s="7"/>
      <c r="AZ155" s="7"/>
      <c r="BA155" s="9">
        <f t="shared" ref="BA155:BA218" si="122">BA154+($BA$253-$BA$153)/($A$253-$A$153)</f>
        <v>61473.3</v>
      </c>
      <c r="BC155" s="5">
        <f t="shared" si="114"/>
        <v>320</v>
      </c>
      <c r="BR155" s="5">
        <v>5500055</v>
      </c>
      <c r="BS155" s="18">
        <f>[1]monsters!$N155</f>
        <v>201.6</v>
      </c>
      <c r="BT155" s="18">
        <f>[1]monsters!$O155</f>
        <v>20.16</v>
      </c>
      <c r="BU155" s="18">
        <f>[1]monsters!$P155</f>
        <v>1234.29</v>
      </c>
      <c r="BV155" s="18">
        <f>[1]monsters!$Q155</f>
        <v>123.43</v>
      </c>
      <c r="BW155" s="18">
        <f>[1]monsters!$R155</f>
        <v>25.2</v>
      </c>
      <c r="BX155" s="18">
        <f>[1]monsters!$S155</f>
        <v>2.52</v>
      </c>
      <c r="BY155" s="18">
        <f>[1]monsters!$K155</f>
        <v>1.5</v>
      </c>
      <c r="BZ155" s="5">
        <f>[1]monsters!$D155</f>
        <v>5</v>
      </c>
      <c r="CA155" s="5">
        <f t="shared" si="115"/>
        <v>0.1</v>
      </c>
      <c r="CB155" s="5">
        <f t="shared" si="116"/>
        <v>232.07058585858584</v>
      </c>
      <c r="CC155" s="5">
        <f t="shared" si="117"/>
        <v>23.207058585858586</v>
      </c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>
        <v>0</v>
      </c>
      <c r="CR155" s="3" t="b">
        <f t="shared" si="88"/>
        <v>1</v>
      </c>
      <c r="CS155" s="3" t="b">
        <f t="shared" si="89"/>
        <v>1</v>
      </c>
      <c r="CT155" s="3" t="b">
        <f t="shared" si="90"/>
        <v>1</v>
      </c>
      <c r="CU155" s="3" t="b">
        <f t="shared" si="91"/>
        <v>1</v>
      </c>
      <c r="CV155" s="3" t="b">
        <f t="shared" si="92"/>
        <v>1</v>
      </c>
      <c r="CW155" s="3" t="b">
        <f t="shared" si="93"/>
        <v>1</v>
      </c>
      <c r="CX155" s="9" t="str">
        <f t="shared" si="94"/>
        <v>5301061</v>
      </c>
      <c r="CY155" s="9" t="str">
        <f t="shared" si="95"/>
        <v>5301062</v>
      </c>
      <c r="CZ155" s="9" t="str">
        <f t="shared" si="96"/>
        <v>5301062</v>
      </c>
      <c r="DA155" s="9" t="str">
        <f t="shared" si="97"/>
        <v>5500062</v>
      </c>
      <c r="DB155" s="9" t="str">
        <f t="shared" si="98"/>
        <v>5501065</v>
      </c>
      <c r="DC155" s="9" t="str">
        <f t="shared" si="99"/>
        <v>5502063</v>
      </c>
      <c r="DD155" s="9">
        <v>6</v>
      </c>
      <c r="DE155" s="9">
        <v>6</v>
      </c>
      <c r="DF155" s="9">
        <v>6</v>
      </c>
      <c r="DG155" s="9">
        <v>6</v>
      </c>
      <c r="DH155" s="9">
        <v>6</v>
      </c>
      <c r="DI155" s="9">
        <v>6</v>
      </c>
      <c r="DJ155" s="9">
        <v>5</v>
      </c>
      <c r="DK155" s="9">
        <v>5</v>
      </c>
      <c r="DL155" s="9">
        <v>5</v>
      </c>
      <c r="DM155" s="9">
        <v>5</v>
      </c>
      <c r="DN155" s="9">
        <v>5</v>
      </c>
      <c r="DO155" s="9">
        <v>5</v>
      </c>
      <c r="DP155" s="25" t="s">
        <v>107</v>
      </c>
      <c r="DQ155" s="25" t="s">
        <v>201</v>
      </c>
      <c r="DR155" s="25" t="s">
        <v>201</v>
      </c>
      <c r="DS155" s="25" t="s">
        <v>109</v>
      </c>
      <c r="DT155" s="25" t="s">
        <v>209</v>
      </c>
      <c r="DU155" s="25" t="s">
        <v>215</v>
      </c>
      <c r="DV155" s="25">
        <f t="shared" si="100"/>
        <v>1</v>
      </c>
      <c r="DW155" s="25">
        <f t="shared" si="101"/>
        <v>1</v>
      </c>
      <c r="DX155" s="25">
        <f t="shared" si="102"/>
        <v>1</v>
      </c>
      <c r="DY155" s="25">
        <f t="shared" si="103"/>
        <v>2</v>
      </c>
      <c r="DZ155" s="25">
        <f t="shared" si="104"/>
        <v>2</v>
      </c>
      <c r="EA155" s="3">
        <f t="shared" si="105"/>
        <v>2</v>
      </c>
      <c r="EB155" s="35"/>
      <c r="EC155" s="9">
        <v>5500063</v>
      </c>
      <c r="ED155" s="34" t="s">
        <v>207</v>
      </c>
      <c r="EE155" s="8">
        <v>2</v>
      </c>
    </row>
    <row r="156" spans="1:135" ht="14.25">
      <c r="A156" s="9">
        <v>153</v>
      </c>
      <c r="B156" s="9">
        <v>1</v>
      </c>
      <c r="C156" s="9">
        <v>2001</v>
      </c>
      <c r="D156" s="9">
        <f t="shared" si="118"/>
        <v>715599</v>
      </c>
      <c r="E156" s="9" t="str">
        <f t="shared" si="85"/>
        <v>5201063,5200063,5301061,5501064,5500063,5501064</v>
      </c>
      <c r="F156" s="9" t="str">
        <f t="shared" si="86"/>
        <v>6,6,6,6,6,6</v>
      </c>
      <c r="G156" s="9" t="str">
        <f t="shared" si="87"/>
        <v>353,382,382,382,382,382</v>
      </c>
      <c r="H156" s="9">
        <v>101</v>
      </c>
      <c r="I156" s="9" t="s">
        <v>278</v>
      </c>
      <c r="J156" s="9" t="s">
        <v>279</v>
      </c>
      <c r="K156" s="9" t="s">
        <v>279</v>
      </c>
      <c r="L156" s="9" t="s">
        <v>279</v>
      </c>
      <c r="M156" s="9" t="s">
        <v>290</v>
      </c>
      <c r="O156" s="3">
        <f t="shared" si="84"/>
        <v>715599</v>
      </c>
      <c r="P156" s="9">
        <v>580843.18999999994</v>
      </c>
      <c r="Q156" s="9">
        <v>5201063</v>
      </c>
      <c r="R156" s="9">
        <v>5200063</v>
      </c>
      <c r="S156" s="9">
        <v>5301061</v>
      </c>
      <c r="T156" s="9">
        <v>5501064</v>
      </c>
      <c r="U156" s="9">
        <v>5500063</v>
      </c>
      <c r="V156" s="9">
        <v>5501064</v>
      </c>
      <c r="W156" s="9">
        <v>6</v>
      </c>
      <c r="X156" s="9">
        <v>6</v>
      </c>
      <c r="Y156" s="9">
        <v>6</v>
      </c>
      <c r="Z156" s="9">
        <v>6</v>
      </c>
      <c r="AA156" s="9">
        <v>6</v>
      </c>
      <c r="AB156" s="9">
        <v>6</v>
      </c>
      <c r="AC156" s="9">
        <f t="shared" si="106"/>
        <v>353</v>
      </c>
      <c r="AD156" s="9">
        <f t="shared" si="107"/>
        <v>382</v>
      </c>
      <c r="AE156" s="9">
        <f t="shared" si="108"/>
        <v>382</v>
      </c>
      <c r="AF156" s="9">
        <f t="shared" si="109"/>
        <v>382</v>
      </c>
      <c r="AG156" s="9">
        <f t="shared" si="110"/>
        <v>382</v>
      </c>
      <c r="AH156" s="9">
        <f t="shared" si="111"/>
        <v>382</v>
      </c>
      <c r="AI156" s="7">
        <f t="shared" si="82"/>
        <v>96807.198333333319</v>
      </c>
      <c r="AJ156" s="7">
        <f t="shared" si="120"/>
        <v>96807.198333333319</v>
      </c>
      <c r="AK156" s="7">
        <f t="shared" si="120"/>
        <v>96807.198333333319</v>
      </c>
      <c r="AL156" s="7">
        <f t="shared" si="120"/>
        <v>96807.198333333319</v>
      </c>
      <c r="AM156" s="7">
        <f t="shared" si="120"/>
        <v>96807.198333333319</v>
      </c>
      <c r="AN156" s="7">
        <f t="shared" si="120"/>
        <v>96807.198333333319</v>
      </c>
      <c r="AO156" s="16"/>
      <c r="AP156" s="7"/>
      <c r="AQ156" s="9">
        <v>6</v>
      </c>
      <c r="AR156" s="9">
        <f t="shared" si="112"/>
        <v>330</v>
      </c>
      <c r="AS156" s="7">
        <f t="shared" si="121"/>
        <v>176</v>
      </c>
      <c r="AT156" s="7"/>
      <c r="AU156" s="16"/>
      <c r="AV156" s="7"/>
      <c r="AW156" s="7"/>
      <c r="AX156" s="7"/>
      <c r="AZ156" s="7"/>
      <c r="BA156" s="9">
        <f t="shared" si="122"/>
        <v>63564.450000000004</v>
      </c>
      <c r="BC156" s="5">
        <f t="shared" si="114"/>
        <v>330</v>
      </c>
      <c r="BR156" s="5">
        <v>5502055</v>
      </c>
      <c r="BS156" s="18">
        <f>[1]monsters!$N156</f>
        <v>188.16</v>
      </c>
      <c r="BT156" s="18">
        <f>[1]monsters!$O156</f>
        <v>18.82</v>
      </c>
      <c r="BU156" s="18">
        <f>[1]monsters!$P156</f>
        <v>1234.29</v>
      </c>
      <c r="BV156" s="18">
        <f>[1]monsters!$Q156</f>
        <v>123.43</v>
      </c>
      <c r="BW156" s="18">
        <f>[1]monsters!$R156</f>
        <v>23.52</v>
      </c>
      <c r="BX156" s="18">
        <f>[1]monsters!$S156</f>
        <v>2.35</v>
      </c>
      <c r="BY156" s="18">
        <f>[1]monsters!$K156</f>
        <v>1.4</v>
      </c>
      <c r="BZ156" s="5">
        <f>[1]monsters!$D156</f>
        <v>5</v>
      </c>
      <c r="CA156" s="5">
        <f t="shared" si="115"/>
        <v>0.1</v>
      </c>
      <c r="CB156" s="5">
        <f t="shared" si="116"/>
        <v>219.36978585858586</v>
      </c>
      <c r="CC156" s="5">
        <f t="shared" si="117"/>
        <v>21.936978585858586</v>
      </c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>
        <v>0</v>
      </c>
      <c r="CR156" s="3" t="b">
        <f t="shared" si="88"/>
        <v>1</v>
      </c>
      <c r="CS156" s="3" t="b">
        <f t="shared" si="89"/>
        <v>1</v>
      </c>
      <c r="CT156" s="3" t="b">
        <f t="shared" si="90"/>
        <v>1</v>
      </c>
      <c r="CU156" s="3" t="b">
        <f t="shared" si="91"/>
        <v>1</v>
      </c>
      <c r="CV156" s="3" t="b">
        <f t="shared" si="92"/>
        <v>1</v>
      </c>
      <c r="CW156" s="3" t="b">
        <f t="shared" si="93"/>
        <v>1</v>
      </c>
      <c r="CX156" s="9" t="str">
        <f t="shared" si="94"/>
        <v>5201063</v>
      </c>
      <c r="CY156" s="9" t="str">
        <f t="shared" si="95"/>
        <v>5200063</v>
      </c>
      <c r="CZ156" s="9" t="str">
        <f t="shared" si="96"/>
        <v>5301061</v>
      </c>
      <c r="DA156" s="9" t="str">
        <f t="shared" si="97"/>
        <v>5501064</v>
      </c>
      <c r="DB156" s="9" t="str">
        <f t="shared" si="98"/>
        <v>5500063</v>
      </c>
      <c r="DC156" s="9" t="str">
        <f t="shared" si="99"/>
        <v>5501064</v>
      </c>
      <c r="DD156" s="9">
        <v>6</v>
      </c>
      <c r="DE156" s="9">
        <v>6</v>
      </c>
      <c r="DF156" s="9">
        <v>6</v>
      </c>
      <c r="DG156" s="9">
        <v>6</v>
      </c>
      <c r="DH156" s="9">
        <v>6</v>
      </c>
      <c r="DI156" s="9">
        <v>6</v>
      </c>
      <c r="DJ156" s="9">
        <v>5</v>
      </c>
      <c r="DK156" s="9">
        <v>5</v>
      </c>
      <c r="DL156" s="9">
        <v>5</v>
      </c>
      <c r="DM156" s="9">
        <v>5</v>
      </c>
      <c r="DN156" s="9">
        <v>5</v>
      </c>
      <c r="DO156" s="9">
        <v>5</v>
      </c>
      <c r="DP156" s="25" t="s">
        <v>205</v>
      </c>
      <c r="DQ156" s="25" t="s">
        <v>113</v>
      </c>
      <c r="DR156" s="25" t="s">
        <v>107</v>
      </c>
      <c r="DS156" s="25" t="s">
        <v>214</v>
      </c>
      <c r="DT156" s="25" t="s">
        <v>207</v>
      </c>
      <c r="DU156" s="25" t="s">
        <v>214</v>
      </c>
      <c r="DV156" s="25">
        <f t="shared" si="100"/>
        <v>1</v>
      </c>
      <c r="DW156" s="25">
        <f t="shared" si="101"/>
        <v>1</v>
      </c>
      <c r="DX156" s="25">
        <f t="shared" si="102"/>
        <v>1</v>
      </c>
      <c r="DY156" s="25">
        <f t="shared" si="103"/>
        <v>2</v>
      </c>
      <c r="DZ156" s="25">
        <f t="shared" si="104"/>
        <v>2</v>
      </c>
      <c r="EA156" s="3">
        <f t="shared" si="105"/>
        <v>2</v>
      </c>
      <c r="EB156" s="35"/>
      <c r="EC156" s="9">
        <v>5502063</v>
      </c>
      <c r="ED156" s="34" t="s">
        <v>215</v>
      </c>
      <c r="EE156" s="8">
        <v>2</v>
      </c>
    </row>
    <row r="157" spans="1:135" ht="13.5" customHeight="1">
      <c r="A157" s="9">
        <v>154</v>
      </c>
      <c r="B157" s="9">
        <v>1</v>
      </c>
      <c r="C157" s="9">
        <v>2001</v>
      </c>
      <c r="D157" s="9">
        <f t="shared" si="118"/>
        <v>755931</v>
      </c>
      <c r="E157" s="9" t="str">
        <f t="shared" si="85"/>
        <v>5200063,5200063,5201062,5401063,5402062,5401063</v>
      </c>
      <c r="F157" s="9" t="str">
        <f t="shared" si="86"/>
        <v>6,6,6,6,6,6</v>
      </c>
      <c r="G157" s="9" t="str">
        <f t="shared" si="87"/>
        <v>363,393,393,393,393,393</v>
      </c>
      <c r="H157" s="9">
        <v>101</v>
      </c>
      <c r="I157" s="9" t="s">
        <v>278</v>
      </c>
      <c r="J157" s="9" t="s">
        <v>279</v>
      </c>
      <c r="K157" s="9" t="s">
        <v>279</v>
      </c>
      <c r="L157" s="9" t="s">
        <v>279</v>
      </c>
      <c r="M157" s="9" t="s">
        <v>290</v>
      </c>
      <c r="O157" s="3">
        <f t="shared" si="84"/>
        <v>755931</v>
      </c>
      <c r="P157" s="9">
        <v>613580.68000000005</v>
      </c>
      <c r="Q157" s="9">
        <v>5200063</v>
      </c>
      <c r="R157" s="9">
        <v>5200063</v>
      </c>
      <c r="S157" s="9">
        <v>5201062</v>
      </c>
      <c r="T157" s="9">
        <v>5401063</v>
      </c>
      <c r="U157" s="9">
        <v>5402062</v>
      </c>
      <c r="V157" s="9">
        <v>5401063</v>
      </c>
      <c r="W157" s="9">
        <v>6</v>
      </c>
      <c r="X157" s="9">
        <v>6</v>
      </c>
      <c r="Y157" s="9">
        <v>6</v>
      </c>
      <c r="Z157" s="9">
        <v>6</v>
      </c>
      <c r="AA157" s="9">
        <v>6</v>
      </c>
      <c r="AB157" s="9">
        <v>6</v>
      </c>
      <c r="AC157" s="9">
        <f t="shared" si="106"/>
        <v>363</v>
      </c>
      <c r="AD157" s="9">
        <f t="shared" si="107"/>
        <v>393</v>
      </c>
      <c r="AE157" s="9">
        <f t="shared" si="108"/>
        <v>393</v>
      </c>
      <c r="AF157" s="9">
        <f t="shared" si="109"/>
        <v>393</v>
      </c>
      <c r="AG157" s="9">
        <f t="shared" si="110"/>
        <v>393</v>
      </c>
      <c r="AH157" s="9">
        <f t="shared" si="111"/>
        <v>393</v>
      </c>
      <c r="AI157" s="7">
        <f t="shared" si="82"/>
        <v>102263.44666666667</v>
      </c>
      <c r="AJ157" s="7">
        <f t="shared" si="120"/>
        <v>102263.44666666667</v>
      </c>
      <c r="AK157" s="7">
        <f t="shared" si="120"/>
        <v>102263.44666666667</v>
      </c>
      <c r="AL157" s="7">
        <f t="shared" si="120"/>
        <v>102263.44666666667</v>
      </c>
      <c r="AM157" s="7">
        <f t="shared" si="120"/>
        <v>102263.44666666667</v>
      </c>
      <c r="AN157" s="7">
        <f t="shared" si="120"/>
        <v>102263.44666666667</v>
      </c>
      <c r="AO157" s="16"/>
      <c r="AP157" s="7"/>
      <c r="AQ157" s="9">
        <v>6</v>
      </c>
      <c r="AR157" s="9">
        <f t="shared" si="112"/>
        <v>339</v>
      </c>
      <c r="AS157" s="7">
        <f t="shared" si="121"/>
        <v>177</v>
      </c>
      <c r="AT157" s="7"/>
      <c r="AU157" s="16"/>
      <c r="AV157" s="7"/>
      <c r="AW157" s="7"/>
      <c r="AX157" s="7"/>
      <c r="AZ157" s="7"/>
      <c r="BA157" s="9">
        <f t="shared" si="122"/>
        <v>65655.600000000006</v>
      </c>
      <c r="BC157" s="5">
        <f t="shared" si="114"/>
        <v>339</v>
      </c>
      <c r="BR157" s="5">
        <v>5600055</v>
      </c>
      <c r="BS157" s="18">
        <f>[1]monsters!$N157</f>
        <v>223.2</v>
      </c>
      <c r="BT157" s="18">
        <f>[1]monsters!$O157</f>
        <v>22.32</v>
      </c>
      <c r="BU157" s="18">
        <f>[1]monsters!$P157</f>
        <v>1114.8399999999999</v>
      </c>
      <c r="BV157" s="18">
        <f>[1]monsters!$Q157</f>
        <v>111.48</v>
      </c>
      <c r="BW157" s="18">
        <f>[1]monsters!$R157</f>
        <v>22.32</v>
      </c>
      <c r="BX157" s="18">
        <f>[1]monsters!$S157</f>
        <v>2.23</v>
      </c>
      <c r="BY157" s="18">
        <f>[1]monsters!$K157</f>
        <v>1.5</v>
      </c>
      <c r="BZ157" s="5">
        <f>[1]monsters!$D157</f>
        <v>6</v>
      </c>
      <c r="CA157" s="5">
        <f t="shared" si="115"/>
        <v>0.1</v>
      </c>
      <c r="CB157" s="5">
        <f t="shared" si="116"/>
        <v>248.46070033670031</v>
      </c>
      <c r="CC157" s="5">
        <f t="shared" si="117"/>
        <v>24.846070033670031</v>
      </c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>
        <v>0</v>
      </c>
      <c r="CR157" s="3" t="b">
        <f t="shared" si="88"/>
        <v>1</v>
      </c>
      <c r="CS157" s="3" t="b">
        <f t="shared" si="89"/>
        <v>1</v>
      </c>
      <c r="CT157" s="3" t="b">
        <f t="shared" si="90"/>
        <v>1</v>
      </c>
      <c r="CU157" s="3" t="b">
        <f t="shared" si="91"/>
        <v>1</v>
      </c>
      <c r="CV157" s="3" t="b">
        <f t="shared" si="92"/>
        <v>1</v>
      </c>
      <c r="CW157" s="3" t="b">
        <f t="shared" si="93"/>
        <v>1</v>
      </c>
      <c r="CX157" s="9" t="str">
        <f t="shared" si="94"/>
        <v>5200063</v>
      </c>
      <c r="CY157" s="9" t="str">
        <f t="shared" si="95"/>
        <v>5200063</v>
      </c>
      <c r="CZ157" s="9" t="str">
        <f t="shared" si="96"/>
        <v>5201062</v>
      </c>
      <c r="DA157" s="9" t="str">
        <f t="shared" si="97"/>
        <v>5401063</v>
      </c>
      <c r="DB157" s="9" t="str">
        <f t="shared" si="98"/>
        <v>5402062</v>
      </c>
      <c r="DC157" s="9" t="str">
        <f t="shared" si="99"/>
        <v>5401063</v>
      </c>
      <c r="DD157" s="9">
        <v>6</v>
      </c>
      <c r="DE157" s="9">
        <v>6</v>
      </c>
      <c r="DF157" s="9">
        <v>6</v>
      </c>
      <c r="DG157" s="9">
        <v>6</v>
      </c>
      <c r="DH157" s="9">
        <v>6</v>
      </c>
      <c r="DI157" s="9">
        <v>6</v>
      </c>
      <c r="DJ157" s="9">
        <v>5</v>
      </c>
      <c r="DK157" s="9">
        <v>5</v>
      </c>
      <c r="DL157" s="9">
        <v>5</v>
      </c>
      <c r="DM157" s="9">
        <v>5</v>
      </c>
      <c r="DN157" s="9">
        <v>5</v>
      </c>
      <c r="DO157" s="9">
        <v>5</v>
      </c>
      <c r="DP157" s="25" t="s">
        <v>113</v>
      </c>
      <c r="DQ157" s="25" t="s">
        <v>113</v>
      </c>
      <c r="DR157" s="25" t="s">
        <v>114</v>
      </c>
      <c r="DS157" s="25" t="s">
        <v>211</v>
      </c>
      <c r="DT157" s="25" t="s">
        <v>203</v>
      </c>
      <c r="DU157" s="25" t="s">
        <v>211</v>
      </c>
      <c r="DV157" s="25">
        <f t="shared" si="100"/>
        <v>1</v>
      </c>
      <c r="DW157" s="25">
        <f t="shared" si="101"/>
        <v>1</v>
      </c>
      <c r="DX157" s="25">
        <f t="shared" si="102"/>
        <v>1</v>
      </c>
      <c r="DY157" s="25">
        <f t="shared" si="103"/>
        <v>2</v>
      </c>
      <c r="DZ157" s="25">
        <f t="shared" si="104"/>
        <v>2</v>
      </c>
      <c r="EA157" s="3">
        <f t="shared" si="105"/>
        <v>2</v>
      </c>
      <c r="EB157" s="35"/>
      <c r="EC157" s="9">
        <v>5601063</v>
      </c>
      <c r="ED157" s="34" t="s">
        <v>216</v>
      </c>
      <c r="EE157" s="8">
        <v>2</v>
      </c>
    </row>
    <row r="158" spans="1:135" ht="13.5" customHeight="1">
      <c r="A158" s="9">
        <v>155</v>
      </c>
      <c r="B158" s="9">
        <v>1</v>
      </c>
      <c r="C158" s="9">
        <v>2001</v>
      </c>
      <c r="D158" s="9">
        <f t="shared" si="118"/>
        <v>796818</v>
      </c>
      <c r="E158" s="9" t="str">
        <f t="shared" si="85"/>
        <v>5201061,5201061,5201061,5502061,5502061,5502061</v>
      </c>
      <c r="F158" s="9" t="str">
        <f t="shared" si="86"/>
        <v>6,6,6,6,6,6</v>
      </c>
      <c r="G158" s="9" t="str">
        <f t="shared" si="87"/>
        <v>373,404,404,404,404,404</v>
      </c>
      <c r="H158" s="9">
        <v>102</v>
      </c>
      <c r="I158" s="9" t="s">
        <v>278</v>
      </c>
      <c r="J158" s="9" t="s">
        <v>279</v>
      </c>
      <c r="K158" s="9" t="s">
        <v>279</v>
      </c>
      <c r="L158" s="9" t="s">
        <v>279</v>
      </c>
      <c r="M158" s="9" t="s">
        <v>290</v>
      </c>
      <c r="O158" s="3">
        <f t="shared" si="84"/>
        <v>796818</v>
      </c>
      <c r="P158" s="9">
        <v>646767.91</v>
      </c>
      <c r="Q158" s="9">
        <v>5201061</v>
      </c>
      <c r="R158" s="9">
        <v>5201061</v>
      </c>
      <c r="S158" s="9">
        <v>5201061</v>
      </c>
      <c r="T158" s="9">
        <v>5502061</v>
      </c>
      <c r="U158" s="9">
        <v>5502061</v>
      </c>
      <c r="V158" s="9">
        <v>5502061</v>
      </c>
      <c r="W158" s="9">
        <v>6</v>
      </c>
      <c r="X158" s="9">
        <v>6</v>
      </c>
      <c r="Y158" s="9">
        <v>6</v>
      </c>
      <c r="Z158" s="9">
        <v>6</v>
      </c>
      <c r="AA158" s="9">
        <v>6</v>
      </c>
      <c r="AB158" s="9">
        <v>6</v>
      </c>
      <c r="AC158" s="9">
        <f t="shared" si="106"/>
        <v>373</v>
      </c>
      <c r="AD158" s="9">
        <f t="shared" si="107"/>
        <v>404</v>
      </c>
      <c r="AE158" s="9">
        <f t="shared" si="108"/>
        <v>404</v>
      </c>
      <c r="AF158" s="9">
        <f t="shared" si="109"/>
        <v>404</v>
      </c>
      <c r="AG158" s="9">
        <f t="shared" si="110"/>
        <v>404</v>
      </c>
      <c r="AH158" s="9">
        <f t="shared" si="111"/>
        <v>404</v>
      </c>
      <c r="AI158" s="7">
        <f t="shared" si="82"/>
        <v>107794.65166666667</v>
      </c>
      <c r="AJ158" s="7">
        <f t="shared" si="120"/>
        <v>107794.65166666667</v>
      </c>
      <c r="AK158" s="7">
        <f t="shared" si="120"/>
        <v>107794.65166666667</v>
      </c>
      <c r="AL158" s="7">
        <f t="shared" si="120"/>
        <v>107794.65166666667</v>
      </c>
      <c r="AM158" s="7">
        <f t="shared" si="120"/>
        <v>107794.65166666667</v>
      </c>
      <c r="AN158" s="7">
        <f t="shared" si="120"/>
        <v>107794.65166666667</v>
      </c>
      <c r="AO158" s="16"/>
      <c r="AP158" s="7"/>
      <c r="AQ158" s="9">
        <v>6</v>
      </c>
      <c r="AR158" s="9">
        <f t="shared" si="112"/>
        <v>349</v>
      </c>
      <c r="AS158" s="7">
        <f t="shared" si="121"/>
        <v>177</v>
      </c>
      <c r="AT158" s="7"/>
      <c r="AU158" s="16"/>
      <c r="AV158" s="7"/>
      <c r="AW158" s="7"/>
      <c r="AX158" s="7"/>
      <c r="AZ158" s="7"/>
      <c r="BA158" s="9">
        <f t="shared" si="122"/>
        <v>67746.75</v>
      </c>
      <c r="BC158" s="5">
        <f t="shared" si="114"/>
        <v>349</v>
      </c>
      <c r="BR158" s="5">
        <v>5602055</v>
      </c>
      <c r="BS158" s="18">
        <f>[1]monsters!$N158</f>
        <v>138.24</v>
      </c>
      <c r="BT158" s="18">
        <f>[1]monsters!$O158</f>
        <v>13.82</v>
      </c>
      <c r="BU158" s="18">
        <f>[1]monsters!$P158</f>
        <v>2160</v>
      </c>
      <c r="BV158" s="18">
        <f>[1]monsters!$Q158</f>
        <v>216</v>
      </c>
      <c r="BW158" s="18">
        <f>[1]monsters!$R158</f>
        <v>46.08</v>
      </c>
      <c r="BX158" s="18">
        <f>[1]monsters!$S158</f>
        <v>4.6100000000000003</v>
      </c>
      <c r="BY158" s="18">
        <f>[1]monsters!$K158</f>
        <v>1.8</v>
      </c>
      <c r="BZ158" s="5">
        <f>[1]monsters!$D158</f>
        <v>2</v>
      </c>
      <c r="CA158" s="5">
        <f t="shared" si="115"/>
        <v>0.1</v>
      </c>
      <c r="CB158" s="5">
        <f t="shared" si="116"/>
        <v>203.36407272727274</v>
      </c>
      <c r="CC158" s="5">
        <f t="shared" si="117"/>
        <v>20.336407272727275</v>
      </c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>
        <v>1</v>
      </c>
      <c r="CR158" s="3" t="b">
        <f t="shared" si="88"/>
        <v>1</v>
      </c>
      <c r="CS158" s="3" t="b">
        <f t="shared" si="89"/>
        <v>1</v>
      </c>
      <c r="CT158" s="3" t="b">
        <f t="shared" si="90"/>
        <v>1</v>
      </c>
      <c r="CU158" s="3" t="b">
        <f t="shared" si="91"/>
        <v>1</v>
      </c>
      <c r="CV158" s="3" t="b">
        <f t="shared" si="92"/>
        <v>1</v>
      </c>
      <c r="CW158" s="3" t="b">
        <f t="shared" si="93"/>
        <v>1</v>
      </c>
      <c r="CX158" s="9" t="str">
        <f t="shared" si="94"/>
        <v>5201061</v>
      </c>
      <c r="CY158" s="9" t="str">
        <f t="shared" si="95"/>
        <v>5201061</v>
      </c>
      <c r="CZ158" s="9" t="str">
        <f t="shared" si="96"/>
        <v>5201061</v>
      </c>
      <c r="DA158" s="9" t="str">
        <f t="shared" si="97"/>
        <v>5502061</v>
      </c>
      <c r="DB158" s="9" t="str">
        <f t="shared" si="98"/>
        <v>5502061</v>
      </c>
      <c r="DC158" s="9" t="str">
        <f t="shared" si="99"/>
        <v>5502061</v>
      </c>
      <c r="DD158" s="9">
        <v>6</v>
      </c>
      <c r="DE158" s="9">
        <v>6</v>
      </c>
      <c r="DF158" s="9">
        <v>6</v>
      </c>
      <c r="DG158" s="9">
        <v>6</v>
      </c>
      <c r="DH158" s="9">
        <v>6</v>
      </c>
      <c r="DI158" s="9">
        <v>6</v>
      </c>
      <c r="DJ158" s="9">
        <v>5</v>
      </c>
      <c r="DK158" s="9">
        <v>5</v>
      </c>
      <c r="DL158" s="9">
        <v>5</v>
      </c>
      <c r="DM158" s="9">
        <v>5</v>
      </c>
      <c r="DN158" s="9">
        <v>5</v>
      </c>
      <c r="DO158" s="9">
        <v>5</v>
      </c>
      <c r="DP158" s="25" t="s">
        <v>195</v>
      </c>
      <c r="DQ158" s="25" t="s">
        <v>195</v>
      </c>
      <c r="DR158" s="25" t="s">
        <v>195</v>
      </c>
      <c r="DS158" s="25" t="s">
        <v>119</v>
      </c>
      <c r="DT158" s="25" t="s">
        <v>119</v>
      </c>
      <c r="DU158" s="25" t="s">
        <v>119</v>
      </c>
      <c r="DV158" s="25">
        <f t="shared" si="100"/>
        <v>1</v>
      </c>
      <c r="DW158" s="25">
        <f t="shared" si="101"/>
        <v>1</v>
      </c>
      <c r="DX158" s="25">
        <f t="shared" si="102"/>
        <v>1</v>
      </c>
      <c r="DY158" s="25">
        <f t="shared" si="103"/>
        <v>2</v>
      </c>
      <c r="DZ158" s="25">
        <f t="shared" si="104"/>
        <v>2</v>
      </c>
      <c r="EA158" s="3">
        <f t="shared" si="105"/>
        <v>2</v>
      </c>
      <c r="EB158" s="35"/>
      <c r="EC158" s="9">
        <v>5201064</v>
      </c>
      <c r="ED158" s="34" t="s">
        <v>217</v>
      </c>
      <c r="EE158" s="8">
        <v>1</v>
      </c>
    </row>
    <row r="159" spans="1:135" ht="13.5" customHeight="1">
      <c r="A159" s="9">
        <v>156</v>
      </c>
      <c r="B159" s="9">
        <v>1</v>
      </c>
      <c r="C159" s="9">
        <v>2001</v>
      </c>
      <c r="D159" s="9">
        <f t="shared" si="118"/>
        <v>801937</v>
      </c>
      <c r="E159" s="9" t="str">
        <f t="shared" si="85"/>
        <v>5202063,5201063,5201063,5501064,5400065,5500062</v>
      </c>
      <c r="F159" s="9" t="str">
        <f t="shared" si="86"/>
        <v>6,6,6,6,6,6</v>
      </c>
      <c r="G159" s="9" t="str">
        <f t="shared" si="87"/>
        <v>375,405,405,405,405,405</v>
      </c>
      <c r="H159" s="9">
        <v>102</v>
      </c>
      <c r="I159" s="9" t="s">
        <v>278</v>
      </c>
      <c r="J159" s="9" t="s">
        <v>279</v>
      </c>
      <c r="K159" s="9" t="s">
        <v>279</v>
      </c>
      <c r="L159" s="9" t="s">
        <v>279</v>
      </c>
      <c r="M159" s="9" t="s">
        <v>290</v>
      </c>
      <c r="O159" s="3">
        <f t="shared" si="84"/>
        <v>801937</v>
      </c>
      <c r="P159" s="9">
        <v>650923.03</v>
      </c>
      <c r="Q159" s="9">
        <v>5202063</v>
      </c>
      <c r="R159" s="9">
        <v>5201063</v>
      </c>
      <c r="S159" s="9">
        <v>5201063</v>
      </c>
      <c r="T159" s="9">
        <v>5501064</v>
      </c>
      <c r="U159" s="9">
        <v>5400065</v>
      </c>
      <c r="V159" s="9">
        <v>5500062</v>
      </c>
      <c r="W159" s="9">
        <v>6</v>
      </c>
      <c r="X159" s="9">
        <v>6</v>
      </c>
      <c r="Y159" s="9">
        <v>6</v>
      </c>
      <c r="Z159" s="9">
        <v>6</v>
      </c>
      <c r="AA159" s="9">
        <v>6</v>
      </c>
      <c r="AB159" s="9">
        <v>6</v>
      </c>
      <c r="AC159" s="9">
        <f t="shared" si="106"/>
        <v>375</v>
      </c>
      <c r="AD159" s="9">
        <f t="shared" si="107"/>
        <v>405</v>
      </c>
      <c r="AE159" s="9">
        <f t="shared" si="108"/>
        <v>405</v>
      </c>
      <c r="AF159" s="9">
        <f t="shared" si="109"/>
        <v>405</v>
      </c>
      <c r="AG159" s="9">
        <f t="shared" si="110"/>
        <v>405</v>
      </c>
      <c r="AH159" s="9">
        <f t="shared" si="111"/>
        <v>405</v>
      </c>
      <c r="AI159" s="7">
        <f t="shared" si="82"/>
        <v>108487.17166666668</v>
      </c>
      <c r="AJ159" s="7">
        <f t="shared" si="120"/>
        <v>108487.17166666668</v>
      </c>
      <c r="AK159" s="7">
        <f t="shared" si="120"/>
        <v>108487.17166666668</v>
      </c>
      <c r="AL159" s="7">
        <f t="shared" si="120"/>
        <v>108487.17166666668</v>
      </c>
      <c r="AM159" s="7">
        <f t="shared" si="120"/>
        <v>108487.17166666668</v>
      </c>
      <c r="AN159" s="7">
        <f t="shared" si="120"/>
        <v>108487.17166666668</v>
      </c>
      <c r="AO159" s="16"/>
      <c r="AP159" s="7"/>
      <c r="AQ159" s="9">
        <v>6</v>
      </c>
      <c r="AR159" s="9">
        <f t="shared" si="112"/>
        <v>350</v>
      </c>
      <c r="AS159" s="7">
        <f t="shared" si="121"/>
        <v>178</v>
      </c>
      <c r="AT159" s="7"/>
      <c r="AU159" s="16"/>
      <c r="AV159" s="7"/>
      <c r="AW159" s="7"/>
      <c r="AX159" s="7"/>
      <c r="AZ159" s="7"/>
      <c r="BA159" s="9">
        <f t="shared" si="122"/>
        <v>69837.899999999994</v>
      </c>
      <c r="BC159" s="5">
        <f t="shared" si="114"/>
        <v>350</v>
      </c>
      <c r="BR159" s="5">
        <v>5200061</v>
      </c>
      <c r="BS159" s="18">
        <f>[1]monsters!$N159</f>
        <v>120.96</v>
      </c>
      <c r="BT159" s="18">
        <f>[1]monsters!$O159</f>
        <v>12.1</v>
      </c>
      <c r="BU159" s="18">
        <f>[1]monsters!$P159</f>
        <v>1920</v>
      </c>
      <c r="BV159" s="18">
        <f>[1]monsters!$Q159</f>
        <v>192</v>
      </c>
      <c r="BW159" s="18">
        <f>[1]monsters!$R159</f>
        <v>24.19</v>
      </c>
      <c r="BX159" s="18">
        <f>[1]monsters!$S159</f>
        <v>2.42</v>
      </c>
      <c r="BY159" s="18">
        <f>[1]monsters!$K159</f>
        <v>1.4</v>
      </c>
      <c r="BZ159" s="5">
        <f>[1]monsters!$D159</f>
        <v>3</v>
      </c>
      <c r="CA159" s="5">
        <f t="shared" si="115"/>
        <v>0.1</v>
      </c>
      <c r="CB159" s="5">
        <f t="shared" si="116"/>
        <v>178.95366464646463</v>
      </c>
      <c r="CC159" s="5">
        <f t="shared" si="117"/>
        <v>17.895366464646465</v>
      </c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>
        <v>0</v>
      </c>
      <c r="CR159" s="3" t="b">
        <f t="shared" si="88"/>
        <v>1</v>
      </c>
      <c r="CS159" s="3" t="b">
        <f t="shared" si="89"/>
        <v>1</v>
      </c>
      <c r="CT159" s="3" t="b">
        <f t="shared" si="90"/>
        <v>1</v>
      </c>
      <c r="CU159" s="3" t="b">
        <f t="shared" si="91"/>
        <v>1</v>
      </c>
      <c r="CV159" s="3" t="b">
        <f t="shared" si="92"/>
        <v>1</v>
      </c>
      <c r="CW159" s="3" t="b">
        <f t="shared" si="93"/>
        <v>1</v>
      </c>
      <c r="CX159" s="9" t="str">
        <f t="shared" si="94"/>
        <v>5202063</v>
      </c>
      <c r="CY159" s="9" t="str">
        <f t="shared" si="95"/>
        <v>5201063</v>
      </c>
      <c r="CZ159" s="9" t="str">
        <f t="shared" si="96"/>
        <v>5201063</v>
      </c>
      <c r="DA159" s="9" t="str">
        <f t="shared" si="97"/>
        <v>5501064</v>
      </c>
      <c r="DB159" s="9" t="str">
        <f t="shared" si="98"/>
        <v>5400065</v>
      </c>
      <c r="DC159" s="9" t="str">
        <f t="shared" si="99"/>
        <v>5500062</v>
      </c>
      <c r="DD159" s="9">
        <v>6</v>
      </c>
      <c r="DE159" s="9">
        <v>6</v>
      </c>
      <c r="DF159" s="9">
        <v>6</v>
      </c>
      <c r="DG159" s="9">
        <v>6</v>
      </c>
      <c r="DH159" s="9">
        <v>6</v>
      </c>
      <c r="DI159" s="9">
        <v>6</v>
      </c>
      <c r="DJ159" s="9">
        <v>5</v>
      </c>
      <c r="DK159" s="9">
        <v>5</v>
      </c>
      <c r="DL159" s="9">
        <v>5</v>
      </c>
      <c r="DM159" s="9">
        <v>5</v>
      </c>
      <c r="DN159" s="9">
        <v>5</v>
      </c>
      <c r="DO159" s="9">
        <v>5</v>
      </c>
      <c r="DP159" s="25" t="s">
        <v>208</v>
      </c>
      <c r="DQ159" s="25" t="s">
        <v>205</v>
      </c>
      <c r="DR159" s="25" t="s">
        <v>205</v>
      </c>
      <c r="DS159" s="25" t="s">
        <v>214</v>
      </c>
      <c r="DT159" s="25" t="s">
        <v>210</v>
      </c>
      <c r="DU159" s="25" t="s">
        <v>109</v>
      </c>
      <c r="DV159" s="25">
        <f t="shared" si="100"/>
        <v>1</v>
      </c>
      <c r="DW159" s="25">
        <f t="shared" si="101"/>
        <v>1</v>
      </c>
      <c r="DX159" s="25">
        <f t="shared" si="102"/>
        <v>1</v>
      </c>
      <c r="DY159" s="25">
        <f t="shared" si="103"/>
        <v>2</v>
      </c>
      <c r="DZ159" s="25">
        <f t="shared" si="104"/>
        <v>2</v>
      </c>
      <c r="EA159" s="3">
        <f t="shared" si="105"/>
        <v>2</v>
      </c>
      <c r="EB159" s="38"/>
      <c r="EC159" s="9">
        <v>5302064</v>
      </c>
      <c r="ED159" s="34" t="s">
        <v>218</v>
      </c>
      <c r="EE159" s="8">
        <v>1</v>
      </c>
    </row>
    <row r="160" spans="1:135" ht="13.5" customHeight="1">
      <c r="A160" s="9">
        <v>157</v>
      </c>
      <c r="B160" s="9">
        <v>1</v>
      </c>
      <c r="C160" s="9">
        <v>2001</v>
      </c>
      <c r="D160" s="9">
        <f t="shared" si="118"/>
        <v>807071</v>
      </c>
      <c r="E160" s="9" t="str">
        <f t="shared" si="85"/>
        <v>5201063,5202065,5202065,5501064,5402062,5501065</v>
      </c>
      <c r="F160" s="9" t="str">
        <f t="shared" si="86"/>
        <v>6,6,6,6,6,6</v>
      </c>
      <c r="G160" s="9" t="str">
        <f t="shared" si="87"/>
        <v>376,407,407,407,407,407</v>
      </c>
      <c r="H160" s="9">
        <v>102</v>
      </c>
      <c r="I160" s="9" t="s">
        <v>278</v>
      </c>
      <c r="J160" s="9" t="s">
        <v>279</v>
      </c>
      <c r="K160" s="9" t="s">
        <v>279</v>
      </c>
      <c r="L160" s="9" t="s">
        <v>279</v>
      </c>
      <c r="M160" s="9" t="s">
        <v>290</v>
      </c>
      <c r="O160" s="3">
        <f t="shared" si="84"/>
        <v>807071</v>
      </c>
      <c r="P160" s="9">
        <v>655090.09</v>
      </c>
      <c r="Q160" s="9">
        <v>5201063</v>
      </c>
      <c r="R160" s="9">
        <v>5202065</v>
      </c>
      <c r="S160" s="9">
        <v>5202065</v>
      </c>
      <c r="T160" s="9">
        <v>5501064</v>
      </c>
      <c r="U160" s="9">
        <v>5402062</v>
      </c>
      <c r="V160" s="9">
        <v>5501065</v>
      </c>
      <c r="W160" s="9">
        <v>6</v>
      </c>
      <c r="X160" s="9">
        <v>6</v>
      </c>
      <c r="Y160" s="9">
        <v>6</v>
      </c>
      <c r="Z160" s="9">
        <v>6</v>
      </c>
      <c r="AA160" s="9">
        <v>6</v>
      </c>
      <c r="AB160" s="9">
        <v>6</v>
      </c>
      <c r="AC160" s="9">
        <f t="shared" si="106"/>
        <v>376</v>
      </c>
      <c r="AD160" s="9">
        <f t="shared" si="107"/>
        <v>407</v>
      </c>
      <c r="AE160" s="9">
        <f t="shared" si="108"/>
        <v>407</v>
      </c>
      <c r="AF160" s="9">
        <f t="shared" si="109"/>
        <v>407</v>
      </c>
      <c r="AG160" s="9">
        <f t="shared" si="110"/>
        <v>407</v>
      </c>
      <c r="AH160" s="9">
        <f t="shared" si="111"/>
        <v>407</v>
      </c>
      <c r="AI160" s="7">
        <f t="shared" si="82"/>
        <v>109181.68166666666</v>
      </c>
      <c r="AJ160" s="7">
        <f t="shared" si="120"/>
        <v>109181.68166666666</v>
      </c>
      <c r="AK160" s="7">
        <f t="shared" si="120"/>
        <v>109181.68166666666</v>
      </c>
      <c r="AL160" s="7">
        <f t="shared" si="120"/>
        <v>109181.68166666666</v>
      </c>
      <c r="AM160" s="7">
        <f t="shared" si="120"/>
        <v>109181.68166666666</v>
      </c>
      <c r="AN160" s="7">
        <f t="shared" si="120"/>
        <v>109181.68166666666</v>
      </c>
      <c r="AO160" s="16"/>
      <c r="AP160" s="7"/>
      <c r="AQ160" s="9">
        <v>6</v>
      </c>
      <c r="AR160" s="9">
        <f t="shared" si="112"/>
        <v>351</v>
      </c>
      <c r="AS160" s="7">
        <f t="shared" si="121"/>
        <v>178</v>
      </c>
      <c r="AT160" s="7"/>
      <c r="AU160" s="16"/>
      <c r="AV160" s="7"/>
      <c r="AW160" s="7"/>
      <c r="AX160" s="7"/>
      <c r="AZ160" s="7"/>
      <c r="BA160" s="9">
        <f t="shared" si="122"/>
        <v>71929.049999999988</v>
      </c>
      <c r="BC160" s="5">
        <f t="shared" si="114"/>
        <v>351</v>
      </c>
      <c r="BR160" s="5">
        <v>5201061</v>
      </c>
      <c r="BS160" s="18">
        <f>[1]monsters!$N160</f>
        <v>215.04</v>
      </c>
      <c r="BT160" s="18">
        <f>[1]monsters!$O160</f>
        <v>21.5</v>
      </c>
      <c r="BU160" s="18">
        <f>[1]monsters!$P160</f>
        <v>1234.29</v>
      </c>
      <c r="BV160" s="18">
        <f>[1]monsters!$Q160</f>
        <v>123.43</v>
      </c>
      <c r="BW160" s="18">
        <f>[1]monsters!$R160</f>
        <v>26.88</v>
      </c>
      <c r="BX160" s="18">
        <f>[1]monsters!$S160</f>
        <v>2.69</v>
      </c>
      <c r="BY160" s="18">
        <f>[1]monsters!$K160</f>
        <v>1.6</v>
      </c>
      <c r="BZ160" s="5">
        <f>[1]monsters!$D160</f>
        <v>5</v>
      </c>
      <c r="CA160" s="5">
        <f t="shared" si="115"/>
        <v>0.1</v>
      </c>
      <c r="CB160" s="5">
        <f t="shared" si="116"/>
        <v>244.77138585858586</v>
      </c>
      <c r="CC160" s="5">
        <f t="shared" si="117"/>
        <v>24.477138585858587</v>
      </c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>
        <v>0</v>
      </c>
      <c r="CR160" s="3" t="b">
        <f t="shared" si="88"/>
        <v>1</v>
      </c>
      <c r="CS160" s="3" t="b">
        <f t="shared" si="89"/>
        <v>1</v>
      </c>
      <c r="CT160" s="3" t="b">
        <f t="shared" si="90"/>
        <v>1</v>
      </c>
      <c r="CU160" s="3" t="b">
        <f t="shared" si="91"/>
        <v>1</v>
      </c>
      <c r="CV160" s="3" t="b">
        <f t="shared" si="92"/>
        <v>1</v>
      </c>
      <c r="CW160" s="3" t="b">
        <f t="shared" si="93"/>
        <v>1</v>
      </c>
      <c r="CX160" s="9" t="str">
        <f t="shared" si="94"/>
        <v>5201063</v>
      </c>
      <c r="CY160" s="9" t="str">
        <f t="shared" si="95"/>
        <v>5202065</v>
      </c>
      <c r="CZ160" s="9" t="str">
        <f t="shared" si="96"/>
        <v>5202065</v>
      </c>
      <c r="DA160" s="9" t="str">
        <f t="shared" si="97"/>
        <v>5501064</v>
      </c>
      <c r="DB160" s="9" t="str">
        <f t="shared" si="98"/>
        <v>5402062</v>
      </c>
      <c r="DC160" s="9" t="str">
        <f t="shared" si="99"/>
        <v>5501065</v>
      </c>
      <c r="DD160" s="9">
        <v>6</v>
      </c>
      <c r="DE160" s="9">
        <v>6</v>
      </c>
      <c r="DF160" s="9">
        <v>6</v>
      </c>
      <c r="DG160" s="9">
        <v>6</v>
      </c>
      <c r="DH160" s="9">
        <v>6</v>
      </c>
      <c r="DI160" s="9">
        <v>6</v>
      </c>
      <c r="DJ160" s="9">
        <v>5</v>
      </c>
      <c r="DK160" s="9">
        <v>5</v>
      </c>
      <c r="DL160" s="9">
        <v>5</v>
      </c>
      <c r="DM160" s="9">
        <v>5</v>
      </c>
      <c r="DN160" s="9">
        <v>5</v>
      </c>
      <c r="DO160" s="9">
        <v>5</v>
      </c>
      <c r="DP160" s="25" t="s">
        <v>205</v>
      </c>
      <c r="DQ160" s="25" t="s">
        <v>213</v>
      </c>
      <c r="DR160" s="25" t="s">
        <v>213</v>
      </c>
      <c r="DS160" s="25" t="s">
        <v>214</v>
      </c>
      <c r="DT160" s="25" t="s">
        <v>203</v>
      </c>
      <c r="DU160" s="25" t="s">
        <v>209</v>
      </c>
      <c r="DV160" s="25">
        <f t="shared" si="100"/>
        <v>1</v>
      </c>
      <c r="DW160" s="25">
        <f t="shared" si="101"/>
        <v>1</v>
      </c>
      <c r="DX160" s="25">
        <f t="shared" si="102"/>
        <v>1</v>
      </c>
      <c r="DY160" s="25">
        <f t="shared" si="103"/>
        <v>2</v>
      </c>
      <c r="DZ160" s="25">
        <f t="shared" si="104"/>
        <v>2</v>
      </c>
      <c r="EA160" s="3">
        <f t="shared" si="105"/>
        <v>2</v>
      </c>
      <c r="EB160" s="39"/>
      <c r="EC160" s="9">
        <v>5501064</v>
      </c>
      <c r="ED160" s="34" t="s">
        <v>214</v>
      </c>
      <c r="EE160" s="8">
        <v>2</v>
      </c>
    </row>
    <row r="161" spans="1:135" ht="13.5" customHeight="1">
      <c r="A161" s="9">
        <v>158</v>
      </c>
      <c r="B161" s="9">
        <v>1</v>
      </c>
      <c r="C161" s="9">
        <v>2001</v>
      </c>
      <c r="D161" s="9">
        <f t="shared" si="118"/>
        <v>812759</v>
      </c>
      <c r="E161" s="9" t="str">
        <f t="shared" si="85"/>
        <v>5300065,5202065,5202065,5401063,5400065,5400065</v>
      </c>
      <c r="F161" s="9" t="str">
        <f t="shared" si="86"/>
        <v>6,6,6,6,6,6</v>
      </c>
      <c r="G161" s="9" t="str">
        <f t="shared" si="87"/>
        <v>377,408,408,408,408,408</v>
      </c>
      <c r="H161" s="9">
        <v>103</v>
      </c>
      <c r="I161" s="9" t="s">
        <v>278</v>
      </c>
      <c r="J161" s="9" t="s">
        <v>279</v>
      </c>
      <c r="K161" s="9" t="s">
        <v>279</v>
      </c>
      <c r="L161" s="9" t="s">
        <v>279</v>
      </c>
      <c r="M161" s="9" t="s">
        <v>290</v>
      </c>
      <c r="O161" s="3">
        <f t="shared" si="84"/>
        <v>812759</v>
      </c>
      <c r="P161" s="9">
        <v>659706.89</v>
      </c>
      <c r="Q161" s="9">
        <v>5300065</v>
      </c>
      <c r="R161" s="9">
        <v>5202065</v>
      </c>
      <c r="S161" s="9">
        <v>5202065</v>
      </c>
      <c r="T161" s="9">
        <v>5401063</v>
      </c>
      <c r="U161" s="9">
        <v>5400065</v>
      </c>
      <c r="V161" s="9">
        <v>5400065</v>
      </c>
      <c r="W161" s="9">
        <v>6</v>
      </c>
      <c r="X161" s="9">
        <v>6</v>
      </c>
      <c r="Y161" s="9">
        <v>6</v>
      </c>
      <c r="Z161" s="9">
        <v>6</v>
      </c>
      <c r="AA161" s="9">
        <v>6</v>
      </c>
      <c r="AB161" s="9">
        <v>6</v>
      </c>
      <c r="AC161" s="9">
        <f t="shared" si="106"/>
        <v>377</v>
      </c>
      <c r="AD161" s="9">
        <f t="shared" si="107"/>
        <v>408</v>
      </c>
      <c r="AE161" s="9">
        <f t="shared" si="108"/>
        <v>408</v>
      </c>
      <c r="AF161" s="9">
        <f t="shared" si="109"/>
        <v>408</v>
      </c>
      <c r="AG161" s="9">
        <f t="shared" si="110"/>
        <v>408</v>
      </c>
      <c r="AH161" s="9">
        <f t="shared" si="111"/>
        <v>408</v>
      </c>
      <c r="AI161" s="7">
        <f t="shared" si="82"/>
        <v>109951.14833333333</v>
      </c>
      <c r="AJ161" s="7">
        <f t="shared" si="120"/>
        <v>109951.14833333333</v>
      </c>
      <c r="AK161" s="7">
        <f t="shared" si="120"/>
        <v>109951.14833333333</v>
      </c>
      <c r="AL161" s="7">
        <f t="shared" si="120"/>
        <v>109951.14833333333</v>
      </c>
      <c r="AM161" s="7">
        <f t="shared" si="120"/>
        <v>109951.14833333333</v>
      </c>
      <c r="AN161" s="7">
        <f t="shared" si="120"/>
        <v>109951.14833333333</v>
      </c>
      <c r="AO161" s="16"/>
      <c r="AP161" s="7"/>
      <c r="AQ161" s="9">
        <v>6</v>
      </c>
      <c r="AR161" s="9">
        <f t="shared" si="112"/>
        <v>352</v>
      </c>
      <c r="AS161" s="7">
        <f t="shared" si="121"/>
        <v>179</v>
      </c>
      <c r="AT161" s="7"/>
      <c r="AU161" s="16"/>
      <c r="AV161" s="7"/>
      <c r="AW161" s="7"/>
      <c r="AX161" s="7"/>
      <c r="AZ161" s="7"/>
      <c r="BA161" s="9">
        <f t="shared" si="122"/>
        <v>74020.199999999983</v>
      </c>
      <c r="BC161" s="5">
        <f t="shared" si="114"/>
        <v>352</v>
      </c>
      <c r="BR161" s="5">
        <v>5300061</v>
      </c>
      <c r="BS161" s="18">
        <f>[1]monsters!$N161</f>
        <v>208.32</v>
      </c>
      <c r="BT161" s="18">
        <f>[1]monsters!$O161</f>
        <v>20.83</v>
      </c>
      <c r="BU161" s="18">
        <f>[1]monsters!$P161</f>
        <v>1114.8399999999999</v>
      </c>
      <c r="BV161" s="18">
        <f>[1]monsters!$Q161</f>
        <v>111.48</v>
      </c>
      <c r="BW161" s="18">
        <f>[1]monsters!$R161</f>
        <v>20.83</v>
      </c>
      <c r="BX161" s="18">
        <f>[1]monsters!$S161</f>
        <v>2.08</v>
      </c>
      <c r="BY161" s="18">
        <f>[1]monsters!$K161</f>
        <v>1.4</v>
      </c>
      <c r="BZ161" s="5">
        <f>[1]monsters!$D161</f>
        <v>6</v>
      </c>
      <c r="CA161" s="5">
        <f t="shared" si="115"/>
        <v>0.1</v>
      </c>
      <c r="CB161" s="5">
        <f t="shared" si="116"/>
        <v>234.39910033670034</v>
      </c>
      <c r="CC161" s="5">
        <f t="shared" si="117"/>
        <v>23.439910033670035</v>
      </c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>
        <v>0</v>
      </c>
      <c r="CR161" s="3" t="b">
        <f t="shared" si="88"/>
        <v>1</v>
      </c>
      <c r="CS161" s="3" t="b">
        <f t="shared" si="89"/>
        <v>1</v>
      </c>
      <c r="CT161" s="3" t="b">
        <f t="shared" si="90"/>
        <v>1</v>
      </c>
      <c r="CU161" s="3" t="b">
        <f t="shared" si="91"/>
        <v>1</v>
      </c>
      <c r="CV161" s="3" t="b">
        <f t="shared" si="92"/>
        <v>1</v>
      </c>
      <c r="CW161" s="3" t="b">
        <f t="shared" si="93"/>
        <v>1</v>
      </c>
      <c r="CX161" s="9" t="str">
        <f t="shared" si="94"/>
        <v>5300065</v>
      </c>
      <c r="CY161" s="9" t="str">
        <f t="shared" si="95"/>
        <v>5202065</v>
      </c>
      <c r="CZ161" s="9" t="str">
        <f t="shared" si="96"/>
        <v>5202065</v>
      </c>
      <c r="DA161" s="9" t="str">
        <f t="shared" si="97"/>
        <v>5401063</v>
      </c>
      <c r="DB161" s="9" t="str">
        <f t="shared" si="98"/>
        <v>5400065</v>
      </c>
      <c r="DC161" s="9" t="str">
        <f t="shared" si="99"/>
        <v>5400065</v>
      </c>
      <c r="DD161" s="9">
        <v>6</v>
      </c>
      <c r="DE161" s="9">
        <v>6</v>
      </c>
      <c r="DF161" s="9">
        <v>6</v>
      </c>
      <c r="DG161" s="9">
        <v>6</v>
      </c>
      <c r="DH161" s="9">
        <v>6</v>
      </c>
      <c r="DI161" s="9">
        <v>6</v>
      </c>
      <c r="DJ161" s="9">
        <v>5</v>
      </c>
      <c r="DK161" s="9">
        <v>5</v>
      </c>
      <c r="DL161" s="9">
        <v>5</v>
      </c>
      <c r="DM161" s="9">
        <v>5</v>
      </c>
      <c r="DN161" s="9">
        <v>5</v>
      </c>
      <c r="DO161" s="9">
        <v>5</v>
      </c>
      <c r="DP161" s="25" t="s">
        <v>212</v>
      </c>
      <c r="DQ161" s="25" t="s">
        <v>213</v>
      </c>
      <c r="DR161" s="25" t="s">
        <v>213</v>
      </c>
      <c r="DS161" s="25" t="s">
        <v>211</v>
      </c>
      <c r="DT161" s="25" t="s">
        <v>210</v>
      </c>
      <c r="DU161" s="25" t="s">
        <v>210</v>
      </c>
      <c r="DV161" s="25">
        <f t="shared" si="100"/>
        <v>1</v>
      </c>
      <c r="DW161" s="25">
        <f t="shared" si="101"/>
        <v>1</v>
      </c>
      <c r="DX161" s="25">
        <f t="shared" si="102"/>
        <v>1</v>
      </c>
      <c r="DY161" s="25">
        <f t="shared" si="103"/>
        <v>2</v>
      </c>
      <c r="DZ161" s="25">
        <f t="shared" si="104"/>
        <v>2</v>
      </c>
      <c r="EA161" s="3">
        <f t="shared" si="105"/>
        <v>2</v>
      </c>
      <c r="EB161" s="39"/>
      <c r="EC161" s="9">
        <v>5600064</v>
      </c>
      <c r="ED161" s="34" t="s">
        <v>219</v>
      </c>
      <c r="EE161" s="8">
        <v>1</v>
      </c>
    </row>
    <row r="162" spans="1:135" ht="13.5" customHeight="1">
      <c r="A162" s="9">
        <v>159</v>
      </c>
      <c r="B162" s="9">
        <v>1</v>
      </c>
      <c r="C162" s="9">
        <v>2001</v>
      </c>
      <c r="D162" s="9">
        <f t="shared" si="118"/>
        <v>817927</v>
      </c>
      <c r="E162" s="9" t="str">
        <f t="shared" si="85"/>
        <v>5202062,5202062,5301062,5502062,5500061,5502061</v>
      </c>
      <c r="F162" s="9" t="str">
        <f t="shared" si="86"/>
        <v>6,6,6,6,6,6</v>
      </c>
      <c r="G162" s="9" t="str">
        <f t="shared" si="87"/>
        <v>378,410,410,410,410,410</v>
      </c>
      <c r="H162" s="9">
        <v>103</v>
      </c>
      <c r="I162" s="9" t="s">
        <v>278</v>
      </c>
      <c r="J162" s="9" t="s">
        <v>279</v>
      </c>
      <c r="K162" s="9" t="s">
        <v>279</v>
      </c>
      <c r="L162" s="9" t="s">
        <v>279</v>
      </c>
      <c r="M162" s="9" t="s">
        <v>290</v>
      </c>
      <c r="O162" s="3">
        <f t="shared" si="84"/>
        <v>817927</v>
      </c>
      <c r="P162" s="9">
        <v>663901.81000000006</v>
      </c>
      <c r="Q162" s="9">
        <v>5202062</v>
      </c>
      <c r="R162" s="9">
        <v>5202062</v>
      </c>
      <c r="S162" s="9">
        <v>5301062</v>
      </c>
      <c r="T162" s="9">
        <v>5502062</v>
      </c>
      <c r="U162" s="9">
        <v>5500061</v>
      </c>
      <c r="V162" s="9">
        <v>5502061</v>
      </c>
      <c r="W162" s="9">
        <v>6</v>
      </c>
      <c r="X162" s="9">
        <v>6</v>
      </c>
      <c r="Y162" s="9">
        <v>6</v>
      </c>
      <c r="Z162" s="9">
        <v>6</v>
      </c>
      <c r="AA162" s="9">
        <v>6</v>
      </c>
      <c r="AB162" s="9">
        <v>6</v>
      </c>
      <c r="AC162" s="9">
        <f t="shared" si="106"/>
        <v>378</v>
      </c>
      <c r="AD162" s="9">
        <f t="shared" si="107"/>
        <v>410</v>
      </c>
      <c r="AE162" s="9">
        <f t="shared" si="108"/>
        <v>410</v>
      </c>
      <c r="AF162" s="9">
        <f t="shared" si="109"/>
        <v>410</v>
      </c>
      <c r="AG162" s="9">
        <f t="shared" si="110"/>
        <v>410</v>
      </c>
      <c r="AH162" s="9">
        <f t="shared" si="111"/>
        <v>410</v>
      </c>
      <c r="AI162" s="7">
        <f t="shared" si="82"/>
        <v>110650.30166666668</v>
      </c>
      <c r="AJ162" s="7">
        <f t="shared" si="120"/>
        <v>110650.30166666668</v>
      </c>
      <c r="AK162" s="7">
        <f t="shared" si="120"/>
        <v>110650.30166666668</v>
      </c>
      <c r="AL162" s="7">
        <f t="shared" si="120"/>
        <v>110650.30166666668</v>
      </c>
      <c r="AM162" s="7">
        <f t="shared" si="120"/>
        <v>110650.30166666668</v>
      </c>
      <c r="AN162" s="7">
        <f t="shared" si="120"/>
        <v>110650.30166666668</v>
      </c>
      <c r="AO162" s="16"/>
      <c r="AP162" s="7"/>
      <c r="AQ162" s="9">
        <v>6</v>
      </c>
      <c r="AR162" s="9">
        <f t="shared" si="112"/>
        <v>353</v>
      </c>
      <c r="AS162" s="7">
        <f t="shared" si="121"/>
        <v>179</v>
      </c>
      <c r="AT162" s="7"/>
      <c r="AU162" s="16"/>
      <c r="AV162" s="7"/>
      <c r="AW162" s="7"/>
      <c r="AX162" s="7"/>
      <c r="AZ162" s="7"/>
      <c r="BA162" s="9">
        <f t="shared" si="122"/>
        <v>76111.349999999977</v>
      </c>
      <c r="BC162" s="5">
        <f t="shared" si="114"/>
        <v>353</v>
      </c>
      <c r="BR162" s="5">
        <v>5301061</v>
      </c>
      <c r="BS162" s="18">
        <f>[1]monsters!$N162</f>
        <v>267.83999999999997</v>
      </c>
      <c r="BT162" s="18">
        <f>[1]monsters!$O162</f>
        <v>26.78</v>
      </c>
      <c r="BU162" s="18">
        <f>[1]monsters!$P162</f>
        <v>1114.8399999999999</v>
      </c>
      <c r="BV162" s="18">
        <f>[1]monsters!$Q162</f>
        <v>111.48</v>
      </c>
      <c r="BW162" s="18">
        <f>[1]monsters!$R162</f>
        <v>26.78</v>
      </c>
      <c r="BX162" s="18">
        <f>[1]monsters!$S162</f>
        <v>2.68</v>
      </c>
      <c r="BY162" s="18">
        <f>[1]monsters!$K162</f>
        <v>1.8</v>
      </c>
      <c r="BZ162" s="5">
        <f>[1]monsters!$D162</f>
        <v>6</v>
      </c>
      <c r="CA162" s="5">
        <f t="shared" si="115"/>
        <v>0.1</v>
      </c>
      <c r="CB162" s="5">
        <f t="shared" si="116"/>
        <v>290.64550033670031</v>
      </c>
      <c r="CC162" s="5">
        <f t="shared" si="117"/>
        <v>29.064550033670031</v>
      </c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>
        <v>0</v>
      </c>
      <c r="CR162" s="3" t="b">
        <f t="shared" si="88"/>
        <v>1</v>
      </c>
      <c r="CS162" s="3" t="b">
        <f t="shared" si="89"/>
        <v>1</v>
      </c>
      <c r="CT162" s="3" t="b">
        <f t="shared" si="90"/>
        <v>1</v>
      </c>
      <c r="CU162" s="3" t="b">
        <f t="shared" si="91"/>
        <v>1</v>
      </c>
      <c r="CV162" s="3" t="b">
        <f t="shared" si="92"/>
        <v>1</v>
      </c>
      <c r="CW162" s="3" t="b">
        <f t="shared" si="93"/>
        <v>1</v>
      </c>
      <c r="CX162" s="9" t="str">
        <f t="shared" si="94"/>
        <v>5202062</v>
      </c>
      <c r="CY162" s="9" t="str">
        <f t="shared" si="95"/>
        <v>5202062</v>
      </c>
      <c r="CZ162" s="9" t="str">
        <f t="shared" si="96"/>
        <v>5301062</v>
      </c>
      <c r="DA162" s="9" t="str">
        <f t="shared" si="97"/>
        <v>5502062</v>
      </c>
      <c r="DB162" s="9" t="str">
        <f t="shared" si="98"/>
        <v>5500061</v>
      </c>
      <c r="DC162" s="9" t="str">
        <f t="shared" si="99"/>
        <v>5502061</v>
      </c>
      <c r="DD162" s="9">
        <v>6</v>
      </c>
      <c r="DE162" s="9">
        <v>6</v>
      </c>
      <c r="DF162" s="9">
        <v>6</v>
      </c>
      <c r="DG162" s="9">
        <v>6</v>
      </c>
      <c r="DH162" s="9">
        <v>6</v>
      </c>
      <c r="DI162" s="9">
        <v>6</v>
      </c>
      <c r="DJ162" s="9">
        <v>5</v>
      </c>
      <c r="DK162" s="9">
        <v>5</v>
      </c>
      <c r="DL162" s="9">
        <v>5</v>
      </c>
      <c r="DM162" s="9">
        <v>5</v>
      </c>
      <c r="DN162" s="9">
        <v>5</v>
      </c>
      <c r="DO162" s="9">
        <v>5</v>
      </c>
      <c r="DP162" s="25" t="s">
        <v>200</v>
      </c>
      <c r="DQ162" s="25" t="s">
        <v>200</v>
      </c>
      <c r="DR162" s="25" t="s">
        <v>201</v>
      </c>
      <c r="DS162" s="25" t="s">
        <v>204</v>
      </c>
      <c r="DT162" s="25" t="s">
        <v>197</v>
      </c>
      <c r="DU162" s="25" t="s">
        <v>119</v>
      </c>
      <c r="DV162" s="25">
        <f t="shared" si="100"/>
        <v>1</v>
      </c>
      <c r="DW162" s="25">
        <f t="shared" si="101"/>
        <v>1</v>
      </c>
      <c r="DX162" s="25">
        <f t="shared" si="102"/>
        <v>1</v>
      </c>
      <c r="DY162" s="25">
        <f t="shared" si="103"/>
        <v>2</v>
      </c>
      <c r="DZ162" s="25">
        <f t="shared" si="104"/>
        <v>2</v>
      </c>
      <c r="EA162" s="3">
        <f t="shared" si="105"/>
        <v>2</v>
      </c>
      <c r="EB162" s="39"/>
      <c r="EC162" s="9">
        <v>5602064</v>
      </c>
      <c r="ED162" s="34" t="s">
        <v>220</v>
      </c>
      <c r="EE162" s="8">
        <v>2</v>
      </c>
    </row>
    <row r="163" spans="1:135" ht="13.5" customHeight="1">
      <c r="A163" s="9">
        <v>160</v>
      </c>
      <c r="B163" s="9">
        <v>1</v>
      </c>
      <c r="C163" s="9">
        <v>2001</v>
      </c>
      <c r="D163" s="9">
        <f t="shared" si="118"/>
        <v>823115</v>
      </c>
      <c r="E163" s="9" t="str">
        <f t="shared" si="85"/>
        <v>5202063,5201063,5301063,5400065,5601061,5400065</v>
      </c>
      <c r="F163" s="9" t="str">
        <f t="shared" si="86"/>
        <v>6,6,6,6,6,6</v>
      </c>
      <c r="G163" s="9" t="str">
        <f t="shared" si="87"/>
        <v>380,411,411,411,411,411</v>
      </c>
      <c r="H163" s="9">
        <v>104</v>
      </c>
      <c r="I163" s="9" t="s">
        <v>278</v>
      </c>
      <c r="J163" s="9" t="s">
        <v>279</v>
      </c>
      <c r="K163" s="9" t="s">
        <v>279</v>
      </c>
      <c r="L163" s="9" t="s">
        <v>279</v>
      </c>
      <c r="M163" s="9" t="s">
        <v>290</v>
      </c>
      <c r="O163" s="3">
        <f t="shared" si="84"/>
        <v>823115</v>
      </c>
      <c r="P163" s="9">
        <v>668112.65</v>
      </c>
      <c r="Q163" s="9">
        <v>5202063</v>
      </c>
      <c r="R163" s="9">
        <v>5201063</v>
      </c>
      <c r="S163" s="9">
        <v>5301063</v>
      </c>
      <c r="T163" s="9">
        <v>5400065</v>
      </c>
      <c r="U163" s="9">
        <v>5601061</v>
      </c>
      <c r="V163" s="9">
        <v>5400065</v>
      </c>
      <c r="W163" s="9">
        <v>6</v>
      </c>
      <c r="X163" s="9">
        <v>6</v>
      </c>
      <c r="Y163" s="9">
        <v>6</v>
      </c>
      <c r="Z163" s="9">
        <v>6</v>
      </c>
      <c r="AA163" s="9">
        <v>6</v>
      </c>
      <c r="AB163" s="9">
        <v>6</v>
      </c>
      <c r="AC163" s="9">
        <f t="shared" si="106"/>
        <v>380</v>
      </c>
      <c r="AD163" s="9">
        <f t="shared" si="107"/>
        <v>411</v>
      </c>
      <c r="AE163" s="9">
        <f t="shared" si="108"/>
        <v>411</v>
      </c>
      <c r="AF163" s="9">
        <f t="shared" si="109"/>
        <v>411</v>
      </c>
      <c r="AG163" s="9">
        <f t="shared" si="110"/>
        <v>411</v>
      </c>
      <c r="AH163" s="9">
        <f t="shared" si="111"/>
        <v>411</v>
      </c>
      <c r="AI163" s="7">
        <f t="shared" si="82"/>
        <v>111352.10833333334</v>
      </c>
      <c r="AJ163" s="7">
        <f t="shared" si="120"/>
        <v>111352.10833333334</v>
      </c>
      <c r="AK163" s="7">
        <f t="shared" si="120"/>
        <v>111352.10833333334</v>
      </c>
      <c r="AL163" s="7">
        <f t="shared" si="120"/>
        <v>111352.10833333334</v>
      </c>
      <c r="AM163" s="7">
        <f t="shared" si="120"/>
        <v>111352.10833333334</v>
      </c>
      <c r="AN163" s="7">
        <f t="shared" si="120"/>
        <v>111352.10833333334</v>
      </c>
      <c r="AO163" s="16"/>
      <c r="AP163" s="7"/>
      <c r="AQ163" s="9">
        <v>6</v>
      </c>
      <c r="AR163" s="9">
        <f t="shared" si="112"/>
        <v>354</v>
      </c>
      <c r="AS163" s="7">
        <f t="shared" si="121"/>
        <v>180</v>
      </c>
      <c r="AT163" s="7"/>
      <c r="AU163" s="16"/>
      <c r="AV163" s="7"/>
      <c r="AW163" s="7"/>
      <c r="AX163" s="7"/>
      <c r="AZ163" s="7"/>
      <c r="BA163" s="9">
        <f t="shared" si="122"/>
        <v>78202.499999999971</v>
      </c>
      <c r="BC163" s="5">
        <f t="shared" si="114"/>
        <v>354</v>
      </c>
      <c r="BR163" s="5">
        <v>5401061</v>
      </c>
      <c r="BS163" s="18">
        <f>[1]monsters!$N163</f>
        <v>155.52000000000001</v>
      </c>
      <c r="BT163" s="18">
        <f>[1]monsters!$O163</f>
        <v>15.55</v>
      </c>
      <c r="BU163" s="18">
        <f>[1]monsters!$P163</f>
        <v>1920</v>
      </c>
      <c r="BV163" s="18">
        <f>[1]monsters!$Q163</f>
        <v>192</v>
      </c>
      <c r="BW163" s="18">
        <f>[1]monsters!$R163</f>
        <v>31.1</v>
      </c>
      <c r="BX163" s="18">
        <f>[1]monsters!$S163</f>
        <v>3.11</v>
      </c>
      <c r="BY163" s="18">
        <f>[1]monsters!$K163</f>
        <v>1.8</v>
      </c>
      <c r="BZ163" s="5">
        <f>[1]monsters!$D163</f>
        <v>2</v>
      </c>
      <c r="CA163" s="5">
        <f t="shared" si="115"/>
        <v>0.1</v>
      </c>
      <c r="CB163" s="5">
        <f t="shared" si="116"/>
        <v>211.61286464646466</v>
      </c>
      <c r="CC163" s="5">
        <f t="shared" si="117"/>
        <v>21.161286464646466</v>
      </c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>
        <v>1</v>
      </c>
      <c r="CR163" s="3" t="b">
        <f t="shared" si="88"/>
        <v>1</v>
      </c>
      <c r="CS163" s="3" t="b">
        <f t="shared" si="89"/>
        <v>1</v>
      </c>
      <c r="CT163" s="3" t="b">
        <f t="shared" si="90"/>
        <v>1</v>
      </c>
      <c r="CU163" s="3" t="b">
        <f t="shared" si="91"/>
        <v>1</v>
      </c>
      <c r="CV163" s="3" t="b">
        <f t="shared" si="92"/>
        <v>1</v>
      </c>
      <c r="CW163" s="3" t="b">
        <f t="shared" si="93"/>
        <v>1</v>
      </c>
      <c r="CX163" s="9" t="str">
        <f t="shared" si="94"/>
        <v>5202063</v>
      </c>
      <c r="CY163" s="9" t="str">
        <f t="shared" si="95"/>
        <v>5201063</v>
      </c>
      <c r="CZ163" s="9" t="str">
        <f t="shared" si="96"/>
        <v>5301063</v>
      </c>
      <c r="DA163" s="9" t="str">
        <f t="shared" si="97"/>
        <v>5400065</v>
      </c>
      <c r="DB163" s="9" t="str">
        <f t="shared" si="98"/>
        <v>5601061</v>
      </c>
      <c r="DC163" s="9" t="str">
        <f t="shared" si="99"/>
        <v>5400065</v>
      </c>
      <c r="DD163" s="9">
        <v>6</v>
      </c>
      <c r="DE163" s="9">
        <v>6</v>
      </c>
      <c r="DF163" s="9">
        <v>6</v>
      </c>
      <c r="DG163" s="9">
        <v>6</v>
      </c>
      <c r="DH163" s="9">
        <v>6</v>
      </c>
      <c r="DI163" s="9">
        <v>6</v>
      </c>
      <c r="DJ163" s="9">
        <v>5</v>
      </c>
      <c r="DK163" s="9">
        <v>5</v>
      </c>
      <c r="DL163" s="9">
        <v>5</v>
      </c>
      <c r="DM163" s="9">
        <v>5</v>
      </c>
      <c r="DN163" s="9">
        <v>5</v>
      </c>
      <c r="DO163" s="9">
        <v>5</v>
      </c>
      <c r="DP163" s="25" t="s">
        <v>208</v>
      </c>
      <c r="DQ163" s="25" t="s">
        <v>205</v>
      </c>
      <c r="DR163" s="25" t="s">
        <v>206</v>
      </c>
      <c r="DS163" s="25" t="s">
        <v>210</v>
      </c>
      <c r="DT163" s="25" t="s">
        <v>198</v>
      </c>
      <c r="DU163" s="25" t="s">
        <v>210</v>
      </c>
      <c r="DV163" s="25">
        <f t="shared" si="100"/>
        <v>1</v>
      </c>
      <c r="DW163" s="25">
        <f t="shared" si="101"/>
        <v>1</v>
      </c>
      <c r="DX163" s="25">
        <f t="shared" si="102"/>
        <v>1</v>
      </c>
      <c r="DY163" s="25">
        <f t="shared" si="103"/>
        <v>2</v>
      </c>
      <c r="DZ163" s="25">
        <f t="shared" si="104"/>
        <v>2</v>
      </c>
      <c r="EA163" s="3">
        <f t="shared" si="105"/>
        <v>2</v>
      </c>
      <c r="EB163" s="39"/>
      <c r="EC163" s="9">
        <v>5202065</v>
      </c>
      <c r="ED163" s="34" t="s">
        <v>213</v>
      </c>
      <c r="EE163" s="8">
        <v>1</v>
      </c>
    </row>
    <row r="164" spans="1:135" ht="13.5" customHeight="1">
      <c r="A164" s="9">
        <v>161</v>
      </c>
      <c r="B164" s="9">
        <v>1</v>
      </c>
      <c r="C164" s="9">
        <v>2001</v>
      </c>
      <c r="D164" s="9">
        <f t="shared" si="118"/>
        <v>828315</v>
      </c>
      <c r="E164" s="9" t="str">
        <f t="shared" si="85"/>
        <v>5200063,5202065,5301063,5401063,5501065,5400065</v>
      </c>
      <c r="F164" s="9" t="str">
        <f t="shared" si="86"/>
        <v>6,6,6,6,6,6</v>
      </c>
      <c r="G164" s="9" t="str">
        <f t="shared" si="87"/>
        <v>381,412,412,412,412,412</v>
      </c>
      <c r="H164" s="9">
        <v>104</v>
      </c>
      <c r="I164" s="9" t="s">
        <v>278</v>
      </c>
      <c r="J164" s="9" t="s">
        <v>279</v>
      </c>
      <c r="K164" s="9" t="s">
        <v>279</v>
      </c>
      <c r="L164" s="9" t="s">
        <v>279</v>
      </c>
      <c r="M164" s="9" t="s">
        <v>290</v>
      </c>
      <c r="O164" s="3">
        <f t="shared" si="84"/>
        <v>828315</v>
      </c>
      <c r="P164" s="9">
        <v>672333.44</v>
      </c>
      <c r="Q164" s="9">
        <v>5200063</v>
      </c>
      <c r="R164" s="9">
        <v>5202065</v>
      </c>
      <c r="S164" s="9">
        <v>5301063</v>
      </c>
      <c r="T164" s="9">
        <v>5401063</v>
      </c>
      <c r="U164" s="9">
        <v>5501065</v>
      </c>
      <c r="V164" s="9">
        <v>5400065</v>
      </c>
      <c r="W164" s="9">
        <v>6</v>
      </c>
      <c r="X164" s="9">
        <v>6</v>
      </c>
      <c r="Y164" s="9">
        <v>6</v>
      </c>
      <c r="Z164" s="9">
        <v>6</v>
      </c>
      <c r="AA164" s="9">
        <v>6</v>
      </c>
      <c r="AB164" s="9">
        <v>6</v>
      </c>
      <c r="AC164" s="9">
        <f t="shared" si="106"/>
        <v>381</v>
      </c>
      <c r="AD164" s="9">
        <f t="shared" si="107"/>
        <v>412</v>
      </c>
      <c r="AE164" s="9">
        <f t="shared" si="108"/>
        <v>412</v>
      </c>
      <c r="AF164" s="9">
        <f t="shared" si="109"/>
        <v>412</v>
      </c>
      <c r="AG164" s="9">
        <f t="shared" si="110"/>
        <v>412</v>
      </c>
      <c r="AH164" s="9">
        <f t="shared" si="111"/>
        <v>412</v>
      </c>
      <c r="AI164" s="7">
        <f t="shared" si="82"/>
        <v>112055.57333333332</v>
      </c>
      <c r="AJ164" s="7">
        <f t="shared" si="120"/>
        <v>112055.57333333332</v>
      </c>
      <c r="AK164" s="7">
        <f t="shared" si="120"/>
        <v>112055.57333333332</v>
      </c>
      <c r="AL164" s="7">
        <f t="shared" si="120"/>
        <v>112055.57333333332</v>
      </c>
      <c r="AM164" s="7">
        <f t="shared" si="120"/>
        <v>112055.57333333332</v>
      </c>
      <c r="AN164" s="7">
        <f t="shared" si="120"/>
        <v>112055.57333333332</v>
      </c>
      <c r="AO164" s="16"/>
      <c r="AP164" s="7"/>
      <c r="AQ164" s="9">
        <v>6</v>
      </c>
      <c r="AR164" s="9">
        <f t="shared" si="112"/>
        <v>356</v>
      </c>
      <c r="AS164" s="7">
        <f t="shared" si="121"/>
        <v>180</v>
      </c>
      <c r="AT164" s="7"/>
      <c r="AU164" s="16"/>
      <c r="AV164" s="7"/>
      <c r="AW164" s="7"/>
      <c r="AX164" s="7"/>
      <c r="AZ164" s="7"/>
      <c r="BA164" s="9">
        <f t="shared" si="122"/>
        <v>80293.649999999965</v>
      </c>
      <c r="BC164" s="5">
        <f t="shared" si="114"/>
        <v>356</v>
      </c>
      <c r="BR164" s="5">
        <v>5402061</v>
      </c>
      <c r="BS164" s="18">
        <f>[1]monsters!$N164</f>
        <v>112.32</v>
      </c>
      <c r="BT164" s="18">
        <f>[1]monsters!$O164</f>
        <v>11.23</v>
      </c>
      <c r="BU164" s="18">
        <f>[1]monsters!$P164</f>
        <v>1920</v>
      </c>
      <c r="BV164" s="18">
        <f>[1]monsters!$Q164</f>
        <v>192</v>
      </c>
      <c r="BW164" s="18">
        <f>[1]monsters!$R164</f>
        <v>22.46</v>
      </c>
      <c r="BX164" s="18">
        <f>[1]monsters!$S164</f>
        <v>2.25</v>
      </c>
      <c r="BY164" s="18">
        <f>[1]monsters!$K164</f>
        <v>1.3</v>
      </c>
      <c r="BZ164" s="5">
        <f>[1]monsters!$D164</f>
        <v>3</v>
      </c>
      <c r="CA164" s="5">
        <f t="shared" si="115"/>
        <v>0.1</v>
      </c>
      <c r="CB164" s="5">
        <f t="shared" si="116"/>
        <v>170.78886464646462</v>
      </c>
      <c r="CC164" s="5">
        <f t="shared" si="117"/>
        <v>17.078886464646462</v>
      </c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>
        <v>0</v>
      </c>
      <c r="CR164" s="3" t="b">
        <f t="shared" si="88"/>
        <v>1</v>
      </c>
      <c r="CS164" s="3" t="b">
        <f t="shared" si="89"/>
        <v>1</v>
      </c>
      <c r="CT164" s="3" t="b">
        <f t="shared" si="90"/>
        <v>1</v>
      </c>
      <c r="CU164" s="3" t="b">
        <f t="shared" si="91"/>
        <v>1</v>
      </c>
      <c r="CV164" s="3" t="b">
        <f t="shared" si="92"/>
        <v>1</v>
      </c>
      <c r="CW164" s="3" t="b">
        <f t="shared" si="93"/>
        <v>1</v>
      </c>
      <c r="CX164" s="9" t="str">
        <f t="shared" si="94"/>
        <v>5200063</v>
      </c>
      <c r="CY164" s="9" t="str">
        <f t="shared" si="95"/>
        <v>5202065</v>
      </c>
      <c r="CZ164" s="9" t="str">
        <f t="shared" si="96"/>
        <v>5301063</v>
      </c>
      <c r="DA164" s="9" t="str">
        <f t="shared" si="97"/>
        <v>5401063</v>
      </c>
      <c r="DB164" s="9" t="str">
        <f t="shared" si="98"/>
        <v>5501065</v>
      </c>
      <c r="DC164" s="9" t="str">
        <f t="shared" si="99"/>
        <v>5400065</v>
      </c>
      <c r="DD164" s="9">
        <v>6</v>
      </c>
      <c r="DE164" s="9">
        <v>6</v>
      </c>
      <c r="DF164" s="9">
        <v>6</v>
      </c>
      <c r="DG164" s="9">
        <v>6</v>
      </c>
      <c r="DH164" s="9">
        <v>6</v>
      </c>
      <c r="DI164" s="9">
        <v>6</v>
      </c>
      <c r="DJ164" s="9">
        <v>5</v>
      </c>
      <c r="DK164" s="9">
        <v>5</v>
      </c>
      <c r="DL164" s="9">
        <v>5</v>
      </c>
      <c r="DM164" s="9">
        <v>5</v>
      </c>
      <c r="DN164" s="9">
        <v>5</v>
      </c>
      <c r="DO164" s="9">
        <v>5</v>
      </c>
      <c r="DP164" s="25" t="s">
        <v>113</v>
      </c>
      <c r="DQ164" s="25" t="s">
        <v>213</v>
      </c>
      <c r="DR164" s="25" t="s">
        <v>206</v>
      </c>
      <c r="DS164" s="25" t="s">
        <v>211</v>
      </c>
      <c r="DT164" s="25" t="s">
        <v>209</v>
      </c>
      <c r="DU164" s="25" t="s">
        <v>210</v>
      </c>
      <c r="DV164" s="25">
        <f t="shared" si="100"/>
        <v>1</v>
      </c>
      <c r="DW164" s="25">
        <f t="shared" si="101"/>
        <v>1</v>
      </c>
      <c r="DX164" s="25">
        <f t="shared" si="102"/>
        <v>1</v>
      </c>
      <c r="DY164" s="25">
        <f t="shared" si="103"/>
        <v>2</v>
      </c>
      <c r="DZ164" s="25">
        <f t="shared" si="104"/>
        <v>2</v>
      </c>
      <c r="EA164" s="3">
        <f t="shared" si="105"/>
        <v>2</v>
      </c>
      <c r="EB164" s="39"/>
      <c r="EC164" s="9">
        <v>5300065</v>
      </c>
      <c r="ED164" s="34" t="s">
        <v>212</v>
      </c>
      <c r="EE164" s="8">
        <v>1</v>
      </c>
    </row>
    <row r="165" spans="1:135" ht="13.5" customHeight="1">
      <c r="A165" s="9">
        <v>162</v>
      </c>
      <c r="B165" s="9">
        <v>1</v>
      </c>
      <c r="C165" s="9">
        <v>2001</v>
      </c>
      <c r="D165" s="9">
        <f t="shared" si="118"/>
        <v>833534</v>
      </c>
      <c r="E165" s="9" t="str">
        <f t="shared" si="85"/>
        <v>5301061,5301062,5301063,5500061,5500062,5500063</v>
      </c>
      <c r="F165" s="9" t="str">
        <f t="shared" si="86"/>
        <v>6,6,6,6,6,6</v>
      </c>
      <c r="G165" s="9" t="str">
        <f t="shared" si="87"/>
        <v>382,414,414,414,414,414</v>
      </c>
      <c r="H165" s="9">
        <v>104</v>
      </c>
      <c r="I165" s="9" t="s">
        <v>278</v>
      </c>
      <c r="J165" s="9" t="s">
        <v>279</v>
      </c>
      <c r="K165" s="9" t="s">
        <v>279</v>
      </c>
      <c r="L165" s="9" t="s">
        <v>279</v>
      </c>
      <c r="M165" s="9" t="s">
        <v>290</v>
      </c>
      <c r="O165" s="3">
        <f t="shared" si="84"/>
        <v>833534</v>
      </c>
      <c r="P165" s="9">
        <v>676570.15</v>
      </c>
      <c r="Q165" s="9">
        <v>5301061</v>
      </c>
      <c r="R165" s="9">
        <v>5301062</v>
      </c>
      <c r="S165" s="9">
        <v>5301063</v>
      </c>
      <c r="T165" s="9">
        <v>5500061</v>
      </c>
      <c r="U165" s="9">
        <v>5500062</v>
      </c>
      <c r="V165" s="9">
        <v>5500063</v>
      </c>
      <c r="W165" s="9">
        <v>6</v>
      </c>
      <c r="X165" s="9">
        <v>6</v>
      </c>
      <c r="Y165" s="9">
        <v>6</v>
      </c>
      <c r="Z165" s="9">
        <v>6</v>
      </c>
      <c r="AA165" s="9">
        <v>6</v>
      </c>
      <c r="AB165" s="9">
        <v>6</v>
      </c>
      <c r="AC165" s="9">
        <f t="shared" si="106"/>
        <v>382</v>
      </c>
      <c r="AD165" s="9">
        <f t="shared" si="107"/>
        <v>414</v>
      </c>
      <c r="AE165" s="9">
        <f t="shared" si="108"/>
        <v>414</v>
      </c>
      <c r="AF165" s="9">
        <f t="shared" si="109"/>
        <v>414</v>
      </c>
      <c r="AG165" s="9">
        <f t="shared" si="110"/>
        <v>414</v>
      </c>
      <c r="AH165" s="9">
        <f t="shared" si="111"/>
        <v>414</v>
      </c>
      <c r="AI165" s="7">
        <f t="shared" si="82"/>
        <v>112761.69166666667</v>
      </c>
      <c r="AJ165" s="7">
        <f t="shared" si="120"/>
        <v>112761.69166666667</v>
      </c>
      <c r="AK165" s="7">
        <f t="shared" si="120"/>
        <v>112761.69166666667</v>
      </c>
      <c r="AL165" s="7">
        <f t="shared" si="120"/>
        <v>112761.69166666667</v>
      </c>
      <c r="AM165" s="7">
        <f t="shared" si="120"/>
        <v>112761.69166666667</v>
      </c>
      <c r="AN165" s="7">
        <f t="shared" si="120"/>
        <v>112761.69166666667</v>
      </c>
      <c r="AO165" s="16"/>
      <c r="AP165" s="7"/>
      <c r="AQ165" s="9">
        <v>6</v>
      </c>
      <c r="AR165" s="9">
        <f t="shared" si="112"/>
        <v>357</v>
      </c>
      <c r="AS165" s="7">
        <f t="shared" si="121"/>
        <v>181</v>
      </c>
      <c r="AT165" s="7"/>
      <c r="AU165" s="16"/>
      <c r="AV165" s="7"/>
      <c r="AW165" s="7"/>
      <c r="AX165" s="7"/>
      <c r="AZ165" s="7"/>
      <c r="BA165" s="9">
        <f t="shared" si="122"/>
        <v>82384.799999999959</v>
      </c>
      <c r="BC165" s="5">
        <f t="shared" si="114"/>
        <v>357</v>
      </c>
      <c r="BR165" s="5">
        <v>5500061</v>
      </c>
      <c r="BS165" s="18">
        <f>[1]monsters!$N165</f>
        <v>120.96</v>
      </c>
      <c r="BT165" s="18">
        <f>[1]monsters!$O165</f>
        <v>12.1</v>
      </c>
      <c r="BU165" s="18">
        <f>[1]monsters!$P165</f>
        <v>1920</v>
      </c>
      <c r="BV165" s="18">
        <f>[1]monsters!$Q165</f>
        <v>192</v>
      </c>
      <c r="BW165" s="18">
        <f>[1]monsters!$R165</f>
        <v>24.19</v>
      </c>
      <c r="BX165" s="18">
        <f>[1]monsters!$S165</f>
        <v>2.42</v>
      </c>
      <c r="BY165" s="18">
        <f>[1]monsters!$K165</f>
        <v>1.4</v>
      </c>
      <c r="BZ165" s="5">
        <f>[1]monsters!$D165</f>
        <v>3</v>
      </c>
      <c r="CA165" s="5">
        <f t="shared" si="115"/>
        <v>0.1</v>
      </c>
      <c r="CB165" s="5">
        <f t="shared" si="116"/>
        <v>178.95366464646463</v>
      </c>
      <c r="CC165" s="5">
        <f t="shared" si="117"/>
        <v>17.895366464646465</v>
      </c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>
        <v>0</v>
      </c>
      <c r="CR165" s="3" t="b">
        <f t="shared" si="88"/>
        <v>1</v>
      </c>
      <c r="CS165" s="3" t="b">
        <f t="shared" si="89"/>
        <v>1</v>
      </c>
      <c r="CT165" s="3" t="b">
        <f t="shared" si="90"/>
        <v>1</v>
      </c>
      <c r="CU165" s="3" t="b">
        <f t="shared" si="91"/>
        <v>1</v>
      </c>
      <c r="CV165" s="3" t="b">
        <f t="shared" si="92"/>
        <v>1</v>
      </c>
      <c r="CW165" s="3" t="b">
        <f t="shared" si="93"/>
        <v>1</v>
      </c>
      <c r="CX165" s="9" t="str">
        <f t="shared" si="94"/>
        <v>5301061</v>
      </c>
      <c r="CY165" s="9" t="str">
        <f t="shared" si="95"/>
        <v>5301062</v>
      </c>
      <c r="CZ165" s="9" t="str">
        <f t="shared" si="96"/>
        <v>5301063</v>
      </c>
      <c r="DA165" s="9" t="str">
        <f t="shared" si="97"/>
        <v>5500061</v>
      </c>
      <c r="DB165" s="9" t="str">
        <f t="shared" si="98"/>
        <v>5500062</v>
      </c>
      <c r="DC165" s="9" t="str">
        <f t="shared" si="99"/>
        <v>5500063</v>
      </c>
      <c r="DD165" s="9">
        <v>6</v>
      </c>
      <c r="DE165" s="9">
        <v>6</v>
      </c>
      <c r="DF165" s="9">
        <v>6</v>
      </c>
      <c r="DG165" s="9">
        <v>6</v>
      </c>
      <c r="DH165" s="9">
        <v>6</v>
      </c>
      <c r="DI165" s="9">
        <v>6</v>
      </c>
      <c r="DJ165" s="9">
        <v>5</v>
      </c>
      <c r="DK165" s="9">
        <v>5</v>
      </c>
      <c r="DL165" s="9">
        <v>5</v>
      </c>
      <c r="DM165" s="9">
        <v>5</v>
      </c>
      <c r="DN165" s="9">
        <v>5</v>
      </c>
      <c r="DO165" s="9">
        <v>5</v>
      </c>
      <c r="DP165" s="3" t="s">
        <v>107</v>
      </c>
      <c r="DQ165" s="3" t="s">
        <v>201</v>
      </c>
      <c r="DR165" s="3" t="s">
        <v>206</v>
      </c>
      <c r="DS165" s="3" t="s">
        <v>197</v>
      </c>
      <c r="DT165" s="3" t="s">
        <v>109</v>
      </c>
      <c r="DU165" s="3" t="s">
        <v>207</v>
      </c>
      <c r="DV165" s="3">
        <f t="shared" si="100"/>
        <v>1</v>
      </c>
      <c r="DW165" s="3">
        <f t="shared" si="101"/>
        <v>1</v>
      </c>
      <c r="DX165" s="3">
        <f t="shared" si="102"/>
        <v>1</v>
      </c>
      <c r="DY165" s="3">
        <f t="shared" si="103"/>
        <v>2</v>
      </c>
      <c r="DZ165" s="3">
        <f t="shared" si="104"/>
        <v>2</v>
      </c>
      <c r="EA165" s="3">
        <f t="shared" si="105"/>
        <v>2</v>
      </c>
      <c r="EB165" s="39"/>
      <c r="EC165" s="9">
        <v>5302065</v>
      </c>
      <c r="ED165" s="34" t="s">
        <v>221</v>
      </c>
      <c r="EE165" s="8">
        <v>1</v>
      </c>
    </row>
    <row r="166" spans="1:135" ht="13.5" customHeight="1">
      <c r="A166" s="9">
        <v>163</v>
      </c>
      <c r="B166" s="9">
        <v>1</v>
      </c>
      <c r="C166" s="9">
        <v>2001</v>
      </c>
      <c r="D166" s="9">
        <f t="shared" si="118"/>
        <v>839313</v>
      </c>
      <c r="E166" s="9" t="str">
        <f t="shared" si="85"/>
        <v>5200062,5200063,5200062,5400065,5501065,5402061</v>
      </c>
      <c r="F166" s="9" t="str">
        <f t="shared" si="86"/>
        <v>6,6,6,6,6,6</v>
      </c>
      <c r="G166" s="9" t="str">
        <f t="shared" si="87"/>
        <v>383,415,415,415,415,415</v>
      </c>
      <c r="H166" s="9">
        <v>105</v>
      </c>
      <c r="I166" s="9" t="s">
        <v>278</v>
      </c>
      <c r="J166" s="9" t="s">
        <v>279</v>
      </c>
      <c r="K166" s="9" t="s">
        <v>279</v>
      </c>
      <c r="L166" s="9" t="s">
        <v>279</v>
      </c>
      <c r="M166" s="9" t="s">
        <v>290</v>
      </c>
      <c r="O166" s="3">
        <f t="shared" si="84"/>
        <v>839313</v>
      </c>
      <c r="P166" s="9">
        <v>681260.58</v>
      </c>
      <c r="Q166" s="9">
        <v>5200062</v>
      </c>
      <c r="R166" s="9">
        <v>5200063</v>
      </c>
      <c r="S166" s="9">
        <v>5200062</v>
      </c>
      <c r="T166" s="9">
        <v>5400065</v>
      </c>
      <c r="U166" s="9">
        <v>5501065</v>
      </c>
      <c r="V166" s="9">
        <v>5402061</v>
      </c>
      <c r="W166" s="9">
        <v>6</v>
      </c>
      <c r="X166" s="9">
        <v>6</v>
      </c>
      <c r="Y166" s="9">
        <v>6</v>
      </c>
      <c r="Z166" s="9">
        <v>6</v>
      </c>
      <c r="AA166" s="9">
        <v>6</v>
      </c>
      <c r="AB166" s="9">
        <v>6</v>
      </c>
      <c r="AC166" s="9">
        <f t="shared" si="106"/>
        <v>383</v>
      </c>
      <c r="AD166" s="9">
        <f t="shared" si="107"/>
        <v>415</v>
      </c>
      <c r="AE166" s="9">
        <f t="shared" si="108"/>
        <v>415</v>
      </c>
      <c r="AF166" s="9">
        <f t="shared" si="109"/>
        <v>415</v>
      </c>
      <c r="AG166" s="9">
        <f t="shared" si="110"/>
        <v>415</v>
      </c>
      <c r="AH166" s="9">
        <f t="shared" si="111"/>
        <v>415</v>
      </c>
      <c r="AI166" s="7">
        <f t="shared" si="82"/>
        <v>113543.43</v>
      </c>
      <c r="AJ166" s="7">
        <f t="shared" si="120"/>
        <v>113543.43</v>
      </c>
      <c r="AK166" s="7">
        <f t="shared" si="120"/>
        <v>113543.43</v>
      </c>
      <c r="AL166" s="7">
        <f t="shared" si="120"/>
        <v>113543.43</v>
      </c>
      <c r="AM166" s="7">
        <f t="shared" si="120"/>
        <v>113543.43</v>
      </c>
      <c r="AN166" s="7">
        <f t="shared" si="120"/>
        <v>113543.43</v>
      </c>
      <c r="AO166" s="16"/>
      <c r="AP166" s="7"/>
      <c r="AQ166" s="9">
        <v>6</v>
      </c>
      <c r="AR166" s="9">
        <f t="shared" si="112"/>
        <v>358</v>
      </c>
      <c r="AS166" s="7">
        <f t="shared" si="121"/>
        <v>181</v>
      </c>
      <c r="AT166" s="7"/>
      <c r="AU166" s="16"/>
      <c r="AV166" s="7"/>
      <c r="AW166" s="7"/>
      <c r="AX166" s="7"/>
      <c r="AZ166" s="7"/>
      <c r="BA166" s="9">
        <f t="shared" si="122"/>
        <v>84475.949999999953</v>
      </c>
      <c r="BC166" s="5">
        <f t="shared" si="114"/>
        <v>358</v>
      </c>
      <c r="BR166" s="5">
        <v>5501061</v>
      </c>
      <c r="BS166" s="18">
        <f>[1]monsters!$N166</f>
        <v>161.28</v>
      </c>
      <c r="BT166" s="18">
        <f>[1]monsters!$O166</f>
        <v>16.13</v>
      </c>
      <c r="BU166" s="18">
        <f>[1]monsters!$P166</f>
        <v>1440</v>
      </c>
      <c r="BV166" s="18">
        <f>[1]monsters!$Q166</f>
        <v>144</v>
      </c>
      <c r="BW166" s="18">
        <f>[1]monsters!$R166</f>
        <v>23.04</v>
      </c>
      <c r="BX166" s="18">
        <f>[1]monsters!$S166</f>
        <v>2.2999999999999998</v>
      </c>
      <c r="BY166" s="18">
        <f>[1]monsters!$K166</f>
        <v>1.4</v>
      </c>
      <c r="BZ166" s="5">
        <f>[1]monsters!$D166</f>
        <v>4</v>
      </c>
      <c r="CA166" s="5">
        <f t="shared" si="115"/>
        <v>0.1</v>
      </c>
      <c r="CB166" s="5">
        <f t="shared" si="116"/>
        <v>200.89444848484848</v>
      </c>
      <c r="CC166" s="5">
        <f t="shared" si="117"/>
        <v>20.089444848484849</v>
      </c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>
        <v>0</v>
      </c>
      <c r="CR166" s="3" t="b">
        <f t="shared" si="88"/>
        <v>1</v>
      </c>
      <c r="CS166" s="3" t="b">
        <f t="shared" si="89"/>
        <v>1</v>
      </c>
      <c r="CT166" s="3" t="b">
        <f t="shared" si="90"/>
        <v>1</v>
      </c>
      <c r="CU166" s="3" t="b">
        <f t="shared" si="91"/>
        <v>1</v>
      </c>
      <c r="CV166" s="3" t="b">
        <f t="shared" si="92"/>
        <v>1</v>
      </c>
      <c r="CW166" s="3" t="b">
        <f t="shared" si="93"/>
        <v>1</v>
      </c>
      <c r="CX166" s="9" t="str">
        <f t="shared" si="94"/>
        <v>5200062</v>
      </c>
      <c r="CY166" s="9" t="str">
        <f t="shared" si="95"/>
        <v>5200063</v>
      </c>
      <c r="CZ166" s="9" t="str">
        <f t="shared" si="96"/>
        <v>5200062</v>
      </c>
      <c r="DA166" s="9" t="str">
        <f t="shared" si="97"/>
        <v>5400065</v>
      </c>
      <c r="DB166" s="9" t="str">
        <f t="shared" si="98"/>
        <v>5501065</v>
      </c>
      <c r="DC166" s="9" t="str">
        <f t="shared" si="99"/>
        <v>5402061</v>
      </c>
      <c r="DD166" s="9">
        <v>6</v>
      </c>
      <c r="DE166" s="9">
        <v>6</v>
      </c>
      <c r="DF166" s="9">
        <v>6</v>
      </c>
      <c r="DG166" s="9">
        <v>6</v>
      </c>
      <c r="DH166" s="9">
        <v>6</v>
      </c>
      <c r="DI166" s="9">
        <v>6</v>
      </c>
      <c r="DJ166" s="9">
        <v>5</v>
      </c>
      <c r="DK166" s="9">
        <v>5</v>
      </c>
      <c r="DL166" s="9">
        <v>5</v>
      </c>
      <c r="DM166" s="9">
        <v>5</v>
      </c>
      <c r="DN166" s="9">
        <v>5</v>
      </c>
      <c r="DO166" s="9">
        <v>5</v>
      </c>
      <c r="DP166" s="3" t="s">
        <v>199</v>
      </c>
      <c r="DQ166" s="3" t="s">
        <v>113</v>
      </c>
      <c r="DR166" s="3" t="s">
        <v>199</v>
      </c>
      <c r="DS166" s="25" t="s">
        <v>210</v>
      </c>
      <c r="DT166" s="25" t="s">
        <v>209</v>
      </c>
      <c r="DU166" s="25" t="s">
        <v>196</v>
      </c>
      <c r="DV166" s="25">
        <f t="shared" si="100"/>
        <v>1</v>
      </c>
      <c r="DW166" s="25">
        <f t="shared" si="101"/>
        <v>1</v>
      </c>
      <c r="DX166" s="25">
        <f t="shared" si="102"/>
        <v>1</v>
      </c>
      <c r="DY166" s="25">
        <f t="shared" si="103"/>
        <v>2</v>
      </c>
      <c r="DZ166" s="25">
        <f t="shared" si="104"/>
        <v>2</v>
      </c>
      <c r="EA166" s="3">
        <f t="shared" si="105"/>
        <v>2</v>
      </c>
      <c r="EB166" s="39"/>
      <c r="EC166" s="9">
        <v>5400065</v>
      </c>
      <c r="ED166" s="34" t="s">
        <v>210</v>
      </c>
      <c r="EE166" s="8">
        <v>2</v>
      </c>
    </row>
    <row r="167" spans="1:135" ht="13.5" customHeight="1">
      <c r="A167" s="9">
        <v>164</v>
      </c>
      <c r="B167" s="9">
        <v>1</v>
      </c>
      <c r="C167" s="9">
        <v>2001</v>
      </c>
      <c r="D167" s="9">
        <f t="shared" si="118"/>
        <v>844567</v>
      </c>
      <c r="E167" s="9" t="str">
        <f t="shared" si="85"/>
        <v>5201061,5201062,5202061,5401061,5401062,5402062</v>
      </c>
      <c r="F167" s="9" t="str">
        <f t="shared" si="86"/>
        <v>6,6,6,6,6,6</v>
      </c>
      <c r="G167" s="9" t="str">
        <f t="shared" si="87"/>
        <v>385,416,416,416,416,416</v>
      </c>
      <c r="H167" s="9">
        <v>105</v>
      </c>
      <c r="I167" s="9" t="s">
        <v>278</v>
      </c>
      <c r="J167" s="9" t="s">
        <v>279</v>
      </c>
      <c r="K167" s="9" t="s">
        <v>279</v>
      </c>
      <c r="L167" s="9" t="s">
        <v>279</v>
      </c>
      <c r="M167" s="9" t="s">
        <v>290</v>
      </c>
      <c r="O167" s="3">
        <f t="shared" si="84"/>
        <v>844567</v>
      </c>
      <c r="P167" s="9">
        <v>685525.15</v>
      </c>
      <c r="Q167" s="9">
        <v>5201061</v>
      </c>
      <c r="R167" s="9">
        <v>5201062</v>
      </c>
      <c r="S167" s="9">
        <v>5202061</v>
      </c>
      <c r="T167" s="9">
        <v>5401061</v>
      </c>
      <c r="U167" s="9">
        <v>5401062</v>
      </c>
      <c r="V167" s="9">
        <v>5402062</v>
      </c>
      <c r="W167" s="9">
        <v>6</v>
      </c>
      <c r="X167" s="9">
        <v>6</v>
      </c>
      <c r="Y167" s="9">
        <v>6</v>
      </c>
      <c r="Z167" s="9">
        <v>6</v>
      </c>
      <c r="AA167" s="9">
        <v>6</v>
      </c>
      <c r="AB167" s="9">
        <v>6</v>
      </c>
      <c r="AC167" s="9">
        <f t="shared" si="106"/>
        <v>385</v>
      </c>
      <c r="AD167" s="9">
        <f t="shared" si="107"/>
        <v>416</v>
      </c>
      <c r="AE167" s="9">
        <f t="shared" si="108"/>
        <v>416</v>
      </c>
      <c r="AF167" s="9">
        <f t="shared" si="109"/>
        <v>416</v>
      </c>
      <c r="AG167" s="9">
        <f t="shared" si="110"/>
        <v>416</v>
      </c>
      <c r="AH167" s="9">
        <f t="shared" si="111"/>
        <v>416</v>
      </c>
      <c r="AI167" s="7">
        <f t="shared" ref="AI167:AI230" si="123">$P167/6</f>
        <v>114254.19166666667</v>
      </c>
      <c r="AJ167" s="7">
        <f t="shared" si="120"/>
        <v>114254.19166666667</v>
      </c>
      <c r="AK167" s="7">
        <f t="shared" si="120"/>
        <v>114254.19166666667</v>
      </c>
      <c r="AL167" s="7">
        <f t="shared" si="120"/>
        <v>114254.19166666667</v>
      </c>
      <c r="AM167" s="7">
        <f t="shared" si="120"/>
        <v>114254.19166666667</v>
      </c>
      <c r="AN167" s="7">
        <f t="shared" si="120"/>
        <v>114254.19166666667</v>
      </c>
      <c r="AO167" s="16"/>
      <c r="AP167" s="7"/>
      <c r="AQ167" s="9">
        <v>6</v>
      </c>
      <c r="AR167" s="9">
        <f t="shared" si="112"/>
        <v>359</v>
      </c>
      <c r="AS167" s="7">
        <f t="shared" si="121"/>
        <v>182</v>
      </c>
      <c r="AT167" s="7"/>
      <c r="AU167" s="16"/>
      <c r="AV167" s="7"/>
      <c r="AW167" s="7"/>
      <c r="AX167" s="7"/>
      <c r="AZ167" s="7"/>
      <c r="BA167" s="9">
        <f t="shared" si="122"/>
        <v>86567.099999999948</v>
      </c>
      <c r="BC167" s="5">
        <f t="shared" si="114"/>
        <v>359</v>
      </c>
      <c r="BR167" s="5">
        <v>5600061</v>
      </c>
      <c r="BS167" s="18">
        <f>[1]monsters!$N167</f>
        <v>215.04</v>
      </c>
      <c r="BT167" s="18">
        <f>[1]monsters!$O167</f>
        <v>21.5</v>
      </c>
      <c r="BU167" s="18">
        <f>[1]monsters!$P167</f>
        <v>1234.29</v>
      </c>
      <c r="BV167" s="18">
        <f>[1]monsters!$Q167</f>
        <v>123.43</v>
      </c>
      <c r="BW167" s="18">
        <f>[1]monsters!$R167</f>
        <v>26.88</v>
      </c>
      <c r="BX167" s="18">
        <f>[1]monsters!$S167</f>
        <v>2.69</v>
      </c>
      <c r="BY167" s="18">
        <f>[1]monsters!$K167</f>
        <v>1.6</v>
      </c>
      <c r="BZ167" s="5">
        <f>[1]monsters!$D167</f>
        <v>5</v>
      </c>
      <c r="CA167" s="5">
        <f t="shared" si="115"/>
        <v>0.1</v>
      </c>
      <c r="CB167" s="5">
        <f t="shared" si="116"/>
        <v>244.77138585858586</v>
      </c>
      <c r="CC167" s="5">
        <f t="shared" si="117"/>
        <v>24.477138585858587</v>
      </c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>
        <v>0</v>
      </c>
      <c r="CR167" s="3" t="b">
        <f t="shared" si="88"/>
        <v>1</v>
      </c>
      <c r="CS167" s="3" t="b">
        <f t="shared" si="89"/>
        <v>1</v>
      </c>
      <c r="CT167" s="3" t="b">
        <f t="shared" si="90"/>
        <v>1</v>
      </c>
      <c r="CU167" s="3" t="b">
        <f t="shared" si="91"/>
        <v>1</v>
      </c>
      <c r="CV167" s="3" t="b">
        <f t="shared" si="92"/>
        <v>1</v>
      </c>
      <c r="CW167" s="3" t="b">
        <f t="shared" si="93"/>
        <v>1</v>
      </c>
      <c r="CX167" s="9" t="str">
        <f t="shared" si="94"/>
        <v>5201061</v>
      </c>
      <c r="CY167" s="9" t="str">
        <f t="shared" si="95"/>
        <v>5201062</v>
      </c>
      <c r="CZ167" s="9" t="str">
        <f t="shared" si="96"/>
        <v>5202061</v>
      </c>
      <c r="DA167" s="9" t="str">
        <f t="shared" si="97"/>
        <v>5401061</v>
      </c>
      <c r="DB167" s="9" t="str">
        <f t="shared" si="98"/>
        <v>5401062</v>
      </c>
      <c r="DC167" s="9" t="str">
        <f t="shared" si="99"/>
        <v>5402062</v>
      </c>
      <c r="DD167" s="9">
        <v>6</v>
      </c>
      <c r="DE167" s="9">
        <v>6</v>
      </c>
      <c r="DF167" s="9">
        <v>6</v>
      </c>
      <c r="DG167" s="9">
        <v>6</v>
      </c>
      <c r="DH167" s="9">
        <v>6</v>
      </c>
      <c r="DI167" s="9">
        <v>6</v>
      </c>
      <c r="DJ167" s="9">
        <v>5</v>
      </c>
      <c r="DK167" s="9">
        <v>5</v>
      </c>
      <c r="DL167" s="9">
        <v>5</v>
      </c>
      <c r="DM167" s="9">
        <v>5</v>
      </c>
      <c r="DN167" s="9">
        <v>5</v>
      </c>
      <c r="DO167" s="9">
        <v>5</v>
      </c>
      <c r="DP167" s="3" t="s">
        <v>195</v>
      </c>
      <c r="DQ167" s="3" t="s">
        <v>114</v>
      </c>
      <c r="DR167" s="3" t="s">
        <v>111</v>
      </c>
      <c r="DS167" s="3" t="s">
        <v>117</v>
      </c>
      <c r="DT167" s="3" t="s">
        <v>202</v>
      </c>
      <c r="DU167" s="3" t="s">
        <v>203</v>
      </c>
      <c r="DV167" s="3">
        <f t="shared" si="100"/>
        <v>1</v>
      </c>
      <c r="DW167" s="3">
        <f t="shared" si="101"/>
        <v>1</v>
      </c>
      <c r="DX167" s="3">
        <f t="shared" si="102"/>
        <v>1</v>
      </c>
      <c r="DY167" s="3">
        <f t="shared" si="103"/>
        <v>2</v>
      </c>
      <c r="DZ167" s="3">
        <f t="shared" si="104"/>
        <v>2</v>
      </c>
      <c r="EA167" s="3">
        <f t="shared" si="105"/>
        <v>2</v>
      </c>
      <c r="EB167" s="39"/>
      <c r="EC167" s="9">
        <v>5501065</v>
      </c>
      <c r="ED167" s="37" t="s">
        <v>209</v>
      </c>
      <c r="EE167" s="8">
        <v>2</v>
      </c>
    </row>
    <row r="168" spans="1:135" ht="13.5" customHeight="1">
      <c r="A168" s="9">
        <v>165</v>
      </c>
      <c r="B168" s="9">
        <v>1</v>
      </c>
      <c r="C168" s="9">
        <v>2001</v>
      </c>
      <c r="D168" s="9">
        <f t="shared" si="118"/>
        <v>849836</v>
      </c>
      <c r="E168" s="9" t="str">
        <f t="shared" si="85"/>
        <v>5300065,5201062,5301061,5501064,5500063,5501064</v>
      </c>
      <c r="F168" s="9" t="str">
        <f t="shared" si="86"/>
        <v>6,6,6,6,6,6</v>
      </c>
      <c r="G168" s="9" t="str">
        <f t="shared" si="87"/>
        <v>386,418,418,418,418,418</v>
      </c>
      <c r="H168" s="9">
        <v>106</v>
      </c>
      <c r="I168" s="9" t="s">
        <v>278</v>
      </c>
      <c r="J168" s="9" t="s">
        <v>279</v>
      </c>
      <c r="K168" s="9" t="s">
        <v>279</v>
      </c>
      <c r="L168" s="9" t="s">
        <v>279</v>
      </c>
      <c r="M168" s="9" t="s">
        <v>290</v>
      </c>
      <c r="O168" s="3">
        <f t="shared" si="84"/>
        <v>849836</v>
      </c>
      <c r="P168" s="9">
        <v>689801.66</v>
      </c>
      <c r="Q168" s="9">
        <v>5300065</v>
      </c>
      <c r="R168" s="9">
        <v>5201062</v>
      </c>
      <c r="S168" s="9">
        <v>5301061</v>
      </c>
      <c r="T168" s="9">
        <v>5501064</v>
      </c>
      <c r="U168" s="9">
        <v>5500063</v>
      </c>
      <c r="V168" s="9">
        <v>5501064</v>
      </c>
      <c r="W168" s="9">
        <v>6</v>
      </c>
      <c r="X168" s="9">
        <v>6</v>
      </c>
      <c r="Y168" s="9">
        <v>6</v>
      </c>
      <c r="Z168" s="9">
        <v>6</v>
      </c>
      <c r="AA168" s="9">
        <v>6</v>
      </c>
      <c r="AB168" s="9">
        <v>6</v>
      </c>
      <c r="AC168" s="9">
        <f t="shared" si="106"/>
        <v>386</v>
      </c>
      <c r="AD168" s="9">
        <f t="shared" si="107"/>
        <v>418</v>
      </c>
      <c r="AE168" s="9">
        <f t="shared" si="108"/>
        <v>418</v>
      </c>
      <c r="AF168" s="9">
        <f t="shared" si="109"/>
        <v>418</v>
      </c>
      <c r="AG168" s="9">
        <f t="shared" si="110"/>
        <v>418</v>
      </c>
      <c r="AH168" s="9">
        <f t="shared" si="111"/>
        <v>418</v>
      </c>
      <c r="AI168" s="7">
        <f t="shared" si="123"/>
        <v>114966.94333333334</v>
      </c>
      <c r="AJ168" s="7">
        <f t="shared" si="120"/>
        <v>114966.94333333334</v>
      </c>
      <c r="AK168" s="7">
        <f t="shared" si="120"/>
        <v>114966.94333333334</v>
      </c>
      <c r="AL168" s="7">
        <f t="shared" si="120"/>
        <v>114966.94333333334</v>
      </c>
      <c r="AM168" s="7">
        <f t="shared" si="120"/>
        <v>114966.94333333334</v>
      </c>
      <c r="AN168" s="7">
        <f t="shared" si="120"/>
        <v>114966.94333333334</v>
      </c>
      <c r="AO168" s="16"/>
      <c r="AP168" s="7"/>
      <c r="AQ168" s="9">
        <v>6</v>
      </c>
      <c r="AR168" s="9">
        <f t="shared" si="112"/>
        <v>360</v>
      </c>
      <c r="AS168" s="7">
        <f t="shared" si="121"/>
        <v>182</v>
      </c>
      <c r="AT168" s="7"/>
      <c r="AU168" s="16"/>
      <c r="AV168" s="7"/>
      <c r="AW168" s="7"/>
      <c r="AX168" s="7"/>
      <c r="AZ168" s="7"/>
      <c r="BA168" s="9">
        <f t="shared" si="122"/>
        <v>88658.249999999942</v>
      </c>
      <c r="BC168" s="5">
        <f t="shared" si="114"/>
        <v>360</v>
      </c>
      <c r="BR168" s="5">
        <v>5601061</v>
      </c>
      <c r="BS168" s="18">
        <f>[1]monsters!$N168</f>
        <v>160</v>
      </c>
      <c r="BT168" s="18">
        <f>[1]monsters!$O168</f>
        <v>16</v>
      </c>
      <c r="BU168" s="18">
        <f>[1]monsters!$P168</f>
        <v>1920</v>
      </c>
      <c r="BV168" s="18">
        <f>[1]monsters!$Q168</f>
        <v>192</v>
      </c>
      <c r="BW168" s="18">
        <f>[1]monsters!$R168</f>
        <v>40</v>
      </c>
      <c r="BX168" s="18">
        <f>[1]monsters!$S168</f>
        <v>4</v>
      </c>
      <c r="BY168" s="18">
        <f>[1]monsters!$K168</f>
        <v>1.5</v>
      </c>
      <c r="BZ168" s="5">
        <f>[1]monsters!$D168</f>
        <v>2</v>
      </c>
      <c r="CA168" s="5">
        <f t="shared" si="115"/>
        <v>0.1</v>
      </c>
      <c r="CB168" s="5">
        <f t="shared" si="116"/>
        <v>215.84646464646465</v>
      </c>
      <c r="CC168" s="5">
        <f t="shared" si="117"/>
        <v>21.584646464646468</v>
      </c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>
        <v>1</v>
      </c>
      <c r="CR168" s="3" t="b">
        <f t="shared" si="88"/>
        <v>1</v>
      </c>
      <c r="CS168" s="3" t="b">
        <f t="shared" si="89"/>
        <v>1</v>
      </c>
      <c r="CT168" s="3" t="b">
        <f t="shared" si="90"/>
        <v>1</v>
      </c>
      <c r="CU168" s="3" t="b">
        <f t="shared" si="91"/>
        <v>1</v>
      </c>
      <c r="CV168" s="3" t="b">
        <f t="shared" si="92"/>
        <v>1</v>
      </c>
      <c r="CW168" s="3" t="b">
        <f t="shared" si="93"/>
        <v>1</v>
      </c>
      <c r="CX168" s="9" t="str">
        <f t="shared" si="94"/>
        <v>5300065</v>
      </c>
      <c r="CY168" s="9" t="str">
        <f t="shared" si="95"/>
        <v>5201062</v>
      </c>
      <c r="CZ168" s="9" t="str">
        <f t="shared" si="96"/>
        <v>5301061</v>
      </c>
      <c r="DA168" s="9" t="str">
        <f t="shared" si="97"/>
        <v>5501064</v>
      </c>
      <c r="DB168" s="9" t="str">
        <f t="shared" si="98"/>
        <v>5500063</v>
      </c>
      <c r="DC168" s="9" t="str">
        <f t="shared" si="99"/>
        <v>5501064</v>
      </c>
      <c r="DD168" s="9">
        <v>6</v>
      </c>
      <c r="DE168" s="9">
        <v>6</v>
      </c>
      <c r="DF168" s="9">
        <v>6</v>
      </c>
      <c r="DG168" s="9">
        <v>6</v>
      </c>
      <c r="DH168" s="9">
        <v>6</v>
      </c>
      <c r="DI168" s="9">
        <v>6</v>
      </c>
      <c r="DJ168" s="9">
        <v>5</v>
      </c>
      <c r="DK168" s="9">
        <v>5</v>
      </c>
      <c r="DL168" s="9">
        <v>5</v>
      </c>
      <c r="DM168" s="9">
        <v>5</v>
      </c>
      <c r="DN168" s="9">
        <v>5</v>
      </c>
      <c r="DO168" s="9">
        <v>5</v>
      </c>
      <c r="DP168" s="3" t="s">
        <v>212</v>
      </c>
      <c r="DQ168" s="3" t="s">
        <v>114</v>
      </c>
      <c r="DR168" s="3" t="s">
        <v>107</v>
      </c>
      <c r="DS168" s="3" t="s">
        <v>214</v>
      </c>
      <c r="DT168" s="3" t="s">
        <v>207</v>
      </c>
      <c r="DU168" s="3" t="s">
        <v>214</v>
      </c>
      <c r="DV168" s="3">
        <f t="shared" si="100"/>
        <v>1</v>
      </c>
      <c r="DW168" s="3">
        <f t="shared" si="101"/>
        <v>1</v>
      </c>
      <c r="DX168" s="3">
        <f t="shared" si="102"/>
        <v>1</v>
      </c>
      <c r="DY168" s="3">
        <f t="shared" si="103"/>
        <v>2</v>
      </c>
      <c r="DZ168" s="3">
        <f t="shared" si="104"/>
        <v>2</v>
      </c>
      <c r="EA168" s="3">
        <f t="shared" si="105"/>
        <v>2</v>
      </c>
      <c r="EB168" s="39"/>
      <c r="EC168" s="9">
        <v>5200071</v>
      </c>
      <c r="ED168" s="34" t="s">
        <v>194</v>
      </c>
      <c r="EE168" s="8">
        <v>1</v>
      </c>
    </row>
    <row r="169" spans="1:135" ht="13.5" customHeight="1">
      <c r="A169" s="9">
        <v>166</v>
      </c>
      <c r="B169" s="9">
        <v>1</v>
      </c>
      <c r="C169" s="9">
        <v>2001</v>
      </c>
      <c r="D169" s="9">
        <f t="shared" si="118"/>
        <v>855121</v>
      </c>
      <c r="E169" s="9" t="str">
        <f t="shared" si="85"/>
        <v>5201061,5201062,5202061,5502062,5500063,5501064</v>
      </c>
      <c r="F169" s="9" t="str">
        <f t="shared" si="86"/>
        <v>6,6,6,6,6,6</v>
      </c>
      <c r="G169" s="9" t="str">
        <f t="shared" si="87"/>
        <v>387,419,419,419,419,419</v>
      </c>
      <c r="H169" s="9">
        <v>106</v>
      </c>
      <c r="I169" s="9" t="s">
        <v>278</v>
      </c>
      <c r="J169" s="9" t="s">
        <v>279</v>
      </c>
      <c r="K169" s="9" t="s">
        <v>279</v>
      </c>
      <c r="L169" s="9" t="s">
        <v>279</v>
      </c>
      <c r="M169" s="9" t="s">
        <v>291</v>
      </c>
      <c r="O169" s="3">
        <f t="shared" si="84"/>
        <v>855121</v>
      </c>
      <c r="P169" s="9">
        <v>694092.1</v>
      </c>
      <c r="Q169" s="9">
        <v>5201061</v>
      </c>
      <c r="R169" s="9">
        <v>5201062</v>
      </c>
      <c r="S169" s="9">
        <v>5202061</v>
      </c>
      <c r="T169" s="9">
        <v>5502062</v>
      </c>
      <c r="U169" s="9">
        <v>5500063</v>
      </c>
      <c r="V169" s="9">
        <v>5501064</v>
      </c>
      <c r="W169" s="9">
        <v>6</v>
      </c>
      <c r="X169" s="9">
        <v>6</v>
      </c>
      <c r="Y169" s="9">
        <v>6</v>
      </c>
      <c r="Z169" s="9">
        <v>6</v>
      </c>
      <c r="AA169" s="9">
        <v>6</v>
      </c>
      <c r="AB169" s="9">
        <v>6</v>
      </c>
      <c r="AC169" s="9">
        <f t="shared" si="106"/>
        <v>387</v>
      </c>
      <c r="AD169" s="9">
        <f t="shared" si="107"/>
        <v>419</v>
      </c>
      <c r="AE169" s="9">
        <f t="shared" si="108"/>
        <v>419</v>
      </c>
      <c r="AF169" s="9">
        <f t="shared" si="109"/>
        <v>419</v>
      </c>
      <c r="AG169" s="9">
        <f t="shared" si="110"/>
        <v>419</v>
      </c>
      <c r="AH169" s="9">
        <f t="shared" si="111"/>
        <v>419</v>
      </c>
      <c r="AI169" s="7">
        <f t="shared" si="123"/>
        <v>115682.01666666666</v>
      </c>
      <c r="AJ169" s="7">
        <f t="shared" si="120"/>
        <v>115682.01666666666</v>
      </c>
      <c r="AK169" s="7">
        <f t="shared" si="120"/>
        <v>115682.01666666666</v>
      </c>
      <c r="AL169" s="7">
        <f t="shared" si="120"/>
        <v>115682.01666666666</v>
      </c>
      <c r="AM169" s="7">
        <f t="shared" si="120"/>
        <v>115682.01666666666</v>
      </c>
      <c r="AN169" s="7">
        <f t="shared" si="120"/>
        <v>115682.01666666666</v>
      </c>
      <c r="AO169" s="16"/>
      <c r="AP169" s="7"/>
      <c r="AQ169" s="9">
        <v>6</v>
      </c>
      <c r="AR169" s="9">
        <f t="shared" si="112"/>
        <v>361</v>
      </c>
      <c r="AS169" s="7">
        <f t="shared" si="121"/>
        <v>183</v>
      </c>
      <c r="AT169" s="7"/>
      <c r="AU169" s="16"/>
      <c r="AV169" s="7"/>
      <c r="AW169" s="7"/>
      <c r="AX169" s="7"/>
      <c r="AZ169" s="7"/>
      <c r="BA169" s="9">
        <f t="shared" si="122"/>
        <v>90749.399999999936</v>
      </c>
      <c r="BC169" s="5">
        <f t="shared" si="114"/>
        <v>361</v>
      </c>
      <c r="BR169" s="5">
        <v>5200062</v>
      </c>
      <c r="BS169" s="18">
        <f>[1]monsters!$N169</f>
        <v>153.6</v>
      </c>
      <c r="BT169" s="18">
        <f>[1]monsters!$O169</f>
        <v>15.36</v>
      </c>
      <c r="BU169" s="18">
        <f>[1]monsters!$P169</f>
        <v>2400</v>
      </c>
      <c r="BV169" s="18">
        <f>[1]monsters!$Q169</f>
        <v>240</v>
      </c>
      <c r="BW169" s="18">
        <f>[1]monsters!$R169</f>
        <v>51.2</v>
      </c>
      <c r="BX169" s="18">
        <f>[1]monsters!$S169</f>
        <v>5.12</v>
      </c>
      <c r="BY169" s="18">
        <f>[1]monsters!$K169</f>
        <v>1.8</v>
      </c>
      <c r="BZ169" s="5">
        <f>[1]monsters!$D169</f>
        <v>2</v>
      </c>
      <c r="CA169" s="5">
        <f t="shared" si="115"/>
        <v>0.1</v>
      </c>
      <c r="CB169" s="5">
        <f t="shared" si="116"/>
        <v>225.96008080808082</v>
      </c>
      <c r="CC169" s="5">
        <f t="shared" si="117"/>
        <v>22.596008080808083</v>
      </c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>
        <v>0</v>
      </c>
      <c r="CR169" s="3" t="b">
        <f t="shared" si="88"/>
        <v>1</v>
      </c>
      <c r="CS169" s="3" t="b">
        <f t="shared" si="89"/>
        <v>1</v>
      </c>
      <c r="CT169" s="3" t="b">
        <f t="shared" si="90"/>
        <v>1</v>
      </c>
      <c r="CU169" s="3" t="b">
        <f t="shared" si="91"/>
        <v>1</v>
      </c>
      <c r="CV169" s="3" t="b">
        <f t="shared" si="92"/>
        <v>1</v>
      </c>
      <c r="CW169" s="3" t="b">
        <f t="shared" si="93"/>
        <v>1</v>
      </c>
      <c r="CX169" s="9" t="str">
        <f t="shared" si="94"/>
        <v>5201061</v>
      </c>
      <c r="CY169" s="9" t="str">
        <f t="shared" si="95"/>
        <v>5201062</v>
      </c>
      <c r="CZ169" s="9" t="str">
        <f t="shared" si="96"/>
        <v>5202061</v>
      </c>
      <c r="DA169" s="9" t="str">
        <f t="shared" si="97"/>
        <v>5502062</v>
      </c>
      <c r="DB169" s="9" t="str">
        <f t="shared" si="98"/>
        <v>5500063</v>
      </c>
      <c r="DC169" s="9" t="str">
        <f t="shared" si="99"/>
        <v>5501064</v>
      </c>
      <c r="DD169" s="9">
        <v>6</v>
      </c>
      <c r="DE169" s="9">
        <v>6</v>
      </c>
      <c r="DF169" s="9">
        <v>6</v>
      </c>
      <c r="DG169" s="9">
        <v>6</v>
      </c>
      <c r="DH169" s="9">
        <v>6</v>
      </c>
      <c r="DI169" s="9">
        <v>6</v>
      </c>
      <c r="DJ169" s="9">
        <v>5</v>
      </c>
      <c r="DK169" s="9">
        <v>5</v>
      </c>
      <c r="DL169" s="9">
        <v>5</v>
      </c>
      <c r="DM169" s="9">
        <v>5</v>
      </c>
      <c r="DN169" s="9">
        <v>5</v>
      </c>
      <c r="DO169" s="9">
        <v>5</v>
      </c>
      <c r="DP169" s="3" t="s">
        <v>195</v>
      </c>
      <c r="DQ169" s="3" t="s">
        <v>114</v>
      </c>
      <c r="DR169" s="3" t="s">
        <v>111</v>
      </c>
      <c r="DS169" s="3" t="s">
        <v>204</v>
      </c>
      <c r="DT169" s="3" t="s">
        <v>207</v>
      </c>
      <c r="DU169" s="3" t="s">
        <v>214</v>
      </c>
      <c r="DV169" s="3">
        <f t="shared" si="100"/>
        <v>1</v>
      </c>
      <c r="DW169" s="3">
        <f t="shared" si="101"/>
        <v>1</v>
      </c>
      <c r="DX169" s="3">
        <f t="shared" si="102"/>
        <v>1</v>
      </c>
      <c r="DY169" s="3">
        <f t="shared" si="103"/>
        <v>2</v>
      </c>
      <c r="DZ169" s="3">
        <f t="shared" si="104"/>
        <v>2</v>
      </c>
      <c r="EA169" s="3">
        <f t="shared" si="105"/>
        <v>2</v>
      </c>
      <c r="EB169" s="38"/>
      <c r="EC169" s="9">
        <v>5201071</v>
      </c>
      <c r="ED169" s="34" t="s">
        <v>195</v>
      </c>
      <c r="EE169" s="8">
        <v>1</v>
      </c>
    </row>
    <row r="170" spans="1:135" ht="13.5" customHeight="1">
      <c r="A170" s="9">
        <v>167</v>
      </c>
      <c r="B170" s="9">
        <v>1</v>
      </c>
      <c r="C170" s="9">
        <v>2001</v>
      </c>
      <c r="D170" s="9">
        <f t="shared" si="118"/>
        <v>860424</v>
      </c>
      <c r="E170" s="9" t="str">
        <f t="shared" si="85"/>
        <v>5202063,5202062,5202063,5501065,5501065,5402061</v>
      </c>
      <c r="F170" s="9" t="str">
        <f t="shared" si="86"/>
        <v>6,6,6,6,6,6</v>
      </c>
      <c r="G170" s="9" t="str">
        <f t="shared" si="87"/>
        <v>388,420,420,420,420,420</v>
      </c>
      <c r="H170" s="9">
        <v>106</v>
      </c>
      <c r="I170" s="9" t="s">
        <v>278</v>
      </c>
      <c r="J170" s="9" t="s">
        <v>279</v>
      </c>
      <c r="K170" s="9" t="s">
        <v>279</v>
      </c>
      <c r="L170" s="9" t="s">
        <v>279</v>
      </c>
      <c r="M170" s="9" t="s">
        <v>291</v>
      </c>
      <c r="O170" s="3">
        <f t="shared" si="84"/>
        <v>860424</v>
      </c>
      <c r="P170" s="9">
        <v>698396.47</v>
      </c>
      <c r="Q170" s="9">
        <v>5202063</v>
      </c>
      <c r="R170" s="9">
        <v>5202062</v>
      </c>
      <c r="S170" s="9">
        <v>5202063</v>
      </c>
      <c r="T170" s="9">
        <v>5501065</v>
      </c>
      <c r="U170" s="9">
        <v>5501065</v>
      </c>
      <c r="V170" s="9">
        <v>5402061</v>
      </c>
      <c r="W170" s="9">
        <v>6</v>
      </c>
      <c r="X170" s="9">
        <v>6</v>
      </c>
      <c r="Y170" s="9">
        <v>6</v>
      </c>
      <c r="Z170" s="9">
        <v>6</v>
      </c>
      <c r="AA170" s="9">
        <v>6</v>
      </c>
      <c r="AB170" s="9">
        <v>6</v>
      </c>
      <c r="AC170" s="9">
        <f t="shared" si="106"/>
        <v>388</v>
      </c>
      <c r="AD170" s="9">
        <f t="shared" si="107"/>
        <v>420</v>
      </c>
      <c r="AE170" s="9">
        <f t="shared" si="108"/>
        <v>420</v>
      </c>
      <c r="AF170" s="9">
        <f t="shared" si="109"/>
        <v>420</v>
      </c>
      <c r="AG170" s="9">
        <f t="shared" si="110"/>
        <v>420</v>
      </c>
      <c r="AH170" s="9">
        <f t="shared" si="111"/>
        <v>420</v>
      </c>
      <c r="AI170" s="7">
        <f t="shared" si="123"/>
        <v>116399.41166666667</v>
      </c>
      <c r="AJ170" s="7">
        <f t="shared" si="120"/>
        <v>116399.41166666667</v>
      </c>
      <c r="AK170" s="7">
        <f t="shared" si="120"/>
        <v>116399.41166666667</v>
      </c>
      <c r="AL170" s="7">
        <f t="shared" si="120"/>
        <v>116399.41166666667</v>
      </c>
      <c r="AM170" s="7">
        <f t="shared" si="120"/>
        <v>116399.41166666667</v>
      </c>
      <c r="AN170" s="7">
        <f t="shared" si="120"/>
        <v>116399.41166666667</v>
      </c>
      <c r="AO170" s="16"/>
      <c r="AP170" s="7"/>
      <c r="AQ170" s="9">
        <v>6</v>
      </c>
      <c r="AR170" s="9">
        <f t="shared" si="112"/>
        <v>363</v>
      </c>
      <c r="AS170" s="7">
        <f t="shared" si="121"/>
        <v>183</v>
      </c>
      <c r="AT170" s="7"/>
      <c r="AU170" s="16"/>
      <c r="AV170" s="7"/>
      <c r="AW170" s="7"/>
      <c r="AX170" s="7"/>
      <c r="AZ170" s="7"/>
      <c r="BA170" s="9">
        <f t="shared" si="122"/>
        <v>92840.54999999993</v>
      </c>
      <c r="BC170" s="5">
        <f t="shared" si="114"/>
        <v>363</v>
      </c>
      <c r="BR170" s="5">
        <v>5202062</v>
      </c>
      <c r="BS170" s="18">
        <f>[1]monsters!$N170</f>
        <v>172.8</v>
      </c>
      <c r="BT170" s="18">
        <f>[1]monsters!$O170</f>
        <v>17.28</v>
      </c>
      <c r="BU170" s="18">
        <f>[1]monsters!$P170</f>
        <v>2133.33</v>
      </c>
      <c r="BV170" s="18">
        <f>[1]monsters!$Q170</f>
        <v>213.33</v>
      </c>
      <c r="BW170" s="18">
        <f>[1]monsters!$R170</f>
        <v>34.56</v>
      </c>
      <c r="BX170" s="18">
        <f>[1]monsters!$S170</f>
        <v>3.46</v>
      </c>
      <c r="BY170" s="18">
        <f>[1]monsters!$K170</f>
        <v>1.8</v>
      </c>
      <c r="BZ170" s="5">
        <f>[1]monsters!$D170</f>
        <v>2</v>
      </c>
      <c r="CA170" s="5">
        <f t="shared" si="115"/>
        <v>0.1</v>
      </c>
      <c r="CB170" s="5">
        <f t="shared" si="116"/>
        <v>235.12529292929293</v>
      </c>
      <c r="CC170" s="5">
        <f t="shared" si="117"/>
        <v>23.512529292929294</v>
      </c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>
        <v>0</v>
      </c>
      <c r="CR170" s="3" t="b">
        <f t="shared" si="88"/>
        <v>1</v>
      </c>
      <c r="CS170" s="3" t="b">
        <f t="shared" si="89"/>
        <v>1</v>
      </c>
      <c r="CT170" s="3" t="b">
        <f t="shared" si="90"/>
        <v>1</v>
      </c>
      <c r="CU170" s="3" t="b">
        <f t="shared" si="91"/>
        <v>1</v>
      </c>
      <c r="CV170" s="3" t="b">
        <f t="shared" si="92"/>
        <v>1</v>
      </c>
      <c r="CW170" s="3" t="b">
        <f t="shared" si="93"/>
        <v>1</v>
      </c>
      <c r="CX170" s="9" t="str">
        <f t="shared" si="94"/>
        <v>5202063</v>
      </c>
      <c r="CY170" s="9" t="str">
        <f t="shared" si="95"/>
        <v>5202062</v>
      </c>
      <c r="CZ170" s="9" t="str">
        <f t="shared" si="96"/>
        <v>5202063</v>
      </c>
      <c r="DA170" s="9" t="str">
        <f t="shared" si="97"/>
        <v>5501065</v>
      </c>
      <c r="DB170" s="9" t="str">
        <f t="shared" si="98"/>
        <v>5501065</v>
      </c>
      <c r="DC170" s="9" t="str">
        <f t="shared" si="99"/>
        <v>5402061</v>
      </c>
      <c r="DD170" s="9">
        <v>6</v>
      </c>
      <c r="DE170" s="9">
        <v>6</v>
      </c>
      <c r="DF170" s="9">
        <v>6</v>
      </c>
      <c r="DG170" s="9">
        <v>6</v>
      </c>
      <c r="DH170" s="9">
        <v>6</v>
      </c>
      <c r="DI170" s="9">
        <v>6</v>
      </c>
      <c r="DJ170" s="9">
        <v>5</v>
      </c>
      <c r="DK170" s="9">
        <v>5</v>
      </c>
      <c r="DL170" s="9">
        <v>5</v>
      </c>
      <c r="DM170" s="9">
        <v>5</v>
      </c>
      <c r="DN170" s="9">
        <v>5</v>
      </c>
      <c r="DO170" s="9">
        <v>5</v>
      </c>
      <c r="DP170" s="25" t="s">
        <v>208</v>
      </c>
      <c r="DQ170" s="25" t="s">
        <v>200</v>
      </c>
      <c r="DR170" s="25" t="s">
        <v>208</v>
      </c>
      <c r="DS170" s="25" t="s">
        <v>209</v>
      </c>
      <c r="DT170" s="25" t="s">
        <v>209</v>
      </c>
      <c r="DU170" s="25" t="s">
        <v>196</v>
      </c>
      <c r="DV170" s="25">
        <f t="shared" si="100"/>
        <v>1</v>
      </c>
      <c r="DW170" s="25">
        <f t="shared" si="101"/>
        <v>1</v>
      </c>
      <c r="DX170" s="25">
        <f t="shared" si="102"/>
        <v>1</v>
      </c>
      <c r="DY170" s="25">
        <f t="shared" si="103"/>
        <v>2</v>
      </c>
      <c r="DZ170" s="25">
        <f t="shared" si="104"/>
        <v>2</v>
      </c>
      <c r="EA170" s="3">
        <f t="shared" si="105"/>
        <v>2</v>
      </c>
      <c r="EB170" s="39"/>
      <c r="EC170" s="9">
        <v>5202071</v>
      </c>
      <c r="ED170" s="34" t="s">
        <v>111</v>
      </c>
      <c r="EE170" s="8">
        <v>1</v>
      </c>
    </row>
    <row r="171" spans="1:135" ht="13.5" customHeight="1">
      <c r="A171" s="9">
        <v>168</v>
      </c>
      <c r="B171" s="9">
        <v>1</v>
      </c>
      <c r="C171" s="9">
        <v>2001</v>
      </c>
      <c r="D171" s="9">
        <f t="shared" si="118"/>
        <v>866294</v>
      </c>
      <c r="E171" s="9" t="str">
        <f t="shared" si="85"/>
        <v>5301061,5301062,5301063,5501064,5400065,5502063</v>
      </c>
      <c r="F171" s="9" t="str">
        <f t="shared" si="86"/>
        <v>6,6,6,6,6,6</v>
      </c>
      <c r="G171" s="9" t="str">
        <f t="shared" si="87"/>
        <v>390,422,422,422,422,422</v>
      </c>
      <c r="H171" s="9">
        <v>107</v>
      </c>
      <c r="I171" s="9" t="s">
        <v>278</v>
      </c>
      <c r="J171" s="9" t="s">
        <v>279</v>
      </c>
      <c r="K171" s="9" t="s">
        <v>279</v>
      </c>
      <c r="L171" s="9" t="s">
        <v>279</v>
      </c>
      <c r="M171" s="9" t="s">
        <v>291</v>
      </c>
      <c r="O171" s="3">
        <f t="shared" si="84"/>
        <v>866294</v>
      </c>
      <c r="P171" s="9">
        <v>703160.53</v>
      </c>
      <c r="Q171" s="9">
        <v>5301061</v>
      </c>
      <c r="R171" s="9">
        <v>5301062</v>
      </c>
      <c r="S171" s="9">
        <v>5301063</v>
      </c>
      <c r="T171" s="9">
        <v>5501064</v>
      </c>
      <c r="U171" s="9">
        <v>5400065</v>
      </c>
      <c r="V171" s="9">
        <v>5502063</v>
      </c>
      <c r="W171" s="9">
        <v>6</v>
      </c>
      <c r="X171" s="9">
        <v>6</v>
      </c>
      <c r="Y171" s="9">
        <v>6</v>
      </c>
      <c r="Z171" s="9">
        <v>6</v>
      </c>
      <c r="AA171" s="9">
        <v>6</v>
      </c>
      <c r="AB171" s="9">
        <v>6</v>
      </c>
      <c r="AC171" s="9">
        <f t="shared" si="106"/>
        <v>390</v>
      </c>
      <c r="AD171" s="9">
        <f t="shared" si="107"/>
        <v>422</v>
      </c>
      <c r="AE171" s="9">
        <f t="shared" si="108"/>
        <v>422</v>
      </c>
      <c r="AF171" s="9">
        <f t="shared" si="109"/>
        <v>422</v>
      </c>
      <c r="AG171" s="9">
        <f t="shared" si="110"/>
        <v>422</v>
      </c>
      <c r="AH171" s="9">
        <f t="shared" si="111"/>
        <v>422</v>
      </c>
      <c r="AI171" s="7">
        <f t="shared" si="123"/>
        <v>117193.42166666668</v>
      </c>
      <c r="AJ171" s="7">
        <f t="shared" si="120"/>
        <v>117193.42166666668</v>
      </c>
      <c r="AK171" s="7">
        <f t="shared" si="120"/>
        <v>117193.42166666668</v>
      </c>
      <c r="AL171" s="7">
        <f t="shared" si="120"/>
        <v>117193.42166666668</v>
      </c>
      <c r="AM171" s="7">
        <f t="shared" si="120"/>
        <v>117193.42166666668</v>
      </c>
      <c r="AN171" s="7">
        <f t="shared" si="120"/>
        <v>117193.42166666668</v>
      </c>
      <c r="AO171" s="16"/>
      <c r="AP171" s="7"/>
      <c r="AQ171" s="9">
        <v>6</v>
      </c>
      <c r="AR171" s="9">
        <f t="shared" si="112"/>
        <v>364</v>
      </c>
      <c r="AS171" s="7">
        <f t="shared" si="121"/>
        <v>184</v>
      </c>
      <c r="AT171" s="7"/>
      <c r="AU171" s="16"/>
      <c r="AV171" s="7"/>
      <c r="AW171" s="7"/>
      <c r="AX171" s="7"/>
      <c r="AZ171" s="7"/>
      <c r="BA171" s="9">
        <f t="shared" si="122"/>
        <v>94931.699999999924</v>
      </c>
      <c r="BC171" s="5">
        <f t="shared" si="114"/>
        <v>364</v>
      </c>
      <c r="BR171" s="5">
        <v>5302062</v>
      </c>
      <c r="BS171" s="18">
        <f>[1]monsters!$N171</f>
        <v>115.2</v>
      </c>
      <c r="BT171" s="18">
        <f>[1]monsters!$O171</f>
        <v>11.52</v>
      </c>
      <c r="BU171" s="18">
        <f>[1]monsters!$P171</f>
        <v>2133.33</v>
      </c>
      <c r="BV171" s="18">
        <f>[1]monsters!$Q171</f>
        <v>213.33</v>
      </c>
      <c r="BW171" s="18">
        <f>[1]monsters!$R171</f>
        <v>23.04</v>
      </c>
      <c r="BX171" s="18">
        <f>[1]monsters!$S171</f>
        <v>2.2999999999999998</v>
      </c>
      <c r="BY171" s="18">
        <f>[1]monsters!$K171</f>
        <v>1.2</v>
      </c>
      <c r="BZ171" s="5">
        <f>[1]monsters!$D171</f>
        <v>3</v>
      </c>
      <c r="CA171" s="5">
        <f t="shared" si="115"/>
        <v>0.1</v>
      </c>
      <c r="CB171" s="5">
        <f t="shared" si="116"/>
        <v>180.69329292929291</v>
      </c>
      <c r="CC171" s="5">
        <f t="shared" si="117"/>
        <v>18.069329292929293</v>
      </c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>
        <v>0</v>
      </c>
      <c r="CR171" s="3" t="b">
        <f t="shared" si="88"/>
        <v>1</v>
      </c>
      <c r="CS171" s="3" t="b">
        <f t="shared" si="89"/>
        <v>1</v>
      </c>
      <c r="CT171" s="3" t="b">
        <f t="shared" si="90"/>
        <v>1</v>
      </c>
      <c r="CU171" s="3" t="b">
        <f t="shared" si="91"/>
        <v>1</v>
      </c>
      <c r="CV171" s="3" t="b">
        <f t="shared" si="92"/>
        <v>1</v>
      </c>
      <c r="CW171" s="3" t="b">
        <f t="shared" si="93"/>
        <v>1</v>
      </c>
      <c r="CX171" s="9" t="str">
        <f t="shared" si="94"/>
        <v>5301061</v>
      </c>
      <c r="CY171" s="9" t="str">
        <f t="shared" si="95"/>
        <v>5301062</v>
      </c>
      <c r="CZ171" s="9" t="str">
        <f t="shared" si="96"/>
        <v>5301063</v>
      </c>
      <c r="DA171" s="9" t="str">
        <f t="shared" si="97"/>
        <v>5501064</v>
      </c>
      <c r="DB171" s="9" t="str">
        <f t="shared" si="98"/>
        <v>5400065</v>
      </c>
      <c r="DC171" s="9" t="str">
        <f t="shared" si="99"/>
        <v>5502063</v>
      </c>
      <c r="DD171" s="9">
        <v>6</v>
      </c>
      <c r="DE171" s="9">
        <v>6</v>
      </c>
      <c r="DF171" s="9">
        <v>6</v>
      </c>
      <c r="DG171" s="9">
        <v>6</v>
      </c>
      <c r="DH171" s="9">
        <v>6</v>
      </c>
      <c r="DI171" s="9">
        <v>6</v>
      </c>
      <c r="DJ171" s="9">
        <v>5</v>
      </c>
      <c r="DK171" s="9">
        <v>5</v>
      </c>
      <c r="DL171" s="9">
        <v>5</v>
      </c>
      <c r="DM171" s="9">
        <v>5</v>
      </c>
      <c r="DN171" s="9">
        <v>5</v>
      </c>
      <c r="DO171" s="9">
        <v>5</v>
      </c>
      <c r="DP171" s="26" t="s">
        <v>107</v>
      </c>
      <c r="DQ171" s="26" t="s">
        <v>201</v>
      </c>
      <c r="DR171" s="26" t="s">
        <v>206</v>
      </c>
      <c r="DS171" s="26" t="s">
        <v>214</v>
      </c>
      <c r="DT171" s="26" t="s">
        <v>210</v>
      </c>
      <c r="DU171" s="26" t="s">
        <v>215</v>
      </c>
      <c r="DV171" s="26">
        <f t="shared" si="100"/>
        <v>1</v>
      </c>
      <c r="DW171" s="26">
        <f t="shared" si="101"/>
        <v>1</v>
      </c>
      <c r="DX171" s="26">
        <f t="shared" si="102"/>
        <v>1</v>
      </c>
      <c r="DY171" s="26">
        <f t="shared" si="103"/>
        <v>2</v>
      </c>
      <c r="DZ171" s="26">
        <f t="shared" si="104"/>
        <v>2</v>
      </c>
      <c r="EA171" s="3">
        <f t="shared" si="105"/>
        <v>2</v>
      </c>
      <c r="EB171" s="39"/>
      <c r="EC171" s="9">
        <v>5301071</v>
      </c>
      <c r="ED171" s="34" t="s">
        <v>107</v>
      </c>
      <c r="EE171" s="8">
        <v>1</v>
      </c>
    </row>
    <row r="172" spans="1:135" ht="13.5" customHeight="1">
      <c r="A172" s="9">
        <v>169</v>
      </c>
      <c r="B172" s="9">
        <v>1</v>
      </c>
      <c r="C172" s="9">
        <v>2001</v>
      </c>
      <c r="D172" s="9">
        <f t="shared" si="118"/>
        <v>871631</v>
      </c>
      <c r="E172" s="9" t="str">
        <f t="shared" si="85"/>
        <v>5200062,5200063,5200062,5402062,5500063,5501064</v>
      </c>
      <c r="F172" s="9" t="str">
        <f t="shared" si="86"/>
        <v>6,6,6,6,6,6</v>
      </c>
      <c r="G172" s="9" t="str">
        <f t="shared" si="87"/>
        <v>391,423,423,423,423,423</v>
      </c>
      <c r="H172" s="9">
        <v>107</v>
      </c>
      <c r="I172" s="9" t="s">
        <v>278</v>
      </c>
      <c r="J172" s="9" t="s">
        <v>279</v>
      </c>
      <c r="K172" s="9" t="s">
        <v>279</v>
      </c>
      <c r="L172" s="9" t="s">
        <v>279</v>
      </c>
      <c r="M172" s="9" t="s">
        <v>291</v>
      </c>
      <c r="O172" s="3">
        <f t="shared" si="84"/>
        <v>871631</v>
      </c>
      <c r="P172" s="9">
        <v>707492.76</v>
      </c>
      <c r="Q172" s="9">
        <v>5200062</v>
      </c>
      <c r="R172" s="9">
        <v>5200063</v>
      </c>
      <c r="S172" s="9">
        <v>5200062</v>
      </c>
      <c r="T172" s="9">
        <v>5402062</v>
      </c>
      <c r="U172" s="9">
        <v>5500063</v>
      </c>
      <c r="V172" s="9">
        <v>5501064</v>
      </c>
      <c r="W172" s="9">
        <v>6</v>
      </c>
      <c r="X172" s="9">
        <v>6</v>
      </c>
      <c r="Y172" s="9">
        <v>6</v>
      </c>
      <c r="Z172" s="9">
        <v>6</v>
      </c>
      <c r="AA172" s="9">
        <v>6</v>
      </c>
      <c r="AB172" s="9">
        <v>6</v>
      </c>
      <c r="AC172" s="9">
        <f t="shared" si="106"/>
        <v>391</v>
      </c>
      <c r="AD172" s="9">
        <f t="shared" si="107"/>
        <v>423</v>
      </c>
      <c r="AE172" s="9">
        <f t="shared" si="108"/>
        <v>423</v>
      </c>
      <c r="AF172" s="9">
        <f t="shared" si="109"/>
        <v>423</v>
      </c>
      <c r="AG172" s="9">
        <f t="shared" si="110"/>
        <v>423</v>
      </c>
      <c r="AH172" s="9">
        <f t="shared" si="111"/>
        <v>423</v>
      </c>
      <c r="AI172" s="7">
        <f t="shared" si="123"/>
        <v>117915.46</v>
      </c>
      <c r="AJ172" s="7">
        <f t="shared" si="120"/>
        <v>117915.46</v>
      </c>
      <c r="AK172" s="7">
        <f t="shared" si="120"/>
        <v>117915.46</v>
      </c>
      <c r="AL172" s="7">
        <f t="shared" si="120"/>
        <v>117915.46</v>
      </c>
      <c r="AM172" s="7">
        <f t="shared" si="120"/>
        <v>117915.46</v>
      </c>
      <c r="AN172" s="7">
        <f t="shared" si="120"/>
        <v>117915.46</v>
      </c>
      <c r="AO172" s="16"/>
      <c r="AP172" s="7"/>
      <c r="AQ172" s="9">
        <v>6</v>
      </c>
      <c r="AR172" s="9">
        <f t="shared" si="112"/>
        <v>365</v>
      </c>
      <c r="AS172" s="7">
        <f t="shared" si="121"/>
        <v>184</v>
      </c>
      <c r="AT172" s="7"/>
      <c r="AU172" s="16"/>
      <c r="AV172" s="7"/>
      <c r="AW172" s="7"/>
      <c r="AX172" s="7"/>
      <c r="AZ172" s="7"/>
      <c r="BA172" s="9">
        <f t="shared" si="122"/>
        <v>97022.849999999919</v>
      </c>
      <c r="BC172" s="5">
        <f t="shared" si="114"/>
        <v>365</v>
      </c>
      <c r="BR172" s="5">
        <v>5300062</v>
      </c>
      <c r="BS172" s="18">
        <f>[1]monsters!$N172</f>
        <v>204.8</v>
      </c>
      <c r="BT172" s="18">
        <f>[1]monsters!$O172</f>
        <v>20.48</v>
      </c>
      <c r="BU172" s="18">
        <f>[1]monsters!$P172</f>
        <v>1600</v>
      </c>
      <c r="BV172" s="18">
        <f>[1]monsters!$Q172</f>
        <v>160</v>
      </c>
      <c r="BW172" s="18">
        <f>[1]monsters!$R172</f>
        <v>29.26</v>
      </c>
      <c r="BX172" s="18">
        <f>[1]monsters!$S172</f>
        <v>2.93</v>
      </c>
      <c r="BY172" s="18">
        <f>[1]monsters!$K172</f>
        <v>1.6</v>
      </c>
      <c r="BZ172" s="5">
        <f>[1]monsters!$D172</f>
        <v>4</v>
      </c>
      <c r="CA172" s="5">
        <f t="shared" si="115"/>
        <v>0.1</v>
      </c>
      <c r="CB172" s="5">
        <f t="shared" si="116"/>
        <v>247.4080538720539</v>
      </c>
      <c r="CC172" s="5">
        <f t="shared" si="117"/>
        <v>24.740805387205391</v>
      </c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>
        <v>0</v>
      </c>
      <c r="CR172" s="3" t="b">
        <f t="shared" si="88"/>
        <v>1</v>
      </c>
      <c r="CS172" s="3" t="b">
        <f t="shared" si="89"/>
        <v>1</v>
      </c>
      <c r="CT172" s="3" t="b">
        <f t="shared" si="90"/>
        <v>1</v>
      </c>
      <c r="CU172" s="3" t="b">
        <f t="shared" si="91"/>
        <v>1</v>
      </c>
      <c r="CV172" s="3" t="b">
        <f t="shared" si="92"/>
        <v>1</v>
      </c>
      <c r="CW172" s="3" t="b">
        <f t="shared" si="93"/>
        <v>1</v>
      </c>
      <c r="CX172" s="9" t="str">
        <f t="shared" si="94"/>
        <v>5200062</v>
      </c>
      <c r="CY172" s="9" t="str">
        <f t="shared" si="95"/>
        <v>5200063</v>
      </c>
      <c r="CZ172" s="9" t="str">
        <f t="shared" si="96"/>
        <v>5200062</v>
      </c>
      <c r="DA172" s="9" t="str">
        <f t="shared" si="97"/>
        <v>5402062</v>
      </c>
      <c r="DB172" s="9" t="str">
        <f t="shared" si="98"/>
        <v>5500063</v>
      </c>
      <c r="DC172" s="9" t="str">
        <f t="shared" si="99"/>
        <v>5501064</v>
      </c>
      <c r="DD172" s="9">
        <v>6</v>
      </c>
      <c r="DE172" s="9">
        <v>6</v>
      </c>
      <c r="DF172" s="9">
        <v>6</v>
      </c>
      <c r="DG172" s="9">
        <v>6</v>
      </c>
      <c r="DH172" s="9">
        <v>6</v>
      </c>
      <c r="DI172" s="9">
        <v>6</v>
      </c>
      <c r="DJ172" s="9">
        <v>5</v>
      </c>
      <c r="DK172" s="9">
        <v>5</v>
      </c>
      <c r="DL172" s="9">
        <v>5</v>
      </c>
      <c r="DM172" s="9">
        <v>5</v>
      </c>
      <c r="DN172" s="9">
        <v>5</v>
      </c>
      <c r="DO172" s="9">
        <v>5</v>
      </c>
      <c r="DP172" s="25" t="s">
        <v>199</v>
      </c>
      <c r="DQ172" s="25" t="s">
        <v>113</v>
      </c>
      <c r="DR172" s="25" t="s">
        <v>199</v>
      </c>
      <c r="DS172" s="26" t="s">
        <v>203</v>
      </c>
      <c r="DT172" s="26" t="s">
        <v>207</v>
      </c>
      <c r="DU172" s="26" t="s">
        <v>214</v>
      </c>
      <c r="DV172" s="26">
        <f t="shared" si="100"/>
        <v>1</v>
      </c>
      <c r="DW172" s="26">
        <f t="shared" si="101"/>
        <v>1</v>
      </c>
      <c r="DX172" s="26">
        <f t="shared" si="102"/>
        <v>1</v>
      </c>
      <c r="DY172" s="26">
        <f t="shared" si="103"/>
        <v>2</v>
      </c>
      <c r="DZ172" s="26">
        <f t="shared" si="104"/>
        <v>2</v>
      </c>
      <c r="EA172" s="3">
        <f t="shared" si="105"/>
        <v>2</v>
      </c>
      <c r="EB172" s="39"/>
      <c r="EC172" s="9">
        <v>5401071</v>
      </c>
      <c r="ED172" s="34" t="s">
        <v>117</v>
      </c>
      <c r="EE172" s="8">
        <v>2</v>
      </c>
    </row>
    <row r="173" spans="1:135" ht="13.5" customHeight="1">
      <c r="A173" s="9">
        <v>170</v>
      </c>
      <c r="B173" s="9">
        <v>1</v>
      </c>
      <c r="C173" s="9">
        <v>2001</v>
      </c>
      <c r="D173" s="9">
        <f t="shared" si="118"/>
        <v>876986</v>
      </c>
      <c r="E173" s="9" t="str">
        <f t="shared" si="85"/>
        <v>5300065,5201062,5301061,5400065,5400065,5400065</v>
      </c>
      <c r="F173" s="9" t="str">
        <f t="shared" si="86"/>
        <v>6,6,6,6,6,6</v>
      </c>
      <c r="G173" s="9" t="str">
        <f t="shared" si="87"/>
        <v>392,424,424,424,424,424</v>
      </c>
      <c r="H173" s="9">
        <v>108</v>
      </c>
      <c r="I173" s="9" t="s">
        <v>278</v>
      </c>
      <c r="J173" s="9" t="s">
        <v>279</v>
      </c>
      <c r="K173" s="9" t="s">
        <v>279</v>
      </c>
      <c r="L173" s="9" t="s">
        <v>279</v>
      </c>
      <c r="M173" s="9" t="s">
        <v>291</v>
      </c>
      <c r="O173" s="3">
        <f t="shared" si="84"/>
        <v>876986</v>
      </c>
      <c r="P173" s="9">
        <v>711838.92</v>
      </c>
      <c r="Q173" s="9">
        <v>5300065</v>
      </c>
      <c r="R173" s="9">
        <v>5201062</v>
      </c>
      <c r="S173" s="9">
        <v>5301061</v>
      </c>
      <c r="T173" s="9">
        <v>5400065</v>
      </c>
      <c r="U173" s="9">
        <v>5400065</v>
      </c>
      <c r="V173" s="9">
        <v>5400065</v>
      </c>
      <c r="W173" s="9">
        <v>6</v>
      </c>
      <c r="X173" s="9">
        <v>6</v>
      </c>
      <c r="Y173" s="9">
        <v>6</v>
      </c>
      <c r="Z173" s="9">
        <v>6</v>
      </c>
      <c r="AA173" s="9">
        <v>6</v>
      </c>
      <c r="AB173" s="9">
        <v>6</v>
      </c>
      <c r="AC173" s="9">
        <f t="shared" si="106"/>
        <v>392</v>
      </c>
      <c r="AD173" s="9">
        <f t="shared" si="107"/>
        <v>424</v>
      </c>
      <c r="AE173" s="9">
        <f t="shared" si="108"/>
        <v>424</v>
      </c>
      <c r="AF173" s="9">
        <f t="shared" si="109"/>
        <v>424</v>
      </c>
      <c r="AG173" s="9">
        <f t="shared" si="110"/>
        <v>424</v>
      </c>
      <c r="AH173" s="9">
        <f t="shared" si="111"/>
        <v>424</v>
      </c>
      <c r="AI173" s="7">
        <f t="shared" si="123"/>
        <v>118639.82</v>
      </c>
      <c r="AJ173" s="7">
        <f t="shared" si="120"/>
        <v>118639.82</v>
      </c>
      <c r="AK173" s="7">
        <f t="shared" si="120"/>
        <v>118639.82</v>
      </c>
      <c r="AL173" s="7">
        <f t="shared" si="120"/>
        <v>118639.82</v>
      </c>
      <c r="AM173" s="7">
        <f t="shared" si="120"/>
        <v>118639.82</v>
      </c>
      <c r="AN173" s="7">
        <f t="shared" si="120"/>
        <v>118639.82</v>
      </c>
      <c r="AO173" s="16"/>
      <c r="AP173" s="7"/>
      <c r="AQ173" s="9">
        <v>6</v>
      </c>
      <c r="AR173" s="9">
        <f t="shared" si="112"/>
        <v>366</v>
      </c>
      <c r="AS173" s="7">
        <f t="shared" si="121"/>
        <v>185</v>
      </c>
      <c r="AT173" s="7"/>
      <c r="AU173" s="16"/>
      <c r="AV173" s="7"/>
      <c r="AW173" s="7"/>
      <c r="AX173" s="7"/>
      <c r="AZ173" s="7"/>
      <c r="BA173" s="9">
        <f t="shared" si="122"/>
        <v>99113.999999999913</v>
      </c>
      <c r="BC173" s="5">
        <f t="shared" si="114"/>
        <v>366</v>
      </c>
      <c r="BR173" s="5">
        <v>5400062</v>
      </c>
      <c r="BS173" s="18">
        <f>[1]monsters!$N173</f>
        <v>192</v>
      </c>
      <c r="BT173" s="18">
        <f>[1]monsters!$O173</f>
        <v>19.2</v>
      </c>
      <c r="BU173" s="18">
        <f>[1]monsters!$P173</f>
        <v>1600</v>
      </c>
      <c r="BV173" s="18">
        <f>[1]monsters!$Q173</f>
        <v>160</v>
      </c>
      <c r="BW173" s="18">
        <f>[1]monsters!$R173</f>
        <v>27.43</v>
      </c>
      <c r="BX173" s="18">
        <f>[1]monsters!$S173</f>
        <v>2.74</v>
      </c>
      <c r="BY173" s="18">
        <f>[1]monsters!$K173</f>
        <v>1.5</v>
      </c>
      <c r="BZ173" s="5">
        <f>[1]monsters!$D173</f>
        <v>4</v>
      </c>
      <c r="CA173" s="5">
        <f t="shared" si="115"/>
        <v>0.1</v>
      </c>
      <c r="CB173" s="5">
        <f t="shared" si="116"/>
        <v>235.31205387205389</v>
      </c>
      <c r="CC173" s="5">
        <f t="shared" si="117"/>
        <v>23.531205387205389</v>
      </c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>
        <v>1</v>
      </c>
      <c r="CR173" s="3" t="b">
        <f t="shared" si="88"/>
        <v>1</v>
      </c>
      <c r="CS173" s="3" t="b">
        <f t="shared" si="89"/>
        <v>1</v>
      </c>
      <c r="CT173" s="3" t="b">
        <f t="shared" si="90"/>
        <v>1</v>
      </c>
      <c r="CU173" s="3" t="b">
        <f t="shared" si="91"/>
        <v>1</v>
      </c>
      <c r="CV173" s="3" t="b">
        <f t="shared" si="92"/>
        <v>1</v>
      </c>
      <c r="CW173" s="3" t="b">
        <f t="shared" si="93"/>
        <v>1</v>
      </c>
      <c r="CX173" s="9" t="str">
        <f t="shared" si="94"/>
        <v>5300065</v>
      </c>
      <c r="CY173" s="9" t="str">
        <f t="shared" si="95"/>
        <v>5201062</v>
      </c>
      <c r="CZ173" s="9" t="str">
        <f t="shared" si="96"/>
        <v>5301061</v>
      </c>
      <c r="DA173" s="9" t="str">
        <f t="shared" si="97"/>
        <v>5400065</v>
      </c>
      <c r="DB173" s="9" t="str">
        <f t="shared" si="98"/>
        <v>5400065</v>
      </c>
      <c r="DC173" s="9" t="str">
        <f t="shared" si="99"/>
        <v>5400065</v>
      </c>
      <c r="DD173" s="9">
        <v>6</v>
      </c>
      <c r="DE173" s="9">
        <v>6</v>
      </c>
      <c r="DF173" s="9">
        <v>6</v>
      </c>
      <c r="DG173" s="9">
        <v>6</v>
      </c>
      <c r="DH173" s="9">
        <v>6</v>
      </c>
      <c r="DI173" s="9">
        <v>6</v>
      </c>
      <c r="DJ173" s="9">
        <v>5</v>
      </c>
      <c r="DK173" s="9">
        <v>5</v>
      </c>
      <c r="DL173" s="9">
        <v>5</v>
      </c>
      <c r="DM173" s="9">
        <v>5</v>
      </c>
      <c r="DN173" s="9">
        <v>5</v>
      </c>
      <c r="DO173" s="9">
        <v>5</v>
      </c>
      <c r="DP173" s="25" t="s">
        <v>212</v>
      </c>
      <c r="DQ173" s="25" t="s">
        <v>114</v>
      </c>
      <c r="DR173" s="25" t="s">
        <v>107</v>
      </c>
      <c r="DS173" s="26" t="s">
        <v>210</v>
      </c>
      <c r="DT173" s="26" t="s">
        <v>210</v>
      </c>
      <c r="DU173" s="26" t="s">
        <v>210</v>
      </c>
      <c r="DV173" s="26">
        <f t="shared" si="100"/>
        <v>1</v>
      </c>
      <c r="DW173" s="26">
        <f t="shared" si="101"/>
        <v>1</v>
      </c>
      <c r="DX173" s="26">
        <f t="shared" si="102"/>
        <v>1</v>
      </c>
      <c r="DY173" s="26">
        <f t="shared" si="103"/>
        <v>2</v>
      </c>
      <c r="DZ173" s="26">
        <f t="shared" si="104"/>
        <v>2</v>
      </c>
      <c r="EA173" s="3">
        <f t="shared" si="105"/>
        <v>2</v>
      </c>
      <c r="EB173" s="39"/>
      <c r="EC173" s="9">
        <v>5402071</v>
      </c>
      <c r="ED173" s="34" t="s">
        <v>196</v>
      </c>
      <c r="EE173" s="8">
        <v>2</v>
      </c>
    </row>
    <row r="174" spans="1:135" ht="13.5" customHeight="1">
      <c r="A174" s="9">
        <v>171</v>
      </c>
      <c r="B174" s="9">
        <v>1</v>
      </c>
      <c r="C174" s="9">
        <v>2001</v>
      </c>
      <c r="D174" s="9">
        <f t="shared" si="118"/>
        <v>882355</v>
      </c>
      <c r="E174" s="9" t="str">
        <f t="shared" si="85"/>
        <v>5201061,5200063,5202061,5502062,5500061,5601062</v>
      </c>
      <c r="F174" s="9" t="str">
        <f t="shared" si="86"/>
        <v>6,6,6,6,6,6</v>
      </c>
      <c r="G174" s="9" t="str">
        <f t="shared" si="87"/>
        <v>393,426,426,426,426,426</v>
      </c>
      <c r="H174" s="9">
        <v>108</v>
      </c>
      <c r="I174" s="9" t="s">
        <v>278</v>
      </c>
      <c r="J174" s="9" t="s">
        <v>279</v>
      </c>
      <c r="K174" s="9" t="s">
        <v>279</v>
      </c>
      <c r="L174" s="9" t="s">
        <v>279</v>
      </c>
      <c r="M174" s="9" t="s">
        <v>291</v>
      </c>
      <c r="O174" s="3">
        <f t="shared" si="84"/>
        <v>882355</v>
      </c>
      <c r="P174" s="9">
        <v>716197.02</v>
      </c>
      <c r="Q174" s="9">
        <v>5201061</v>
      </c>
      <c r="R174" s="9">
        <v>5200063</v>
      </c>
      <c r="S174" s="9">
        <v>5202061</v>
      </c>
      <c r="T174" s="9">
        <v>5502062</v>
      </c>
      <c r="U174" s="9">
        <v>5500061</v>
      </c>
      <c r="V174" s="9">
        <v>5601062</v>
      </c>
      <c r="W174" s="9">
        <v>6</v>
      </c>
      <c r="X174" s="9">
        <v>6</v>
      </c>
      <c r="Y174" s="9">
        <v>6</v>
      </c>
      <c r="Z174" s="9">
        <v>6</v>
      </c>
      <c r="AA174" s="9">
        <v>6</v>
      </c>
      <c r="AB174" s="9">
        <v>6</v>
      </c>
      <c r="AC174" s="9">
        <f t="shared" si="106"/>
        <v>393</v>
      </c>
      <c r="AD174" s="9">
        <f t="shared" si="107"/>
        <v>426</v>
      </c>
      <c r="AE174" s="9">
        <f t="shared" si="108"/>
        <v>426</v>
      </c>
      <c r="AF174" s="9">
        <f t="shared" si="109"/>
        <v>426</v>
      </c>
      <c r="AG174" s="9">
        <f t="shared" si="110"/>
        <v>426</v>
      </c>
      <c r="AH174" s="9">
        <f t="shared" si="111"/>
        <v>426</v>
      </c>
      <c r="AI174" s="7">
        <f t="shared" si="123"/>
        <v>119366.17</v>
      </c>
      <c r="AJ174" s="7">
        <f t="shared" si="120"/>
        <v>119366.17</v>
      </c>
      <c r="AK174" s="7">
        <f t="shared" si="120"/>
        <v>119366.17</v>
      </c>
      <c r="AL174" s="7">
        <f t="shared" si="120"/>
        <v>119366.17</v>
      </c>
      <c r="AM174" s="7">
        <f t="shared" si="120"/>
        <v>119366.17</v>
      </c>
      <c r="AN174" s="7">
        <f t="shared" si="120"/>
        <v>119366.17</v>
      </c>
      <c r="AO174" s="16"/>
      <c r="AP174" s="7"/>
      <c r="AQ174" s="9">
        <v>6</v>
      </c>
      <c r="AR174" s="9">
        <f t="shared" si="112"/>
        <v>367</v>
      </c>
      <c r="AS174" s="7">
        <f t="shared" si="121"/>
        <v>185</v>
      </c>
      <c r="AT174" s="7"/>
      <c r="AU174" s="16"/>
      <c r="AV174" s="7"/>
      <c r="AW174" s="7"/>
      <c r="AX174" s="7"/>
      <c r="AZ174" s="7"/>
      <c r="BA174" s="9">
        <f t="shared" si="122"/>
        <v>101205.14999999991</v>
      </c>
      <c r="BC174" s="5">
        <f t="shared" si="114"/>
        <v>367</v>
      </c>
      <c r="BR174" s="5">
        <v>5402062</v>
      </c>
      <c r="BS174" s="18">
        <f>[1]monsters!$N174</f>
        <v>224</v>
      </c>
      <c r="BT174" s="18">
        <f>[1]monsters!$O174</f>
        <v>22.4</v>
      </c>
      <c r="BU174" s="18">
        <f>[1]monsters!$P174</f>
        <v>1371.43</v>
      </c>
      <c r="BV174" s="18">
        <f>[1]monsters!$Q174</f>
        <v>137.13999999999999</v>
      </c>
      <c r="BW174" s="18">
        <f>[1]monsters!$R174</f>
        <v>28</v>
      </c>
      <c r="BX174" s="18">
        <f>[1]monsters!$S174</f>
        <v>2.8</v>
      </c>
      <c r="BY174" s="18">
        <f>[1]monsters!$K174</f>
        <v>1.5</v>
      </c>
      <c r="BZ174" s="5">
        <f>[1]monsters!$D174</f>
        <v>5</v>
      </c>
      <c r="CA174" s="5">
        <f t="shared" si="115"/>
        <v>0.1</v>
      </c>
      <c r="CB174" s="5">
        <f t="shared" si="116"/>
        <v>257.85609427609427</v>
      </c>
      <c r="CC174" s="5">
        <f t="shared" si="117"/>
        <v>25.78560942760943</v>
      </c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>
        <v>0</v>
      </c>
      <c r="CR174" s="3" t="b">
        <f t="shared" si="88"/>
        <v>1</v>
      </c>
      <c r="CS174" s="3" t="b">
        <f t="shared" si="89"/>
        <v>1</v>
      </c>
      <c r="CT174" s="3" t="b">
        <f t="shared" si="90"/>
        <v>1</v>
      </c>
      <c r="CU174" s="3" t="b">
        <f t="shared" si="91"/>
        <v>1</v>
      </c>
      <c r="CV174" s="3" t="b">
        <f t="shared" si="92"/>
        <v>1</v>
      </c>
      <c r="CW174" s="3" t="b">
        <f t="shared" si="93"/>
        <v>1</v>
      </c>
      <c r="CX174" s="9" t="str">
        <f t="shared" si="94"/>
        <v>5201061</v>
      </c>
      <c r="CY174" s="9" t="str">
        <f t="shared" si="95"/>
        <v>5200063</v>
      </c>
      <c r="CZ174" s="9" t="str">
        <f t="shared" si="96"/>
        <v>5202061</v>
      </c>
      <c r="DA174" s="9" t="str">
        <f t="shared" si="97"/>
        <v>5502062</v>
      </c>
      <c r="DB174" s="9" t="str">
        <f t="shared" si="98"/>
        <v>5500061</v>
      </c>
      <c r="DC174" s="9" t="str">
        <f t="shared" si="99"/>
        <v>5601062</v>
      </c>
      <c r="DD174" s="9">
        <v>6</v>
      </c>
      <c r="DE174" s="9">
        <v>6</v>
      </c>
      <c r="DF174" s="9">
        <v>6</v>
      </c>
      <c r="DG174" s="9">
        <v>6</v>
      </c>
      <c r="DH174" s="9">
        <v>6</v>
      </c>
      <c r="DI174" s="9">
        <v>6</v>
      </c>
      <c r="DJ174" s="9">
        <v>5</v>
      </c>
      <c r="DK174" s="9">
        <v>5</v>
      </c>
      <c r="DL174" s="9">
        <v>5</v>
      </c>
      <c r="DM174" s="9">
        <v>5</v>
      </c>
      <c r="DN174" s="9">
        <v>5</v>
      </c>
      <c r="DO174" s="9">
        <v>5</v>
      </c>
      <c r="DP174" s="25" t="s">
        <v>195</v>
      </c>
      <c r="DQ174" s="25" t="s">
        <v>113</v>
      </c>
      <c r="DR174" s="26" t="s">
        <v>111</v>
      </c>
      <c r="DS174" s="28" t="s">
        <v>204</v>
      </c>
      <c r="DT174" s="26" t="s">
        <v>197</v>
      </c>
      <c r="DU174" s="26" t="s">
        <v>124</v>
      </c>
      <c r="DV174" s="26">
        <f t="shared" si="100"/>
        <v>1</v>
      </c>
      <c r="DW174" s="26">
        <f t="shared" si="101"/>
        <v>1</v>
      </c>
      <c r="DX174" s="26">
        <f t="shared" si="102"/>
        <v>1</v>
      </c>
      <c r="DY174" s="26">
        <f t="shared" si="103"/>
        <v>2</v>
      </c>
      <c r="DZ174" s="26">
        <f t="shared" si="104"/>
        <v>2</v>
      </c>
      <c r="EA174" s="3">
        <f t="shared" si="105"/>
        <v>2</v>
      </c>
      <c r="EB174" s="39"/>
      <c r="EC174" s="9">
        <v>5500071</v>
      </c>
      <c r="ED174" s="34" t="s">
        <v>197</v>
      </c>
      <c r="EE174" s="8">
        <v>2</v>
      </c>
    </row>
    <row r="175" spans="1:135" ht="13.5" customHeight="1">
      <c r="A175" s="9">
        <v>172</v>
      </c>
      <c r="B175" s="9">
        <v>1</v>
      </c>
      <c r="C175" s="9">
        <v>2001</v>
      </c>
      <c r="D175" s="9">
        <f t="shared" si="118"/>
        <v>887741</v>
      </c>
      <c r="E175" s="9" t="str">
        <f t="shared" si="85"/>
        <v>5200062,5200063,5200062,5501064,5500063,5501064</v>
      </c>
      <c r="F175" s="9" t="str">
        <f t="shared" si="86"/>
        <v>6,6,6,6,6,6</v>
      </c>
      <c r="G175" s="9" t="str">
        <f t="shared" si="87"/>
        <v>395,427,427,427,427,427</v>
      </c>
      <c r="H175" s="9">
        <v>108</v>
      </c>
      <c r="I175" s="9" t="s">
        <v>278</v>
      </c>
      <c r="J175" s="9" t="s">
        <v>279</v>
      </c>
      <c r="K175" s="9" t="s">
        <v>279</v>
      </c>
      <c r="L175" s="9" t="s">
        <v>279</v>
      </c>
      <c r="M175" s="9" t="s">
        <v>291</v>
      </c>
      <c r="O175" s="3">
        <f t="shared" si="84"/>
        <v>887741</v>
      </c>
      <c r="P175" s="9">
        <v>720569.05</v>
      </c>
      <c r="Q175" s="9">
        <v>5200062</v>
      </c>
      <c r="R175" s="9">
        <v>5200063</v>
      </c>
      <c r="S175" s="9">
        <v>5200062</v>
      </c>
      <c r="T175" s="9">
        <v>5501064</v>
      </c>
      <c r="U175" s="9">
        <v>5500063</v>
      </c>
      <c r="V175" s="9">
        <v>5501064</v>
      </c>
      <c r="W175" s="9">
        <v>6</v>
      </c>
      <c r="X175" s="9">
        <v>6</v>
      </c>
      <c r="Y175" s="9">
        <v>6</v>
      </c>
      <c r="Z175" s="9">
        <v>6</v>
      </c>
      <c r="AA175" s="9">
        <v>6</v>
      </c>
      <c r="AB175" s="9">
        <v>6</v>
      </c>
      <c r="AC175" s="9">
        <f t="shared" si="106"/>
        <v>395</v>
      </c>
      <c r="AD175" s="9">
        <f t="shared" si="107"/>
        <v>427</v>
      </c>
      <c r="AE175" s="9">
        <f t="shared" si="108"/>
        <v>427</v>
      </c>
      <c r="AF175" s="9">
        <f t="shared" si="109"/>
        <v>427</v>
      </c>
      <c r="AG175" s="9">
        <f t="shared" si="110"/>
        <v>427</v>
      </c>
      <c r="AH175" s="9">
        <f t="shared" si="111"/>
        <v>427</v>
      </c>
      <c r="AI175" s="7">
        <f t="shared" si="123"/>
        <v>120094.84166666667</v>
      </c>
      <c r="AJ175" s="7">
        <f t="shared" si="120"/>
        <v>120094.84166666667</v>
      </c>
      <c r="AK175" s="7">
        <f t="shared" si="120"/>
        <v>120094.84166666667</v>
      </c>
      <c r="AL175" s="7">
        <f t="shared" si="120"/>
        <v>120094.84166666667</v>
      </c>
      <c r="AM175" s="7">
        <f t="shared" si="120"/>
        <v>120094.84166666667</v>
      </c>
      <c r="AN175" s="7">
        <f t="shared" si="120"/>
        <v>120094.84166666667</v>
      </c>
      <c r="AO175" s="16"/>
      <c r="AP175" s="7"/>
      <c r="AQ175" s="9">
        <v>6</v>
      </c>
      <c r="AR175" s="9">
        <f t="shared" si="112"/>
        <v>369</v>
      </c>
      <c r="AS175" s="7">
        <f t="shared" si="121"/>
        <v>186</v>
      </c>
      <c r="AT175" s="7"/>
      <c r="AU175" s="16"/>
      <c r="AV175" s="7"/>
      <c r="AW175" s="7"/>
      <c r="AX175" s="7"/>
      <c r="AZ175" s="7"/>
      <c r="BA175" s="9">
        <f t="shared" si="122"/>
        <v>103296.2999999999</v>
      </c>
      <c r="BC175" s="5">
        <f t="shared" si="114"/>
        <v>369</v>
      </c>
      <c r="BR175" s="5">
        <v>5500062</v>
      </c>
      <c r="BS175" s="18">
        <f>[1]monsters!$N175</f>
        <v>209.07</v>
      </c>
      <c r="BT175" s="18">
        <f>[1]monsters!$O175</f>
        <v>20.91</v>
      </c>
      <c r="BU175" s="18">
        <f>[1]monsters!$P175</f>
        <v>1371.43</v>
      </c>
      <c r="BV175" s="18">
        <f>[1]monsters!$Q175</f>
        <v>137.13999999999999</v>
      </c>
      <c r="BW175" s="18">
        <f>[1]monsters!$R175</f>
        <v>26.13</v>
      </c>
      <c r="BX175" s="18">
        <f>[1]monsters!$S175</f>
        <v>2.61</v>
      </c>
      <c r="BY175" s="18">
        <f>[1]monsters!$K175</f>
        <v>1.4</v>
      </c>
      <c r="BZ175" s="5">
        <f>[1]monsters!$D175</f>
        <v>5</v>
      </c>
      <c r="CA175" s="5">
        <f t="shared" si="115"/>
        <v>0.1</v>
      </c>
      <c r="CB175" s="5">
        <f t="shared" si="116"/>
        <v>243.74724427609431</v>
      </c>
      <c r="CC175" s="5">
        <f t="shared" si="117"/>
        <v>24.374724427609433</v>
      </c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>
        <v>0</v>
      </c>
      <c r="CR175" s="3" t="b">
        <f t="shared" si="88"/>
        <v>1</v>
      </c>
      <c r="CS175" s="3" t="b">
        <f t="shared" si="89"/>
        <v>1</v>
      </c>
      <c r="CT175" s="3" t="b">
        <f t="shared" si="90"/>
        <v>1</v>
      </c>
      <c r="CU175" s="3" t="b">
        <f t="shared" si="91"/>
        <v>1</v>
      </c>
      <c r="CV175" s="3" t="b">
        <f t="shared" si="92"/>
        <v>1</v>
      </c>
      <c r="CW175" s="3" t="b">
        <f t="shared" si="93"/>
        <v>1</v>
      </c>
      <c r="CX175" s="9" t="str">
        <f t="shared" si="94"/>
        <v>5200062</v>
      </c>
      <c r="CY175" s="9" t="str">
        <f t="shared" si="95"/>
        <v>5200063</v>
      </c>
      <c r="CZ175" s="9" t="str">
        <f t="shared" si="96"/>
        <v>5200062</v>
      </c>
      <c r="DA175" s="9" t="str">
        <f t="shared" si="97"/>
        <v>5501064</v>
      </c>
      <c r="DB175" s="9" t="str">
        <f t="shared" si="98"/>
        <v>5500063</v>
      </c>
      <c r="DC175" s="9" t="str">
        <f t="shared" si="99"/>
        <v>5501064</v>
      </c>
      <c r="DD175" s="9">
        <v>6</v>
      </c>
      <c r="DE175" s="9">
        <v>6</v>
      </c>
      <c r="DF175" s="9">
        <v>6</v>
      </c>
      <c r="DG175" s="9">
        <v>6</v>
      </c>
      <c r="DH175" s="9">
        <v>6</v>
      </c>
      <c r="DI175" s="9">
        <v>6</v>
      </c>
      <c r="DJ175" s="9">
        <v>5</v>
      </c>
      <c r="DK175" s="9">
        <v>5</v>
      </c>
      <c r="DL175" s="9">
        <v>5</v>
      </c>
      <c r="DM175" s="9">
        <v>5</v>
      </c>
      <c r="DN175" s="9">
        <v>5</v>
      </c>
      <c r="DO175" s="9">
        <v>5</v>
      </c>
      <c r="DP175" s="25" t="s">
        <v>199</v>
      </c>
      <c r="DQ175" s="25" t="s">
        <v>113</v>
      </c>
      <c r="DR175" s="25" t="s">
        <v>199</v>
      </c>
      <c r="DS175" s="26" t="s">
        <v>214</v>
      </c>
      <c r="DT175" s="26" t="s">
        <v>207</v>
      </c>
      <c r="DU175" s="26" t="s">
        <v>214</v>
      </c>
      <c r="DV175" s="26">
        <f t="shared" si="100"/>
        <v>1</v>
      </c>
      <c r="DW175" s="26">
        <f t="shared" si="101"/>
        <v>1</v>
      </c>
      <c r="DX175" s="26">
        <f t="shared" si="102"/>
        <v>1</v>
      </c>
      <c r="DY175" s="26">
        <f t="shared" si="103"/>
        <v>2</v>
      </c>
      <c r="DZ175" s="26">
        <f t="shared" si="104"/>
        <v>2</v>
      </c>
      <c r="EA175" s="3">
        <f t="shared" si="105"/>
        <v>2</v>
      </c>
      <c r="EB175" s="39"/>
      <c r="EC175" s="9">
        <v>5502071</v>
      </c>
      <c r="ED175" s="34" t="s">
        <v>119</v>
      </c>
      <c r="EE175" s="8">
        <v>2</v>
      </c>
    </row>
    <row r="176" spans="1:135" ht="13.5" customHeight="1">
      <c r="A176" s="9">
        <v>173</v>
      </c>
      <c r="B176" s="9">
        <v>1</v>
      </c>
      <c r="C176" s="9">
        <v>2001</v>
      </c>
      <c r="D176" s="9">
        <f t="shared" si="118"/>
        <v>893704</v>
      </c>
      <c r="E176" s="9" t="str">
        <f t="shared" si="85"/>
        <v>5202062,5201062,5301061,5400065,5501065,5402061</v>
      </c>
      <c r="F176" s="9" t="str">
        <f t="shared" si="86"/>
        <v>6,6,6,6,6,6</v>
      </c>
      <c r="G176" s="9" t="str">
        <f t="shared" si="87"/>
        <v>396,429,429,429,429,429</v>
      </c>
      <c r="H176" s="9">
        <v>109</v>
      </c>
      <c r="I176" s="9" t="s">
        <v>278</v>
      </c>
      <c r="J176" s="9" t="s">
        <v>279</v>
      </c>
      <c r="K176" s="9" t="s">
        <v>279</v>
      </c>
      <c r="L176" s="9" t="s">
        <v>279</v>
      </c>
      <c r="M176" s="9" t="s">
        <v>291</v>
      </c>
      <c r="O176" s="3">
        <f t="shared" si="84"/>
        <v>893704</v>
      </c>
      <c r="P176" s="9">
        <v>725408.73</v>
      </c>
      <c r="Q176" s="9">
        <v>5202062</v>
      </c>
      <c r="R176" s="9">
        <v>5201062</v>
      </c>
      <c r="S176" s="9">
        <v>5301061</v>
      </c>
      <c r="T176" s="9">
        <v>5400065</v>
      </c>
      <c r="U176" s="9">
        <v>5501065</v>
      </c>
      <c r="V176" s="9">
        <v>5402061</v>
      </c>
      <c r="W176" s="9">
        <v>6</v>
      </c>
      <c r="X176" s="9">
        <v>6</v>
      </c>
      <c r="Y176" s="9">
        <v>6</v>
      </c>
      <c r="Z176" s="9">
        <v>6</v>
      </c>
      <c r="AA176" s="9">
        <v>6</v>
      </c>
      <c r="AB176" s="9">
        <v>6</v>
      </c>
      <c r="AC176" s="9">
        <f t="shared" si="106"/>
        <v>396</v>
      </c>
      <c r="AD176" s="9">
        <f t="shared" si="107"/>
        <v>429</v>
      </c>
      <c r="AE176" s="9">
        <f t="shared" si="108"/>
        <v>429</v>
      </c>
      <c r="AF176" s="9">
        <f t="shared" si="109"/>
        <v>429</v>
      </c>
      <c r="AG176" s="9">
        <f t="shared" si="110"/>
        <v>429</v>
      </c>
      <c r="AH176" s="9">
        <f t="shared" si="111"/>
        <v>429</v>
      </c>
      <c r="AI176" s="7">
        <f t="shared" si="123"/>
        <v>120901.455</v>
      </c>
      <c r="AJ176" s="7">
        <f t="shared" si="120"/>
        <v>120901.455</v>
      </c>
      <c r="AK176" s="7">
        <f t="shared" si="120"/>
        <v>120901.455</v>
      </c>
      <c r="AL176" s="7">
        <f t="shared" si="120"/>
        <v>120901.455</v>
      </c>
      <c r="AM176" s="7">
        <f t="shared" si="120"/>
        <v>120901.455</v>
      </c>
      <c r="AN176" s="7">
        <f t="shared" si="120"/>
        <v>120901.455</v>
      </c>
      <c r="AO176" s="16"/>
      <c r="AP176" s="7"/>
      <c r="AQ176" s="9">
        <v>6</v>
      </c>
      <c r="AR176" s="9">
        <f t="shared" si="112"/>
        <v>370</v>
      </c>
      <c r="AS176" s="7">
        <f t="shared" si="121"/>
        <v>186</v>
      </c>
      <c r="AT176" s="7"/>
      <c r="AU176" s="16"/>
      <c r="AV176" s="7"/>
      <c r="AW176" s="7"/>
      <c r="AX176" s="7"/>
      <c r="AZ176" s="7"/>
      <c r="BA176" s="9">
        <f t="shared" si="122"/>
        <v>105387.4499999999</v>
      </c>
      <c r="BC176" s="5">
        <f t="shared" si="114"/>
        <v>370</v>
      </c>
      <c r="BR176" s="5">
        <v>5502062</v>
      </c>
      <c r="BS176" s="18">
        <f>[1]monsters!$N176</f>
        <v>248</v>
      </c>
      <c r="BT176" s="18">
        <f>[1]monsters!$O176</f>
        <v>24.8</v>
      </c>
      <c r="BU176" s="18">
        <f>[1]monsters!$P176</f>
        <v>1238.71</v>
      </c>
      <c r="BV176" s="18">
        <f>[1]monsters!$Q176</f>
        <v>123.87</v>
      </c>
      <c r="BW176" s="18">
        <f>[1]monsters!$R176</f>
        <v>24.8</v>
      </c>
      <c r="BX176" s="18">
        <f>[1]monsters!$S176</f>
        <v>2.48</v>
      </c>
      <c r="BY176" s="18">
        <f>[1]monsters!$K176</f>
        <v>1.5</v>
      </c>
      <c r="BZ176" s="5">
        <f>[1]monsters!$D176</f>
        <v>6</v>
      </c>
      <c r="CA176" s="5">
        <f t="shared" si="115"/>
        <v>0.1</v>
      </c>
      <c r="CB176" s="5">
        <f t="shared" si="116"/>
        <v>276.06740740740747</v>
      </c>
      <c r="CC176" s="5">
        <f t="shared" si="117"/>
        <v>27.606740740740747</v>
      </c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>
        <v>0</v>
      </c>
      <c r="CR176" s="3" t="b">
        <f t="shared" si="88"/>
        <v>1</v>
      </c>
      <c r="CS176" s="3" t="b">
        <f t="shared" si="89"/>
        <v>1</v>
      </c>
      <c r="CT176" s="3" t="b">
        <f t="shared" si="90"/>
        <v>1</v>
      </c>
      <c r="CU176" s="3" t="b">
        <f t="shared" si="91"/>
        <v>1</v>
      </c>
      <c r="CV176" s="3" t="b">
        <f t="shared" si="92"/>
        <v>1</v>
      </c>
      <c r="CW176" s="3" t="b">
        <f t="shared" si="93"/>
        <v>1</v>
      </c>
      <c r="CX176" s="9" t="str">
        <f t="shared" si="94"/>
        <v>5202062</v>
      </c>
      <c r="CY176" s="9" t="str">
        <f t="shared" si="95"/>
        <v>5201062</v>
      </c>
      <c r="CZ176" s="9" t="str">
        <f t="shared" si="96"/>
        <v>5301061</v>
      </c>
      <c r="DA176" s="9" t="str">
        <f t="shared" si="97"/>
        <v>5400065</v>
      </c>
      <c r="DB176" s="9" t="str">
        <f t="shared" si="98"/>
        <v>5501065</v>
      </c>
      <c r="DC176" s="9" t="str">
        <f t="shared" si="99"/>
        <v>5402061</v>
      </c>
      <c r="DD176" s="9">
        <v>6</v>
      </c>
      <c r="DE176" s="9">
        <v>6</v>
      </c>
      <c r="DF176" s="9">
        <v>6</v>
      </c>
      <c r="DG176" s="9">
        <v>6</v>
      </c>
      <c r="DH176" s="9">
        <v>6</v>
      </c>
      <c r="DI176" s="9">
        <v>6</v>
      </c>
      <c r="DJ176" s="9">
        <v>5</v>
      </c>
      <c r="DK176" s="9">
        <v>5</v>
      </c>
      <c r="DL176" s="9">
        <v>5</v>
      </c>
      <c r="DM176" s="9">
        <v>5</v>
      </c>
      <c r="DN176" s="9">
        <v>5</v>
      </c>
      <c r="DO176" s="9">
        <v>5</v>
      </c>
      <c r="DP176" s="25" t="s">
        <v>200</v>
      </c>
      <c r="DQ176" s="25" t="s">
        <v>114</v>
      </c>
      <c r="DR176" s="25" t="s">
        <v>107</v>
      </c>
      <c r="DS176" s="25" t="s">
        <v>210</v>
      </c>
      <c r="DT176" s="25" t="s">
        <v>209</v>
      </c>
      <c r="DU176" s="25" t="s">
        <v>196</v>
      </c>
      <c r="DV176" s="25">
        <f t="shared" si="100"/>
        <v>1</v>
      </c>
      <c r="DW176" s="25">
        <f t="shared" si="101"/>
        <v>1</v>
      </c>
      <c r="DX176" s="25">
        <f t="shared" si="102"/>
        <v>1</v>
      </c>
      <c r="DY176" s="25">
        <f t="shared" si="103"/>
        <v>2</v>
      </c>
      <c r="DZ176" s="25">
        <f t="shared" si="104"/>
        <v>2</v>
      </c>
      <c r="EA176" s="3">
        <f t="shared" si="105"/>
        <v>2</v>
      </c>
      <c r="EB176" s="39"/>
      <c r="EC176" s="9">
        <v>5601071</v>
      </c>
      <c r="ED176" s="34" t="s">
        <v>198</v>
      </c>
      <c r="EE176" s="8">
        <v>2</v>
      </c>
    </row>
    <row r="177" spans="1:135" ht="13.5" customHeight="1">
      <c r="A177" s="9">
        <v>174</v>
      </c>
      <c r="B177" s="9">
        <v>1</v>
      </c>
      <c r="C177" s="9">
        <v>2001</v>
      </c>
      <c r="D177" s="9">
        <f t="shared" si="118"/>
        <v>899124</v>
      </c>
      <c r="E177" s="9" t="str">
        <f t="shared" si="85"/>
        <v>5301061,5301062,5301063,5500062,5500061,5500062</v>
      </c>
      <c r="F177" s="9" t="str">
        <f t="shared" si="86"/>
        <v>6,6,6,6,6,6</v>
      </c>
      <c r="G177" s="9" t="str">
        <f t="shared" si="87"/>
        <v>397,430,430,430,430,430</v>
      </c>
      <c r="H177" s="9">
        <v>109</v>
      </c>
      <c r="I177" s="9" t="s">
        <v>278</v>
      </c>
      <c r="J177" s="9" t="s">
        <v>279</v>
      </c>
      <c r="K177" s="9" t="s">
        <v>279</v>
      </c>
      <c r="L177" s="9" t="s">
        <v>279</v>
      </c>
      <c r="M177" s="9" t="s">
        <v>291</v>
      </c>
      <c r="O177" s="3">
        <f t="shared" si="84"/>
        <v>899124</v>
      </c>
      <c r="P177" s="9">
        <v>729808.62</v>
      </c>
      <c r="Q177" s="9">
        <v>5301061</v>
      </c>
      <c r="R177" s="9">
        <v>5301062</v>
      </c>
      <c r="S177" s="9">
        <v>5301063</v>
      </c>
      <c r="T177" s="9">
        <v>5500062</v>
      </c>
      <c r="U177" s="9">
        <v>5500061</v>
      </c>
      <c r="V177" s="9">
        <v>5500062</v>
      </c>
      <c r="W177" s="9">
        <v>6</v>
      </c>
      <c r="X177" s="9">
        <v>6</v>
      </c>
      <c r="Y177" s="9">
        <v>6</v>
      </c>
      <c r="Z177" s="9">
        <v>6</v>
      </c>
      <c r="AA177" s="9">
        <v>6</v>
      </c>
      <c r="AB177" s="9">
        <v>6</v>
      </c>
      <c r="AC177" s="9">
        <f t="shared" si="106"/>
        <v>397</v>
      </c>
      <c r="AD177" s="9">
        <f t="shared" si="107"/>
        <v>430</v>
      </c>
      <c r="AE177" s="9">
        <f t="shared" si="108"/>
        <v>430</v>
      </c>
      <c r="AF177" s="9">
        <f t="shared" si="109"/>
        <v>430</v>
      </c>
      <c r="AG177" s="9">
        <f t="shared" si="110"/>
        <v>430</v>
      </c>
      <c r="AH177" s="9">
        <f t="shared" si="111"/>
        <v>430</v>
      </c>
      <c r="AI177" s="7">
        <f t="shared" si="123"/>
        <v>121634.77</v>
      </c>
      <c r="AJ177" s="7">
        <f t="shared" si="120"/>
        <v>121634.77</v>
      </c>
      <c r="AK177" s="7">
        <f t="shared" si="120"/>
        <v>121634.77</v>
      </c>
      <c r="AL177" s="7">
        <f t="shared" si="120"/>
        <v>121634.77</v>
      </c>
      <c r="AM177" s="7">
        <f t="shared" si="120"/>
        <v>121634.77</v>
      </c>
      <c r="AN177" s="7">
        <f t="shared" si="120"/>
        <v>121634.77</v>
      </c>
      <c r="AO177" s="16"/>
      <c r="AP177" s="7"/>
      <c r="AQ177" s="9">
        <v>6</v>
      </c>
      <c r="AR177" s="9">
        <f t="shared" si="112"/>
        <v>371</v>
      </c>
      <c r="AS177" s="7">
        <f t="shared" si="121"/>
        <v>187</v>
      </c>
      <c r="AT177" s="7"/>
      <c r="AU177" s="16"/>
      <c r="AV177" s="7"/>
      <c r="AW177" s="7"/>
      <c r="AX177" s="7"/>
      <c r="AZ177" s="7"/>
      <c r="BA177" s="9">
        <f t="shared" si="122"/>
        <v>107478.59999999989</v>
      </c>
      <c r="BC177" s="5">
        <f t="shared" si="114"/>
        <v>371</v>
      </c>
      <c r="BR177" s="5">
        <v>5600062</v>
      </c>
      <c r="BS177" s="18">
        <f>[1]monsters!$N177</f>
        <v>160</v>
      </c>
      <c r="BT177" s="18">
        <f>[1]monsters!$O177</f>
        <v>16</v>
      </c>
      <c r="BU177" s="18">
        <f>[1]monsters!$P177</f>
        <v>1920</v>
      </c>
      <c r="BV177" s="18">
        <f>[1]monsters!$Q177</f>
        <v>192</v>
      </c>
      <c r="BW177" s="18">
        <f>[1]monsters!$R177</f>
        <v>40</v>
      </c>
      <c r="BX177" s="18">
        <f>[1]monsters!$S177</f>
        <v>4</v>
      </c>
      <c r="BY177" s="18">
        <f>[1]monsters!$K177</f>
        <v>1.5</v>
      </c>
      <c r="BZ177" s="5">
        <f>[1]monsters!$D177</f>
        <v>2</v>
      </c>
      <c r="CA177" s="5">
        <f t="shared" si="115"/>
        <v>0.1</v>
      </c>
      <c r="CB177" s="5">
        <f t="shared" si="116"/>
        <v>215.84646464646465</v>
      </c>
      <c r="CC177" s="5">
        <f t="shared" si="117"/>
        <v>21.584646464646468</v>
      </c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>
        <v>0</v>
      </c>
      <c r="CR177" s="3" t="b">
        <f t="shared" si="88"/>
        <v>1</v>
      </c>
      <c r="CS177" s="3" t="b">
        <f t="shared" si="89"/>
        <v>1</v>
      </c>
      <c r="CT177" s="3" t="b">
        <f t="shared" si="90"/>
        <v>1</v>
      </c>
      <c r="CU177" s="3" t="b">
        <f t="shared" si="91"/>
        <v>1</v>
      </c>
      <c r="CV177" s="3" t="b">
        <f t="shared" si="92"/>
        <v>1</v>
      </c>
      <c r="CW177" s="3" t="b">
        <f t="shared" si="93"/>
        <v>1</v>
      </c>
      <c r="CX177" s="9" t="str">
        <f t="shared" si="94"/>
        <v>5301061</v>
      </c>
      <c r="CY177" s="9" t="str">
        <f t="shared" si="95"/>
        <v>5301062</v>
      </c>
      <c r="CZ177" s="9" t="str">
        <f t="shared" si="96"/>
        <v>5301063</v>
      </c>
      <c r="DA177" s="9" t="str">
        <f t="shared" si="97"/>
        <v>5500062</v>
      </c>
      <c r="DB177" s="9" t="str">
        <f t="shared" si="98"/>
        <v>5500061</v>
      </c>
      <c r="DC177" s="9" t="str">
        <f t="shared" si="99"/>
        <v>5500062</v>
      </c>
      <c r="DD177" s="9">
        <v>6</v>
      </c>
      <c r="DE177" s="9">
        <v>6</v>
      </c>
      <c r="DF177" s="9">
        <v>6</v>
      </c>
      <c r="DG177" s="9">
        <v>6</v>
      </c>
      <c r="DH177" s="9">
        <v>6</v>
      </c>
      <c r="DI177" s="9">
        <v>6</v>
      </c>
      <c r="DJ177" s="9">
        <v>5</v>
      </c>
      <c r="DK177" s="9">
        <v>5</v>
      </c>
      <c r="DL177" s="9">
        <v>5</v>
      </c>
      <c r="DM177" s="9">
        <v>5</v>
      </c>
      <c r="DN177" s="9">
        <v>5</v>
      </c>
      <c r="DO177" s="9">
        <v>5</v>
      </c>
      <c r="DP177" s="26" t="s">
        <v>107</v>
      </c>
      <c r="DQ177" s="26" t="s">
        <v>201</v>
      </c>
      <c r="DR177" s="26" t="s">
        <v>206</v>
      </c>
      <c r="DS177" s="26" t="s">
        <v>109</v>
      </c>
      <c r="DT177" s="26" t="s">
        <v>197</v>
      </c>
      <c r="DU177" s="26" t="s">
        <v>109</v>
      </c>
      <c r="DV177" s="26">
        <f t="shared" si="100"/>
        <v>1</v>
      </c>
      <c r="DW177" s="26">
        <f t="shared" si="101"/>
        <v>1</v>
      </c>
      <c r="DX177" s="26">
        <f t="shared" si="102"/>
        <v>1</v>
      </c>
      <c r="DY177" s="26">
        <f t="shared" si="103"/>
        <v>2</v>
      </c>
      <c r="DZ177" s="26">
        <f t="shared" si="104"/>
        <v>2</v>
      </c>
      <c r="EA177" s="3">
        <f t="shared" si="105"/>
        <v>2</v>
      </c>
      <c r="EB177" s="39"/>
      <c r="EC177" s="9">
        <v>5200072</v>
      </c>
      <c r="ED177" s="34" t="s">
        <v>199</v>
      </c>
      <c r="EE177" s="8">
        <v>1</v>
      </c>
    </row>
    <row r="178" spans="1:135" ht="13.5" customHeight="1">
      <c r="A178" s="9">
        <v>175</v>
      </c>
      <c r="B178" s="9">
        <v>1</v>
      </c>
      <c r="C178" s="9">
        <v>2001</v>
      </c>
      <c r="D178" s="9">
        <f t="shared" si="118"/>
        <v>904560</v>
      </c>
      <c r="E178" s="9" t="str">
        <f t="shared" si="85"/>
        <v>5201062,5201062,5201062,5400065,5400065,5501065</v>
      </c>
      <c r="F178" s="9" t="str">
        <f t="shared" si="86"/>
        <v>6,6,6,6,6,6</v>
      </c>
      <c r="G178" s="9" t="str">
        <f t="shared" si="87"/>
        <v>398,431,431,431,431,431</v>
      </c>
      <c r="H178" s="9">
        <v>110</v>
      </c>
      <c r="I178" s="9" t="s">
        <v>278</v>
      </c>
      <c r="J178" s="9" t="s">
        <v>279</v>
      </c>
      <c r="K178" s="9" t="s">
        <v>279</v>
      </c>
      <c r="L178" s="9" t="s">
        <v>279</v>
      </c>
      <c r="M178" s="9" t="s">
        <v>291</v>
      </c>
      <c r="O178" s="3">
        <f t="shared" si="84"/>
        <v>904560</v>
      </c>
      <c r="P178" s="9">
        <v>734220.45</v>
      </c>
      <c r="Q178" s="9">
        <v>5201062</v>
      </c>
      <c r="R178" s="9">
        <v>5201062</v>
      </c>
      <c r="S178" s="9">
        <v>5201062</v>
      </c>
      <c r="T178" s="9">
        <v>5400065</v>
      </c>
      <c r="U178" s="9">
        <v>5400065</v>
      </c>
      <c r="V178" s="9">
        <v>5501065</v>
      </c>
      <c r="W178" s="9">
        <v>6</v>
      </c>
      <c r="X178" s="9">
        <v>6</v>
      </c>
      <c r="Y178" s="9">
        <v>6</v>
      </c>
      <c r="Z178" s="9">
        <v>6</v>
      </c>
      <c r="AA178" s="9">
        <v>6</v>
      </c>
      <c r="AB178" s="9">
        <v>6</v>
      </c>
      <c r="AC178" s="9">
        <f t="shared" si="106"/>
        <v>398</v>
      </c>
      <c r="AD178" s="9">
        <f t="shared" si="107"/>
        <v>431</v>
      </c>
      <c r="AE178" s="9">
        <f t="shared" si="108"/>
        <v>431</v>
      </c>
      <c r="AF178" s="9">
        <f t="shared" si="109"/>
        <v>431</v>
      </c>
      <c r="AG178" s="9">
        <f t="shared" si="110"/>
        <v>431</v>
      </c>
      <c r="AH178" s="9">
        <f t="shared" si="111"/>
        <v>431</v>
      </c>
      <c r="AI178" s="7">
        <f t="shared" si="123"/>
        <v>122370.075</v>
      </c>
      <c r="AJ178" s="7">
        <f t="shared" si="120"/>
        <v>122370.075</v>
      </c>
      <c r="AK178" s="7">
        <f t="shared" si="120"/>
        <v>122370.075</v>
      </c>
      <c r="AL178" s="7">
        <f t="shared" si="120"/>
        <v>122370.075</v>
      </c>
      <c r="AM178" s="7">
        <f t="shared" si="120"/>
        <v>122370.075</v>
      </c>
      <c r="AN178" s="7">
        <f t="shared" si="120"/>
        <v>122370.075</v>
      </c>
      <c r="AO178" s="16"/>
      <c r="AP178" s="7"/>
      <c r="AQ178" s="9">
        <v>6</v>
      </c>
      <c r="AR178" s="9">
        <f t="shared" si="112"/>
        <v>372</v>
      </c>
      <c r="AS178" s="7">
        <f t="shared" si="121"/>
        <v>187</v>
      </c>
      <c r="AT178" s="7"/>
      <c r="AU178" s="16"/>
      <c r="AV178" s="7"/>
      <c r="AW178" s="7"/>
      <c r="AX178" s="7"/>
      <c r="AZ178" s="7"/>
      <c r="BA178" s="9">
        <f t="shared" si="122"/>
        <v>109569.74999999988</v>
      </c>
      <c r="BC178" s="5">
        <f t="shared" si="114"/>
        <v>372</v>
      </c>
      <c r="BR178" s="5">
        <v>5602062</v>
      </c>
      <c r="BS178" s="18">
        <f>[1]monsters!$N178</f>
        <v>153.6</v>
      </c>
      <c r="BT178" s="18">
        <f>[1]monsters!$O178</f>
        <v>15.36</v>
      </c>
      <c r="BU178" s="18">
        <f>[1]monsters!$P178</f>
        <v>2400</v>
      </c>
      <c r="BV178" s="18">
        <f>[1]monsters!$Q178</f>
        <v>240</v>
      </c>
      <c r="BW178" s="18">
        <f>[1]monsters!$R178</f>
        <v>51.2</v>
      </c>
      <c r="BX178" s="18">
        <f>[1]monsters!$S178</f>
        <v>5.12</v>
      </c>
      <c r="BY178" s="18">
        <f>[1]monsters!$K178</f>
        <v>1.8</v>
      </c>
      <c r="BZ178" s="5">
        <f>[1]monsters!$D178</f>
        <v>2</v>
      </c>
      <c r="CA178" s="5">
        <f t="shared" si="115"/>
        <v>0.1</v>
      </c>
      <c r="CB178" s="5">
        <f t="shared" si="116"/>
        <v>225.96008080808082</v>
      </c>
      <c r="CC178" s="5">
        <f t="shared" si="117"/>
        <v>22.596008080808083</v>
      </c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>
        <v>1</v>
      </c>
      <c r="CR178" s="3" t="b">
        <f t="shared" si="88"/>
        <v>1</v>
      </c>
      <c r="CS178" s="3" t="b">
        <f t="shared" si="89"/>
        <v>1</v>
      </c>
      <c r="CT178" s="3" t="b">
        <f t="shared" si="90"/>
        <v>1</v>
      </c>
      <c r="CU178" s="3" t="b">
        <f t="shared" si="91"/>
        <v>1</v>
      </c>
      <c r="CV178" s="3" t="b">
        <f t="shared" si="92"/>
        <v>1</v>
      </c>
      <c r="CW178" s="3" t="b">
        <f t="shared" si="93"/>
        <v>1</v>
      </c>
      <c r="CX178" s="9" t="str">
        <f t="shared" si="94"/>
        <v>5201062</v>
      </c>
      <c r="CY178" s="9" t="str">
        <f t="shared" si="95"/>
        <v>5201062</v>
      </c>
      <c r="CZ178" s="9" t="str">
        <f t="shared" si="96"/>
        <v>5201062</v>
      </c>
      <c r="DA178" s="9" t="str">
        <f t="shared" si="97"/>
        <v>5400065</v>
      </c>
      <c r="DB178" s="9" t="str">
        <f t="shared" si="98"/>
        <v>5400065</v>
      </c>
      <c r="DC178" s="9" t="str">
        <f t="shared" si="99"/>
        <v>5501065</v>
      </c>
      <c r="DD178" s="9">
        <v>6</v>
      </c>
      <c r="DE178" s="9">
        <v>6</v>
      </c>
      <c r="DF178" s="9">
        <v>6</v>
      </c>
      <c r="DG178" s="9">
        <v>6</v>
      </c>
      <c r="DH178" s="9">
        <v>6</v>
      </c>
      <c r="DI178" s="9">
        <v>6</v>
      </c>
      <c r="DJ178" s="9">
        <v>5</v>
      </c>
      <c r="DK178" s="9">
        <v>5</v>
      </c>
      <c r="DL178" s="9">
        <v>5</v>
      </c>
      <c r="DM178" s="9">
        <v>5</v>
      </c>
      <c r="DN178" s="9">
        <v>5</v>
      </c>
      <c r="DO178" s="9">
        <v>5</v>
      </c>
      <c r="DP178" s="25" t="s">
        <v>114</v>
      </c>
      <c r="DQ178" s="25" t="s">
        <v>114</v>
      </c>
      <c r="DR178" s="25" t="s">
        <v>114</v>
      </c>
      <c r="DS178" s="25" t="s">
        <v>210</v>
      </c>
      <c r="DT178" s="25" t="s">
        <v>210</v>
      </c>
      <c r="DU178" s="25" t="s">
        <v>209</v>
      </c>
      <c r="DV178" s="25">
        <f t="shared" si="100"/>
        <v>1</v>
      </c>
      <c r="DW178" s="25">
        <f t="shared" si="101"/>
        <v>1</v>
      </c>
      <c r="DX178" s="25">
        <f t="shared" si="102"/>
        <v>1</v>
      </c>
      <c r="DY178" s="25">
        <f t="shared" si="103"/>
        <v>2</v>
      </c>
      <c r="DZ178" s="25">
        <f t="shared" si="104"/>
        <v>2</v>
      </c>
      <c r="EA178" s="3">
        <f t="shared" si="105"/>
        <v>2</v>
      </c>
      <c r="EB178" s="39"/>
      <c r="EC178" s="9">
        <v>5201072</v>
      </c>
      <c r="ED178" s="34" t="s">
        <v>114</v>
      </c>
      <c r="EE178" s="8">
        <v>1</v>
      </c>
    </row>
    <row r="179" spans="1:135" ht="13.5" customHeight="1">
      <c r="A179" s="9">
        <v>176</v>
      </c>
      <c r="B179" s="9">
        <v>1</v>
      </c>
      <c r="C179" s="9">
        <v>2001</v>
      </c>
      <c r="D179" s="9">
        <f t="shared" si="118"/>
        <v>947263</v>
      </c>
      <c r="E179" s="9" t="str">
        <f t="shared" si="85"/>
        <v>5201074,5202072,5202073,5501074,5500073,5501074</v>
      </c>
      <c r="F179" s="9" t="str">
        <f t="shared" si="86"/>
        <v>7,7,7,7,7,7</v>
      </c>
      <c r="G179" s="9" t="str">
        <f t="shared" si="87"/>
        <v>366,396,396,396,396,396</v>
      </c>
      <c r="H179" s="9">
        <v>110</v>
      </c>
      <c r="I179" s="9" t="s">
        <v>278</v>
      </c>
      <c r="J179" s="9" t="s">
        <v>279</v>
      </c>
      <c r="K179" s="9" t="s">
        <v>279</v>
      </c>
      <c r="L179" s="9" t="s">
        <v>279</v>
      </c>
      <c r="M179" s="9" t="s">
        <v>291</v>
      </c>
      <c r="O179" s="3">
        <f t="shared" si="84"/>
        <v>947263</v>
      </c>
      <c r="P179" s="9">
        <v>768882.27</v>
      </c>
      <c r="Q179" s="9">
        <v>5201074</v>
      </c>
      <c r="R179" s="9">
        <v>5202072</v>
      </c>
      <c r="S179" s="9">
        <v>5202073</v>
      </c>
      <c r="T179" s="9">
        <v>5501074</v>
      </c>
      <c r="U179" s="9">
        <v>5500073</v>
      </c>
      <c r="V179" s="9">
        <v>5501074</v>
      </c>
      <c r="W179" s="9">
        <v>7</v>
      </c>
      <c r="X179" s="9">
        <v>7</v>
      </c>
      <c r="Y179" s="9">
        <v>7</v>
      </c>
      <c r="Z179" s="9">
        <v>7</v>
      </c>
      <c r="AA179" s="9">
        <v>7</v>
      </c>
      <c r="AB179" s="9">
        <v>7</v>
      </c>
      <c r="AC179" s="9">
        <f t="shared" si="106"/>
        <v>366</v>
      </c>
      <c r="AD179" s="9">
        <f t="shared" si="107"/>
        <v>396</v>
      </c>
      <c r="AE179" s="9">
        <f t="shared" si="108"/>
        <v>396</v>
      </c>
      <c r="AF179" s="9">
        <f t="shared" si="109"/>
        <v>396</v>
      </c>
      <c r="AG179" s="9">
        <f t="shared" si="110"/>
        <v>396</v>
      </c>
      <c r="AH179" s="9">
        <f t="shared" si="111"/>
        <v>396</v>
      </c>
      <c r="AI179" s="7">
        <f t="shared" si="123"/>
        <v>128147.045</v>
      </c>
      <c r="AJ179" s="7">
        <f t="shared" si="120"/>
        <v>128147.045</v>
      </c>
      <c r="AK179" s="7">
        <f t="shared" si="120"/>
        <v>128147.045</v>
      </c>
      <c r="AL179" s="7">
        <f t="shared" si="120"/>
        <v>128147.045</v>
      </c>
      <c r="AM179" s="7">
        <f t="shared" si="120"/>
        <v>128147.045</v>
      </c>
      <c r="AN179" s="7">
        <f t="shared" si="120"/>
        <v>128147.045</v>
      </c>
      <c r="AO179" s="16"/>
      <c r="AP179" s="7"/>
      <c r="AQ179" s="9">
        <v>6</v>
      </c>
      <c r="AR179" s="9">
        <f t="shared" si="112"/>
        <v>381</v>
      </c>
      <c r="AS179" s="7">
        <f t="shared" si="121"/>
        <v>188</v>
      </c>
      <c r="AT179" s="7"/>
      <c r="AU179" s="16"/>
      <c r="AV179" s="7"/>
      <c r="AW179" s="7"/>
      <c r="AX179" s="7"/>
      <c r="AZ179" s="7"/>
      <c r="BA179" s="9">
        <f t="shared" si="122"/>
        <v>111660.89999999988</v>
      </c>
      <c r="BC179" s="5">
        <f t="shared" si="114"/>
        <v>342</v>
      </c>
      <c r="BR179" s="5">
        <v>5200063</v>
      </c>
      <c r="BS179" s="18">
        <f>[1]monsters!$N179</f>
        <v>172.8</v>
      </c>
      <c r="BT179" s="18">
        <f>[1]monsters!$O179</f>
        <v>17.28</v>
      </c>
      <c r="BU179" s="18">
        <f>[1]monsters!$P179</f>
        <v>2133.33</v>
      </c>
      <c r="BV179" s="18">
        <f>[1]monsters!$Q179</f>
        <v>213.33</v>
      </c>
      <c r="BW179" s="18">
        <f>[1]monsters!$R179</f>
        <v>34.56</v>
      </c>
      <c r="BX179" s="18">
        <f>[1]monsters!$S179</f>
        <v>3.46</v>
      </c>
      <c r="BY179" s="18">
        <f>[1]monsters!$K179</f>
        <v>1.8</v>
      </c>
      <c r="BZ179" s="5">
        <f>[1]monsters!$D179</f>
        <v>2</v>
      </c>
      <c r="CA179" s="5">
        <f t="shared" si="115"/>
        <v>0.1</v>
      </c>
      <c r="CB179" s="5">
        <f t="shared" si="116"/>
        <v>235.12529292929293</v>
      </c>
      <c r="CC179" s="5">
        <f t="shared" si="117"/>
        <v>23.512529292929294</v>
      </c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>
        <v>0</v>
      </c>
      <c r="CR179" s="3" t="b">
        <f t="shared" si="88"/>
        <v>1</v>
      </c>
      <c r="CS179" s="3" t="b">
        <f t="shared" si="89"/>
        <v>1</v>
      </c>
      <c r="CT179" s="3" t="b">
        <f t="shared" si="90"/>
        <v>1</v>
      </c>
      <c r="CU179" s="3" t="b">
        <f t="shared" si="91"/>
        <v>1</v>
      </c>
      <c r="CV179" s="3" t="b">
        <f t="shared" si="92"/>
        <v>1</v>
      </c>
      <c r="CW179" s="3" t="b">
        <f t="shared" si="93"/>
        <v>1</v>
      </c>
      <c r="CX179" s="9" t="str">
        <f t="shared" si="94"/>
        <v>5201074</v>
      </c>
      <c r="CY179" s="9" t="str">
        <f t="shared" si="95"/>
        <v>5202072</v>
      </c>
      <c r="CZ179" s="9" t="str">
        <f t="shared" si="96"/>
        <v>5202073</v>
      </c>
      <c r="DA179" s="9" t="str">
        <f t="shared" si="97"/>
        <v>5501074</v>
      </c>
      <c r="DB179" s="9" t="str">
        <f t="shared" si="98"/>
        <v>5500073</v>
      </c>
      <c r="DC179" s="9" t="str">
        <f t="shared" si="99"/>
        <v>5501074</v>
      </c>
      <c r="DD179" s="9">
        <v>7</v>
      </c>
      <c r="DE179" s="9">
        <v>7</v>
      </c>
      <c r="DF179" s="9">
        <v>7</v>
      </c>
      <c r="DG179" s="9">
        <v>7</v>
      </c>
      <c r="DH179" s="9">
        <v>7</v>
      </c>
      <c r="DI179" s="9">
        <v>7</v>
      </c>
      <c r="DJ179" s="9">
        <v>5</v>
      </c>
      <c r="DK179" s="9">
        <v>5</v>
      </c>
      <c r="DL179" s="9">
        <v>5</v>
      </c>
      <c r="DM179" s="9">
        <v>5</v>
      </c>
      <c r="DN179" s="9">
        <v>5</v>
      </c>
      <c r="DO179" s="9">
        <v>5</v>
      </c>
      <c r="DP179" s="27" t="s">
        <v>217</v>
      </c>
      <c r="DQ179" s="25" t="s">
        <v>200</v>
      </c>
      <c r="DR179" s="25" t="s">
        <v>208</v>
      </c>
      <c r="DS179" s="25" t="s">
        <v>214</v>
      </c>
      <c r="DT179" s="25" t="s">
        <v>207</v>
      </c>
      <c r="DU179" s="25" t="s">
        <v>214</v>
      </c>
      <c r="DV179" s="25">
        <f t="shared" si="100"/>
        <v>1</v>
      </c>
      <c r="DW179" s="25">
        <f t="shared" si="101"/>
        <v>1</v>
      </c>
      <c r="DX179" s="25">
        <f t="shared" si="102"/>
        <v>1</v>
      </c>
      <c r="DY179" s="25">
        <f t="shared" si="103"/>
        <v>2</v>
      </c>
      <c r="DZ179" s="25">
        <f t="shared" si="104"/>
        <v>2</v>
      </c>
      <c r="EA179" s="3">
        <f t="shared" si="105"/>
        <v>2</v>
      </c>
      <c r="EB179" s="38"/>
      <c r="EC179" s="9">
        <v>5202072</v>
      </c>
      <c r="ED179" s="34" t="s">
        <v>200</v>
      </c>
      <c r="EE179" s="8">
        <v>1</v>
      </c>
    </row>
    <row r="180" spans="1:135" ht="13.5" customHeight="1">
      <c r="A180" s="9">
        <v>177</v>
      </c>
      <c r="B180" s="9">
        <v>1</v>
      </c>
      <c r="C180" s="9">
        <v>2001</v>
      </c>
      <c r="D180" s="9">
        <f t="shared" si="118"/>
        <v>990491</v>
      </c>
      <c r="E180" s="9" t="str">
        <f t="shared" si="85"/>
        <v>5202071,5202072,5200071,5402072,5501075,5400075</v>
      </c>
      <c r="F180" s="9" t="str">
        <f t="shared" si="86"/>
        <v>7,7,7,7,7,7</v>
      </c>
      <c r="G180" s="9" t="str">
        <f t="shared" si="87"/>
        <v>375,406,406,406,406,406</v>
      </c>
      <c r="H180" s="9">
        <v>110</v>
      </c>
      <c r="I180" s="9" t="s">
        <v>278</v>
      </c>
      <c r="J180" s="9" t="s">
        <v>279</v>
      </c>
      <c r="K180" s="9" t="s">
        <v>279</v>
      </c>
      <c r="L180" s="9" t="s">
        <v>279</v>
      </c>
      <c r="M180" s="9" t="s">
        <v>291</v>
      </c>
      <c r="O180" s="3">
        <f t="shared" si="84"/>
        <v>990491</v>
      </c>
      <c r="P180" s="9">
        <v>803969.95</v>
      </c>
      <c r="Q180" s="9">
        <v>5202071</v>
      </c>
      <c r="R180" s="9">
        <v>5202072</v>
      </c>
      <c r="S180" s="9">
        <v>5200071</v>
      </c>
      <c r="T180" s="9">
        <v>5402072</v>
      </c>
      <c r="U180" s="9">
        <v>5501075</v>
      </c>
      <c r="V180" s="9">
        <v>5400075</v>
      </c>
      <c r="W180" s="9">
        <v>7</v>
      </c>
      <c r="X180" s="9">
        <v>7</v>
      </c>
      <c r="Y180" s="9">
        <v>7</v>
      </c>
      <c r="Z180" s="9">
        <v>7</v>
      </c>
      <c r="AA180" s="9">
        <v>7</v>
      </c>
      <c r="AB180" s="9">
        <v>7</v>
      </c>
      <c r="AC180" s="9">
        <f t="shared" si="106"/>
        <v>375</v>
      </c>
      <c r="AD180" s="9">
        <f t="shared" si="107"/>
        <v>406</v>
      </c>
      <c r="AE180" s="9">
        <f t="shared" si="108"/>
        <v>406</v>
      </c>
      <c r="AF180" s="9">
        <f t="shared" si="109"/>
        <v>406</v>
      </c>
      <c r="AG180" s="9">
        <f t="shared" si="110"/>
        <v>406</v>
      </c>
      <c r="AH180" s="9">
        <f t="shared" si="111"/>
        <v>406</v>
      </c>
      <c r="AI180" s="7">
        <f t="shared" si="123"/>
        <v>133994.99166666667</v>
      </c>
      <c r="AJ180" s="7">
        <f t="shared" si="120"/>
        <v>133994.99166666667</v>
      </c>
      <c r="AK180" s="7">
        <f t="shared" si="120"/>
        <v>133994.99166666667</v>
      </c>
      <c r="AL180" s="7">
        <f t="shared" si="120"/>
        <v>133994.99166666667</v>
      </c>
      <c r="AM180" s="7">
        <f t="shared" si="120"/>
        <v>133994.99166666667</v>
      </c>
      <c r="AN180" s="7">
        <f t="shared" si="120"/>
        <v>133994.99166666667</v>
      </c>
      <c r="AO180" s="16"/>
      <c r="AP180" s="7"/>
      <c r="AQ180" s="9">
        <v>6</v>
      </c>
      <c r="AR180" s="9">
        <f t="shared" si="112"/>
        <v>390</v>
      </c>
      <c r="AS180" s="7">
        <f t="shared" si="121"/>
        <v>188</v>
      </c>
      <c r="AT180" s="7"/>
      <c r="AU180" s="16"/>
      <c r="AV180" s="7"/>
      <c r="AW180" s="7"/>
      <c r="AX180" s="7"/>
      <c r="AZ180" s="7"/>
      <c r="BA180" s="9">
        <f t="shared" si="122"/>
        <v>113752.04999999987</v>
      </c>
      <c r="BC180" s="5">
        <f t="shared" si="114"/>
        <v>350</v>
      </c>
      <c r="BR180" s="5">
        <v>5202063</v>
      </c>
      <c r="BS180" s="18">
        <f>[1]monsters!$N180</f>
        <v>115.2</v>
      </c>
      <c r="BT180" s="18">
        <f>[1]monsters!$O180</f>
        <v>11.52</v>
      </c>
      <c r="BU180" s="18">
        <f>[1]monsters!$P180</f>
        <v>2133.33</v>
      </c>
      <c r="BV180" s="18">
        <f>[1]monsters!$Q180</f>
        <v>213.33</v>
      </c>
      <c r="BW180" s="18">
        <f>[1]monsters!$R180</f>
        <v>23.04</v>
      </c>
      <c r="BX180" s="18">
        <f>[1]monsters!$S180</f>
        <v>2.2999999999999998</v>
      </c>
      <c r="BY180" s="18">
        <f>[1]monsters!$K180</f>
        <v>1.2</v>
      </c>
      <c r="BZ180" s="5">
        <f>[1]monsters!$D180</f>
        <v>3</v>
      </c>
      <c r="CA180" s="5">
        <f t="shared" si="115"/>
        <v>0.1</v>
      </c>
      <c r="CB180" s="5">
        <f t="shared" si="116"/>
        <v>180.69329292929291</v>
      </c>
      <c r="CC180" s="5">
        <f t="shared" si="117"/>
        <v>18.069329292929293</v>
      </c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>
        <v>0</v>
      </c>
      <c r="CR180" s="3" t="b">
        <f t="shared" si="88"/>
        <v>1</v>
      </c>
      <c r="CS180" s="3" t="b">
        <f t="shared" si="89"/>
        <v>1</v>
      </c>
      <c r="CT180" s="3" t="b">
        <f t="shared" si="90"/>
        <v>1</v>
      </c>
      <c r="CU180" s="3" t="b">
        <f t="shared" si="91"/>
        <v>1</v>
      </c>
      <c r="CV180" s="3" t="b">
        <f t="shared" si="92"/>
        <v>1</v>
      </c>
      <c r="CW180" s="3" t="b">
        <f t="shared" si="93"/>
        <v>1</v>
      </c>
      <c r="CX180" s="9" t="str">
        <f t="shared" si="94"/>
        <v>5202071</v>
      </c>
      <c r="CY180" s="9" t="str">
        <f t="shared" si="95"/>
        <v>5202072</v>
      </c>
      <c r="CZ180" s="9" t="str">
        <f t="shared" si="96"/>
        <v>5200071</v>
      </c>
      <c r="DA180" s="9" t="str">
        <f t="shared" si="97"/>
        <v>5402072</v>
      </c>
      <c r="DB180" s="9" t="str">
        <f t="shared" si="98"/>
        <v>5501075</v>
      </c>
      <c r="DC180" s="9" t="str">
        <f t="shared" si="99"/>
        <v>5400075</v>
      </c>
      <c r="DD180" s="9">
        <v>7</v>
      </c>
      <c r="DE180" s="9">
        <v>7</v>
      </c>
      <c r="DF180" s="9">
        <v>7</v>
      </c>
      <c r="DG180" s="9">
        <v>7</v>
      </c>
      <c r="DH180" s="9">
        <v>7</v>
      </c>
      <c r="DI180" s="9">
        <v>7</v>
      </c>
      <c r="DJ180" s="9">
        <v>5</v>
      </c>
      <c r="DK180" s="9">
        <v>5</v>
      </c>
      <c r="DL180" s="9">
        <v>5</v>
      </c>
      <c r="DM180" s="9">
        <v>5</v>
      </c>
      <c r="DN180" s="9">
        <v>5</v>
      </c>
      <c r="DO180" s="9">
        <v>5</v>
      </c>
      <c r="DP180" s="26" t="s">
        <v>111</v>
      </c>
      <c r="DQ180" s="26" t="s">
        <v>200</v>
      </c>
      <c r="DR180" s="26" t="s">
        <v>194</v>
      </c>
      <c r="DS180" s="26" t="s">
        <v>203</v>
      </c>
      <c r="DT180" s="26" t="s">
        <v>209</v>
      </c>
      <c r="DU180" s="26" t="s">
        <v>210</v>
      </c>
      <c r="DV180" s="26">
        <f t="shared" si="100"/>
        <v>1</v>
      </c>
      <c r="DW180" s="26">
        <f t="shared" si="101"/>
        <v>1</v>
      </c>
      <c r="DX180" s="26">
        <f t="shared" si="102"/>
        <v>1</v>
      </c>
      <c r="DY180" s="26">
        <f t="shared" si="103"/>
        <v>2</v>
      </c>
      <c r="DZ180" s="26">
        <f t="shared" si="104"/>
        <v>2</v>
      </c>
      <c r="EA180" s="3">
        <f t="shared" si="105"/>
        <v>2</v>
      </c>
      <c r="EB180" s="39"/>
      <c r="EC180" s="9">
        <v>5301072</v>
      </c>
      <c r="ED180" s="34" t="s">
        <v>201</v>
      </c>
      <c r="EE180" s="8">
        <v>1</v>
      </c>
    </row>
    <row r="181" spans="1:135" ht="13.5" customHeight="1">
      <c r="A181" s="9">
        <v>178</v>
      </c>
      <c r="B181" s="9">
        <v>1</v>
      </c>
      <c r="C181" s="9">
        <v>2001</v>
      </c>
      <c r="D181" s="9">
        <f t="shared" si="118"/>
        <v>1034842</v>
      </c>
      <c r="E181" s="9" t="str">
        <f t="shared" si="85"/>
        <v>5300075,5202075,5301072,5500072,5400075,5400075</v>
      </c>
      <c r="F181" s="9" t="str">
        <f t="shared" si="86"/>
        <v>7,7,7,7,7,7</v>
      </c>
      <c r="G181" s="9" t="str">
        <f t="shared" si="87"/>
        <v>383,415,415,415,415,415</v>
      </c>
      <c r="H181" s="9">
        <v>111</v>
      </c>
      <c r="I181" s="9" t="s">
        <v>278</v>
      </c>
      <c r="J181" s="9" t="s">
        <v>279</v>
      </c>
      <c r="K181" s="9" t="s">
        <v>279</v>
      </c>
      <c r="L181" s="9" t="s">
        <v>279</v>
      </c>
      <c r="M181" s="9" t="s">
        <v>291</v>
      </c>
      <c r="O181" s="3">
        <f t="shared" si="84"/>
        <v>1034842</v>
      </c>
      <c r="P181" s="9">
        <v>839969.05</v>
      </c>
      <c r="Q181" s="9">
        <v>5300075</v>
      </c>
      <c r="R181" s="9">
        <v>5202075</v>
      </c>
      <c r="S181" s="9">
        <v>5301072</v>
      </c>
      <c r="T181" s="9">
        <v>5500072</v>
      </c>
      <c r="U181" s="9">
        <v>5400075</v>
      </c>
      <c r="V181" s="9">
        <v>5400075</v>
      </c>
      <c r="W181" s="9">
        <v>7</v>
      </c>
      <c r="X181" s="9">
        <v>7</v>
      </c>
      <c r="Y181" s="9">
        <v>7</v>
      </c>
      <c r="Z181" s="9">
        <v>7</v>
      </c>
      <c r="AA181" s="9">
        <v>7</v>
      </c>
      <c r="AB181" s="9">
        <v>7</v>
      </c>
      <c r="AC181" s="9">
        <f t="shared" si="106"/>
        <v>383</v>
      </c>
      <c r="AD181" s="9">
        <f t="shared" si="107"/>
        <v>415</v>
      </c>
      <c r="AE181" s="9">
        <f t="shared" si="108"/>
        <v>415</v>
      </c>
      <c r="AF181" s="9">
        <f t="shared" si="109"/>
        <v>415</v>
      </c>
      <c r="AG181" s="9">
        <f t="shared" si="110"/>
        <v>415</v>
      </c>
      <c r="AH181" s="9">
        <f t="shared" si="111"/>
        <v>415</v>
      </c>
      <c r="AI181" s="7">
        <f t="shared" si="123"/>
        <v>139994.84166666667</v>
      </c>
      <c r="AJ181" s="7">
        <f t="shared" si="120"/>
        <v>139994.84166666667</v>
      </c>
      <c r="AK181" s="7">
        <f t="shared" si="120"/>
        <v>139994.84166666667</v>
      </c>
      <c r="AL181" s="7">
        <f t="shared" si="120"/>
        <v>139994.84166666667</v>
      </c>
      <c r="AM181" s="7">
        <f t="shared" si="120"/>
        <v>139994.84166666667</v>
      </c>
      <c r="AN181" s="7">
        <f t="shared" si="120"/>
        <v>139994.84166666667</v>
      </c>
      <c r="AO181" s="16"/>
      <c r="AP181" s="7"/>
      <c r="AQ181" s="9">
        <v>6</v>
      </c>
      <c r="AR181" s="9">
        <f t="shared" si="112"/>
        <v>399</v>
      </c>
      <c r="AS181" s="7">
        <f t="shared" si="121"/>
        <v>189</v>
      </c>
      <c r="AT181" s="7"/>
      <c r="AU181" s="16"/>
      <c r="AV181" s="7"/>
      <c r="AW181" s="7"/>
      <c r="AX181" s="7"/>
      <c r="AZ181" s="7"/>
      <c r="BA181" s="9">
        <f t="shared" si="122"/>
        <v>115843.19999999987</v>
      </c>
      <c r="BC181" s="5">
        <f t="shared" si="114"/>
        <v>358</v>
      </c>
      <c r="BR181" s="5">
        <v>5302063</v>
      </c>
      <c r="BS181" s="18">
        <f>[1]monsters!$N181</f>
        <v>204.8</v>
      </c>
      <c r="BT181" s="18">
        <f>[1]monsters!$O181</f>
        <v>20.48</v>
      </c>
      <c r="BU181" s="18">
        <f>[1]monsters!$P181</f>
        <v>1600</v>
      </c>
      <c r="BV181" s="18">
        <f>[1]monsters!$Q181</f>
        <v>160</v>
      </c>
      <c r="BW181" s="18">
        <f>[1]monsters!$R181</f>
        <v>29.26</v>
      </c>
      <c r="BX181" s="18">
        <f>[1]monsters!$S181</f>
        <v>2.93</v>
      </c>
      <c r="BY181" s="18">
        <f>[1]monsters!$K181</f>
        <v>1.6</v>
      </c>
      <c r="BZ181" s="5">
        <f>[1]monsters!$D181</f>
        <v>4</v>
      </c>
      <c r="CA181" s="5">
        <f t="shared" si="115"/>
        <v>0.1</v>
      </c>
      <c r="CB181" s="5">
        <f t="shared" si="116"/>
        <v>247.4080538720539</v>
      </c>
      <c r="CC181" s="5">
        <f t="shared" si="117"/>
        <v>24.740805387205391</v>
      </c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>
        <v>0</v>
      </c>
      <c r="CR181" s="3" t="b">
        <f t="shared" si="88"/>
        <v>1</v>
      </c>
      <c r="CS181" s="3" t="b">
        <f t="shared" si="89"/>
        <v>1</v>
      </c>
      <c r="CT181" s="3" t="b">
        <f t="shared" si="90"/>
        <v>1</v>
      </c>
      <c r="CU181" s="3" t="b">
        <f t="shared" si="91"/>
        <v>1</v>
      </c>
      <c r="CV181" s="3" t="b">
        <f t="shared" si="92"/>
        <v>1</v>
      </c>
      <c r="CW181" s="3" t="b">
        <f t="shared" si="93"/>
        <v>1</v>
      </c>
      <c r="CX181" s="9" t="str">
        <f t="shared" si="94"/>
        <v>5300075</v>
      </c>
      <c r="CY181" s="9" t="str">
        <f t="shared" si="95"/>
        <v>5202075</v>
      </c>
      <c r="CZ181" s="9" t="str">
        <f t="shared" si="96"/>
        <v>5301072</v>
      </c>
      <c r="DA181" s="9" t="str">
        <f t="shared" si="97"/>
        <v>5500072</v>
      </c>
      <c r="DB181" s="9" t="str">
        <f t="shared" si="98"/>
        <v>5400075</v>
      </c>
      <c r="DC181" s="9" t="str">
        <f t="shared" si="99"/>
        <v>5400075</v>
      </c>
      <c r="DD181" s="9">
        <v>7</v>
      </c>
      <c r="DE181" s="9">
        <v>7</v>
      </c>
      <c r="DF181" s="9">
        <v>7</v>
      </c>
      <c r="DG181" s="9">
        <v>7</v>
      </c>
      <c r="DH181" s="9">
        <v>7</v>
      </c>
      <c r="DI181" s="9">
        <v>7</v>
      </c>
      <c r="DJ181" s="9">
        <v>5</v>
      </c>
      <c r="DK181" s="9">
        <v>5</v>
      </c>
      <c r="DL181" s="9">
        <v>5</v>
      </c>
      <c r="DM181" s="9">
        <v>5</v>
      </c>
      <c r="DN181" s="9">
        <v>5</v>
      </c>
      <c r="DO181" s="9">
        <v>5</v>
      </c>
      <c r="DP181" s="25" t="s">
        <v>212</v>
      </c>
      <c r="DQ181" s="25" t="s">
        <v>213</v>
      </c>
      <c r="DR181" s="26" t="s">
        <v>201</v>
      </c>
      <c r="DS181" s="26" t="s">
        <v>109</v>
      </c>
      <c r="DT181" s="25" t="s">
        <v>210</v>
      </c>
      <c r="DU181" s="25" t="s">
        <v>210</v>
      </c>
      <c r="DV181" s="25">
        <f t="shared" si="100"/>
        <v>1</v>
      </c>
      <c r="DW181" s="25">
        <f t="shared" si="101"/>
        <v>1</v>
      </c>
      <c r="DX181" s="25">
        <f t="shared" si="102"/>
        <v>1</v>
      </c>
      <c r="DY181" s="25">
        <f t="shared" si="103"/>
        <v>2</v>
      </c>
      <c r="DZ181" s="25">
        <f t="shared" si="104"/>
        <v>2</v>
      </c>
      <c r="EA181" s="3">
        <f t="shared" si="105"/>
        <v>2</v>
      </c>
      <c r="EB181" s="39"/>
      <c r="EC181" s="9">
        <v>5401072</v>
      </c>
      <c r="ED181" s="34" t="s">
        <v>202</v>
      </c>
      <c r="EE181" s="8">
        <v>2</v>
      </c>
    </row>
    <row r="182" spans="1:135" ht="13.5" customHeight="1">
      <c r="A182" s="9">
        <v>179</v>
      </c>
      <c r="B182" s="9">
        <v>1</v>
      </c>
      <c r="C182" s="9">
        <v>2001</v>
      </c>
      <c r="D182" s="9">
        <f t="shared" si="118"/>
        <v>1079139</v>
      </c>
      <c r="E182" s="9" t="str">
        <f t="shared" si="85"/>
        <v>5202073,5202072,5202073,5501074,5500073,5501074</v>
      </c>
      <c r="F182" s="9" t="str">
        <f t="shared" si="86"/>
        <v>7,7,7,7,7,7</v>
      </c>
      <c r="G182" s="9" t="str">
        <f t="shared" si="87"/>
        <v>392,424,424,424,424,424</v>
      </c>
      <c r="H182" s="9">
        <v>111</v>
      </c>
      <c r="I182" s="9" t="s">
        <v>278</v>
      </c>
      <c r="J182" s="9" t="s">
        <v>279</v>
      </c>
      <c r="K182" s="9" t="s">
        <v>279</v>
      </c>
      <c r="L182" s="9" t="s">
        <v>279</v>
      </c>
      <c r="M182" s="9" t="s">
        <v>291</v>
      </c>
      <c r="O182" s="3">
        <f t="shared" si="84"/>
        <v>1079139</v>
      </c>
      <c r="P182" s="9">
        <v>875924.37</v>
      </c>
      <c r="Q182" s="9">
        <v>5202073</v>
      </c>
      <c r="R182" s="9">
        <v>5202072</v>
      </c>
      <c r="S182" s="9">
        <v>5202073</v>
      </c>
      <c r="T182" s="9">
        <v>5501074</v>
      </c>
      <c r="U182" s="9">
        <v>5500073</v>
      </c>
      <c r="V182" s="9">
        <v>5501074</v>
      </c>
      <c r="W182" s="9">
        <v>7</v>
      </c>
      <c r="X182" s="9">
        <v>7</v>
      </c>
      <c r="Y182" s="9">
        <v>7</v>
      </c>
      <c r="Z182" s="9">
        <v>7</v>
      </c>
      <c r="AA182" s="9">
        <v>7</v>
      </c>
      <c r="AB182" s="9">
        <v>7</v>
      </c>
      <c r="AC182" s="9">
        <f t="shared" si="106"/>
        <v>392</v>
      </c>
      <c r="AD182" s="9">
        <f t="shared" si="107"/>
        <v>424</v>
      </c>
      <c r="AE182" s="9">
        <f t="shared" si="108"/>
        <v>424</v>
      </c>
      <c r="AF182" s="9">
        <f t="shared" si="109"/>
        <v>424</v>
      </c>
      <c r="AG182" s="9">
        <f t="shared" si="110"/>
        <v>424</v>
      </c>
      <c r="AH182" s="9">
        <f t="shared" si="111"/>
        <v>424</v>
      </c>
      <c r="AI182" s="7">
        <f t="shared" si="123"/>
        <v>145987.39499999999</v>
      </c>
      <c r="AJ182" s="7">
        <f t="shared" si="120"/>
        <v>145987.39499999999</v>
      </c>
      <c r="AK182" s="7">
        <f t="shared" si="120"/>
        <v>145987.39499999999</v>
      </c>
      <c r="AL182" s="7">
        <f t="shared" si="120"/>
        <v>145987.39499999999</v>
      </c>
      <c r="AM182" s="7">
        <f t="shared" si="120"/>
        <v>145987.39499999999</v>
      </c>
      <c r="AN182" s="7">
        <f t="shared" si="120"/>
        <v>145987.39499999999</v>
      </c>
      <c r="AO182" s="16"/>
      <c r="AP182" s="7"/>
      <c r="AQ182" s="9">
        <v>6</v>
      </c>
      <c r="AR182" s="9">
        <f t="shared" si="112"/>
        <v>407</v>
      </c>
      <c r="AS182" s="7">
        <f t="shared" si="121"/>
        <v>189</v>
      </c>
      <c r="AT182" s="7"/>
      <c r="AU182" s="16"/>
      <c r="AV182" s="7"/>
      <c r="AW182" s="7"/>
      <c r="AX182" s="7"/>
      <c r="AZ182" s="7"/>
      <c r="BA182" s="9">
        <f t="shared" si="122"/>
        <v>117934.34999999986</v>
      </c>
      <c r="BC182" s="5">
        <f t="shared" si="114"/>
        <v>366</v>
      </c>
      <c r="BR182" s="5">
        <v>5301063</v>
      </c>
      <c r="BS182" s="18">
        <f>[1]monsters!$N182</f>
        <v>192</v>
      </c>
      <c r="BT182" s="18">
        <f>[1]monsters!$O182</f>
        <v>19.2</v>
      </c>
      <c r="BU182" s="18">
        <f>[1]monsters!$P182</f>
        <v>1600</v>
      </c>
      <c r="BV182" s="18">
        <f>[1]monsters!$Q182</f>
        <v>160</v>
      </c>
      <c r="BW182" s="18">
        <f>[1]monsters!$R182</f>
        <v>27.43</v>
      </c>
      <c r="BX182" s="18">
        <f>[1]monsters!$S182</f>
        <v>2.74</v>
      </c>
      <c r="BY182" s="18">
        <f>[1]monsters!$K182</f>
        <v>1.5</v>
      </c>
      <c r="BZ182" s="5">
        <f>[1]monsters!$D182</f>
        <v>4</v>
      </c>
      <c r="CA182" s="5">
        <f t="shared" si="115"/>
        <v>0.1</v>
      </c>
      <c r="CB182" s="5">
        <f t="shared" si="116"/>
        <v>235.31205387205389</v>
      </c>
      <c r="CC182" s="5">
        <f t="shared" si="117"/>
        <v>23.531205387205389</v>
      </c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>
        <v>0</v>
      </c>
      <c r="CR182" s="3" t="b">
        <f t="shared" si="88"/>
        <v>1</v>
      </c>
      <c r="CS182" s="3" t="b">
        <f t="shared" si="89"/>
        <v>1</v>
      </c>
      <c r="CT182" s="3" t="b">
        <f t="shared" si="90"/>
        <v>1</v>
      </c>
      <c r="CU182" s="3" t="b">
        <f t="shared" si="91"/>
        <v>1</v>
      </c>
      <c r="CV182" s="3" t="b">
        <f t="shared" si="92"/>
        <v>1</v>
      </c>
      <c r="CW182" s="3" t="b">
        <f t="shared" si="93"/>
        <v>1</v>
      </c>
      <c r="CX182" s="9" t="str">
        <f t="shared" si="94"/>
        <v>5202073</v>
      </c>
      <c r="CY182" s="9" t="str">
        <f t="shared" si="95"/>
        <v>5202072</v>
      </c>
      <c r="CZ182" s="9" t="str">
        <f t="shared" si="96"/>
        <v>5202073</v>
      </c>
      <c r="DA182" s="9" t="str">
        <f t="shared" si="97"/>
        <v>5501074</v>
      </c>
      <c r="DB182" s="9" t="str">
        <f t="shared" si="98"/>
        <v>5500073</v>
      </c>
      <c r="DC182" s="9" t="str">
        <f t="shared" si="99"/>
        <v>5501074</v>
      </c>
      <c r="DD182" s="9">
        <v>7</v>
      </c>
      <c r="DE182" s="9">
        <v>7</v>
      </c>
      <c r="DF182" s="9">
        <v>7</v>
      </c>
      <c r="DG182" s="9">
        <v>7</v>
      </c>
      <c r="DH182" s="9">
        <v>7</v>
      </c>
      <c r="DI182" s="9">
        <v>7</v>
      </c>
      <c r="DJ182" s="9">
        <v>5</v>
      </c>
      <c r="DK182" s="9">
        <v>5</v>
      </c>
      <c r="DL182" s="9">
        <v>5</v>
      </c>
      <c r="DM182" s="9">
        <v>5</v>
      </c>
      <c r="DN182" s="9">
        <v>5</v>
      </c>
      <c r="DO182" s="9">
        <v>5</v>
      </c>
      <c r="DP182" s="25" t="s">
        <v>208</v>
      </c>
      <c r="DQ182" s="25" t="s">
        <v>200</v>
      </c>
      <c r="DR182" s="25" t="s">
        <v>208</v>
      </c>
      <c r="DS182" s="26" t="s">
        <v>214</v>
      </c>
      <c r="DT182" s="26" t="s">
        <v>207</v>
      </c>
      <c r="DU182" s="26" t="s">
        <v>214</v>
      </c>
      <c r="DV182" s="26">
        <f t="shared" si="100"/>
        <v>1</v>
      </c>
      <c r="DW182" s="26">
        <f t="shared" si="101"/>
        <v>1</v>
      </c>
      <c r="DX182" s="26">
        <f t="shared" si="102"/>
        <v>1</v>
      </c>
      <c r="DY182" s="26">
        <f t="shared" si="103"/>
        <v>2</v>
      </c>
      <c r="DZ182" s="26">
        <f t="shared" si="104"/>
        <v>2</v>
      </c>
      <c r="EA182" s="3">
        <f t="shared" si="105"/>
        <v>2</v>
      </c>
      <c r="EB182" s="39"/>
      <c r="EC182" s="9">
        <v>5402072</v>
      </c>
      <c r="ED182" s="34" t="s">
        <v>203</v>
      </c>
      <c r="EE182" s="8">
        <v>2</v>
      </c>
    </row>
    <row r="183" spans="1:135" ht="13.5" customHeight="1">
      <c r="A183" s="9">
        <v>180</v>
      </c>
      <c r="B183" s="9">
        <v>1</v>
      </c>
      <c r="C183" s="9">
        <v>2001</v>
      </c>
      <c r="D183" s="9">
        <f t="shared" si="118"/>
        <v>1123968</v>
      </c>
      <c r="E183" s="9" t="str">
        <f t="shared" si="85"/>
        <v>5202073,5202073,5202073,5601073,5500073,5500073</v>
      </c>
      <c r="F183" s="9" t="str">
        <f t="shared" si="86"/>
        <v>7,7,7,7,7,7</v>
      </c>
      <c r="G183" s="9" t="str">
        <f t="shared" si="87"/>
        <v>400,433,433,433,433,433</v>
      </c>
      <c r="H183" s="9">
        <v>112</v>
      </c>
      <c r="I183" s="9" t="s">
        <v>278</v>
      </c>
      <c r="J183" s="9" t="s">
        <v>279</v>
      </c>
      <c r="K183" s="9" t="s">
        <v>279</v>
      </c>
      <c r="L183" s="9" t="s">
        <v>279</v>
      </c>
      <c r="M183" s="9" t="s">
        <v>291</v>
      </c>
      <c r="O183" s="3">
        <f t="shared" si="84"/>
        <v>1123968</v>
      </c>
      <c r="P183" s="9">
        <v>912311.52</v>
      </c>
      <c r="Q183" s="9">
        <v>5202073</v>
      </c>
      <c r="R183" s="9">
        <v>5202073</v>
      </c>
      <c r="S183" s="9">
        <v>5202073</v>
      </c>
      <c r="T183" s="9">
        <v>5601073</v>
      </c>
      <c r="U183" s="9">
        <v>5500073</v>
      </c>
      <c r="V183" s="9">
        <v>5500073</v>
      </c>
      <c r="W183" s="9">
        <v>7</v>
      </c>
      <c r="X183" s="9">
        <v>7</v>
      </c>
      <c r="Y183" s="9">
        <v>7</v>
      </c>
      <c r="Z183" s="9">
        <v>7</v>
      </c>
      <c r="AA183" s="9">
        <v>7</v>
      </c>
      <c r="AB183" s="9">
        <v>7</v>
      </c>
      <c r="AC183" s="9">
        <f t="shared" si="106"/>
        <v>400</v>
      </c>
      <c r="AD183" s="9">
        <f t="shared" si="107"/>
        <v>433</v>
      </c>
      <c r="AE183" s="9">
        <f t="shared" si="108"/>
        <v>433</v>
      </c>
      <c r="AF183" s="9">
        <f t="shared" si="109"/>
        <v>433</v>
      </c>
      <c r="AG183" s="9">
        <f t="shared" si="110"/>
        <v>433</v>
      </c>
      <c r="AH183" s="9">
        <f t="shared" si="111"/>
        <v>433</v>
      </c>
      <c r="AI183" s="7">
        <f t="shared" si="123"/>
        <v>152051.92000000001</v>
      </c>
      <c r="AJ183" s="7">
        <f t="shared" si="120"/>
        <v>152051.92000000001</v>
      </c>
      <c r="AK183" s="7">
        <f t="shared" si="120"/>
        <v>152051.92000000001</v>
      </c>
      <c r="AL183" s="7">
        <f t="shared" si="120"/>
        <v>152051.92000000001</v>
      </c>
      <c r="AM183" s="7">
        <f t="shared" si="120"/>
        <v>152051.92000000001</v>
      </c>
      <c r="AN183" s="7">
        <f t="shared" si="120"/>
        <v>152051.92000000001</v>
      </c>
      <c r="AO183" s="16"/>
      <c r="AP183" s="7"/>
      <c r="AQ183" s="9">
        <v>6</v>
      </c>
      <c r="AR183" s="9">
        <f t="shared" si="112"/>
        <v>416</v>
      </c>
      <c r="AS183" s="7">
        <f t="shared" si="121"/>
        <v>190</v>
      </c>
      <c r="AT183" s="7"/>
      <c r="AU183" s="16"/>
      <c r="AV183" s="7"/>
      <c r="AW183" s="7"/>
      <c r="AX183" s="7"/>
      <c r="AZ183" s="7"/>
      <c r="BA183" s="9">
        <f t="shared" si="122"/>
        <v>120025.49999999985</v>
      </c>
      <c r="BC183" s="5">
        <f t="shared" si="114"/>
        <v>373</v>
      </c>
      <c r="BR183" s="5">
        <v>5400063</v>
      </c>
      <c r="BS183" s="18">
        <f>[1]monsters!$N183</f>
        <v>224</v>
      </c>
      <c r="BT183" s="18">
        <f>[1]monsters!$O183</f>
        <v>22.4</v>
      </c>
      <c r="BU183" s="18">
        <f>[1]monsters!$P183</f>
        <v>1371.43</v>
      </c>
      <c r="BV183" s="18">
        <f>[1]monsters!$Q183</f>
        <v>137.13999999999999</v>
      </c>
      <c r="BW183" s="18">
        <f>[1]monsters!$R183</f>
        <v>28</v>
      </c>
      <c r="BX183" s="18">
        <f>[1]monsters!$S183</f>
        <v>2.8</v>
      </c>
      <c r="BY183" s="18">
        <f>[1]monsters!$K183</f>
        <v>1.5</v>
      </c>
      <c r="BZ183" s="5">
        <f>[1]monsters!$D183</f>
        <v>5</v>
      </c>
      <c r="CA183" s="5">
        <f t="shared" si="115"/>
        <v>0.1</v>
      </c>
      <c r="CB183" s="5">
        <f t="shared" si="116"/>
        <v>257.85609427609427</v>
      </c>
      <c r="CC183" s="5">
        <f t="shared" si="117"/>
        <v>25.78560942760943</v>
      </c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>
        <v>1</v>
      </c>
      <c r="CR183" s="3" t="b">
        <f t="shared" si="88"/>
        <v>1</v>
      </c>
      <c r="CS183" s="3" t="b">
        <f t="shared" si="89"/>
        <v>1</v>
      </c>
      <c r="CT183" s="3" t="b">
        <f t="shared" si="90"/>
        <v>1</v>
      </c>
      <c r="CU183" s="3" t="b">
        <f t="shared" si="91"/>
        <v>1</v>
      </c>
      <c r="CV183" s="3" t="b">
        <f t="shared" si="92"/>
        <v>1</v>
      </c>
      <c r="CW183" s="3" t="b">
        <f t="shared" si="93"/>
        <v>1</v>
      </c>
      <c r="CX183" s="9" t="str">
        <f t="shared" si="94"/>
        <v>5202073</v>
      </c>
      <c r="CY183" s="9" t="str">
        <f t="shared" si="95"/>
        <v>5202073</v>
      </c>
      <c r="CZ183" s="9" t="str">
        <f t="shared" si="96"/>
        <v>5202073</v>
      </c>
      <c r="DA183" s="9" t="str">
        <f t="shared" si="97"/>
        <v>5601073</v>
      </c>
      <c r="DB183" s="9" t="str">
        <f t="shared" si="98"/>
        <v>5500073</v>
      </c>
      <c r="DC183" s="9" t="str">
        <f t="shared" si="99"/>
        <v>5500073</v>
      </c>
      <c r="DD183" s="9">
        <v>7</v>
      </c>
      <c r="DE183" s="9">
        <v>7</v>
      </c>
      <c r="DF183" s="9">
        <v>7</v>
      </c>
      <c r="DG183" s="9">
        <v>7</v>
      </c>
      <c r="DH183" s="9">
        <v>7</v>
      </c>
      <c r="DI183" s="9">
        <v>7</v>
      </c>
      <c r="DJ183" s="9">
        <v>5</v>
      </c>
      <c r="DK183" s="9">
        <v>5</v>
      </c>
      <c r="DL183" s="9">
        <v>5</v>
      </c>
      <c r="DM183" s="9">
        <v>5</v>
      </c>
      <c r="DN183" s="9">
        <v>5</v>
      </c>
      <c r="DO183" s="9">
        <v>5</v>
      </c>
      <c r="DP183" s="25" t="s">
        <v>208</v>
      </c>
      <c r="DQ183" s="25" t="s">
        <v>208</v>
      </c>
      <c r="DR183" s="25" t="s">
        <v>208</v>
      </c>
      <c r="DS183" s="25" t="s">
        <v>216</v>
      </c>
      <c r="DT183" s="26" t="s">
        <v>207</v>
      </c>
      <c r="DU183" s="26" t="s">
        <v>207</v>
      </c>
      <c r="DV183" s="26">
        <f t="shared" si="100"/>
        <v>1</v>
      </c>
      <c r="DW183" s="26">
        <f t="shared" si="101"/>
        <v>1</v>
      </c>
      <c r="DX183" s="26">
        <f t="shared" si="102"/>
        <v>1</v>
      </c>
      <c r="DY183" s="26">
        <f t="shared" si="103"/>
        <v>2</v>
      </c>
      <c r="DZ183" s="26">
        <f t="shared" si="104"/>
        <v>2</v>
      </c>
      <c r="EA183" s="3">
        <f t="shared" si="105"/>
        <v>2</v>
      </c>
      <c r="EB183" s="39"/>
      <c r="EC183" s="9">
        <v>5500072</v>
      </c>
      <c r="ED183" s="34" t="s">
        <v>109</v>
      </c>
      <c r="EE183" s="8">
        <v>2</v>
      </c>
    </row>
    <row r="184" spans="1:135" ht="13.5" customHeight="1">
      <c r="A184" s="9">
        <v>181</v>
      </c>
      <c r="B184" s="9">
        <v>1</v>
      </c>
      <c r="C184" s="9">
        <v>2001</v>
      </c>
      <c r="D184" s="9">
        <f t="shared" si="118"/>
        <v>1130656</v>
      </c>
      <c r="E184" s="9" t="str">
        <f t="shared" si="85"/>
        <v>5201073,5200073,5202075,5402073,5502072,5502071</v>
      </c>
      <c r="F184" s="9" t="str">
        <f t="shared" si="86"/>
        <v>7,7,7,7,7,7</v>
      </c>
      <c r="G184" s="9" t="str">
        <f t="shared" si="87"/>
        <v>401,434,434,434,434,434</v>
      </c>
      <c r="H184" s="9">
        <v>112</v>
      </c>
      <c r="I184" s="9" t="s">
        <v>278</v>
      </c>
      <c r="J184" s="9" t="s">
        <v>279</v>
      </c>
      <c r="K184" s="9" t="s">
        <v>279</v>
      </c>
      <c r="L184" s="9" t="s">
        <v>279</v>
      </c>
      <c r="M184" s="9" t="s">
        <v>292</v>
      </c>
      <c r="O184" s="3">
        <f t="shared" si="84"/>
        <v>1130656</v>
      </c>
      <c r="P184" s="9">
        <v>917740.24</v>
      </c>
      <c r="Q184" s="9">
        <v>5201073</v>
      </c>
      <c r="R184" s="9">
        <v>5200073</v>
      </c>
      <c r="S184" s="9">
        <v>5202075</v>
      </c>
      <c r="T184" s="9">
        <v>5402073</v>
      </c>
      <c r="U184" s="9">
        <v>5502072</v>
      </c>
      <c r="V184" s="9">
        <v>5502071</v>
      </c>
      <c r="W184" s="9">
        <v>7</v>
      </c>
      <c r="X184" s="9">
        <v>7</v>
      </c>
      <c r="Y184" s="9">
        <v>7</v>
      </c>
      <c r="Z184" s="9">
        <v>7</v>
      </c>
      <c r="AA184" s="9">
        <v>7</v>
      </c>
      <c r="AB184" s="9">
        <v>7</v>
      </c>
      <c r="AC184" s="9">
        <f t="shared" si="106"/>
        <v>401</v>
      </c>
      <c r="AD184" s="9">
        <f t="shared" si="107"/>
        <v>434</v>
      </c>
      <c r="AE184" s="9">
        <f t="shared" si="108"/>
        <v>434</v>
      </c>
      <c r="AF184" s="9">
        <f t="shared" si="109"/>
        <v>434</v>
      </c>
      <c r="AG184" s="9">
        <f t="shared" si="110"/>
        <v>434</v>
      </c>
      <c r="AH184" s="9">
        <f t="shared" si="111"/>
        <v>434</v>
      </c>
      <c r="AI184" s="7">
        <f t="shared" si="123"/>
        <v>152956.70666666667</v>
      </c>
      <c r="AJ184" s="7">
        <f t="shared" si="120"/>
        <v>152956.70666666667</v>
      </c>
      <c r="AK184" s="7">
        <f t="shared" si="120"/>
        <v>152956.70666666667</v>
      </c>
      <c r="AL184" s="7">
        <f t="shared" si="120"/>
        <v>152956.70666666667</v>
      </c>
      <c r="AM184" s="7">
        <f t="shared" si="120"/>
        <v>152956.70666666667</v>
      </c>
      <c r="AN184" s="7">
        <f t="shared" si="120"/>
        <v>152956.70666666667</v>
      </c>
      <c r="AO184" s="16"/>
      <c r="AP184" s="7"/>
      <c r="AQ184" s="9">
        <v>6</v>
      </c>
      <c r="AR184" s="9">
        <f t="shared" si="112"/>
        <v>417</v>
      </c>
      <c r="AS184" s="7">
        <f t="shared" si="121"/>
        <v>190</v>
      </c>
      <c r="AT184" s="7"/>
      <c r="AU184" s="16"/>
      <c r="AV184" s="7"/>
      <c r="AW184" s="7"/>
      <c r="AX184" s="7"/>
      <c r="AZ184" s="7"/>
      <c r="BA184" s="9">
        <f t="shared" si="122"/>
        <v>122116.64999999985</v>
      </c>
      <c r="BC184" s="5">
        <f t="shared" si="114"/>
        <v>374</v>
      </c>
      <c r="BR184" s="5">
        <v>5401063</v>
      </c>
      <c r="BS184" s="18">
        <f>[1]monsters!$N184</f>
        <v>209.07</v>
      </c>
      <c r="BT184" s="18">
        <f>[1]monsters!$O184</f>
        <v>20.91</v>
      </c>
      <c r="BU184" s="18">
        <f>[1]monsters!$P184</f>
        <v>1371.43</v>
      </c>
      <c r="BV184" s="18">
        <f>[1]monsters!$Q184</f>
        <v>137.13999999999999</v>
      </c>
      <c r="BW184" s="18">
        <f>[1]monsters!$R184</f>
        <v>26.13</v>
      </c>
      <c r="BX184" s="18">
        <f>[1]monsters!$S184</f>
        <v>2.61</v>
      </c>
      <c r="BY184" s="18">
        <f>[1]monsters!$K184</f>
        <v>1.4</v>
      </c>
      <c r="BZ184" s="5">
        <f>[1]monsters!$D184</f>
        <v>5</v>
      </c>
      <c r="CA184" s="5">
        <f t="shared" si="115"/>
        <v>0.1</v>
      </c>
      <c r="CB184" s="5">
        <f t="shared" si="116"/>
        <v>243.74724427609431</v>
      </c>
      <c r="CC184" s="5">
        <f t="shared" si="117"/>
        <v>24.374724427609433</v>
      </c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>
        <v>0</v>
      </c>
      <c r="CR184" s="3" t="b">
        <f t="shared" si="88"/>
        <v>1</v>
      </c>
      <c r="CS184" s="3" t="b">
        <f t="shared" si="89"/>
        <v>1</v>
      </c>
      <c r="CT184" s="3" t="b">
        <f t="shared" si="90"/>
        <v>1</v>
      </c>
      <c r="CU184" s="3" t="b">
        <f t="shared" si="91"/>
        <v>1</v>
      </c>
      <c r="CV184" s="3" t="b">
        <f t="shared" si="92"/>
        <v>1</v>
      </c>
      <c r="CW184" s="3" t="b">
        <f t="shared" si="93"/>
        <v>1</v>
      </c>
      <c r="CX184" s="9" t="str">
        <f t="shared" si="94"/>
        <v>5201073</v>
      </c>
      <c r="CY184" s="9" t="str">
        <f t="shared" si="95"/>
        <v>5200073</v>
      </c>
      <c r="CZ184" s="9" t="str">
        <f t="shared" si="96"/>
        <v>5202075</v>
      </c>
      <c r="DA184" s="9" t="str">
        <f t="shared" si="97"/>
        <v>5402073</v>
      </c>
      <c r="DB184" s="9" t="str">
        <f t="shared" si="98"/>
        <v>5502072</v>
      </c>
      <c r="DC184" s="9" t="str">
        <f t="shared" si="99"/>
        <v>5502071</v>
      </c>
      <c r="DD184" s="9">
        <v>7</v>
      </c>
      <c r="DE184" s="9">
        <v>7</v>
      </c>
      <c r="DF184" s="9">
        <v>7</v>
      </c>
      <c r="DG184" s="9">
        <v>7</v>
      </c>
      <c r="DH184" s="9">
        <v>7</v>
      </c>
      <c r="DI184" s="9">
        <v>7</v>
      </c>
      <c r="DJ184" s="9">
        <v>5</v>
      </c>
      <c r="DK184" s="9">
        <v>5</v>
      </c>
      <c r="DL184" s="9">
        <v>5</v>
      </c>
      <c r="DM184" s="9">
        <v>5</v>
      </c>
      <c r="DN184" s="9">
        <v>5</v>
      </c>
      <c r="DO184" s="9">
        <v>5</v>
      </c>
      <c r="DP184" s="25" t="s">
        <v>205</v>
      </c>
      <c r="DQ184" s="25" t="s">
        <v>113</v>
      </c>
      <c r="DR184" s="25" t="s">
        <v>213</v>
      </c>
      <c r="DS184" s="26" t="s">
        <v>118</v>
      </c>
      <c r="DT184" s="26" t="s">
        <v>204</v>
      </c>
      <c r="DU184" s="26" t="s">
        <v>119</v>
      </c>
      <c r="DV184" s="26">
        <f t="shared" si="100"/>
        <v>1</v>
      </c>
      <c r="DW184" s="26">
        <f t="shared" si="101"/>
        <v>1</v>
      </c>
      <c r="DX184" s="26">
        <f t="shared" si="102"/>
        <v>1</v>
      </c>
      <c r="DY184" s="26">
        <f t="shared" si="103"/>
        <v>2</v>
      </c>
      <c r="DZ184" s="26">
        <f t="shared" si="104"/>
        <v>2</v>
      </c>
      <c r="EA184" s="3">
        <f t="shared" si="105"/>
        <v>2</v>
      </c>
      <c r="EB184" s="39"/>
      <c r="EC184" s="9">
        <v>5502072</v>
      </c>
      <c r="ED184" s="34" t="s">
        <v>204</v>
      </c>
      <c r="EE184" s="8">
        <v>2</v>
      </c>
    </row>
    <row r="185" spans="1:135" ht="13.5" customHeight="1">
      <c r="A185" s="9">
        <v>182</v>
      </c>
      <c r="B185" s="9">
        <v>1</v>
      </c>
      <c r="C185" s="9">
        <v>2001</v>
      </c>
      <c r="D185" s="9">
        <f t="shared" si="118"/>
        <v>1137364</v>
      </c>
      <c r="E185" s="9" t="str">
        <f t="shared" si="85"/>
        <v>5302075,5202075,5202075,5502072,5500072,5502071</v>
      </c>
      <c r="F185" s="9" t="str">
        <f t="shared" si="86"/>
        <v>7,7,7,7,7,7</v>
      </c>
      <c r="G185" s="9" t="str">
        <f t="shared" si="87"/>
        <v>402,435,435,435,435,435</v>
      </c>
      <c r="H185" s="9">
        <v>112</v>
      </c>
      <c r="I185" s="9" t="s">
        <v>278</v>
      </c>
      <c r="J185" s="9" t="s">
        <v>279</v>
      </c>
      <c r="K185" s="9" t="s">
        <v>279</v>
      </c>
      <c r="L185" s="9" t="s">
        <v>279</v>
      </c>
      <c r="M185" s="9" t="s">
        <v>292</v>
      </c>
      <c r="O185" s="3">
        <f t="shared" si="84"/>
        <v>1137364</v>
      </c>
      <c r="P185" s="9">
        <v>923184.88</v>
      </c>
      <c r="Q185" s="9">
        <v>5302075</v>
      </c>
      <c r="R185" s="9">
        <v>5202075</v>
      </c>
      <c r="S185" s="9">
        <v>5202075</v>
      </c>
      <c r="T185" s="9">
        <v>5502072</v>
      </c>
      <c r="U185" s="9">
        <v>5500072</v>
      </c>
      <c r="V185" s="9">
        <v>5502071</v>
      </c>
      <c r="W185" s="9">
        <v>7</v>
      </c>
      <c r="X185" s="9">
        <v>7</v>
      </c>
      <c r="Y185" s="9">
        <v>7</v>
      </c>
      <c r="Z185" s="9">
        <v>7</v>
      </c>
      <c r="AA185" s="9">
        <v>7</v>
      </c>
      <c r="AB185" s="9">
        <v>7</v>
      </c>
      <c r="AC185" s="9">
        <f t="shared" si="106"/>
        <v>402</v>
      </c>
      <c r="AD185" s="9">
        <f t="shared" si="107"/>
        <v>435</v>
      </c>
      <c r="AE185" s="9">
        <f t="shared" si="108"/>
        <v>435</v>
      </c>
      <c r="AF185" s="9">
        <f t="shared" si="109"/>
        <v>435</v>
      </c>
      <c r="AG185" s="9">
        <f t="shared" si="110"/>
        <v>435</v>
      </c>
      <c r="AH185" s="9">
        <f t="shared" si="111"/>
        <v>435</v>
      </c>
      <c r="AI185" s="7">
        <f t="shared" si="123"/>
        <v>153864.14666666667</v>
      </c>
      <c r="AJ185" s="7">
        <f t="shared" si="120"/>
        <v>153864.14666666667</v>
      </c>
      <c r="AK185" s="7">
        <f t="shared" si="120"/>
        <v>153864.14666666667</v>
      </c>
      <c r="AL185" s="7">
        <f t="shared" si="120"/>
        <v>153864.14666666667</v>
      </c>
      <c r="AM185" s="7">
        <f t="shared" si="120"/>
        <v>153864.14666666667</v>
      </c>
      <c r="AN185" s="7">
        <f t="shared" si="120"/>
        <v>153864.14666666667</v>
      </c>
      <c r="AO185" s="16"/>
      <c r="AP185" s="7"/>
      <c r="AQ185" s="9">
        <v>6</v>
      </c>
      <c r="AR185" s="9">
        <f t="shared" si="112"/>
        <v>418</v>
      </c>
      <c r="AS185" s="7">
        <f t="shared" si="121"/>
        <v>191</v>
      </c>
      <c r="AT185" s="7"/>
      <c r="AU185" s="16"/>
      <c r="AV185" s="7"/>
      <c r="AW185" s="7"/>
      <c r="AX185" s="7"/>
      <c r="AZ185" s="7"/>
      <c r="BA185" s="9">
        <f t="shared" si="122"/>
        <v>124207.79999999984</v>
      </c>
      <c r="BC185" s="5">
        <f t="shared" si="114"/>
        <v>376</v>
      </c>
      <c r="BR185" s="5">
        <v>5501063</v>
      </c>
      <c r="BS185" s="18">
        <f>[1]monsters!$N185</f>
        <v>248</v>
      </c>
      <c r="BT185" s="18">
        <f>[1]monsters!$O185</f>
        <v>24.8</v>
      </c>
      <c r="BU185" s="18">
        <f>[1]monsters!$P185</f>
        <v>1238.71</v>
      </c>
      <c r="BV185" s="18">
        <f>[1]monsters!$Q185</f>
        <v>123.87</v>
      </c>
      <c r="BW185" s="18">
        <f>[1]monsters!$R185</f>
        <v>24.8</v>
      </c>
      <c r="BX185" s="18">
        <f>[1]monsters!$S185</f>
        <v>2.48</v>
      </c>
      <c r="BY185" s="18">
        <f>[1]monsters!$K185</f>
        <v>1.5</v>
      </c>
      <c r="BZ185" s="5">
        <f>[1]monsters!$D185</f>
        <v>6</v>
      </c>
      <c r="CA185" s="5">
        <f t="shared" si="115"/>
        <v>0.1</v>
      </c>
      <c r="CB185" s="5">
        <f t="shared" si="116"/>
        <v>276.06740740740747</v>
      </c>
      <c r="CC185" s="5">
        <f t="shared" si="117"/>
        <v>27.606740740740747</v>
      </c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>
        <v>0</v>
      </c>
      <c r="CR185" s="3" t="b">
        <f t="shared" si="88"/>
        <v>1</v>
      </c>
      <c r="CS185" s="3" t="b">
        <f t="shared" si="89"/>
        <v>1</v>
      </c>
      <c r="CT185" s="3" t="b">
        <f t="shared" si="90"/>
        <v>1</v>
      </c>
      <c r="CU185" s="3" t="b">
        <f t="shared" si="91"/>
        <v>1</v>
      </c>
      <c r="CV185" s="3" t="b">
        <f t="shared" si="92"/>
        <v>1</v>
      </c>
      <c r="CW185" s="3" t="b">
        <f t="shared" si="93"/>
        <v>1</v>
      </c>
      <c r="CX185" s="9" t="str">
        <f t="shared" si="94"/>
        <v>5302075</v>
      </c>
      <c r="CY185" s="9" t="str">
        <f t="shared" si="95"/>
        <v>5202075</v>
      </c>
      <c r="CZ185" s="9" t="str">
        <f t="shared" si="96"/>
        <v>5202075</v>
      </c>
      <c r="DA185" s="9" t="str">
        <f t="shared" si="97"/>
        <v>5502072</v>
      </c>
      <c r="DB185" s="9" t="str">
        <f t="shared" si="98"/>
        <v>5500072</v>
      </c>
      <c r="DC185" s="9" t="str">
        <f t="shared" si="99"/>
        <v>5502071</v>
      </c>
      <c r="DD185" s="9">
        <v>7</v>
      </c>
      <c r="DE185" s="9">
        <v>7</v>
      </c>
      <c r="DF185" s="9">
        <v>7</v>
      </c>
      <c r="DG185" s="9">
        <v>7</v>
      </c>
      <c r="DH185" s="9">
        <v>7</v>
      </c>
      <c r="DI185" s="9">
        <v>7</v>
      </c>
      <c r="DJ185" s="9">
        <v>5</v>
      </c>
      <c r="DK185" s="9">
        <v>5</v>
      </c>
      <c r="DL185" s="9">
        <v>5</v>
      </c>
      <c r="DM185" s="9">
        <v>5</v>
      </c>
      <c r="DN185" s="9">
        <v>5</v>
      </c>
      <c r="DO185" s="9">
        <v>5</v>
      </c>
      <c r="DP185" s="25" t="s">
        <v>221</v>
      </c>
      <c r="DQ185" s="25" t="s">
        <v>213</v>
      </c>
      <c r="DR185" s="25" t="s">
        <v>213</v>
      </c>
      <c r="DS185" s="26" t="s">
        <v>204</v>
      </c>
      <c r="DT185" s="26" t="s">
        <v>109</v>
      </c>
      <c r="DU185" s="26" t="s">
        <v>119</v>
      </c>
      <c r="DV185" s="26">
        <f t="shared" si="100"/>
        <v>1</v>
      </c>
      <c r="DW185" s="26">
        <f t="shared" si="101"/>
        <v>1</v>
      </c>
      <c r="DX185" s="26">
        <f t="shared" si="102"/>
        <v>1</v>
      </c>
      <c r="DY185" s="26">
        <f t="shared" si="103"/>
        <v>2</v>
      </c>
      <c r="DZ185" s="26">
        <f t="shared" si="104"/>
        <v>2</v>
      </c>
      <c r="EA185" s="3">
        <f t="shared" si="105"/>
        <v>2</v>
      </c>
      <c r="EB185" s="39"/>
      <c r="EC185" s="9">
        <v>5601072</v>
      </c>
      <c r="ED185" s="34" t="s">
        <v>124</v>
      </c>
      <c r="EE185" s="8">
        <v>2</v>
      </c>
    </row>
    <row r="186" spans="1:135" ht="13.5" customHeight="1">
      <c r="A186" s="9">
        <v>183</v>
      </c>
      <c r="B186" s="9">
        <v>1</v>
      </c>
      <c r="C186" s="9">
        <v>2001</v>
      </c>
      <c r="D186" s="9">
        <f t="shared" si="118"/>
        <v>1144719</v>
      </c>
      <c r="E186" s="9" t="str">
        <f t="shared" si="85"/>
        <v>5200072,5200073,5200072,5401071,5401072,5400075</v>
      </c>
      <c r="F186" s="9" t="str">
        <f t="shared" si="86"/>
        <v>7,7,7,7,7,7</v>
      </c>
      <c r="G186" s="9" t="str">
        <f t="shared" si="87"/>
        <v>404,437,437,437,437,437</v>
      </c>
      <c r="H186" s="9">
        <v>113</v>
      </c>
      <c r="I186" s="9" t="s">
        <v>278</v>
      </c>
      <c r="J186" s="9" t="s">
        <v>279</v>
      </c>
      <c r="K186" s="9" t="s">
        <v>279</v>
      </c>
      <c r="L186" s="9" t="s">
        <v>279</v>
      </c>
      <c r="M186" s="9" t="s">
        <v>292</v>
      </c>
      <c r="O186" s="3">
        <f t="shared" si="84"/>
        <v>1144719</v>
      </c>
      <c r="P186" s="9">
        <v>929154.88</v>
      </c>
      <c r="Q186" s="9">
        <v>5200072</v>
      </c>
      <c r="R186" s="9">
        <v>5200073</v>
      </c>
      <c r="S186" s="9">
        <v>5200072</v>
      </c>
      <c r="T186" s="9">
        <v>5401071</v>
      </c>
      <c r="U186" s="9">
        <v>5401072</v>
      </c>
      <c r="V186" s="9">
        <v>5400075</v>
      </c>
      <c r="W186" s="9">
        <v>7</v>
      </c>
      <c r="X186" s="9">
        <v>7</v>
      </c>
      <c r="Y186" s="9">
        <v>7</v>
      </c>
      <c r="Z186" s="9">
        <v>7</v>
      </c>
      <c r="AA186" s="9">
        <v>7</v>
      </c>
      <c r="AB186" s="9">
        <v>7</v>
      </c>
      <c r="AC186" s="9">
        <f t="shared" si="106"/>
        <v>404</v>
      </c>
      <c r="AD186" s="9">
        <f t="shared" si="107"/>
        <v>437</v>
      </c>
      <c r="AE186" s="9">
        <f t="shared" si="108"/>
        <v>437</v>
      </c>
      <c r="AF186" s="9">
        <f t="shared" si="109"/>
        <v>437</v>
      </c>
      <c r="AG186" s="9">
        <f t="shared" si="110"/>
        <v>437</v>
      </c>
      <c r="AH186" s="9">
        <f t="shared" si="111"/>
        <v>437</v>
      </c>
      <c r="AI186" s="7">
        <f t="shared" si="123"/>
        <v>154859.14666666667</v>
      </c>
      <c r="AJ186" s="7">
        <f t="shared" si="120"/>
        <v>154859.14666666667</v>
      </c>
      <c r="AK186" s="7">
        <f t="shared" si="120"/>
        <v>154859.14666666667</v>
      </c>
      <c r="AL186" s="7">
        <f t="shared" si="120"/>
        <v>154859.14666666667</v>
      </c>
      <c r="AM186" s="7">
        <f t="shared" si="120"/>
        <v>154859.14666666667</v>
      </c>
      <c r="AN186" s="7">
        <f t="shared" si="120"/>
        <v>154859.14666666667</v>
      </c>
      <c r="AO186" s="16"/>
      <c r="AP186" s="7"/>
      <c r="AQ186" s="9">
        <v>6</v>
      </c>
      <c r="AR186" s="9">
        <f t="shared" si="112"/>
        <v>420</v>
      </c>
      <c r="AS186" s="7">
        <f t="shared" si="121"/>
        <v>191</v>
      </c>
      <c r="AT186" s="7"/>
      <c r="AU186" s="16"/>
      <c r="AV186" s="7"/>
      <c r="AW186" s="7"/>
      <c r="AX186" s="7"/>
      <c r="AZ186" s="7"/>
      <c r="BA186" s="9">
        <f t="shared" si="122"/>
        <v>126298.94999999984</v>
      </c>
      <c r="BC186" s="5">
        <f t="shared" si="114"/>
        <v>377</v>
      </c>
      <c r="BR186" s="5">
        <v>5502063</v>
      </c>
      <c r="BS186" s="18">
        <f>[1]monsters!$N186</f>
        <v>160</v>
      </c>
      <c r="BT186" s="18">
        <f>[1]monsters!$O186</f>
        <v>16</v>
      </c>
      <c r="BU186" s="18">
        <f>[1]monsters!$P186</f>
        <v>1920</v>
      </c>
      <c r="BV186" s="18">
        <f>[1]monsters!$Q186</f>
        <v>192</v>
      </c>
      <c r="BW186" s="18">
        <f>[1]monsters!$R186</f>
        <v>40</v>
      </c>
      <c r="BX186" s="18">
        <f>[1]monsters!$S186</f>
        <v>4</v>
      </c>
      <c r="BY186" s="18">
        <f>[1]monsters!$K186</f>
        <v>1.5</v>
      </c>
      <c r="BZ186" s="5">
        <f>[1]monsters!$D186</f>
        <v>2</v>
      </c>
      <c r="CA186" s="5">
        <f t="shared" si="115"/>
        <v>0.1</v>
      </c>
      <c r="CB186" s="5">
        <f t="shared" si="116"/>
        <v>215.84646464646465</v>
      </c>
      <c r="CC186" s="5">
        <f t="shared" si="117"/>
        <v>21.584646464646468</v>
      </c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>
        <v>0</v>
      </c>
      <c r="CR186" s="3" t="b">
        <f t="shared" si="88"/>
        <v>1</v>
      </c>
      <c r="CS186" s="3" t="b">
        <f t="shared" si="89"/>
        <v>1</v>
      </c>
      <c r="CT186" s="3" t="b">
        <f t="shared" si="90"/>
        <v>1</v>
      </c>
      <c r="CU186" s="3" t="b">
        <f t="shared" si="91"/>
        <v>1</v>
      </c>
      <c r="CV186" s="3" t="b">
        <f t="shared" si="92"/>
        <v>1</v>
      </c>
      <c r="CW186" s="3" t="b">
        <f t="shared" si="93"/>
        <v>1</v>
      </c>
      <c r="CX186" s="9" t="str">
        <f t="shared" si="94"/>
        <v>5200072</v>
      </c>
      <c r="CY186" s="9" t="str">
        <f t="shared" si="95"/>
        <v>5200073</v>
      </c>
      <c r="CZ186" s="9" t="str">
        <f t="shared" si="96"/>
        <v>5200072</v>
      </c>
      <c r="DA186" s="9" t="str">
        <f t="shared" si="97"/>
        <v>5401071</v>
      </c>
      <c r="DB186" s="9" t="str">
        <f t="shared" si="98"/>
        <v>5401072</v>
      </c>
      <c r="DC186" s="9" t="str">
        <f t="shared" si="99"/>
        <v>5400075</v>
      </c>
      <c r="DD186" s="9">
        <v>7</v>
      </c>
      <c r="DE186" s="9">
        <v>7</v>
      </c>
      <c r="DF186" s="9">
        <v>7</v>
      </c>
      <c r="DG186" s="9">
        <v>7</v>
      </c>
      <c r="DH186" s="9">
        <v>7</v>
      </c>
      <c r="DI186" s="9">
        <v>7</v>
      </c>
      <c r="DJ186" s="9">
        <v>5</v>
      </c>
      <c r="DK186" s="9">
        <v>5</v>
      </c>
      <c r="DL186" s="9">
        <v>5</v>
      </c>
      <c r="DM186" s="9">
        <v>5</v>
      </c>
      <c r="DN186" s="9">
        <v>5</v>
      </c>
      <c r="DO186" s="9">
        <v>5</v>
      </c>
      <c r="DP186" s="25" t="s">
        <v>199</v>
      </c>
      <c r="DQ186" s="25" t="s">
        <v>113</v>
      </c>
      <c r="DR186" s="25" t="s">
        <v>199</v>
      </c>
      <c r="DS186" s="26" t="s">
        <v>117</v>
      </c>
      <c r="DT186" s="26" t="s">
        <v>202</v>
      </c>
      <c r="DU186" s="26" t="s">
        <v>210</v>
      </c>
      <c r="DV186" s="26">
        <f t="shared" si="100"/>
        <v>1</v>
      </c>
      <c r="DW186" s="26">
        <f t="shared" si="101"/>
        <v>1</v>
      </c>
      <c r="DX186" s="26">
        <f t="shared" si="102"/>
        <v>1</v>
      </c>
      <c r="DY186" s="26">
        <f t="shared" si="103"/>
        <v>2</v>
      </c>
      <c r="DZ186" s="26">
        <f t="shared" si="104"/>
        <v>2</v>
      </c>
      <c r="EA186" s="3">
        <f t="shared" si="105"/>
        <v>2</v>
      </c>
      <c r="EB186" s="39"/>
      <c r="EC186" s="9">
        <v>5200073</v>
      </c>
      <c r="ED186" s="34" t="s">
        <v>113</v>
      </c>
      <c r="EE186" s="8">
        <v>1</v>
      </c>
    </row>
    <row r="187" spans="1:135" ht="13.5" customHeight="1">
      <c r="A187" s="9">
        <v>184</v>
      </c>
      <c r="B187" s="9">
        <v>1</v>
      </c>
      <c r="C187" s="9">
        <v>2001</v>
      </c>
      <c r="D187" s="9">
        <f t="shared" si="118"/>
        <v>1151468</v>
      </c>
      <c r="E187" s="9" t="str">
        <f t="shared" si="85"/>
        <v>5202071,5202072,5200071,5502071,5500071,5502071</v>
      </c>
      <c r="F187" s="9" t="str">
        <f t="shared" si="86"/>
        <v>7,7,7,7,7,7</v>
      </c>
      <c r="G187" s="9" t="str">
        <f t="shared" si="87"/>
        <v>405,438,438,438,438,438</v>
      </c>
      <c r="H187" s="9">
        <v>113</v>
      </c>
      <c r="I187" s="9" t="s">
        <v>278</v>
      </c>
      <c r="J187" s="9" t="s">
        <v>279</v>
      </c>
      <c r="K187" s="9" t="s">
        <v>279</v>
      </c>
      <c r="L187" s="9" t="s">
        <v>279</v>
      </c>
      <c r="M187" s="9" t="s">
        <v>292</v>
      </c>
      <c r="O187" s="3">
        <f t="shared" si="84"/>
        <v>1151468</v>
      </c>
      <c r="P187" s="9">
        <v>934633.35</v>
      </c>
      <c r="Q187" s="9">
        <v>5202071</v>
      </c>
      <c r="R187" s="9">
        <v>5202072</v>
      </c>
      <c r="S187" s="9">
        <v>5200071</v>
      </c>
      <c r="T187" s="9">
        <v>5502071</v>
      </c>
      <c r="U187" s="9">
        <v>5500071</v>
      </c>
      <c r="V187" s="9">
        <v>5502071</v>
      </c>
      <c r="W187" s="9">
        <v>7</v>
      </c>
      <c r="X187" s="9">
        <v>7</v>
      </c>
      <c r="Y187" s="9">
        <v>7</v>
      </c>
      <c r="Z187" s="9">
        <v>7</v>
      </c>
      <c r="AA187" s="9">
        <v>7</v>
      </c>
      <c r="AB187" s="9">
        <v>7</v>
      </c>
      <c r="AC187" s="9">
        <f t="shared" si="106"/>
        <v>405</v>
      </c>
      <c r="AD187" s="9">
        <f t="shared" si="107"/>
        <v>438</v>
      </c>
      <c r="AE187" s="9">
        <f t="shared" si="108"/>
        <v>438</v>
      </c>
      <c r="AF187" s="9">
        <f t="shared" si="109"/>
        <v>438</v>
      </c>
      <c r="AG187" s="9">
        <f t="shared" si="110"/>
        <v>438</v>
      </c>
      <c r="AH187" s="9">
        <f t="shared" si="111"/>
        <v>438</v>
      </c>
      <c r="AI187" s="7">
        <f t="shared" si="123"/>
        <v>155772.22500000001</v>
      </c>
      <c r="AJ187" s="7">
        <f t="shared" si="120"/>
        <v>155772.22500000001</v>
      </c>
      <c r="AK187" s="7">
        <f t="shared" si="120"/>
        <v>155772.22500000001</v>
      </c>
      <c r="AL187" s="7">
        <f t="shared" si="120"/>
        <v>155772.22500000001</v>
      </c>
      <c r="AM187" s="7">
        <f t="shared" si="120"/>
        <v>155772.22500000001</v>
      </c>
      <c r="AN187" s="7">
        <f t="shared" si="120"/>
        <v>155772.22500000001</v>
      </c>
      <c r="AO187" s="16"/>
      <c r="AP187" s="7"/>
      <c r="AQ187" s="9">
        <v>6</v>
      </c>
      <c r="AR187" s="9">
        <f t="shared" si="112"/>
        <v>421</v>
      </c>
      <c r="AS187" s="7">
        <f t="shared" si="121"/>
        <v>192</v>
      </c>
      <c r="AT187" s="7"/>
      <c r="AU187" s="16"/>
      <c r="AV187" s="7"/>
      <c r="AW187" s="7"/>
      <c r="AX187" s="7"/>
      <c r="AZ187" s="7"/>
      <c r="BA187" s="9">
        <f t="shared" si="122"/>
        <v>128390.09999999983</v>
      </c>
      <c r="BC187" s="5">
        <f t="shared" si="114"/>
        <v>378</v>
      </c>
      <c r="BR187" s="5">
        <v>5600063</v>
      </c>
      <c r="BS187" s="18">
        <f>[1]monsters!$N187</f>
        <v>153.6</v>
      </c>
      <c r="BT187" s="18">
        <f>[1]monsters!$O187</f>
        <v>15.36</v>
      </c>
      <c r="BU187" s="18">
        <f>[1]monsters!$P187</f>
        <v>2400</v>
      </c>
      <c r="BV187" s="18">
        <f>[1]monsters!$Q187</f>
        <v>240</v>
      </c>
      <c r="BW187" s="18">
        <f>[1]monsters!$R187</f>
        <v>51.2</v>
      </c>
      <c r="BX187" s="18">
        <f>[1]monsters!$S187</f>
        <v>5.12</v>
      </c>
      <c r="BY187" s="18">
        <f>[1]monsters!$K187</f>
        <v>1.8</v>
      </c>
      <c r="BZ187" s="5">
        <f>[1]monsters!$D187</f>
        <v>2</v>
      </c>
      <c r="CA187" s="5">
        <f t="shared" si="115"/>
        <v>0.1</v>
      </c>
      <c r="CB187" s="5">
        <f t="shared" si="116"/>
        <v>225.96008080808082</v>
      </c>
      <c r="CC187" s="5">
        <f t="shared" si="117"/>
        <v>22.596008080808083</v>
      </c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>
        <v>0</v>
      </c>
      <c r="CR187" s="3" t="b">
        <f t="shared" si="88"/>
        <v>1</v>
      </c>
      <c r="CS187" s="3" t="b">
        <f t="shared" si="89"/>
        <v>1</v>
      </c>
      <c r="CT187" s="3" t="b">
        <f t="shared" si="90"/>
        <v>1</v>
      </c>
      <c r="CU187" s="3" t="b">
        <f t="shared" si="91"/>
        <v>1</v>
      </c>
      <c r="CV187" s="3" t="b">
        <f t="shared" si="92"/>
        <v>1</v>
      </c>
      <c r="CW187" s="3" t="b">
        <f t="shared" si="93"/>
        <v>1</v>
      </c>
      <c r="CX187" s="9" t="str">
        <f t="shared" si="94"/>
        <v>5202071</v>
      </c>
      <c r="CY187" s="9" t="str">
        <f t="shared" si="95"/>
        <v>5202072</v>
      </c>
      <c r="CZ187" s="9" t="str">
        <f t="shared" si="96"/>
        <v>5200071</v>
      </c>
      <c r="DA187" s="9" t="str">
        <f t="shared" si="97"/>
        <v>5502071</v>
      </c>
      <c r="DB187" s="9" t="str">
        <f t="shared" si="98"/>
        <v>5500071</v>
      </c>
      <c r="DC187" s="9" t="str">
        <f t="shared" si="99"/>
        <v>5502071</v>
      </c>
      <c r="DD187" s="9">
        <v>7</v>
      </c>
      <c r="DE187" s="9">
        <v>7</v>
      </c>
      <c r="DF187" s="9">
        <v>7</v>
      </c>
      <c r="DG187" s="9">
        <v>7</v>
      </c>
      <c r="DH187" s="9">
        <v>7</v>
      </c>
      <c r="DI187" s="9">
        <v>7</v>
      </c>
      <c r="DJ187" s="9">
        <v>5</v>
      </c>
      <c r="DK187" s="9">
        <v>5</v>
      </c>
      <c r="DL187" s="9">
        <v>5</v>
      </c>
      <c r="DM187" s="9">
        <v>5</v>
      </c>
      <c r="DN187" s="9">
        <v>5</v>
      </c>
      <c r="DO187" s="9">
        <v>5</v>
      </c>
      <c r="DP187" s="25" t="s">
        <v>111</v>
      </c>
      <c r="DQ187" s="25" t="s">
        <v>200</v>
      </c>
      <c r="DR187" s="25" t="s">
        <v>194</v>
      </c>
      <c r="DS187" s="26" t="s">
        <v>119</v>
      </c>
      <c r="DT187" s="26" t="s">
        <v>197</v>
      </c>
      <c r="DU187" s="26" t="s">
        <v>119</v>
      </c>
      <c r="DV187" s="26">
        <f t="shared" si="100"/>
        <v>1</v>
      </c>
      <c r="DW187" s="26">
        <f t="shared" si="101"/>
        <v>1</v>
      </c>
      <c r="DX187" s="26">
        <f t="shared" si="102"/>
        <v>1</v>
      </c>
      <c r="DY187" s="26">
        <f t="shared" si="103"/>
        <v>2</v>
      </c>
      <c r="DZ187" s="26">
        <f t="shared" si="104"/>
        <v>2</v>
      </c>
      <c r="EA187" s="3">
        <f t="shared" si="105"/>
        <v>2</v>
      </c>
      <c r="EB187" s="39"/>
      <c r="EC187" s="9">
        <v>5201073</v>
      </c>
      <c r="ED187" s="34" t="s">
        <v>205</v>
      </c>
      <c r="EE187" s="8">
        <v>1</v>
      </c>
    </row>
    <row r="188" spans="1:135" ht="13.5" customHeight="1">
      <c r="A188" s="9">
        <v>185</v>
      </c>
      <c r="B188" s="9">
        <v>1</v>
      </c>
      <c r="C188" s="9">
        <v>2001</v>
      </c>
      <c r="D188" s="9">
        <f t="shared" si="118"/>
        <v>1158237</v>
      </c>
      <c r="E188" s="9" t="str">
        <f t="shared" si="85"/>
        <v>5202075,5202075,5300075,5501075,5502072,5502072</v>
      </c>
      <c r="F188" s="9" t="str">
        <f t="shared" si="86"/>
        <v>7,7,7,7,7,7</v>
      </c>
      <c r="G188" s="9" t="str">
        <f t="shared" si="87"/>
        <v>406,439,439,439,439,439</v>
      </c>
      <c r="H188" s="9">
        <v>114</v>
      </c>
      <c r="I188" s="9" t="s">
        <v>278</v>
      </c>
      <c r="J188" s="9" t="s">
        <v>279</v>
      </c>
      <c r="K188" s="9" t="s">
        <v>279</v>
      </c>
      <c r="L188" s="9" t="s">
        <v>279</v>
      </c>
      <c r="M188" s="9" t="s">
        <v>292</v>
      </c>
      <c r="O188" s="3">
        <f t="shared" ref="O188:O202" si="124">ROUND(P188*1.1*1.12,0)</f>
        <v>1158237</v>
      </c>
      <c r="P188" s="9">
        <v>940127.74</v>
      </c>
      <c r="Q188" s="9">
        <v>5202075</v>
      </c>
      <c r="R188" s="9">
        <v>5202075</v>
      </c>
      <c r="S188" s="9">
        <v>5300075</v>
      </c>
      <c r="T188" s="9">
        <v>5501075</v>
      </c>
      <c r="U188" s="9">
        <v>5502072</v>
      </c>
      <c r="V188" s="9">
        <v>5502072</v>
      </c>
      <c r="W188" s="9">
        <v>7</v>
      </c>
      <c r="X188" s="9">
        <v>7</v>
      </c>
      <c r="Y188" s="9">
        <v>7</v>
      </c>
      <c r="Z188" s="9">
        <v>7</v>
      </c>
      <c r="AA188" s="9">
        <v>7</v>
      </c>
      <c r="AB188" s="9">
        <v>7</v>
      </c>
      <c r="AC188" s="9">
        <f t="shared" si="106"/>
        <v>406</v>
      </c>
      <c r="AD188" s="9">
        <f t="shared" si="107"/>
        <v>439</v>
      </c>
      <c r="AE188" s="9">
        <f t="shared" si="108"/>
        <v>439</v>
      </c>
      <c r="AF188" s="9">
        <f t="shared" si="109"/>
        <v>439</v>
      </c>
      <c r="AG188" s="9">
        <f t="shared" si="110"/>
        <v>439</v>
      </c>
      <c r="AH188" s="9">
        <f t="shared" si="111"/>
        <v>439</v>
      </c>
      <c r="AI188" s="7">
        <f t="shared" si="123"/>
        <v>156687.95666666667</v>
      </c>
      <c r="AJ188" s="7">
        <f t="shared" si="120"/>
        <v>156687.95666666667</v>
      </c>
      <c r="AK188" s="7">
        <f t="shared" si="120"/>
        <v>156687.95666666667</v>
      </c>
      <c r="AL188" s="7">
        <f t="shared" si="120"/>
        <v>156687.95666666667</v>
      </c>
      <c r="AM188" s="7">
        <f t="shared" si="120"/>
        <v>156687.95666666667</v>
      </c>
      <c r="AN188" s="7">
        <f t="shared" si="120"/>
        <v>156687.95666666667</v>
      </c>
      <c r="AO188" s="16"/>
      <c r="AP188" s="7"/>
      <c r="AQ188" s="9">
        <v>6</v>
      </c>
      <c r="AR188" s="9">
        <f t="shared" si="112"/>
        <v>422</v>
      </c>
      <c r="AS188" s="7">
        <f t="shared" si="121"/>
        <v>192</v>
      </c>
      <c r="AT188" s="7"/>
      <c r="AU188" s="16"/>
      <c r="AV188" s="7"/>
      <c r="AW188" s="7"/>
      <c r="AX188" s="7"/>
      <c r="AZ188" s="7"/>
      <c r="BA188" s="9">
        <f t="shared" si="122"/>
        <v>130481.24999999983</v>
      </c>
      <c r="BC188" s="5">
        <f t="shared" si="114"/>
        <v>379</v>
      </c>
      <c r="BR188" s="5">
        <v>5601063</v>
      </c>
      <c r="BS188" s="18">
        <f>[1]monsters!$N188</f>
        <v>172.8</v>
      </c>
      <c r="BT188" s="18">
        <f>[1]monsters!$O188</f>
        <v>17.28</v>
      </c>
      <c r="BU188" s="18">
        <f>[1]monsters!$P188</f>
        <v>2133.33</v>
      </c>
      <c r="BV188" s="18">
        <f>[1]monsters!$Q188</f>
        <v>213.33</v>
      </c>
      <c r="BW188" s="18">
        <f>[1]monsters!$R188</f>
        <v>34.56</v>
      </c>
      <c r="BX188" s="18">
        <f>[1]monsters!$S188</f>
        <v>3.46</v>
      </c>
      <c r="BY188" s="18">
        <f>[1]monsters!$K188</f>
        <v>1.8</v>
      </c>
      <c r="BZ188" s="5">
        <f>[1]monsters!$D188</f>
        <v>2</v>
      </c>
      <c r="CA188" s="5">
        <f t="shared" si="115"/>
        <v>0.1</v>
      </c>
      <c r="CB188" s="5">
        <f t="shared" si="116"/>
        <v>235.12529292929293</v>
      </c>
      <c r="CC188" s="5">
        <f t="shared" si="117"/>
        <v>23.512529292929294</v>
      </c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>
        <v>1</v>
      </c>
      <c r="CR188" s="3" t="b">
        <f t="shared" si="88"/>
        <v>1</v>
      </c>
      <c r="CS188" s="3" t="b">
        <f t="shared" si="89"/>
        <v>1</v>
      </c>
      <c r="CT188" s="3" t="b">
        <f t="shared" si="90"/>
        <v>1</v>
      </c>
      <c r="CU188" s="3" t="b">
        <f t="shared" si="91"/>
        <v>1</v>
      </c>
      <c r="CV188" s="3" t="b">
        <f t="shared" si="92"/>
        <v>1</v>
      </c>
      <c r="CW188" s="3" t="b">
        <f t="shared" si="93"/>
        <v>1</v>
      </c>
      <c r="CX188" s="9" t="str">
        <f t="shared" si="94"/>
        <v>5202075</v>
      </c>
      <c r="CY188" s="9" t="str">
        <f t="shared" si="95"/>
        <v>5202075</v>
      </c>
      <c r="CZ188" s="9" t="str">
        <f t="shared" si="96"/>
        <v>5300075</v>
      </c>
      <c r="DA188" s="9" t="str">
        <f t="shared" si="97"/>
        <v>5501075</v>
      </c>
      <c r="DB188" s="9" t="str">
        <f t="shared" si="98"/>
        <v>5502072</v>
      </c>
      <c r="DC188" s="9" t="str">
        <f t="shared" si="99"/>
        <v>5502072</v>
      </c>
      <c r="DD188" s="9">
        <v>7</v>
      </c>
      <c r="DE188" s="9">
        <v>7</v>
      </c>
      <c r="DF188" s="9">
        <v>7</v>
      </c>
      <c r="DG188" s="9">
        <v>7</v>
      </c>
      <c r="DH188" s="9">
        <v>7</v>
      </c>
      <c r="DI188" s="9">
        <v>7</v>
      </c>
      <c r="DJ188" s="9">
        <v>5</v>
      </c>
      <c r="DK188" s="9">
        <v>5</v>
      </c>
      <c r="DL188" s="9">
        <v>5</v>
      </c>
      <c r="DM188" s="9">
        <v>5</v>
      </c>
      <c r="DN188" s="9">
        <v>5</v>
      </c>
      <c r="DO188" s="9">
        <v>5</v>
      </c>
      <c r="DP188" s="27" t="s">
        <v>213</v>
      </c>
      <c r="DQ188" s="27" t="s">
        <v>213</v>
      </c>
      <c r="DR188" s="27" t="s">
        <v>212</v>
      </c>
      <c r="DS188" s="25" t="s">
        <v>209</v>
      </c>
      <c r="DT188" s="28" t="s">
        <v>204</v>
      </c>
      <c r="DU188" s="28" t="s">
        <v>204</v>
      </c>
      <c r="DV188" s="28">
        <f t="shared" si="100"/>
        <v>1</v>
      </c>
      <c r="DW188" s="28">
        <f t="shared" si="101"/>
        <v>1</v>
      </c>
      <c r="DX188" s="28">
        <f t="shared" si="102"/>
        <v>1</v>
      </c>
      <c r="DY188" s="28">
        <f t="shared" si="103"/>
        <v>2</v>
      </c>
      <c r="DZ188" s="28">
        <f t="shared" si="104"/>
        <v>2</v>
      </c>
      <c r="EA188" s="3">
        <f t="shared" si="105"/>
        <v>2</v>
      </c>
      <c r="EB188" s="39"/>
      <c r="EC188" s="9">
        <v>5202073</v>
      </c>
      <c r="ED188" s="34" t="s">
        <v>208</v>
      </c>
      <c r="EE188" s="8">
        <v>1</v>
      </c>
    </row>
    <row r="189" spans="1:135" ht="13.5" customHeight="1">
      <c r="A189" s="9">
        <v>186</v>
      </c>
      <c r="B189" s="9">
        <v>1</v>
      </c>
      <c r="C189" s="9">
        <v>2001</v>
      </c>
      <c r="D189" s="9">
        <f t="shared" si="118"/>
        <v>1165029</v>
      </c>
      <c r="E189" s="9" t="str">
        <f t="shared" si="85"/>
        <v>5201072,5201072,5301072,5402072,5601072,5500072</v>
      </c>
      <c r="F189" s="9" t="str">
        <f t="shared" si="86"/>
        <v>7,7,7,7,7,7</v>
      </c>
      <c r="G189" s="9" t="str">
        <f t="shared" si="87"/>
        <v>407,441,441,441,441,441</v>
      </c>
      <c r="H189" s="9">
        <v>114</v>
      </c>
      <c r="I189" s="9" t="s">
        <v>278</v>
      </c>
      <c r="J189" s="9" t="s">
        <v>279</v>
      </c>
      <c r="K189" s="9" t="s">
        <v>279</v>
      </c>
      <c r="L189" s="9" t="s">
        <v>279</v>
      </c>
      <c r="M189" s="9" t="s">
        <v>292</v>
      </c>
      <c r="O189" s="3">
        <f t="shared" si="124"/>
        <v>1165029</v>
      </c>
      <c r="P189" s="9">
        <v>945640.04</v>
      </c>
      <c r="Q189" s="9">
        <v>5201072</v>
      </c>
      <c r="R189" s="9">
        <v>5201072</v>
      </c>
      <c r="S189" s="9">
        <v>5301072</v>
      </c>
      <c r="T189" s="9">
        <v>5402072</v>
      </c>
      <c r="U189" s="9">
        <v>5601072</v>
      </c>
      <c r="V189" s="9">
        <v>5500072</v>
      </c>
      <c r="W189" s="9">
        <v>7</v>
      </c>
      <c r="X189" s="9">
        <v>7</v>
      </c>
      <c r="Y189" s="9">
        <v>7</v>
      </c>
      <c r="Z189" s="9">
        <v>7</v>
      </c>
      <c r="AA189" s="9">
        <v>7</v>
      </c>
      <c r="AB189" s="9">
        <v>7</v>
      </c>
      <c r="AC189" s="9">
        <f t="shared" si="106"/>
        <v>407</v>
      </c>
      <c r="AD189" s="9">
        <f t="shared" si="107"/>
        <v>441</v>
      </c>
      <c r="AE189" s="9">
        <f t="shared" si="108"/>
        <v>441</v>
      </c>
      <c r="AF189" s="9">
        <f t="shared" si="109"/>
        <v>441</v>
      </c>
      <c r="AG189" s="9">
        <f t="shared" si="110"/>
        <v>441</v>
      </c>
      <c r="AH189" s="9">
        <f t="shared" si="111"/>
        <v>441</v>
      </c>
      <c r="AI189" s="7">
        <f t="shared" si="123"/>
        <v>157606.67333333334</v>
      </c>
      <c r="AJ189" s="7">
        <f t="shared" si="120"/>
        <v>157606.67333333334</v>
      </c>
      <c r="AK189" s="7">
        <f t="shared" si="120"/>
        <v>157606.67333333334</v>
      </c>
      <c r="AL189" s="7">
        <f t="shared" si="120"/>
        <v>157606.67333333334</v>
      </c>
      <c r="AM189" s="7">
        <f t="shared" si="120"/>
        <v>157606.67333333334</v>
      </c>
      <c r="AN189" s="7">
        <f t="shared" si="120"/>
        <v>157606.67333333334</v>
      </c>
      <c r="AO189" s="16"/>
      <c r="AP189" s="7"/>
      <c r="AQ189" s="9">
        <v>6</v>
      </c>
      <c r="AR189" s="9">
        <f t="shared" si="112"/>
        <v>424</v>
      </c>
      <c r="AS189" s="7">
        <f t="shared" si="121"/>
        <v>193</v>
      </c>
      <c r="AT189" s="7"/>
      <c r="AU189" s="16"/>
      <c r="AV189" s="7"/>
      <c r="AW189" s="7"/>
      <c r="AX189" s="7"/>
      <c r="AZ189" s="7"/>
      <c r="BA189" s="9">
        <f t="shared" si="122"/>
        <v>132572.39999999982</v>
      </c>
      <c r="BC189" s="5">
        <f t="shared" si="114"/>
        <v>380</v>
      </c>
      <c r="BR189" s="5">
        <v>5200064</v>
      </c>
      <c r="BS189" s="18">
        <f>[1]monsters!$N189</f>
        <v>115.2</v>
      </c>
      <c r="BT189" s="18">
        <f>[1]monsters!$O189</f>
        <v>11.52</v>
      </c>
      <c r="BU189" s="18">
        <f>[1]monsters!$P189</f>
        <v>2133.33</v>
      </c>
      <c r="BV189" s="18">
        <f>[1]monsters!$Q189</f>
        <v>213.33</v>
      </c>
      <c r="BW189" s="18">
        <f>[1]monsters!$R189</f>
        <v>23.04</v>
      </c>
      <c r="BX189" s="18">
        <f>[1]monsters!$S189</f>
        <v>2.2999999999999998</v>
      </c>
      <c r="BY189" s="18">
        <f>[1]monsters!$K189</f>
        <v>1.2</v>
      </c>
      <c r="BZ189" s="5">
        <f>[1]monsters!$D189</f>
        <v>3</v>
      </c>
      <c r="CA189" s="5">
        <f t="shared" si="115"/>
        <v>0.1</v>
      </c>
      <c r="CB189" s="5">
        <f t="shared" si="116"/>
        <v>180.69329292929291</v>
      </c>
      <c r="CC189" s="5">
        <f t="shared" si="117"/>
        <v>18.069329292929293</v>
      </c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>
        <v>0</v>
      </c>
      <c r="CR189" s="3" t="b">
        <f t="shared" si="88"/>
        <v>1</v>
      </c>
      <c r="CS189" s="3" t="b">
        <f t="shared" si="89"/>
        <v>1</v>
      </c>
      <c r="CT189" s="3" t="b">
        <f t="shared" si="90"/>
        <v>1</v>
      </c>
      <c r="CU189" s="3" t="b">
        <f t="shared" si="91"/>
        <v>1</v>
      </c>
      <c r="CV189" s="3" t="b">
        <f t="shared" si="92"/>
        <v>1</v>
      </c>
      <c r="CW189" s="3" t="b">
        <f t="shared" si="93"/>
        <v>1</v>
      </c>
      <c r="CX189" s="9" t="str">
        <f t="shared" si="94"/>
        <v>5201072</v>
      </c>
      <c r="CY189" s="9" t="str">
        <f t="shared" si="95"/>
        <v>5201072</v>
      </c>
      <c r="CZ189" s="9" t="str">
        <f t="shared" si="96"/>
        <v>5301072</v>
      </c>
      <c r="DA189" s="9" t="str">
        <f t="shared" si="97"/>
        <v>5402072</v>
      </c>
      <c r="DB189" s="9" t="str">
        <f t="shared" si="98"/>
        <v>5601072</v>
      </c>
      <c r="DC189" s="9" t="str">
        <f t="shared" si="99"/>
        <v>5500072</v>
      </c>
      <c r="DD189" s="9">
        <v>7</v>
      </c>
      <c r="DE189" s="9">
        <v>7</v>
      </c>
      <c r="DF189" s="9">
        <v>7</v>
      </c>
      <c r="DG189" s="9">
        <v>7</v>
      </c>
      <c r="DH189" s="9">
        <v>7</v>
      </c>
      <c r="DI189" s="9">
        <v>7</v>
      </c>
      <c r="DJ189" s="9">
        <v>5</v>
      </c>
      <c r="DK189" s="9">
        <v>5</v>
      </c>
      <c r="DL189" s="9">
        <v>5</v>
      </c>
      <c r="DM189" s="9">
        <v>5</v>
      </c>
      <c r="DN189" s="9">
        <v>5</v>
      </c>
      <c r="DO189" s="9">
        <v>5</v>
      </c>
      <c r="DP189" s="25" t="s">
        <v>114</v>
      </c>
      <c r="DQ189" s="25" t="s">
        <v>114</v>
      </c>
      <c r="DR189" s="25" t="s">
        <v>201</v>
      </c>
      <c r="DS189" s="26" t="s">
        <v>203</v>
      </c>
      <c r="DT189" s="25" t="s">
        <v>124</v>
      </c>
      <c r="DU189" s="25" t="s">
        <v>109</v>
      </c>
      <c r="DV189" s="25">
        <f t="shared" si="100"/>
        <v>1</v>
      </c>
      <c r="DW189" s="25">
        <f t="shared" si="101"/>
        <v>1</v>
      </c>
      <c r="DX189" s="25">
        <f t="shared" si="102"/>
        <v>1</v>
      </c>
      <c r="DY189" s="25">
        <f t="shared" si="103"/>
        <v>2</v>
      </c>
      <c r="DZ189" s="25">
        <f t="shared" si="104"/>
        <v>2</v>
      </c>
      <c r="EA189" s="3">
        <f t="shared" si="105"/>
        <v>2</v>
      </c>
      <c r="EB189" s="38"/>
      <c r="EC189" s="9">
        <v>5301073</v>
      </c>
      <c r="ED189" s="34" t="s">
        <v>206</v>
      </c>
      <c r="EE189" s="8">
        <v>1</v>
      </c>
    </row>
    <row r="190" spans="1:135" ht="13.5" customHeight="1">
      <c r="A190" s="9">
        <v>187</v>
      </c>
      <c r="B190" s="9">
        <v>1</v>
      </c>
      <c r="C190" s="9">
        <v>2001</v>
      </c>
      <c r="D190" s="9">
        <f t="shared" si="118"/>
        <v>1171837</v>
      </c>
      <c r="E190" s="9" t="str">
        <f t="shared" si="85"/>
        <v>5200072,5200073,5200072,5502072,5500072,5502071</v>
      </c>
      <c r="F190" s="9" t="str">
        <f t="shared" si="86"/>
        <v>7,7,7,7,7,7</v>
      </c>
      <c r="G190" s="9" t="str">
        <f t="shared" si="87"/>
        <v>408,442,442,442,442,442</v>
      </c>
      <c r="H190" s="9">
        <v>114</v>
      </c>
      <c r="I190" s="9" t="s">
        <v>278</v>
      </c>
      <c r="J190" s="9" t="s">
        <v>279</v>
      </c>
      <c r="K190" s="9" t="s">
        <v>279</v>
      </c>
      <c r="L190" s="9" t="s">
        <v>279</v>
      </c>
      <c r="M190" s="9" t="s">
        <v>292</v>
      </c>
      <c r="O190" s="3">
        <f t="shared" si="124"/>
        <v>1171837</v>
      </c>
      <c r="P190" s="9">
        <v>951166.27</v>
      </c>
      <c r="Q190" s="9">
        <v>5200072</v>
      </c>
      <c r="R190" s="9">
        <v>5200073</v>
      </c>
      <c r="S190" s="9">
        <v>5200072</v>
      </c>
      <c r="T190" s="9">
        <v>5502072</v>
      </c>
      <c r="U190" s="9">
        <v>5500072</v>
      </c>
      <c r="V190" s="9">
        <v>5502071</v>
      </c>
      <c r="W190" s="9">
        <v>7</v>
      </c>
      <c r="X190" s="9">
        <v>7</v>
      </c>
      <c r="Y190" s="9">
        <v>7</v>
      </c>
      <c r="Z190" s="9">
        <v>7</v>
      </c>
      <c r="AA190" s="9">
        <v>7</v>
      </c>
      <c r="AB190" s="9">
        <v>7</v>
      </c>
      <c r="AC190" s="9">
        <f t="shared" si="106"/>
        <v>408</v>
      </c>
      <c r="AD190" s="9">
        <f t="shared" si="107"/>
        <v>442</v>
      </c>
      <c r="AE190" s="9">
        <f t="shared" si="108"/>
        <v>442</v>
      </c>
      <c r="AF190" s="9">
        <f t="shared" si="109"/>
        <v>442</v>
      </c>
      <c r="AG190" s="9">
        <f t="shared" si="110"/>
        <v>442</v>
      </c>
      <c r="AH190" s="9">
        <f t="shared" si="111"/>
        <v>442</v>
      </c>
      <c r="AI190" s="7">
        <f t="shared" si="123"/>
        <v>158527.71166666667</v>
      </c>
      <c r="AJ190" s="7">
        <f t="shared" si="120"/>
        <v>158527.71166666667</v>
      </c>
      <c r="AK190" s="7">
        <f t="shared" si="120"/>
        <v>158527.71166666667</v>
      </c>
      <c r="AL190" s="7">
        <f t="shared" si="120"/>
        <v>158527.71166666667</v>
      </c>
      <c r="AM190" s="7">
        <f t="shared" si="120"/>
        <v>158527.71166666667</v>
      </c>
      <c r="AN190" s="7">
        <f t="shared" si="120"/>
        <v>158527.71166666667</v>
      </c>
      <c r="AO190" s="16"/>
      <c r="AP190" s="7"/>
      <c r="AQ190" s="9">
        <v>6</v>
      </c>
      <c r="AR190" s="9">
        <f t="shared" si="112"/>
        <v>425</v>
      </c>
      <c r="AS190" s="7">
        <f t="shared" si="121"/>
        <v>193</v>
      </c>
      <c r="AT190" s="7"/>
      <c r="AU190" s="16"/>
      <c r="AV190" s="7"/>
      <c r="AW190" s="7"/>
      <c r="AX190" s="7"/>
      <c r="AZ190" s="7"/>
      <c r="BA190" s="9">
        <f t="shared" si="122"/>
        <v>134663.54999999981</v>
      </c>
      <c r="BC190" s="5">
        <f t="shared" si="114"/>
        <v>381</v>
      </c>
      <c r="BR190" s="5">
        <v>5201064</v>
      </c>
      <c r="BS190" s="18">
        <f>[1]monsters!$N190</f>
        <v>204.8</v>
      </c>
      <c r="BT190" s="18">
        <f>[1]monsters!$O190</f>
        <v>20.48</v>
      </c>
      <c r="BU190" s="18">
        <f>[1]monsters!$P190</f>
        <v>1600</v>
      </c>
      <c r="BV190" s="18">
        <f>[1]monsters!$Q190</f>
        <v>160</v>
      </c>
      <c r="BW190" s="18">
        <f>[1]monsters!$R190</f>
        <v>29.26</v>
      </c>
      <c r="BX190" s="18">
        <f>[1]monsters!$S190</f>
        <v>2.93</v>
      </c>
      <c r="BY190" s="18">
        <f>[1]monsters!$K190</f>
        <v>1.6</v>
      </c>
      <c r="BZ190" s="5">
        <f>[1]monsters!$D190</f>
        <v>4</v>
      </c>
      <c r="CA190" s="5">
        <f t="shared" si="115"/>
        <v>0.1</v>
      </c>
      <c r="CB190" s="5">
        <f t="shared" si="116"/>
        <v>247.4080538720539</v>
      </c>
      <c r="CC190" s="5">
        <f t="shared" si="117"/>
        <v>24.740805387205391</v>
      </c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>
        <v>0</v>
      </c>
      <c r="CR190" s="3" t="b">
        <f t="shared" si="88"/>
        <v>1</v>
      </c>
      <c r="CS190" s="3" t="b">
        <f t="shared" si="89"/>
        <v>1</v>
      </c>
      <c r="CT190" s="3" t="b">
        <f t="shared" si="90"/>
        <v>1</v>
      </c>
      <c r="CU190" s="3" t="b">
        <f t="shared" si="91"/>
        <v>1</v>
      </c>
      <c r="CV190" s="3" t="b">
        <f t="shared" si="92"/>
        <v>1</v>
      </c>
      <c r="CW190" s="3" t="b">
        <f t="shared" si="93"/>
        <v>1</v>
      </c>
      <c r="CX190" s="9" t="str">
        <f t="shared" si="94"/>
        <v>5200072</v>
      </c>
      <c r="CY190" s="9" t="str">
        <f t="shared" si="95"/>
        <v>5200073</v>
      </c>
      <c r="CZ190" s="9" t="str">
        <f t="shared" si="96"/>
        <v>5200072</v>
      </c>
      <c r="DA190" s="9" t="str">
        <f t="shared" si="97"/>
        <v>5502072</v>
      </c>
      <c r="DB190" s="9" t="str">
        <f t="shared" si="98"/>
        <v>5500072</v>
      </c>
      <c r="DC190" s="9" t="str">
        <f t="shared" si="99"/>
        <v>5502071</v>
      </c>
      <c r="DD190" s="9">
        <v>7</v>
      </c>
      <c r="DE190" s="9">
        <v>7</v>
      </c>
      <c r="DF190" s="9">
        <v>7</v>
      </c>
      <c r="DG190" s="9">
        <v>7</v>
      </c>
      <c r="DH190" s="9">
        <v>7</v>
      </c>
      <c r="DI190" s="9">
        <v>7</v>
      </c>
      <c r="DJ190" s="9">
        <v>5</v>
      </c>
      <c r="DK190" s="9">
        <v>5</v>
      </c>
      <c r="DL190" s="9">
        <v>5</v>
      </c>
      <c r="DM190" s="9">
        <v>5</v>
      </c>
      <c r="DN190" s="9">
        <v>5</v>
      </c>
      <c r="DO190" s="9">
        <v>5</v>
      </c>
      <c r="DP190" s="25" t="s">
        <v>199</v>
      </c>
      <c r="DQ190" s="25" t="s">
        <v>113</v>
      </c>
      <c r="DR190" s="25" t="s">
        <v>199</v>
      </c>
      <c r="DS190" s="28" t="s">
        <v>204</v>
      </c>
      <c r="DT190" s="28" t="s">
        <v>109</v>
      </c>
      <c r="DU190" s="28" t="s">
        <v>119</v>
      </c>
      <c r="DV190" s="28">
        <f t="shared" si="100"/>
        <v>1</v>
      </c>
      <c r="DW190" s="28">
        <f t="shared" si="101"/>
        <v>1</v>
      </c>
      <c r="DX190" s="28">
        <f t="shared" si="102"/>
        <v>1</v>
      </c>
      <c r="DY190" s="28">
        <f t="shared" si="103"/>
        <v>2</v>
      </c>
      <c r="DZ190" s="28">
        <f t="shared" si="104"/>
        <v>2</v>
      </c>
      <c r="EA190" s="3">
        <f t="shared" si="105"/>
        <v>2</v>
      </c>
      <c r="EB190" s="39"/>
      <c r="EC190" s="9">
        <v>5401073</v>
      </c>
      <c r="ED190" s="34" t="s">
        <v>211</v>
      </c>
      <c r="EE190" s="8">
        <v>2</v>
      </c>
    </row>
    <row r="191" spans="1:135" ht="13.5" customHeight="1">
      <c r="A191" s="9">
        <v>188</v>
      </c>
      <c r="B191" s="9">
        <v>1</v>
      </c>
      <c r="C191" s="9">
        <v>2001</v>
      </c>
      <c r="D191" s="9">
        <f t="shared" si="118"/>
        <v>1178667</v>
      </c>
      <c r="E191" s="9" t="str">
        <f t="shared" si="85"/>
        <v>5202073,5202072,5202073,5401073,5400075,5400075</v>
      </c>
      <c r="F191" s="9" t="str">
        <f t="shared" si="86"/>
        <v>7,7,7,7,7,7</v>
      </c>
      <c r="G191" s="9" t="str">
        <f t="shared" si="87"/>
        <v>410,443,443,443,443,443</v>
      </c>
      <c r="H191" s="9">
        <v>115</v>
      </c>
      <c r="I191" s="9" t="s">
        <v>278</v>
      </c>
      <c r="J191" s="9" t="s">
        <v>279</v>
      </c>
      <c r="K191" s="9" t="s">
        <v>279</v>
      </c>
      <c r="L191" s="9" t="s">
        <v>279</v>
      </c>
      <c r="M191" s="36" t="s">
        <v>292</v>
      </c>
      <c r="O191" s="3">
        <f t="shared" si="124"/>
        <v>1178667</v>
      </c>
      <c r="P191" s="9">
        <v>956710.41</v>
      </c>
      <c r="Q191" s="9">
        <v>5202073</v>
      </c>
      <c r="R191" s="9">
        <v>5202072</v>
      </c>
      <c r="S191" s="9">
        <v>5202073</v>
      </c>
      <c r="T191" s="9">
        <v>5401073</v>
      </c>
      <c r="U191" s="9">
        <v>5400075</v>
      </c>
      <c r="V191" s="9">
        <v>5400075</v>
      </c>
      <c r="W191" s="9">
        <v>7</v>
      </c>
      <c r="X191" s="9">
        <v>7</v>
      </c>
      <c r="Y191" s="9">
        <v>7</v>
      </c>
      <c r="Z191" s="9">
        <v>7</v>
      </c>
      <c r="AA191" s="9">
        <v>7</v>
      </c>
      <c r="AB191" s="9">
        <v>7</v>
      </c>
      <c r="AC191" s="9">
        <f t="shared" si="106"/>
        <v>410</v>
      </c>
      <c r="AD191" s="9">
        <f t="shared" si="107"/>
        <v>443</v>
      </c>
      <c r="AE191" s="9">
        <f t="shared" si="108"/>
        <v>443</v>
      </c>
      <c r="AF191" s="9">
        <f t="shared" si="109"/>
        <v>443</v>
      </c>
      <c r="AG191" s="9">
        <f t="shared" si="110"/>
        <v>443</v>
      </c>
      <c r="AH191" s="9">
        <f t="shared" si="111"/>
        <v>443</v>
      </c>
      <c r="AI191" s="7">
        <f t="shared" si="123"/>
        <v>159451.73500000002</v>
      </c>
      <c r="AJ191" s="7">
        <f t="shared" si="120"/>
        <v>159451.73500000002</v>
      </c>
      <c r="AK191" s="7">
        <f t="shared" si="120"/>
        <v>159451.73500000002</v>
      </c>
      <c r="AL191" s="7">
        <f t="shared" si="120"/>
        <v>159451.73500000002</v>
      </c>
      <c r="AM191" s="7">
        <f t="shared" si="120"/>
        <v>159451.73500000002</v>
      </c>
      <c r="AN191" s="7">
        <f t="shared" si="120"/>
        <v>159451.73500000002</v>
      </c>
      <c r="AO191" s="16"/>
      <c r="AP191" s="7"/>
      <c r="AQ191" s="9">
        <v>6</v>
      </c>
      <c r="AR191" s="9">
        <f t="shared" si="112"/>
        <v>426</v>
      </c>
      <c r="AS191" s="7">
        <f t="shared" si="121"/>
        <v>194</v>
      </c>
      <c r="AT191" s="7"/>
      <c r="AU191" s="16"/>
      <c r="AV191" s="7"/>
      <c r="AW191" s="7"/>
      <c r="AX191" s="7"/>
      <c r="AZ191" s="7"/>
      <c r="BA191" s="9">
        <f t="shared" si="122"/>
        <v>136754.69999999981</v>
      </c>
      <c r="BC191" s="5">
        <f t="shared" si="114"/>
        <v>383</v>
      </c>
      <c r="BR191" s="5">
        <v>5300064</v>
      </c>
      <c r="BS191" s="18">
        <f>[1]monsters!$N191</f>
        <v>192</v>
      </c>
      <c r="BT191" s="18">
        <f>[1]monsters!$O191</f>
        <v>19.2</v>
      </c>
      <c r="BU191" s="18">
        <f>[1]monsters!$P191</f>
        <v>1600</v>
      </c>
      <c r="BV191" s="18">
        <f>[1]monsters!$Q191</f>
        <v>160</v>
      </c>
      <c r="BW191" s="18">
        <f>[1]monsters!$R191</f>
        <v>27.43</v>
      </c>
      <c r="BX191" s="18">
        <f>[1]monsters!$S191</f>
        <v>2.74</v>
      </c>
      <c r="BY191" s="18">
        <f>[1]monsters!$K191</f>
        <v>1.5</v>
      </c>
      <c r="BZ191" s="5">
        <f>[1]monsters!$D191</f>
        <v>4</v>
      </c>
      <c r="CA191" s="5">
        <f t="shared" si="115"/>
        <v>0.1</v>
      </c>
      <c r="CB191" s="5">
        <f t="shared" si="116"/>
        <v>235.31205387205389</v>
      </c>
      <c r="CC191" s="5">
        <f t="shared" si="117"/>
        <v>23.531205387205389</v>
      </c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>
        <v>0</v>
      </c>
      <c r="CR191" s="3" t="b">
        <f t="shared" si="88"/>
        <v>1</v>
      </c>
      <c r="CS191" s="3" t="b">
        <f t="shared" si="89"/>
        <v>1</v>
      </c>
      <c r="CT191" s="3" t="b">
        <f t="shared" si="90"/>
        <v>1</v>
      </c>
      <c r="CU191" s="3" t="b">
        <f t="shared" si="91"/>
        <v>1</v>
      </c>
      <c r="CV191" s="3" t="b">
        <f t="shared" si="92"/>
        <v>1</v>
      </c>
      <c r="CW191" s="3" t="b">
        <f t="shared" si="93"/>
        <v>1</v>
      </c>
      <c r="CX191" s="9" t="str">
        <f t="shared" si="94"/>
        <v>5202073</v>
      </c>
      <c r="CY191" s="9" t="str">
        <f t="shared" si="95"/>
        <v>5202072</v>
      </c>
      <c r="CZ191" s="9" t="str">
        <f t="shared" si="96"/>
        <v>5202073</v>
      </c>
      <c r="DA191" s="9" t="str">
        <f t="shared" si="97"/>
        <v>5401073</v>
      </c>
      <c r="DB191" s="9" t="str">
        <f t="shared" si="98"/>
        <v>5400075</v>
      </c>
      <c r="DC191" s="9" t="str">
        <f t="shared" si="99"/>
        <v>5400075</v>
      </c>
      <c r="DD191" s="9">
        <v>7</v>
      </c>
      <c r="DE191" s="9">
        <v>7</v>
      </c>
      <c r="DF191" s="9">
        <v>7</v>
      </c>
      <c r="DG191" s="9">
        <v>7</v>
      </c>
      <c r="DH191" s="9">
        <v>7</v>
      </c>
      <c r="DI191" s="9">
        <v>7</v>
      </c>
      <c r="DJ191" s="9">
        <v>5</v>
      </c>
      <c r="DK191" s="9">
        <v>5</v>
      </c>
      <c r="DL191" s="9">
        <v>5</v>
      </c>
      <c r="DM191" s="9">
        <v>5</v>
      </c>
      <c r="DN191" s="9">
        <v>5</v>
      </c>
      <c r="DO191" s="9">
        <v>5</v>
      </c>
      <c r="DP191" s="25" t="s">
        <v>208</v>
      </c>
      <c r="DQ191" s="25" t="s">
        <v>200</v>
      </c>
      <c r="DR191" s="25" t="s">
        <v>208</v>
      </c>
      <c r="DS191" s="26" t="s">
        <v>211</v>
      </c>
      <c r="DT191" s="25" t="s">
        <v>210</v>
      </c>
      <c r="DU191" s="25" t="s">
        <v>210</v>
      </c>
      <c r="DV191" s="25">
        <f t="shared" si="100"/>
        <v>1</v>
      </c>
      <c r="DW191" s="25">
        <f t="shared" si="101"/>
        <v>1</v>
      </c>
      <c r="DX191" s="25">
        <f t="shared" si="102"/>
        <v>1</v>
      </c>
      <c r="DY191" s="25">
        <f t="shared" si="103"/>
        <v>2</v>
      </c>
      <c r="DZ191" s="25">
        <f t="shared" si="104"/>
        <v>2</v>
      </c>
      <c r="EA191" s="3">
        <f t="shared" si="105"/>
        <v>2</v>
      </c>
      <c r="EB191" s="39"/>
      <c r="EC191" s="9">
        <v>5402073</v>
      </c>
      <c r="ED191" s="34" t="s">
        <v>118</v>
      </c>
      <c r="EE191" s="8">
        <v>2</v>
      </c>
    </row>
    <row r="192" spans="1:135" ht="13.5" customHeight="1">
      <c r="A192" s="9">
        <v>189</v>
      </c>
      <c r="B192" s="9">
        <v>1</v>
      </c>
      <c r="C192" s="9">
        <v>2001</v>
      </c>
      <c r="D192" s="9">
        <f t="shared" si="118"/>
        <v>1185517</v>
      </c>
      <c r="E192" s="9" t="str">
        <f t="shared" ref="E192:E203" si="125">Q192&amp;","&amp;R192&amp;","&amp;S192&amp;","&amp;T192&amp;","&amp;U192&amp;","&amp;V192</f>
        <v>5201071,5201072,5202071,5501074,5500073,5602074</v>
      </c>
      <c r="F192" s="9" t="str">
        <f t="shared" ref="F192:F203" si="126">W192&amp;","&amp;X192&amp;","&amp;Y192&amp;","&amp;Z192&amp;","&amp;AA192&amp;","&amp;AB192</f>
        <v>7,7,7,7,7,7</v>
      </c>
      <c r="G192" s="9" t="str">
        <f t="shared" ref="G192:G203" si="127">AC192&amp;","&amp;AD192&amp;","&amp;AE192&amp;","&amp;AF192&amp;","&amp;AG192&amp;","&amp;AH192</f>
        <v>411,445,445,445,445,445</v>
      </c>
      <c r="H192" s="9">
        <v>115</v>
      </c>
      <c r="I192" s="9" t="s">
        <v>278</v>
      </c>
      <c r="J192" s="9" t="s">
        <v>279</v>
      </c>
      <c r="K192" s="9" t="s">
        <v>279</v>
      </c>
      <c r="L192" s="9" t="s">
        <v>279</v>
      </c>
      <c r="M192" s="36" t="s">
        <v>292</v>
      </c>
      <c r="O192" s="3">
        <f t="shared" si="124"/>
        <v>1185517</v>
      </c>
      <c r="P192" s="9">
        <v>962270.47</v>
      </c>
      <c r="Q192" s="9">
        <v>5201071</v>
      </c>
      <c r="R192" s="9">
        <v>5201072</v>
      </c>
      <c r="S192" s="9">
        <v>5202071</v>
      </c>
      <c r="T192" s="9">
        <v>5501074</v>
      </c>
      <c r="U192" s="9">
        <v>5500073</v>
      </c>
      <c r="V192" s="9">
        <v>5602074</v>
      </c>
      <c r="W192" s="9">
        <v>7</v>
      </c>
      <c r="X192" s="9">
        <v>7</v>
      </c>
      <c r="Y192" s="9">
        <v>7</v>
      </c>
      <c r="Z192" s="9">
        <v>7</v>
      </c>
      <c r="AA192" s="9">
        <v>7</v>
      </c>
      <c r="AB192" s="9">
        <v>7</v>
      </c>
      <c r="AC192" s="9">
        <f t="shared" si="106"/>
        <v>411</v>
      </c>
      <c r="AD192" s="9">
        <f t="shared" si="107"/>
        <v>445</v>
      </c>
      <c r="AE192" s="9">
        <f t="shared" si="108"/>
        <v>445</v>
      </c>
      <c r="AF192" s="9">
        <f t="shared" si="109"/>
        <v>445</v>
      </c>
      <c r="AG192" s="9">
        <f t="shared" si="110"/>
        <v>445</v>
      </c>
      <c r="AH192" s="9">
        <f t="shared" si="111"/>
        <v>445</v>
      </c>
      <c r="AI192" s="7">
        <f t="shared" si="123"/>
        <v>160378.41166666665</v>
      </c>
      <c r="AJ192" s="7">
        <f t="shared" si="120"/>
        <v>160378.41166666665</v>
      </c>
      <c r="AK192" s="7">
        <f t="shared" si="120"/>
        <v>160378.41166666665</v>
      </c>
      <c r="AL192" s="7">
        <f t="shared" si="120"/>
        <v>160378.41166666665</v>
      </c>
      <c r="AM192" s="7">
        <f t="shared" si="120"/>
        <v>160378.41166666665</v>
      </c>
      <c r="AN192" s="7">
        <f t="shared" si="120"/>
        <v>160378.41166666665</v>
      </c>
      <c r="AO192" s="16"/>
      <c r="AP192" s="7"/>
      <c r="AQ192" s="9">
        <v>6</v>
      </c>
      <c r="AR192" s="9">
        <f t="shared" si="112"/>
        <v>427</v>
      </c>
      <c r="AS192" s="7">
        <f t="shared" si="121"/>
        <v>194</v>
      </c>
      <c r="AT192" s="7"/>
      <c r="AU192" s="16"/>
      <c r="AV192" s="7"/>
      <c r="AW192" s="7"/>
      <c r="AX192" s="7"/>
      <c r="AZ192" s="7"/>
      <c r="BA192" s="9">
        <f t="shared" si="122"/>
        <v>138845.8499999998</v>
      </c>
      <c r="BC192" s="5">
        <f t="shared" si="114"/>
        <v>384</v>
      </c>
      <c r="BR192" s="5">
        <v>5301064</v>
      </c>
      <c r="BS192" s="18">
        <f>[1]monsters!$N192</f>
        <v>224</v>
      </c>
      <c r="BT192" s="18">
        <f>[1]monsters!$O192</f>
        <v>22.4</v>
      </c>
      <c r="BU192" s="18">
        <f>[1]monsters!$P192</f>
        <v>1371.43</v>
      </c>
      <c r="BV192" s="18">
        <f>[1]monsters!$Q192</f>
        <v>137.13999999999999</v>
      </c>
      <c r="BW192" s="18">
        <f>[1]monsters!$R192</f>
        <v>28</v>
      </c>
      <c r="BX192" s="18">
        <f>[1]monsters!$S192</f>
        <v>2.8</v>
      </c>
      <c r="BY192" s="18">
        <f>[1]monsters!$K192</f>
        <v>1.5</v>
      </c>
      <c r="BZ192" s="5">
        <f>[1]monsters!$D192</f>
        <v>5</v>
      </c>
      <c r="CA192" s="5">
        <f t="shared" si="115"/>
        <v>0.1</v>
      </c>
      <c r="CB192" s="5">
        <f t="shared" si="116"/>
        <v>257.85609427609427</v>
      </c>
      <c r="CC192" s="5">
        <f t="shared" si="117"/>
        <v>25.78560942760943</v>
      </c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>
        <v>0</v>
      </c>
      <c r="CR192" s="3" t="b">
        <f t="shared" si="88"/>
        <v>1</v>
      </c>
      <c r="CS192" s="3" t="b">
        <f t="shared" si="89"/>
        <v>1</v>
      </c>
      <c r="CT192" s="3" t="b">
        <f t="shared" si="90"/>
        <v>1</v>
      </c>
      <c r="CU192" s="3" t="b">
        <f t="shared" si="91"/>
        <v>1</v>
      </c>
      <c r="CV192" s="3" t="b">
        <f t="shared" si="92"/>
        <v>1</v>
      </c>
      <c r="CW192" s="3" t="b">
        <f t="shared" si="93"/>
        <v>1</v>
      </c>
      <c r="CX192" s="9" t="str">
        <f t="shared" si="94"/>
        <v>5201071</v>
      </c>
      <c r="CY192" s="9" t="str">
        <f t="shared" si="95"/>
        <v>5201072</v>
      </c>
      <c r="CZ192" s="9" t="str">
        <f t="shared" si="96"/>
        <v>5202071</v>
      </c>
      <c r="DA192" s="9" t="str">
        <f t="shared" si="97"/>
        <v>5501074</v>
      </c>
      <c r="DB192" s="9" t="str">
        <f t="shared" si="98"/>
        <v>5500073</v>
      </c>
      <c r="DC192" s="9" t="str">
        <f t="shared" si="99"/>
        <v>5602074</v>
      </c>
      <c r="DD192" s="9">
        <v>7</v>
      </c>
      <c r="DE192" s="9">
        <v>7</v>
      </c>
      <c r="DF192" s="9">
        <v>7</v>
      </c>
      <c r="DG192" s="9">
        <v>7</v>
      </c>
      <c r="DH192" s="9">
        <v>7</v>
      </c>
      <c r="DI192" s="9">
        <v>7</v>
      </c>
      <c r="DJ192" s="9">
        <v>5</v>
      </c>
      <c r="DK192" s="9">
        <v>5</v>
      </c>
      <c r="DL192" s="9">
        <v>5</v>
      </c>
      <c r="DM192" s="9">
        <v>5</v>
      </c>
      <c r="DN192" s="9">
        <v>5</v>
      </c>
      <c r="DO192" s="9">
        <v>5</v>
      </c>
      <c r="DP192" s="25" t="s">
        <v>195</v>
      </c>
      <c r="DQ192" s="25" t="s">
        <v>114</v>
      </c>
      <c r="DR192" s="25" t="s">
        <v>111</v>
      </c>
      <c r="DS192" s="26" t="s">
        <v>214</v>
      </c>
      <c r="DT192" s="26" t="s">
        <v>207</v>
      </c>
      <c r="DU192" s="26" t="s">
        <v>220</v>
      </c>
      <c r="DV192" s="26">
        <f t="shared" si="100"/>
        <v>1</v>
      </c>
      <c r="DW192" s="26">
        <f t="shared" si="101"/>
        <v>1</v>
      </c>
      <c r="DX192" s="26">
        <f t="shared" si="102"/>
        <v>1</v>
      </c>
      <c r="DY192" s="26">
        <f t="shared" si="103"/>
        <v>2</v>
      </c>
      <c r="DZ192" s="26">
        <f t="shared" si="104"/>
        <v>2</v>
      </c>
      <c r="EA192" s="3">
        <f t="shared" si="105"/>
        <v>2</v>
      </c>
      <c r="EB192" s="39"/>
      <c r="EC192" s="9">
        <v>5500073</v>
      </c>
      <c r="ED192" s="34" t="s">
        <v>207</v>
      </c>
      <c r="EE192" s="8">
        <v>2</v>
      </c>
    </row>
    <row r="193" spans="1:137" ht="13.5" customHeight="1">
      <c r="A193" s="9">
        <v>190</v>
      </c>
      <c r="B193" s="9">
        <v>1</v>
      </c>
      <c r="C193" s="9">
        <v>2001</v>
      </c>
      <c r="D193" s="9">
        <f t="shared" si="118"/>
        <v>1193022</v>
      </c>
      <c r="E193" s="9" t="str">
        <f t="shared" si="125"/>
        <v>5200072,5301071,5202073,5402071,5501075,5500071</v>
      </c>
      <c r="F193" s="9" t="str">
        <f t="shared" si="126"/>
        <v>7,7,7,7,7,7</v>
      </c>
      <c r="G193" s="9" t="str">
        <f t="shared" si="127"/>
        <v>412,446,446,446,446,446</v>
      </c>
      <c r="H193" s="9">
        <v>116</v>
      </c>
      <c r="I193" s="9" t="s">
        <v>278</v>
      </c>
      <c r="J193" s="9" t="s">
        <v>279</v>
      </c>
      <c r="K193" s="9" t="s">
        <v>279</v>
      </c>
      <c r="L193" s="9" t="s">
        <v>279</v>
      </c>
      <c r="M193" s="36" t="s">
        <v>292</v>
      </c>
      <c r="O193" s="3">
        <f t="shared" si="124"/>
        <v>1193022</v>
      </c>
      <c r="P193" s="9">
        <v>968361.86</v>
      </c>
      <c r="Q193" s="9">
        <v>5200072</v>
      </c>
      <c r="R193" s="9">
        <v>5301071</v>
      </c>
      <c r="S193" s="9">
        <v>5202073</v>
      </c>
      <c r="T193" s="9">
        <v>5402071</v>
      </c>
      <c r="U193" s="9">
        <v>5501075</v>
      </c>
      <c r="V193" s="9">
        <v>5500071</v>
      </c>
      <c r="W193" s="9">
        <v>7</v>
      </c>
      <c r="X193" s="9">
        <v>7</v>
      </c>
      <c r="Y193" s="9">
        <v>7</v>
      </c>
      <c r="Z193" s="9">
        <v>7</v>
      </c>
      <c r="AA193" s="9">
        <v>7</v>
      </c>
      <c r="AB193" s="9">
        <v>7</v>
      </c>
      <c r="AC193" s="9">
        <f t="shared" si="106"/>
        <v>412</v>
      </c>
      <c r="AD193" s="9">
        <f t="shared" si="107"/>
        <v>446</v>
      </c>
      <c r="AE193" s="9">
        <f t="shared" si="108"/>
        <v>446</v>
      </c>
      <c r="AF193" s="9">
        <f t="shared" si="109"/>
        <v>446</v>
      </c>
      <c r="AG193" s="9">
        <f t="shared" si="110"/>
        <v>446</v>
      </c>
      <c r="AH193" s="9">
        <f t="shared" si="111"/>
        <v>446</v>
      </c>
      <c r="AI193" s="7">
        <f t="shared" si="123"/>
        <v>161393.64333333334</v>
      </c>
      <c r="AJ193" s="7">
        <f t="shared" si="120"/>
        <v>161393.64333333334</v>
      </c>
      <c r="AK193" s="7">
        <f t="shared" si="120"/>
        <v>161393.64333333334</v>
      </c>
      <c r="AL193" s="7">
        <f t="shared" si="120"/>
        <v>161393.64333333334</v>
      </c>
      <c r="AM193" s="7">
        <f t="shared" si="120"/>
        <v>161393.64333333334</v>
      </c>
      <c r="AN193" s="7">
        <f t="shared" si="120"/>
        <v>161393.64333333334</v>
      </c>
      <c r="AO193" s="16"/>
      <c r="AP193" s="7"/>
      <c r="AQ193" s="9">
        <v>6</v>
      </c>
      <c r="AR193" s="9">
        <f t="shared" si="112"/>
        <v>429</v>
      </c>
      <c r="AS193" s="7">
        <f t="shared" si="121"/>
        <v>195</v>
      </c>
      <c r="AT193" s="7"/>
      <c r="AU193" s="16"/>
      <c r="AV193" s="7"/>
      <c r="AW193" s="7"/>
      <c r="AX193" s="7"/>
      <c r="AZ193" s="7"/>
      <c r="BA193" s="9">
        <f t="shared" si="122"/>
        <v>140936.9999999998</v>
      </c>
      <c r="BC193" s="5">
        <f t="shared" si="114"/>
        <v>385</v>
      </c>
      <c r="BR193" s="5">
        <v>5401064</v>
      </c>
      <c r="BS193" s="18">
        <f>[1]monsters!$N193</f>
        <v>209.07</v>
      </c>
      <c r="BT193" s="18">
        <f>[1]monsters!$O193</f>
        <v>20.91</v>
      </c>
      <c r="BU193" s="18">
        <f>[1]monsters!$P193</f>
        <v>1371.43</v>
      </c>
      <c r="BV193" s="18">
        <f>[1]monsters!$Q193</f>
        <v>137.13999999999999</v>
      </c>
      <c r="BW193" s="18">
        <f>[1]monsters!$R193</f>
        <v>26.13</v>
      </c>
      <c r="BX193" s="18">
        <f>[1]monsters!$S193</f>
        <v>2.61</v>
      </c>
      <c r="BY193" s="18">
        <f>[1]monsters!$K193</f>
        <v>1.4</v>
      </c>
      <c r="BZ193" s="5">
        <f>[1]monsters!$D193</f>
        <v>5</v>
      </c>
      <c r="CA193" s="5">
        <f t="shared" si="115"/>
        <v>0.1</v>
      </c>
      <c r="CB193" s="5">
        <f t="shared" si="116"/>
        <v>243.74724427609431</v>
      </c>
      <c r="CC193" s="5">
        <f t="shared" si="117"/>
        <v>24.374724427609433</v>
      </c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>
        <v>1</v>
      </c>
      <c r="CR193" s="3" t="b">
        <f t="shared" si="88"/>
        <v>1</v>
      </c>
      <c r="CS193" s="3" t="b">
        <f t="shared" si="89"/>
        <v>1</v>
      </c>
      <c r="CT193" s="3" t="b">
        <f t="shared" si="90"/>
        <v>1</v>
      </c>
      <c r="CU193" s="3" t="b">
        <f t="shared" si="91"/>
        <v>1</v>
      </c>
      <c r="CV193" s="3" t="b">
        <f t="shared" si="92"/>
        <v>1</v>
      </c>
      <c r="CW193" s="3" t="b">
        <f t="shared" si="93"/>
        <v>1</v>
      </c>
      <c r="CX193" s="9" t="str">
        <f t="shared" si="94"/>
        <v>5200072</v>
      </c>
      <c r="CY193" s="9" t="str">
        <f t="shared" si="95"/>
        <v>5301071</v>
      </c>
      <c r="CZ193" s="9" t="str">
        <f t="shared" si="96"/>
        <v>5202073</v>
      </c>
      <c r="DA193" s="9" t="str">
        <f t="shared" si="97"/>
        <v>5402071</v>
      </c>
      <c r="DB193" s="9" t="str">
        <f t="shared" si="98"/>
        <v>5501075</v>
      </c>
      <c r="DC193" s="9" t="str">
        <f t="shared" si="99"/>
        <v>5500071</v>
      </c>
      <c r="DD193" s="9">
        <v>7</v>
      </c>
      <c r="DE193" s="9">
        <v>7</v>
      </c>
      <c r="DF193" s="9">
        <v>7</v>
      </c>
      <c r="DG193" s="9">
        <v>7</v>
      </c>
      <c r="DH193" s="9">
        <v>7</v>
      </c>
      <c r="DI193" s="9">
        <v>7</v>
      </c>
      <c r="DJ193" s="9">
        <v>5</v>
      </c>
      <c r="DK193" s="9">
        <v>5</v>
      </c>
      <c r="DL193" s="9">
        <v>5</v>
      </c>
      <c r="DM193" s="9">
        <v>5</v>
      </c>
      <c r="DN193" s="9">
        <v>5</v>
      </c>
      <c r="DO193" s="9">
        <v>5</v>
      </c>
      <c r="DP193" s="25" t="s">
        <v>199</v>
      </c>
      <c r="DQ193" s="26" t="s">
        <v>107</v>
      </c>
      <c r="DR193" s="25" t="s">
        <v>208</v>
      </c>
      <c r="DS193" s="26" t="s">
        <v>196</v>
      </c>
      <c r="DT193" s="26" t="s">
        <v>209</v>
      </c>
      <c r="DU193" s="28" t="s">
        <v>197</v>
      </c>
      <c r="DV193" s="28">
        <f t="shared" si="100"/>
        <v>1</v>
      </c>
      <c r="DW193" s="28">
        <f t="shared" si="101"/>
        <v>1</v>
      </c>
      <c r="DX193" s="28">
        <f t="shared" si="102"/>
        <v>1</v>
      </c>
      <c r="DY193" s="28">
        <f t="shared" si="103"/>
        <v>2</v>
      </c>
      <c r="DZ193" s="28">
        <f t="shared" si="104"/>
        <v>2</v>
      </c>
      <c r="EA193" s="3">
        <f t="shared" si="105"/>
        <v>2</v>
      </c>
      <c r="EB193" s="39"/>
      <c r="EC193" s="9">
        <v>5502073</v>
      </c>
      <c r="ED193" s="34" t="s">
        <v>215</v>
      </c>
      <c r="EE193" s="8">
        <v>2</v>
      </c>
    </row>
    <row r="194" spans="1:137" ht="13.5" customHeight="1">
      <c r="A194" s="9">
        <v>191</v>
      </c>
      <c r="B194" s="9">
        <v>1</v>
      </c>
      <c r="C194" s="9">
        <v>2001</v>
      </c>
      <c r="D194" s="9">
        <f t="shared" si="118"/>
        <v>1199913</v>
      </c>
      <c r="E194" s="9" t="str">
        <f t="shared" si="125"/>
        <v>5201073,5200073,5202075,5402073,5400075,5502071</v>
      </c>
      <c r="F194" s="9" t="str">
        <f t="shared" si="126"/>
        <v>7,7,7,7,7,7</v>
      </c>
      <c r="G194" s="9" t="str">
        <f t="shared" si="127"/>
        <v>413,447,447,447,447,447</v>
      </c>
      <c r="H194" s="9">
        <v>116</v>
      </c>
      <c r="I194" s="9" t="s">
        <v>278</v>
      </c>
      <c r="J194" s="9" t="s">
        <v>279</v>
      </c>
      <c r="K194" s="9" t="s">
        <v>279</v>
      </c>
      <c r="L194" s="9" t="s">
        <v>279</v>
      </c>
      <c r="M194" s="36" t="s">
        <v>292</v>
      </c>
      <c r="N194" s="40"/>
      <c r="O194" s="3">
        <f t="shared" si="124"/>
        <v>1199913</v>
      </c>
      <c r="P194" s="9">
        <v>973955.75</v>
      </c>
      <c r="Q194" s="9">
        <v>5201073</v>
      </c>
      <c r="R194" s="9">
        <v>5200073</v>
      </c>
      <c r="S194" s="9">
        <v>5202075</v>
      </c>
      <c r="T194" s="9">
        <v>5402073</v>
      </c>
      <c r="U194" s="9">
        <v>5400075</v>
      </c>
      <c r="V194" s="9">
        <v>5502071</v>
      </c>
      <c r="W194" s="9">
        <v>7</v>
      </c>
      <c r="X194" s="9">
        <v>7</v>
      </c>
      <c r="Y194" s="9">
        <v>7</v>
      </c>
      <c r="Z194" s="9">
        <v>7</v>
      </c>
      <c r="AA194" s="9">
        <v>7</v>
      </c>
      <c r="AB194" s="9">
        <v>7</v>
      </c>
      <c r="AC194" s="9">
        <f t="shared" si="106"/>
        <v>413</v>
      </c>
      <c r="AD194" s="9">
        <f t="shared" si="107"/>
        <v>447</v>
      </c>
      <c r="AE194" s="9">
        <f t="shared" si="108"/>
        <v>447</v>
      </c>
      <c r="AF194" s="9">
        <f t="shared" si="109"/>
        <v>447</v>
      </c>
      <c r="AG194" s="9">
        <f t="shared" si="110"/>
        <v>447</v>
      </c>
      <c r="AH194" s="9">
        <f t="shared" si="111"/>
        <v>447</v>
      </c>
      <c r="AI194" s="7">
        <f t="shared" si="123"/>
        <v>162325.95833333334</v>
      </c>
      <c r="AJ194" s="7">
        <f t="shared" si="120"/>
        <v>162325.95833333334</v>
      </c>
      <c r="AK194" s="7">
        <f t="shared" si="120"/>
        <v>162325.95833333334</v>
      </c>
      <c r="AL194" s="7">
        <f t="shared" si="120"/>
        <v>162325.95833333334</v>
      </c>
      <c r="AM194" s="7">
        <f t="shared" si="120"/>
        <v>162325.95833333334</v>
      </c>
      <c r="AN194" s="7">
        <f t="shared" si="120"/>
        <v>162325.95833333334</v>
      </c>
      <c r="AO194" s="16"/>
      <c r="AP194" s="7"/>
      <c r="AQ194" s="9">
        <v>6</v>
      </c>
      <c r="AR194" s="9">
        <f t="shared" si="112"/>
        <v>430</v>
      </c>
      <c r="AS194" s="7">
        <f t="shared" si="121"/>
        <v>195</v>
      </c>
      <c r="AT194" s="7"/>
      <c r="AU194" s="16"/>
      <c r="AV194" s="7"/>
      <c r="AW194" s="7"/>
      <c r="AX194" s="7"/>
      <c r="AZ194" s="7"/>
      <c r="BA194" s="9">
        <f t="shared" si="122"/>
        <v>143028.14999999979</v>
      </c>
      <c r="BC194" s="5">
        <f t="shared" si="114"/>
        <v>386</v>
      </c>
      <c r="BR194" s="5">
        <v>5402064</v>
      </c>
      <c r="BS194" s="18">
        <f>[1]monsters!$N194</f>
        <v>248</v>
      </c>
      <c r="BT194" s="18">
        <f>[1]monsters!$O194</f>
        <v>24.8</v>
      </c>
      <c r="BU194" s="18">
        <f>[1]monsters!$P194</f>
        <v>1238.71</v>
      </c>
      <c r="BV194" s="18">
        <f>[1]monsters!$Q194</f>
        <v>123.87</v>
      </c>
      <c r="BW194" s="18">
        <f>[1]monsters!$R194</f>
        <v>24.8</v>
      </c>
      <c r="BX194" s="18">
        <f>[1]monsters!$S194</f>
        <v>2.48</v>
      </c>
      <c r="BY194" s="18">
        <f>[1]monsters!$K194</f>
        <v>1.5</v>
      </c>
      <c r="BZ194" s="5">
        <f>[1]monsters!$D194</f>
        <v>6</v>
      </c>
      <c r="CA194" s="5">
        <f t="shared" si="115"/>
        <v>0.1</v>
      </c>
      <c r="CB194" s="5">
        <f t="shared" si="116"/>
        <v>276.06740740740747</v>
      </c>
      <c r="CC194" s="5">
        <f t="shared" si="117"/>
        <v>27.606740740740747</v>
      </c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>
        <v>0</v>
      </c>
      <c r="CR194" s="3" t="b">
        <f t="shared" si="88"/>
        <v>1</v>
      </c>
      <c r="CS194" s="3" t="b">
        <f t="shared" si="89"/>
        <v>1</v>
      </c>
      <c r="CT194" s="3" t="b">
        <f t="shared" si="90"/>
        <v>1</v>
      </c>
      <c r="CU194" s="3" t="b">
        <f t="shared" si="91"/>
        <v>1</v>
      </c>
      <c r="CV194" s="3" t="b">
        <f t="shared" si="92"/>
        <v>1</v>
      </c>
      <c r="CW194" s="3" t="b">
        <f t="shared" si="93"/>
        <v>1</v>
      </c>
      <c r="CX194" s="9" t="str">
        <f t="shared" si="94"/>
        <v>5201073</v>
      </c>
      <c r="CY194" s="9" t="str">
        <f t="shared" si="95"/>
        <v>5200073</v>
      </c>
      <c r="CZ194" s="9" t="str">
        <f t="shared" si="96"/>
        <v>5202075</v>
      </c>
      <c r="DA194" s="9" t="str">
        <f t="shared" si="97"/>
        <v>5402073</v>
      </c>
      <c r="DB194" s="9" t="str">
        <f t="shared" si="98"/>
        <v>5400075</v>
      </c>
      <c r="DC194" s="9" t="str">
        <f t="shared" si="99"/>
        <v>5502071</v>
      </c>
      <c r="DD194" s="9">
        <v>7</v>
      </c>
      <c r="DE194" s="9">
        <v>7</v>
      </c>
      <c r="DF194" s="9">
        <v>7</v>
      </c>
      <c r="DG194" s="9">
        <v>7</v>
      </c>
      <c r="DH194" s="9">
        <v>7</v>
      </c>
      <c r="DI194" s="9">
        <v>7</v>
      </c>
      <c r="DJ194" s="9">
        <v>5</v>
      </c>
      <c r="DK194" s="9">
        <v>5</v>
      </c>
      <c r="DL194" s="9">
        <v>5</v>
      </c>
      <c r="DM194" s="9">
        <v>5</v>
      </c>
      <c r="DN194" s="9">
        <v>5</v>
      </c>
      <c r="DO194" s="9">
        <v>5</v>
      </c>
      <c r="DP194" s="25" t="s">
        <v>205</v>
      </c>
      <c r="DQ194" s="25" t="s">
        <v>113</v>
      </c>
      <c r="DR194" s="25" t="s">
        <v>213</v>
      </c>
      <c r="DS194" s="26" t="s">
        <v>118</v>
      </c>
      <c r="DT194" s="25" t="s">
        <v>210</v>
      </c>
      <c r="DU194" s="26" t="s">
        <v>119</v>
      </c>
      <c r="DV194" s="26">
        <f t="shared" si="100"/>
        <v>1</v>
      </c>
      <c r="DW194" s="26">
        <f t="shared" si="101"/>
        <v>1</v>
      </c>
      <c r="DX194" s="26">
        <f t="shared" si="102"/>
        <v>1</v>
      </c>
      <c r="DY194" s="26">
        <f t="shared" si="103"/>
        <v>2</v>
      </c>
      <c r="DZ194" s="26">
        <f t="shared" si="104"/>
        <v>2</v>
      </c>
      <c r="EA194" s="3">
        <f t="shared" si="105"/>
        <v>2</v>
      </c>
      <c r="EB194" s="39"/>
      <c r="EC194" s="9">
        <v>5601073</v>
      </c>
      <c r="ED194" s="34" t="s">
        <v>216</v>
      </c>
      <c r="EE194" s="8">
        <v>2</v>
      </c>
    </row>
    <row r="195" spans="1:137" ht="13.5" customHeight="1">
      <c r="A195" s="9">
        <v>192</v>
      </c>
      <c r="B195" s="9">
        <v>1</v>
      </c>
      <c r="C195" s="9">
        <v>2001</v>
      </c>
      <c r="D195" s="9">
        <f t="shared" si="118"/>
        <v>1206825</v>
      </c>
      <c r="E195" s="9" t="str">
        <f t="shared" si="125"/>
        <v>5201071,5201072,5301073,5502071,5601071,5401071</v>
      </c>
      <c r="F195" s="9" t="str">
        <f t="shared" si="126"/>
        <v>7,7,7,7,7,7</v>
      </c>
      <c r="G195" s="9" t="str">
        <f t="shared" si="127"/>
        <v>415,449,449,449,449,449</v>
      </c>
      <c r="H195" s="9">
        <v>116</v>
      </c>
      <c r="I195" s="9" t="s">
        <v>278</v>
      </c>
      <c r="J195" s="9" t="s">
        <v>279</v>
      </c>
      <c r="K195" s="9" t="s">
        <v>279</v>
      </c>
      <c r="L195" s="9" t="s">
        <v>279</v>
      </c>
      <c r="M195" s="36" t="s">
        <v>292</v>
      </c>
      <c r="N195" s="40"/>
      <c r="O195" s="3">
        <f t="shared" si="124"/>
        <v>1206825</v>
      </c>
      <c r="P195" s="9">
        <v>979565.56</v>
      </c>
      <c r="Q195" s="9">
        <v>5201071</v>
      </c>
      <c r="R195" s="9">
        <v>5201072</v>
      </c>
      <c r="S195" s="9">
        <v>5301073</v>
      </c>
      <c r="T195" s="9">
        <v>5502071</v>
      </c>
      <c r="U195" s="9">
        <v>5601071</v>
      </c>
      <c r="V195" s="9">
        <v>5401071</v>
      </c>
      <c r="W195" s="9">
        <v>7</v>
      </c>
      <c r="X195" s="9">
        <v>7</v>
      </c>
      <c r="Y195" s="9">
        <v>7</v>
      </c>
      <c r="Z195" s="9">
        <v>7</v>
      </c>
      <c r="AA195" s="9">
        <v>7</v>
      </c>
      <c r="AB195" s="9">
        <v>7</v>
      </c>
      <c r="AC195" s="9">
        <f t="shared" si="106"/>
        <v>415</v>
      </c>
      <c r="AD195" s="9">
        <f t="shared" si="107"/>
        <v>449</v>
      </c>
      <c r="AE195" s="9">
        <f t="shared" si="108"/>
        <v>449</v>
      </c>
      <c r="AF195" s="9">
        <f t="shared" si="109"/>
        <v>449</v>
      </c>
      <c r="AG195" s="9">
        <f t="shared" si="110"/>
        <v>449</v>
      </c>
      <c r="AH195" s="9">
        <f t="shared" si="111"/>
        <v>449</v>
      </c>
      <c r="AI195" s="7">
        <f t="shared" si="123"/>
        <v>163260.92666666667</v>
      </c>
      <c r="AJ195" s="7">
        <f t="shared" si="120"/>
        <v>163260.92666666667</v>
      </c>
      <c r="AK195" s="7">
        <f t="shared" si="120"/>
        <v>163260.92666666667</v>
      </c>
      <c r="AL195" s="7">
        <f t="shared" si="120"/>
        <v>163260.92666666667</v>
      </c>
      <c r="AM195" s="7">
        <f t="shared" si="120"/>
        <v>163260.92666666667</v>
      </c>
      <c r="AN195" s="7">
        <f t="shared" si="120"/>
        <v>163260.92666666667</v>
      </c>
      <c r="AO195" s="16"/>
      <c r="AP195" s="7"/>
      <c r="AQ195" s="9">
        <v>6</v>
      </c>
      <c r="AR195" s="9">
        <f t="shared" si="112"/>
        <v>431</v>
      </c>
      <c r="AS195" s="7">
        <f t="shared" si="121"/>
        <v>196</v>
      </c>
      <c r="AT195" s="7"/>
      <c r="AU195" s="16"/>
      <c r="AV195" s="7"/>
      <c r="AW195" s="7"/>
      <c r="AX195" s="7"/>
      <c r="AZ195" s="7"/>
      <c r="BA195" s="9">
        <f t="shared" si="122"/>
        <v>145119.29999999978</v>
      </c>
      <c r="BC195" s="5">
        <f t="shared" si="114"/>
        <v>387</v>
      </c>
      <c r="BR195" s="5">
        <v>5501064</v>
      </c>
      <c r="BS195" s="18">
        <f>[1]monsters!$N195</f>
        <v>153.6</v>
      </c>
      <c r="BT195" s="18">
        <f>[1]monsters!$O195</f>
        <v>15.36</v>
      </c>
      <c r="BU195" s="18">
        <f>[1]monsters!$P195</f>
        <v>2400</v>
      </c>
      <c r="BV195" s="18">
        <f>[1]monsters!$Q195</f>
        <v>240</v>
      </c>
      <c r="BW195" s="18">
        <f>[1]monsters!$R195</f>
        <v>51.2</v>
      </c>
      <c r="BX195" s="18">
        <f>[1]monsters!$S195</f>
        <v>5.12</v>
      </c>
      <c r="BY195" s="18">
        <f>[1]monsters!$K195</f>
        <v>1.8</v>
      </c>
      <c r="BZ195" s="5">
        <f>[1]monsters!$D195</f>
        <v>2</v>
      </c>
      <c r="CA195" s="5">
        <f t="shared" si="115"/>
        <v>0.1</v>
      </c>
      <c r="CB195" s="5">
        <f t="shared" si="116"/>
        <v>225.96008080808082</v>
      </c>
      <c r="CC195" s="5">
        <f t="shared" si="117"/>
        <v>22.596008080808083</v>
      </c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>
        <v>0</v>
      </c>
      <c r="CR195" s="3" t="b">
        <f t="shared" si="88"/>
        <v>1</v>
      </c>
      <c r="CS195" s="3" t="b">
        <f t="shared" si="89"/>
        <v>1</v>
      </c>
      <c r="CT195" s="3" t="b">
        <f t="shared" si="90"/>
        <v>1</v>
      </c>
      <c r="CU195" s="3" t="b">
        <f t="shared" si="91"/>
        <v>1</v>
      </c>
      <c r="CV195" s="3" t="b">
        <f t="shared" si="92"/>
        <v>1</v>
      </c>
      <c r="CW195" s="3" t="b">
        <f t="shared" si="93"/>
        <v>1</v>
      </c>
      <c r="CX195" s="9" t="str">
        <f t="shared" si="94"/>
        <v>5201071</v>
      </c>
      <c r="CY195" s="9" t="str">
        <f t="shared" si="95"/>
        <v>5201072</v>
      </c>
      <c r="CZ195" s="9" t="str">
        <f t="shared" si="96"/>
        <v>5301073</v>
      </c>
      <c r="DA195" s="9" t="str">
        <f t="shared" si="97"/>
        <v>5502071</v>
      </c>
      <c r="DB195" s="9" t="str">
        <f t="shared" si="98"/>
        <v>5601071</v>
      </c>
      <c r="DC195" s="9" t="str">
        <f t="shared" si="99"/>
        <v>5401071</v>
      </c>
      <c r="DD195" s="9">
        <v>7</v>
      </c>
      <c r="DE195" s="9">
        <v>7</v>
      </c>
      <c r="DF195" s="9">
        <v>7</v>
      </c>
      <c r="DG195" s="9">
        <v>7</v>
      </c>
      <c r="DH195" s="9">
        <v>7</v>
      </c>
      <c r="DI195" s="9">
        <v>7</v>
      </c>
      <c r="DJ195" s="9">
        <v>5</v>
      </c>
      <c r="DK195" s="9">
        <v>5</v>
      </c>
      <c r="DL195" s="9">
        <v>5</v>
      </c>
      <c r="DM195" s="9">
        <v>5</v>
      </c>
      <c r="DN195" s="9">
        <v>5</v>
      </c>
      <c r="DO195" s="9">
        <v>5</v>
      </c>
      <c r="DP195" s="25" t="s">
        <v>195</v>
      </c>
      <c r="DQ195" s="25" t="s">
        <v>114</v>
      </c>
      <c r="DR195" s="25" t="s">
        <v>206</v>
      </c>
      <c r="DS195" s="25" t="s">
        <v>119</v>
      </c>
      <c r="DT195" s="25" t="s">
        <v>198</v>
      </c>
      <c r="DU195" s="25" t="s">
        <v>117</v>
      </c>
      <c r="DV195" s="25">
        <f t="shared" si="100"/>
        <v>1</v>
      </c>
      <c r="DW195" s="25">
        <f t="shared" si="101"/>
        <v>1</v>
      </c>
      <c r="DX195" s="25">
        <f t="shared" si="102"/>
        <v>1</v>
      </c>
      <c r="DY195" s="25">
        <f t="shared" si="103"/>
        <v>2</v>
      </c>
      <c r="DZ195" s="25">
        <f t="shared" si="104"/>
        <v>2</v>
      </c>
      <c r="EA195" s="3">
        <f t="shared" si="105"/>
        <v>2</v>
      </c>
      <c r="EB195" s="39"/>
      <c r="EC195" s="9">
        <v>5201074</v>
      </c>
      <c r="ED195" s="34" t="s">
        <v>217</v>
      </c>
      <c r="EE195" s="8">
        <v>1</v>
      </c>
    </row>
    <row r="196" spans="1:137" ht="13.5" customHeight="1">
      <c r="A196" s="9">
        <v>193</v>
      </c>
      <c r="B196" s="9">
        <v>1</v>
      </c>
      <c r="C196" s="9">
        <v>2001</v>
      </c>
      <c r="D196" s="9">
        <f t="shared" si="118"/>
        <v>1213756</v>
      </c>
      <c r="E196" s="9" t="str">
        <f t="shared" si="125"/>
        <v>5200072,5200073,5200072,5502072,5500072,5502071</v>
      </c>
      <c r="F196" s="9" t="str">
        <f t="shared" si="126"/>
        <v>7,7,7,7,7,7</v>
      </c>
      <c r="G196" s="9" t="str">
        <f t="shared" si="127"/>
        <v>416,450,450,450,450,450</v>
      </c>
      <c r="H196" s="9">
        <v>117</v>
      </c>
      <c r="I196" s="9" t="s">
        <v>278</v>
      </c>
      <c r="J196" s="9" t="s">
        <v>279</v>
      </c>
      <c r="K196" s="9" t="s">
        <v>279</v>
      </c>
      <c r="L196" s="9" t="s">
        <v>279</v>
      </c>
      <c r="M196" s="36" t="s">
        <v>292</v>
      </c>
      <c r="N196" s="40"/>
      <c r="O196" s="3">
        <f t="shared" si="124"/>
        <v>1213756</v>
      </c>
      <c r="P196" s="9">
        <v>985191.29</v>
      </c>
      <c r="Q196" s="9">
        <v>5200072</v>
      </c>
      <c r="R196" s="9">
        <v>5200073</v>
      </c>
      <c r="S196" s="9">
        <v>5200072</v>
      </c>
      <c r="T196" s="9">
        <v>5502072</v>
      </c>
      <c r="U196" s="9">
        <v>5500072</v>
      </c>
      <c r="V196" s="9">
        <v>5502071</v>
      </c>
      <c r="W196" s="9">
        <v>7</v>
      </c>
      <c r="X196" s="9">
        <v>7</v>
      </c>
      <c r="Y196" s="9">
        <v>7</v>
      </c>
      <c r="Z196" s="9">
        <v>7</v>
      </c>
      <c r="AA196" s="9">
        <v>7</v>
      </c>
      <c r="AB196" s="9">
        <v>7</v>
      </c>
      <c r="AC196" s="9">
        <f t="shared" si="106"/>
        <v>416</v>
      </c>
      <c r="AD196" s="9">
        <f t="shared" si="107"/>
        <v>450</v>
      </c>
      <c r="AE196" s="9">
        <f t="shared" si="108"/>
        <v>450</v>
      </c>
      <c r="AF196" s="9">
        <f t="shared" si="109"/>
        <v>450</v>
      </c>
      <c r="AG196" s="9">
        <f t="shared" si="110"/>
        <v>450</v>
      </c>
      <c r="AH196" s="9">
        <f t="shared" si="111"/>
        <v>450</v>
      </c>
      <c r="AI196" s="7">
        <f t="shared" si="123"/>
        <v>164198.54833333334</v>
      </c>
      <c r="AJ196" s="7">
        <f t="shared" si="120"/>
        <v>164198.54833333334</v>
      </c>
      <c r="AK196" s="7">
        <f t="shared" si="120"/>
        <v>164198.54833333334</v>
      </c>
      <c r="AL196" s="7">
        <f t="shared" si="120"/>
        <v>164198.54833333334</v>
      </c>
      <c r="AM196" s="7">
        <f t="shared" si="120"/>
        <v>164198.54833333334</v>
      </c>
      <c r="AN196" s="7">
        <f t="shared" si="120"/>
        <v>164198.54833333334</v>
      </c>
      <c r="AO196" s="16"/>
      <c r="AP196" s="7"/>
      <c r="AQ196" s="9">
        <v>6</v>
      </c>
      <c r="AR196" s="9">
        <f t="shared" si="112"/>
        <v>433</v>
      </c>
      <c r="AS196" s="7">
        <f t="shared" si="121"/>
        <v>196</v>
      </c>
      <c r="AT196" s="7"/>
      <c r="AU196" s="16"/>
      <c r="AV196" s="7"/>
      <c r="AW196" s="7"/>
      <c r="AX196" s="7"/>
      <c r="AZ196" s="7"/>
      <c r="BA196" s="9">
        <f t="shared" si="122"/>
        <v>147210.44999999978</v>
      </c>
      <c r="BC196" s="5">
        <f t="shared" si="114"/>
        <v>388</v>
      </c>
      <c r="BR196" s="5">
        <v>5502064</v>
      </c>
      <c r="BS196" s="18">
        <f>[1]monsters!$N196</f>
        <v>134.4</v>
      </c>
      <c r="BT196" s="18">
        <f>[1]monsters!$O196</f>
        <v>13.44</v>
      </c>
      <c r="BU196" s="18">
        <f>[1]monsters!$P196</f>
        <v>2133.33</v>
      </c>
      <c r="BV196" s="18">
        <f>[1]monsters!$Q196</f>
        <v>213.33</v>
      </c>
      <c r="BW196" s="18">
        <f>[1]monsters!$R196</f>
        <v>26.88</v>
      </c>
      <c r="BX196" s="18">
        <f>[1]monsters!$S196</f>
        <v>2.69</v>
      </c>
      <c r="BY196" s="18">
        <f>[1]monsters!$K196</f>
        <v>1.4</v>
      </c>
      <c r="BZ196" s="5">
        <f>[1]monsters!$D196</f>
        <v>3</v>
      </c>
      <c r="CA196" s="5">
        <f t="shared" si="115"/>
        <v>0.1</v>
      </c>
      <c r="CB196" s="5">
        <f t="shared" si="116"/>
        <v>198.83729292929291</v>
      </c>
      <c r="CC196" s="5">
        <f t="shared" si="117"/>
        <v>19.883729292929292</v>
      </c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>
        <v>0</v>
      </c>
      <c r="CR196" s="3" t="b">
        <f t="shared" ref="CR196:CR259" si="128">IF(ISERROR(MATCH(INT(CX196),$EC$4:$EC$426,0))=FALSE,TRUE)</f>
        <v>1</v>
      </c>
      <c r="CS196" s="3" t="b">
        <f t="shared" ref="CS196:CS259" si="129">IF(ISERROR(MATCH(INT(CY196),$EC$4:$EC$426,0))=FALSE,TRUE)</f>
        <v>1</v>
      </c>
      <c r="CT196" s="3" t="b">
        <f t="shared" ref="CT196:CT259" si="130">IF(ISERROR(MATCH(INT(CZ196),$EC$4:$EC$426,0))=FALSE,TRUE)</f>
        <v>1</v>
      </c>
      <c r="CU196" s="3" t="b">
        <f t="shared" ref="CU196:CU259" si="131">IF(ISERROR(MATCH(INT(DA196),$EC$4:$EC$426,0))=FALSE,TRUE)</f>
        <v>1</v>
      </c>
      <c r="CV196" s="3" t="b">
        <f t="shared" ref="CV196:CV259" si="132">IF(ISERROR(MATCH(INT(DB196),$EC$4:$EC$426,0))=FALSE,TRUE)</f>
        <v>1</v>
      </c>
      <c r="CW196" s="3" t="b">
        <f t="shared" ref="CW196:CW259" si="133">IF(ISERROR(MATCH(INT(DC196),$EC$4:$EC$426,0))=FALSE,TRUE)</f>
        <v>1</v>
      </c>
      <c r="CX196" s="9" t="str">
        <f t="shared" ref="CX196:CX259" si="134">REPLACE(REPLACE(INDEX($EC$4:$EC$426,MATCH(DP196,$ED$4:$ED$426,0)),IF(DD196&gt;9,5,6),IF(DD196&gt;9,2,1),DD196),1,1,DJ196)</f>
        <v>5200072</v>
      </c>
      <c r="CY196" s="9" t="str">
        <f t="shared" ref="CY196:CY259" si="135">REPLACE(REPLACE(INDEX($EC$4:$EC$426,MATCH(DQ196,$ED$4:$ED$426,0)),IF(DE196&gt;9,5,6),IF(DE196&gt;9,2,1),DE196),1,1,DK196)</f>
        <v>5200073</v>
      </c>
      <c r="CZ196" s="9" t="str">
        <f t="shared" ref="CZ196:CZ259" si="136">REPLACE(REPLACE(INDEX($EC$4:$EC$426,MATCH(DR196,$ED$4:$ED$426,0)),IF(DF196&gt;9,5,6),IF(DF196&gt;9,2,1),DF196),1,1,DL196)</f>
        <v>5200072</v>
      </c>
      <c r="DA196" s="9" t="str">
        <f t="shared" ref="DA196:DA259" si="137">REPLACE(REPLACE(INDEX($EC$4:$EC$426,MATCH(DS196,$ED$4:$ED$426,0)),IF(DG196&gt;9,5,6),IF(DG196&gt;9,2,1),DG196),1,1,DM196)</f>
        <v>5502072</v>
      </c>
      <c r="DB196" s="9" t="str">
        <f t="shared" ref="DB196:DB259" si="138">REPLACE(REPLACE(INDEX($EC$4:$EC$426,MATCH(DT196,$ED$4:$ED$426,0)),IF(DH196&gt;9,5,6),IF(DH196&gt;9,2,1),DH196),1,1,DN196)</f>
        <v>5500072</v>
      </c>
      <c r="DC196" s="9" t="str">
        <f t="shared" ref="DC196:DC259" si="139">REPLACE(REPLACE(INDEX($EC$4:$EC$426,MATCH(DU196,$ED$4:$ED$426,0)),IF(DI196&gt;9,5,6),IF(DI196&gt;9,2,1),DI196),1,1,DO196)</f>
        <v>5502071</v>
      </c>
      <c r="DD196" s="9">
        <v>7</v>
      </c>
      <c r="DE196" s="9">
        <v>7</v>
      </c>
      <c r="DF196" s="9">
        <v>7</v>
      </c>
      <c r="DG196" s="9">
        <v>7</v>
      </c>
      <c r="DH196" s="9">
        <v>7</v>
      </c>
      <c r="DI196" s="9">
        <v>7</v>
      </c>
      <c r="DJ196" s="9">
        <v>5</v>
      </c>
      <c r="DK196" s="9">
        <v>5</v>
      </c>
      <c r="DL196" s="9">
        <v>5</v>
      </c>
      <c r="DM196" s="9">
        <v>5</v>
      </c>
      <c r="DN196" s="9">
        <v>5</v>
      </c>
      <c r="DO196" s="9">
        <v>5</v>
      </c>
      <c r="DP196" s="25" t="s">
        <v>199</v>
      </c>
      <c r="DQ196" s="25" t="s">
        <v>113</v>
      </c>
      <c r="DR196" s="25" t="s">
        <v>199</v>
      </c>
      <c r="DS196" s="25" t="s">
        <v>204</v>
      </c>
      <c r="DT196" s="25" t="s">
        <v>109</v>
      </c>
      <c r="DU196" s="25" t="s">
        <v>119</v>
      </c>
      <c r="DV196" s="25">
        <f t="shared" ref="DV196:DV259" si="140">INDEX($EE$4:$EE$426,MATCH(DP196,$ED$4:$ED$426,0))</f>
        <v>1</v>
      </c>
      <c r="DW196" s="25">
        <f t="shared" ref="DW196:DW259" si="141">INDEX($EE$4:$EE$426,MATCH(DQ196,$ED$4:$ED$426,0))</f>
        <v>1</v>
      </c>
      <c r="DX196" s="25">
        <f t="shared" ref="DX196:DX259" si="142">INDEX($EE$4:$EE$426,MATCH(DR196,$ED$4:$ED$426,0))</f>
        <v>1</v>
      </c>
      <c r="DY196" s="25">
        <f t="shared" ref="DY196:DY259" si="143">INDEX($EE$4:$EE$426,MATCH(DS196,$ED$4:$ED$426,0))</f>
        <v>2</v>
      </c>
      <c r="DZ196" s="25">
        <f t="shared" ref="DZ196:DZ259" si="144">INDEX($EE$4:$EE$426,MATCH(DT196,$ED$4:$ED$426,0))</f>
        <v>2</v>
      </c>
      <c r="EA196" s="3">
        <f t="shared" ref="EA196:EA259" si="145">INDEX($EE$4:$EE$426,MATCH(DU196,$ED$4:$ED$426,0))</f>
        <v>2</v>
      </c>
      <c r="EB196" s="39"/>
      <c r="EC196" s="9">
        <v>5302074</v>
      </c>
      <c r="ED196" s="34" t="s">
        <v>218</v>
      </c>
      <c r="EE196" s="8">
        <v>1</v>
      </c>
    </row>
    <row r="197" spans="1:137" ht="13.5" customHeight="1">
      <c r="A197" s="9">
        <v>194</v>
      </c>
      <c r="B197" s="9">
        <v>1</v>
      </c>
      <c r="C197" s="9">
        <v>2001</v>
      </c>
      <c r="D197" s="9">
        <f t="shared" si="118"/>
        <v>1220706</v>
      </c>
      <c r="E197" s="9" t="str">
        <f t="shared" si="125"/>
        <v>5202073,5202072,5202073,5401073,5402072,5401073</v>
      </c>
      <c r="F197" s="9" t="str">
        <f t="shared" si="126"/>
        <v>7,7,7,7,7,7</v>
      </c>
      <c r="G197" s="9" t="str">
        <f t="shared" si="127"/>
        <v>417,451,451,451,451,451</v>
      </c>
      <c r="H197" s="9">
        <v>117</v>
      </c>
      <c r="I197" s="9" t="s">
        <v>278</v>
      </c>
      <c r="J197" s="9" t="s">
        <v>279</v>
      </c>
      <c r="K197" s="9" t="s">
        <v>279</v>
      </c>
      <c r="L197" s="9" t="s">
        <v>279</v>
      </c>
      <c r="M197" s="36" t="s">
        <v>292</v>
      </c>
      <c r="N197" s="40"/>
      <c r="O197" s="3">
        <f t="shared" si="124"/>
        <v>1220706</v>
      </c>
      <c r="P197" s="9">
        <v>990832.94</v>
      </c>
      <c r="Q197" s="9">
        <v>5202073</v>
      </c>
      <c r="R197" s="9">
        <v>5202072</v>
      </c>
      <c r="S197" s="9">
        <v>5202073</v>
      </c>
      <c r="T197" s="9">
        <v>5401073</v>
      </c>
      <c r="U197" s="9">
        <v>5402072</v>
      </c>
      <c r="V197" s="9">
        <v>5401073</v>
      </c>
      <c r="W197" s="9">
        <v>7</v>
      </c>
      <c r="X197" s="9">
        <v>7</v>
      </c>
      <c r="Y197" s="9">
        <v>7</v>
      </c>
      <c r="Z197" s="9">
        <v>7</v>
      </c>
      <c r="AA197" s="9">
        <v>7</v>
      </c>
      <c r="AB197" s="9">
        <v>7</v>
      </c>
      <c r="AC197" s="9">
        <f t="shared" ref="AC197:AC260" si="146">IF(AI197&gt;0,FLOOR((POWER((AI197/IF(AND(W197&gt;=2,W197&lt;4),1.1,IF(AND(W197&gt;=4,W197&lt;6),1.2,IF(W197&gt;=6,1.4,1)))/$Z$1),0.5)/INDEX($BD$4:$BQ$4,MATCH(W197,$BD$3:$BQ$3,0))-1)*10,1),"")</f>
        <v>417</v>
      </c>
      <c r="AD197" s="9">
        <f t="shared" ref="AD197:AD260" si="147">IF(AJ197&gt;0,FLOOR((POWER((AJ197/IF(AND(X197&gt;=2,X197&lt;4),1.1,IF(AND(X197&gt;=4,X197&lt;6),1.15,IF(X197&gt;=6,1.2,1)))/$Z$1),0.5)/INDEX($BD$4:$BQ$4,MATCH(X197,$BD$3:$BQ$3,0))-1)*10,1),"")</f>
        <v>451</v>
      </c>
      <c r="AE197" s="9">
        <f t="shared" ref="AE197:AE260" si="148">IF(AK197&gt;0,FLOOR((POWER((AK197/IF(AND(Y197&gt;=2,Y197&lt;4),1.1,IF(AND(Y197&gt;=4,Y197&lt;6),1.15,IF(Y197&gt;=6,1.2,1)))/$Z$1),0.5)/INDEX($BD$4:$BQ$4,MATCH(Y197,$BD$3:$BQ$3,0))-1)*10,1),"")</f>
        <v>451</v>
      </c>
      <c r="AF197" s="9">
        <f t="shared" ref="AF197:AF260" si="149">IF(AL197&gt;0,FLOOR((POWER((AL197/IF(AND(Z197&gt;=2,Z197&lt;4),1.1,IF(AND(Z197&gt;=4,Z197&lt;6),1.15,IF(Z197&gt;=6,1.2,1)))/$Z$1),0.5)/INDEX($BD$4:$BQ$4,MATCH(Z197,$BD$3:$BQ$3,0))-1)*10,1),"")</f>
        <v>451</v>
      </c>
      <c r="AG197" s="9">
        <f t="shared" ref="AG197:AG260" si="150">IF(AM197&gt;0,FLOOR((POWER((AM197/IF(AND(AA197&gt;=2,AA197&lt;4),1.1,IF(AND(AA197&gt;=4,AA197&lt;6),1.15,IF(AA197&gt;=6,1.2,1)))/$Z$1),0.5)/INDEX($BD$4:$BQ$4,MATCH(AA197,$BD$3:$BQ$3,0))-1)*10,1),"")</f>
        <v>451</v>
      </c>
      <c r="AH197" s="9">
        <f t="shared" ref="AH197:AH260" si="151">IF(AN197&gt;0,FLOOR((POWER((AN197/IF(AND(AB197&gt;=2,AB197&lt;4),1.1,IF(AND(AB197&gt;=4,AB197&lt;6),1.15,IF(AB197&gt;=6,1.2,1)))/$Z$1),0.5)/INDEX($BD$4:$BQ$4,MATCH(AB197,$BD$3:$BQ$3,0))-1)*10,1),"")</f>
        <v>451</v>
      </c>
      <c r="AI197" s="7">
        <f t="shared" si="123"/>
        <v>165138.82333333333</v>
      </c>
      <c r="AJ197" s="7">
        <f t="shared" si="120"/>
        <v>165138.82333333333</v>
      </c>
      <c r="AK197" s="7">
        <f t="shared" si="120"/>
        <v>165138.82333333333</v>
      </c>
      <c r="AL197" s="7">
        <f t="shared" si="120"/>
        <v>165138.82333333333</v>
      </c>
      <c r="AM197" s="7">
        <f t="shared" si="120"/>
        <v>165138.82333333333</v>
      </c>
      <c r="AN197" s="7">
        <f t="shared" si="120"/>
        <v>165138.82333333333</v>
      </c>
      <c r="AO197" s="16"/>
      <c r="AP197" s="7"/>
      <c r="AQ197" s="9">
        <v>6</v>
      </c>
      <c r="AR197" s="9">
        <f t="shared" ref="AR197:AR260" si="152">IF(AI197&gt;0,FLOOR((POWER((AI197/IF(AND(AQ197&gt;=2,AQ197&lt;4),1.2,IF(AND(AQ197&gt;=4,AQ197&lt;6),1.4,IF(AQ197&gt;=6,1.6,1)))/$Z$1),0.5)/INDEX($BD$4:$BQ$4,MATCH(AQ197,$BD$3:$BQ$3,0))-1)*10,1),"")</f>
        <v>434</v>
      </c>
      <c r="AS197" s="7">
        <f t="shared" si="121"/>
        <v>197</v>
      </c>
      <c r="AT197" s="7"/>
      <c r="AU197" s="16"/>
      <c r="AV197" s="7"/>
      <c r="AW197" s="7"/>
      <c r="AX197" s="7"/>
      <c r="AZ197" s="7"/>
      <c r="BA197" s="9">
        <f t="shared" si="122"/>
        <v>149301.59999999977</v>
      </c>
      <c r="BC197" s="5">
        <f t="shared" ref="BC197:BC260" si="153">FLOOR(POWER(((3000*1.5/0.9/1.05)/(96*INDEX($BD$4:$BO$4,MATCH(W197,$BD$3:$BO$3,0))*8*INDEX($BD$4:$BO$4,MATCH(W197,$BD$3:$BO$3,0)))*AI197/IF(AND(W197&gt;=2,W197&lt;4),1.2,IF(AND(W197&gt;=4,W197&lt;6),1.4,IF(W197&gt;=6,1.6,1)))),1/2)-10,1)</f>
        <v>389</v>
      </c>
      <c r="BR197" s="5">
        <v>5600064</v>
      </c>
      <c r="BS197" s="18">
        <f>[1]monsters!$N197</f>
        <v>238.93</v>
      </c>
      <c r="BT197" s="18">
        <f>[1]monsters!$O197</f>
        <v>23.89</v>
      </c>
      <c r="BU197" s="18">
        <f>[1]monsters!$P197</f>
        <v>1371.43</v>
      </c>
      <c r="BV197" s="18">
        <f>[1]monsters!$Q197</f>
        <v>137.13999999999999</v>
      </c>
      <c r="BW197" s="18">
        <f>[1]monsters!$R197</f>
        <v>29.87</v>
      </c>
      <c r="BX197" s="18">
        <f>[1]monsters!$S197</f>
        <v>2.99</v>
      </c>
      <c r="BY197" s="18">
        <f>[1]monsters!$K197</f>
        <v>1.6</v>
      </c>
      <c r="BZ197" s="5">
        <f>[1]monsters!$D197</f>
        <v>5</v>
      </c>
      <c r="CA197" s="5">
        <f t="shared" ref="CA197:CA260" si="154">INDEX($CH$5:$CH$10,MATCH($BZ197,$CG$5:$CG$10))</f>
        <v>0.1</v>
      </c>
      <c r="CB197" s="5">
        <f t="shared" ref="CB197:CB260" si="155">(BU197/33/(1-CA197)/(1-0)+BS197*(1+0.5*0.1)*0.9)</f>
        <v>271.96494427609429</v>
      </c>
      <c r="CC197" s="5">
        <f t="shared" ref="CC197:CC260" si="156">(BU197/33/(1-CA197)/(1-0)+BS197*(1+0.5*0.1)*0.9)*0.1</f>
        <v>27.19649442760943</v>
      </c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>
        <v>0</v>
      </c>
      <c r="CR197" s="3" t="b">
        <f t="shared" si="128"/>
        <v>1</v>
      </c>
      <c r="CS197" s="3" t="b">
        <f t="shared" si="129"/>
        <v>1</v>
      </c>
      <c r="CT197" s="3" t="b">
        <f t="shared" si="130"/>
        <v>1</v>
      </c>
      <c r="CU197" s="3" t="b">
        <f t="shared" si="131"/>
        <v>1</v>
      </c>
      <c r="CV197" s="3" t="b">
        <f t="shared" si="132"/>
        <v>1</v>
      </c>
      <c r="CW197" s="3" t="b">
        <f t="shared" si="133"/>
        <v>1</v>
      </c>
      <c r="CX197" s="9" t="str">
        <f t="shared" si="134"/>
        <v>5202073</v>
      </c>
      <c r="CY197" s="9" t="str">
        <f t="shared" si="135"/>
        <v>5202072</v>
      </c>
      <c r="CZ197" s="9" t="str">
        <f t="shared" si="136"/>
        <v>5202073</v>
      </c>
      <c r="DA197" s="9" t="str">
        <f t="shared" si="137"/>
        <v>5401073</v>
      </c>
      <c r="DB197" s="9" t="str">
        <f t="shared" si="138"/>
        <v>5402072</v>
      </c>
      <c r="DC197" s="9" t="str">
        <f t="shared" si="139"/>
        <v>5401073</v>
      </c>
      <c r="DD197" s="9">
        <v>7</v>
      </c>
      <c r="DE197" s="9">
        <v>7</v>
      </c>
      <c r="DF197" s="9">
        <v>7</v>
      </c>
      <c r="DG197" s="9">
        <v>7</v>
      </c>
      <c r="DH197" s="9">
        <v>7</v>
      </c>
      <c r="DI197" s="9">
        <v>7</v>
      </c>
      <c r="DJ197" s="9">
        <v>5</v>
      </c>
      <c r="DK197" s="9">
        <v>5</v>
      </c>
      <c r="DL197" s="9">
        <v>5</v>
      </c>
      <c r="DM197" s="9">
        <v>5</v>
      </c>
      <c r="DN197" s="9">
        <v>5</v>
      </c>
      <c r="DO197" s="9">
        <v>5</v>
      </c>
      <c r="DP197" s="25" t="s">
        <v>208</v>
      </c>
      <c r="DQ197" s="25" t="s">
        <v>200</v>
      </c>
      <c r="DR197" s="25" t="s">
        <v>208</v>
      </c>
      <c r="DS197" s="25" t="s">
        <v>211</v>
      </c>
      <c r="DT197" s="25" t="s">
        <v>203</v>
      </c>
      <c r="DU197" s="25" t="s">
        <v>211</v>
      </c>
      <c r="DV197" s="25">
        <f t="shared" si="140"/>
        <v>1</v>
      </c>
      <c r="DW197" s="25">
        <f t="shared" si="141"/>
        <v>1</v>
      </c>
      <c r="DX197" s="25">
        <f t="shared" si="142"/>
        <v>1</v>
      </c>
      <c r="DY197" s="25">
        <f t="shared" si="143"/>
        <v>2</v>
      </c>
      <c r="DZ197" s="25">
        <f t="shared" si="144"/>
        <v>2</v>
      </c>
      <c r="EA197" s="3">
        <f t="shared" si="145"/>
        <v>2</v>
      </c>
      <c r="EB197" s="39"/>
      <c r="EC197" s="9">
        <v>5501074</v>
      </c>
      <c r="ED197" s="34" t="s">
        <v>214</v>
      </c>
      <c r="EE197" s="8">
        <v>2</v>
      </c>
    </row>
    <row r="198" spans="1:137" ht="13.5" customHeight="1">
      <c r="A198" s="9">
        <v>195</v>
      </c>
      <c r="B198" s="9">
        <v>1</v>
      </c>
      <c r="C198" s="9">
        <v>2001</v>
      </c>
      <c r="D198" s="9">
        <f t="shared" si="118"/>
        <v>1227676</v>
      </c>
      <c r="E198" s="9" t="str">
        <f t="shared" si="125"/>
        <v>5202073,5202073,5202073,5500072,5500072,5500072</v>
      </c>
      <c r="F198" s="9" t="str">
        <f t="shared" si="126"/>
        <v>7,7,7,7,7,7</v>
      </c>
      <c r="G198" s="9" t="str">
        <f t="shared" si="127"/>
        <v>418,453,453,453,453,453</v>
      </c>
      <c r="H198" s="9">
        <v>118</v>
      </c>
      <c r="I198" s="9" t="s">
        <v>278</v>
      </c>
      <c r="J198" s="9" t="s">
        <v>279</v>
      </c>
      <c r="K198" s="9" t="s">
        <v>279</v>
      </c>
      <c r="L198" s="9" t="s">
        <v>279</v>
      </c>
      <c r="M198" s="36" t="s">
        <v>292</v>
      </c>
      <c r="O198" s="3">
        <f t="shared" si="124"/>
        <v>1227676</v>
      </c>
      <c r="P198" s="9">
        <v>996490.51</v>
      </c>
      <c r="Q198" s="9">
        <v>5202073</v>
      </c>
      <c r="R198" s="9">
        <v>5202073</v>
      </c>
      <c r="S198" s="9">
        <v>5202073</v>
      </c>
      <c r="T198" s="9">
        <v>5500072</v>
      </c>
      <c r="U198" s="9">
        <v>5500072</v>
      </c>
      <c r="V198" s="9">
        <v>5500072</v>
      </c>
      <c r="W198" s="9">
        <v>7</v>
      </c>
      <c r="X198" s="9">
        <v>7</v>
      </c>
      <c r="Y198" s="9">
        <v>7</v>
      </c>
      <c r="Z198" s="9">
        <v>7</v>
      </c>
      <c r="AA198" s="9">
        <v>7</v>
      </c>
      <c r="AB198" s="9">
        <v>7</v>
      </c>
      <c r="AC198" s="9">
        <f t="shared" si="146"/>
        <v>418</v>
      </c>
      <c r="AD198" s="9">
        <f t="shared" si="147"/>
        <v>453</v>
      </c>
      <c r="AE198" s="9">
        <f t="shared" si="148"/>
        <v>453</v>
      </c>
      <c r="AF198" s="9">
        <f t="shared" si="149"/>
        <v>453</v>
      </c>
      <c r="AG198" s="9">
        <f t="shared" si="150"/>
        <v>453</v>
      </c>
      <c r="AH198" s="9">
        <f t="shared" si="151"/>
        <v>453</v>
      </c>
      <c r="AI198" s="7">
        <f t="shared" si="123"/>
        <v>166081.75166666668</v>
      </c>
      <c r="AJ198" s="7">
        <f t="shared" si="120"/>
        <v>166081.75166666668</v>
      </c>
      <c r="AK198" s="7">
        <f t="shared" si="120"/>
        <v>166081.75166666668</v>
      </c>
      <c r="AL198" s="7">
        <f t="shared" si="120"/>
        <v>166081.75166666668</v>
      </c>
      <c r="AM198" s="7">
        <f t="shared" si="120"/>
        <v>166081.75166666668</v>
      </c>
      <c r="AN198" s="7">
        <f t="shared" si="120"/>
        <v>166081.75166666668</v>
      </c>
      <c r="AO198" s="16"/>
      <c r="AP198" s="7"/>
      <c r="AQ198" s="9">
        <v>6</v>
      </c>
      <c r="AR198" s="9">
        <f t="shared" si="152"/>
        <v>435</v>
      </c>
      <c r="AS198" s="7">
        <f t="shared" si="121"/>
        <v>197</v>
      </c>
      <c r="AT198" s="7"/>
      <c r="AU198" s="16"/>
      <c r="AV198" s="7"/>
      <c r="AW198" s="7"/>
      <c r="AX198" s="7"/>
      <c r="AZ198" s="7"/>
      <c r="BA198" s="9">
        <f t="shared" si="122"/>
        <v>151392.74999999977</v>
      </c>
      <c r="BC198" s="5">
        <f t="shared" si="153"/>
        <v>391</v>
      </c>
      <c r="BR198" s="5">
        <v>5601064</v>
      </c>
      <c r="BS198" s="18">
        <f>[1]monsters!$N198</f>
        <v>231.47</v>
      </c>
      <c r="BT198" s="18">
        <f>[1]monsters!$O198</f>
        <v>23.15</v>
      </c>
      <c r="BU198" s="18">
        <f>[1]monsters!$P198</f>
        <v>1238.71</v>
      </c>
      <c r="BV198" s="18">
        <f>[1]monsters!$Q198</f>
        <v>123.87</v>
      </c>
      <c r="BW198" s="18">
        <f>[1]monsters!$R198</f>
        <v>23.15</v>
      </c>
      <c r="BX198" s="18">
        <f>[1]monsters!$S198</f>
        <v>2.31</v>
      </c>
      <c r="BY198" s="18">
        <f>[1]monsters!$K198</f>
        <v>1.4</v>
      </c>
      <c r="BZ198" s="5">
        <f>[1]monsters!$D198</f>
        <v>6</v>
      </c>
      <c r="CA198" s="5">
        <f t="shared" si="154"/>
        <v>0.1</v>
      </c>
      <c r="CB198" s="5">
        <f t="shared" si="155"/>
        <v>260.44655740740745</v>
      </c>
      <c r="CC198" s="5">
        <f t="shared" si="156"/>
        <v>26.044655740740748</v>
      </c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>
        <v>1</v>
      </c>
      <c r="CR198" s="3" t="b">
        <f t="shared" si="128"/>
        <v>1</v>
      </c>
      <c r="CS198" s="3" t="b">
        <f t="shared" si="129"/>
        <v>1</v>
      </c>
      <c r="CT198" s="3" t="b">
        <f t="shared" si="130"/>
        <v>1</v>
      </c>
      <c r="CU198" s="3" t="b">
        <f t="shared" si="131"/>
        <v>1</v>
      </c>
      <c r="CV198" s="3" t="b">
        <f t="shared" si="132"/>
        <v>1</v>
      </c>
      <c r="CW198" s="3" t="b">
        <f t="shared" si="133"/>
        <v>1</v>
      </c>
      <c r="CX198" s="9" t="str">
        <f t="shared" si="134"/>
        <v>5202073</v>
      </c>
      <c r="CY198" s="9" t="str">
        <f t="shared" si="135"/>
        <v>5202073</v>
      </c>
      <c r="CZ198" s="9" t="str">
        <f t="shared" si="136"/>
        <v>5202073</v>
      </c>
      <c r="DA198" s="9" t="str">
        <f t="shared" si="137"/>
        <v>5500072</v>
      </c>
      <c r="DB198" s="9" t="str">
        <f t="shared" si="138"/>
        <v>5500072</v>
      </c>
      <c r="DC198" s="9" t="str">
        <f t="shared" si="139"/>
        <v>5500072</v>
      </c>
      <c r="DD198" s="9">
        <v>7</v>
      </c>
      <c r="DE198" s="9">
        <v>7</v>
      </c>
      <c r="DF198" s="9">
        <v>7</v>
      </c>
      <c r="DG198" s="9">
        <v>7</v>
      </c>
      <c r="DH198" s="9">
        <v>7</v>
      </c>
      <c r="DI198" s="9">
        <v>7</v>
      </c>
      <c r="DJ198" s="9">
        <v>5</v>
      </c>
      <c r="DK198" s="9">
        <v>5</v>
      </c>
      <c r="DL198" s="9">
        <v>5</v>
      </c>
      <c r="DM198" s="9">
        <v>5</v>
      </c>
      <c r="DN198" s="9">
        <v>5</v>
      </c>
      <c r="DO198" s="9">
        <v>5</v>
      </c>
      <c r="DP198" s="25" t="s">
        <v>208</v>
      </c>
      <c r="DQ198" s="25" t="s">
        <v>208</v>
      </c>
      <c r="DR198" s="25" t="s">
        <v>208</v>
      </c>
      <c r="DS198" s="25" t="s">
        <v>109</v>
      </c>
      <c r="DT198" s="25" t="s">
        <v>109</v>
      </c>
      <c r="DU198" s="25" t="s">
        <v>109</v>
      </c>
      <c r="DV198" s="25">
        <f t="shared" si="140"/>
        <v>1</v>
      </c>
      <c r="DW198" s="25">
        <f t="shared" si="141"/>
        <v>1</v>
      </c>
      <c r="DX198" s="25">
        <f t="shared" si="142"/>
        <v>1</v>
      </c>
      <c r="DY198" s="25">
        <f t="shared" si="143"/>
        <v>2</v>
      </c>
      <c r="DZ198" s="25">
        <f t="shared" si="144"/>
        <v>2</v>
      </c>
      <c r="EA198" s="3">
        <f t="shared" si="145"/>
        <v>2</v>
      </c>
      <c r="EB198" s="39"/>
      <c r="EC198" s="9">
        <v>5600074</v>
      </c>
      <c r="ED198" s="34" t="s">
        <v>219</v>
      </c>
      <c r="EE198" s="8">
        <v>1</v>
      </c>
    </row>
    <row r="199" spans="1:137" ht="13.5" customHeight="1">
      <c r="A199" s="9">
        <v>196</v>
      </c>
      <c r="B199" s="9">
        <v>1</v>
      </c>
      <c r="C199" s="9">
        <v>2001</v>
      </c>
      <c r="D199" s="9">
        <f t="shared" si="118"/>
        <v>1235313</v>
      </c>
      <c r="E199" s="9" t="str">
        <f t="shared" si="125"/>
        <v>5202071,5202072,5200071,5400075,5602074,5400075</v>
      </c>
      <c r="F199" s="9" t="str">
        <f t="shared" si="126"/>
        <v>7,7,7,7,7,7</v>
      </c>
      <c r="G199" s="9" t="str">
        <f t="shared" si="127"/>
        <v>420,454,454,454,454,454</v>
      </c>
      <c r="H199" s="9">
        <v>118</v>
      </c>
      <c r="I199" s="9" t="s">
        <v>278</v>
      </c>
      <c r="J199" s="9" t="s">
        <v>279</v>
      </c>
      <c r="K199" s="9" t="s">
        <v>279</v>
      </c>
      <c r="L199" s="9" t="s">
        <v>279</v>
      </c>
      <c r="M199" s="36" t="s">
        <v>293</v>
      </c>
      <c r="N199" s="40"/>
      <c r="O199" s="3">
        <f t="shared" si="124"/>
        <v>1235313</v>
      </c>
      <c r="P199" s="9">
        <v>1002689.36</v>
      </c>
      <c r="Q199" s="9">
        <v>5202071</v>
      </c>
      <c r="R199" s="9">
        <v>5202072</v>
      </c>
      <c r="S199" s="9">
        <v>5200071</v>
      </c>
      <c r="T199" s="9">
        <v>5400075</v>
      </c>
      <c r="U199" s="9">
        <v>5602074</v>
      </c>
      <c r="V199" s="9">
        <v>5400075</v>
      </c>
      <c r="W199" s="9">
        <v>7</v>
      </c>
      <c r="X199" s="9">
        <v>7</v>
      </c>
      <c r="Y199" s="9">
        <v>7</v>
      </c>
      <c r="Z199" s="9">
        <v>7</v>
      </c>
      <c r="AA199" s="9">
        <v>7</v>
      </c>
      <c r="AB199" s="9">
        <v>7</v>
      </c>
      <c r="AC199" s="9">
        <f t="shared" si="146"/>
        <v>420</v>
      </c>
      <c r="AD199" s="9">
        <f t="shared" si="147"/>
        <v>454</v>
      </c>
      <c r="AE199" s="9">
        <f t="shared" si="148"/>
        <v>454</v>
      </c>
      <c r="AF199" s="9">
        <f t="shared" si="149"/>
        <v>454</v>
      </c>
      <c r="AG199" s="9">
        <f t="shared" si="150"/>
        <v>454</v>
      </c>
      <c r="AH199" s="9">
        <f t="shared" si="151"/>
        <v>454</v>
      </c>
      <c r="AI199" s="7">
        <f t="shared" si="123"/>
        <v>167114.89333333334</v>
      </c>
      <c r="AJ199" s="7">
        <f t="shared" si="120"/>
        <v>167114.89333333334</v>
      </c>
      <c r="AK199" s="7">
        <f t="shared" si="120"/>
        <v>167114.89333333334</v>
      </c>
      <c r="AL199" s="7">
        <f t="shared" si="120"/>
        <v>167114.89333333334</v>
      </c>
      <c r="AM199" s="7">
        <f t="shared" si="120"/>
        <v>167114.89333333334</v>
      </c>
      <c r="AN199" s="7">
        <f t="shared" si="120"/>
        <v>167114.89333333334</v>
      </c>
      <c r="AO199" s="16"/>
      <c r="AP199" s="7"/>
      <c r="AQ199" s="9">
        <v>6</v>
      </c>
      <c r="AR199" s="9">
        <f t="shared" si="152"/>
        <v>437</v>
      </c>
      <c r="AS199" s="7">
        <f t="shared" si="121"/>
        <v>198</v>
      </c>
      <c r="AT199" s="7"/>
      <c r="AU199" s="16"/>
      <c r="AV199" s="7"/>
      <c r="AW199" s="7"/>
      <c r="AX199" s="7"/>
      <c r="AZ199" s="7"/>
      <c r="BA199" s="9">
        <f t="shared" si="122"/>
        <v>153483.89999999976</v>
      </c>
      <c r="BC199" s="5">
        <f t="shared" si="153"/>
        <v>392</v>
      </c>
      <c r="BR199" s="5">
        <v>5201065</v>
      </c>
      <c r="BS199" s="18">
        <f>[1]monsters!$N199</f>
        <v>297.60000000000002</v>
      </c>
      <c r="BT199" s="18">
        <f>[1]monsters!$O199</f>
        <v>29.76</v>
      </c>
      <c r="BU199" s="18">
        <f>[1]monsters!$P199</f>
        <v>1238.71</v>
      </c>
      <c r="BV199" s="18">
        <f>[1]monsters!$Q199</f>
        <v>123.87</v>
      </c>
      <c r="BW199" s="18">
        <f>[1]monsters!$R199</f>
        <v>29.76</v>
      </c>
      <c r="BX199" s="18">
        <f>[1]monsters!$S199</f>
        <v>2.98</v>
      </c>
      <c r="BY199" s="18">
        <f>[1]monsters!$K199</f>
        <v>1.8</v>
      </c>
      <c r="BZ199" s="5">
        <f>[1]monsters!$D199</f>
        <v>6</v>
      </c>
      <c r="CA199" s="5">
        <f t="shared" si="154"/>
        <v>0.1</v>
      </c>
      <c r="CB199" s="5">
        <f t="shared" si="155"/>
        <v>322.93940740740743</v>
      </c>
      <c r="CC199" s="5">
        <f t="shared" si="156"/>
        <v>32.293940740740744</v>
      </c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>
        <v>0</v>
      </c>
      <c r="CR199" s="3" t="b">
        <f t="shared" si="128"/>
        <v>1</v>
      </c>
      <c r="CS199" s="3" t="b">
        <f t="shared" si="129"/>
        <v>1</v>
      </c>
      <c r="CT199" s="3" t="b">
        <f t="shared" si="130"/>
        <v>1</v>
      </c>
      <c r="CU199" s="3" t="b">
        <f t="shared" si="131"/>
        <v>1</v>
      </c>
      <c r="CV199" s="3" t="b">
        <f t="shared" si="132"/>
        <v>1</v>
      </c>
      <c r="CW199" s="3" t="b">
        <f t="shared" si="133"/>
        <v>1</v>
      </c>
      <c r="CX199" s="9" t="str">
        <f t="shared" si="134"/>
        <v>5202071</v>
      </c>
      <c r="CY199" s="9" t="str">
        <f t="shared" si="135"/>
        <v>5202072</v>
      </c>
      <c r="CZ199" s="9" t="str">
        <f t="shared" si="136"/>
        <v>5200071</v>
      </c>
      <c r="DA199" s="9" t="str">
        <f t="shared" si="137"/>
        <v>5400075</v>
      </c>
      <c r="DB199" s="9" t="str">
        <f t="shared" si="138"/>
        <v>5602074</v>
      </c>
      <c r="DC199" s="9" t="str">
        <f t="shared" si="139"/>
        <v>5400075</v>
      </c>
      <c r="DD199" s="9">
        <v>7</v>
      </c>
      <c r="DE199" s="9">
        <v>7</v>
      </c>
      <c r="DF199" s="9">
        <v>7</v>
      </c>
      <c r="DG199" s="9">
        <v>7</v>
      </c>
      <c r="DH199" s="9">
        <v>7</v>
      </c>
      <c r="DI199" s="9">
        <v>7</v>
      </c>
      <c r="DJ199" s="9">
        <v>5</v>
      </c>
      <c r="DK199" s="9">
        <v>5</v>
      </c>
      <c r="DL199" s="9">
        <v>5</v>
      </c>
      <c r="DM199" s="9">
        <v>5</v>
      </c>
      <c r="DN199" s="9">
        <v>5</v>
      </c>
      <c r="DO199" s="9">
        <v>5</v>
      </c>
      <c r="DP199" s="25" t="s">
        <v>111</v>
      </c>
      <c r="DQ199" s="25" t="s">
        <v>200</v>
      </c>
      <c r="DR199" s="25" t="s">
        <v>194</v>
      </c>
      <c r="DS199" s="25" t="s">
        <v>210</v>
      </c>
      <c r="DT199" s="25" t="s">
        <v>220</v>
      </c>
      <c r="DU199" s="25" t="s">
        <v>210</v>
      </c>
      <c r="DV199" s="25">
        <f t="shared" si="140"/>
        <v>1</v>
      </c>
      <c r="DW199" s="25">
        <f t="shared" si="141"/>
        <v>1</v>
      </c>
      <c r="DX199" s="25">
        <f t="shared" si="142"/>
        <v>1</v>
      </c>
      <c r="DY199" s="25">
        <f t="shared" si="143"/>
        <v>2</v>
      </c>
      <c r="DZ199" s="25">
        <f t="shared" si="144"/>
        <v>2</v>
      </c>
      <c r="EA199" s="3">
        <f t="shared" si="145"/>
        <v>2</v>
      </c>
      <c r="EB199" s="39"/>
      <c r="EC199" s="9">
        <v>5602074</v>
      </c>
      <c r="ED199" s="34" t="s">
        <v>220</v>
      </c>
      <c r="EE199" s="8">
        <v>2</v>
      </c>
    </row>
    <row r="200" spans="1:137" ht="13.5" customHeight="1">
      <c r="A200" s="9">
        <v>197</v>
      </c>
      <c r="B200" s="9">
        <v>1</v>
      </c>
      <c r="C200" s="9">
        <v>2001</v>
      </c>
      <c r="D200" s="9">
        <f t="shared" si="118"/>
        <v>1242325</v>
      </c>
      <c r="E200" s="9" t="str">
        <f t="shared" si="125"/>
        <v>5202072,5201072,5301071,5501074,5500073,5501074</v>
      </c>
      <c r="F200" s="9" t="str">
        <f t="shared" si="126"/>
        <v>7,7,7,7,7,7</v>
      </c>
      <c r="G200" s="9" t="str">
        <f t="shared" si="127"/>
        <v>421,455,455,455,455,455</v>
      </c>
      <c r="H200" s="9">
        <v>118</v>
      </c>
      <c r="I200" s="9" t="s">
        <v>278</v>
      </c>
      <c r="J200" s="9" t="s">
        <v>279</v>
      </c>
      <c r="K200" s="9" t="s">
        <v>279</v>
      </c>
      <c r="L200" s="9" t="s">
        <v>279</v>
      </c>
      <c r="M200" s="36" t="s">
        <v>293</v>
      </c>
      <c r="N200" s="40"/>
      <c r="O200" s="3">
        <f t="shared" si="124"/>
        <v>1242325</v>
      </c>
      <c r="P200" s="9">
        <v>1008380.76</v>
      </c>
      <c r="Q200" s="9">
        <v>5202072</v>
      </c>
      <c r="R200" s="9">
        <v>5201072</v>
      </c>
      <c r="S200" s="9">
        <v>5301071</v>
      </c>
      <c r="T200" s="9">
        <v>5501074</v>
      </c>
      <c r="U200" s="9">
        <v>5500073</v>
      </c>
      <c r="V200" s="9">
        <v>5501074</v>
      </c>
      <c r="W200" s="9">
        <v>7</v>
      </c>
      <c r="X200" s="9">
        <v>7</v>
      </c>
      <c r="Y200" s="9">
        <v>7</v>
      </c>
      <c r="Z200" s="9">
        <v>7</v>
      </c>
      <c r="AA200" s="9">
        <v>7</v>
      </c>
      <c r="AB200" s="9">
        <v>7</v>
      </c>
      <c r="AC200" s="9">
        <f t="shared" si="146"/>
        <v>421</v>
      </c>
      <c r="AD200" s="9">
        <f t="shared" si="147"/>
        <v>455</v>
      </c>
      <c r="AE200" s="9">
        <f t="shared" si="148"/>
        <v>455</v>
      </c>
      <c r="AF200" s="9">
        <f t="shared" si="149"/>
        <v>455</v>
      </c>
      <c r="AG200" s="9">
        <f t="shared" si="150"/>
        <v>455</v>
      </c>
      <c r="AH200" s="9">
        <f t="shared" si="151"/>
        <v>455</v>
      </c>
      <c r="AI200" s="7">
        <f t="shared" si="123"/>
        <v>168063.46</v>
      </c>
      <c r="AJ200" s="7">
        <f t="shared" si="120"/>
        <v>168063.46</v>
      </c>
      <c r="AK200" s="7">
        <f t="shared" si="120"/>
        <v>168063.46</v>
      </c>
      <c r="AL200" s="7">
        <f t="shared" si="120"/>
        <v>168063.46</v>
      </c>
      <c r="AM200" s="7">
        <f t="shared" si="120"/>
        <v>168063.46</v>
      </c>
      <c r="AN200" s="7">
        <f t="shared" si="120"/>
        <v>168063.46</v>
      </c>
      <c r="AO200" s="16"/>
      <c r="AP200" s="7"/>
      <c r="AQ200" s="9">
        <v>6</v>
      </c>
      <c r="AR200" s="9">
        <f t="shared" si="152"/>
        <v>438</v>
      </c>
      <c r="AS200" s="7">
        <f t="shared" si="121"/>
        <v>198</v>
      </c>
      <c r="AT200" s="7"/>
      <c r="AU200" s="16"/>
      <c r="AV200" s="7"/>
      <c r="AW200" s="7"/>
      <c r="AX200" s="7"/>
      <c r="AZ200" s="7"/>
      <c r="BA200" s="9">
        <f t="shared" si="122"/>
        <v>155575.04999999976</v>
      </c>
      <c r="BC200" s="5">
        <f t="shared" si="153"/>
        <v>393</v>
      </c>
      <c r="BR200" s="5">
        <v>5202065</v>
      </c>
      <c r="BS200" s="18">
        <f>[1]monsters!$N200</f>
        <v>172.8</v>
      </c>
      <c r="BT200" s="18">
        <f>[1]monsters!$O200</f>
        <v>17.28</v>
      </c>
      <c r="BU200" s="18">
        <f>[1]monsters!$P200</f>
        <v>2133.33</v>
      </c>
      <c r="BV200" s="18">
        <f>[1]monsters!$Q200</f>
        <v>213.33</v>
      </c>
      <c r="BW200" s="18">
        <f>[1]monsters!$R200</f>
        <v>34.56</v>
      </c>
      <c r="BX200" s="18">
        <f>[1]monsters!$S200</f>
        <v>3.46</v>
      </c>
      <c r="BY200" s="18">
        <f>[1]monsters!$K200</f>
        <v>1.8</v>
      </c>
      <c r="BZ200" s="5">
        <f>[1]monsters!$D200</f>
        <v>2</v>
      </c>
      <c r="CA200" s="5">
        <f t="shared" si="154"/>
        <v>0.1</v>
      </c>
      <c r="CB200" s="5">
        <f t="shared" si="155"/>
        <v>235.12529292929293</v>
      </c>
      <c r="CC200" s="5">
        <f t="shared" si="156"/>
        <v>23.512529292929294</v>
      </c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>
        <v>0</v>
      </c>
      <c r="CR200" s="3" t="b">
        <f t="shared" si="128"/>
        <v>1</v>
      </c>
      <c r="CS200" s="3" t="b">
        <f t="shared" si="129"/>
        <v>1</v>
      </c>
      <c r="CT200" s="3" t="b">
        <f t="shared" si="130"/>
        <v>1</v>
      </c>
      <c r="CU200" s="3" t="b">
        <f t="shared" si="131"/>
        <v>1</v>
      </c>
      <c r="CV200" s="3" t="b">
        <f t="shared" si="132"/>
        <v>1</v>
      </c>
      <c r="CW200" s="3" t="b">
        <f t="shared" si="133"/>
        <v>1</v>
      </c>
      <c r="CX200" s="9" t="str">
        <f t="shared" si="134"/>
        <v>5202072</v>
      </c>
      <c r="CY200" s="9" t="str">
        <f t="shared" si="135"/>
        <v>5201072</v>
      </c>
      <c r="CZ200" s="9" t="str">
        <f t="shared" si="136"/>
        <v>5301071</v>
      </c>
      <c r="DA200" s="9" t="str">
        <f t="shared" si="137"/>
        <v>5501074</v>
      </c>
      <c r="DB200" s="9" t="str">
        <f t="shared" si="138"/>
        <v>5500073</v>
      </c>
      <c r="DC200" s="9" t="str">
        <f t="shared" si="139"/>
        <v>5501074</v>
      </c>
      <c r="DD200" s="9">
        <v>7</v>
      </c>
      <c r="DE200" s="9">
        <v>7</v>
      </c>
      <c r="DF200" s="9">
        <v>7</v>
      </c>
      <c r="DG200" s="9">
        <v>7</v>
      </c>
      <c r="DH200" s="9">
        <v>7</v>
      </c>
      <c r="DI200" s="9">
        <v>7</v>
      </c>
      <c r="DJ200" s="9">
        <v>5</v>
      </c>
      <c r="DK200" s="9">
        <v>5</v>
      </c>
      <c r="DL200" s="9">
        <v>5</v>
      </c>
      <c r="DM200" s="9">
        <v>5</v>
      </c>
      <c r="DN200" s="9">
        <v>5</v>
      </c>
      <c r="DO200" s="9">
        <v>5</v>
      </c>
      <c r="DP200" s="25" t="s">
        <v>200</v>
      </c>
      <c r="DQ200" s="25" t="s">
        <v>114</v>
      </c>
      <c r="DR200" s="25" t="s">
        <v>107</v>
      </c>
      <c r="DS200" s="25" t="s">
        <v>214</v>
      </c>
      <c r="DT200" s="25" t="s">
        <v>207</v>
      </c>
      <c r="DU200" s="25" t="s">
        <v>214</v>
      </c>
      <c r="DV200" s="25">
        <f t="shared" si="140"/>
        <v>1</v>
      </c>
      <c r="DW200" s="25">
        <f t="shared" si="141"/>
        <v>1</v>
      </c>
      <c r="DX200" s="25">
        <f t="shared" si="142"/>
        <v>1</v>
      </c>
      <c r="DY200" s="25">
        <f t="shared" si="143"/>
        <v>2</v>
      </c>
      <c r="DZ200" s="25">
        <f t="shared" si="144"/>
        <v>2</v>
      </c>
      <c r="EA200" s="3">
        <f t="shared" si="145"/>
        <v>2</v>
      </c>
      <c r="EB200" s="39"/>
      <c r="EC200" s="9">
        <v>5202075</v>
      </c>
      <c r="ED200" s="34" t="s">
        <v>213</v>
      </c>
      <c r="EE200" s="8">
        <v>1</v>
      </c>
    </row>
    <row r="201" spans="1:137" ht="13.5" customHeight="1">
      <c r="A201" s="9">
        <v>198</v>
      </c>
      <c r="B201" s="9">
        <v>1</v>
      </c>
      <c r="C201" s="9">
        <v>2001</v>
      </c>
      <c r="D201" s="9">
        <f t="shared" si="118"/>
        <v>1249357</v>
      </c>
      <c r="E201" s="9" t="str">
        <f t="shared" si="125"/>
        <v>5201074,5302074,5302074,5500073,5502072,5501074</v>
      </c>
      <c r="F201" s="9" t="str">
        <f t="shared" si="126"/>
        <v>7,7,7,7,7,7</v>
      </c>
      <c r="G201" s="9" t="str">
        <f t="shared" si="127"/>
        <v>422,457,457,457,457,457</v>
      </c>
      <c r="H201" s="9">
        <v>119</v>
      </c>
      <c r="I201" s="9" t="s">
        <v>278</v>
      </c>
      <c r="J201" s="9" t="s">
        <v>279</v>
      </c>
      <c r="K201" s="9" t="s">
        <v>279</v>
      </c>
      <c r="L201" s="9" t="s">
        <v>279</v>
      </c>
      <c r="M201" s="36" t="s">
        <v>293</v>
      </c>
      <c r="N201" s="40"/>
      <c r="O201" s="3">
        <f t="shared" si="124"/>
        <v>1249357</v>
      </c>
      <c r="P201" s="9">
        <v>1014088.08</v>
      </c>
      <c r="Q201" s="9">
        <v>5201074</v>
      </c>
      <c r="R201" s="9">
        <v>5302074</v>
      </c>
      <c r="S201" s="9">
        <v>5302074</v>
      </c>
      <c r="T201" s="9">
        <v>5500073</v>
      </c>
      <c r="U201" s="9">
        <v>5502072</v>
      </c>
      <c r="V201" s="9">
        <v>5501074</v>
      </c>
      <c r="W201" s="9">
        <v>7</v>
      </c>
      <c r="X201" s="9">
        <v>7</v>
      </c>
      <c r="Y201" s="9">
        <v>7</v>
      </c>
      <c r="Z201" s="9">
        <v>7</v>
      </c>
      <c r="AA201" s="9">
        <v>7</v>
      </c>
      <c r="AB201" s="9">
        <v>7</v>
      </c>
      <c r="AC201" s="9">
        <f t="shared" si="146"/>
        <v>422</v>
      </c>
      <c r="AD201" s="9">
        <f t="shared" si="147"/>
        <v>457</v>
      </c>
      <c r="AE201" s="9">
        <f t="shared" si="148"/>
        <v>457</v>
      </c>
      <c r="AF201" s="9">
        <f t="shared" si="149"/>
        <v>457</v>
      </c>
      <c r="AG201" s="9">
        <f t="shared" si="150"/>
        <v>457</v>
      </c>
      <c r="AH201" s="9">
        <f t="shared" si="151"/>
        <v>457</v>
      </c>
      <c r="AI201" s="7">
        <f t="shared" si="123"/>
        <v>169014.68</v>
      </c>
      <c r="AJ201" s="7">
        <f t="shared" si="120"/>
        <v>169014.68</v>
      </c>
      <c r="AK201" s="7">
        <f t="shared" si="120"/>
        <v>169014.68</v>
      </c>
      <c r="AL201" s="7">
        <f t="shared" si="120"/>
        <v>169014.68</v>
      </c>
      <c r="AM201" s="7">
        <f t="shared" si="120"/>
        <v>169014.68</v>
      </c>
      <c r="AN201" s="7">
        <f t="shared" si="120"/>
        <v>169014.68</v>
      </c>
      <c r="AO201" s="16"/>
      <c r="AP201" s="7"/>
      <c r="AQ201" s="9">
        <v>6</v>
      </c>
      <c r="AR201" s="9">
        <f t="shared" si="152"/>
        <v>439</v>
      </c>
      <c r="AS201" s="7">
        <f t="shared" si="121"/>
        <v>199</v>
      </c>
      <c r="AT201" s="7"/>
      <c r="AU201" s="16"/>
      <c r="AV201" s="7"/>
      <c r="AW201" s="7"/>
      <c r="AX201" s="7"/>
      <c r="AZ201" s="7"/>
      <c r="BA201" s="9">
        <f t="shared" si="122"/>
        <v>157666.19999999975</v>
      </c>
      <c r="BC201" s="5">
        <f t="shared" si="153"/>
        <v>394</v>
      </c>
      <c r="BR201" s="5">
        <v>5302065</v>
      </c>
      <c r="BS201" s="18">
        <f>[1]monsters!$N201</f>
        <v>124.8</v>
      </c>
      <c r="BT201" s="18">
        <f>[1]monsters!$O201</f>
        <v>12.48</v>
      </c>
      <c r="BU201" s="18">
        <f>[1]monsters!$P201</f>
        <v>2133.33</v>
      </c>
      <c r="BV201" s="18">
        <f>[1]monsters!$Q201</f>
        <v>213.33</v>
      </c>
      <c r="BW201" s="18">
        <f>[1]monsters!$R201</f>
        <v>24.96</v>
      </c>
      <c r="BX201" s="18">
        <f>[1]monsters!$S201</f>
        <v>2.5</v>
      </c>
      <c r="BY201" s="18">
        <f>[1]monsters!$K201</f>
        <v>1.3</v>
      </c>
      <c r="BZ201" s="5">
        <f>[1]monsters!$D201</f>
        <v>3</v>
      </c>
      <c r="CA201" s="5">
        <f t="shared" si="154"/>
        <v>0.1</v>
      </c>
      <c r="CB201" s="5">
        <f t="shared" si="155"/>
        <v>189.76529292929291</v>
      </c>
      <c r="CC201" s="5">
        <f t="shared" si="156"/>
        <v>18.976529292929293</v>
      </c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>
        <v>0</v>
      </c>
      <c r="CR201" s="3" t="b">
        <f t="shared" si="128"/>
        <v>1</v>
      </c>
      <c r="CS201" s="3" t="b">
        <f t="shared" si="129"/>
        <v>1</v>
      </c>
      <c r="CT201" s="3" t="b">
        <f t="shared" si="130"/>
        <v>1</v>
      </c>
      <c r="CU201" s="3" t="b">
        <f t="shared" si="131"/>
        <v>1</v>
      </c>
      <c r="CV201" s="3" t="b">
        <f t="shared" si="132"/>
        <v>1</v>
      </c>
      <c r="CW201" s="3" t="b">
        <f t="shared" si="133"/>
        <v>1</v>
      </c>
      <c r="CX201" s="9" t="str">
        <f t="shared" si="134"/>
        <v>5201074</v>
      </c>
      <c r="CY201" s="9" t="str">
        <f t="shared" si="135"/>
        <v>5302074</v>
      </c>
      <c r="CZ201" s="9" t="str">
        <f t="shared" si="136"/>
        <v>5302074</v>
      </c>
      <c r="DA201" s="9" t="str">
        <f t="shared" si="137"/>
        <v>5500073</v>
      </c>
      <c r="DB201" s="9" t="str">
        <f t="shared" si="138"/>
        <v>5502072</v>
      </c>
      <c r="DC201" s="9" t="str">
        <f t="shared" si="139"/>
        <v>5501074</v>
      </c>
      <c r="DD201" s="9">
        <v>7</v>
      </c>
      <c r="DE201" s="9">
        <v>7</v>
      </c>
      <c r="DF201" s="9">
        <v>7</v>
      </c>
      <c r="DG201" s="9">
        <v>7</v>
      </c>
      <c r="DH201" s="9">
        <v>7</v>
      </c>
      <c r="DI201" s="9">
        <v>7</v>
      </c>
      <c r="DJ201" s="9">
        <v>5</v>
      </c>
      <c r="DK201" s="9">
        <v>5</v>
      </c>
      <c r="DL201" s="9">
        <v>5</v>
      </c>
      <c r="DM201" s="9">
        <v>5</v>
      </c>
      <c r="DN201" s="9">
        <v>5</v>
      </c>
      <c r="DO201" s="9">
        <v>5</v>
      </c>
      <c r="DP201" s="27" t="s">
        <v>217</v>
      </c>
      <c r="DQ201" s="27" t="s">
        <v>218</v>
      </c>
      <c r="DR201" s="27" t="s">
        <v>218</v>
      </c>
      <c r="DS201" s="25" t="s">
        <v>207</v>
      </c>
      <c r="DT201" s="25" t="s">
        <v>204</v>
      </c>
      <c r="DU201" s="25" t="s">
        <v>214</v>
      </c>
      <c r="DV201" s="25">
        <f t="shared" si="140"/>
        <v>1</v>
      </c>
      <c r="DW201" s="25">
        <f t="shared" si="141"/>
        <v>1</v>
      </c>
      <c r="DX201" s="25">
        <f t="shared" si="142"/>
        <v>1</v>
      </c>
      <c r="DY201" s="25">
        <f t="shared" si="143"/>
        <v>2</v>
      </c>
      <c r="DZ201" s="25">
        <f t="shared" si="144"/>
        <v>2</v>
      </c>
      <c r="EA201" s="3">
        <f t="shared" si="145"/>
        <v>2</v>
      </c>
      <c r="EB201" s="39"/>
      <c r="EC201" s="9">
        <v>5300075</v>
      </c>
      <c r="ED201" s="34" t="s">
        <v>212</v>
      </c>
      <c r="EE201" s="8">
        <v>1</v>
      </c>
    </row>
    <row r="202" spans="1:137" ht="13.5" customHeight="1">
      <c r="A202" s="9">
        <v>199</v>
      </c>
      <c r="B202" s="9">
        <v>1</v>
      </c>
      <c r="C202" s="9">
        <v>2001</v>
      </c>
      <c r="D202" s="9">
        <f t="shared" si="118"/>
        <v>1256410</v>
      </c>
      <c r="E202" s="9" t="str">
        <f t="shared" si="125"/>
        <v>5300075,5202075,5202075,5401073,5402072,5401073</v>
      </c>
      <c r="F202" s="9" t="str">
        <f t="shared" si="126"/>
        <v>7,7,7,7,7,7</v>
      </c>
      <c r="G202" s="9" t="str">
        <f t="shared" si="127"/>
        <v>423,458,458,458,458,458</v>
      </c>
      <c r="H202" s="9">
        <v>119</v>
      </c>
      <c r="I202" s="9" t="s">
        <v>278</v>
      </c>
      <c r="J202" s="9" t="s">
        <v>279</v>
      </c>
      <c r="K202" s="9" t="s">
        <v>279</v>
      </c>
      <c r="L202" s="9" t="s">
        <v>279</v>
      </c>
      <c r="M202" s="36" t="s">
        <v>293</v>
      </c>
      <c r="N202" s="40"/>
      <c r="O202" s="3">
        <f t="shared" si="124"/>
        <v>1256410</v>
      </c>
      <c r="P202" s="9">
        <v>1019813.31</v>
      </c>
      <c r="Q202" s="9">
        <v>5300075</v>
      </c>
      <c r="R202" s="9">
        <v>5202075</v>
      </c>
      <c r="S202" s="9">
        <v>5202075</v>
      </c>
      <c r="T202" s="9">
        <v>5401073</v>
      </c>
      <c r="U202" s="9">
        <v>5402072</v>
      </c>
      <c r="V202" s="9">
        <v>5401073</v>
      </c>
      <c r="W202" s="9">
        <v>7</v>
      </c>
      <c r="X202" s="9">
        <v>7</v>
      </c>
      <c r="Y202" s="9">
        <v>7</v>
      </c>
      <c r="Z202" s="9">
        <v>7</v>
      </c>
      <c r="AA202" s="9">
        <v>7</v>
      </c>
      <c r="AB202" s="9">
        <v>7</v>
      </c>
      <c r="AC202" s="9">
        <f t="shared" si="146"/>
        <v>423</v>
      </c>
      <c r="AD202" s="9">
        <f t="shared" si="147"/>
        <v>458</v>
      </c>
      <c r="AE202" s="9">
        <f t="shared" si="148"/>
        <v>458</v>
      </c>
      <c r="AF202" s="9">
        <f t="shared" si="149"/>
        <v>458</v>
      </c>
      <c r="AG202" s="9">
        <f t="shared" si="150"/>
        <v>458</v>
      </c>
      <c r="AH202" s="9">
        <f t="shared" si="151"/>
        <v>458</v>
      </c>
      <c r="AI202" s="7">
        <f t="shared" si="123"/>
        <v>169968.88500000001</v>
      </c>
      <c r="AJ202" s="7">
        <f t="shared" si="120"/>
        <v>169968.88500000001</v>
      </c>
      <c r="AK202" s="7">
        <f t="shared" si="120"/>
        <v>169968.88500000001</v>
      </c>
      <c r="AL202" s="7">
        <f t="shared" si="120"/>
        <v>169968.88500000001</v>
      </c>
      <c r="AM202" s="7">
        <f t="shared" si="120"/>
        <v>169968.88500000001</v>
      </c>
      <c r="AN202" s="7">
        <f t="shared" si="120"/>
        <v>169968.88500000001</v>
      </c>
      <c r="AO202" s="16"/>
      <c r="AP202" s="7"/>
      <c r="AQ202" s="9">
        <v>6</v>
      </c>
      <c r="AR202" s="9">
        <f t="shared" si="152"/>
        <v>440</v>
      </c>
      <c r="AS202" s="7">
        <f t="shared" si="121"/>
        <v>199</v>
      </c>
      <c r="AT202" s="7"/>
      <c r="AU202" s="16"/>
      <c r="AV202" s="7"/>
      <c r="AW202" s="7"/>
      <c r="AX202" s="7"/>
      <c r="AZ202" s="7"/>
      <c r="BA202" s="9">
        <f t="shared" si="122"/>
        <v>159757.34999999974</v>
      </c>
      <c r="BC202" s="5">
        <f t="shared" si="153"/>
        <v>395</v>
      </c>
      <c r="BR202" s="5">
        <v>5301065</v>
      </c>
      <c r="BS202" s="18">
        <f>[1]monsters!$N202</f>
        <v>134.4</v>
      </c>
      <c r="BT202" s="18">
        <f>[1]monsters!$O202</f>
        <v>13.44</v>
      </c>
      <c r="BU202" s="18">
        <f>[1]monsters!$P202</f>
        <v>2133.33</v>
      </c>
      <c r="BV202" s="18">
        <f>[1]monsters!$Q202</f>
        <v>213.33</v>
      </c>
      <c r="BW202" s="18">
        <f>[1]monsters!$R202</f>
        <v>26.88</v>
      </c>
      <c r="BX202" s="18">
        <f>[1]monsters!$S202</f>
        <v>2.69</v>
      </c>
      <c r="BY202" s="18">
        <f>[1]monsters!$K202</f>
        <v>1.4</v>
      </c>
      <c r="BZ202" s="5">
        <f>[1]monsters!$D202</f>
        <v>3</v>
      </c>
      <c r="CA202" s="5">
        <f t="shared" si="154"/>
        <v>0.1</v>
      </c>
      <c r="CB202" s="5">
        <f t="shared" si="155"/>
        <v>198.83729292929291</v>
      </c>
      <c r="CC202" s="5">
        <f t="shared" si="156"/>
        <v>19.883729292929292</v>
      </c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>
        <v>0</v>
      </c>
      <c r="CR202" s="3" t="b">
        <f t="shared" si="128"/>
        <v>1</v>
      </c>
      <c r="CS202" s="3" t="b">
        <f t="shared" si="129"/>
        <v>1</v>
      </c>
      <c r="CT202" s="3" t="b">
        <f t="shared" si="130"/>
        <v>1</v>
      </c>
      <c r="CU202" s="3" t="b">
        <f t="shared" si="131"/>
        <v>1</v>
      </c>
      <c r="CV202" s="3" t="b">
        <f t="shared" si="132"/>
        <v>1</v>
      </c>
      <c r="CW202" s="3" t="b">
        <f t="shared" si="133"/>
        <v>1</v>
      </c>
      <c r="CX202" s="9" t="str">
        <f t="shared" si="134"/>
        <v>5300075</v>
      </c>
      <c r="CY202" s="9" t="str">
        <f t="shared" si="135"/>
        <v>5202075</v>
      </c>
      <c r="CZ202" s="9" t="str">
        <f t="shared" si="136"/>
        <v>5202075</v>
      </c>
      <c r="DA202" s="9" t="str">
        <f t="shared" si="137"/>
        <v>5401073</v>
      </c>
      <c r="DB202" s="9" t="str">
        <f t="shared" si="138"/>
        <v>5402072</v>
      </c>
      <c r="DC202" s="9" t="str">
        <f t="shared" si="139"/>
        <v>5401073</v>
      </c>
      <c r="DD202" s="9">
        <v>7</v>
      </c>
      <c r="DE202" s="9">
        <v>7</v>
      </c>
      <c r="DF202" s="9">
        <v>7</v>
      </c>
      <c r="DG202" s="9">
        <v>7</v>
      </c>
      <c r="DH202" s="9">
        <v>7</v>
      </c>
      <c r="DI202" s="9">
        <v>7</v>
      </c>
      <c r="DJ202" s="9">
        <v>5</v>
      </c>
      <c r="DK202" s="9">
        <v>5</v>
      </c>
      <c r="DL202" s="9">
        <v>5</v>
      </c>
      <c r="DM202" s="9">
        <v>5</v>
      </c>
      <c r="DN202" s="9">
        <v>5</v>
      </c>
      <c r="DO202" s="9">
        <v>5</v>
      </c>
      <c r="DP202" s="25" t="s">
        <v>212</v>
      </c>
      <c r="DQ202" s="25" t="s">
        <v>213</v>
      </c>
      <c r="DR202" s="25" t="s">
        <v>213</v>
      </c>
      <c r="DS202" s="25" t="s">
        <v>211</v>
      </c>
      <c r="DT202" s="25" t="s">
        <v>203</v>
      </c>
      <c r="DU202" s="25" t="s">
        <v>211</v>
      </c>
      <c r="DV202" s="25">
        <f t="shared" si="140"/>
        <v>1</v>
      </c>
      <c r="DW202" s="25">
        <f t="shared" si="141"/>
        <v>1</v>
      </c>
      <c r="DX202" s="25">
        <f t="shared" si="142"/>
        <v>1</v>
      </c>
      <c r="DY202" s="25">
        <f t="shared" si="143"/>
        <v>2</v>
      </c>
      <c r="DZ202" s="25">
        <f t="shared" si="144"/>
        <v>2</v>
      </c>
      <c r="EA202" s="3">
        <f t="shared" si="145"/>
        <v>2</v>
      </c>
      <c r="EB202" s="39"/>
      <c r="EC202" s="9">
        <v>5302075</v>
      </c>
      <c r="ED202" s="34" t="s">
        <v>221</v>
      </c>
      <c r="EE202" s="8">
        <v>1</v>
      </c>
      <c r="EF202" s="9">
        <v>505120001</v>
      </c>
      <c r="EG202" s="3" t="str">
        <f t="shared" ref="EG202:EG234" si="157">INDEX($ER$4:$ER$153,MATCH($EF202,$EQ$4:$EQ$153,0))</f>
        <v>对距离最远的1名敌人造成252%攻击伤害，并有25%几率使目标冰冻，持续2秒。</v>
      </c>
    </row>
    <row r="203" spans="1:137" ht="13.5" customHeight="1">
      <c r="A203" s="9">
        <v>200</v>
      </c>
      <c r="B203" s="9">
        <v>1</v>
      </c>
      <c r="C203" s="9">
        <v>2001</v>
      </c>
      <c r="D203" s="9">
        <f t="shared" si="118"/>
        <v>1297324</v>
      </c>
      <c r="E203" s="9" t="str">
        <f t="shared" si="125"/>
        <v>5202073,5202073,5202073,5501075,5501075,5400075</v>
      </c>
      <c r="F203" s="9" t="str">
        <f t="shared" si="126"/>
        <v>7,7,7,7,7,7</v>
      </c>
      <c r="G203" s="9" t="str">
        <f t="shared" si="127"/>
        <v>425,459,459,459,459,459</v>
      </c>
      <c r="H203" s="9">
        <v>120</v>
      </c>
      <c r="I203" s="9" t="s">
        <v>278</v>
      </c>
      <c r="J203" s="9" t="s">
        <v>279</v>
      </c>
      <c r="K203" s="9" t="s">
        <v>279</v>
      </c>
      <c r="L203" s="9" t="s">
        <v>279</v>
      </c>
      <c r="M203" s="36" t="s">
        <v>293</v>
      </c>
      <c r="O203" s="3">
        <f t="shared" ref="O203:O251" si="158">ROUND(P203*1.1*1.15,0)</f>
        <v>1297324</v>
      </c>
      <c r="P203" s="9">
        <v>1025552.47</v>
      </c>
      <c r="Q203" s="9">
        <v>5202073</v>
      </c>
      <c r="R203" s="9">
        <v>5202073</v>
      </c>
      <c r="S203" s="9">
        <v>5202073</v>
      </c>
      <c r="T203" s="9">
        <v>5501075</v>
      </c>
      <c r="U203" s="9">
        <v>5501075</v>
      </c>
      <c r="V203" s="9">
        <v>5400075</v>
      </c>
      <c r="W203" s="9">
        <v>7</v>
      </c>
      <c r="X203" s="9">
        <v>7</v>
      </c>
      <c r="Y203" s="9">
        <v>7</v>
      </c>
      <c r="Z203" s="9">
        <v>7</v>
      </c>
      <c r="AA203" s="9">
        <v>7</v>
      </c>
      <c r="AB203" s="9">
        <v>7</v>
      </c>
      <c r="AC203" s="9">
        <f t="shared" si="146"/>
        <v>425</v>
      </c>
      <c r="AD203" s="9">
        <f t="shared" si="147"/>
        <v>459</v>
      </c>
      <c r="AE203" s="9">
        <f t="shared" si="148"/>
        <v>459</v>
      </c>
      <c r="AF203" s="9">
        <f t="shared" si="149"/>
        <v>459</v>
      </c>
      <c r="AG203" s="9">
        <f t="shared" si="150"/>
        <v>459</v>
      </c>
      <c r="AH203" s="9">
        <f t="shared" si="151"/>
        <v>459</v>
      </c>
      <c r="AI203" s="7">
        <f t="shared" si="123"/>
        <v>170925.41166666665</v>
      </c>
      <c r="AJ203" s="7">
        <f t="shared" si="120"/>
        <v>170925.41166666665</v>
      </c>
      <c r="AK203" s="7">
        <f t="shared" si="120"/>
        <v>170925.41166666665</v>
      </c>
      <c r="AL203" s="7">
        <f t="shared" si="120"/>
        <v>170925.41166666665</v>
      </c>
      <c r="AM203" s="7">
        <f t="shared" si="120"/>
        <v>170925.41166666665</v>
      </c>
      <c r="AN203" s="7">
        <f t="shared" si="120"/>
        <v>170925.41166666665</v>
      </c>
      <c r="AO203" s="16"/>
      <c r="AP203" s="7"/>
      <c r="AQ203" s="9">
        <v>6</v>
      </c>
      <c r="AR203" s="9">
        <f t="shared" si="152"/>
        <v>442</v>
      </c>
      <c r="AS203" s="7">
        <f t="shared" si="121"/>
        <v>200</v>
      </c>
      <c r="AT203" s="7"/>
      <c r="AU203" s="16"/>
      <c r="AV203" s="7"/>
      <c r="AW203" s="7"/>
      <c r="AX203" s="7"/>
      <c r="AZ203" s="7"/>
      <c r="BA203" s="9">
        <f t="shared" si="122"/>
        <v>161848.49999999974</v>
      </c>
      <c r="BC203" s="5">
        <f t="shared" si="153"/>
        <v>396</v>
      </c>
      <c r="BR203" s="5">
        <v>5400065</v>
      </c>
      <c r="BS203" s="18">
        <f>[1]monsters!$N203</f>
        <v>179.2</v>
      </c>
      <c r="BT203" s="18">
        <f>[1]monsters!$O203</f>
        <v>17.920000000000002</v>
      </c>
      <c r="BU203" s="18">
        <f>[1]monsters!$P203</f>
        <v>1600</v>
      </c>
      <c r="BV203" s="18">
        <f>[1]monsters!$Q203</f>
        <v>160</v>
      </c>
      <c r="BW203" s="18">
        <f>[1]monsters!$R203</f>
        <v>25.6</v>
      </c>
      <c r="BX203" s="18">
        <f>[1]monsters!$S203</f>
        <v>2.56</v>
      </c>
      <c r="BY203" s="18">
        <f>[1]monsters!$K203</f>
        <v>1.4</v>
      </c>
      <c r="BZ203" s="5">
        <f>[1]monsters!$D203</f>
        <v>4</v>
      </c>
      <c r="CA203" s="5">
        <f t="shared" si="154"/>
        <v>0.1</v>
      </c>
      <c r="CB203" s="5">
        <f t="shared" si="155"/>
        <v>223.21605387205386</v>
      </c>
      <c r="CC203" s="5">
        <f t="shared" si="156"/>
        <v>22.321605387205388</v>
      </c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>
        <v>1</v>
      </c>
      <c r="CR203" s="3" t="b">
        <f t="shared" si="128"/>
        <v>1</v>
      </c>
      <c r="CS203" s="3" t="b">
        <f t="shared" si="129"/>
        <v>1</v>
      </c>
      <c r="CT203" s="3" t="b">
        <f t="shared" si="130"/>
        <v>1</v>
      </c>
      <c r="CU203" s="3" t="b">
        <f t="shared" si="131"/>
        <v>1</v>
      </c>
      <c r="CV203" s="3" t="b">
        <f t="shared" si="132"/>
        <v>1</v>
      </c>
      <c r="CW203" s="3" t="b">
        <f t="shared" si="133"/>
        <v>1</v>
      </c>
      <c r="CX203" s="9" t="str">
        <f t="shared" si="134"/>
        <v>5202073</v>
      </c>
      <c r="CY203" s="9" t="str">
        <f t="shared" si="135"/>
        <v>5202073</v>
      </c>
      <c r="CZ203" s="9" t="str">
        <f t="shared" si="136"/>
        <v>5202073</v>
      </c>
      <c r="DA203" s="9" t="str">
        <f t="shared" si="137"/>
        <v>5501075</v>
      </c>
      <c r="DB203" s="9" t="str">
        <f t="shared" si="138"/>
        <v>5501075</v>
      </c>
      <c r="DC203" s="9" t="str">
        <f t="shared" si="139"/>
        <v>5400075</v>
      </c>
      <c r="DD203" s="9">
        <v>7</v>
      </c>
      <c r="DE203" s="9">
        <v>7</v>
      </c>
      <c r="DF203" s="9">
        <v>7</v>
      </c>
      <c r="DG203" s="9">
        <v>7</v>
      </c>
      <c r="DH203" s="9">
        <v>7</v>
      </c>
      <c r="DI203" s="9">
        <v>7</v>
      </c>
      <c r="DJ203" s="9">
        <v>5</v>
      </c>
      <c r="DK203" s="9">
        <v>5</v>
      </c>
      <c r="DL203" s="9">
        <v>5</v>
      </c>
      <c r="DM203" s="9">
        <v>5</v>
      </c>
      <c r="DN203" s="9">
        <v>5</v>
      </c>
      <c r="DO203" s="9">
        <v>5</v>
      </c>
      <c r="DP203" s="25" t="s">
        <v>208</v>
      </c>
      <c r="DQ203" s="25" t="s">
        <v>208</v>
      </c>
      <c r="DR203" s="25" t="s">
        <v>208</v>
      </c>
      <c r="DS203" s="25" t="s">
        <v>209</v>
      </c>
      <c r="DT203" s="25" t="s">
        <v>209</v>
      </c>
      <c r="DU203" s="25" t="s">
        <v>210</v>
      </c>
      <c r="DV203" s="25">
        <f t="shared" si="140"/>
        <v>1</v>
      </c>
      <c r="DW203" s="25">
        <f t="shared" si="141"/>
        <v>1</v>
      </c>
      <c r="DX203" s="25">
        <f t="shared" si="142"/>
        <v>1</v>
      </c>
      <c r="DY203" s="25">
        <f t="shared" si="143"/>
        <v>2</v>
      </c>
      <c r="DZ203" s="25">
        <f t="shared" si="144"/>
        <v>2</v>
      </c>
      <c r="EA203" s="3">
        <f t="shared" si="145"/>
        <v>2</v>
      </c>
      <c r="EB203" s="39"/>
      <c r="EC203" s="9">
        <v>5400075</v>
      </c>
      <c r="ED203" s="34" t="s">
        <v>210</v>
      </c>
      <c r="EE203" s="8">
        <v>2</v>
      </c>
      <c r="EF203" s="9">
        <v>505120101</v>
      </c>
      <c r="EG203" s="3" t="str">
        <f t="shared" si="157"/>
        <v>对随机3名敌人造成99%攻击伤害，并有15%几率使目标眩晕，持续1秒。</v>
      </c>
    </row>
    <row r="204" spans="1:137" ht="13.5" customHeight="1">
      <c r="A204" s="9">
        <v>201</v>
      </c>
      <c r="B204" s="9">
        <v>1</v>
      </c>
      <c r="C204" s="9">
        <v>2001</v>
      </c>
      <c r="D204" s="9">
        <f t="shared" si="118"/>
        <v>1336831</v>
      </c>
      <c r="E204" s="9" t="str">
        <f t="shared" ref="E204:E267" si="159">Q204&amp;","&amp;R204&amp;","&amp;S204&amp;","&amp;T204&amp;","&amp;U204&amp;","&amp;V204</f>
        <v>5201071,5201072,5200071,5601071,5500073,5501074</v>
      </c>
      <c r="F204" s="9" t="str">
        <f t="shared" ref="F204:F267" si="160">W204&amp;","&amp;X204&amp;","&amp;Y204&amp;","&amp;Z204&amp;","&amp;AA204&amp;","&amp;AB204</f>
        <v>7,7,7,7,7,7</v>
      </c>
      <c r="G204" s="9" t="str">
        <f t="shared" ref="G204:G267" si="161">AC204&amp;","&amp;AD204&amp;","&amp;AE204&amp;","&amp;AF204&amp;","&amp;AG204&amp;","&amp;AH204</f>
        <v>431,466,466,466,466,466</v>
      </c>
      <c r="H204" s="9">
        <v>120</v>
      </c>
      <c r="I204" s="9" t="s">
        <v>278</v>
      </c>
      <c r="J204" s="9" t="s">
        <v>279</v>
      </c>
      <c r="K204" s="9" t="s">
        <v>279</v>
      </c>
      <c r="L204" s="9" t="s">
        <v>279</v>
      </c>
      <c r="M204" s="36" t="s">
        <v>293</v>
      </c>
      <c r="N204" s="40"/>
      <c r="O204" s="3">
        <f t="shared" si="158"/>
        <v>1336831</v>
      </c>
      <c r="P204" s="9">
        <v>1056783.53</v>
      </c>
      <c r="Q204" s="9">
        <v>5201071</v>
      </c>
      <c r="R204" s="9">
        <v>5201072</v>
      </c>
      <c r="S204" s="9">
        <v>5200071</v>
      </c>
      <c r="T204" s="9">
        <v>5601071</v>
      </c>
      <c r="U204" s="9">
        <v>5500073</v>
      </c>
      <c r="V204" s="9">
        <v>5501074</v>
      </c>
      <c r="W204" s="9">
        <v>7</v>
      </c>
      <c r="X204" s="9">
        <v>7</v>
      </c>
      <c r="Y204" s="9">
        <v>7</v>
      </c>
      <c r="Z204" s="9">
        <v>7</v>
      </c>
      <c r="AA204" s="9">
        <v>7</v>
      </c>
      <c r="AB204" s="9">
        <v>7</v>
      </c>
      <c r="AC204" s="9">
        <f t="shared" si="146"/>
        <v>431</v>
      </c>
      <c r="AD204" s="9">
        <f t="shared" si="147"/>
        <v>466</v>
      </c>
      <c r="AE204" s="9">
        <f t="shared" si="148"/>
        <v>466</v>
      </c>
      <c r="AF204" s="9">
        <f t="shared" si="149"/>
        <v>466</v>
      </c>
      <c r="AG204" s="9">
        <f t="shared" si="150"/>
        <v>466</v>
      </c>
      <c r="AH204" s="9">
        <f t="shared" si="151"/>
        <v>466</v>
      </c>
      <c r="AI204" s="7">
        <f t="shared" si="123"/>
        <v>176130.58833333335</v>
      </c>
      <c r="AJ204" s="7">
        <f t="shared" si="120"/>
        <v>176130.58833333335</v>
      </c>
      <c r="AK204" s="7">
        <f t="shared" si="120"/>
        <v>176130.58833333335</v>
      </c>
      <c r="AL204" s="7">
        <f t="shared" ref="AJ204:AN255" si="162">$P204/6</f>
        <v>176130.58833333335</v>
      </c>
      <c r="AM204" s="7">
        <f t="shared" si="162"/>
        <v>176130.58833333335</v>
      </c>
      <c r="AN204" s="7">
        <f t="shared" si="162"/>
        <v>176130.58833333335</v>
      </c>
      <c r="AO204" s="16"/>
      <c r="AP204" s="7"/>
      <c r="AQ204" s="9">
        <v>6</v>
      </c>
      <c r="AR204" s="9">
        <f t="shared" si="152"/>
        <v>448</v>
      </c>
      <c r="AS204" s="7">
        <f t="shared" si="121"/>
        <v>200</v>
      </c>
      <c r="AT204" s="7"/>
      <c r="AU204" s="16"/>
      <c r="AV204" s="7"/>
      <c r="AW204" s="7"/>
      <c r="AX204" s="7"/>
      <c r="AZ204" s="7"/>
      <c r="BA204" s="9">
        <f t="shared" si="122"/>
        <v>163939.64999999973</v>
      </c>
      <c r="BC204" s="5">
        <f t="shared" si="153"/>
        <v>403</v>
      </c>
      <c r="BR204" s="5">
        <v>5402065</v>
      </c>
      <c r="BS204" s="18">
        <f>[1]monsters!$N204</f>
        <v>238.93</v>
      </c>
      <c r="BT204" s="18">
        <f>[1]monsters!$O204</f>
        <v>23.89</v>
      </c>
      <c r="BU204" s="18">
        <f>[1]monsters!$P204</f>
        <v>1371.43</v>
      </c>
      <c r="BV204" s="18">
        <f>[1]monsters!$Q204</f>
        <v>137.13999999999999</v>
      </c>
      <c r="BW204" s="18">
        <f>[1]monsters!$R204</f>
        <v>29.87</v>
      </c>
      <c r="BX204" s="18">
        <f>[1]monsters!$S204</f>
        <v>2.99</v>
      </c>
      <c r="BY204" s="18">
        <f>[1]monsters!$K204</f>
        <v>1.6</v>
      </c>
      <c r="BZ204" s="5">
        <f>[1]monsters!$D204</f>
        <v>5</v>
      </c>
      <c r="CA204" s="5">
        <f t="shared" si="154"/>
        <v>0.1</v>
      </c>
      <c r="CB204" s="5">
        <f t="shared" si="155"/>
        <v>271.96494427609429</v>
      </c>
      <c r="CC204" s="5">
        <f t="shared" si="156"/>
        <v>27.19649442760943</v>
      </c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>
        <v>0</v>
      </c>
      <c r="CR204" s="3" t="b">
        <f t="shared" si="128"/>
        <v>1</v>
      </c>
      <c r="CS204" s="3" t="b">
        <f t="shared" si="129"/>
        <v>1</v>
      </c>
      <c r="CT204" s="3" t="b">
        <f t="shared" si="130"/>
        <v>1</v>
      </c>
      <c r="CU204" s="3" t="b">
        <f t="shared" si="131"/>
        <v>1</v>
      </c>
      <c r="CV204" s="3" t="b">
        <f t="shared" si="132"/>
        <v>1</v>
      </c>
      <c r="CW204" s="3" t="b">
        <f t="shared" si="133"/>
        <v>1</v>
      </c>
      <c r="CX204" s="9" t="str">
        <f t="shared" si="134"/>
        <v>5201071</v>
      </c>
      <c r="CY204" s="9" t="str">
        <f t="shared" si="135"/>
        <v>5201072</v>
      </c>
      <c r="CZ204" s="9" t="str">
        <f t="shared" si="136"/>
        <v>5200071</v>
      </c>
      <c r="DA204" s="9" t="str">
        <f t="shared" si="137"/>
        <v>5601071</v>
      </c>
      <c r="DB204" s="9" t="str">
        <f t="shared" si="138"/>
        <v>5500073</v>
      </c>
      <c r="DC204" s="9" t="str">
        <f t="shared" si="139"/>
        <v>5501074</v>
      </c>
      <c r="DD204" s="9">
        <v>7</v>
      </c>
      <c r="DE204" s="9">
        <v>7</v>
      </c>
      <c r="DF204" s="9">
        <v>7</v>
      </c>
      <c r="DG204" s="9">
        <v>7</v>
      </c>
      <c r="DH204" s="9">
        <v>7</v>
      </c>
      <c r="DI204" s="9">
        <v>7</v>
      </c>
      <c r="DJ204" s="9">
        <v>5</v>
      </c>
      <c r="DK204" s="9">
        <v>5</v>
      </c>
      <c r="DL204" s="9">
        <v>5</v>
      </c>
      <c r="DM204" s="9">
        <v>5</v>
      </c>
      <c r="DN204" s="9">
        <v>5</v>
      </c>
      <c r="DO204" s="9">
        <v>5</v>
      </c>
      <c r="DP204" s="25" t="s">
        <v>195</v>
      </c>
      <c r="DQ204" s="25" t="s">
        <v>114</v>
      </c>
      <c r="DR204" s="25" t="s">
        <v>194</v>
      </c>
      <c r="DS204" s="25" t="s">
        <v>198</v>
      </c>
      <c r="DT204" s="25" t="s">
        <v>207</v>
      </c>
      <c r="DU204" s="25" t="s">
        <v>214</v>
      </c>
      <c r="DV204" s="25">
        <f t="shared" si="140"/>
        <v>1</v>
      </c>
      <c r="DW204" s="25">
        <f t="shared" si="141"/>
        <v>1</v>
      </c>
      <c r="DX204" s="25">
        <f t="shared" si="142"/>
        <v>1</v>
      </c>
      <c r="DY204" s="25">
        <f t="shared" si="143"/>
        <v>2</v>
      </c>
      <c r="DZ204" s="25">
        <f t="shared" si="144"/>
        <v>2</v>
      </c>
      <c r="EA204" s="3">
        <f t="shared" si="145"/>
        <v>2</v>
      </c>
      <c r="EB204" s="39"/>
      <c r="EC204" s="9">
        <v>5501075</v>
      </c>
      <c r="ED204" s="37" t="s">
        <v>209</v>
      </c>
      <c r="EE204" s="8">
        <v>2</v>
      </c>
      <c r="EF204" s="9">
        <v>505120201</v>
      </c>
      <c r="EG204" s="3" t="str">
        <f t="shared" si="157"/>
        <v>对随机4名敌人造成82%攻击伤害，并有10%几率使目标眩晕，持续1秒。</v>
      </c>
    </row>
    <row r="205" spans="1:137" ht="13.5" customHeight="1">
      <c r="A205" s="9">
        <v>202</v>
      </c>
      <c r="B205" s="9">
        <v>1</v>
      </c>
      <c r="C205" s="9">
        <v>2001</v>
      </c>
      <c r="D205" s="9">
        <f t="shared" si="118"/>
        <v>1377441</v>
      </c>
      <c r="E205" s="9" t="str">
        <f t="shared" si="159"/>
        <v>5302075,5202075,5202075,5400075,5400075,5400075</v>
      </c>
      <c r="F205" s="9" t="str">
        <f t="shared" si="160"/>
        <v>7,7,7,7,7,7</v>
      </c>
      <c r="G205" s="9" t="str">
        <f t="shared" si="161"/>
        <v>438,474,474,474,474,474</v>
      </c>
      <c r="H205" s="9">
        <v>120</v>
      </c>
      <c r="I205" s="9" t="s">
        <v>278</v>
      </c>
      <c r="J205" s="9" t="s">
        <v>279</v>
      </c>
      <c r="K205" s="9" t="s">
        <v>279</v>
      </c>
      <c r="L205" s="9" t="s">
        <v>279</v>
      </c>
      <c r="M205" s="36" t="s">
        <v>293</v>
      </c>
      <c r="N205" s="40"/>
      <c r="O205" s="3">
        <f t="shared" si="158"/>
        <v>1377441</v>
      </c>
      <c r="P205" s="9">
        <v>1088886.21</v>
      </c>
      <c r="Q205" s="9">
        <v>5302075</v>
      </c>
      <c r="R205" s="9">
        <v>5202075</v>
      </c>
      <c r="S205" s="9">
        <v>5202075</v>
      </c>
      <c r="T205" s="9">
        <v>5400075</v>
      </c>
      <c r="U205" s="9">
        <v>5400075</v>
      </c>
      <c r="V205" s="9">
        <v>5400075</v>
      </c>
      <c r="W205" s="9">
        <v>7</v>
      </c>
      <c r="X205" s="9">
        <v>7</v>
      </c>
      <c r="Y205" s="9">
        <v>7</v>
      </c>
      <c r="Z205" s="9">
        <v>7</v>
      </c>
      <c r="AA205" s="9">
        <v>7</v>
      </c>
      <c r="AB205" s="9">
        <v>7</v>
      </c>
      <c r="AC205" s="9">
        <f t="shared" si="146"/>
        <v>438</v>
      </c>
      <c r="AD205" s="9">
        <f t="shared" si="147"/>
        <v>474</v>
      </c>
      <c r="AE205" s="9">
        <f t="shared" si="148"/>
        <v>474</v>
      </c>
      <c r="AF205" s="9">
        <f t="shared" si="149"/>
        <v>474</v>
      </c>
      <c r="AG205" s="9">
        <f t="shared" si="150"/>
        <v>474</v>
      </c>
      <c r="AH205" s="9">
        <f t="shared" si="151"/>
        <v>474</v>
      </c>
      <c r="AI205" s="7">
        <f t="shared" si="123"/>
        <v>181481.035</v>
      </c>
      <c r="AJ205" s="7">
        <f t="shared" si="162"/>
        <v>181481.035</v>
      </c>
      <c r="AK205" s="7">
        <f t="shared" si="162"/>
        <v>181481.035</v>
      </c>
      <c r="AL205" s="7">
        <f t="shared" si="162"/>
        <v>181481.035</v>
      </c>
      <c r="AM205" s="7">
        <f t="shared" si="162"/>
        <v>181481.035</v>
      </c>
      <c r="AN205" s="7">
        <f t="shared" si="162"/>
        <v>181481.035</v>
      </c>
      <c r="AO205" s="16"/>
      <c r="AP205" s="7"/>
      <c r="AQ205" s="9">
        <v>6</v>
      </c>
      <c r="AR205" s="9">
        <f t="shared" si="152"/>
        <v>455</v>
      </c>
      <c r="AS205" s="7">
        <f t="shared" si="121"/>
        <v>201</v>
      </c>
      <c r="AT205" s="7"/>
      <c r="AU205" s="16"/>
      <c r="AV205" s="7"/>
      <c r="AW205" s="7"/>
      <c r="AX205" s="7"/>
      <c r="AZ205" s="7"/>
      <c r="BA205" s="9">
        <f t="shared" si="122"/>
        <v>166030.79999999973</v>
      </c>
      <c r="BC205" s="5">
        <f t="shared" si="153"/>
        <v>409</v>
      </c>
      <c r="BR205" s="5">
        <v>5500065</v>
      </c>
      <c r="BS205" s="18">
        <f>[1]monsters!$N205</f>
        <v>176</v>
      </c>
      <c r="BT205" s="18">
        <f>[1]monsters!$O205</f>
        <v>17.600000000000001</v>
      </c>
      <c r="BU205" s="18">
        <f>[1]monsters!$P205</f>
        <v>2112</v>
      </c>
      <c r="BV205" s="18">
        <f>[1]monsters!$Q205</f>
        <v>211.2</v>
      </c>
      <c r="BW205" s="18">
        <f>[1]monsters!$R205</f>
        <v>44</v>
      </c>
      <c r="BX205" s="18">
        <f>[1]monsters!$S205</f>
        <v>4.4000000000000004</v>
      </c>
      <c r="BY205" s="18">
        <f>[1]monsters!$K205</f>
        <v>1.5</v>
      </c>
      <c r="BZ205" s="5">
        <f>[1]monsters!$D205</f>
        <v>2</v>
      </c>
      <c r="CA205" s="5">
        <f t="shared" si="154"/>
        <v>0.1</v>
      </c>
      <c r="CB205" s="5">
        <f t="shared" si="155"/>
        <v>237.43111111111114</v>
      </c>
      <c r="CC205" s="5">
        <f t="shared" si="156"/>
        <v>23.743111111111116</v>
      </c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>
        <v>0</v>
      </c>
      <c r="CR205" s="3" t="b">
        <f t="shared" si="128"/>
        <v>1</v>
      </c>
      <c r="CS205" s="3" t="b">
        <f t="shared" si="129"/>
        <v>1</v>
      </c>
      <c r="CT205" s="3" t="b">
        <f t="shared" si="130"/>
        <v>1</v>
      </c>
      <c r="CU205" s="3" t="b">
        <f t="shared" si="131"/>
        <v>1</v>
      </c>
      <c r="CV205" s="3" t="b">
        <f t="shared" si="132"/>
        <v>1</v>
      </c>
      <c r="CW205" s="3" t="b">
        <f t="shared" si="133"/>
        <v>1</v>
      </c>
      <c r="CX205" s="9" t="str">
        <f t="shared" si="134"/>
        <v>5302075</v>
      </c>
      <c r="CY205" s="9" t="str">
        <f t="shared" si="135"/>
        <v>5202075</v>
      </c>
      <c r="CZ205" s="9" t="str">
        <f t="shared" si="136"/>
        <v>5202075</v>
      </c>
      <c r="DA205" s="9" t="str">
        <f t="shared" si="137"/>
        <v>5400075</v>
      </c>
      <c r="DB205" s="9" t="str">
        <f t="shared" si="138"/>
        <v>5400075</v>
      </c>
      <c r="DC205" s="9" t="str">
        <f t="shared" si="139"/>
        <v>5400075</v>
      </c>
      <c r="DD205" s="9">
        <v>7</v>
      </c>
      <c r="DE205" s="9">
        <v>7</v>
      </c>
      <c r="DF205" s="9">
        <v>7</v>
      </c>
      <c r="DG205" s="9">
        <v>7</v>
      </c>
      <c r="DH205" s="9">
        <v>7</v>
      </c>
      <c r="DI205" s="9">
        <v>7</v>
      </c>
      <c r="DJ205" s="9">
        <v>5</v>
      </c>
      <c r="DK205" s="9">
        <v>5</v>
      </c>
      <c r="DL205" s="9">
        <v>5</v>
      </c>
      <c r="DM205" s="9">
        <v>5</v>
      </c>
      <c r="DN205" s="9">
        <v>5</v>
      </c>
      <c r="DO205" s="9">
        <v>5</v>
      </c>
      <c r="DP205" s="25" t="s">
        <v>221</v>
      </c>
      <c r="DQ205" s="25" t="s">
        <v>213</v>
      </c>
      <c r="DR205" s="25" t="s">
        <v>213</v>
      </c>
      <c r="DS205" s="25" t="s">
        <v>210</v>
      </c>
      <c r="DT205" s="25" t="s">
        <v>210</v>
      </c>
      <c r="DU205" s="25" t="s">
        <v>210</v>
      </c>
      <c r="DV205" s="25">
        <f t="shared" si="140"/>
        <v>1</v>
      </c>
      <c r="DW205" s="25">
        <f t="shared" si="141"/>
        <v>1</v>
      </c>
      <c r="DX205" s="25">
        <f t="shared" si="142"/>
        <v>1</v>
      </c>
      <c r="DY205" s="25">
        <f t="shared" si="143"/>
        <v>2</v>
      </c>
      <c r="DZ205" s="25">
        <f t="shared" si="144"/>
        <v>2</v>
      </c>
      <c r="EA205" s="3">
        <f t="shared" si="145"/>
        <v>2</v>
      </c>
      <c r="EB205" s="39"/>
      <c r="EC205" s="9">
        <v>5200081</v>
      </c>
      <c r="ED205" s="34" t="s">
        <v>194</v>
      </c>
      <c r="EE205" s="8">
        <v>1</v>
      </c>
      <c r="EF205" s="9">
        <v>505130101</v>
      </c>
      <c r="EG205" s="3" t="str">
        <f t="shared" si="157"/>
        <v>对距离最远的1名敌人造成322%攻击伤害，并有40%几率使目标冰冻，持续2秒。</v>
      </c>
    </row>
    <row r="206" spans="1:137" ht="13.5" customHeight="1">
      <c r="A206" s="9">
        <v>203</v>
      </c>
      <c r="B206" s="9">
        <v>1</v>
      </c>
      <c r="C206" s="9">
        <v>2001</v>
      </c>
      <c r="D206" s="9">
        <f t="shared" si="118"/>
        <v>1417787</v>
      </c>
      <c r="E206" s="9" t="str">
        <f t="shared" si="159"/>
        <v>5301071,5301072,5301072,5500072,5400075,5502073</v>
      </c>
      <c r="F206" s="9" t="str">
        <f t="shared" si="160"/>
        <v>7,7,7,7,7,7</v>
      </c>
      <c r="G206" s="9" t="str">
        <f t="shared" si="161"/>
        <v>444,481,481,481,481,481</v>
      </c>
      <c r="H206" s="9">
        <v>121</v>
      </c>
      <c r="I206" s="9" t="s">
        <v>278</v>
      </c>
      <c r="J206" s="9" t="s">
        <v>279</v>
      </c>
      <c r="K206" s="9" t="s">
        <v>279</v>
      </c>
      <c r="L206" s="9" t="s">
        <v>279</v>
      </c>
      <c r="M206" s="36" t="s">
        <v>293</v>
      </c>
      <c r="N206" s="40"/>
      <c r="O206" s="3">
        <f t="shared" si="158"/>
        <v>1417787</v>
      </c>
      <c r="P206" s="9">
        <v>1120779.94</v>
      </c>
      <c r="Q206" s="9">
        <v>5301071</v>
      </c>
      <c r="R206" s="9">
        <v>5301072</v>
      </c>
      <c r="S206" s="9">
        <v>5301072</v>
      </c>
      <c r="T206" s="9">
        <v>5500072</v>
      </c>
      <c r="U206" s="9">
        <v>5400075</v>
      </c>
      <c r="V206" s="9">
        <v>5502073</v>
      </c>
      <c r="W206" s="9">
        <v>7</v>
      </c>
      <c r="X206" s="9">
        <v>7</v>
      </c>
      <c r="Y206" s="9">
        <v>7</v>
      </c>
      <c r="Z206" s="9">
        <v>7</v>
      </c>
      <c r="AA206" s="9">
        <v>7</v>
      </c>
      <c r="AB206" s="9">
        <v>7</v>
      </c>
      <c r="AC206" s="9">
        <f t="shared" si="146"/>
        <v>444</v>
      </c>
      <c r="AD206" s="9">
        <f t="shared" si="147"/>
        <v>481</v>
      </c>
      <c r="AE206" s="9">
        <f t="shared" si="148"/>
        <v>481</v>
      </c>
      <c r="AF206" s="9">
        <f t="shared" si="149"/>
        <v>481</v>
      </c>
      <c r="AG206" s="9">
        <f t="shared" si="150"/>
        <v>481</v>
      </c>
      <c r="AH206" s="9">
        <f t="shared" si="151"/>
        <v>481</v>
      </c>
      <c r="AI206" s="7">
        <f t="shared" si="123"/>
        <v>186796.65666666665</v>
      </c>
      <c r="AJ206" s="7">
        <f t="shared" si="162"/>
        <v>186796.65666666665</v>
      </c>
      <c r="AK206" s="7">
        <f t="shared" si="162"/>
        <v>186796.65666666665</v>
      </c>
      <c r="AL206" s="7">
        <f t="shared" si="162"/>
        <v>186796.65666666665</v>
      </c>
      <c r="AM206" s="7">
        <f t="shared" si="162"/>
        <v>186796.65666666665</v>
      </c>
      <c r="AN206" s="7">
        <f t="shared" si="162"/>
        <v>186796.65666666665</v>
      </c>
      <c r="AO206" s="16"/>
      <c r="AP206" s="7"/>
      <c r="AQ206" s="9">
        <v>6</v>
      </c>
      <c r="AR206" s="9">
        <f t="shared" si="152"/>
        <v>462</v>
      </c>
      <c r="AS206" s="7">
        <f t="shared" si="121"/>
        <v>201</v>
      </c>
      <c r="AT206" s="7"/>
      <c r="AU206" s="16"/>
      <c r="AV206" s="7"/>
      <c r="AW206" s="7"/>
      <c r="AX206" s="7"/>
      <c r="AZ206" s="7"/>
      <c r="BA206" s="9">
        <f t="shared" si="122"/>
        <v>168121.94999999972</v>
      </c>
      <c r="BC206" s="5">
        <f t="shared" si="153"/>
        <v>415</v>
      </c>
      <c r="BR206" s="5">
        <v>5502065</v>
      </c>
      <c r="BS206" s="18">
        <f>[1]monsters!$N206</f>
        <v>168.96</v>
      </c>
      <c r="BT206" s="18">
        <f>[1]monsters!$O206</f>
        <v>16.899999999999999</v>
      </c>
      <c r="BU206" s="18">
        <f>[1]monsters!$P206</f>
        <v>2640</v>
      </c>
      <c r="BV206" s="18">
        <f>[1]monsters!$Q206</f>
        <v>264</v>
      </c>
      <c r="BW206" s="18">
        <f>[1]monsters!$R206</f>
        <v>56.32</v>
      </c>
      <c r="BX206" s="18">
        <f>[1]monsters!$S206</f>
        <v>5.63</v>
      </c>
      <c r="BY206" s="18">
        <f>[1]monsters!$K206</f>
        <v>1.8</v>
      </c>
      <c r="BZ206" s="5">
        <f>[1]monsters!$D206</f>
        <v>2</v>
      </c>
      <c r="CA206" s="5">
        <f t="shared" si="154"/>
        <v>0.1</v>
      </c>
      <c r="CB206" s="5">
        <f t="shared" si="155"/>
        <v>248.55608888888889</v>
      </c>
      <c r="CC206" s="5">
        <f t="shared" si="156"/>
        <v>24.855608888888892</v>
      </c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>
        <v>0</v>
      </c>
      <c r="CR206" s="3" t="b">
        <f t="shared" si="128"/>
        <v>1</v>
      </c>
      <c r="CS206" s="3" t="b">
        <f t="shared" si="129"/>
        <v>1</v>
      </c>
      <c r="CT206" s="3" t="b">
        <f t="shared" si="130"/>
        <v>1</v>
      </c>
      <c r="CU206" s="3" t="b">
        <f t="shared" si="131"/>
        <v>1</v>
      </c>
      <c r="CV206" s="3" t="b">
        <f t="shared" si="132"/>
        <v>1</v>
      </c>
      <c r="CW206" s="3" t="b">
        <f t="shared" si="133"/>
        <v>1</v>
      </c>
      <c r="CX206" s="9" t="str">
        <f t="shared" si="134"/>
        <v>5301071</v>
      </c>
      <c r="CY206" s="9" t="str">
        <f t="shared" si="135"/>
        <v>5301072</v>
      </c>
      <c r="CZ206" s="9" t="str">
        <f t="shared" si="136"/>
        <v>5301072</v>
      </c>
      <c r="DA206" s="9" t="str">
        <f t="shared" si="137"/>
        <v>5500072</v>
      </c>
      <c r="DB206" s="9" t="str">
        <f t="shared" si="138"/>
        <v>5400075</v>
      </c>
      <c r="DC206" s="9" t="str">
        <f t="shared" si="139"/>
        <v>5502073</v>
      </c>
      <c r="DD206" s="9">
        <v>7</v>
      </c>
      <c r="DE206" s="9">
        <v>7</v>
      </c>
      <c r="DF206" s="9">
        <v>7</v>
      </c>
      <c r="DG206" s="9">
        <v>7</v>
      </c>
      <c r="DH206" s="9">
        <v>7</v>
      </c>
      <c r="DI206" s="9">
        <v>7</v>
      </c>
      <c r="DJ206" s="9">
        <v>5</v>
      </c>
      <c r="DK206" s="9">
        <v>5</v>
      </c>
      <c r="DL206" s="9">
        <v>5</v>
      </c>
      <c r="DM206" s="9">
        <v>5</v>
      </c>
      <c r="DN206" s="9">
        <v>5</v>
      </c>
      <c r="DO206" s="9">
        <v>5</v>
      </c>
      <c r="DP206" s="25" t="s">
        <v>107</v>
      </c>
      <c r="DQ206" s="25" t="s">
        <v>201</v>
      </c>
      <c r="DR206" s="25" t="s">
        <v>201</v>
      </c>
      <c r="DS206" s="25" t="s">
        <v>109</v>
      </c>
      <c r="DT206" s="25" t="s">
        <v>210</v>
      </c>
      <c r="DU206" s="25" t="s">
        <v>215</v>
      </c>
      <c r="DV206" s="25">
        <f t="shared" si="140"/>
        <v>1</v>
      </c>
      <c r="DW206" s="25">
        <f t="shared" si="141"/>
        <v>1</v>
      </c>
      <c r="DX206" s="25">
        <f t="shared" si="142"/>
        <v>1</v>
      </c>
      <c r="DY206" s="25">
        <f t="shared" si="143"/>
        <v>2</v>
      </c>
      <c r="DZ206" s="25">
        <f t="shared" si="144"/>
        <v>2</v>
      </c>
      <c r="EA206" s="3">
        <f t="shared" si="145"/>
        <v>2</v>
      </c>
      <c r="EB206" s="39"/>
      <c r="EC206" s="9">
        <v>5201081</v>
      </c>
      <c r="ED206" s="34" t="s">
        <v>195</v>
      </c>
      <c r="EE206" s="8">
        <v>1</v>
      </c>
      <c r="EF206" s="9">
        <v>505140101</v>
      </c>
      <c r="EG206" s="3" t="str">
        <f t="shared" si="157"/>
        <v>对随机4名敌人造成81%攻击伤害，并有20%几率使目标冰冻，持续1秒。</v>
      </c>
    </row>
    <row r="207" spans="1:137" ht="13.5" customHeight="1">
      <c r="A207" s="9">
        <v>204</v>
      </c>
      <c r="B207" s="9">
        <v>1</v>
      </c>
      <c r="C207" s="9">
        <v>2001</v>
      </c>
      <c r="D207" s="9">
        <f t="shared" si="118"/>
        <v>1458553</v>
      </c>
      <c r="E207" s="9" t="str">
        <f t="shared" si="159"/>
        <v>5201073,5200073,5301071,5501074,5500073,5501074</v>
      </c>
      <c r="F207" s="9" t="str">
        <f t="shared" si="160"/>
        <v>7,7,7,7,7,7</v>
      </c>
      <c r="G207" s="9" t="str">
        <f t="shared" si="161"/>
        <v>451,488,488,488,488,488</v>
      </c>
      <c r="H207" s="9">
        <v>121</v>
      </c>
      <c r="I207" s="9" t="s">
        <v>278</v>
      </c>
      <c r="J207" s="9" t="s">
        <v>279</v>
      </c>
      <c r="K207" s="9" t="s">
        <v>279</v>
      </c>
      <c r="L207" s="9" t="s">
        <v>279</v>
      </c>
      <c r="M207" s="36" t="s">
        <v>293</v>
      </c>
      <c r="N207" s="40"/>
      <c r="O207" s="3">
        <f t="shared" si="158"/>
        <v>1458553</v>
      </c>
      <c r="P207" s="9">
        <v>1153006</v>
      </c>
      <c r="Q207" s="9">
        <v>5201073</v>
      </c>
      <c r="R207" s="9">
        <v>5200073</v>
      </c>
      <c r="S207" s="9">
        <v>5301071</v>
      </c>
      <c r="T207" s="9">
        <v>5501074</v>
      </c>
      <c r="U207" s="9">
        <v>5500073</v>
      </c>
      <c r="V207" s="9">
        <v>5501074</v>
      </c>
      <c r="W207" s="9">
        <v>7</v>
      </c>
      <c r="X207" s="9">
        <v>7</v>
      </c>
      <c r="Y207" s="9">
        <v>7</v>
      </c>
      <c r="Z207" s="9">
        <v>7</v>
      </c>
      <c r="AA207" s="9">
        <v>7</v>
      </c>
      <c r="AB207" s="9">
        <v>7</v>
      </c>
      <c r="AC207" s="9">
        <f t="shared" si="146"/>
        <v>451</v>
      </c>
      <c r="AD207" s="9">
        <f t="shared" si="147"/>
        <v>488</v>
      </c>
      <c r="AE207" s="9">
        <f t="shared" si="148"/>
        <v>488</v>
      </c>
      <c r="AF207" s="9">
        <f t="shared" si="149"/>
        <v>488</v>
      </c>
      <c r="AG207" s="9">
        <f t="shared" si="150"/>
        <v>488</v>
      </c>
      <c r="AH207" s="9">
        <f t="shared" si="151"/>
        <v>488</v>
      </c>
      <c r="AI207" s="7">
        <f t="shared" si="123"/>
        <v>192167.66666666666</v>
      </c>
      <c r="AJ207" s="7">
        <f t="shared" si="162"/>
        <v>192167.66666666666</v>
      </c>
      <c r="AK207" s="7">
        <f t="shared" si="162"/>
        <v>192167.66666666666</v>
      </c>
      <c r="AL207" s="7">
        <f t="shared" si="162"/>
        <v>192167.66666666666</v>
      </c>
      <c r="AM207" s="7">
        <f t="shared" si="162"/>
        <v>192167.66666666666</v>
      </c>
      <c r="AN207" s="7">
        <f t="shared" si="162"/>
        <v>192167.66666666666</v>
      </c>
      <c r="AO207" s="16"/>
      <c r="AP207" s="7"/>
      <c r="AQ207" s="9">
        <v>6</v>
      </c>
      <c r="AR207" s="9">
        <f t="shared" si="152"/>
        <v>469</v>
      </c>
      <c r="AS207" s="7">
        <f t="shared" si="121"/>
        <v>202</v>
      </c>
      <c r="AT207" s="7"/>
      <c r="AU207" s="16"/>
      <c r="AV207" s="7"/>
      <c r="AW207" s="7"/>
      <c r="AX207" s="7"/>
      <c r="AZ207" s="7"/>
      <c r="BA207" s="9">
        <f t="shared" si="122"/>
        <v>170213.09999999971</v>
      </c>
      <c r="BC207" s="5">
        <f t="shared" si="153"/>
        <v>421</v>
      </c>
      <c r="BR207" s="5">
        <v>5600065</v>
      </c>
      <c r="BS207" s="18">
        <f>[1]monsters!$N207</f>
        <v>190.08</v>
      </c>
      <c r="BT207" s="18">
        <f>[1]monsters!$O207</f>
        <v>19.010000000000002</v>
      </c>
      <c r="BU207" s="18">
        <f>[1]monsters!$P207</f>
        <v>2346.67</v>
      </c>
      <c r="BV207" s="18">
        <f>[1]monsters!$Q207</f>
        <v>234.67</v>
      </c>
      <c r="BW207" s="18">
        <f>[1]monsters!$R207</f>
        <v>38.020000000000003</v>
      </c>
      <c r="BX207" s="18">
        <f>[1]monsters!$S207</f>
        <v>3.8</v>
      </c>
      <c r="BY207" s="18">
        <f>[1]monsters!$K207</f>
        <v>1.8</v>
      </c>
      <c r="BZ207" s="5">
        <f>[1]monsters!$D207</f>
        <v>2</v>
      </c>
      <c r="CA207" s="5">
        <f t="shared" si="154"/>
        <v>0.1</v>
      </c>
      <c r="CB207" s="5">
        <f t="shared" si="155"/>
        <v>258.63805791245795</v>
      </c>
      <c r="CC207" s="5">
        <f t="shared" si="156"/>
        <v>25.863805791245795</v>
      </c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>
        <v>0</v>
      </c>
      <c r="CR207" s="3" t="b">
        <f t="shared" si="128"/>
        <v>1</v>
      </c>
      <c r="CS207" s="3" t="b">
        <f t="shared" si="129"/>
        <v>1</v>
      </c>
      <c r="CT207" s="3" t="b">
        <f t="shared" si="130"/>
        <v>1</v>
      </c>
      <c r="CU207" s="3" t="b">
        <f t="shared" si="131"/>
        <v>1</v>
      </c>
      <c r="CV207" s="3" t="b">
        <f t="shared" si="132"/>
        <v>1</v>
      </c>
      <c r="CW207" s="3" t="b">
        <f t="shared" si="133"/>
        <v>1</v>
      </c>
      <c r="CX207" s="9" t="str">
        <f t="shared" si="134"/>
        <v>5201073</v>
      </c>
      <c r="CY207" s="9" t="str">
        <f t="shared" si="135"/>
        <v>5200073</v>
      </c>
      <c r="CZ207" s="9" t="str">
        <f t="shared" si="136"/>
        <v>5301071</v>
      </c>
      <c r="DA207" s="9" t="str">
        <f t="shared" si="137"/>
        <v>5501074</v>
      </c>
      <c r="DB207" s="9" t="str">
        <f t="shared" si="138"/>
        <v>5500073</v>
      </c>
      <c r="DC207" s="9" t="str">
        <f t="shared" si="139"/>
        <v>5501074</v>
      </c>
      <c r="DD207" s="9">
        <v>7</v>
      </c>
      <c r="DE207" s="9">
        <v>7</v>
      </c>
      <c r="DF207" s="9">
        <v>7</v>
      </c>
      <c r="DG207" s="9">
        <v>7</v>
      </c>
      <c r="DH207" s="9">
        <v>7</v>
      </c>
      <c r="DI207" s="9">
        <v>7</v>
      </c>
      <c r="DJ207" s="9">
        <v>5</v>
      </c>
      <c r="DK207" s="9">
        <v>5</v>
      </c>
      <c r="DL207" s="9">
        <v>5</v>
      </c>
      <c r="DM207" s="9">
        <v>5</v>
      </c>
      <c r="DN207" s="9">
        <v>5</v>
      </c>
      <c r="DO207" s="9">
        <v>5</v>
      </c>
      <c r="DP207" s="25" t="s">
        <v>205</v>
      </c>
      <c r="DQ207" s="25" t="s">
        <v>113</v>
      </c>
      <c r="DR207" s="25" t="s">
        <v>107</v>
      </c>
      <c r="DS207" s="25" t="s">
        <v>214</v>
      </c>
      <c r="DT207" s="25" t="s">
        <v>207</v>
      </c>
      <c r="DU207" s="25" t="s">
        <v>214</v>
      </c>
      <c r="DV207" s="25">
        <f t="shared" si="140"/>
        <v>1</v>
      </c>
      <c r="DW207" s="25">
        <f t="shared" si="141"/>
        <v>1</v>
      </c>
      <c r="DX207" s="25">
        <f t="shared" si="142"/>
        <v>1</v>
      </c>
      <c r="DY207" s="25">
        <f t="shared" si="143"/>
        <v>2</v>
      </c>
      <c r="DZ207" s="25">
        <f t="shared" si="144"/>
        <v>2</v>
      </c>
      <c r="EA207" s="3">
        <f t="shared" si="145"/>
        <v>2</v>
      </c>
      <c r="EB207" s="39"/>
      <c r="EC207" s="9">
        <v>5202081</v>
      </c>
      <c r="ED207" s="34" t="s">
        <v>111</v>
      </c>
      <c r="EE207" s="8">
        <v>1</v>
      </c>
      <c r="EF207" s="9">
        <v>505140201</v>
      </c>
      <c r="EG207" s="3" t="str">
        <f t="shared" si="157"/>
        <v>对随机3名敌人造成111%攻击伤害，并有30%几率使目标攻击力降低15%，持续3秒。</v>
      </c>
    </row>
    <row r="208" spans="1:137" ht="13.5" customHeight="1">
      <c r="A208" s="9">
        <v>205</v>
      </c>
      <c r="B208" s="9">
        <v>1</v>
      </c>
      <c r="C208" s="9">
        <v>2001</v>
      </c>
      <c r="D208" s="9">
        <f t="shared" si="118"/>
        <v>1499736</v>
      </c>
      <c r="E208" s="9" t="str">
        <f t="shared" si="159"/>
        <v>5200073,5200073,5200073,5401073,5401073,5401073</v>
      </c>
      <c r="F208" s="9" t="str">
        <f t="shared" si="160"/>
        <v>7,7,7,7,7,7</v>
      </c>
      <c r="G208" s="9" t="str">
        <f t="shared" si="161"/>
        <v>457,495,495,495,495,495</v>
      </c>
      <c r="H208" s="9">
        <v>122</v>
      </c>
      <c r="I208" s="9" t="s">
        <v>278</v>
      </c>
      <c r="J208" s="9" t="s">
        <v>279</v>
      </c>
      <c r="K208" s="9" t="s">
        <v>279</v>
      </c>
      <c r="L208" s="9" t="s">
        <v>279</v>
      </c>
      <c r="M208" s="36" t="s">
        <v>293</v>
      </c>
      <c r="O208" s="3">
        <f t="shared" si="158"/>
        <v>1499736</v>
      </c>
      <c r="P208" s="9">
        <v>1185562.3999999999</v>
      </c>
      <c r="Q208" s="9">
        <v>5200073</v>
      </c>
      <c r="R208" s="9">
        <v>5200073</v>
      </c>
      <c r="S208" s="9">
        <v>5200073</v>
      </c>
      <c r="T208" s="9">
        <v>5401073</v>
      </c>
      <c r="U208" s="9">
        <v>5401073</v>
      </c>
      <c r="V208" s="9">
        <v>5401073</v>
      </c>
      <c r="W208" s="9">
        <v>7</v>
      </c>
      <c r="X208" s="9">
        <v>7</v>
      </c>
      <c r="Y208" s="9">
        <v>7</v>
      </c>
      <c r="Z208" s="9">
        <v>7</v>
      </c>
      <c r="AA208" s="9">
        <v>7</v>
      </c>
      <c r="AB208" s="9">
        <v>7</v>
      </c>
      <c r="AC208" s="9">
        <f t="shared" si="146"/>
        <v>457</v>
      </c>
      <c r="AD208" s="9">
        <f t="shared" si="147"/>
        <v>495</v>
      </c>
      <c r="AE208" s="9">
        <f t="shared" si="148"/>
        <v>495</v>
      </c>
      <c r="AF208" s="9">
        <f t="shared" si="149"/>
        <v>495</v>
      </c>
      <c r="AG208" s="9">
        <f t="shared" si="150"/>
        <v>495</v>
      </c>
      <c r="AH208" s="9">
        <f t="shared" si="151"/>
        <v>495</v>
      </c>
      <c r="AI208" s="7">
        <f t="shared" si="123"/>
        <v>197593.73333333331</v>
      </c>
      <c r="AJ208" s="7">
        <f t="shared" si="162"/>
        <v>197593.73333333331</v>
      </c>
      <c r="AK208" s="7">
        <f t="shared" si="162"/>
        <v>197593.73333333331</v>
      </c>
      <c r="AL208" s="7">
        <f t="shared" si="162"/>
        <v>197593.73333333331</v>
      </c>
      <c r="AM208" s="7">
        <f t="shared" si="162"/>
        <v>197593.73333333331</v>
      </c>
      <c r="AN208" s="7">
        <f t="shared" si="162"/>
        <v>197593.73333333331</v>
      </c>
      <c r="AO208" s="16"/>
      <c r="AP208" s="7"/>
      <c r="AQ208" s="9">
        <v>6</v>
      </c>
      <c r="AR208" s="9">
        <f t="shared" si="152"/>
        <v>476</v>
      </c>
      <c r="AS208" s="7">
        <f t="shared" si="121"/>
        <v>202</v>
      </c>
      <c r="AT208" s="7"/>
      <c r="AU208" s="16"/>
      <c r="AV208" s="7"/>
      <c r="AW208" s="7"/>
      <c r="AX208" s="7"/>
      <c r="AZ208" s="7"/>
      <c r="BA208" s="9">
        <f t="shared" si="122"/>
        <v>172304.24999999971</v>
      </c>
      <c r="BC208" s="5">
        <f t="shared" si="153"/>
        <v>427</v>
      </c>
      <c r="BR208" s="5">
        <v>5602065</v>
      </c>
      <c r="BS208" s="18">
        <f>[1]monsters!$N208</f>
        <v>126.72</v>
      </c>
      <c r="BT208" s="18">
        <f>[1]monsters!$O208</f>
        <v>12.67</v>
      </c>
      <c r="BU208" s="18">
        <f>[1]monsters!$P208</f>
        <v>2346.67</v>
      </c>
      <c r="BV208" s="18">
        <f>[1]monsters!$Q208</f>
        <v>234.67</v>
      </c>
      <c r="BW208" s="18">
        <f>[1]monsters!$R208</f>
        <v>25.34</v>
      </c>
      <c r="BX208" s="18">
        <f>[1]monsters!$S208</f>
        <v>2.5299999999999998</v>
      </c>
      <c r="BY208" s="18">
        <f>[1]monsters!$K208</f>
        <v>1.2</v>
      </c>
      <c r="BZ208" s="5">
        <f>[1]monsters!$D208</f>
        <v>3</v>
      </c>
      <c r="CA208" s="5">
        <f t="shared" si="154"/>
        <v>0.1</v>
      </c>
      <c r="CB208" s="5">
        <f t="shared" si="155"/>
        <v>198.76285791245792</v>
      </c>
      <c r="CC208" s="5">
        <f t="shared" si="156"/>
        <v>19.876285791245792</v>
      </c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>
        <v>1</v>
      </c>
      <c r="CR208" s="3" t="b">
        <f t="shared" si="128"/>
        <v>1</v>
      </c>
      <c r="CS208" s="3" t="b">
        <f t="shared" si="129"/>
        <v>1</v>
      </c>
      <c r="CT208" s="3" t="b">
        <f t="shared" si="130"/>
        <v>1</v>
      </c>
      <c r="CU208" s="3" t="b">
        <f t="shared" si="131"/>
        <v>1</v>
      </c>
      <c r="CV208" s="3" t="b">
        <f t="shared" si="132"/>
        <v>1</v>
      </c>
      <c r="CW208" s="3" t="b">
        <f t="shared" si="133"/>
        <v>1</v>
      </c>
      <c r="CX208" s="9" t="str">
        <f t="shared" si="134"/>
        <v>5200073</v>
      </c>
      <c r="CY208" s="9" t="str">
        <f t="shared" si="135"/>
        <v>5200073</v>
      </c>
      <c r="CZ208" s="9" t="str">
        <f t="shared" si="136"/>
        <v>5200073</v>
      </c>
      <c r="DA208" s="9" t="str">
        <f t="shared" si="137"/>
        <v>5401073</v>
      </c>
      <c r="DB208" s="9" t="str">
        <f t="shared" si="138"/>
        <v>5401073</v>
      </c>
      <c r="DC208" s="9" t="str">
        <f t="shared" si="139"/>
        <v>5401073</v>
      </c>
      <c r="DD208" s="9">
        <v>7</v>
      </c>
      <c r="DE208" s="9">
        <v>7</v>
      </c>
      <c r="DF208" s="9">
        <v>7</v>
      </c>
      <c r="DG208" s="9">
        <v>7</v>
      </c>
      <c r="DH208" s="9">
        <v>7</v>
      </c>
      <c r="DI208" s="9">
        <v>7</v>
      </c>
      <c r="DJ208" s="9">
        <v>5</v>
      </c>
      <c r="DK208" s="9">
        <v>5</v>
      </c>
      <c r="DL208" s="9">
        <v>5</v>
      </c>
      <c r="DM208" s="9">
        <v>5</v>
      </c>
      <c r="DN208" s="9">
        <v>5</v>
      </c>
      <c r="DO208" s="9">
        <v>5</v>
      </c>
      <c r="DP208" s="25" t="s">
        <v>113</v>
      </c>
      <c r="DQ208" s="25" t="s">
        <v>113</v>
      </c>
      <c r="DR208" s="25" t="s">
        <v>113</v>
      </c>
      <c r="DS208" s="25" t="s">
        <v>211</v>
      </c>
      <c r="DT208" s="25" t="s">
        <v>211</v>
      </c>
      <c r="DU208" s="25" t="s">
        <v>211</v>
      </c>
      <c r="DV208" s="25">
        <f t="shared" si="140"/>
        <v>1</v>
      </c>
      <c r="DW208" s="25">
        <f t="shared" si="141"/>
        <v>1</v>
      </c>
      <c r="DX208" s="25">
        <f t="shared" si="142"/>
        <v>1</v>
      </c>
      <c r="DY208" s="25">
        <f t="shared" si="143"/>
        <v>2</v>
      </c>
      <c r="DZ208" s="25">
        <f t="shared" si="144"/>
        <v>2</v>
      </c>
      <c r="EA208" s="3">
        <f t="shared" si="145"/>
        <v>2</v>
      </c>
      <c r="EB208" s="39"/>
      <c r="EC208" s="9">
        <v>5301081</v>
      </c>
      <c r="ED208" s="34" t="s">
        <v>107</v>
      </c>
      <c r="EE208" s="8">
        <v>1</v>
      </c>
      <c r="EF208" s="9">
        <v>505150001</v>
      </c>
      <c r="EG208" s="3" t="str">
        <f t="shared" si="157"/>
        <v>对随机3名敌人造成91%攻击伤害，并有15%几率使目标沉默，持续2秒。</v>
      </c>
    </row>
    <row r="209" spans="1:137" ht="13.5" customHeight="1">
      <c r="A209" s="9">
        <v>206</v>
      </c>
      <c r="B209" s="9">
        <v>1</v>
      </c>
      <c r="C209" s="9">
        <v>2001</v>
      </c>
      <c r="D209" s="9">
        <f t="shared" ref="D209:D272" si="163">O209</f>
        <v>1508046</v>
      </c>
      <c r="E209" s="9" t="str">
        <f t="shared" si="159"/>
        <v>5201071,5201072,5202071,5502071,5500071,5502071</v>
      </c>
      <c r="F209" s="9" t="str">
        <f t="shared" si="160"/>
        <v>7,7,7,7,7,7</v>
      </c>
      <c r="G209" s="9" t="str">
        <f t="shared" si="161"/>
        <v>459,496,496,496,496,496</v>
      </c>
      <c r="H209" s="9">
        <v>122</v>
      </c>
      <c r="I209" s="9" t="s">
        <v>278</v>
      </c>
      <c r="J209" s="9" t="s">
        <v>279</v>
      </c>
      <c r="K209" s="9" t="s">
        <v>279</v>
      </c>
      <c r="L209" s="9" t="s">
        <v>279</v>
      </c>
      <c r="M209" s="36" t="s">
        <v>293</v>
      </c>
      <c r="N209" s="40"/>
      <c r="O209" s="3">
        <f t="shared" si="158"/>
        <v>1508046</v>
      </c>
      <c r="P209" s="9">
        <v>1192131.3899999999</v>
      </c>
      <c r="Q209" s="9">
        <v>5201071</v>
      </c>
      <c r="R209" s="9">
        <v>5201072</v>
      </c>
      <c r="S209" s="9">
        <v>5202071</v>
      </c>
      <c r="T209" s="9">
        <v>5502071</v>
      </c>
      <c r="U209" s="9">
        <v>5500071</v>
      </c>
      <c r="V209" s="9">
        <v>5502071</v>
      </c>
      <c r="W209" s="9">
        <v>7</v>
      </c>
      <c r="X209" s="9">
        <v>7</v>
      </c>
      <c r="Y209" s="9">
        <v>7</v>
      </c>
      <c r="Z209" s="9">
        <v>7</v>
      </c>
      <c r="AA209" s="9">
        <v>7</v>
      </c>
      <c r="AB209" s="9">
        <v>7</v>
      </c>
      <c r="AC209" s="9">
        <f t="shared" si="146"/>
        <v>459</v>
      </c>
      <c r="AD209" s="9">
        <f t="shared" si="147"/>
        <v>496</v>
      </c>
      <c r="AE209" s="9">
        <f t="shared" si="148"/>
        <v>496</v>
      </c>
      <c r="AF209" s="9">
        <f t="shared" si="149"/>
        <v>496</v>
      </c>
      <c r="AG209" s="9">
        <f t="shared" si="150"/>
        <v>496</v>
      </c>
      <c r="AH209" s="9">
        <f t="shared" si="151"/>
        <v>496</v>
      </c>
      <c r="AI209" s="7">
        <f t="shared" si="123"/>
        <v>198688.56499999997</v>
      </c>
      <c r="AJ209" s="7">
        <f t="shared" si="162"/>
        <v>198688.56499999997</v>
      </c>
      <c r="AK209" s="7">
        <f t="shared" si="162"/>
        <v>198688.56499999997</v>
      </c>
      <c r="AL209" s="7">
        <f t="shared" si="162"/>
        <v>198688.56499999997</v>
      </c>
      <c r="AM209" s="7">
        <f t="shared" si="162"/>
        <v>198688.56499999997</v>
      </c>
      <c r="AN209" s="7">
        <f t="shared" si="162"/>
        <v>198688.56499999997</v>
      </c>
      <c r="AO209" s="16"/>
      <c r="AP209" s="7"/>
      <c r="AQ209" s="9">
        <v>6</v>
      </c>
      <c r="AR209" s="9">
        <f t="shared" si="152"/>
        <v>477</v>
      </c>
      <c r="AS209" s="7">
        <f t="shared" si="121"/>
        <v>203</v>
      </c>
      <c r="AT209" s="7"/>
      <c r="AU209" s="16"/>
      <c r="AV209" s="7"/>
      <c r="AW209" s="7"/>
      <c r="AX209" s="7"/>
      <c r="AZ209" s="7"/>
      <c r="BA209" s="9">
        <f t="shared" si="122"/>
        <v>174395.3999999997</v>
      </c>
      <c r="BC209" s="5">
        <f t="shared" si="153"/>
        <v>428</v>
      </c>
      <c r="BR209" s="5">
        <v>5200071</v>
      </c>
      <c r="BS209" s="18">
        <f>[1]monsters!$N209</f>
        <v>225.28</v>
      </c>
      <c r="BT209" s="18">
        <f>[1]monsters!$O209</f>
        <v>22.53</v>
      </c>
      <c r="BU209" s="18">
        <f>[1]monsters!$P209</f>
        <v>1760</v>
      </c>
      <c r="BV209" s="18">
        <f>[1]monsters!$Q209</f>
        <v>176</v>
      </c>
      <c r="BW209" s="18">
        <f>[1]monsters!$R209</f>
        <v>32.18</v>
      </c>
      <c r="BX209" s="18">
        <f>[1]monsters!$S209</f>
        <v>3.22</v>
      </c>
      <c r="BY209" s="18">
        <f>[1]monsters!$K209</f>
        <v>1.6</v>
      </c>
      <c r="BZ209" s="5">
        <f>[1]monsters!$D209</f>
        <v>4</v>
      </c>
      <c r="CA209" s="5">
        <f t="shared" si="154"/>
        <v>0.1</v>
      </c>
      <c r="CB209" s="5">
        <f t="shared" si="155"/>
        <v>272.14885925925927</v>
      </c>
      <c r="CC209" s="5">
        <f t="shared" si="156"/>
        <v>27.214885925925927</v>
      </c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>
        <v>0</v>
      </c>
      <c r="CR209" s="3" t="b">
        <f t="shared" si="128"/>
        <v>1</v>
      </c>
      <c r="CS209" s="3" t="b">
        <f t="shared" si="129"/>
        <v>1</v>
      </c>
      <c r="CT209" s="3" t="b">
        <f t="shared" si="130"/>
        <v>1</v>
      </c>
      <c r="CU209" s="3" t="b">
        <f t="shared" si="131"/>
        <v>1</v>
      </c>
      <c r="CV209" s="3" t="b">
        <f t="shared" si="132"/>
        <v>1</v>
      </c>
      <c r="CW209" s="3" t="b">
        <f t="shared" si="133"/>
        <v>1</v>
      </c>
      <c r="CX209" s="9" t="str">
        <f t="shared" si="134"/>
        <v>5201071</v>
      </c>
      <c r="CY209" s="9" t="str">
        <f t="shared" si="135"/>
        <v>5201072</v>
      </c>
      <c r="CZ209" s="9" t="str">
        <f t="shared" si="136"/>
        <v>5202071</v>
      </c>
      <c r="DA209" s="9" t="str">
        <f t="shared" si="137"/>
        <v>5502071</v>
      </c>
      <c r="DB209" s="9" t="str">
        <f t="shared" si="138"/>
        <v>5500071</v>
      </c>
      <c r="DC209" s="9" t="str">
        <f t="shared" si="139"/>
        <v>5502071</v>
      </c>
      <c r="DD209" s="9">
        <v>7</v>
      </c>
      <c r="DE209" s="9">
        <v>7</v>
      </c>
      <c r="DF209" s="9">
        <v>7</v>
      </c>
      <c r="DG209" s="9">
        <v>7</v>
      </c>
      <c r="DH209" s="9">
        <v>7</v>
      </c>
      <c r="DI209" s="9">
        <v>7</v>
      </c>
      <c r="DJ209" s="9">
        <v>5</v>
      </c>
      <c r="DK209" s="9">
        <v>5</v>
      </c>
      <c r="DL209" s="9">
        <v>5</v>
      </c>
      <c r="DM209" s="9">
        <v>5</v>
      </c>
      <c r="DN209" s="9">
        <v>5</v>
      </c>
      <c r="DO209" s="9">
        <v>5</v>
      </c>
      <c r="DP209" s="25" t="s">
        <v>195</v>
      </c>
      <c r="DQ209" s="25" t="s">
        <v>114</v>
      </c>
      <c r="DR209" s="25" t="s">
        <v>111</v>
      </c>
      <c r="DS209" s="25" t="s">
        <v>119</v>
      </c>
      <c r="DT209" s="25" t="s">
        <v>197</v>
      </c>
      <c r="DU209" s="25" t="s">
        <v>119</v>
      </c>
      <c r="DV209" s="25">
        <f t="shared" si="140"/>
        <v>1</v>
      </c>
      <c r="DW209" s="25">
        <f t="shared" si="141"/>
        <v>1</v>
      </c>
      <c r="DX209" s="25">
        <f t="shared" si="142"/>
        <v>1</v>
      </c>
      <c r="DY209" s="25">
        <f t="shared" si="143"/>
        <v>2</v>
      </c>
      <c r="DZ209" s="25">
        <f t="shared" si="144"/>
        <v>2</v>
      </c>
      <c r="EA209" s="3">
        <f t="shared" si="145"/>
        <v>2</v>
      </c>
      <c r="EB209" s="38"/>
      <c r="EC209" s="9">
        <v>5401081</v>
      </c>
      <c r="ED209" s="34" t="s">
        <v>117</v>
      </c>
      <c r="EE209" s="8">
        <v>2</v>
      </c>
      <c r="EF209" s="9">
        <v>505150201</v>
      </c>
      <c r="EG209" s="3" t="str">
        <f t="shared" si="157"/>
        <v>对距离最近的2名敌人造成139%攻击伤害，并有30%几率使目标石化，持续2秒。</v>
      </c>
    </row>
    <row r="210" spans="1:137" ht="13.5" customHeight="1">
      <c r="A210" s="9">
        <v>207</v>
      </c>
      <c r="B210" s="9">
        <v>1</v>
      </c>
      <c r="C210" s="9">
        <v>2001</v>
      </c>
      <c r="D210" s="9">
        <f t="shared" si="163"/>
        <v>1516379</v>
      </c>
      <c r="E210" s="9" t="str">
        <f t="shared" si="159"/>
        <v>5202073,5201073,5302074,5501074,5501075,5500072</v>
      </c>
      <c r="F210" s="9" t="str">
        <f t="shared" si="160"/>
        <v>7,7,7,7,7,7</v>
      </c>
      <c r="G210" s="9" t="str">
        <f t="shared" si="161"/>
        <v>460,498,498,498,498,498</v>
      </c>
      <c r="H210" s="9">
        <v>122</v>
      </c>
      <c r="I210" s="9" t="s">
        <v>278</v>
      </c>
      <c r="J210" s="9" t="s">
        <v>279</v>
      </c>
      <c r="K210" s="9" t="s">
        <v>279</v>
      </c>
      <c r="L210" s="9" t="s">
        <v>279</v>
      </c>
      <c r="M210" s="36" t="s">
        <v>293</v>
      </c>
      <c r="N210" s="40"/>
      <c r="O210" s="3">
        <f t="shared" si="158"/>
        <v>1516379</v>
      </c>
      <c r="P210" s="9">
        <v>1198718.29</v>
      </c>
      <c r="Q210" s="9">
        <v>5202073</v>
      </c>
      <c r="R210" s="9">
        <v>5201073</v>
      </c>
      <c r="S210" s="9">
        <v>5302074</v>
      </c>
      <c r="T210" s="9">
        <v>5501074</v>
      </c>
      <c r="U210" s="9">
        <v>5501075</v>
      </c>
      <c r="V210" s="9">
        <v>5500072</v>
      </c>
      <c r="W210" s="9">
        <v>7</v>
      </c>
      <c r="X210" s="9">
        <v>7</v>
      </c>
      <c r="Y210" s="9">
        <v>7</v>
      </c>
      <c r="Z210" s="9">
        <v>7</v>
      </c>
      <c r="AA210" s="9">
        <v>7</v>
      </c>
      <c r="AB210" s="9">
        <v>7</v>
      </c>
      <c r="AC210" s="9">
        <f t="shared" si="146"/>
        <v>460</v>
      </c>
      <c r="AD210" s="9">
        <f t="shared" si="147"/>
        <v>498</v>
      </c>
      <c r="AE210" s="9">
        <f t="shared" si="148"/>
        <v>498</v>
      </c>
      <c r="AF210" s="9">
        <f t="shared" si="149"/>
        <v>498</v>
      </c>
      <c r="AG210" s="9">
        <f t="shared" si="150"/>
        <v>498</v>
      </c>
      <c r="AH210" s="9">
        <f t="shared" si="151"/>
        <v>498</v>
      </c>
      <c r="AI210" s="7">
        <f t="shared" si="123"/>
        <v>199786.38166666668</v>
      </c>
      <c r="AJ210" s="7">
        <f t="shared" si="162"/>
        <v>199786.38166666668</v>
      </c>
      <c r="AK210" s="7">
        <f t="shared" si="162"/>
        <v>199786.38166666668</v>
      </c>
      <c r="AL210" s="7">
        <f t="shared" si="162"/>
        <v>199786.38166666668</v>
      </c>
      <c r="AM210" s="7">
        <f t="shared" si="162"/>
        <v>199786.38166666668</v>
      </c>
      <c r="AN210" s="7">
        <f t="shared" si="162"/>
        <v>199786.38166666668</v>
      </c>
      <c r="AO210" s="16"/>
      <c r="AP210" s="7"/>
      <c r="AQ210" s="9">
        <v>6</v>
      </c>
      <c r="AR210" s="9">
        <f t="shared" si="152"/>
        <v>478</v>
      </c>
      <c r="AS210" s="7">
        <f t="shared" si="121"/>
        <v>203</v>
      </c>
      <c r="AT210" s="7"/>
      <c r="AU210" s="16"/>
      <c r="AV210" s="7"/>
      <c r="AW210" s="7"/>
      <c r="AX210" s="7"/>
      <c r="AZ210" s="7"/>
      <c r="BA210" s="9">
        <f t="shared" si="122"/>
        <v>176486.5499999997</v>
      </c>
      <c r="BC210" s="5">
        <f t="shared" si="153"/>
        <v>429</v>
      </c>
      <c r="BR210" s="5">
        <v>5201071</v>
      </c>
      <c r="BS210" s="18">
        <f>[1]monsters!$N210</f>
        <v>211.2</v>
      </c>
      <c r="BT210" s="18">
        <f>[1]monsters!$O210</f>
        <v>21.12</v>
      </c>
      <c r="BU210" s="18">
        <f>[1]monsters!$P210</f>
        <v>1760</v>
      </c>
      <c r="BV210" s="18">
        <f>[1]monsters!$Q210</f>
        <v>176</v>
      </c>
      <c r="BW210" s="18">
        <f>[1]monsters!$R210</f>
        <v>30.17</v>
      </c>
      <c r="BX210" s="18">
        <f>[1]monsters!$S210</f>
        <v>3.02</v>
      </c>
      <c r="BY210" s="18">
        <f>[1]monsters!$K210</f>
        <v>1.5</v>
      </c>
      <c r="BZ210" s="5">
        <f>[1]monsters!$D210</f>
        <v>4</v>
      </c>
      <c r="CA210" s="5">
        <f t="shared" si="154"/>
        <v>0.1</v>
      </c>
      <c r="CB210" s="5">
        <f t="shared" si="155"/>
        <v>258.84325925925924</v>
      </c>
      <c r="CC210" s="5">
        <f t="shared" si="156"/>
        <v>25.884325925925925</v>
      </c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>
        <v>0</v>
      </c>
      <c r="CR210" s="3" t="b">
        <f t="shared" si="128"/>
        <v>1</v>
      </c>
      <c r="CS210" s="3" t="b">
        <f t="shared" si="129"/>
        <v>1</v>
      </c>
      <c r="CT210" s="3" t="b">
        <f t="shared" si="130"/>
        <v>1</v>
      </c>
      <c r="CU210" s="3" t="b">
        <f t="shared" si="131"/>
        <v>1</v>
      </c>
      <c r="CV210" s="3" t="b">
        <f t="shared" si="132"/>
        <v>1</v>
      </c>
      <c r="CW210" s="3" t="b">
        <f t="shared" si="133"/>
        <v>1</v>
      </c>
      <c r="CX210" s="9" t="str">
        <f t="shared" si="134"/>
        <v>5202073</v>
      </c>
      <c r="CY210" s="9" t="str">
        <f t="shared" si="135"/>
        <v>5201073</v>
      </c>
      <c r="CZ210" s="9" t="str">
        <f t="shared" si="136"/>
        <v>5302074</v>
      </c>
      <c r="DA210" s="9" t="str">
        <f t="shared" si="137"/>
        <v>5501074</v>
      </c>
      <c r="DB210" s="9" t="str">
        <f t="shared" si="138"/>
        <v>5501075</v>
      </c>
      <c r="DC210" s="9" t="str">
        <f t="shared" si="139"/>
        <v>5500072</v>
      </c>
      <c r="DD210" s="9">
        <v>7</v>
      </c>
      <c r="DE210" s="9">
        <v>7</v>
      </c>
      <c r="DF210" s="9">
        <v>7</v>
      </c>
      <c r="DG210" s="9">
        <v>7</v>
      </c>
      <c r="DH210" s="9">
        <v>7</v>
      </c>
      <c r="DI210" s="9">
        <v>7</v>
      </c>
      <c r="DJ210" s="9">
        <v>5</v>
      </c>
      <c r="DK210" s="9">
        <v>5</v>
      </c>
      <c r="DL210" s="9">
        <v>5</v>
      </c>
      <c r="DM210" s="9">
        <v>5</v>
      </c>
      <c r="DN210" s="9">
        <v>5</v>
      </c>
      <c r="DO210" s="9">
        <v>5</v>
      </c>
      <c r="DP210" s="25" t="s">
        <v>208</v>
      </c>
      <c r="DQ210" s="25" t="s">
        <v>205</v>
      </c>
      <c r="DR210" s="25" t="s">
        <v>218</v>
      </c>
      <c r="DS210" s="25" t="s">
        <v>214</v>
      </c>
      <c r="DT210" s="25" t="s">
        <v>209</v>
      </c>
      <c r="DU210" s="25" t="s">
        <v>109</v>
      </c>
      <c r="DV210" s="25">
        <f t="shared" si="140"/>
        <v>1</v>
      </c>
      <c r="DW210" s="25">
        <f t="shared" si="141"/>
        <v>1</v>
      </c>
      <c r="DX210" s="25">
        <f t="shared" si="142"/>
        <v>1</v>
      </c>
      <c r="DY210" s="25">
        <f t="shared" si="143"/>
        <v>2</v>
      </c>
      <c r="DZ210" s="25">
        <f t="shared" si="144"/>
        <v>2</v>
      </c>
      <c r="EA210" s="3">
        <f t="shared" si="145"/>
        <v>2</v>
      </c>
      <c r="EB210" s="39"/>
      <c r="EC210" s="9">
        <v>5402081</v>
      </c>
      <c r="ED210" s="34" t="s">
        <v>196</v>
      </c>
      <c r="EE210" s="8">
        <v>2</v>
      </c>
      <c r="EF210" s="9">
        <v>505160101</v>
      </c>
      <c r="EG210" s="3" t="str">
        <f t="shared" si="157"/>
        <v>对距离最远的3名敌人造成73%攻击伤害，并有25%几率使目标冰冻，持续2秒。</v>
      </c>
    </row>
    <row r="211" spans="1:137" ht="13.5" customHeight="1">
      <c r="A211" s="9">
        <v>208</v>
      </c>
      <c r="B211" s="9">
        <v>1</v>
      </c>
      <c r="C211" s="9">
        <v>2001</v>
      </c>
      <c r="D211" s="9">
        <f t="shared" si="163"/>
        <v>1525456</v>
      </c>
      <c r="E211" s="9" t="str">
        <f t="shared" si="159"/>
        <v>5201073,5202075,5200071,5501074,5402072,5501075</v>
      </c>
      <c r="F211" s="9" t="str">
        <f t="shared" si="160"/>
        <v>7,7,7,7,7,7</v>
      </c>
      <c r="G211" s="9" t="str">
        <f t="shared" si="161"/>
        <v>461,499,499,499,499,499</v>
      </c>
      <c r="H211" s="9">
        <v>123</v>
      </c>
      <c r="I211" s="9" t="s">
        <v>278</v>
      </c>
      <c r="J211" s="9" t="s">
        <v>279</v>
      </c>
      <c r="K211" s="9" t="s">
        <v>279</v>
      </c>
      <c r="L211" s="9" t="s">
        <v>279</v>
      </c>
      <c r="M211" s="36" t="s">
        <v>293</v>
      </c>
      <c r="N211" s="40"/>
      <c r="O211" s="3">
        <f t="shared" si="158"/>
        <v>1525456</v>
      </c>
      <c r="P211" s="9">
        <v>1205894.23</v>
      </c>
      <c r="Q211" s="9">
        <v>5201073</v>
      </c>
      <c r="R211" s="9">
        <v>5202075</v>
      </c>
      <c r="S211" s="9">
        <v>5200071</v>
      </c>
      <c r="T211" s="9">
        <v>5501074</v>
      </c>
      <c r="U211" s="9">
        <v>5402072</v>
      </c>
      <c r="V211" s="9">
        <v>5501075</v>
      </c>
      <c r="W211" s="9">
        <v>7</v>
      </c>
      <c r="X211" s="9">
        <v>7</v>
      </c>
      <c r="Y211" s="9">
        <v>7</v>
      </c>
      <c r="Z211" s="9">
        <v>7</v>
      </c>
      <c r="AA211" s="9">
        <v>7</v>
      </c>
      <c r="AB211" s="9">
        <v>7</v>
      </c>
      <c r="AC211" s="9">
        <f t="shared" si="146"/>
        <v>461</v>
      </c>
      <c r="AD211" s="9">
        <f t="shared" si="147"/>
        <v>499</v>
      </c>
      <c r="AE211" s="9">
        <f t="shared" si="148"/>
        <v>499</v>
      </c>
      <c r="AF211" s="9">
        <f t="shared" si="149"/>
        <v>499</v>
      </c>
      <c r="AG211" s="9">
        <f t="shared" si="150"/>
        <v>499</v>
      </c>
      <c r="AH211" s="9">
        <f t="shared" si="151"/>
        <v>499</v>
      </c>
      <c r="AI211" s="7">
        <f t="shared" si="123"/>
        <v>200982.37166666667</v>
      </c>
      <c r="AJ211" s="7">
        <f t="shared" si="162"/>
        <v>200982.37166666667</v>
      </c>
      <c r="AK211" s="7">
        <f t="shared" si="162"/>
        <v>200982.37166666667</v>
      </c>
      <c r="AL211" s="7">
        <f t="shared" si="162"/>
        <v>200982.37166666667</v>
      </c>
      <c r="AM211" s="7">
        <f t="shared" si="162"/>
        <v>200982.37166666667</v>
      </c>
      <c r="AN211" s="7">
        <f t="shared" si="162"/>
        <v>200982.37166666667</v>
      </c>
      <c r="AO211" s="16"/>
      <c r="AP211" s="7"/>
      <c r="AQ211" s="9">
        <v>6</v>
      </c>
      <c r="AR211" s="9">
        <f t="shared" si="152"/>
        <v>480</v>
      </c>
      <c r="AS211" s="7">
        <f t="shared" si="121"/>
        <v>204</v>
      </c>
      <c r="AT211" s="7"/>
      <c r="AU211" s="16"/>
      <c r="AV211" s="7"/>
      <c r="AW211" s="7"/>
      <c r="AX211" s="7"/>
      <c r="AZ211" s="7"/>
      <c r="BA211" s="9">
        <f t="shared" si="122"/>
        <v>178577.69999999969</v>
      </c>
      <c r="BC211" s="5">
        <f t="shared" si="153"/>
        <v>431</v>
      </c>
      <c r="BR211" s="5">
        <v>5300071</v>
      </c>
      <c r="BS211" s="18">
        <f>[1]monsters!$N211</f>
        <v>246.4</v>
      </c>
      <c r="BT211" s="18">
        <f>[1]monsters!$O211</f>
        <v>24.64</v>
      </c>
      <c r="BU211" s="18">
        <f>[1]monsters!$P211</f>
        <v>1508.57</v>
      </c>
      <c r="BV211" s="18">
        <f>[1]monsters!$Q211</f>
        <v>150.86000000000001</v>
      </c>
      <c r="BW211" s="18">
        <f>[1]monsters!$R211</f>
        <v>30.8</v>
      </c>
      <c r="BX211" s="18">
        <f>[1]monsters!$S211</f>
        <v>3.08</v>
      </c>
      <c r="BY211" s="18">
        <f>[1]monsters!$K211</f>
        <v>1.5</v>
      </c>
      <c r="BZ211" s="5">
        <f>[1]monsters!$D211</f>
        <v>5</v>
      </c>
      <c r="CA211" s="5">
        <f t="shared" si="154"/>
        <v>0.1</v>
      </c>
      <c r="CB211" s="5">
        <f t="shared" si="155"/>
        <v>283.64160269360275</v>
      </c>
      <c r="CC211" s="5">
        <f t="shared" si="156"/>
        <v>28.364160269360276</v>
      </c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>
        <v>0</v>
      </c>
      <c r="CR211" s="3" t="b">
        <f t="shared" si="128"/>
        <v>1</v>
      </c>
      <c r="CS211" s="3" t="b">
        <f t="shared" si="129"/>
        <v>1</v>
      </c>
      <c r="CT211" s="3" t="b">
        <f t="shared" si="130"/>
        <v>1</v>
      </c>
      <c r="CU211" s="3" t="b">
        <f t="shared" si="131"/>
        <v>1</v>
      </c>
      <c r="CV211" s="3" t="b">
        <f t="shared" si="132"/>
        <v>1</v>
      </c>
      <c r="CW211" s="3" t="b">
        <f t="shared" si="133"/>
        <v>1</v>
      </c>
      <c r="CX211" s="9" t="str">
        <f t="shared" si="134"/>
        <v>5201073</v>
      </c>
      <c r="CY211" s="9" t="str">
        <f t="shared" si="135"/>
        <v>5202075</v>
      </c>
      <c r="CZ211" s="9" t="str">
        <f t="shared" si="136"/>
        <v>5200071</v>
      </c>
      <c r="DA211" s="9" t="str">
        <f t="shared" si="137"/>
        <v>5501074</v>
      </c>
      <c r="DB211" s="9" t="str">
        <f t="shared" si="138"/>
        <v>5402072</v>
      </c>
      <c r="DC211" s="9" t="str">
        <f t="shared" si="139"/>
        <v>5501075</v>
      </c>
      <c r="DD211" s="9">
        <v>7</v>
      </c>
      <c r="DE211" s="9">
        <v>7</v>
      </c>
      <c r="DF211" s="9">
        <v>7</v>
      </c>
      <c r="DG211" s="9">
        <v>7</v>
      </c>
      <c r="DH211" s="9">
        <v>7</v>
      </c>
      <c r="DI211" s="9">
        <v>7</v>
      </c>
      <c r="DJ211" s="9">
        <v>5</v>
      </c>
      <c r="DK211" s="9">
        <v>5</v>
      </c>
      <c r="DL211" s="9">
        <v>5</v>
      </c>
      <c r="DM211" s="9">
        <v>5</v>
      </c>
      <c r="DN211" s="9">
        <v>5</v>
      </c>
      <c r="DO211" s="9">
        <v>5</v>
      </c>
      <c r="DP211" s="25" t="s">
        <v>205</v>
      </c>
      <c r="DQ211" s="25" t="s">
        <v>213</v>
      </c>
      <c r="DR211" s="25" t="s">
        <v>194</v>
      </c>
      <c r="DS211" s="25" t="s">
        <v>214</v>
      </c>
      <c r="DT211" s="25" t="s">
        <v>203</v>
      </c>
      <c r="DU211" s="25" t="s">
        <v>209</v>
      </c>
      <c r="DV211" s="25">
        <f t="shared" si="140"/>
        <v>1</v>
      </c>
      <c r="DW211" s="25">
        <f t="shared" si="141"/>
        <v>1</v>
      </c>
      <c r="DX211" s="25">
        <f t="shared" si="142"/>
        <v>1</v>
      </c>
      <c r="DY211" s="25">
        <f t="shared" si="143"/>
        <v>2</v>
      </c>
      <c r="DZ211" s="25">
        <f t="shared" si="144"/>
        <v>2</v>
      </c>
      <c r="EA211" s="3">
        <f t="shared" si="145"/>
        <v>2</v>
      </c>
      <c r="EB211" s="39"/>
      <c r="EC211" s="9">
        <v>5500081</v>
      </c>
      <c r="ED211" s="34" t="s">
        <v>197</v>
      </c>
      <c r="EE211" s="8">
        <v>2</v>
      </c>
      <c r="EF211" s="9">
        <v>505220001</v>
      </c>
      <c r="EG211" s="3" t="str">
        <f t="shared" si="157"/>
        <v>对随机1名敌人造成107%攻击伤害。</v>
      </c>
    </row>
    <row r="212" spans="1:137" ht="13.5" customHeight="1">
      <c r="A212" s="9">
        <v>209</v>
      </c>
      <c r="B212" s="9">
        <v>1</v>
      </c>
      <c r="C212" s="9">
        <v>2001</v>
      </c>
      <c r="D212" s="9">
        <f t="shared" si="163"/>
        <v>1533836</v>
      </c>
      <c r="E212" s="9" t="str">
        <f t="shared" si="159"/>
        <v>5300075,5202075,5202073,5401073,5400075,5400075</v>
      </c>
      <c r="F212" s="9" t="str">
        <f t="shared" si="160"/>
        <v>7,7,7,7,7,7</v>
      </c>
      <c r="G212" s="9" t="str">
        <f t="shared" si="161"/>
        <v>463,500,500,500,500,500</v>
      </c>
      <c r="H212" s="9">
        <v>123</v>
      </c>
      <c r="I212" s="9" t="s">
        <v>278</v>
      </c>
      <c r="J212" s="9" t="s">
        <v>279</v>
      </c>
      <c r="K212" s="9" t="s">
        <v>279</v>
      </c>
      <c r="L212" s="9" t="s">
        <v>279</v>
      </c>
      <c r="M212" s="36" t="s">
        <v>293</v>
      </c>
      <c r="N212" s="40"/>
      <c r="O212" s="3">
        <f t="shared" si="158"/>
        <v>1533836</v>
      </c>
      <c r="P212" s="9">
        <v>1212518.94</v>
      </c>
      <c r="Q212" s="9">
        <v>5300075</v>
      </c>
      <c r="R212" s="9">
        <v>5202075</v>
      </c>
      <c r="S212" s="9">
        <v>5202073</v>
      </c>
      <c r="T212" s="9">
        <v>5401073</v>
      </c>
      <c r="U212" s="9">
        <v>5400075</v>
      </c>
      <c r="V212" s="9">
        <v>5400075</v>
      </c>
      <c r="W212" s="9">
        <v>7</v>
      </c>
      <c r="X212" s="9">
        <v>7</v>
      </c>
      <c r="Y212" s="9">
        <v>7</v>
      </c>
      <c r="Z212" s="9">
        <v>7</v>
      </c>
      <c r="AA212" s="9">
        <v>7</v>
      </c>
      <c r="AB212" s="9">
        <v>7</v>
      </c>
      <c r="AC212" s="9">
        <f t="shared" si="146"/>
        <v>463</v>
      </c>
      <c r="AD212" s="9">
        <f t="shared" si="147"/>
        <v>500</v>
      </c>
      <c r="AE212" s="9">
        <f t="shared" si="148"/>
        <v>500</v>
      </c>
      <c r="AF212" s="9">
        <f t="shared" si="149"/>
        <v>500</v>
      </c>
      <c r="AG212" s="9">
        <f t="shared" si="150"/>
        <v>500</v>
      </c>
      <c r="AH212" s="9">
        <f t="shared" si="151"/>
        <v>500</v>
      </c>
      <c r="AI212" s="7">
        <f t="shared" si="123"/>
        <v>202086.49</v>
      </c>
      <c r="AJ212" s="7">
        <f t="shared" si="162"/>
        <v>202086.49</v>
      </c>
      <c r="AK212" s="7">
        <f t="shared" si="162"/>
        <v>202086.49</v>
      </c>
      <c r="AL212" s="7">
        <f t="shared" si="162"/>
        <v>202086.49</v>
      </c>
      <c r="AM212" s="7">
        <f t="shared" si="162"/>
        <v>202086.49</v>
      </c>
      <c r="AN212" s="7">
        <f t="shared" si="162"/>
        <v>202086.49</v>
      </c>
      <c r="AO212" s="16"/>
      <c r="AP212" s="7"/>
      <c r="AQ212" s="9">
        <v>6</v>
      </c>
      <c r="AR212" s="9">
        <f t="shared" si="152"/>
        <v>481</v>
      </c>
      <c r="AS212" s="7">
        <f t="shared" si="121"/>
        <v>204</v>
      </c>
      <c r="AT212" s="7"/>
      <c r="AU212" s="16"/>
      <c r="AV212" s="7"/>
      <c r="AW212" s="7"/>
      <c r="AX212" s="7"/>
      <c r="AZ212" s="7"/>
      <c r="BA212" s="9">
        <f t="shared" si="122"/>
        <v>180668.84999999969</v>
      </c>
      <c r="BC212" s="5">
        <f t="shared" si="153"/>
        <v>432</v>
      </c>
      <c r="BR212" s="5">
        <v>5301071</v>
      </c>
      <c r="BS212" s="18">
        <f>[1]monsters!$N212</f>
        <v>229.97</v>
      </c>
      <c r="BT212" s="18">
        <f>[1]monsters!$O212</f>
        <v>23</v>
      </c>
      <c r="BU212" s="18">
        <f>[1]monsters!$P212</f>
        <v>1508.57</v>
      </c>
      <c r="BV212" s="18">
        <f>[1]monsters!$Q212</f>
        <v>150.86000000000001</v>
      </c>
      <c r="BW212" s="18">
        <f>[1]monsters!$R212</f>
        <v>28.75</v>
      </c>
      <c r="BX212" s="18">
        <f>[1]monsters!$S212</f>
        <v>2.87</v>
      </c>
      <c r="BY212" s="18">
        <f>[1]monsters!$K212</f>
        <v>1.4</v>
      </c>
      <c r="BZ212" s="5">
        <f>[1]monsters!$D212</f>
        <v>5</v>
      </c>
      <c r="CA212" s="5">
        <f t="shared" si="154"/>
        <v>0.1</v>
      </c>
      <c r="CB212" s="5">
        <f t="shared" si="155"/>
        <v>268.11525269360271</v>
      </c>
      <c r="CC212" s="5">
        <f t="shared" si="156"/>
        <v>26.811525269360274</v>
      </c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>
        <v>0</v>
      </c>
      <c r="CR212" s="3" t="b">
        <f t="shared" si="128"/>
        <v>1</v>
      </c>
      <c r="CS212" s="3" t="b">
        <f t="shared" si="129"/>
        <v>1</v>
      </c>
      <c r="CT212" s="3" t="b">
        <f t="shared" si="130"/>
        <v>1</v>
      </c>
      <c r="CU212" s="3" t="b">
        <f t="shared" si="131"/>
        <v>1</v>
      </c>
      <c r="CV212" s="3" t="b">
        <f t="shared" si="132"/>
        <v>1</v>
      </c>
      <c r="CW212" s="3" t="b">
        <f t="shared" si="133"/>
        <v>1</v>
      </c>
      <c r="CX212" s="9" t="str">
        <f t="shared" si="134"/>
        <v>5300075</v>
      </c>
      <c r="CY212" s="9" t="str">
        <f t="shared" si="135"/>
        <v>5202075</v>
      </c>
      <c r="CZ212" s="9" t="str">
        <f t="shared" si="136"/>
        <v>5202073</v>
      </c>
      <c r="DA212" s="9" t="str">
        <f t="shared" si="137"/>
        <v>5401073</v>
      </c>
      <c r="DB212" s="9" t="str">
        <f t="shared" si="138"/>
        <v>5400075</v>
      </c>
      <c r="DC212" s="9" t="str">
        <f t="shared" si="139"/>
        <v>5400075</v>
      </c>
      <c r="DD212" s="9">
        <v>7</v>
      </c>
      <c r="DE212" s="9">
        <v>7</v>
      </c>
      <c r="DF212" s="9">
        <v>7</v>
      </c>
      <c r="DG212" s="9">
        <v>7</v>
      </c>
      <c r="DH212" s="9">
        <v>7</v>
      </c>
      <c r="DI212" s="9">
        <v>7</v>
      </c>
      <c r="DJ212" s="9">
        <v>5</v>
      </c>
      <c r="DK212" s="9">
        <v>5</v>
      </c>
      <c r="DL212" s="9">
        <v>5</v>
      </c>
      <c r="DM212" s="9">
        <v>5</v>
      </c>
      <c r="DN212" s="9">
        <v>5</v>
      </c>
      <c r="DO212" s="9">
        <v>5</v>
      </c>
      <c r="DP212" s="25" t="s">
        <v>212</v>
      </c>
      <c r="DQ212" s="25" t="s">
        <v>213</v>
      </c>
      <c r="DR212" s="25" t="s">
        <v>208</v>
      </c>
      <c r="DS212" s="25" t="s">
        <v>211</v>
      </c>
      <c r="DT212" s="25" t="s">
        <v>210</v>
      </c>
      <c r="DU212" s="25" t="s">
        <v>210</v>
      </c>
      <c r="DV212" s="25">
        <f t="shared" si="140"/>
        <v>1</v>
      </c>
      <c r="DW212" s="25">
        <f t="shared" si="141"/>
        <v>1</v>
      </c>
      <c r="DX212" s="25">
        <f t="shared" si="142"/>
        <v>1</v>
      </c>
      <c r="DY212" s="25">
        <f t="shared" si="143"/>
        <v>2</v>
      </c>
      <c r="DZ212" s="25">
        <f t="shared" si="144"/>
        <v>2</v>
      </c>
      <c r="EA212" s="3">
        <f t="shared" si="145"/>
        <v>2</v>
      </c>
      <c r="EB212" s="39"/>
      <c r="EC212" s="9">
        <v>5502081</v>
      </c>
      <c r="ED212" s="34" t="s">
        <v>119</v>
      </c>
      <c r="EE212" s="8">
        <v>2</v>
      </c>
      <c r="EF212" s="9">
        <v>505220101</v>
      </c>
      <c r="EG212" s="3" t="str">
        <f t="shared" si="157"/>
        <v>对随机2名敌人造成173%攻击伤害，并嘲讽目标，使对方强制攻击自己。</v>
      </c>
    </row>
    <row r="213" spans="1:137" ht="13.5" customHeight="1">
      <c r="A213" s="9">
        <v>210</v>
      </c>
      <c r="B213" s="9">
        <v>1</v>
      </c>
      <c r="C213" s="9">
        <v>2001</v>
      </c>
      <c r="D213" s="9">
        <f t="shared" si="163"/>
        <v>1542239</v>
      </c>
      <c r="E213" s="9" t="str">
        <f t="shared" si="159"/>
        <v>5202072,5202072,5301072,5502072,5500071,5502071</v>
      </c>
      <c r="F213" s="9" t="str">
        <f t="shared" si="160"/>
        <v>7,7,7,7,7,7</v>
      </c>
      <c r="G213" s="9" t="str">
        <f t="shared" si="161"/>
        <v>464,502,502,502,502,502</v>
      </c>
      <c r="H213" s="9">
        <v>124</v>
      </c>
      <c r="I213" s="9" t="s">
        <v>278</v>
      </c>
      <c r="J213" s="9" t="s">
        <v>279</v>
      </c>
      <c r="K213" s="9" t="s">
        <v>279</v>
      </c>
      <c r="L213" s="9" t="s">
        <v>279</v>
      </c>
      <c r="M213" s="36" t="s">
        <v>293</v>
      </c>
      <c r="O213" s="3">
        <f t="shared" si="158"/>
        <v>1542239</v>
      </c>
      <c r="P213" s="9">
        <v>1219161.56</v>
      </c>
      <c r="Q213" s="9">
        <v>5202072</v>
      </c>
      <c r="R213" s="9">
        <v>5202072</v>
      </c>
      <c r="S213" s="9">
        <v>5301072</v>
      </c>
      <c r="T213" s="9">
        <v>5502072</v>
      </c>
      <c r="U213" s="9">
        <v>5500071</v>
      </c>
      <c r="V213" s="9">
        <v>5502071</v>
      </c>
      <c r="W213" s="9">
        <v>7</v>
      </c>
      <c r="X213" s="9">
        <v>7</v>
      </c>
      <c r="Y213" s="9">
        <v>7</v>
      </c>
      <c r="Z213" s="9">
        <v>7</v>
      </c>
      <c r="AA213" s="9">
        <v>7</v>
      </c>
      <c r="AB213" s="9">
        <v>7</v>
      </c>
      <c r="AC213" s="9">
        <f t="shared" si="146"/>
        <v>464</v>
      </c>
      <c r="AD213" s="9">
        <f t="shared" si="147"/>
        <v>502</v>
      </c>
      <c r="AE213" s="9">
        <f t="shared" si="148"/>
        <v>502</v>
      </c>
      <c r="AF213" s="9">
        <f t="shared" si="149"/>
        <v>502</v>
      </c>
      <c r="AG213" s="9">
        <f t="shared" si="150"/>
        <v>502</v>
      </c>
      <c r="AH213" s="9">
        <f t="shared" si="151"/>
        <v>502</v>
      </c>
      <c r="AI213" s="7">
        <f t="shared" si="123"/>
        <v>203193.59333333335</v>
      </c>
      <c r="AJ213" s="7">
        <f t="shared" si="162"/>
        <v>203193.59333333335</v>
      </c>
      <c r="AK213" s="7">
        <f t="shared" si="162"/>
        <v>203193.59333333335</v>
      </c>
      <c r="AL213" s="7">
        <f t="shared" si="162"/>
        <v>203193.59333333335</v>
      </c>
      <c r="AM213" s="7">
        <f t="shared" si="162"/>
        <v>203193.59333333335</v>
      </c>
      <c r="AN213" s="7">
        <f t="shared" si="162"/>
        <v>203193.59333333335</v>
      </c>
      <c r="AO213" s="16"/>
      <c r="AP213" s="7"/>
      <c r="AQ213" s="9">
        <v>6</v>
      </c>
      <c r="AR213" s="9">
        <f t="shared" si="152"/>
        <v>482</v>
      </c>
      <c r="AS213" s="7">
        <f t="shared" si="121"/>
        <v>205</v>
      </c>
      <c r="AT213" s="7"/>
      <c r="AU213" s="16"/>
      <c r="AV213" s="7"/>
      <c r="AW213" s="7"/>
      <c r="AX213" s="7"/>
      <c r="AZ213" s="7"/>
      <c r="BA213" s="9">
        <f t="shared" si="122"/>
        <v>182759.99999999968</v>
      </c>
      <c r="BC213" s="5">
        <f t="shared" si="153"/>
        <v>433</v>
      </c>
      <c r="BR213" s="5">
        <v>5401071</v>
      </c>
      <c r="BS213" s="18">
        <f>[1]monsters!$N213</f>
        <v>272.8</v>
      </c>
      <c r="BT213" s="18">
        <f>[1]monsters!$O213</f>
        <v>27.28</v>
      </c>
      <c r="BU213" s="18">
        <f>[1]monsters!$P213</f>
        <v>1362.58</v>
      </c>
      <c r="BV213" s="18">
        <f>[1]monsters!$Q213</f>
        <v>136.26</v>
      </c>
      <c r="BW213" s="18">
        <f>[1]monsters!$R213</f>
        <v>27.28</v>
      </c>
      <c r="BX213" s="18">
        <f>[1]monsters!$S213</f>
        <v>2.73</v>
      </c>
      <c r="BY213" s="18">
        <f>[1]monsters!$K213</f>
        <v>1.5</v>
      </c>
      <c r="BZ213" s="5">
        <f>[1]monsters!$D213</f>
        <v>6</v>
      </c>
      <c r="CA213" s="5">
        <f t="shared" si="154"/>
        <v>0.1</v>
      </c>
      <c r="CB213" s="5">
        <f t="shared" si="155"/>
        <v>303.67411447811446</v>
      </c>
      <c r="CC213" s="5">
        <f t="shared" si="156"/>
        <v>30.367411447811449</v>
      </c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>
        <v>1</v>
      </c>
      <c r="CR213" s="3" t="b">
        <f t="shared" si="128"/>
        <v>1</v>
      </c>
      <c r="CS213" s="3" t="b">
        <f t="shared" si="129"/>
        <v>1</v>
      </c>
      <c r="CT213" s="3" t="b">
        <f t="shared" si="130"/>
        <v>1</v>
      </c>
      <c r="CU213" s="3" t="b">
        <f t="shared" si="131"/>
        <v>1</v>
      </c>
      <c r="CV213" s="3" t="b">
        <f t="shared" si="132"/>
        <v>1</v>
      </c>
      <c r="CW213" s="3" t="b">
        <f t="shared" si="133"/>
        <v>1</v>
      </c>
      <c r="CX213" s="9" t="str">
        <f t="shared" si="134"/>
        <v>5202072</v>
      </c>
      <c r="CY213" s="9" t="str">
        <f t="shared" si="135"/>
        <v>5202072</v>
      </c>
      <c r="CZ213" s="9" t="str">
        <f t="shared" si="136"/>
        <v>5301072</v>
      </c>
      <c r="DA213" s="9" t="str">
        <f t="shared" si="137"/>
        <v>5502072</v>
      </c>
      <c r="DB213" s="9" t="str">
        <f t="shared" si="138"/>
        <v>5500071</v>
      </c>
      <c r="DC213" s="9" t="str">
        <f t="shared" si="139"/>
        <v>5502071</v>
      </c>
      <c r="DD213" s="9">
        <v>7</v>
      </c>
      <c r="DE213" s="9">
        <v>7</v>
      </c>
      <c r="DF213" s="9">
        <v>7</v>
      </c>
      <c r="DG213" s="9">
        <v>7</v>
      </c>
      <c r="DH213" s="9">
        <v>7</v>
      </c>
      <c r="DI213" s="9">
        <v>7</v>
      </c>
      <c r="DJ213" s="9">
        <v>5</v>
      </c>
      <c r="DK213" s="9">
        <v>5</v>
      </c>
      <c r="DL213" s="9">
        <v>5</v>
      </c>
      <c r="DM213" s="9">
        <v>5</v>
      </c>
      <c r="DN213" s="9">
        <v>5</v>
      </c>
      <c r="DO213" s="9">
        <v>5</v>
      </c>
      <c r="DP213" s="25" t="s">
        <v>200</v>
      </c>
      <c r="DQ213" s="25" t="s">
        <v>200</v>
      </c>
      <c r="DR213" s="25" t="s">
        <v>201</v>
      </c>
      <c r="DS213" s="25" t="s">
        <v>204</v>
      </c>
      <c r="DT213" s="25" t="s">
        <v>197</v>
      </c>
      <c r="DU213" s="25" t="s">
        <v>119</v>
      </c>
      <c r="DV213" s="25">
        <f t="shared" si="140"/>
        <v>1</v>
      </c>
      <c r="DW213" s="25">
        <f t="shared" si="141"/>
        <v>1</v>
      </c>
      <c r="DX213" s="25">
        <f t="shared" si="142"/>
        <v>1</v>
      </c>
      <c r="DY213" s="25">
        <f t="shared" si="143"/>
        <v>2</v>
      </c>
      <c r="DZ213" s="25">
        <f t="shared" si="144"/>
        <v>2</v>
      </c>
      <c r="EA213" s="3">
        <f t="shared" si="145"/>
        <v>2</v>
      </c>
      <c r="EB213" s="39"/>
      <c r="EC213" s="9">
        <v>5601081</v>
      </c>
      <c r="ED213" s="34" t="s">
        <v>198</v>
      </c>
      <c r="EE213" s="8">
        <v>2</v>
      </c>
      <c r="EF213" s="9">
        <v>505220201</v>
      </c>
      <c r="EG213" s="3" t="str">
        <f t="shared" si="157"/>
        <v>对距离最远的1名敌人造成350%攻击伤害。</v>
      </c>
    </row>
    <row r="214" spans="1:137" ht="13.5" customHeight="1">
      <c r="A214" s="9">
        <v>211</v>
      </c>
      <c r="B214" s="9">
        <v>1</v>
      </c>
      <c r="C214" s="9">
        <v>2001</v>
      </c>
      <c r="D214" s="9">
        <f t="shared" si="163"/>
        <v>1550665</v>
      </c>
      <c r="E214" s="9" t="str">
        <f t="shared" si="159"/>
        <v>5202073,5201073,5302074,5400075,5601071,5400075</v>
      </c>
      <c r="F214" s="9" t="str">
        <f t="shared" si="160"/>
        <v>7,7,7,7,7,7</v>
      </c>
      <c r="G214" s="9" t="str">
        <f t="shared" si="161"/>
        <v>465,503,503,503,503,503</v>
      </c>
      <c r="H214" s="9">
        <v>124</v>
      </c>
      <c r="I214" s="9" t="s">
        <v>278</v>
      </c>
      <c r="J214" s="9" t="s">
        <v>279</v>
      </c>
      <c r="K214" s="9" t="s">
        <v>279</v>
      </c>
      <c r="L214" s="9" t="s">
        <v>279</v>
      </c>
      <c r="M214" s="36" t="s">
        <v>294</v>
      </c>
      <c r="N214" s="40"/>
      <c r="O214" s="3">
        <f t="shared" si="158"/>
        <v>1550665</v>
      </c>
      <c r="P214" s="9">
        <v>1225822.0900000001</v>
      </c>
      <c r="Q214" s="9">
        <v>5202073</v>
      </c>
      <c r="R214" s="9">
        <v>5201073</v>
      </c>
      <c r="S214" s="9">
        <v>5302074</v>
      </c>
      <c r="T214" s="9">
        <v>5400075</v>
      </c>
      <c r="U214" s="9">
        <v>5601071</v>
      </c>
      <c r="V214" s="9">
        <v>5400075</v>
      </c>
      <c r="W214" s="9">
        <v>7</v>
      </c>
      <c r="X214" s="9">
        <v>7</v>
      </c>
      <c r="Y214" s="9">
        <v>7</v>
      </c>
      <c r="Z214" s="9">
        <v>7</v>
      </c>
      <c r="AA214" s="9">
        <v>7</v>
      </c>
      <c r="AB214" s="9">
        <v>7</v>
      </c>
      <c r="AC214" s="9">
        <f t="shared" si="146"/>
        <v>465</v>
      </c>
      <c r="AD214" s="9">
        <f t="shared" si="147"/>
        <v>503</v>
      </c>
      <c r="AE214" s="9">
        <f t="shared" si="148"/>
        <v>503</v>
      </c>
      <c r="AF214" s="9">
        <f t="shared" si="149"/>
        <v>503</v>
      </c>
      <c r="AG214" s="9">
        <f t="shared" si="150"/>
        <v>503</v>
      </c>
      <c r="AH214" s="9">
        <f t="shared" si="151"/>
        <v>503</v>
      </c>
      <c r="AI214" s="7">
        <f t="shared" si="123"/>
        <v>204303.68166666667</v>
      </c>
      <c r="AJ214" s="7">
        <f t="shared" si="162"/>
        <v>204303.68166666667</v>
      </c>
      <c r="AK214" s="7">
        <f t="shared" si="162"/>
        <v>204303.68166666667</v>
      </c>
      <c r="AL214" s="7">
        <f t="shared" si="162"/>
        <v>204303.68166666667</v>
      </c>
      <c r="AM214" s="7">
        <f t="shared" si="162"/>
        <v>204303.68166666667</v>
      </c>
      <c r="AN214" s="7">
        <f t="shared" si="162"/>
        <v>204303.68166666667</v>
      </c>
      <c r="AO214" s="16"/>
      <c r="AP214" s="7"/>
      <c r="AQ214" s="9">
        <v>6</v>
      </c>
      <c r="AR214" s="9">
        <f t="shared" si="152"/>
        <v>484</v>
      </c>
      <c r="AS214" s="7">
        <f t="shared" si="121"/>
        <v>205</v>
      </c>
      <c r="AT214" s="7"/>
      <c r="AU214" s="16"/>
      <c r="AV214" s="7"/>
      <c r="AW214" s="7"/>
      <c r="AX214" s="7"/>
      <c r="AZ214" s="7"/>
      <c r="BA214" s="9">
        <f t="shared" si="122"/>
        <v>184851.14999999967</v>
      </c>
      <c r="BC214" s="5">
        <f t="shared" si="153"/>
        <v>434</v>
      </c>
      <c r="BR214" s="5">
        <v>5402071</v>
      </c>
      <c r="BS214" s="18">
        <f>[1]monsters!$N214</f>
        <v>176</v>
      </c>
      <c r="BT214" s="18">
        <f>[1]monsters!$O214</f>
        <v>17.600000000000001</v>
      </c>
      <c r="BU214" s="18">
        <f>[1]monsters!$P214</f>
        <v>2112</v>
      </c>
      <c r="BV214" s="18">
        <f>[1]monsters!$Q214</f>
        <v>211.2</v>
      </c>
      <c r="BW214" s="18">
        <f>[1]monsters!$R214</f>
        <v>44</v>
      </c>
      <c r="BX214" s="18">
        <f>[1]monsters!$S214</f>
        <v>4.4000000000000004</v>
      </c>
      <c r="BY214" s="18">
        <f>[1]monsters!$K214</f>
        <v>1.5</v>
      </c>
      <c r="BZ214" s="5">
        <f>[1]monsters!$D214</f>
        <v>2</v>
      </c>
      <c r="CA214" s="5">
        <f t="shared" si="154"/>
        <v>0.1</v>
      </c>
      <c r="CB214" s="5">
        <f t="shared" si="155"/>
        <v>237.43111111111114</v>
      </c>
      <c r="CC214" s="5">
        <f t="shared" si="156"/>
        <v>23.743111111111116</v>
      </c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>
        <v>0</v>
      </c>
      <c r="CR214" s="3" t="b">
        <f t="shared" si="128"/>
        <v>1</v>
      </c>
      <c r="CS214" s="3" t="b">
        <f t="shared" si="129"/>
        <v>1</v>
      </c>
      <c r="CT214" s="3" t="b">
        <f t="shared" si="130"/>
        <v>1</v>
      </c>
      <c r="CU214" s="3" t="b">
        <f t="shared" si="131"/>
        <v>1</v>
      </c>
      <c r="CV214" s="3" t="b">
        <f t="shared" si="132"/>
        <v>1</v>
      </c>
      <c r="CW214" s="3" t="b">
        <f t="shared" si="133"/>
        <v>1</v>
      </c>
      <c r="CX214" s="9" t="str">
        <f t="shared" si="134"/>
        <v>5202073</v>
      </c>
      <c r="CY214" s="9" t="str">
        <f t="shared" si="135"/>
        <v>5201073</v>
      </c>
      <c r="CZ214" s="9" t="str">
        <f t="shared" si="136"/>
        <v>5302074</v>
      </c>
      <c r="DA214" s="9" t="str">
        <f t="shared" si="137"/>
        <v>5400075</v>
      </c>
      <c r="DB214" s="9" t="str">
        <f t="shared" si="138"/>
        <v>5601071</v>
      </c>
      <c r="DC214" s="9" t="str">
        <f t="shared" si="139"/>
        <v>5400075</v>
      </c>
      <c r="DD214" s="9">
        <v>7</v>
      </c>
      <c r="DE214" s="9">
        <v>7</v>
      </c>
      <c r="DF214" s="9">
        <v>7</v>
      </c>
      <c r="DG214" s="9">
        <v>7</v>
      </c>
      <c r="DH214" s="9">
        <v>7</v>
      </c>
      <c r="DI214" s="9">
        <v>7</v>
      </c>
      <c r="DJ214" s="9">
        <v>5</v>
      </c>
      <c r="DK214" s="9">
        <v>5</v>
      </c>
      <c r="DL214" s="9">
        <v>5</v>
      </c>
      <c r="DM214" s="9">
        <v>5</v>
      </c>
      <c r="DN214" s="9">
        <v>5</v>
      </c>
      <c r="DO214" s="9">
        <v>5</v>
      </c>
      <c r="DP214" s="25" t="s">
        <v>208</v>
      </c>
      <c r="DQ214" s="25" t="s">
        <v>205</v>
      </c>
      <c r="DR214" s="25" t="s">
        <v>218</v>
      </c>
      <c r="DS214" s="25" t="s">
        <v>210</v>
      </c>
      <c r="DT214" s="25" t="s">
        <v>198</v>
      </c>
      <c r="DU214" s="25" t="s">
        <v>210</v>
      </c>
      <c r="DV214" s="25">
        <f t="shared" si="140"/>
        <v>1</v>
      </c>
      <c r="DW214" s="25">
        <f t="shared" si="141"/>
        <v>1</v>
      </c>
      <c r="DX214" s="25">
        <f t="shared" si="142"/>
        <v>1</v>
      </c>
      <c r="DY214" s="25">
        <f t="shared" si="143"/>
        <v>2</v>
      </c>
      <c r="DZ214" s="25">
        <f t="shared" si="144"/>
        <v>2</v>
      </c>
      <c r="EA214" s="3">
        <f t="shared" si="145"/>
        <v>2</v>
      </c>
      <c r="EB214" s="39"/>
      <c r="EC214" s="9">
        <v>5200082</v>
      </c>
      <c r="ED214" s="34" t="s">
        <v>199</v>
      </c>
      <c r="EE214" s="8">
        <v>1</v>
      </c>
      <c r="EF214" s="9">
        <v>505230101</v>
      </c>
      <c r="EG214" s="3" t="str">
        <f t="shared" si="157"/>
        <v>对随机2名敌人造成161%攻击伤害，并有100%几率使目标燃烧，每秒造成20%攻击伤害，持续3秒。</v>
      </c>
    </row>
    <row r="215" spans="1:137" ht="13.5" customHeight="1">
      <c r="A215" s="9">
        <v>212</v>
      </c>
      <c r="B215" s="9">
        <v>1</v>
      </c>
      <c r="C215" s="9">
        <v>2001</v>
      </c>
      <c r="D215" s="9">
        <f t="shared" si="163"/>
        <v>1559116</v>
      </c>
      <c r="E215" s="9" t="str">
        <f t="shared" si="159"/>
        <v>5200073,5202075,5301073,5401073,5501075,5400075</v>
      </c>
      <c r="F215" s="9" t="str">
        <f t="shared" si="160"/>
        <v>7,7,7,7,7,7</v>
      </c>
      <c r="G215" s="9" t="str">
        <f t="shared" si="161"/>
        <v>466,505,505,505,505,505</v>
      </c>
      <c r="H215" s="9">
        <v>124</v>
      </c>
      <c r="I215" s="9" t="s">
        <v>278</v>
      </c>
      <c r="J215" s="9" t="s">
        <v>279</v>
      </c>
      <c r="K215" s="9" t="s">
        <v>279</v>
      </c>
      <c r="L215" s="9" t="s">
        <v>279</v>
      </c>
      <c r="M215" s="36" t="s">
        <v>294</v>
      </c>
      <c r="N215" s="40"/>
      <c r="O215" s="3">
        <f t="shared" si="158"/>
        <v>1559116</v>
      </c>
      <c r="P215" s="9">
        <v>1232502.52</v>
      </c>
      <c r="Q215" s="9">
        <v>5200073</v>
      </c>
      <c r="R215" s="9">
        <v>5202075</v>
      </c>
      <c r="S215" s="9">
        <v>5301073</v>
      </c>
      <c r="T215" s="9">
        <v>5401073</v>
      </c>
      <c r="U215" s="9">
        <v>5501075</v>
      </c>
      <c r="V215" s="9">
        <v>5400075</v>
      </c>
      <c r="W215" s="9">
        <v>7</v>
      </c>
      <c r="X215" s="9">
        <v>7</v>
      </c>
      <c r="Y215" s="9">
        <v>7</v>
      </c>
      <c r="Z215" s="9">
        <v>7</v>
      </c>
      <c r="AA215" s="9">
        <v>7</v>
      </c>
      <c r="AB215" s="9">
        <v>7</v>
      </c>
      <c r="AC215" s="9">
        <f t="shared" si="146"/>
        <v>466</v>
      </c>
      <c r="AD215" s="9">
        <f t="shared" si="147"/>
        <v>505</v>
      </c>
      <c r="AE215" s="9">
        <f t="shared" si="148"/>
        <v>505</v>
      </c>
      <c r="AF215" s="9">
        <f t="shared" si="149"/>
        <v>505</v>
      </c>
      <c r="AG215" s="9">
        <f t="shared" si="150"/>
        <v>505</v>
      </c>
      <c r="AH215" s="9">
        <f t="shared" si="151"/>
        <v>505</v>
      </c>
      <c r="AI215" s="7">
        <f t="shared" si="123"/>
        <v>205417.08666666667</v>
      </c>
      <c r="AJ215" s="7">
        <f t="shared" si="162"/>
        <v>205417.08666666667</v>
      </c>
      <c r="AK215" s="7">
        <f t="shared" si="162"/>
        <v>205417.08666666667</v>
      </c>
      <c r="AL215" s="7">
        <f t="shared" si="162"/>
        <v>205417.08666666667</v>
      </c>
      <c r="AM215" s="7">
        <f t="shared" si="162"/>
        <v>205417.08666666667</v>
      </c>
      <c r="AN215" s="7">
        <f t="shared" si="162"/>
        <v>205417.08666666667</v>
      </c>
      <c r="AO215" s="16"/>
      <c r="AP215" s="7"/>
      <c r="AQ215" s="9">
        <v>6</v>
      </c>
      <c r="AR215" s="9">
        <f t="shared" si="152"/>
        <v>485</v>
      </c>
      <c r="AS215" s="7">
        <f t="shared" si="121"/>
        <v>206</v>
      </c>
      <c r="AT215" s="7"/>
      <c r="AU215" s="16"/>
      <c r="AV215" s="7"/>
      <c r="AW215" s="7"/>
      <c r="AX215" s="7"/>
      <c r="AZ215" s="7"/>
      <c r="BA215" s="9">
        <f t="shared" si="122"/>
        <v>186942.29999999967</v>
      </c>
      <c r="BC215" s="5">
        <f t="shared" si="153"/>
        <v>436</v>
      </c>
      <c r="BR215" s="5">
        <v>5500071</v>
      </c>
      <c r="BS215" s="18">
        <f>[1]monsters!$N215</f>
        <v>168.96</v>
      </c>
      <c r="BT215" s="18">
        <f>[1]monsters!$O215</f>
        <v>16.899999999999999</v>
      </c>
      <c r="BU215" s="18">
        <f>[1]monsters!$P215</f>
        <v>2640</v>
      </c>
      <c r="BV215" s="18">
        <f>[1]monsters!$Q215</f>
        <v>264</v>
      </c>
      <c r="BW215" s="18">
        <f>[1]monsters!$R215</f>
        <v>56.32</v>
      </c>
      <c r="BX215" s="18">
        <f>[1]monsters!$S215</f>
        <v>5.63</v>
      </c>
      <c r="BY215" s="18">
        <f>[1]monsters!$K215</f>
        <v>1.8</v>
      </c>
      <c r="BZ215" s="5">
        <f>[1]monsters!$D215</f>
        <v>2</v>
      </c>
      <c r="CA215" s="5">
        <f t="shared" si="154"/>
        <v>0.1</v>
      </c>
      <c r="CB215" s="5">
        <f t="shared" si="155"/>
        <v>248.55608888888889</v>
      </c>
      <c r="CC215" s="5">
        <f t="shared" si="156"/>
        <v>24.855608888888892</v>
      </c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>
        <v>0</v>
      </c>
      <c r="CR215" s="3" t="b">
        <f t="shared" si="128"/>
        <v>1</v>
      </c>
      <c r="CS215" s="3" t="b">
        <f t="shared" si="129"/>
        <v>1</v>
      </c>
      <c r="CT215" s="3" t="b">
        <f t="shared" si="130"/>
        <v>1</v>
      </c>
      <c r="CU215" s="3" t="b">
        <f t="shared" si="131"/>
        <v>1</v>
      </c>
      <c r="CV215" s="3" t="b">
        <f t="shared" si="132"/>
        <v>1</v>
      </c>
      <c r="CW215" s="3" t="b">
        <f t="shared" si="133"/>
        <v>1</v>
      </c>
      <c r="CX215" s="9" t="str">
        <f t="shared" si="134"/>
        <v>5200073</v>
      </c>
      <c r="CY215" s="9" t="str">
        <f t="shared" si="135"/>
        <v>5202075</v>
      </c>
      <c r="CZ215" s="9" t="str">
        <f t="shared" si="136"/>
        <v>5301073</v>
      </c>
      <c r="DA215" s="9" t="str">
        <f t="shared" si="137"/>
        <v>5401073</v>
      </c>
      <c r="DB215" s="9" t="str">
        <f t="shared" si="138"/>
        <v>5501075</v>
      </c>
      <c r="DC215" s="9" t="str">
        <f t="shared" si="139"/>
        <v>5400075</v>
      </c>
      <c r="DD215" s="9">
        <v>7</v>
      </c>
      <c r="DE215" s="9">
        <v>7</v>
      </c>
      <c r="DF215" s="9">
        <v>7</v>
      </c>
      <c r="DG215" s="9">
        <v>7</v>
      </c>
      <c r="DH215" s="9">
        <v>7</v>
      </c>
      <c r="DI215" s="9">
        <v>7</v>
      </c>
      <c r="DJ215" s="9">
        <v>5</v>
      </c>
      <c r="DK215" s="9">
        <v>5</v>
      </c>
      <c r="DL215" s="9">
        <v>5</v>
      </c>
      <c r="DM215" s="9">
        <v>5</v>
      </c>
      <c r="DN215" s="9">
        <v>5</v>
      </c>
      <c r="DO215" s="9">
        <v>5</v>
      </c>
      <c r="DP215" s="25" t="s">
        <v>113</v>
      </c>
      <c r="DQ215" s="25" t="s">
        <v>213</v>
      </c>
      <c r="DR215" s="25" t="s">
        <v>206</v>
      </c>
      <c r="DS215" s="25" t="s">
        <v>211</v>
      </c>
      <c r="DT215" s="25" t="s">
        <v>209</v>
      </c>
      <c r="DU215" s="25" t="s">
        <v>210</v>
      </c>
      <c r="DV215" s="25">
        <f t="shared" si="140"/>
        <v>1</v>
      </c>
      <c r="DW215" s="25">
        <f t="shared" si="141"/>
        <v>1</v>
      </c>
      <c r="DX215" s="25">
        <f t="shared" si="142"/>
        <v>1</v>
      </c>
      <c r="DY215" s="25">
        <f t="shared" si="143"/>
        <v>2</v>
      </c>
      <c r="DZ215" s="25">
        <f t="shared" si="144"/>
        <v>2</v>
      </c>
      <c r="EA215" s="3">
        <f t="shared" si="145"/>
        <v>2</v>
      </c>
      <c r="EB215" s="39"/>
      <c r="EC215" s="9">
        <v>5201082</v>
      </c>
      <c r="ED215" s="34" t="s">
        <v>114</v>
      </c>
      <c r="EE215" s="8">
        <v>1</v>
      </c>
      <c r="EF215" s="9">
        <v>505240101</v>
      </c>
      <c r="EG215" s="3" t="str">
        <f t="shared" si="157"/>
        <v>对随机3名敌人造成81%攻击伤害，并有50%几率使目标燃烧，每秒造成60%攻击伤害，持续2秒。</v>
      </c>
    </row>
    <row r="216" spans="1:137" ht="13.5" customHeight="1">
      <c r="A216" s="9">
        <v>213</v>
      </c>
      <c r="B216" s="9">
        <v>1</v>
      </c>
      <c r="C216" s="9">
        <v>2001</v>
      </c>
      <c r="D216" s="9">
        <f t="shared" si="163"/>
        <v>1567587</v>
      </c>
      <c r="E216" s="9" t="str">
        <f t="shared" si="159"/>
        <v>5201073,5200073,5301071,5501074,5500073,5501074</v>
      </c>
      <c r="F216" s="9" t="str">
        <f t="shared" si="160"/>
        <v>7,7,7,7,7,7</v>
      </c>
      <c r="G216" s="9" t="str">
        <f t="shared" si="161"/>
        <v>468,506,506,506,506,506</v>
      </c>
      <c r="H216" s="9">
        <v>125</v>
      </c>
      <c r="I216" s="9" t="s">
        <v>278</v>
      </c>
      <c r="J216" s="9" t="s">
        <v>279</v>
      </c>
      <c r="K216" s="9" t="s">
        <v>279</v>
      </c>
      <c r="L216" s="9" t="s">
        <v>279</v>
      </c>
      <c r="M216" s="36" t="s">
        <v>294</v>
      </c>
      <c r="N216" s="40"/>
      <c r="O216" s="3">
        <f t="shared" si="158"/>
        <v>1567587</v>
      </c>
      <c r="P216" s="9">
        <v>1239198.8700000001</v>
      </c>
      <c r="Q216" s="9">
        <v>5201073</v>
      </c>
      <c r="R216" s="9">
        <v>5200073</v>
      </c>
      <c r="S216" s="9">
        <v>5301071</v>
      </c>
      <c r="T216" s="9">
        <v>5501074</v>
      </c>
      <c r="U216" s="9">
        <v>5500073</v>
      </c>
      <c r="V216" s="9">
        <v>5501074</v>
      </c>
      <c r="W216" s="9">
        <v>7</v>
      </c>
      <c r="X216" s="9">
        <v>7</v>
      </c>
      <c r="Y216" s="9">
        <v>7</v>
      </c>
      <c r="Z216" s="9">
        <v>7</v>
      </c>
      <c r="AA216" s="9">
        <v>7</v>
      </c>
      <c r="AB216" s="9">
        <v>7</v>
      </c>
      <c r="AC216" s="9">
        <f t="shared" si="146"/>
        <v>468</v>
      </c>
      <c r="AD216" s="9">
        <f t="shared" si="147"/>
        <v>506</v>
      </c>
      <c r="AE216" s="9">
        <f t="shared" si="148"/>
        <v>506</v>
      </c>
      <c r="AF216" s="9">
        <f t="shared" si="149"/>
        <v>506</v>
      </c>
      <c r="AG216" s="9">
        <f t="shared" si="150"/>
        <v>506</v>
      </c>
      <c r="AH216" s="9">
        <f t="shared" si="151"/>
        <v>506</v>
      </c>
      <c r="AI216" s="7">
        <f t="shared" si="123"/>
        <v>206533.14500000002</v>
      </c>
      <c r="AJ216" s="7">
        <f t="shared" si="162"/>
        <v>206533.14500000002</v>
      </c>
      <c r="AK216" s="7">
        <f t="shared" si="162"/>
        <v>206533.14500000002</v>
      </c>
      <c r="AL216" s="7">
        <f t="shared" si="162"/>
        <v>206533.14500000002</v>
      </c>
      <c r="AM216" s="7">
        <f t="shared" si="162"/>
        <v>206533.14500000002</v>
      </c>
      <c r="AN216" s="7">
        <f t="shared" si="162"/>
        <v>206533.14500000002</v>
      </c>
      <c r="AO216" s="16"/>
      <c r="AP216" s="7"/>
      <c r="AQ216" s="9">
        <v>6</v>
      </c>
      <c r="AR216" s="9">
        <f t="shared" si="152"/>
        <v>487</v>
      </c>
      <c r="AS216" s="7">
        <f t="shared" si="121"/>
        <v>206</v>
      </c>
      <c r="AT216" s="7"/>
      <c r="AU216" s="16"/>
      <c r="AV216" s="7"/>
      <c r="AW216" s="7"/>
      <c r="AX216" s="7"/>
      <c r="AZ216" s="7"/>
      <c r="BA216" s="9">
        <f t="shared" si="122"/>
        <v>189033.44999999966</v>
      </c>
      <c r="BC216" s="5">
        <f t="shared" si="153"/>
        <v>437</v>
      </c>
      <c r="BR216" s="5">
        <v>5501071</v>
      </c>
      <c r="BS216" s="18">
        <f>[1]monsters!$N216</f>
        <v>190.08</v>
      </c>
      <c r="BT216" s="18">
        <f>[1]monsters!$O216</f>
        <v>19.010000000000002</v>
      </c>
      <c r="BU216" s="18">
        <f>[1]monsters!$P216</f>
        <v>2346.67</v>
      </c>
      <c r="BV216" s="18">
        <f>[1]monsters!$Q216</f>
        <v>234.67</v>
      </c>
      <c r="BW216" s="18">
        <f>[1]monsters!$R216</f>
        <v>38.020000000000003</v>
      </c>
      <c r="BX216" s="18">
        <f>[1]monsters!$S216</f>
        <v>3.8</v>
      </c>
      <c r="BY216" s="18">
        <f>[1]monsters!$K216</f>
        <v>1.8</v>
      </c>
      <c r="BZ216" s="5">
        <f>[1]monsters!$D216</f>
        <v>2</v>
      </c>
      <c r="CA216" s="5">
        <f t="shared" si="154"/>
        <v>0.1</v>
      </c>
      <c r="CB216" s="5">
        <f t="shared" si="155"/>
        <v>258.63805791245795</v>
      </c>
      <c r="CC216" s="5">
        <f t="shared" si="156"/>
        <v>25.863805791245795</v>
      </c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>
        <v>0</v>
      </c>
      <c r="CR216" s="3" t="b">
        <f t="shared" si="128"/>
        <v>1</v>
      </c>
      <c r="CS216" s="3" t="b">
        <f t="shared" si="129"/>
        <v>1</v>
      </c>
      <c r="CT216" s="3" t="b">
        <f t="shared" si="130"/>
        <v>1</v>
      </c>
      <c r="CU216" s="3" t="b">
        <f t="shared" si="131"/>
        <v>1</v>
      </c>
      <c r="CV216" s="3" t="b">
        <f t="shared" si="132"/>
        <v>1</v>
      </c>
      <c r="CW216" s="3" t="b">
        <f t="shared" si="133"/>
        <v>1</v>
      </c>
      <c r="CX216" s="9" t="str">
        <f t="shared" si="134"/>
        <v>5201073</v>
      </c>
      <c r="CY216" s="9" t="str">
        <f t="shared" si="135"/>
        <v>5200073</v>
      </c>
      <c r="CZ216" s="9" t="str">
        <f t="shared" si="136"/>
        <v>5301071</v>
      </c>
      <c r="DA216" s="9" t="str">
        <f t="shared" si="137"/>
        <v>5501074</v>
      </c>
      <c r="DB216" s="9" t="str">
        <f t="shared" si="138"/>
        <v>5500073</v>
      </c>
      <c r="DC216" s="9" t="str">
        <f t="shared" si="139"/>
        <v>5501074</v>
      </c>
      <c r="DD216" s="9">
        <v>7</v>
      </c>
      <c r="DE216" s="9">
        <v>7</v>
      </c>
      <c r="DF216" s="9">
        <v>7</v>
      </c>
      <c r="DG216" s="9">
        <v>7</v>
      </c>
      <c r="DH216" s="9">
        <v>7</v>
      </c>
      <c r="DI216" s="9">
        <v>7</v>
      </c>
      <c r="DJ216" s="9">
        <v>5</v>
      </c>
      <c r="DK216" s="9">
        <v>5</v>
      </c>
      <c r="DL216" s="9">
        <v>5</v>
      </c>
      <c r="DM216" s="9">
        <v>5</v>
      </c>
      <c r="DN216" s="9">
        <v>5</v>
      </c>
      <c r="DO216" s="9">
        <v>5</v>
      </c>
      <c r="DP216" s="25" t="s">
        <v>205</v>
      </c>
      <c r="DQ216" s="25" t="s">
        <v>113</v>
      </c>
      <c r="DR216" s="25" t="s">
        <v>107</v>
      </c>
      <c r="DS216" s="25" t="s">
        <v>214</v>
      </c>
      <c r="DT216" s="25" t="s">
        <v>207</v>
      </c>
      <c r="DU216" s="25" t="s">
        <v>214</v>
      </c>
      <c r="DV216" s="25">
        <f t="shared" si="140"/>
        <v>1</v>
      </c>
      <c r="DW216" s="25">
        <f t="shared" si="141"/>
        <v>1</v>
      </c>
      <c r="DX216" s="25">
        <f t="shared" si="142"/>
        <v>1</v>
      </c>
      <c r="DY216" s="25">
        <f t="shared" si="143"/>
        <v>2</v>
      </c>
      <c r="DZ216" s="25">
        <f t="shared" si="144"/>
        <v>2</v>
      </c>
      <c r="EA216" s="3">
        <f t="shared" si="145"/>
        <v>2</v>
      </c>
      <c r="EB216" s="39"/>
      <c r="EC216" s="9">
        <v>5202082</v>
      </c>
      <c r="ED216" s="34" t="s">
        <v>200</v>
      </c>
      <c r="EE216" s="8">
        <v>1</v>
      </c>
      <c r="EF216" s="9">
        <v>505240201</v>
      </c>
      <c r="EG216" s="3" t="str">
        <f t="shared" si="157"/>
        <v>对随机2名敌人造成91%攻击伤害，并有100%几率使目标燃烧，每秒造成30%攻击伤害，持续3秒。</v>
      </c>
    </row>
    <row r="217" spans="1:137" ht="13.5" customHeight="1">
      <c r="A217" s="9">
        <v>214</v>
      </c>
      <c r="B217" s="9">
        <v>1</v>
      </c>
      <c r="C217" s="9">
        <v>2001</v>
      </c>
      <c r="D217" s="9">
        <f t="shared" si="163"/>
        <v>1576815</v>
      </c>
      <c r="E217" s="9" t="str">
        <f t="shared" si="159"/>
        <v>5200071,5301072,5201071,5401071,5401073,5400075</v>
      </c>
      <c r="F217" s="9" t="str">
        <f t="shared" si="160"/>
        <v>7,7,7,7,7,7</v>
      </c>
      <c r="G217" s="9" t="str">
        <f t="shared" si="161"/>
        <v>469,508,508,508,508,508</v>
      </c>
      <c r="H217" s="9">
        <v>125</v>
      </c>
      <c r="I217" s="9" t="s">
        <v>278</v>
      </c>
      <c r="J217" s="9" t="s">
        <v>279</v>
      </c>
      <c r="K217" s="9" t="s">
        <v>279</v>
      </c>
      <c r="L217" s="9" t="s">
        <v>279</v>
      </c>
      <c r="M217" s="36" t="s">
        <v>294</v>
      </c>
      <c r="N217" s="40"/>
      <c r="O217" s="3">
        <f t="shared" si="158"/>
        <v>1576815</v>
      </c>
      <c r="P217" s="9">
        <v>1246494.21</v>
      </c>
      <c r="Q217" s="9">
        <v>5200071</v>
      </c>
      <c r="R217" s="9">
        <v>5301072</v>
      </c>
      <c r="S217" s="9">
        <v>5201071</v>
      </c>
      <c r="T217" s="9">
        <v>5401071</v>
      </c>
      <c r="U217" s="9">
        <v>5401073</v>
      </c>
      <c r="V217" s="9">
        <v>5400075</v>
      </c>
      <c r="W217" s="9">
        <v>7</v>
      </c>
      <c r="X217" s="9">
        <v>7</v>
      </c>
      <c r="Y217" s="9">
        <v>7</v>
      </c>
      <c r="Z217" s="9">
        <v>7</v>
      </c>
      <c r="AA217" s="9">
        <v>7</v>
      </c>
      <c r="AB217" s="9">
        <v>7</v>
      </c>
      <c r="AC217" s="9">
        <f t="shared" si="146"/>
        <v>469</v>
      </c>
      <c r="AD217" s="9">
        <f t="shared" si="147"/>
        <v>508</v>
      </c>
      <c r="AE217" s="9">
        <f t="shared" si="148"/>
        <v>508</v>
      </c>
      <c r="AF217" s="9">
        <f t="shared" si="149"/>
        <v>508</v>
      </c>
      <c r="AG217" s="9">
        <f t="shared" si="150"/>
        <v>508</v>
      </c>
      <c r="AH217" s="9">
        <f t="shared" si="151"/>
        <v>508</v>
      </c>
      <c r="AI217" s="7">
        <f t="shared" si="123"/>
        <v>207749.035</v>
      </c>
      <c r="AJ217" s="7">
        <f t="shared" si="162"/>
        <v>207749.035</v>
      </c>
      <c r="AK217" s="7">
        <f t="shared" si="162"/>
        <v>207749.035</v>
      </c>
      <c r="AL217" s="7">
        <f t="shared" si="162"/>
        <v>207749.035</v>
      </c>
      <c r="AM217" s="7">
        <f t="shared" si="162"/>
        <v>207749.035</v>
      </c>
      <c r="AN217" s="7">
        <f t="shared" si="162"/>
        <v>207749.035</v>
      </c>
      <c r="AO217" s="16"/>
      <c r="AP217" s="7"/>
      <c r="AQ217" s="9">
        <v>6</v>
      </c>
      <c r="AR217" s="9">
        <f t="shared" si="152"/>
        <v>488</v>
      </c>
      <c r="AS217" s="7">
        <f t="shared" si="121"/>
        <v>207</v>
      </c>
      <c r="AT217" s="7"/>
      <c r="AU217" s="16"/>
      <c r="AV217" s="7"/>
      <c r="AW217" s="7"/>
      <c r="AX217" s="7"/>
      <c r="AZ217" s="7"/>
      <c r="BA217" s="9">
        <f t="shared" si="122"/>
        <v>191124.59999999966</v>
      </c>
      <c r="BC217" s="5">
        <f t="shared" si="153"/>
        <v>438</v>
      </c>
      <c r="BR217" s="5">
        <v>5600071</v>
      </c>
      <c r="BS217" s="18">
        <f>[1]monsters!$N217</f>
        <v>126.72</v>
      </c>
      <c r="BT217" s="18">
        <f>[1]monsters!$O217</f>
        <v>12.67</v>
      </c>
      <c r="BU217" s="18">
        <f>[1]monsters!$P217</f>
        <v>2346.67</v>
      </c>
      <c r="BV217" s="18">
        <f>[1]monsters!$Q217</f>
        <v>234.67</v>
      </c>
      <c r="BW217" s="18">
        <f>[1]monsters!$R217</f>
        <v>25.34</v>
      </c>
      <c r="BX217" s="18">
        <f>[1]monsters!$S217</f>
        <v>2.5299999999999998</v>
      </c>
      <c r="BY217" s="18">
        <f>[1]monsters!$K217</f>
        <v>1.2</v>
      </c>
      <c r="BZ217" s="5">
        <f>[1]monsters!$D217</f>
        <v>3</v>
      </c>
      <c r="CA217" s="5">
        <f t="shared" si="154"/>
        <v>0.1</v>
      </c>
      <c r="CB217" s="5">
        <f t="shared" si="155"/>
        <v>198.76285791245792</v>
      </c>
      <c r="CC217" s="5">
        <f t="shared" si="156"/>
        <v>19.876285791245792</v>
      </c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>
        <v>0</v>
      </c>
      <c r="CR217" s="3" t="b">
        <f t="shared" si="128"/>
        <v>1</v>
      </c>
      <c r="CS217" s="3" t="b">
        <f t="shared" si="129"/>
        <v>1</v>
      </c>
      <c r="CT217" s="3" t="b">
        <f t="shared" si="130"/>
        <v>1</v>
      </c>
      <c r="CU217" s="3" t="b">
        <f t="shared" si="131"/>
        <v>1</v>
      </c>
      <c r="CV217" s="3" t="b">
        <f t="shared" si="132"/>
        <v>1</v>
      </c>
      <c r="CW217" s="3" t="b">
        <f t="shared" si="133"/>
        <v>1</v>
      </c>
      <c r="CX217" s="9" t="str">
        <f t="shared" si="134"/>
        <v>5200071</v>
      </c>
      <c r="CY217" s="9" t="str">
        <f t="shared" si="135"/>
        <v>5301072</v>
      </c>
      <c r="CZ217" s="9" t="str">
        <f t="shared" si="136"/>
        <v>5201071</v>
      </c>
      <c r="DA217" s="9" t="str">
        <f t="shared" si="137"/>
        <v>5401071</v>
      </c>
      <c r="DB217" s="9" t="str">
        <f t="shared" si="138"/>
        <v>5401073</v>
      </c>
      <c r="DC217" s="9" t="str">
        <f t="shared" si="139"/>
        <v>5400075</v>
      </c>
      <c r="DD217" s="9">
        <v>7</v>
      </c>
      <c r="DE217" s="9">
        <v>7</v>
      </c>
      <c r="DF217" s="9">
        <v>7</v>
      </c>
      <c r="DG217" s="9">
        <v>7</v>
      </c>
      <c r="DH217" s="9">
        <v>7</v>
      </c>
      <c r="DI217" s="9">
        <v>7</v>
      </c>
      <c r="DJ217" s="9">
        <v>5</v>
      </c>
      <c r="DK217" s="9">
        <v>5</v>
      </c>
      <c r="DL217" s="9">
        <v>5</v>
      </c>
      <c r="DM217" s="9">
        <v>5</v>
      </c>
      <c r="DN217" s="9">
        <v>5</v>
      </c>
      <c r="DO217" s="9">
        <v>5</v>
      </c>
      <c r="DP217" s="25" t="s">
        <v>194</v>
      </c>
      <c r="DQ217" s="25" t="s">
        <v>201</v>
      </c>
      <c r="DR217" s="25" t="s">
        <v>195</v>
      </c>
      <c r="DS217" s="25" t="s">
        <v>117</v>
      </c>
      <c r="DT217" s="25" t="s">
        <v>211</v>
      </c>
      <c r="DU217" s="25" t="s">
        <v>210</v>
      </c>
      <c r="DV217" s="25">
        <f t="shared" si="140"/>
        <v>1</v>
      </c>
      <c r="DW217" s="25">
        <f t="shared" si="141"/>
        <v>1</v>
      </c>
      <c r="DX217" s="25">
        <f t="shared" si="142"/>
        <v>1</v>
      </c>
      <c r="DY217" s="25">
        <f t="shared" si="143"/>
        <v>2</v>
      </c>
      <c r="DZ217" s="25">
        <f t="shared" si="144"/>
        <v>2</v>
      </c>
      <c r="EA217" s="3">
        <f t="shared" si="145"/>
        <v>2</v>
      </c>
      <c r="EB217" s="39"/>
      <c r="EC217" s="9">
        <v>5301082</v>
      </c>
      <c r="ED217" s="34" t="s">
        <v>201</v>
      </c>
      <c r="EE217" s="8">
        <v>1</v>
      </c>
      <c r="EF217" s="9">
        <v>505250001</v>
      </c>
      <c r="EG217" s="3" t="str">
        <f t="shared" si="157"/>
        <v>对距离最近的2名敌人造成192%攻击伤害。</v>
      </c>
    </row>
    <row r="218" spans="1:137" ht="13.5" customHeight="1">
      <c r="A218" s="9">
        <v>215</v>
      </c>
      <c r="B218" s="9">
        <v>1</v>
      </c>
      <c r="C218" s="9">
        <v>2001</v>
      </c>
      <c r="D218" s="9">
        <f t="shared" si="163"/>
        <v>1585336</v>
      </c>
      <c r="E218" s="9" t="str">
        <f t="shared" si="159"/>
        <v>5201072,5201072,5201072,5502072,5502072,5502072</v>
      </c>
      <c r="F218" s="9" t="str">
        <f t="shared" si="160"/>
        <v>7,7,7,7,7,7</v>
      </c>
      <c r="G218" s="9" t="str">
        <f t="shared" si="161"/>
        <v>470,509,509,509,509,509</v>
      </c>
      <c r="H218" s="9">
        <v>126</v>
      </c>
      <c r="I218" s="9" t="s">
        <v>278</v>
      </c>
      <c r="J218" s="9" t="s">
        <v>279</v>
      </c>
      <c r="K218" s="9" t="s">
        <v>279</v>
      </c>
      <c r="L218" s="9" t="s">
        <v>279</v>
      </c>
      <c r="M218" s="36" t="s">
        <v>294</v>
      </c>
      <c r="O218" s="3">
        <f t="shared" si="158"/>
        <v>1585336</v>
      </c>
      <c r="P218" s="9">
        <v>1253230.3600000001</v>
      </c>
      <c r="Q218" s="9">
        <v>5201072</v>
      </c>
      <c r="R218" s="9">
        <v>5201072</v>
      </c>
      <c r="S218" s="9">
        <v>5201072</v>
      </c>
      <c r="T218" s="9">
        <v>5502072</v>
      </c>
      <c r="U218" s="9">
        <v>5502072</v>
      </c>
      <c r="V218" s="9">
        <v>5502072</v>
      </c>
      <c r="W218" s="9">
        <v>7</v>
      </c>
      <c r="X218" s="9">
        <v>7</v>
      </c>
      <c r="Y218" s="9">
        <v>7</v>
      </c>
      <c r="Z218" s="9">
        <v>7</v>
      </c>
      <c r="AA218" s="9">
        <v>7</v>
      </c>
      <c r="AB218" s="9">
        <v>7</v>
      </c>
      <c r="AC218" s="9">
        <f t="shared" si="146"/>
        <v>470</v>
      </c>
      <c r="AD218" s="9">
        <f t="shared" si="147"/>
        <v>509</v>
      </c>
      <c r="AE218" s="9">
        <f t="shared" si="148"/>
        <v>509</v>
      </c>
      <c r="AF218" s="9">
        <f t="shared" si="149"/>
        <v>509</v>
      </c>
      <c r="AG218" s="9">
        <f t="shared" si="150"/>
        <v>509</v>
      </c>
      <c r="AH218" s="9">
        <f t="shared" si="151"/>
        <v>509</v>
      </c>
      <c r="AI218" s="7">
        <f t="shared" si="123"/>
        <v>208871.72666666668</v>
      </c>
      <c r="AJ218" s="7">
        <f t="shared" si="162"/>
        <v>208871.72666666668</v>
      </c>
      <c r="AK218" s="7">
        <f t="shared" si="162"/>
        <v>208871.72666666668</v>
      </c>
      <c r="AL218" s="7">
        <f t="shared" si="162"/>
        <v>208871.72666666668</v>
      </c>
      <c r="AM218" s="7">
        <f t="shared" si="162"/>
        <v>208871.72666666668</v>
      </c>
      <c r="AN218" s="7">
        <f t="shared" si="162"/>
        <v>208871.72666666668</v>
      </c>
      <c r="AO218" s="16"/>
      <c r="AP218" s="7"/>
      <c r="AQ218" s="9">
        <v>6</v>
      </c>
      <c r="AR218" s="9">
        <f t="shared" si="152"/>
        <v>489</v>
      </c>
      <c r="AS218" s="7">
        <f t="shared" si="121"/>
        <v>207</v>
      </c>
      <c r="AT218" s="7"/>
      <c r="AU218" s="16"/>
      <c r="AV218" s="7"/>
      <c r="AW218" s="7"/>
      <c r="AX218" s="7"/>
      <c r="AZ218" s="7"/>
      <c r="BA218" s="9">
        <f t="shared" si="122"/>
        <v>193215.74999999965</v>
      </c>
      <c r="BC218" s="5">
        <f t="shared" si="153"/>
        <v>439</v>
      </c>
      <c r="BR218" s="5">
        <v>5601071</v>
      </c>
      <c r="BS218" s="18">
        <f>[1]monsters!$N218</f>
        <v>225.28</v>
      </c>
      <c r="BT218" s="18">
        <f>[1]monsters!$O218</f>
        <v>22.53</v>
      </c>
      <c r="BU218" s="18">
        <f>[1]monsters!$P218</f>
        <v>1760</v>
      </c>
      <c r="BV218" s="18">
        <f>[1]monsters!$Q218</f>
        <v>176</v>
      </c>
      <c r="BW218" s="18">
        <f>[1]monsters!$R218</f>
        <v>32.18</v>
      </c>
      <c r="BX218" s="18">
        <f>[1]monsters!$S218</f>
        <v>3.22</v>
      </c>
      <c r="BY218" s="18">
        <f>[1]monsters!$K218</f>
        <v>1.6</v>
      </c>
      <c r="BZ218" s="5">
        <f>[1]monsters!$D218</f>
        <v>4</v>
      </c>
      <c r="CA218" s="5">
        <f t="shared" si="154"/>
        <v>0.1</v>
      </c>
      <c r="CB218" s="5">
        <f t="shared" si="155"/>
        <v>272.14885925925927</v>
      </c>
      <c r="CC218" s="5">
        <f t="shared" si="156"/>
        <v>27.214885925925927</v>
      </c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>
        <v>1</v>
      </c>
      <c r="CR218" s="3" t="b">
        <f t="shared" si="128"/>
        <v>1</v>
      </c>
      <c r="CS218" s="3" t="b">
        <f t="shared" si="129"/>
        <v>1</v>
      </c>
      <c r="CT218" s="3" t="b">
        <f t="shared" si="130"/>
        <v>1</v>
      </c>
      <c r="CU218" s="3" t="b">
        <f t="shared" si="131"/>
        <v>1</v>
      </c>
      <c r="CV218" s="3" t="b">
        <f t="shared" si="132"/>
        <v>1</v>
      </c>
      <c r="CW218" s="3" t="b">
        <f t="shared" si="133"/>
        <v>1</v>
      </c>
      <c r="CX218" s="9" t="str">
        <f t="shared" si="134"/>
        <v>5201072</v>
      </c>
      <c r="CY218" s="9" t="str">
        <f t="shared" si="135"/>
        <v>5201072</v>
      </c>
      <c r="CZ218" s="9" t="str">
        <f t="shared" si="136"/>
        <v>5201072</v>
      </c>
      <c r="DA218" s="9" t="str">
        <f t="shared" si="137"/>
        <v>5502072</v>
      </c>
      <c r="DB218" s="9" t="str">
        <f t="shared" si="138"/>
        <v>5502072</v>
      </c>
      <c r="DC218" s="9" t="str">
        <f t="shared" si="139"/>
        <v>5502072</v>
      </c>
      <c r="DD218" s="9">
        <v>7</v>
      </c>
      <c r="DE218" s="9">
        <v>7</v>
      </c>
      <c r="DF218" s="9">
        <v>7</v>
      </c>
      <c r="DG218" s="9">
        <v>7</v>
      </c>
      <c r="DH218" s="9">
        <v>7</v>
      </c>
      <c r="DI218" s="9">
        <v>7</v>
      </c>
      <c r="DJ218" s="9">
        <v>5</v>
      </c>
      <c r="DK218" s="9">
        <v>5</v>
      </c>
      <c r="DL218" s="9">
        <v>5</v>
      </c>
      <c r="DM218" s="9">
        <v>5</v>
      </c>
      <c r="DN218" s="9">
        <v>5</v>
      </c>
      <c r="DO218" s="9">
        <v>5</v>
      </c>
      <c r="DP218" s="25" t="s">
        <v>114</v>
      </c>
      <c r="DQ218" s="25" t="s">
        <v>114</v>
      </c>
      <c r="DR218" s="25" t="s">
        <v>114</v>
      </c>
      <c r="DS218" s="25" t="s">
        <v>204</v>
      </c>
      <c r="DT218" s="25" t="s">
        <v>204</v>
      </c>
      <c r="DU218" s="25" t="s">
        <v>204</v>
      </c>
      <c r="DV218" s="25">
        <f t="shared" si="140"/>
        <v>1</v>
      </c>
      <c r="DW218" s="25">
        <f t="shared" si="141"/>
        <v>1</v>
      </c>
      <c r="DX218" s="25">
        <f t="shared" si="142"/>
        <v>1</v>
      </c>
      <c r="DY218" s="25">
        <f t="shared" si="143"/>
        <v>2</v>
      </c>
      <c r="DZ218" s="25">
        <f t="shared" si="144"/>
        <v>2</v>
      </c>
      <c r="EA218" s="3">
        <f t="shared" si="145"/>
        <v>2</v>
      </c>
      <c r="EB218" s="39"/>
      <c r="EC218" s="9">
        <v>5401082</v>
      </c>
      <c r="ED218" s="34" t="s">
        <v>202</v>
      </c>
      <c r="EE218" s="8">
        <v>2</v>
      </c>
      <c r="EF218" s="9">
        <v>505250201</v>
      </c>
      <c r="EG218" s="3" t="str">
        <f t="shared" si="157"/>
        <v>对血最少的1名敌人造成431%攻击伤害。</v>
      </c>
    </row>
    <row r="219" spans="1:137" ht="13.5" customHeight="1">
      <c r="A219" s="9">
        <v>216</v>
      </c>
      <c r="B219" s="9">
        <v>1</v>
      </c>
      <c r="C219" s="9">
        <v>2001</v>
      </c>
      <c r="D219" s="9">
        <f t="shared" si="163"/>
        <v>1593880</v>
      </c>
      <c r="E219" s="9" t="str">
        <f t="shared" si="159"/>
        <v>5202073,5201073,5302074,5501074,5400075,5500072</v>
      </c>
      <c r="F219" s="9" t="str">
        <f t="shared" si="160"/>
        <v>7,7,7,7,7,7</v>
      </c>
      <c r="G219" s="9" t="str">
        <f t="shared" si="161"/>
        <v>472,510,510,510,510,510</v>
      </c>
      <c r="H219" s="9">
        <v>126</v>
      </c>
      <c r="I219" s="9" t="s">
        <v>278</v>
      </c>
      <c r="J219" s="9" t="s">
        <v>279</v>
      </c>
      <c r="K219" s="9" t="s">
        <v>279</v>
      </c>
      <c r="L219" s="9" t="s">
        <v>279</v>
      </c>
      <c r="M219" s="36" t="s">
        <v>294</v>
      </c>
      <c r="N219" s="40"/>
      <c r="O219" s="3">
        <f t="shared" si="158"/>
        <v>1593880</v>
      </c>
      <c r="P219" s="9">
        <v>1259984.42</v>
      </c>
      <c r="Q219" s="9">
        <v>5202073</v>
      </c>
      <c r="R219" s="9">
        <v>5201073</v>
      </c>
      <c r="S219" s="9">
        <v>5302074</v>
      </c>
      <c r="T219" s="9">
        <v>5501074</v>
      </c>
      <c r="U219" s="9">
        <v>5400075</v>
      </c>
      <c r="V219" s="9">
        <v>5500072</v>
      </c>
      <c r="W219" s="9">
        <v>7</v>
      </c>
      <c r="X219" s="9">
        <v>7</v>
      </c>
      <c r="Y219" s="9">
        <v>7</v>
      </c>
      <c r="Z219" s="9">
        <v>7</v>
      </c>
      <c r="AA219" s="9">
        <v>7</v>
      </c>
      <c r="AB219" s="9">
        <v>7</v>
      </c>
      <c r="AC219" s="9">
        <f t="shared" si="146"/>
        <v>472</v>
      </c>
      <c r="AD219" s="9">
        <f t="shared" si="147"/>
        <v>510</v>
      </c>
      <c r="AE219" s="9">
        <f t="shared" si="148"/>
        <v>510</v>
      </c>
      <c r="AF219" s="9">
        <f t="shared" si="149"/>
        <v>510</v>
      </c>
      <c r="AG219" s="9">
        <f t="shared" si="150"/>
        <v>510</v>
      </c>
      <c r="AH219" s="9">
        <f t="shared" si="151"/>
        <v>510</v>
      </c>
      <c r="AI219" s="7">
        <f t="shared" si="123"/>
        <v>209997.40333333332</v>
      </c>
      <c r="AJ219" s="7">
        <f t="shared" si="162"/>
        <v>209997.40333333332</v>
      </c>
      <c r="AK219" s="7">
        <f t="shared" si="162"/>
        <v>209997.40333333332</v>
      </c>
      <c r="AL219" s="7">
        <f t="shared" si="162"/>
        <v>209997.40333333332</v>
      </c>
      <c r="AM219" s="7">
        <f t="shared" si="162"/>
        <v>209997.40333333332</v>
      </c>
      <c r="AN219" s="7">
        <f t="shared" si="162"/>
        <v>209997.40333333332</v>
      </c>
      <c r="AO219" s="16"/>
      <c r="AP219" s="7"/>
      <c r="AQ219" s="9">
        <v>6</v>
      </c>
      <c r="AR219" s="9">
        <f t="shared" si="152"/>
        <v>491</v>
      </c>
      <c r="AS219" s="7">
        <f t="shared" ref="AS219:AS282" si="164">FLOOR((A219-150)/2,1)+175</f>
        <v>208</v>
      </c>
      <c r="AT219" s="7"/>
      <c r="AU219" s="16"/>
      <c r="AV219" s="7"/>
      <c r="AW219" s="7"/>
      <c r="AX219" s="7"/>
      <c r="AZ219" s="7"/>
      <c r="BA219" s="9">
        <f t="shared" ref="BA219:BA252" si="165">BA218+($BA$253-$BA$153)/($A$253-$A$153)</f>
        <v>195306.89999999964</v>
      </c>
      <c r="BC219" s="5">
        <f t="shared" si="153"/>
        <v>441</v>
      </c>
      <c r="BR219" s="5">
        <v>5200072</v>
      </c>
      <c r="BS219" s="18">
        <f>[1]monsters!$N219</f>
        <v>211.2</v>
      </c>
      <c r="BT219" s="18">
        <f>[1]monsters!$O219</f>
        <v>21.12</v>
      </c>
      <c r="BU219" s="18">
        <f>[1]monsters!$P219</f>
        <v>1760</v>
      </c>
      <c r="BV219" s="18">
        <f>[1]monsters!$Q219</f>
        <v>176</v>
      </c>
      <c r="BW219" s="18">
        <f>[1]monsters!$R219</f>
        <v>30.17</v>
      </c>
      <c r="BX219" s="18">
        <f>[1]monsters!$S219</f>
        <v>3.02</v>
      </c>
      <c r="BY219" s="18">
        <f>[1]monsters!$K219</f>
        <v>1.5</v>
      </c>
      <c r="BZ219" s="5">
        <f>[1]monsters!$D219</f>
        <v>4</v>
      </c>
      <c r="CA219" s="5">
        <f t="shared" si="154"/>
        <v>0.1</v>
      </c>
      <c r="CB219" s="5">
        <f t="shared" si="155"/>
        <v>258.84325925925924</v>
      </c>
      <c r="CC219" s="5">
        <f t="shared" si="156"/>
        <v>25.884325925925925</v>
      </c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>
        <v>0</v>
      </c>
      <c r="CR219" s="3" t="b">
        <f t="shared" si="128"/>
        <v>1</v>
      </c>
      <c r="CS219" s="3" t="b">
        <f t="shared" si="129"/>
        <v>1</v>
      </c>
      <c r="CT219" s="3" t="b">
        <f t="shared" si="130"/>
        <v>1</v>
      </c>
      <c r="CU219" s="3" t="b">
        <f t="shared" si="131"/>
        <v>1</v>
      </c>
      <c r="CV219" s="3" t="b">
        <f t="shared" si="132"/>
        <v>1</v>
      </c>
      <c r="CW219" s="3" t="b">
        <f t="shared" si="133"/>
        <v>1</v>
      </c>
      <c r="CX219" s="9" t="str">
        <f t="shared" si="134"/>
        <v>5202073</v>
      </c>
      <c r="CY219" s="9" t="str">
        <f t="shared" si="135"/>
        <v>5201073</v>
      </c>
      <c r="CZ219" s="9" t="str">
        <f t="shared" si="136"/>
        <v>5302074</v>
      </c>
      <c r="DA219" s="9" t="str">
        <f t="shared" si="137"/>
        <v>5501074</v>
      </c>
      <c r="DB219" s="9" t="str">
        <f t="shared" si="138"/>
        <v>5400075</v>
      </c>
      <c r="DC219" s="9" t="str">
        <f t="shared" si="139"/>
        <v>5500072</v>
      </c>
      <c r="DD219" s="9">
        <v>7</v>
      </c>
      <c r="DE219" s="9">
        <v>7</v>
      </c>
      <c r="DF219" s="9">
        <v>7</v>
      </c>
      <c r="DG219" s="9">
        <v>7</v>
      </c>
      <c r="DH219" s="9">
        <v>7</v>
      </c>
      <c r="DI219" s="9">
        <v>7</v>
      </c>
      <c r="DJ219" s="9">
        <v>5</v>
      </c>
      <c r="DK219" s="9">
        <v>5</v>
      </c>
      <c r="DL219" s="9">
        <v>5</v>
      </c>
      <c r="DM219" s="9">
        <v>5</v>
      </c>
      <c r="DN219" s="9">
        <v>5</v>
      </c>
      <c r="DO219" s="9">
        <v>5</v>
      </c>
      <c r="DP219" s="25" t="s">
        <v>208</v>
      </c>
      <c r="DQ219" s="25" t="s">
        <v>205</v>
      </c>
      <c r="DR219" s="25" t="s">
        <v>218</v>
      </c>
      <c r="DS219" s="25" t="s">
        <v>214</v>
      </c>
      <c r="DT219" s="25" t="s">
        <v>210</v>
      </c>
      <c r="DU219" s="25" t="s">
        <v>109</v>
      </c>
      <c r="DV219" s="25">
        <f t="shared" si="140"/>
        <v>1</v>
      </c>
      <c r="DW219" s="25">
        <f t="shared" si="141"/>
        <v>1</v>
      </c>
      <c r="DX219" s="25">
        <f t="shared" si="142"/>
        <v>1</v>
      </c>
      <c r="DY219" s="25">
        <f t="shared" si="143"/>
        <v>2</v>
      </c>
      <c r="DZ219" s="25">
        <f t="shared" si="144"/>
        <v>2</v>
      </c>
      <c r="EA219" s="3">
        <f t="shared" si="145"/>
        <v>2</v>
      </c>
      <c r="EB219" s="38"/>
      <c r="EC219" s="9">
        <v>5402082</v>
      </c>
      <c r="ED219" s="34" t="s">
        <v>203</v>
      </c>
      <c r="EE219" s="8">
        <v>2</v>
      </c>
      <c r="EF219" s="9">
        <v>505260101</v>
      </c>
      <c r="EG219" s="3" t="str">
        <f t="shared" si="157"/>
        <v>对距离最远的2名敌人造成106%攻击伤害，并使2名友军恢复100%攻击等量的生命。</v>
      </c>
    </row>
    <row r="220" spans="1:137" ht="13.5" customHeight="1">
      <c r="A220" s="9">
        <v>217</v>
      </c>
      <c r="B220" s="9">
        <v>1</v>
      </c>
      <c r="C220" s="9">
        <v>2001</v>
      </c>
      <c r="D220" s="9">
        <f t="shared" si="163"/>
        <v>1602444</v>
      </c>
      <c r="E220" s="9" t="str">
        <f t="shared" si="159"/>
        <v>5201073,5202075,5200071,5501074,5402072,5501075</v>
      </c>
      <c r="F220" s="9" t="str">
        <f t="shared" si="160"/>
        <v>7,7,7,7,7,7</v>
      </c>
      <c r="G220" s="9" t="str">
        <f t="shared" si="161"/>
        <v>473,512,512,512,512,512</v>
      </c>
      <c r="H220" s="9">
        <v>126</v>
      </c>
      <c r="I220" s="9" t="s">
        <v>278</v>
      </c>
      <c r="J220" s="9" t="s">
        <v>279</v>
      </c>
      <c r="K220" s="9" t="s">
        <v>279</v>
      </c>
      <c r="L220" s="9" t="s">
        <v>279</v>
      </c>
      <c r="M220" s="36" t="s">
        <v>294</v>
      </c>
      <c r="N220" s="40"/>
      <c r="O220" s="3">
        <f t="shared" si="158"/>
        <v>1602444</v>
      </c>
      <c r="P220" s="9">
        <v>1266754.3999999999</v>
      </c>
      <c r="Q220" s="9">
        <v>5201073</v>
      </c>
      <c r="R220" s="9">
        <v>5202075</v>
      </c>
      <c r="S220" s="9">
        <v>5200071</v>
      </c>
      <c r="T220" s="9">
        <v>5501074</v>
      </c>
      <c r="U220" s="9">
        <v>5402072</v>
      </c>
      <c r="V220" s="9">
        <v>5501075</v>
      </c>
      <c r="W220" s="9">
        <v>7</v>
      </c>
      <c r="X220" s="9">
        <v>7</v>
      </c>
      <c r="Y220" s="9">
        <v>7</v>
      </c>
      <c r="Z220" s="9">
        <v>7</v>
      </c>
      <c r="AA220" s="9">
        <v>7</v>
      </c>
      <c r="AB220" s="9">
        <v>7</v>
      </c>
      <c r="AC220" s="9">
        <f t="shared" si="146"/>
        <v>473</v>
      </c>
      <c r="AD220" s="9">
        <f t="shared" si="147"/>
        <v>512</v>
      </c>
      <c r="AE220" s="9">
        <f t="shared" si="148"/>
        <v>512</v>
      </c>
      <c r="AF220" s="9">
        <f t="shared" si="149"/>
        <v>512</v>
      </c>
      <c r="AG220" s="9">
        <f t="shared" si="150"/>
        <v>512</v>
      </c>
      <c r="AH220" s="9">
        <f t="shared" si="151"/>
        <v>512</v>
      </c>
      <c r="AI220" s="7">
        <f t="shared" si="123"/>
        <v>211125.73333333331</v>
      </c>
      <c r="AJ220" s="7">
        <f t="shared" si="162"/>
        <v>211125.73333333331</v>
      </c>
      <c r="AK220" s="7">
        <f t="shared" si="162"/>
        <v>211125.73333333331</v>
      </c>
      <c r="AL220" s="7">
        <f t="shared" si="162"/>
        <v>211125.73333333331</v>
      </c>
      <c r="AM220" s="7">
        <f t="shared" si="162"/>
        <v>211125.73333333331</v>
      </c>
      <c r="AN220" s="7">
        <f t="shared" si="162"/>
        <v>211125.73333333331</v>
      </c>
      <c r="AO220" s="16"/>
      <c r="AP220" s="7"/>
      <c r="AQ220" s="9">
        <v>6</v>
      </c>
      <c r="AR220" s="9">
        <f t="shared" si="152"/>
        <v>492</v>
      </c>
      <c r="AS220" s="7">
        <f t="shared" si="164"/>
        <v>208</v>
      </c>
      <c r="AT220" s="7"/>
      <c r="AU220" s="16"/>
      <c r="AV220" s="7"/>
      <c r="AW220" s="7"/>
      <c r="AX220" s="7"/>
      <c r="AZ220" s="7"/>
      <c r="BA220" s="9">
        <f t="shared" si="165"/>
        <v>197398.04999999964</v>
      </c>
      <c r="BC220" s="5">
        <f t="shared" si="153"/>
        <v>442</v>
      </c>
      <c r="BR220" s="5">
        <v>5202072</v>
      </c>
      <c r="BS220" s="18">
        <f>[1]monsters!$N220</f>
        <v>246.4</v>
      </c>
      <c r="BT220" s="18">
        <f>[1]monsters!$O220</f>
        <v>24.64</v>
      </c>
      <c r="BU220" s="18">
        <f>[1]monsters!$P220</f>
        <v>1508.57</v>
      </c>
      <c r="BV220" s="18">
        <f>[1]monsters!$Q220</f>
        <v>150.86000000000001</v>
      </c>
      <c r="BW220" s="18">
        <f>[1]monsters!$R220</f>
        <v>30.8</v>
      </c>
      <c r="BX220" s="18">
        <f>[1]monsters!$S220</f>
        <v>3.08</v>
      </c>
      <c r="BY220" s="18">
        <f>[1]monsters!$K220</f>
        <v>1.5</v>
      </c>
      <c r="BZ220" s="5">
        <f>[1]monsters!$D220</f>
        <v>5</v>
      </c>
      <c r="CA220" s="5">
        <f t="shared" si="154"/>
        <v>0.1</v>
      </c>
      <c r="CB220" s="5">
        <f t="shared" si="155"/>
        <v>283.64160269360275</v>
      </c>
      <c r="CC220" s="5">
        <f t="shared" si="156"/>
        <v>28.364160269360276</v>
      </c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>
        <v>0</v>
      </c>
      <c r="CR220" s="3" t="b">
        <f t="shared" si="128"/>
        <v>1</v>
      </c>
      <c r="CS220" s="3" t="b">
        <f t="shared" si="129"/>
        <v>1</v>
      </c>
      <c r="CT220" s="3" t="b">
        <f t="shared" si="130"/>
        <v>1</v>
      </c>
      <c r="CU220" s="3" t="b">
        <f t="shared" si="131"/>
        <v>1</v>
      </c>
      <c r="CV220" s="3" t="b">
        <f t="shared" si="132"/>
        <v>1</v>
      </c>
      <c r="CW220" s="3" t="b">
        <f t="shared" si="133"/>
        <v>1</v>
      </c>
      <c r="CX220" s="9" t="str">
        <f t="shared" si="134"/>
        <v>5201073</v>
      </c>
      <c r="CY220" s="9" t="str">
        <f t="shared" si="135"/>
        <v>5202075</v>
      </c>
      <c r="CZ220" s="9" t="str">
        <f t="shared" si="136"/>
        <v>5200071</v>
      </c>
      <c r="DA220" s="9" t="str">
        <f t="shared" si="137"/>
        <v>5501074</v>
      </c>
      <c r="DB220" s="9" t="str">
        <f t="shared" si="138"/>
        <v>5402072</v>
      </c>
      <c r="DC220" s="9" t="str">
        <f t="shared" si="139"/>
        <v>5501075</v>
      </c>
      <c r="DD220" s="9">
        <v>7</v>
      </c>
      <c r="DE220" s="9">
        <v>7</v>
      </c>
      <c r="DF220" s="9">
        <v>7</v>
      </c>
      <c r="DG220" s="9">
        <v>7</v>
      </c>
      <c r="DH220" s="9">
        <v>7</v>
      </c>
      <c r="DI220" s="9">
        <v>7</v>
      </c>
      <c r="DJ220" s="9">
        <v>5</v>
      </c>
      <c r="DK220" s="9">
        <v>5</v>
      </c>
      <c r="DL220" s="9">
        <v>5</v>
      </c>
      <c r="DM220" s="9">
        <v>5</v>
      </c>
      <c r="DN220" s="9">
        <v>5</v>
      </c>
      <c r="DO220" s="9">
        <v>5</v>
      </c>
      <c r="DP220" s="25" t="s">
        <v>205</v>
      </c>
      <c r="DQ220" s="25" t="s">
        <v>213</v>
      </c>
      <c r="DR220" s="25" t="s">
        <v>194</v>
      </c>
      <c r="DS220" s="25" t="s">
        <v>214</v>
      </c>
      <c r="DT220" s="25" t="s">
        <v>203</v>
      </c>
      <c r="DU220" s="25" t="s">
        <v>209</v>
      </c>
      <c r="DV220" s="25">
        <f t="shared" si="140"/>
        <v>1</v>
      </c>
      <c r="DW220" s="25">
        <f t="shared" si="141"/>
        <v>1</v>
      </c>
      <c r="DX220" s="25">
        <f t="shared" si="142"/>
        <v>1</v>
      </c>
      <c r="DY220" s="25">
        <f t="shared" si="143"/>
        <v>2</v>
      </c>
      <c r="DZ220" s="25">
        <f t="shared" si="144"/>
        <v>2</v>
      </c>
      <c r="EA220" s="3">
        <f t="shared" si="145"/>
        <v>2</v>
      </c>
      <c r="EB220" s="39"/>
      <c r="EC220" s="9">
        <v>5500082</v>
      </c>
      <c r="ED220" s="34" t="s">
        <v>109</v>
      </c>
      <c r="EE220" s="8">
        <v>2</v>
      </c>
      <c r="EF220" s="9">
        <v>505320001</v>
      </c>
      <c r="EG220" s="3" t="str">
        <f t="shared" si="157"/>
        <v>对随机1名敌人造成200%攻击伤害，并有100%几率使目标流血，每秒造成40%攻击伤害，持续3秒。</v>
      </c>
    </row>
    <row r="221" spans="1:137" ht="13.5" customHeight="1">
      <c r="A221" s="9">
        <v>218</v>
      </c>
      <c r="B221" s="9">
        <v>1</v>
      </c>
      <c r="C221" s="9">
        <v>2001</v>
      </c>
      <c r="D221" s="9">
        <f t="shared" si="163"/>
        <v>1611034</v>
      </c>
      <c r="E221" s="9" t="str">
        <f t="shared" si="159"/>
        <v>5302075,5202075,5202073,5401073,5501075,5400075</v>
      </c>
      <c r="F221" s="9" t="str">
        <f t="shared" si="160"/>
        <v>7,7,7,7,7,7</v>
      </c>
      <c r="G221" s="9" t="str">
        <f t="shared" si="161"/>
        <v>474,513,513,513,513,513</v>
      </c>
      <c r="H221" s="9">
        <v>127</v>
      </c>
      <c r="I221" s="9" t="s">
        <v>278</v>
      </c>
      <c r="J221" s="9" t="s">
        <v>279</v>
      </c>
      <c r="K221" s="9" t="s">
        <v>279</v>
      </c>
      <c r="L221" s="9" t="s">
        <v>279</v>
      </c>
      <c r="M221" s="36" t="s">
        <v>294</v>
      </c>
      <c r="N221" s="40"/>
      <c r="O221" s="3">
        <f t="shared" si="158"/>
        <v>1611034</v>
      </c>
      <c r="P221" s="9">
        <v>1273544.28</v>
      </c>
      <c r="Q221" s="9">
        <v>5302075</v>
      </c>
      <c r="R221" s="9">
        <v>5202075</v>
      </c>
      <c r="S221" s="9">
        <v>5202073</v>
      </c>
      <c r="T221" s="9">
        <v>5401073</v>
      </c>
      <c r="U221" s="9">
        <v>5501075</v>
      </c>
      <c r="V221" s="9">
        <v>5400075</v>
      </c>
      <c r="W221" s="9">
        <v>7</v>
      </c>
      <c r="X221" s="9">
        <v>7</v>
      </c>
      <c r="Y221" s="9">
        <v>7</v>
      </c>
      <c r="Z221" s="9">
        <v>7</v>
      </c>
      <c r="AA221" s="9">
        <v>7</v>
      </c>
      <c r="AB221" s="9">
        <v>7</v>
      </c>
      <c r="AC221" s="9">
        <f t="shared" si="146"/>
        <v>474</v>
      </c>
      <c r="AD221" s="9">
        <f t="shared" si="147"/>
        <v>513</v>
      </c>
      <c r="AE221" s="9">
        <f t="shared" si="148"/>
        <v>513</v>
      </c>
      <c r="AF221" s="9">
        <f t="shared" si="149"/>
        <v>513</v>
      </c>
      <c r="AG221" s="9">
        <f t="shared" si="150"/>
        <v>513</v>
      </c>
      <c r="AH221" s="9">
        <f t="shared" si="151"/>
        <v>513</v>
      </c>
      <c r="AI221" s="7">
        <f t="shared" si="123"/>
        <v>212257.38</v>
      </c>
      <c r="AJ221" s="7">
        <f t="shared" si="162"/>
        <v>212257.38</v>
      </c>
      <c r="AK221" s="7">
        <f t="shared" si="162"/>
        <v>212257.38</v>
      </c>
      <c r="AL221" s="7">
        <f t="shared" si="162"/>
        <v>212257.38</v>
      </c>
      <c r="AM221" s="7">
        <f t="shared" si="162"/>
        <v>212257.38</v>
      </c>
      <c r="AN221" s="7">
        <f t="shared" si="162"/>
        <v>212257.38</v>
      </c>
      <c r="AO221" s="16"/>
      <c r="AP221" s="7"/>
      <c r="AQ221" s="9">
        <v>6</v>
      </c>
      <c r="AR221" s="9">
        <f t="shared" si="152"/>
        <v>493</v>
      </c>
      <c r="AS221" s="7">
        <f t="shared" si="164"/>
        <v>209</v>
      </c>
      <c r="AT221" s="7"/>
      <c r="AU221" s="16"/>
      <c r="AV221" s="7"/>
      <c r="AW221" s="7"/>
      <c r="AX221" s="7"/>
      <c r="AZ221" s="7"/>
      <c r="BA221" s="9">
        <f t="shared" si="165"/>
        <v>199489.19999999963</v>
      </c>
      <c r="BC221" s="5">
        <f t="shared" si="153"/>
        <v>443</v>
      </c>
      <c r="BR221" s="5">
        <v>5302072</v>
      </c>
      <c r="BS221" s="18">
        <f>[1]monsters!$N221</f>
        <v>229.97</v>
      </c>
      <c r="BT221" s="18">
        <f>[1]monsters!$O221</f>
        <v>23</v>
      </c>
      <c r="BU221" s="18">
        <f>[1]monsters!$P221</f>
        <v>1508.57</v>
      </c>
      <c r="BV221" s="18">
        <f>[1]monsters!$Q221</f>
        <v>150.86000000000001</v>
      </c>
      <c r="BW221" s="18">
        <f>[1]monsters!$R221</f>
        <v>28.75</v>
      </c>
      <c r="BX221" s="18">
        <f>[1]monsters!$S221</f>
        <v>2.87</v>
      </c>
      <c r="BY221" s="18">
        <f>[1]monsters!$K221</f>
        <v>1.4</v>
      </c>
      <c r="BZ221" s="5">
        <f>[1]monsters!$D221</f>
        <v>5</v>
      </c>
      <c r="CA221" s="5">
        <f t="shared" si="154"/>
        <v>0.1</v>
      </c>
      <c r="CB221" s="5">
        <f t="shared" si="155"/>
        <v>268.11525269360271</v>
      </c>
      <c r="CC221" s="5">
        <f t="shared" si="156"/>
        <v>26.811525269360274</v>
      </c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>
        <v>0</v>
      </c>
      <c r="CR221" s="3" t="b">
        <f t="shared" si="128"/>
        <v>1</v>
      </c>
      <c r="CS221" s="3" t="b">
        <f t="shared" si="129"/>
        <v>1</v>
      </c>
      <c r="CT221" s="3" t="b">
        <f t="shared" si="130"/>
        <v>1</v>
      </c>
      <c r="CU221" s="3" t="b">
        <f t="shared" si="131"/>
        <v>1</v>
      </c>
      <c r="CV221" s="3" t="b">
        <f t="shared" si="132"/>
        <v>1</v>
      </c>
      <c r="CW221" s="3" t="b">
        <f t="shared" si="133"/>
        <v>1</v>
      </c>
      <c r="CX221" s="9" t="str">
        <f t="shared" si="134"/>
        <v>5302075</v>
      </c>
      <c r="CY221" s="9" t="str">
        <f t="shared" si="135"/>
        <v>5202075</v>
      </c>
      <c r="CZ221" s="9" t="str">
        <f t="shared" si="136"/>
        <v>5202073</v>
      </c>
      <c r="DA221" s="9" t="str">
        <f t="shared" si="137"/>
        <v>5401073</v>
      </c>
      <c r="DB221" s="9" t="str">
        <f t="shared" si="138"/>
        <v>5501075</v>
      </c>
      <c r="DC221" s="9" t="str">
        <f t="shared" si="139"/>
        <v>5400075</v>
      </c>
      <c r="DD221" s="9">
        <v>7</v>
      </c>
      <c r="DE221" s="9">
        <v>7</v>
      </c>
      <c r="DF221" s="9">
        <v>7</v>
      </c>
      <c r="DG221" s="9">
        <v>7</v>
      </c>
      <c r="DH221" s="9">
        <v>7</v>
      </c>
      <c r="DI221" s="9">
        <v>7</v>
      </c>
      <c r="DJ221" s="9">
        <v>5</v>
      </c>
      <c r="DK221" s="9">
        <v>5</v>
      </c>
      <c r="DL221" s="9">
        <v>5</v>
      </c>
      <c r="DM221" s="9">
        <v>5</v>
      </c>
      <c r="DN221" s="9">
        <v>5</v>
      </c>
      <c r="DO221" s="9">
        <v>5</v>
      </c>
      <c r="DP221" s="25" t="s">
        <v>221</v>
      </c>
      <c r="DQ221" s="25" t="s">
        <v>213</v>
      </c>
      <c r="DR221" s="25" t="s">
        <v>208</v>
      </c>
      <c r="DS221" s="25" t="s">
        <v>211</v>
      </c>
      <c r="DT221" s="25" t="s">
        <v>209</v>
      </c>
      <c r="DU221" s="25" t="s">
        <v>210</v>
      </c>
      <c r="DV221" s="25">
        <f t="shared" si="140"/>
        <v>1</v>
      </c>
      <c r="DW221" s="25">
        <f t="shared" si="141"/>
        <v>1</v>
      </c>
      <c r="DX221" s="25">
        <f t="shared" si="142"/>
        <v>1</v>
      </c>
      <c r="DY221" s="25">
        <f t="shared" si="143"/>
        <v>2</v>
      </c>
      <c r="DZ221" s="25">
        <f t="shared" si="144"/>
        <v>2</v>
      </c>
      <c r="EA221" s="3">
        <f t="shared" si="145"/>
        <v>2</v>
      </c>
      <c r="EB221" s="39"/>
      <c r="EC221" s="9">
        <v>5502082</v>
      </c>
      <c r="ED221" s="34" t="s">
        <v>204</v>
      </c>
      <c r="EE221" s="8">
        <v>2</v>
      </c>
      <c r="EF221" s="9">
        <v>505320101</v>
      </c>
      <c r="EG221" s="3" t="str">
        <f t="shared" si="157"/>
        <v>对随机1名敌人造成215%攻击伤害，并有100%几率使目标流血，每秒造成40%攻击伤害，持续3秒。</v>
      </c>
    </row>
    <row r="222" spans="1:137" ht="13.5" customHeight="1">
      <c r="A222" s="9">
        <v>219</v>
      </c>
      <c r="B222" s="9">
        <v>1</v>
      </c>
      <c r="C222" s="9">
        <v>2001</v>
      </c>
      <c r="D222" s="9">
        <f t="shared" si="163"/>
        <v>1619645</v>
      </c>
      <c r="E222" s="9" t="str">
        <f t="shared" si="159"/>
        <v>5202072,5202072,5301072,5502072,5500071,5400075</v>
      </c>
      <c r="F222" s="9" t="str">
        <f t="shared" si="160"/>
        <v>7,7,7,7,7,7</v>
      </c>
      <c r="G222" s="9" t="str">
        <f t="shared" si="161"/>
        <v>476,515,515,515,515,515</v>
      </c>
      <c r="H222" s="9">
        <v>127</v>
      </c>
      <c r="I222" s="9" t="s">
        <v>278</v>
      </c>
      <c r="J222" s="9" t="s">
        <v>279</v>
      </c>
      <c r="K222" s="9" t="s">
        <v>279</v>
      </c>
      <c r="L222" s="9" t="s">
        <v>279</v>
      </c>
      <c r="M222" s="36" t="s">
        <v>294</v>
      </c>
      <c r="N222" s="40"/>
      <c r="O222" s="3">
        <f t="shared" si="158"/>
        <v>1619645</v>
      </c>
      <c r="P222" s="9">
        <v>1280352.07</v>
      </c>
      <c r="Q222" s="9">
        <v>5202072</v>
      </c>
      <c r="R222" s="9">
        <v>5202072</v>
      </c>
      <c r="S222" s="9">
        <v>5301072</v>
      </c>
      <c r="T222" s="9">
        <v>5502072</v>
      </c>
      <c r="U222" s="9">
        <v>5500071</v>
      </c>
      <c r="V222" s="9">
        <v>5400075</v>
      </c>
      <c r="W222" s="9">
        <v>7</v>
      </c>
      <c r="X222" s="9">
        <v>7</v>
      </c>
      <c r="Y222" s="9">
        <v>7</v>
      </c>
      <c r="Z222" s="9">
        <v>7</v>
      </c>
      <c r="AA222" s="9">
        <v>7</v>
      </c>
      <c r="AB222" s="9">
        <v>7</v>
      </c>
      <c r="AC222" s="9">
        <f t="shared" si="146"/>
        <v>476</v>
      </c>
      <c r="AD222" s="9">
        <f t="shared" si="147"/>
        <v>515</v>
      </c>
      <c r="AE222" s="9">
        <f t="shared" si="148"/>
        <v>515</v>
      </c>
      <c r="AF222" s="9">
        <f t="shared" si="149"/>
        <v>515</v>
      </c>
      <c r="AG222" s="9">
        <f t="shared" si="150"/>
        <v>515</v>
      </c>
      <c r="AH222" s="9">
        <f t="shared" si="151"/>
        <v>515</v>
      </c>
      <c r="AI222" s="7">
        <f t="shared" si="123"/>
        <v>213392.01166666669</v>
      </c>
      <c r="AJ222" s="7">
        <f t="shared" si="162"/>
        <v>213392.01166666669</v>
      </c>
      <c r="AK222" s="7">
        <f t="shared" si="162"/>
        <v>213392.01166666669</v>
      </c>
      <c r="AL222" s="7">
        <f t="shared" si="162"/>
        <v>213392.01166666669</v>
      </c>
      <c r="AM222" s="7">
        <f t="shared" si="162"/>
        <v>213392.01166666669</v>
      </c>
      <c r="AN222" s="7">
        <f t="shared" si="162"/>
        <v>213392.01166666669</v>
      </c>
      <c r="AO222" s="16"/>
      <c r="AP222" s="7"/>
      <c r="AQ222" s="9">
        <v>6</v>
      </c>
      <c r="AR222" s="9">
        <f t="shared" si="152"/>
        <v>495</v>
      </c>
      <c r="AS222" s="7">
        <f t="shared" si="164"/>
        <v>209</v>
      </c>
      <c r="AT222" s="7"/>
      <c r="AU222" s="16"/>
      <c r="AV222" s="7"/>
      <c r="AW222" s="7"/>
      <c r="AX222" s="7"/>
      <c r="AZ222" s="7"/>
      <c r="BA222" s="9">
        <f t="shared" si="165"/>
        <v>201580.34999999963</v>
      </c>
      <c r="BC222" s="5">
        <f t="shared" si="153"/>
        <v>444</v>
      </c>
      <c r="BR222" s="5">
        <v>5300072</v>
      </c>
      <c r="BS222" s="18">
        <f>[1]monsters!$N222</f>
        <v>272.8</v>
      </c>
      <c r="BT222" s="18">
        <f>[1]monsters!$O222</f>
        <v>27.28</v>
      </c>
      <c r="BU222" s="18">
        <f>[1]monsters!$P222</f>
        <v>1362.58</v>
      </c>
      <c r="BV222" s="18">
        <f>[1]monsters!$Q222</f>
        <v>136.26</v>
      </c>
      <c r="BW222" s="18">
        <f>[1]monsters!$R222</f>
        <v>27.28</v>
      </c>
      <c r="BX222" s="18">
        <f>[1]monsters!$S222</f>
        <v>2.73</v>
      </c>
      <c r="BY222" s="18">
        <f>[1]monsters!$K222</f>
        <v>1.5</v>
      </c>
      <c r="BZ222" s="5">
        <f>[1]monsters!$D222</f>
        <v>6</v>
      </c>
      <c r="CA222" s="5">
        <f t="shared" si="154"/>
        <v>0.1</v>
      </c>
      <c r="CB222" s="5">
        <f t="shared" si="155"/>
        <v>303.67411447811446</v>
      </c>
      <c r="CC222" s="5">
        <f t="shared" si="156"/>
        <v>30.367411447811449</v>
      </c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>
        <v>0</v>
      </c>
      <c r="CR222" s="3" t="b">
        <f t="shared" si="128"/>
        <v>1</v>
      </c>
      <c r="CS222" s="3" t="b">
        <f t="shared" si="129"/>
        <v>1</v>
      </c>
      <c r="CT222" s="3" t="b">
        <f t="shared" si="130"/>
        <v>1</v>
      </c>
      <c r="CU222" s="3" t="b">
        <f t="shared" si="131"/>
        <v>1</v>
      </c>
      <c r="CV222" s="3" t="b">
        <f t="shared" si="132"/>
        <v>1</v>
      </c>
      <c r="CW222" s="3" t="b">
        <f t="shared" si="133"/>
        <v>1</v>
      </c>
      <c r="CX222" s="9" t="str">
        <f t="shared" si="134"/>
        <v>5202072</v>
      </c>
      <c r="CY222" s="9" t="str">
        <f t="shared" si="135"/>
        <v>5202072</v>
      </c>
      <c r="CZ222" s="9" t="str">
        <f t="shared" si="136"/>
        <v>5301072</v>
      </c>
      <c r="DA222" s="9" t="str">
        <f t="shared" si="137"/>
        <v>5502072</v>
      </c>
      <c r="DB222" s="9" t="str">
        <f t="shared" si="138"/>
        <v>5500071</v>
      </c>
      <c r="DC222" s="9" t="str">
        <f t="shared" si="139"/>
        <v>5400075</v>
      </c>
      <c r="DD222" s="9">
        <v>7</v>
      </c>
      <c r="DE222" s="9">
        <v>7</v>
      </c>
      <c r="DF222" s="9">
        <v>7</v>
      </c>
      <c r="DG222" s="9">
        <v>7</v>
      </c>
      <c r="DH222" s="9">
        <v>7</v>
      </c>
      <c r="DI222" s="9">
        <v>7</v>
      </c>
      <c r="DJ222" s="9">
        <v>5</v>
      </c>
      <c r="DK222" s="9">
        <v>5</v>
      </c>
      <c r="DL222" s="9">
        <v>5</v>
      </c>
      <c r="DM222" s="9">
        <v>5</v>
      </c>
      <c r="DN222" s="9">
        <v>5</v>
      </c>
      <c r="DO222" s="9">
        <v>5</v>
      </c>
      <c r="DP222" s="25" t="s">
        <v>200</v>
      </c>
      <c r="DQ222" s="25" t="s">
        <v>200</v>
      </c>
      <c r="DR222" s="25" t="s">
        <v>201</v>
      </c>
      <c r="DS222" s="25" t="s">
        <v>204</v>
      </c>
      <c r="DT222" s="25" t="s">
        <v>197</v>
      </c>
      <c r="DU222" s="25" t="s">
        <v>210</v>
      </c>
      <c r="DV222" s="25">
        <f t="shared" si="140"/>
        <v>1</v>
      </c>
      <c r="DW222" s="25">
        <f t="shared" si="141"/>
        <v>1</v>
      </c>
      <c r="DX222" s="25">
        <f t="shared" si="142"/>
        <v>1</v>
      </c>
      <c r="DY222" s="25">
        <f t="shared" si="143"/>
        <v>2</v>
      </c>
      <c r="DZ222" s="25">
        <f t="shared" si="144"/>
        <v>2</v>
      </c>
      <c r="EA222" s="3">
        <f t="shared" si="145"/>
        <v>2</v>
      </c>
      <c r="EB222" s="39"/>
      <c r="EC222" s="9">
        <v>5601082</v>
      </c>
      <c r="ED222" s="34" t="s">
        <v>124</v>
      </c>
      <c r="EE222" s="8">
        <v>2</v>
      </c>
      <c r="EF222" s="9">
        <v>505320201</v>
      </c>
      <c r="EG222" s="3" t="str">
        <f t="shared" si="157"/>
        <v>对随机2名敌人造成121%攻击伤害，并有100%几率使目标攻击力降低20%，持续3秒。</v>
      </c>
    </row>
    <row r="223" spans="1:137" ht="13.5" customHeight="1">
      <c r="A223" s="9">
        <v>220</v>
      </c>
      <c r="B223" s="9">
        <v>1</v>
      </c>
      <c r="C223" s="9">
        <v>2001</v>
      </c>
      <c r="D223" s="9">
        <f t="shared" si="163"/>
        <v>1628282</v>
      </c>
      <c r="E223" s="9" t="str">
        <f t="shared" si="159"/>
        <v>5202073,5201073,5302074,5400075,5601073,5400075</v>
      </c>
      <c r="F223" s="9" t="str">
        <f t="shared" si="160"/>
        <v>7,7,7,7,7,7</v>
      </c>
      <c r="G223" s="9" t="str">
        <f t="shared" si="161"/>
        <v>477,516,516,516,516,516</v>
      </c>
      <c r="H223" s="9">
        <v>128</v>
      </c>
      <c r="I223" s="9" t="s">
        <v>278</v>
      </c>
      <c r="J223" s="9" t="s">
        <v>279</v>
      </c>
      <c r="K223" s="9" t="s">
        <v>279</v>
      </c>
      <c r="L223" s="9" t="s">
        <v>279</v>
      </c>
      <c r="M223" s="36" t="s">
        <v>294</v>
      </c>
      <c r="O223" s="3">
        <f t="shared" si="158"/>
        <v>1628282</v>
      </c>
      <c r="P223" s="9">
        <v>1287179.76</v>
      </c>
      <c r="Q223" s="9">
        <v>5202073</v>
      </c>
      <c r="R223" s="9">
        <v>5201073</v>
      </c>
      <c r="S223" s="9">
        <v>5302074</v>
      </c>
      <c r="T223" s="9">
        <v>5400075</v>
      </c>
      <c r="U223" s="9">
        <v>5601073</v>
      </c>
      <c r="V223" s="9">
        <v>5400075</v>
      </c>
      <c r="W223" s="9">
        <v>7</v>
      </c>
      <c r="X223" s="9">
        <v>7</v>
      </c>
      <c r="Y223" s="9">
        <v>7</v>
      </c>
      <c r="Z223" s="9">
        <v>7</v>
      </c>
      <c r="AA223" s="9">
        <v>7</v>
      </c>
      <c r="AB223" s="9">
        <v>7</v>
      </c>
      <c r="AC223" s="9">
        <f t="shared" si="146"/>
        <v>477</v>
      </c>
      <c r="AD223" s="9">
        <f t="shared" si="147"/>
        <v>516</v>
      </c>
      <c r="AE223" s="9">
        <f t="shared" si="148"/>
        <v>516</v>
      </c>
      <c r="AF223" s="9">
        <f t="shared" si="149"/>
        <v>516</v>
      </c>
      <c r="AG223" s="9">
        <f t="shared" si="150"/>
        <v>516</v>
      </c>
      <c r="AH223" s="9">
        <f t="shared" si="151"/>
        <v>516</v>
      </c>
      <c r="AI223" s="7">
        <f t="shared" si="123"/>
        <v>214529.96</v>
      </c>
      <c r="AJ223" s="7">
        <f t="shared" si="162"/>
        <v>214529.96</v>
      </c>
      <c r="AK223" s="7">
        <f t="shared" si="162"/>
        <v>214529.96</v>
      </c>
      <c r="AL223" s="7">
        <f t="shared" si="162"/>
        <v>214529.96</v>
      </c>
      <c r="AM223" s="7">
        <f t="shared" si="162"/>
        <v>214529.96</v>
      </c>
      <c r="AN223" s="7">
        <f t="shared" si="162"/>
        <v>214529.96</v>
      </c>
      <c r="AO223" s="16"/>
      <c r="AP223" s="7"/>
      <c r="AQ223" s="9">
        <v>6</v>
      </c>
      <c r="AR223" s="9">
        <f t="shared" si="152"/>
        <v>496</v>
      </c>
      <c r="AS223" s="7">
        <f t="shared" si="164"/>
        <v>210</v>
      </c>
      <c r="AT223" s="7"/>
      <c r="AU223" s="16"/>
      <c r="AV223" s="7"/>
      <c r="AW223" s="7"/>
      <c r="AX223" s="7"/>
      <c r="AZ223" s="7"/>
      <c r="BA223" s="9">
        <f t="shared" si="165"/>
        <v>203671.49999999962</v>
      </c>
      <c r="BC223" s="5">
        <f t="shared" si="153"/>
        <v>445</v>
      </c>
      <c r="BR223" s="5">
        <v>5400072</v>
      </c>
      <c r="BS223" s="18">
        <f>[1]monsters!$N223</f>
        <v>176</v>
      </c>
      <c r="BT223" s="18">
        <f>[1]monsters!$O223</f>
        <v>17.600000000000001</v>
      </c>
      <c r="BU223" s="18">
        <f>[1]monsters!$P223</f>
        <v>2112</v>
      </c>
      <c r="BV223" s="18">
        <f>[1]monsters!$Q223</f>
        <v>211.2</v>
      </c>
      <c r="BW223" s="18">
        <f>[1]monsters!$R223</f>
        <v>44</v>
      </c>
      <c r="BX223" s="18">
        <f>[1]monsters!$S223</f>
        <v>4.4000000000000004</v>
      </c>
      <c r="BY223" s="18">
        <f>[1]monsters!$K223</f>
        <v>1.5</v>
      </c>
      <c r="BZ223" s="5">
        <f>[1]monsters!$D223</f>
        <v>2</v>
      </c>
      <c r="CA223" s="5">
        <f t="shared" si="154"/>
        <v>0.1</v>
      </c>
      <c r="CB223" s="5">
        <f t="shared" si="155"/>
        <v>237.43111111111114</v>
      </c>
      <c r="CC223" s="5">
        <f t="shared" si="156"/>
        <v>23.743111111111116</v>
      </c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>
        <v>1</v>
      </c>
      <c r="CR223" s="3" t="b">
        <f t="shared" si="128"/>
        <v>1</v>
      </c>
      <c r="CS223" s="3" t="b">
        <f t="shared" si="129"/>
        <v>1</v>
      </c>
      <c r="CT223" s="3" t="b">
        <f t="shared" si="130"/>
        <v>1</v>
      </c>
      <c r="CU223" s="3" t="b">
        <f t="shared" si="131"/>
        <v>1</v>
      </c>
      <c r="CV223" s="3" t="b">
        <f t="shared" si="132"/>
        <v>1</v>
      </c>
      <c r="CW223" s="3" t="b">
        <f t="shared" si="133"/>
        <v>1</v>
      </c>
      <c r="CX223" s="9" t="str">
        <f t="shared" si="134"/>
        <v>5202073</v>
      </c>
      <c r="CY223" s="9" t="str">
        <f t="shared" si="135"/>
        <v>5201073</v>
      </c>
      <c r="CZ223" s="9" t="str">
        <f t="shared" si="136"/>
        <v>5302074</v>
      </c>
      <c r="DA223" s="9" t="str">
        <f t="shared" si="137"/>
        <v>5400075</v>
      </c>
      <c r="DB223" s="9" t="str">
        <f t="shared" si="138"/>
        <v>5601073</v>
      </c>
      <c r="DC223" s="9" t="str">
        <f t="shared" si="139"/>
        <v>5400075</v>
      </c>
      <c r="DD223" s="9">
        <v>7</v>
      </c>
      <c r="DE223" s="9">
        <v>7</v>
      </c>
      <c r="DF223" s="9">
        <v>7</v>
      </c>
      <c r="DG223" s="9">
        <v>7</v>
      </c>
      <c r="DH223" s="9">
        <v>7</v>
      </c>
      <c r="DI223" s="9">
        <v>7</v>
      </c>
      <c r="DJ223" s="9">
        <v>5</v>
      </c>
      <c r="DK223" s="9">
        <v>5</v>
      </c>
      <c r="DL223" s="9">
        <v>5</v>
      </c>
      <c r="DM223" s="9">
        <v>5</v>
      </c>
      <c r="DN223" s="9">
        <v>5</v>
      </c>
      <c r="DO223" s="9">
        <v>5</v>
      </c>
      <c r="DP223" s="25" t="s">
        <v>208</v>
      </c>
      <c r="DQ223" s="25" t="s">
        <v>205</v>
      </c>
      <c r="DR223" s="25" t="s">
        <v>218</v>
      </c>
      <c r="DS223" s="25" t="s">
        <v>210</v>
      </c>
      <c r="DT223" s="25" t="s">
        <v>216</v>
      </c>
      <c r="DU223" s="25" t="s">
        <v>210</v>
      </c>
      <c r="DV223" s="25">
        <f t="shared" si="140"/>
        <v>1</v>
      </c>
      <c r="DW223" s="25">
        <f t="shared" si="141"/>
        <v>1</v>
      </c>
      <c r="DX223" s="25">
        <f t="shared" si="142"/>
        <v>1</v>
      </c>
      <c r="DY223" s="25">
        <f t="shared" si="143"/>
        <v>2</v>
      </c>
      <c r="DZ223" s="25">
        <f t="shared" si="144"/>
        <v>2</v>
      </c>
      <c r="EA223" s="3">
        <f t="shared" si="145"/>
        <v>2</v>
      </c>
      <c r="EB223" s="39"/>
      <c r="EC223" s="9">
        <v>5200083</v>
      </c>
      <c r="ED223" s="34" t="s">
        <v>113</v>
      </c>
      <c r="EE223" s="8">
        <v>1</v>
      </c>
      <c r="EF223" s="9">
        <v>505330101</v>
      </c>
      <c r="EG223" s="3" t="str">
        <f t="shared" si="157"/>
        <v>对随机2名敌人造成161%攻击伤害，并有100%几率使目标流血，每秒造成20%攻击伤害，持续3秒。</v>
      </c>
    </row>
    <row r="224" spans="1:137" ht="13.5" customHeight="1">
      <c r="A224" s="9">
        <v>221</v>
      </c>
      <c r="B224" s="9">
        <v>1</v>
      </c>
      <c r="C224" s="9">
        <v>2001</v>
      </c>
      <c r="D224" s="9">
        <f t="shared" si="163"/>
        <v>1637687</v>
      </c>
      <c r="E224" s="9" t="str">
        <f t="shared" si="159"/>
        <v>5301071,5301072,5301073,5500071,5500072,5500073</v>
      </c>
      <c r="F224" s="9" t="str">
        <f t="shared" si="160"/>
        <v>7,7,7,7,7,7</v>
      </c>
      <c r="G224" s="9" t="str">
        <f t="shared" si="161"/>
        <v>478,517,517,517,517,517</v>
      </c>
      <c r="H224" s="9">
        <v>128</v>
      </c>
      <c r="I224" s="9" t="s">
        <v>278</v>
      </c>
      <c r="J224" s="9" t="s">
        <v>279</v>
      </c>
      <c r="K224" s="9" t="s">
        <v>279</v>
      </c>
      <c r="L224" s="9" t="s">
        <v>279</v>
      </c>
      <c r="M224" s="36" t="s">
        <v>294</v>
      </c>
      <c r="N224" s="40"/>
      <c r="O224" s="3">
        <f t="shared" si="158"/>
        <v>1637687</v>
      </c>
      <c r="P224" s="9">
        <v>1294614.3999999999</v>
      </c>
      <c r="Q224" s="9">
        <v>5301071</v>
      </c>
      <c r="R224" s="9">
        <v>5301072</v>
      </c>
      <c r="S224" s="9">
        <v>5301073</v>
      </c>
      <c r="T224" s="9">
        <v>5500071</v>
      </c>
      <c r="U224" s="9">
        <v>5500072</v>
      </c>
      <c r="V224" s="9">
        <v>5500073</v>
      </c>
      <c r="W224" s="9">
        <v>7</v>
      </c>
      <c r="X224" s="9">
        <v>7</v>
      </c>
      <c r="Y224" s="9">
        <v>7</v>
      </c>
      <c r="Z224" s="9">
        <v>7</v>
      </c>
      <c r="AA224" s="9">
        <v>7</v>
      </c>
      <c r="AB224" s="9">
        <v>7</v>
      </c>
      <c r="AC224" s="9">
        <f t="shared" si="146"/>
        <v>478</v>
      </c>
      <c r="AD224" s="9">
        <f t="shared" si="147"/>
        <v>517</v>
      </c>
      <c r="AE224" s="9">
        <f t="shared" si="148"/>
        <v>517</v>
      </c>
      <c r="AF224" s="9">
        <f t="shared" si="149"/>
        <v>517</v>
      </c>
      <c r="AG224" s="9">
        <f t="shared" si="150"/>
        <v>517</v>
      </c>
      <c r="AH224" s="9">
        <f t="shared" si="151"/>
        <v>517</v>
      </c>
      <c r="AI224" s="7">
        <f t="shared" si="123"/>
        <v>215769.06666666665</v>
      </c>
      <c r="AJ224" s="7">
        <f t="shared" si="162"/>
        <v>215769.06666666665</v>
      </c>
      <c r="AK224" s="7">
        <f t="shared" si="162"/>
        <v>215769.06666666665</v>
      </c>
      <c r="AL224" s="7">
        <f t="shared" si="162"/>
        <v>215769.06666666665</v>
      </c>
      <c r="AM224" s="7">
        <f t="shared" si="162"/>
        <v>215769.06666666665</v>
      </c>
      <c r="AN224" s="7">
        <f t="shared" si="162"/>
        <v>215769.06666666665</v>
      </c>
      <c r="AO224" s="16"/>
      <c r="AP224" s="7"/>
      <c r="AQ224" s="9">
        <v>6</v>
      </c>
      <c r="AR224" s="9">
        <f t="shared" si="152"/>
        <v>498</v>
      </c>
      <c r="AS224" s="7">
        <f t="shared" si="164"/>
        <v>210</v>
      </c>
      <c r="AT224" s="7"/>
      <c r="AU224" s="16"/>
      <c r="AV224" s="7"/>
      <c r="AW224" s="7"/>
      <c r="AX224" s="7"/>
      <c r="AZ224" s="7"/>
      <c r="BA224" s="9">
        <f t="shared" si="165"/>
        <v>205762.64999999962</v>
      </c>
      <c r="BC224" s="5">
        <f t="shared" si="153"/>
        <v>447</v>
      </c>
      <c r="BR224" s="5">
        <v>5402072</v>
      </c>
      <c r="BS224" s="18">
        <f>[1]monsters!$N224</f>
        <v>168.96</v>
      </c>
      <c r="BT224" s="18">
        <f>[1]monsters!$O224</f>
        <v>16.899999999999999</v>
      </c>
      <c r="BU224" s="18">
        <f>[1]monsters!$P224</f>
        <v>2640</v>
      </c>
      <c r="BV224" s="18">
        <f>[1]monsters!$Q224</f>
        <v>264</v>
      </c>
      <c r="BW224" s="18">
        <f>[1]monsters!$R224</f>
        <v>56.32</v>
      </c>
      <c r="BX224" s="18">
        <f>[1]monsters!$S224</f>
        <v>5.63</v>
      </c>
      <c r="BY224" s="18">
        <f>[1]monsters!$K224</f>
        <v>1.8</v>
      </c>
      <c r="BZ224" s="5">
        <f>[1]monsters!$D224</f>
        <v>2</v>
      </c>
      <c r="CA224" s="5">
        <f t="shared" si="154"/>
        <v>0.1</v>
      </c>
      <c r="CB224" s="5">
        <f t="shared" si="155"/>
        <v>248.55608888888889</v>
      </c>
      <c r="CC224" s="5">
        <f t="shared" si="156"/>
        <v>24.855608888888892</v>
      </c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>
        <v>0</v>
      </c>
      <c r="CR224" s="3" t="b">
        <f t="shared" si="128"/>
        <v>1</v>
      </c>
      <c r="CS224" s="3" t="b">
        <f t="shared" si="129"/>
        <v>1</v>
      </c>
      <c r="CT224" s="3" t="b">
        <f t="shared" si="130"/>
        <v>1</v>
      </c>
      <c r="CU224" s="3" t="b">
        <f t="shared" si="131"/>
        <v>1</v>
      </c>
      <c r="CV224" s="3" t="b">
        <f t="shared" si="132"/>
        <v>1</v>
      </c>
      <c r="CW224" s="3" t="b">
        <f t="shared" si="133"/>
        <v>1</v>
      </c>
      <c r="CX224" s="9" t="str">
        <f t="shared" si="134"/>
        <v>5301071</v>
      </c>
      <c r="CY224" s="9" t="str">
        <f t="shared" si="135"/>
        <v>5301072</v>
      </c>
      <c r="CZ224" s="9" t="str">
        <f t="shared" si="136"/>
        <v>5301073</v>
      </c>
      <c r="DA224" s="9" t="str">
        <f t="shared" si="137"/>
        <v>5500071</v>
      </c>
      <c r="DB224" s="9" t="str">
        <f t="shared" si="138"/>
        <v>5500072</v>
      </c>
      <c r="DC224" s="9" t="str">
        <f t="shared" si="139"/>
        <v>5500073</v>
      </c>
      <c r="DD224" s="9">
        <v>7</v>
      </c>
      <c r="DE224" s="9">
        <v>7</v>
      </c>
      <c r="DF224" s="9">
        <v>7</v>
      </c>
      <c r="DG224" s="9">
        <v>7</v>
      </c>
      <c r="DH224" s="9">
        <v>7</v>
      </c>
      <c r="DI224" s="9">
        <v>7</v>
      </c>
      <c r="DJ224" s="9">
        <v>5</v>
      </c>
      <c r="DK224" s="9">
        <v>5</v>
      </c>
      <c r="DL224" s="9">
        <v>5</v>
      </c>
      <c r="DM224" s="9">
        <v>5</v>
      </c>
      <c r="DN224" s="9">
        <v>5</v>
      </c>
      <c r="DO224" s="9">
        <v>5</v>
      </c>
      <c r="DP224" s="3" t="s">
        <v>107</v>
      </c>
      <c r="DQ224" s="3" t="s">
        <v>201</v>
      </c>
      <c r="DR224" s="3" t="s">
        <v>206</v>
      </c>
      <c r="DS224" s="3" t="s">
        <v>197</v>
      </c>
      <c r="DT224" s="3" t="s">
        <v>109</v>
      </c>
      <c r="DU224" s="3" t="s">
        <v>207</v>
      </c>
      <c r="DV224" s="3">
        <f t="shared" si="140"/>
        <v>1</v>
      </c>
      <c r="DW224" s="3">
        <f t="shared" si="141"/>
        <v>1</v>
      </c>
      <c r="DX224" s="3">
        <f t="shared" si="142"/>
        <v>1</v>
      </c>
      <c r="DY224" s="3">
        <f t="shared" si="143"/>
        <v>2</v>
      </c>
      <c r="DZ224" s="3">
        <f t="shared" si="144"/>
        <v>2</v>
      </c>
      <c r="EA224" s="3">
        <f t="shared" si="145"/>
        <v>2</v>
      </c>
      <c r="EB224" s="39"/>
      <c r="EC224" s="9">
        <v>5201083</v>
      </c>
      <c r="ED224" s="34" t="s">
        <v>205</v>
      </c>
      <c r="EE224" s="8">
        <v>1</v>
      </c>
      <c r="EF224" s="9">
        <v>505340101</v>
      </c>
      <c r="EG224" s="3" t="str">
        <f t="shared" si="157"/>
        <v>对随机3名敌人造成123%攻击伤害，并有100%几率使目标命中率降低20%，持续3秒。</v>
      </c>
    </row>
    <row r="225" spans="1:137" ht="13.5" customHeight="1">
      <c r="A225" s="9">
        <v>222</v>
      </c>
      <c r="B225" s="9">
        <v>1</v>
      </c>
      <c r="C225" s="9">
        <v>2001</v>
      </c>
      <c r="D225" s="9">
        <f t="shared" si="163"/>
        <v>1646370</v>
      </c>
      <c r="E225" s="9" t="str">
        <f t="shared" si="159"/>
        <v>5200072,5200073,5200072,5400075,5501075,5402071</v>
      </c>
      <c r="F225" s="9" t="str">
        <f t="shared" si="160"/>
        <v>7,7,7,7,7,7</v>
      </c>
      <c r="G225" s="9" t="str">
        <f t="shared" si="161"/>
        <v>480,519,519,519,519,519</v>
      </c>
      <c r="H225" s="9">
        <v>128</v>
      </c>
      <c r="I225" s="9" t="s">
        <v>278</v>
      </c>
      <c r="J225" s="9" t="s">
        <v>279</v>
      </c>
      <c r="K225" s="9" t="s">
        <v>279</v>
      </c>
      <c r="L225" s="9" t="s">
        <v>279</v>
      </c>
      <c r="M225" s="36" t="s">
        <v>294</v>
      </c>
      <c r="N225" s="40"/>
      <c r="O225" s="3">
        <f t="shared" si="158"/>
        <v>1646370</v>
      </c>
      <c r="P225" s="9">
        <v>1301477.9099999999</v>
      </c>
      <c r="Q225" s="9">
        <v>5200072</v>
      </c>
      <c r="R225" s="9">
        <v>5200073</v>
      </c>
      <c r="S225" s="9">
        <v>5200072</v>
      </c>
      <c r="T225" s="9">
        <v>5400075</v>
      </c>
      <c r="U225" s="9">
        <v>5501075</v>
      </c>
      <c r="V225" s="9">
        <v>5402071</v>
      </c>
      <c r="W225" s="9">
        <v>7</v>
      </c>
      <c r="X225" s="9">
        <v>7</v>
      </c>
      <c r="Y225" s="9">
        <v>7</v>
      </c>
      <c r="Z225" s="9">
        <v>7</v>
      </c>
      <c r="AA225" s="9">
        <v>7</v>
      </c>
      <c r="AB225" s="9">
        <v>7</v>
      </c>
      <c r="AC225" s="9">
        <f t="shared" si="146"/>
        <v>480</v>
      </c>
      <c r="AD225" s="9">
        <f t="shared" si="147"/>
        <v>519</v>
      </c>
      <c r="AE225" s="9">
        <f t="shared" si="148"/>
        <v>519</v>
      </c>
      <c r="AF225" s="9">
        <f t="shared" si="149"/>
        <v>519</v>
      </c>
      <c r="AG225" s="9">
        <f t="shared" si="150"/>
        <v>519</v>
      </c>
      <c r="AH225" s="9">
        <f t="shared" si="151"/>
        <v>519</v>
      </c>
      <c r="AI225" s="7">
        <f t="shared" si="123"/>
        <v>216912.98499999999</v>
      </c>
      <c r="AJ225" s="7">
        <f t="shared" si="162"/>
        <v>216912.98499999999</v>
      </c>
      <c r="AK225" s="7">
        <f t="shared" si="162"/>
        <v>216912.98499999999</v>
      </c>
      <c r="AL225" s="7">
        <f t="shared" si="162"/>
        <v>216912.98499999999</v>
      </c>
      <c r="AM225" s="7">
        <f t="shared" si="162"/>
        <v>216912.98499999999</v>
      </c>
      <c r="AN225" s="7">
        <f t="shared" si="162"/>
        <v>216912.98499999999</v>
      </c>
      <c r="AO225" s="16"/>
      <c r="AP225" s="7"/>
      <c r="AQ225" s="9">
        <v>6</v>
      </c>
      <c r="AR225" s="9">
        <f t="shared" si="152"/>
        <v>499</v>
      </c>
      <c r="AS225" s="7">
        <f t="shared" si="164"/>
        <v>211</v>
      </c>
      <c r="AT225" s="7"/>
      <c r="AU225" s="16"/>
      <c r="AV225" s="7"/>
      <c r="AW225" s="7"/>
      <c r="AX225" s="7"/>
      <c r="AZ225" s="7"/>
      <c r="BA225" s="9">
        <f t="shared" si="165"/>
        <v>207853.79999999961</v>
      </c>
      <c r="BC225" s="5">
        <f t="shared" si="153"/>
        <v>448</v>
      </c>
      <c r="BR225" s="5">
        <v>5500072</v>
      </c>
      <c r="BS225" s="18">
        <f>[1]monsters!$N225</f>
        <v>190.08</v>
      </c>
      <c r="BT225" s="18">
        <f>[1]monsters!$O225</f>
        <v>19.010000000000002</v>
      </c>
      <c r="BU225" s="18">
        <f>[1]monsters!$P225</f>
        <v>2346.67</v>
      </c>
      <c r="BV225" s="18">
        <f>[1]monsters!$Q225</f>
        <v>234.67</v>
      </c>
      <c r="BW225" s="18">
        <f>[1]monsters!$R225</f>
        <v>38.020000000000003</v>
      </c>
      <c r="BX225" s="18">
        <f>[1]monsters!$S225</f>
        <v>3.8</v>
      </c>
      <c r="BY225" s="18">
        <f>[1]monsters!$K225</f>
        <v>1.8</v>
      </c>
      <c r="BZ225" s="5">
        <f>[1]monsters!$D225</f>
        <v>2</v>
      </c>
      <c r="CA225" s="5">
        <f t="shared" si="154"/>
        <v>0.1</v>
      </c>
      <c r="CB225" s="5">
        <f t="shared" si="155"/>
        <v>258.63805791245795</v>
      </c>
      <c r="CC225" s="5">
        <f t="shared" si="156"/>
        <v>25.863805791245795</v>
      </c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>
        <v>0</v>
      </c>
      <c r="CR225" s="3" t="b">
        <f t="shared" si="128"/>
        <v>1</v>
      </c>
      <c r="CS225" s="3" t="b">
        <f t="shared" si="129"/>
        <v>1</v>
      </c>
      <c r="CT225" s="3" t="b">
        <f t="shared" si="130"/>
        <v>1</v>
      </c>
      <c r="CU225" s="3" t="b">
        <f t="shared" si="131"/>
        <v>1</v>
      </c>
      <c r="CV225" s="3" t="b">
        <f t="shared" si="132"/>
        <v>1</v>
      </c>
      <c r="CW225" s="3" t="b">
        <f t="shared" si="133"/>
        <v>1</v>
      </c>
      <c r="CX225" s="9" t="str">
        <f t="shared" si="134"/>
        <v>5200072</v>
      </c>
      <c r="CY225" s="9" t="str">
        <f t="shared" si="135"/>
        <v>5200073</v>
      </c>
      <c r="CZ225" s="9" t="str">
        <f t="shared" si="136"/>
        <v>5200072</v>
      </c>
      <c r="DA225" s="9" t="str">
        <f t="shared" si="137"/>
        <v>5400075</v>
      </c>
      <c r="DB225" s="9" t="str">
        <f t="shared" si="138"/>
        <v>5501075</v>
      </c>
      <c r="DC225" s="9" t="str">
        <f t="shared" si="139"/>
        <v>5402071</v>
      </c>
      <c r="DD225" s="9">
        <v>7</v>
      </c>
      <c r="DE225" s="9">
        <v>7</v>
      </c>
      <c r="DF225" s="9">
        <v>7</v>
      </c>
      <c r="DG225" s="9">
        <v>7</v>
      </c>
      <c r="DH225" s="9">
        <v>7</v>
      </c>
      <c r="DI225" s="9">
        <v>7</v>
      </c>
      <c r="DJ225" s="9">
        <v>5</v>
      </c>
      <c r="DK225" s="9">
        <v>5</v>
      </c>
      <c r="DL225" s="9">
        <v>5</v>
      </c>
      <c r="DM225" s="9">
        <v>5</v>
      </c>
      <c r="DN225" s="9">
        <v>5</v>
      </c>
      <c r="DO225" s="9">
        <v>5</v>
      </c>
      <c r="DP225" s="3" t="s">
        <v>199</v>
      </c>
      <c r="DQ225" s="3" t="s">
        <v>113</v>
      </c>
      <c r="DR225" s="3" t="s">
        <v>199</v>
      </c>
      <c r="DS225" s="25" t="s">
        <v>210</v>
      </c>
      <c r="DT225" s="25" t="s">
        <v>209</v>
      </c>
      <c r="DU225" s="25" t="s">
        <v>196</v>
      </c>
      <c r="DV225" s="25">
        <f t="shared" si="140"/>
        <v>1</v>
      </c>
      <c r="DW225" s="25">
        <f t="shared" si="141"/>
        <v>1</v>
      </c>
      <c r="DX225" s="25">
        <f t="shared" si="142"/>
        <v>1</v>
      </c>
      <c r="DY225" s="25">
        <f t="shared" si="143"/>
        <v>2</v>
      </c>
      <c r="DZ225" s="25">
        <f t="shared" si="144"/>
        <v>2</v>
      </c>
      <c r="EA225" s="3">
        <f t="shared" si="145"/>
        <v>2</v>
      </c>
      <c r="EB225" s="39"/>
      <c r="EC225" s="9">
        <v>5202083</v>
      </c>
      <c r="ED225" s="34" t="s">
        <v>208</v>
      </c>
      <c r="EE225" s="8">
        <v>1</v>
      </c>
      <c r="EF225" s="9">
        <v>505340201</v>
      </c>
      <c r="EG225" s="3" t="str">
        <f t="shared" si="157"/>
        <v>对距离最远的2名敌人造成147%攻击伤害，并有30%几率使目标眩晕，持续1秒。</v>
      </c>
    </row>
    <row r="226" spans="1:137" ht="13.5" customHeight="1">
      <c r="A226" s="9">
        <v>223</v>
      </c>
      <c r="B226" s="9">
        <v>1</v>
      </c>
      <c r="C226" s="9">
        <v>2001</v>
      </c>
      <c r="D226" s="9">
        <f t="shared" si="163"/>
        <v>1655075</v>
      </c>
      <c r="E226" s="9" t="str">
        <f t="shared" si="159"/>
        <v>5201071,5201072,5202071,5401071,5401073,5400075</v>
      </c>
      <c r="F226" s="9" t="str">
        <f t="shared" si="160"/>
        <v>7,7,7,7,7,7</v>
      </c>
      <c r="G226" s="9" t="str">
        <f t="shared" si="161"/>
        <v>481,520,520,520,520,520</v>
      </c>
      <c r="H226" s="9">
        <v>129</v>
      </c>
      <c r="I226" s="9" t="s">
        <v>278</v>
      </c>
      <c r="J226" s="9" t="s">
        <v>279</v>
      </c>
      <c r="K226" s="9" t="s">
        <v>279</v>
      </c>
      <c r="L226" s="9" t="s">
        <v>279</v>
      </c>
      <c r="M226" s="36" t="s">
        <v>294</v>
      </c>
      <c r="N226" s="40"/>
      <c r="O226" s="3">
        <f t="shared" si="158"/>
        <v>1655075</v>
      </c>
      <c r="P226" s="9">
        <v>1308359.33</v>
      </c>
      <c r="Q226" s="9">
        <v>5201071</v>
      </c>
      <c r="R226" s="9">
        <v>5201072</v>
      </c>
      <c r="S226" s="9">
        <v>5202071</v>
      </c>
      <c r="T226" s="9">
        <v>5401071</v>
      </c>
      <c r="U226" s="9">
        <v>5401073</v>
      </c>
      <c r="V226" s="9">
        <v>5400075</v>
      </c>
      <c r="W226" s="9">
        <v>7</v>
      </c>
      <c r="X226" s="9">
        <v>7</v>
      </c>
      <c r="Y226" s="9">
        <v>7</v>
      </c>
      <c r="Z226" s="9">
        <v>7</v>
      </c>
      <c r="AA226" s="9">
        <v>7</v>
      </c>
      <c r="AB226" s="9">
        <v>7</v>
      </c>
      <c r="AC226" s="9">
        <f t="shared" si="146"/>
        <v>481</v>
      </c>
      <c r="AD226" s="9">
        <f t="shared" si="147"/>
        <v>520</v>
      </c>
      <c r="AE226" s="9">
        <f t="shared" si="148"/>
        <v>520</v>
      </c>
      <c r="AF226" s="9">
        <f t="shared" si="149"/>
        <v>520</v>
      </c>
      <c r="AG226" s="9">
        <f t="shared" si="150"/>
        <v>520</v>
      </c>
      <c r="AH226" s="9">
        <f t="shared" si="151"/>
        <v>520</v>
      </c>
      <c r="AI226" s="7">
        <f t="shared" si="123"/>
        <v>218059.88833333334</v>
      </c>
      <c r="AJ226" s="7">
        <f t="shared" si="162"/>
        <v>218059.88833333334</v>
      </c>
      <c r="AK226" s="7">
        <f t="shared" si="162"/>
        <v>218059.88833333334</v>
      </c>
      <c r="AL226" s="7">
        <f t="shared" si="162"/>
        <v>218059.88833333334</v>
      </c>
      <c r="AM226" s="7">
        <f t="shared" si="162"/>
        <v>218059.88833333334</v>
      </c>
      <c r="AN226" s="7">
        <f t="shared" si="162"/>
        <v>218059.88833333334</v>
      </c>
      <c r="AO226" s="16"/>
      <c r="AP226" s="7"/>
      <c r="AQ226" s="9">
        <v>6</v>
      </c>
      <c r="AR226" s="9">
        <f t="shared" si="152"/>
        <v>500</v>
      </c>
      <c r="AS226" s="7">
        <f t="shared" si="164"/>
        <v>211</v>
      </c>
      <c r="AT226" s="7"/>
      <c r="AU226" s="16"/>
      <c r="AV226" s="7"/>
      <c r="AW226" s="7"/>
      <c r="AX226" s="7"/>
      <c r="AZ226" s="7"/>
      <c r="BA226" s="9">
        <f t="shared" si="165"/>
        <v>209944.9499999996</v>
      </c>
      <c r="BC226" s="5">
        <f t="shared" si="153"/>
        <v>449</v>
      </c>
      <c r="BR226" s="5">
        <v>5502072</v>
      </c>
      <c r="BS226" s="18">
        <f>[1]monsters!$N226</f>
        <v>126.72</v>
      </c>
      <c r="BT226" s="18">
        <f>[1]monsters!$O226</f>
        <v>12.67</v>
      </c>
      <c r="BU226" s="18">
        <f>[1]monsters!$P226</f>
        <v>2346.67</v>
      </c>
      <c r="BV226" s="18">
        <f>[1]monsters!$Q226</f>
        <v>234.67</v>
      </c>
      <c r="BW226" s="18">
        <f>[1]monsters!$R226</f>
        <v>25.34</v>
      </c>
      <c r="BX226" s="18">
        <f>[1]monsters!$S226</f>
        <v>2.5299999999999998</v>
      </c>
      <c r="BY226" s="18">
        <f>[1]monsters!$K226</f>
        <v>1.2</v>
      </c>
      <c r="BZ226" s="5">
        <f>[1]monsters!$D226</f>
        <v>3</v>
      </c>
      <c r="CA226" s="5">
        <f t="shared" si="154"/>
        <v>0.1</v>
      </c>
      <c r="CB226" s="5">
        <f t="shared" si="155"/>
        <v>198.76285791245792</v>
      </c>
      <c r="CC226" s="5">
        <f t="shared" si="156"/>
        <v>19.876285791245792</v>
      </c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>
        <v>0</v>
      </c>
      <c r="CR226" s="3" t="b">
        <f t="shared" si="128"/>
        <v>1</v>
      </c>
      <c r="CS226" s="3" t="b">
        <f t="shared" si="129"/>
        <v>1</v>
      </c>
      <c r="CT226" s="3" t="b">
        <f t="shared" si="130"/>
        <v>1</v>
      </c>
      <c r="CU226" s="3" t="b">
        <f t="shared" si="131"/>
        <v>1</v>
      </c>
      <c r="CV226" s="3" t="b">
        <f t="shared" si="132"/>
        <v>1</v>
      </c>
      <c r="CW226" s="3" t="b">
        <f t="shared" si="133"/>
        <v>1</v>
      </c>
      <c r="CX226" s="9" t="str">
        <f t="shared" si="134"/>
        <v>5201071</v>
      </c>
      <c r="CY226" s="9" t="str">
        <f t="shared" si="135"/>
        <v>5201072</v>
      </c>
      <c r="CZ226" s="9" t="str">
        <f t="shared" si="136"/>
        <v>5202071</v>
      </c>
      <c r="DA226" s="9" t="str">
        <f t="shared" si="137"/>
        <v>5401071</v>
      </c>
      <c r="DB226" s="9" t="str">
        <f t="shared" si="138"/>
        <v>5401073</v>
      </c>
      <c r="DC226" s="9" t="str">
        <f t="shared" si="139"/>
        <v>5400075</v>
      </c>
      <c r="DD226" s="9">
        <v>7</v>
      </c>
      <c r="DE226" s="9">
        <v>7</v>
      </c>
      <c r="DF226" s="9">
        <v>7</v>
      </c>
      <c r="DG226" s="9">
        <v>7</v>
      </c>
      <c r="DH226" s="9">
        <v>7</v>
      </c>
      <c r="DI226" s="9">
        <v>7</v>
      </c>
      <c r="DJ226" s="9">
        <v>5</v>
      </c>
      <c r="DK226" s="9">
        <v>5</v>
      </c>
      <c r="DL226" s="9">
        <v>5</v>
      </c>
      <c r="DM226" s="9">
        <v>5</v>
      </c>
      <c r="DN226" s="9">
        <v>5</v>
      </c>
      <c r="DO226" s="9">
        <v>5</v>
      </c>
      <c r="DP226" s="3" t="s">
        <v>195</v>
      </c>
      <c r="DQ226" s="3" t="s">
        <v>114</v>
      </c>
      <c r="DR226" s="3" t="s">
        <v>111</v>
      </c>
      <c r="DS226" s="3" t="s">
        <v>117</v>
      </c>
      <c r="DT226" s="3" t="s">
        <v>211</v>
      </c>
      <c r="DU226" s="3" t="s">
        <v>210</v>
      </c>
      <c r="DV226" s="3">
        <f t="shared" si="140"/>
        <v>1</v>
      </c>
      <c r="DW226" s="3">
        <f t="shared" si="141"/>
        <v>1</v>
      </c>
      <c r="DX226" s="3">
        <f t="shared" si="142"/>
        <v>1</v>
      </c>
      <c r="DY226" s="3">
        <f t="shared" si="143"/>
        <v>2</v>
      </c>
      <c r="DZ226" s="3">
        <f t="shared" si="144"/>
        <v>2</v>
      </c>
      <c r="EA226" s="3">
        <f t="shared" si="145"/>
        <v>2</v>
      </c>
      <c r="EB226" s="39"/>
      <c r="EC226" s="9">
        <v>5301083</v>
      </c>
      <c r="ED226" s="34" t="s">
        <v>206</v>
      </c>
      <c r="EE226" s="8">
        <v>1</v>
      </c>
      <c r="EF226" s="9">
        <v>505350001</v>
      </c>
      <c r="EG226" s="3" t="str">
        <f t="shared" si="157"/>
        <v>对随机3名敌人造成112%攻击伤害，并有50%几率使目标燃烧，每秒造成20%攻击伤害，持续2秒。</v>
      </c>
    </row>
    <row r="227" spans="1:137" ht="13.5" customHeight="1">
      <c r="A227" s="9">
        <v>224</v>
      </c>
      <c r="B227" s="9">
        <v>1</v>
      </c>
      <c r="C227" s="9">
        <v>2001</v>
      </c>
      <c r="D227" s="9">
        <f t="shared" si="163"/>
        <v>1663805</v>
      </c>
      <c r="E227" s="9" t="str">
        <f t="shared" si="159"/>
        <v>5302075,5202075,5202075,5501074,5500073,5501074</v>
      </c>
      <c r="F227" s="9" t="str">
        <f t="shared" si="160"/>
        <v>7,7,7,7,7,7</v>
      </c>
      <c r="G227" s="9" t="str">
        <f t="shared" si="161"/>
        <v>482,522,522,522,522,522</v>
      </c>
      <c r="H227" s="9">
        <v>129</v>
      </c>
      <c r="I227" s="9" t="s">
        <v>278</v>
      </c>
      <c r="J227" s="9" t="s">
        <v>279</v>
      </c>
      <c r="K227" s="9" t="s">
        <v>279</v>
      </c>
      <c r="L227" s="9" t="s">
        <v>279</v>
      </c>
      <c r="M227" s="36" t="s">
        <v>294</v>
      </c>
      <c r="N227" s="40"/>
      <c r="O227" s="3">
        <f t="shared" si="158"/>
        <v>1663805</v>
      </c>
      <c r="P227" s="9">
        <v>1315260.6499999999</v>
      </c>
      <c r="Q227" s="9">
        <v>5302075</v>
      </c>
      <c r="R227" s="9">
        <v>5202075</v>
      </c>
      <c r="S227" s="9">
        <v>5202075</v>
      </c>
      <c r="T227" s="9">
        <v>5501074</v>
      </c>
      <c r="U227" s="9">
        <v>5500073</v>
      </c>
      <c r="V227" s="9">
        <v>5501074</v>
      </c>
      <c r="W227" s="9">
        <v>7</v>
      </c>
      <c r="X227" s="9">
        <v>7</v>
      </c>
      <c r="Y227" s="9">
        <v>7</v>
      </c>
      <c r="Z227" s="9">
        <v>7</v>
      </c>
      <c r="AA227" s="9">
        <v>7</v>
      </c>
      <c r="AB227" s="9">
        <v>7</v>
      </c>
      <c r="AC227" s="9">
        <f t="shared" si="146"/>
        <v>482</v>
      </c>
      <c r="AD227" s="9">
        <f t="shared" si="147"/>
        <v>522</v>
      </c>
      <c r="AE227" s="9">
        <f t="shared" si="148"/>
        <v>522</v>
      </c>
      <c r="AF227" s="9">
        <f t="shared" si="149"/>
        <v>522</v>
      </c>
      <c r="AG227" s="9">
        <f t="shared" si="150"/>
        <v>522</v>
      </c>
      <c r="AH227" s="9">
        <f t="shared" si="151"/>
        <v>522</v>
      </c>
      <c r="AI227" s="7">
        <f t="shared" si="123"/>
        <v>219210.10833333331</v>
      </c>
      <c r="AJ227" s="7">
        <f t="shared" si="162"/>
        <v>219210.10833333331</v>
      </c>
      <c r="AK227" s="7">
        <f t="shared" si="162"/>
        <v>219210.10833333331</v>
      </c>
      <c r="AL227" s="7">
        <f t="shared" si="162"/>
        <v>219210.10833333331</v>
      </c>
      <c r="AM227" s="7">
        <f t="shared" si="162"/>
        <v>219210.10833333331</v>
      </c>
      <c r="AN227" s="7">
        <f t="shared" si="162"/>
        <v>219210.10833333331</v>
      </c>
      <c r="AO227" s="16"/>
      <c r="AP227" s="7"/>
      <c r="AQ227" s="9">
        <v>6</v>
      </c>
      <c r="AR227" s="9">
        <f t="shared" si="152"/>
        <v>502</v>
      </c>
      <c r="AS227" s="7">
        <f t="shared" si="164"/>
        <v>212</v>
      </c>
      <c r="AT227" s="7"/>
      <c r="AU227" s="16"/>
      <c r="AV227" s="7"/>
      <c r="AW227" s="7"/>
      <c r="AX227" s="7"/>
      <c r="AZ227" s="7"/>
      <c r="BA227" s="9">
        <f t="shared" si="165"/>
        <v>212036.0999999996</v>
      </c>
      <c r="BC227" s="5">
        <f t="shared" si="153"/>
        <v>450</v>
      </c>
      <c r="BR227" s="5">
        <v>5600072</v>
      </c>
      <c r="BS227" s="18">
        <f>[1]monsters!$N227</f>
        <v>225.28</v>
      </c>
      <c r="BT227" s="18">
        <f>[1]monsters!$O227</f>
        <v>22.53</v>
      </c>
      <c r="BU227" s="18">
        <f>[1]monsters!$P227</f>
        <v>1760</v>
      </c>
      <c r="BV227" s="18">
        <f>[1]monsters!$Q227</f>
        <v>176</v>
      </c>
      <c r="BW227" s="18">
        <f>[1]monsters!$R227</f>
        <v>32.18</v>
      </c>
      <c r="BX227" s="18">
        <f>[1]monsters!$S227</f>
        <v>3.22</v>
      </c>
      <c r="BY227" s="18">
        <f>[1]monsters!$K227</f>
        <v>1.6</v>
      </c>
      <c r="BZ227" s="5">
        <f>[1]monsters!$D227</f>
        <v>4</v>
      </c>
      <c r="CA227" s="5">
        <f t="shared" si="154"/>
        <v>0.1</v>
      </c>
      <c r="CB227" s="5">
        <f t="shared" si="155"/>
        <v>272.14885925925927</v>
      </c>
      <c r="CC227" s="5">
        <f t="shared" si="156"/>
        <v>27.214885925925927</v>
      </c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>
        <v>0</v>
      </c>
      <c r="CR227" s="3" t="b">
        <f t="shared" si="128"/>
        <v>1</v>
      </c>
      <c r="CS227" s="3" t="b">
        <f t="shared" si="129"/>
        <v>1</v>
      </c>
      <c r="CT227" s="3" t="b">
        <f t="shared" si="130"/>
        <v>1</v>
      </c>
      <c r="CU227" s="3" t="b">
        <f t="shared" si="131"/>
        <v>1</v>
      </c>
      <c r="CV227" s="3" t="b">
        <f t="shared" si="132"/>
        <v>1</v>
      </c>
      <c r="CW227" s="3" t="b">
        <f t="shared" si="133"/>
        <v>1</v>
      </c>
      <c r="CX227" s="9" t="str">
        <f t="shared" si="134"/>
        <v>5302075</v>
      </c>
      <c r="CY227" s="9" t="str">
        <f t="shared" si="135"/>
        <v>5202075</v>
      </c>
      <c r="CZ227" s="9" t="str">
        <f t="shared" si="136"/>
        <v>5202075</v>
      </c>
      <c r="DA227" s="9" t="str">
        <f t="shared" si="137"/>
        <v>5501074</v>
      </c>
      <c r="DB227" s="9" t="str">
        <f t="shared" si="138"/>
        <v>5500073</v>
      </c>
      <c r="DC227" s="9" t="str">
        <f t="shared" si="139"/>
        <v>5501074</v>
      </c>
      <c r="DD227" s="9">
        <v>7</v>
      </c>
      <c r="DE227" s="9">
        <v>7</v>
      </c>
      <c r="DF227" s="9">
        <v>7</v>
      </c>
      <c r="DG227" s="9">
        <v>7</v>
      </c>
      <c r="DH227" s="9">
        <v>7</v>
      </c>
      <c r="DI227" s="9">
        <v>7</v>
      </c>
      <c r="DJ227" s="9">
        <v>5</v>
      </c>
      <c r="DK227" s="9">
        <v>5</v>
      </c>
      <c r="DL227" s="9">
        <v>5</v>
      </c>
      <c r="DM227" s="9">
        <v>5</v>
      </c>
      <c r="DN227" s="9">
        <v>5</v>
      </c>
      <c r="DO227" s="9">
        <v>5</v>
      </c>
      <c r="DP227" s="3" t="s">
        <v>221</v>
      </c>
      <c r="DQ227" s="3" t="s">
        <v>213</v>
      </c>
      <c r="DR227" s="3" t="s">
        <v>213</v>
      </c>
      <c r="DS227" s="3" t="s">
        <v>214</v>
      </c>
      <c r="DT227" s="3" t="s">
        <v>207</v>
      </c>
      <c r="DU227" s="3" t="s">
        <v>214</v>
      </c>
      <c r="DV227" s="3">
        <f t="shared" si="140"/>
        <v>1</v>
      </c>
      <c r="DW227" s="3">
        <f t="shared" si="141"/>
        <v>1</v>
      </c>
      <c r="DX227" s="3">
        <f t="shared" si="142"/>
        <v>1</v>
      </c>
      <c r="DY227" s="3">
        <f t="shared" si="143"/>
        <v>2</v>
      </c>
      <c r="DZ227" s="3">
        <f t="shared" si="144"/>
        <v>2</v>
      </c>
      <c r="EA227" s="3">
        <f t="shared" si="145"/>
        <v>2</v>
      </c>
      <c r="EB227" s="39"/>
      <c r="EC227" s="9">
        <v>5401083</v>
      </c>
      <c r="ED227" s="34" t="s">
        <v>211</v>
      </c>
      <c r="EE227" s="8">
        <v>2</v>
      </c>
      <c r="EF227" s="9">
        <v>505350201</v>
      </c>
      <c r="EG227" s="3" t="str">
        <f t="shared" si="157"/>
        <v>对随机3名敌人造成121%攻击伤害，并有50%几率使目标防御力降低20%，持续3秒。</v>
      </c>
    </row>
    <row r="228" spans="1:137" ht="13.5" customHeight="1">
      <c r="A228" s="9">
        <v>225</v>
      </c>
      <c r="B228" s="9">
        <v>1</v>
      </c>
      <c r="C228" s="9">
        <v>2001</v>
      </c>
      <c r="D228" s="9">
        <f t="shared" si="163"/>
        <v>1672555</v>
      </c>
      <c r="E228" s="9" t="str">
        <f t="shared" si="159"/>
        <v>5201071,5201071,5200072,5502072,5501074,5501074</v>
      </c>
      <c r="F228" s="9" t="str">
        <f t="shared" si="160"/>
        <v>7,7,7,7,7,7</v>
      </c>
      <c r="G228" s="9" t="str">
        <f t="shared" si="161"/>
        <v>483,523,523,523,523,523</v>
      </c>
      <c r="H228" s="9">
        <v>130</v>
      </c>
      <c r="I228" s="9" t="s">
        <v>278</v>
      </c>
      <c r="J228" s="9" t="s">
        <v>279</v>
      </c>
      <c r="K228" s="9" t="s">
        <v>279</v>
      </c>
      <c r="L228" s="9" t="s">
        <v>279</v>
      </c>
      <c r="M228" s="36" t="s">
        <v>294</v>
      </c>
      <c r="O228" s="3">
        <f t="shared" si="158"/>
        <v>1672555</v>
      </c>
      <c r="P228" s="9">
        <v>1322177.8899999999</v>
      </c>
      <c r="Q228" s="9">
        <v>5201071</v>
      </c>
      <c r="R228" s="9">
        <v>5201071</v>
      </c>
      <c r="S228" s="9">
        <v>5200072</v>
      </c>
      <c r="T228" s="9">
        <v>5502072</v>
      </c>
      <c r="U228" s="9">
        <v>5501074</v>
      </c>
      <c r="V228" s="9">
        <v>5501074</v>
      </c>
      <c r="W228" s="9">
        <v>7</v>
      </c>
      <c r="X228" s="9">
        <v>7</v>
      </c>
      <c r="Y228" s="9">
        <v>7</v>
      </c>
      <c r="Z228" s="9">
        <v>7</v>
      </c>
      <c r="AA228" s="9">
        <v>7</v>
      </c>
      <c r="AB228" s="9">
        <v>7</v>
      </c>
      <c r="AC228" s="9">
        <f t="shared" si="146"/>
        <v>483</v>
      </c>
      <c r="AD228" s="9">
        <f t="shared" si="147"/>
        <v>523</v>
      </c>
      <c r="AE228" s="9">
        <f t="shared" si="148"/>
        <v>523</v>
      </c>
      <c r="AF228" s="9">
        <f t="shared" si="149"/>
        <v>523</v>
      </c>
      <c r="AG228" s="9">
        <f t="shared" si="150"/>
        <v>523</v>
      </c>
      <c r="AH228" s="9">
        <f t="shared" si="151"/>
        <v>523</v>
      </c>
      <c r="AI228" s="7">
        <f t="shared" si="123"/>
        <v>220362.98166666666</v>
      </c>
      <c r="AJ228" s="7">
        <f t="shared" si="162"/>
        <v>220362.98166666666</v>
      </c>
      <c r="AK228" s="7">
        <f t="shared" si="162"/>
        <v>220362.98166666666</v>
      </c>
      <c r="AL228" s="7">
        <f t="shared" si="162"/>
        <v>220362.98166666666</v>
      </c>
      <c r="AM228" s="7">
        <f t="shared" si="162"/>
        <v>220362.98166666666</v>
      </c>
      <c r="AN228" s="7">
        <f t="shared" si="162"/>
        <v>220362.98166666666</v>
      </c>
      <c r="AO228" s="16"/>
      <c r="AP228" s="7"/>
      <c r="AQ228" s="9">
        <v>6</v>
      </c>
      <c r="AR228" s="9">
        <f t="shared" si="152"/>
        <v>503</v>
      </c>
      <c r="AS228" s="7">
        <f t="shared" si="164"/>
        <v>212</v>
      </c>
      <c r="AT228" s="7"/>
      <c r="AU228" s="16"/>
      <c r="AV228" s="7"/>
      <c r="AW228" s="7"/>
      <c r="AX228" s="7"/>
      <c r="AZ228" s="7"/>
      <c r="BA228" s="9">
        <f t="shared" si="165"/>
        <v>214127.24999999959</v>
      </c>
      <c r="BC228" s="5">
        <f t="shared" si="153"/>
        <v>452</v>
      </c>
      <c r="BR228" s="5">
        <v>5602072</v>
      </c>
      <c r="BS228" s="18">
        <f>[1]monsters!$N228</f>
        <v>211.2</v>
      </c>
      <c r="BT228" s="18">
        <f>[1]monsters!$O228</f>
        <v>21.12</v>
      </c>
      <c r="BU228" s="18">
        <f>[1]monsters!$P228</f>
        <v>1760</v>
      </c>
      <c r="BV228" s="18">
        <f>[1]monsters!$Q228</f>
        <v>176</v>
      </c>
      <c r="BW228" s="18">
        <f>[1]monsters!$R228</f>
        <v>30.17</v>
      </c>
      <c r="BX228" s="18">
        <f>[1]monsters!$S228</f>
        <v>3.02</v>
      </c>
      <c r="BY228" s="18">
        <f>[1]monsters!$K228</f>
        <v>1.5</v>
      </c>
      <c r="BZ228" s="5">
        <f>[1]monsters!$D228</f>
        <v>4</v>
      </c>
      <c r="CA228" s="5">
        <f t="shared" si="154"/>
        <v>0.1</v>
      </c>
      <c r="CB228" s="5">
        <f t="shared" si="155"/>
        <v>258.84325925925924</v>
      </c>
      <c r="CC228" s="5">
        <f t="shared" si="156"/>
        <v>25.884325925925925</v>
      </c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>
        <v>1</v>
      </c>
      <c r="CR228" s="3" t="b">
        <f t="shared" si="128"/>
        <v>1</v>
      </c>
      <c r="CS228" s="3" t="b">
        <f t="shared" si="129"/>
        <v>1</v>
      </c>
      <c r="CT228" s="3" t="b">
        <f t="shared" si="130"/>
        <v>1</v>
      </c>
      <c r="CU228" s="3" t="b">
        <f t="shared" si="131"/>
        <v>1</v>
      </c>
      <c r="CV228" s="3" t="b">
        <f t="shared" si="132"/>
        <v>1</v>
      </c>
      <c r="CW228" s="3" t="b">
        <f t="shared" si="133"/>
        <v>1</v>
      </c>
      <c r="CX228" s="9" t="str">
        <f t="shared" si="134"/>
        <v>5201071</v>
      </c>
      <c r="CY228" s="9" t="str">
        <f t="shared" si="135"/>
        <v>5201071</v>
      </c>
      <c r="CZ228" s="9" t="str">
        <f t="shared" si="136"/>
        <v>5200072</v>
      </c>
      <c r="DA228" s="9" t="str">
        <f t="shared" si="137"/>
        <v>5502072</v>
      </c>
      <c r="DB228" s="9" t="str">
        <f t="shared" si="138"/>
        <v>5501074</v>
      </c>
      <c r="DC228" s="9" t="str">
        <f t="shared" si="139"/>
        <v>5501074</v>
      </c>
      <c r="DD228" s="9">
        <v>7</v>
      </c>
      <c r="DE228" s="9">
        <v>7</v>
      </c>
      <c r="DF228" s="9">
        <v>7</v>
      </c>
      <c r="DG228" s="9">
        <v>7</v>
      </c>
      <c r="DH228" s="9">
        <v>7</v>
      </c>
      <c r="DI228" s="9">
        <v>7</v>
      </c>
      <c r="DJ228" s="9">
        <v>5</v>
      </c>
      <c r="DK228" s="9">
        <v>5</v>
      </c>
      <c r="DL228" s="9">
        <v>5</v>
      </c>
      <c r="DM228" s="9">
        <v>5</v>
      </c>
      <c r="DN228" s="9">
        <v>5</v>
      </c>
      <c r="DO228" s="9">
        <v>5</v>
      </c>
      <c r="DP228" s="3" t="s">
        <v>195</v>
      </c>
      <c r="DQ228" s="3" t="s">
        <v>195</v>
      </c>
      <c r="DR228" s="3" t="s">
        <v>199</v>
      </c>
      <c r="DS228" s="3" t="s">
        <v>204</v>
      </c>
      <c r="DT228" s="3" t="s">
        <v>214</v>
      </c>
      <c r="DU228" s="3" t="s">
        <v>214</v>
      </c>
      <c r="DV228" s="3">
        <f t="shared" si="140"/>
        <v>1</v>
      </c>
      <c r="DW228" s="3">
        <f t="shared" si="141"/>
        <v>1</v>
      </c>
      <c r="DX228" s="3">
        <f t="shared" si="142"/>
        <v>1</v>
      </c>
      <c r="DY228" s="3">
        <f t="shared" si="143"/>
        <v>2</v>
      </c>
      <c r="DZ228" s="3">
        <f t="shared" si="144"/>
        <v>2</v>
      </c>
      <c r="EA228" s="3">
        <f t="shared" si="145"/>
        <v>2</v>
      </c>
      <c r="EB228" s="39"/>
      <c r="EC228" s="9">
        <v>5402083</v>
      </c>
      <c r="ED228" s="34" t="s">
        <v>118</v>
      </c>
      <c r="EE228" s="8">
        <v>2</v>
      </c>
      <c r="EF228" s="9">
        <v>505360101</v>
      </c>
      <c r="EG228" s="3" t="str">
        <f t="shared" si="157"/>
        <v>治疗血量最少的2名友军，每秒恢复116%攻击等量的生命，并有100%几率使目标防御力提高30%，持续3秒。</v>
      </c>
    </row>
    <row r="229" spans="1:137" ht="13.5" customHeight="1">
      <c r="A229" s="9">
        <v>226</v>
      </c>
      <c r="B229" s="9">
        <v>1</v>
      </c>
      <c r="C229" s="9">
        <v>2001</v>
      </c>
      <c r="D229" s="9">
        <f t="shared" si="163"/>
        <v>1743922</v>
      </c>
      <c r="E229" s="9" t="str">
        <f t="shared" si="159"/>
        <v>5202083,5202082,5202083,5501085,5501085,5402081</v>
      </c>
      <c r="F229" s="9" t="str">
        <f t="shared" si="160"/>
        <v>8,8,8,8,8,8</v>
      </c>
      <c r="G229" s="9" t="str">
        <f t="shared" si="161"/>
        <v>448,485,485,485,485,485</v>
      </c>
      <c r="H229" s="9">
        <v>130</v>
      </c>
      <c r="I229" s="9" t="s">
        <v>278</v>
      </c>
      <c r="J229" s="9" t="s">
        <v>279</v>
      </c>
      <c r="K229" s="9" t="s">
        <v>279</v>
      </c>
      <c r="L229" s="9" t="s">
        <v>279</v>
      </c>
      <c r="M229" s="36" t="s">
        <v>295</v>
      </c>
      <c r="N229" s="40"/>
      <c r="O229" s="3">
        <f t="shared" si="158"/>
        <v>1743922</v>
      </c>
      <c r="P229" s="9">
        <v>1378594.39</v>
      </c>
      <c r="Q229" s="9">
        <v>5202083</v>
      </c>
      <c r="R229" s="9">
        <v>5202082</v>
      </c>
      <c r="S229" s="9">
        <v>5202083</v>
      </c>
      <c r="T229" s="9">
        <v>5501085</v>
      </c>
      <c r="U229" s="9">
        <v>5501085</v>
      </c>
      <c r="V229" s="9">
        <v>5402081</v>
      </c>
      <c r="W229" s="9">
        <v>8</v>
      </c>
      <c r="X229" s="9">
        <v>8</v>
      </c>
      <c r="Y229" s="9">
        <v>8</v>
      </c>
      <c r="Z229" s="9">
        <v>8</v>
      </c>
      <c r="AA229" s="9">
        <v>8</v>
      </c>
      <c r="AB229" s="9">
        <v>8</v>
      </c>
      <c r="AC229" s="9">
        <f t="shared" si="146"/>
        <v>448</v>
      </c>
      <c r="AD229" s="9">
        <f t="shared" si="147"/>
        <v>485</v>
      </c>
      <c r="AE229" s="9">
        <f t="shared" si="148"/>
        <v>485</v>
      </c>
      <c r="AF229" s="9">
        <f t="shared" si="149"/>
        <v>485</v>
      </c>
      <c r="AG229" s="9">
        <f t="shared" si="150"/>
        <v>485</v>
      </c>
      <c r="AH229" s="9">
        <f t="shared" si="151"/>
        <v>485</v>
      </c>
      <c r="AI229" s="7">
        <f t="shared" si="123"/>
        <v>229765.73166666666</v>
      </c>
      <c r="AJ229" s="7">
        <f t="shared" si="162"/>
        <v>229765.73166666666</v>
      </c>
      <c r="AK229" s="7">
        <f t="shared" si="162"/>
        <v>229765.73166666666</v>
      </c>
      <c r="AL229" s="7">
        <f t="shared" si="162"/>
        <v>229765.73166666666</v>
      </c>
      <c r="AM229" s="7">
        <f t="shared" si="162"/>
        <v>229765.73166666666</v>
      </c>
      <c r="AN229" s="7">
        <f t="shared" si="162"/>
        <v>229765.73166666666</v>
      </c>
      <c r="AO229" s="16"/>
      <c r="AP229" s="7"/>
      <c r="AQ229" s="9">
        <v>6</v>
      </c>
      <c r="AR229" s="9">
        <f t="shared" si="152"/>
        <v>514</v>
      </c>
      <c r="AS229" s="7">
        <f t="shared" si="164"/>
        <v>213</v>
      </c>
      <c r="AT229" s="7"/>
      <c r="AU229" s="16"/>
      <c r="AV229" s="7"/>
      <c r="AW229" s="7"/>
      <c r="AX229" s="7"/>
      <c r="AZ229" s="7"/>
      <c r="BA229" s="9">
        <f t="shared" si="165"/>
        <v>216218.39999999959</v>
      </c>
      <c r="BC229" s="5">
        <f t="shared" si="153"/>
        <v>418</v>
      </c>
      <c r="BR229" s="5">
        <v>5200073</v>
      </c>
      <c r="BS229" s="18">
        <f>[1]monsters!$N229</f>
        <v>246.4</v>
      </c>
      <c r="BT229" s="18">
        <f>[1]monsters!$O229</f>
        <v>24.64</v>
      </c>
      <c r="BU229" s="18">
        <f>[1]monsters!$P229</f>
        <v>1508.57</v>
      </c>
      <c r="BV229" s="18">
        <f>[1]monsters!$Q229</f>
        <v>150.86000000000001</v>
      </c>
      <c r="BW229" s="18">
        <f>[1]monsters!$R229</f>
        <v>30.8</v>
      </c>
      <c r="BX229" s="18">
        <f>[1]monsters!$S229</f>
        <v>3.08</v>
      </c>
      <c r="BY229" s="18">
        <f>[1]monsters!$K229</f>
        <v>1.5</v>
      </c>
      <c r="BZ229" s="5">
        <f>[1]monsters!$D229</f>
        <v>5</v>
      </c>
      <c r="CA229" s="5">
        <f t="shared" si="154"/>
        <v>0.1</v>
      </c>
      <c r="CB229" s="5">
        <f t="shared" si="155"/>
        <v>283.64160269360275</v>
      </c>
      <c r="CC229" s="5">
        <f t="shared" si="156"/>
        <v>28.364160269360276</v>
      </c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>
        <v>0</v>
      </c>
      <c r="CR229" s="3" t="b">
        <f t="shared" si="128"/>
        <v>1</v>
      </c>
      <c r="CS229" s="3" t="b">
        <f t="shared" si="129"/>
        <v>1</v>
      </c>
      <c r="CT229" s="3" t="b">
        <f t="shared" si="130"/>
        <v>1</v>
      </c>
      <c r="CU229" s="3" t="b">
        <f t="shared" si="131"/>
        <v>1</v>
      </c>
      <c r="CV229" s="3" t="b">
        <f t="shared" si="132"/>
        <v>1</v>
      </c>
      <c r="CW229" s="3" t="b">
        <f t="shared" si="133"/>
        <v>1</v>
      </c>
      <c r="CX229" s="9" t="str">
        <f t="shared" si="134"/>
        <v>5202083</v>
      </c>
      <c r="CY229" s="9" t="str">
        <f t="shared" si="135"/>
        <v>5202082</v>
      </c>
      <c r="CZ229" s="9" t="str">
        <f t="shared" si="136"/>
        <v>5202083</v>
      </c>
      <c r="DA229" s="9" t="str">
        <f t="shared" si="137"/>
        <v>5501085</v>
      </c>
      <c r="DB229" s="9" t="str">
        <f t="shared" si="138"/>
        <v>5501085</v>
      </c>
      <c r="DC229" s="9" t="str">
        <f t="shared" si="139"/>
        <v>5402081</v>
      </c>
      <c r="DD229" s="9">
        <v>8</v>
      </c>
      <c r="DE229" s="9">
        <v>8</v>
      </c>
      <c r="DF229" s="9">
        <v>8</v>
      </c>
      <c r="DG229" s="9">
        <v>8</v>
      </c>
      <c r="DH229" s="9">
        <v>8</v>
      </c>
      <c r="DI229" s="9">
        <v>8</v>
      </c>
      <c r="DJ229" s="9">
        <v>5</v>
      </c>
      <c r="DK229" s="9">
        <v>5</v>
      </c>
      <c r="DL229" s="9">
        <v>5</v>
      </c>
      <c r="DM229" s="9">
        <v>5</v>
      </c>
      <c r="DN229" s="9">
        <v>5</v>
      </c>
      <c r="DO229" s="9">
        <v>5</v>
      </c>
      <c r="DP229" s="25" t="s">
        <v>208</v>
      </c>
      <c r="DQ229" s="25" t="s">
        <v>200</v>
      </c>
      <c r="DR229" s="25" t="s">
        <v>208</v>
      </c>
      <c r="DS229" s="25" t="s">
        <v>209</v>
      </c>
      <c r="DT229" s="25" t="s">
        <v>209</v>
      </c>
      <c r="DU229" s="25" t="s">
        <v>196</v>
      </c>
      <c r="DV229" s="25">
        <f t="shared" si="140"/>
        <v>1</v>
      </c>
      <c r="DW229" s="25">
        <f t="shared" si="141"/>
        <v>1</v>
      </c>
      <c r="DX229" s="25">
        <f t="shared" si="142"/>
        <v>1</v>
      </c>
      <c r="DY229" s="25">
        <f t="shared" si="143"/>
        <v>2</v>
      </c>
      <c r="DZ229" s="25">
        <f t="shared" si="144"/>
        <v>2</v>
      </c>
      <c r="EA229" s="3">
        <f t="shared" si="145"/>
        <v>2</v>
      </c>
      <c r="EB229" s="38"/>
      <c r="EC229" s="9">
        <v>5500083</v>
      </c>
      <c r="ED229" s="34" t="s">
        <v>207</v>
      </c>
      <c r="EE229" s="8">
        <v>2</v>
      </c>
      <c r="EF229" s="9">
        <v>505450101</v>
      </c>
      <c r="EG229" s="3" t="str">
        <f t="shared" si="157"/>
        <v>对随机3名敌人造成96%攻击伤害，并有15%几率使目标沉默，持续2秒。</v>
      </c>
    </row>
    <row r="230" spans="1:137" ht="13.5" customHeight="1">
      <c r="A230" s="9">
        <v>227</v>
      </c>
      <c r="B230" s="9">
        <v>1</v>
      </c>
      <c r="C230" s="9">
        <v>2001</v>
      </c>
      <c r="D230" s="9">
        <f t="shared" si="163"/>
        <v>1816057</v>
      </c>
      <c r="E230" s="9" t="str">
        <f t="shared" si="159"/>
        <v>5301081,5301082,5301083,5501084,5501085,5502083</v>
      </c>
      <c r="F230" s="9" t="str">
        <f t="shared" si="160"/>
        <v>8,8,8,8,8,8</v>
      </c>
      <c r="G230" s="9" t="str">
        <f t="shared" si="161"/>
        <v>457,495,495,495,495,495</v>
      </c>
      <c r="H230" s="9">
        <v>130</v>
      </c>
      <c r="I230" s="9" t="s">
        <v>278</v>
      </c>
      <c r="J230" s="9" t="s">
        <v>279</v>
      </c>
      <c r="K230" s="9" t="s">
        <v>279</v>
      </c>
      <c r="L230" s="9" t="s">
        <v>279</v>
      </c>
      <c r="M230" s="36" t="s">
        <v>295</v>
      </c>
      <c r="N230" s="40"/>
      <c r="O230" s="3">
        <f t="shared" si="158"/>
        <v>1816057</v>
      </c>
      <c r="P230" s="9">
        <v>1435617.84</v>
      </c>
      <c r="Q230" s="9">
        <v>5301081</v>
      </c>
      <c r="R230" s="9">
        <v>5301082</v>
      </c>
      <c r="S230" s="9">
        <v>5301083</v>
      </c>
      <c r="T230" s="9">
        <v>5501084</v>
      </c>
      <c r="U230" s="9">
        <v>5501085</v>
      </c>
      <c r="V230" s="9">
        <v>5502083</v>
      </c>
      <c r="W230" s="9">
        <v>8</v>
      </c>
      <c r="X230" s="9">
        <v>8</v>
      </c>
      <c r="Y230" s="9">
        <v>8</v>
      </c>
      <c r="Z230" s="9">
        <v>8</v>
      </c>
      <c r="AA230" s="9">
        <v>8</v>
      </c>
      <c r="AB230" s="9">
        <v>8</v>
      </c>
      <c r="AC230" s="9">
        <f t="shared" si="146"/>
        <v>457</v>
      </c>
      <c r="AD230" s="9">
        <f t="shared" si="147"/>
        <v>495</v>
      </c>
      <c r="AE230" s="9">
        <f t="shared" si="148"/>
        <v>495</v>
      </c>
      <c r="AF230" s="9">
        <f t="shared" si="149"/>
        <v>495</v>
      </c>
      <c r="AG230" s="9">
        <f t="shared" si="150"/>
        <v>495</v>
      </c>
      <c r="AH230" s="9">
        <f t="shared" si="151"/>
        <v>495</v>
      </c>
      <c r="AI230" s="7">
        <f t="shared" si="123"/>
        <v>239269.64</v>
      </c>
      <c r="AJ230" s="7">
        <f t="shared" si="162"/>
        <v>239269.64</v>
      </c>
      <c r="AK230" s="7">
        <f t="shared" si="162"/>
        <v>239269.64</v>
      </c>
      <c r="AL230" s="7">
        <f t="shared" si="162"/>
        <v>239269.64</v>
      </c>
      <c r="AM230" s="7">
        <f t="shared" si="162"/>
        <v>239269.64</v>
      </c>
      <c r="AN230" s="7">
        <f t="shared" si="162"/>
        <v>239269.64</v>
      </c>
      <c r="AO230" s="16"/>
      <c r="AP230" s="7"/>
      <c r="AQ230" s="9">
        <v>6</v>
      </c>
      <c r="AR230" s="9">
        <f t="shared" si="152"/>
        <v>524</v>
      </c>
      <c r="AS230" s="7">
        <f t="shared" si="164"/>
        <v>213</v>
      </c>
      <c r="AT230" s="7"/>
      <c r="AU230" s="16"/>
      <c r="AV230" s="7"/>
      <c r="AW230" s="7"/>
      <c r="AX230" s="7"/>
      <c r="AZ230" s="7"/>
      <c r="BA230" s="9">
        <f t="shared" si="165"/>
        <v>218309.54999999958</v>
      </c>
      <c r="BC230" s="5">
        <f t="shared" si="153"/>
        <v>427</v>
      </c>
      <c r="BR230" s="5">
        <v>5202073</v>
      </c>
      <c r="BS230" s="18">
        <f>[1]monsters!$N230</f>
        <v>229.97</v>
      </c>
      <c r="BT230" s="18">
        <f>[1]monsters!$O230</f>
        <v>23</v>
      </c>
      <c r="BU230" s="18">
        <f>[1]monsters!$P230</f>
        <v>1508.57</v>
      </c>
      <c r="BV230" s="18">
        <f>[1]monsters!$Q230</f>
        <v>150.86000000000001</v>
      </c>
      <c r="BW230" s="18">
        <f>[1]monsters!$R230</f>
        <v>28.75</v>
      </c>
      <c r="BX230" s="18">
        <f>[1]monsters!$S230</f>
        <v>2.87</v>
      </c>
      <c r="BY230" s="18">
        <f>[1]monsters!$K230</f>
        <v>1.4</v>
      </c>
      <c r="BZ230" s="5">
        <f>[1]monsters!$D230</f>
        <v>5</v>
      </c>
      <c r="CA230" s="5">
        <f t="shared" si="154"/>
        <v>0.1</v>
      </c>
      <c r="CB230" s="5">
        <f t="shared" si="155"/>
        <v>268.11525269360271</v>
      </c>
      <c r="CC230" s="5">
        <f t="shared" si="156"/>
        <v>26.811525269360274</v>
      </c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>
        <v>0</v>
      </c>
      <c r="CR230" s="3" t="b">
        <f t="shared" si="128"/>
        <v>1</v>
      </c>
      <c r="CS230" s="3" t="b">
        <f t="shared" si="129"/>
        <v>1</v>
      </c>
      <c r="CT230" s="3" t="b">
        <f t="shared" si="130"/>
        <v>1</v>
      </c>
      <c r="CU230" s="3" t="b">
        <f t="shared" si="131"/>
        <v>1</v>
      </c>
      <c r="CV230" s="3" t="b">
        <f t="shared" si="132"/>
        <v>1</v>
      </c>
      <c r="CW230" s="3" t="b">
        <f t="shared" si="133"/>
        <v>1</v>
      </c>
      <c r="CX230" s="9" t="str">
        <f t="shared" si="134"/>
        <v>5301081</v>
      </c>
      <c r="CY230" s="9" t="str">
        <f t="shared" si="135"/>
        <v>5301082</v>
      </c>
      <c r="CZ230" s="9" t="str">
        <f t="shared" si="136"/>
        <v>5301083</v>
      </c>
      <c r="DA230" s="9" t="str">
        <f t="shared" si="137"/>
        <v>5501084</v>
      </c>
      <c r="DB230" s="9" t="str">
        <f t="shared" si="138"/>
        <v>5501085</v>
      </c>
      <c r="DC230" s="9" t="str">
        <f t="shared" si="139"/>
        <v>5502083</v>
      </c>
      <c r="DD230" s="9">
        <v>8</v>
      </c>
      <c r="DE230" s="9">
        <v>8</v>
      </c>
      <c r="DF230" s="9">
        <v>8</v>
      </c>
      <c r="DG230" s="9">
        <v>8</v>
      </c>
      <c r="DH230" s="9">
        <v>8</v>
      </c>
      <c r="DI230" s="9">
        <v>8</v>
      </c>
      <c r="DJ230" s="9">
        <v>5</v>
      </c>
      <c r="DK230" s="9">
        <v>5</v>
      </c>
      <c r="DL230" s="9">
        <v>5</v>
      </c>
      <c r="DM230" s="9">
        <v>5</v>
      </c>
      <c r="DN230" s="9">
        <v>5</v>
      </c>
      <c r="DO230" s="9">
        <v>5</v>
      </c>
      <c r="DP230" s="26" t="s">
        <v>107</v>
      </c>
      <c r="DQ230" s="26" t="s">
        <v>201</v>
      </c>
      <c r="DR230" s="26" t="s">
        <v>206</v>
      </c>
      <c r="DS230" s="26" t="s">
        <v>214</v>
      </c>
      <c r="DT230" s="26" t="s">
        <v>209</v>
      </c>
      <c r="DU230" s="26" t="s">
        <v>215</v>
      </c>
      <c r="DV230" s="26">
        <f t="shared" si="140"/>
        <v>1</v>
      </c>
      <c r="DW230" s="26">
        <f t="shared" si="141"/>
        <v>1</v>
      </c>
      <c r="DX230" s="26">
        <f t="shared" si="142"/>
        <v>1</v>
      </c>
      <c r="DY230" s="26">
        <f t="shared" si="143"/>
        <v>2</v>
      </c>
      <c r="DZ230" s="26">
        <f t="shared" si="144"/>
        <v>2</v>
      </c>
      <c r="EA230" s="3">
        <f t="shared" si="145"/>
        <v>2</v>
      </c>
      <c r="EB230" s="39"/>
      <c r="EC230" s="9">
        <v>5502083</v>
      </c>
      <c r="ED230" s="34" t="s">
        <v>215</v>
      </c>
      <c r="EE230" s="8">
        <v>2</v>
      </c>
      <c r="EF230" s="9">
        <v>505460001</v>
      </c>
      <c r="EG230" s="3" t="str">
        <f t="shared" si="157"/>
        <v>治疗血量最少的3名友军，每秒恢复45%攻击等量的生命。</v>
      </c>
    </row>
    <row r="231" spans="1:137" ht="13.5" customHeight="1">
      <c r="A231" s="9">
        <v>228</v>
      </c>
      <c r="B231" s="9">
        <v>1</v>
      </c>
      <c r="C231" s="9">
        <v>2001</v>
      </c>
      <c r="D231" s="9">
        <f t="shared" si="163"/>
        <v>1889757</v>
      </c>
      <c r="E231" s="9" t="str">
        <f t="shared" si="159"/>
        <v>5200082,5200083,5202082,5402082,5500083,5501084</v>
      </c>
      <c r="F231" s="9" t="str">
        <f t="shared" si="160"/>
        <v>8,8,8,8,8,8</v>
      </c>
      <c r="G231" s="9" t="str">
        <f t="shared" si="161"/>
        <v>467,505,505,505,505,505</v>
      </c>
      <c r="H231" s="9">
        <v>131</v>
      </c>
      <c r="I231" s="9" t="s">
        <v>278</v>
      </c>
      <c r="J231" s="9" t="s">
        <v>279</v>
      </c>
      <c r="K231" s="9" t="s">
        <v>279</v>
      </c>
      <c r="L231" s="9" t="s">
        <v>279</v>
      </c>
      <c r="M231" s="36" t="s">
        <v>295</v>
      </c>
      <c r="N231" s="40"/>
      <c r="O231" s="3">
        <f t="shared" si="158"/>
        <v>1889757</v>
      </c>
      <c r="P231" s="9">
        <v>1493879.07</v>
      </c>
      <c r="Q231" s="9">
        <v>5200082</v>
      </c>
      <c r="R231" s="9">
        <v>5200083</v>
      </c>
      <c r="S231" s="9">
        <v>5202082</v>
      </c>
      <c r="T231" s="9">
        <v>5402082</v>
      </c>
      <c r="U231" s="9">
        <v>5500083</v>
      </c>
      <c r="V231" s="9">
        <v>5501084</v>
      </c>
      <c r="W231" s="9">
        <v>8</v>
      </c>
      <c r="X231" s="9">
        <v>8</v>
      </c>
      <c r="Y231" s="9">
        <v>8</v>
      </c>
      <c r="Z231" s="9">
        <v>8</v>
      </c>
      <c r="AA231" s="9">
        <v>8</v>
      </c>
      <c r="AB231" s="9">
        <v>8</v>
      </c>
      <c r="AC231" s="9">
        <f t="shared" si="146"/>
        <v>467</v>
      </c>
      <c r="AD231" s="9">
        <f t="shared" si="147"/>
        <v>505</v>
      </c>
      <c r="AE231" s="9">
        <f t="shared" si="148"/>
        <v>505</v>
      </c>
      <c r="AF231" s="9">
        <f t="shared" si="149"/>
        <v>505</v>
      </c>
      <c r="AG231" s="9">
        <f t="shared" si="150"/>
        <v>505</v>
      </c>
      <c r="AH231" s="9">
        <f t="shared" si="151"/>
        <v>505</v>
      </c>
      <c r="AI231" s="7">
        <f t="shared" ref="AI231:AI294" si="166">$P231/6</f>
        <v>248979.845</v>
      </c>
      <c r="AJ231" s="7">
        <f t="shared" si="162"/>
        <v>248979.845</v>
      </c>
      <c r="AK231" s="7">
        <f t="shared" si="162"/>
        <v>248979.845</v>
      </c>
      <c r="AL231" s="7">
        <f t="shared" si="162"/>
        <v>248979.845</v>
      </c>
      <c r="AM231" s="7">
        <f t="shared" si="162"/>
        <v>248979.845</v>
      </c>
      <c r="AN231" s="7">
        <f t="shared" si="162"/>
        <v>248979.845</v>
      </c>
      <c r="AO231" s="16"/>
      <c r="AP231" s="7"/>
      <c r="AQ231" s="9">
        <v>6</v>
      </c>
      <c r="AR231" s="9">
        <f t="shared" si="152"/>
        <v>535</v>
      </c>
      <c r="AS231" s="7">
        <f t="shared" si="164"/>
        <v>214</v>
      </c>
      <c r="AT231" s="7"/>
      <c r="AU231" s="16"/>
      <c r="AV231" s="7"/>
      <c r="AW231" s="7"/>
      <c r="AX231" s="7"/>
      <c r="AZ231" s="7"/>
      <c r="BA231" s="9">
        <f t="shared" si="165"/>
        <v>220400.69999999958</v>
      </c>
      <c r="BC231" s="5">
        <f t="shared" si="153"/>
        <v>436</v>
      </c>
      <c r="BR231" s="5">
        <v>5302073</v>
      </c>
      <c r="BS231" s="18">
        <f>[1]monsters!$N231</f>
        <v>272.8</v>
      </c>
      <c r="BT231" s="18">
        <f>[1]monsters!$O231</f>
        <v>27.28</v>
      </c>
      <c r="BU231" s="18">
        <f>[1]monsters!$P231</f>
        <v>1362.58</v>
      </c>
      <c r="BV231" s="18">
        <f>[1]monsters!$Q231</f>
        <v>136.26</v>
      </c>
      <c r="BW231" s="18">
        <f>[1]monsters!$R231</f>
        <v>27.28</v>
      </c>
      <c r="BX231" s="18">
        <f>[1]monsters!$S231</f>
        <v>2.73</v>
      </c>
      <c r="BY231" s="18">
        <f>[1]monsters!$K231</f>
        <v>1.5</v>
      </c>
      <c r="BZ231" s="5">
        <f>[1]monsters!$D231</f>
        <v>6</v>
      </c>
      <c r="CA231" s="5">
        <f t="shared" si="154"/>
        <v>0.1</v>
      </c>
      <c r="CB231" s="5">
        <f t="shared" si="155"/>
        <v>303.67411447811446</v>
      </c>
      <c r="CC231" s="5">
        <f t="shared" si="156"/>
        <v>30.367411447811449</v>
      </c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>
        <v>0</v>
      </c>
      <c r="CR231" s="3" t="b">
        <f t="shared" si="128"/>
        <v>1</v>
      </c>
      <c r="CS231" s="3" t="b">
        <f t="shared" si="129"/>
        <v>1</v>
      </c>
      <c r="CT231" s="3" t="b">
        <f t="shared" si="130"/>
        <v>1</v>
      </c>
      <c r="CU231" s="3" t="b">
        <f t="shared" si="131"/>
        <v>1</v>
      </c>
      <c r="CV231" s="3" t="b">
        <f t="shared" si="132"/>
        <v>1</v>
      </c>
      <c r="CW231" s="3" t="b">
        <f t="shared" si="133"/>
        <v>1</v>
      </c>
      <c r="CX231" s="9" t="str">
        <f t="shared" si="134"/>
        <v>5200082</v>
      </c>
      <c r="CY231" s="9" t="str">
        <f t="shared" si="135"/>
        <v>5200083</v>
      </c>
      <c r="CZ231" s="9" t="str">
        <f t="shared" si="136"/>
        <v>5202082</v>
      </c>
      <c r="DA231" s="9" t="str">
        <f t="shared" si="137"/>
        <v>5402082</v>
      </c>
      <c r="DB231" s="9" t="str">
        <f t="shared" si="138"/>
        <v>5500083</v>
      </c>
      <c r="DC231" s="9" t="str">
        <f t="shared" si="139"/>
        <v>5501084</v>
      </c>
      <c r="DD231" s="9">
        <v>8</v>
      </c>
      <c r="DE231" s="9">
        <v>8</v>
      </c>
      <c r="DF231" s="9">
        <v>8</v>
      </c>
      <c r="DG231" s="9">
        <v>8</v>
      </c>
      <c r="DH231" s="9">
        <v>8</v>
      </c>
      <c r="DI231" s="9">
        <v>8</v>
      </c>
      <c r="DJ231" s="9">
        <v>5</v>
      </c>
      <c r="DK231" s="9">
        <v>5</v>
      </c>
      <c r="DL231" s="9">
        <v>5</v>
      </c>
      <c r="DM231" s="9">
        <v>5</v>
      </c>
      <c r="DN231" s="9">
        <v>5</v>
      </c>
      <c r="DO231" s="9">
        <v>5</v>
      </c>
      <c r="DP231" s="25" t="s">
        <v>199</v>
      </c>
      <c r="DQ231" s="25" t="s">
        <v>113</v>
      </c>
      <c r="DR231" s="26" t="s">
        <v>200</v>
      </c>
      <c r="DS231" s="26" t="s">
        <v>203</v>
      </c>
      <c r="DT231" s="26" t="s">
        <v>207</v>
      </c>
      <c r="DU231" s="26" t="s">
        <v>214</v>
      </c>
      <c r="DV231" s="26">
        <f t="shared" si="140"/>
        <v>1</v>
      </c>
      <c r="DW231" s="26">
        <f t="shared" si="141"/>
        <v>1</v>
      </c>
      <c r="DX231" s="26">
        <f t="shared" si="142"/>
        <v>1</v>
      </c>
      <c r="DY231" s="26">
        <f t="shared" si="143"/>
        <v>2</v>
      </c>
      <c r="DZ231" s="26">
        <f t="shared" si="144"/>
        <v>2</v>
      </c>
      <c r="EA231" s="3">
        <f t="shared" si="145"/>
        <v>2</v>
      </c>
      <c r="EB231" s="39"/>
      <c r="EC231" s="9">
        <v>5601083</v>
      </c>
      <c r="ED231" s="34" t="s">
        <v>216</v>
      </c>
      <c r="EE231" s="8">
        <v>2</v>
      </c>
      <c r="EF231" s="9">
        <v>505460201</v>
      </c>
      <c r="EG231" s="3" t="str">
        <f t="shared" si="157"/>
        <v>治疗4名友军，恢复96%攻击等量的生命。</v>
      </c>
    </row>
    <row r="232" spans="1:137" ht="13.5" customHeight="1">
      <c r="A232" s="9">
        <v>229</v>
      </c>
      <c r="B232" s="9">
        <v>1</v>
      </c>
      <c r="C232" s="9">
        <v>2001</v>
      </c>
      <c r="D232" s="9">
        <f t="shared" si="163"/>
        <v>1963455</v>
      </c>
      <c r="E232" s="9" t="str">
        <f t="shared" si="159"/>
        <v>5300085,5202085,5202085,5400085,5501085,5400085</v>
      </c>
      <c r="F232" s="9" t="str">
        <f t="shared" si="160"/>
        <v>8,8,8,8,8,8</v>
      </c>
      <c r="G232" s="9" t="str">
        <f t="shared" si="161"/>
        <v>476,515,515,515,515,515</v>
      </c>
      <c r="H232" s="9">
        <v>131</v>
      </c>
      <c r="I232" s="9" t="s">
        <v>278</v>
      </c>
      <c r="J232" s="9" t="s">
        <v>279</v>
      </c>
      <c r="K232" s="9" t="s">
        <v>279</v>
      </c>
      <c r="L232" s="9" t="s">
        <v>279</v>
      </c>
      <c r="M232" s="36" t="s">
        <v>295</v>
      </c>
      <c r="N232" s="40"/>
      <c r="O232" s="3">
        <f t="shared" si="158"/>
        <v>1963455</v>
      </c>
      <c r="P232" s="9">
        <v>1552138.31</v>
      </c>
      <c r="Q232" s="9">
        <v>5300085</v>
      </c>
      <c r="R232" s="9">
        <v>5202085</v>
      </c>
      <c r="S232" s="9">
        <v>5202085</v>
      </c>
      <c r="T232" s="9">
        <v>5400085</v>
      </c>
      <c r="U232" s="9">
        <v>5501085</v>
      </c>
      <c r="V232" s="9">
        <v>5400085</v>
      </c>
      <c r="W232" s="9">
        <v>8</v>
      </c>
      <c r="X232" s="9">
        <v>8</v>
      </c>
      <c r="Y232" s="9">
        <v>8</v>
      </c>
      <c r="Z232" s="9">
        <v>8</v>
      </c>
      <c r="AA232" s="9">
        <v>8</v>
      </c>
      <c r="AB232" s="9">
        <v>8</v>
      </c>
      <c r="AC232" s="9">
        <f t="shared" si="146"/>
        <v>476</v>
      </c>
      <c r="AD232" s="9">
        <f t="shared" si="147"/>
        <v>515</v>
      </c>
      <c r="AE232" s="9">
        <f t="shared" si="148"/>
        <v>515</v>
      </c>
      <c r="AF232" s="9">
        <f t="shared" si="149"/>
        <v>515</v>
      </c>
      <c r="AG232" s="9">
        <f t="shared" si="150"/>
        <v>515</v>
      </c>
      <c r="AH232" s="9">
        <f t="shared" si="151"/>
        <v>515</v>
      </c>
      <c r="AI232" s="7">
        <f t="shared" si="166"/>
        <v>258689.71833333335</v>
      </c>
      <c r="AJ232" s="7">
        <f t="shared" si="162"/>
        <v>258689.71833333335</v>
      </c>
      <c r="AK232" s="7">
        <f t="shared" si="162"/>
        <v>258689.71833333335</v>
      </c>
      <c r="AL232" s="7">
        <f t="shared" si="162"/>
        <v>258689.71833333335</v>
      </c>
      <c r="AM232" s="7">
        <f t="shared" si="162"/>
        <v>258689.71833333335</v>
      </c>
      <c r="AN232" s="7">
        <f t="shared" si="162"/>
        <v>258689.71833333335</v>
      </c>
      <c r="AO232" s="16"/>
      <c r="AP232" s="7"/>
      <c r="AQ232" s="9">
        <v>6</v>
      </c>
      <c r="AR232" s="9">
        <f t="shared" si="152"/>
        <v>546</v>
      </c>
      <c r="AS232" s="7">
        <f t="shared" si="164"/>
        <v>214</v>
      </c>
      <c r="AT232" s="7"/>
      <c r="AU232" s="16"/>
      <c r="AV232" s="7"/>
      <c r="AW232" s="7"/>
      <c r="AX232" s="7"/>
      <c r="AZ232" s="7"/>
      <c r="BA232" s="9">
        <f t="shared" si="165"/>
        <v>222491.84999999957</v>
      </c>
      <c r="BC232" s="5">
        <f t="shared" si="153"/>
        <v>445</v>
      </c>
      <c r="BR232" s="5">
        <v>5301073</v>
      </c>
      <c r="BS232" s="18">
        <f>[1]monsters!$N232</f>
        <v>168.96</v>
      </c>
      <c r="BT232" s="18">
        <f>[1]monsters!$O232</f>
        <v>16.899999999999999</v>
      </c>
      <c r="BU232" s="18">
        <f>[1]monsters!$P232</f>
        <v>2640</v>
      </c>
      <c r="BV232" s="18">
        <f>[1]monsters!$Q232</f>
        <v>264</v>
      </c>
      <c r="BW232" s="18">
        <f>[1]monsters!$R232</f>
        <v>56.32</v>
      </c>
      <c r="BX232" s="18">
        <f>[1]monsters!$S232</f>
        <v>5.63</v>
      </c>
      <c r="BY232" s="18">
        <f>[1]monsters!$K232</f>
        <v>1.8</v>
      </c>
      <c r="BZ232" s="5">
        <f>[1]monsters!$D232</f>
        <v>2</v>
      </c>
      <c r="CA232" s="5">
        <f t="shared" si="154"/>
        <v>0.1</v>
      </c>
      <c r="CB232" s="5">
        <f t="shared" si="155"/>
        <v>248.55608888888889</v>
      </c>
      <c r="CC232" s="5">
        <f t="shared" si="156"/>
        <v>24.855608888888892</v>
      </c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>
        <v>0</v>
      </c>
      <c r="CR232" s="3" t="b">
        <f t="shared" si="128"/>
        <v>1</v>
      </c>
      <c r="CS232" s="3" t="b">
        <f t="shared" si="129"/>
        <v>1</v>
      </c>
      <c r="CT232" s="3" t="b">
        <f t="shared" si="130"/>
        <v>1</v>
      </c>
      <c r="CU232" s="3" t="b">
        <f t="shared" si="131"/>
        <v>1</v>
      </c>
      <c r="CV232" s="3" t="b">
        <f t="shared" si="132"/>
        <v>1</v>
      </c>
      <c r="CW232" s="3" t="b">
        <f t="shared" si="133"/>
        <v>1</v>
      </c>
      <c r="CX232" s="9" t="str">
        <f t="shared" si="134"/>
        <v>5300085</v>
      </c>
      <c r="CY232" s="9" t="str">
        <f t="shared" si="135"/>
        <v>5202085</v>
      </c>
      <c r="CZ232" s="9" t="str">
        <f t="shared" si="136"/>
        <v>5202085</v>
      </c>
      <c r="DA232" s="9" t="str">
        <f t="shared" si="137"/>
        <v>5400085</v>
      </c>
      <c r="DB232" s="9" t="str">
        <f t="shared" si="138"/>
        <v>5501085</v>
      </c>
      <c r="DC232" s="9" t="str">
        <f t="shared" si="139"/>
        <v>5400085</v>
      </c>
      <c r="DD232" s="9">
        <v>8</v>
      </c>
      <c r="DE232" s="9">
        <v>8</v>
      </c>
      <c r="DF232" s="9">
        <v>8</v>
      </c>
      <c r="DG232" s="9">
        <v>8</v>
      </c>
      <c r="DH232" s="9">
        <v>8</v>
      </c>
      <c r="DI232" s="9">
        <v>8</v>
      </c>
      <c r="DJ232" s="9">
        <v>5</v>
      </c>
      <c r="DK232" s="9">
        <v>5</v>
      </c>
      <c r="DL232" s="9">
        <v>5</v>
      </c>
      <c r="DM232" s="9">
        <v>5</v>
      </c>
      <c r="DN232" s="9">
        <v>5</v>
      </c>
      <c r="DO232" s="9">
        <v>5</v>
      </c>
      <c r="DP232" s="25" t="s">
        <v>212</v>
      </c>
      <c r="DQ232" s="25" t="s">
        <v>213</v>
      </c>
      <c r="DR232" s="25" t="s">
        <v>213</v>
      </c>
      <c r="DS232" s="26" t="s">
        <v>210</v>
      </c>
      <c r="DT232" s="26" t="s">
        <v>209</v>
      </c>
      <c r="DU232" s="26" t="s">
        <v>210</v>
      </c>
      <c r="DV232" s="26">
        <f t="shared" si="140"/>
        <v>1</v>
      </c>
      <c r="DW232" s="26">
        <f t="shared" si="141"/>
        <v>1</v>
      </c>
      <c r="DX232" s="26">
        <f t="shared" si="142"/>
        <v>1</v>
      </c>
      <c r="DY232" s="26">
        <f t="shared" si="143"/>
        <v>2</v>
      </c>
      <c r="DZ232" s="26">
        <f t="shared" si="144"/>
        <v>2</v>
      </c>
      <c r="EA232" s="3">
        <f t="shared" si="145"/>
        <v>2</v>
      </c>
      <c r="EB232" s="39"/>
      <c r="EC232" s="9">
        <v>5201084</v>
      </c>
      <c r="ED232" s="34" t="s">
        <v>217</v>
      </c>
      <c r="EE232" s="8">
        <v>1</v>
      </c>
      <c r="EF232" s="9">
        <v>505530001</v>
      </c>
      <c r="EG232" s="3" t="str">
        <f t="shared" si="157"/>
        <v>对随机1名敌人造成351%攻击伤害，并有100%几率使目标眩晕，持续1秒。</v>
      </c>
    </row>
    <row r="233" spans="1:137" ht="13.5" customHeight="1">
      <c r="A233" s="9">
        <v>230</v>
      </c>
      <c r="B233" s="9">
        <v>1</v>
      </c>
      <c r="C233" s="9">
        <v>2001</v>
      </c>
      <c r="D233" s="9">
        <f t="shared" si="163"/>
        <v>2037928</v>
      </c>
      <c r="E233" s="9" t="str">
        <f t="shared" si="159"/>
        <v>5201081,5200082,5201081,5502082,5500081,5601082</v>
      </c>
      <c r="F233" s="9" t="str">
        <f t="shared" si="160"/>
        <v>8,8,8,8,8,8</v>
      </c>
      <c r="G233" s="9" t="str">
        <f t="shared" si="161"/>
        <v>485,525,525,525,525,525</v>
      </c>
      <c r="H233" s="9">
        <v>132</v>
      </c>
      <c r="I233" s="9" t="s">
        <v>278</v>
      </c>
      <c r="J233" s="9" t="s">
        <v>279</v>
      </c>
      <c r="K233" s="9" t="s">
        <v>279</v>
      </c>
      <c r="L233" s="9" t="s">
        <v>279</v>
      </c>
      <c r="M233" s="36" t="s">
        <v>295</v>
      </c>
      <c r="O233" s="3">
        <f t="shared" si="158"/>
        <v>2037928</v>
      </c>
      <c r="P233" s="9">
        <v>1611010.47</v>
      </c>
      <c r="Q233" s="9">
        <v>5201081</v>
      </c>
      <c r="R233" s="9">
        <v>5200082</v>
      </c>
      <c r="S233" s="9">
        <v>5201081</v>
      </c>
      <c r="T233" s="9">
        <v>5502082</v>
      </c>
      <c r="U233" s="9">
        <v>5500081</v>
      </c>
      <c r="V233" s="9">
        <v>5601082</v>
      </c>
      <c r="W233" s="9">
        <v>8</v>
      </c>
      <c r="X233" s="9">
        <v>8</v>
      </c>
      <c r="Y233" s="9">
        <v>8</v>
      </c>
      <c r="Z233" s="9">
        <v>8</v>
      </c>
      <c r="AA233" s="9">
        <v>8</v>
      </c>
      <c r="AB233" s="9">
        <v>8</v>
      </c>
      <c r="AC233" s="9">
        <f t="shared" si="146"/>
        <v>485</v>
      </c>
      <c r="AD233" s="9">
        <f t="shared" si="147"/>
        <v>525</v>
      </c>
      <c r="AE233" s="9">
        <f t="shared" si="148"/>
        <v>525</v>
      </c>
      <c r="AF233" s="9">
        <f t="shared" si="149"/>
        <v>525</v>
      </c>
      <c r="AG233" s="9">
        <f t="shared" si="150"/>
        <v>525</v>
      </c>
      <c r="AH233" s="9">
        <f t="shared" si="151"/>
        <v>525</v>
      </c>
      <c r="AI233" s="7">
        <f t="shared" si="166"/>
        <v>268501.745</v>
      </c>
      <c r="AJ233" s="7">
        <f t="shared" si="162"/>
        <v>268501.745</v>
      </c>
      <c r="AK233" s="7">
        <f t="shared" si="162"/>
        <v>268501.745</v>
      </c>
      <c r="AL233" s="7">
        <f t="shared" si="162"/>
        <v>268501.745</v>
      </c>
      <c r="AM233" s="7">
        <f t="shared" si="162"/>
        <v>268501.745</v>
      </c>
      <c r="AN233" s="7">
        <f t="shared" si="162"/>
        <v>268501.745</v>
      </c>
      <c r="AO233" s="16"/>
      <c r="AP233" s="7"/>
      <c r="AQ233" s="9">
        <v>6</v>
      </c>
      <c r="AR233" s="9">
        <f t="shared" si="152"/>
        <v>556</v>
      </c>
      <c r="AS233" s="7">
        <f t="shared" si="164"/>
        <v>215</v>
      </c>
      <c r="AT233" s="7"/>
      <c r="AU233" s="16"/>
      <c r="AV233" s="7"/>
      <c r="AW233" s="7"/>
      <c r="AX233" s="7"/>
      <c r="AZ233" s="7"/>
      <c r="BA233" s="9">
        <f t="shared" si="165"/>
        <v>224582.99999999956</v>
      </c>
      <c r="BC233" s="5">
        <f t="shared" si="153"/>
        <v>453</v>
      </c>
      <c r="BR233" s="5">
        <v>5400073</v>
      </c>
      <c r="BS233" s="18">
        <f>[1]monsters!$N233</f>
        <v>147.84</v>
      </c>
      <c r="BT233" s="18">
        <f>[1]monsters!$O233</f>
        <v>14.78</v>
      </c>
      <c r="BU233" s="18">
        <f>[1]monsters!$P233</f>
        <v>2346.67</v>
      </c>
      <c r="BV233" s="18">
        <f>[1]monsters!$Q233</f>
        <v>234.67</v>
      </c>
      <c r="BW233" s="18">
        <f>[1]monsters!$R233</f>
        <v>29.57</v>
      </c>
      <c r="BX233" s="18">
        <f>[1]monsters!$S233</f>
        <v>2.96</v>
      </c>
      <c r="BY233" s="18">
        <f>[1]monsters!$K233</f>
        <v>1.4</v>
      </c>
      <c r="BZ233" s="5">
        <f>[1]monsters!$D233</f>
        <v>3</v>
      </c>
      <c r="CA233" s="5">
        <f t="shared" si="154"/>
        <v>0.1</v>
      </c>
      <c r="CB233" s="5">
        <f t="shared" si="155"/>
        <v>218.7212579124579</v>
      </c>
      <c r="CC233" s="5">
        <f t="shared" si="156"/>
        <v>21.872125791245793</v>
      </c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>
        <v>1</v>
      </c>
      <c r="CR233" s="3" t="b">
        <f t="shared" si="128"/>
        <v>1</v>
      </c>
      <c r="CS233" s="3" t="b">
        <f t="shared" si="129"/>
        <v>1</v>
      </c>
      <c r="CT233" s="3" t="b">
        <f t="shared" si="130"/>
        <v>1</v>
      </c>
      <c r="CU233" s="3" t="b">
        <f t="shared" si="131"/>
        <v>1</v>
      </c>
      <c r="CV233" s="3" t="b">
        <f t="shared" si="132"/>
        <v>1</v>
      </c>
      <c r="CW233" s="3" t="b">
        <f t="shared" si="133"/>
        <v>1</v>
      </c>
      <c r="CX233" s="9" t="str">
        <f t="shared" si="134"/>
        <v>5201081</v>
      </c>
      <c r="CY233" s="9" t="str">
        <f t="shared" si="135"/>
        <v>5200082</v>
      </c>
      <c r="CZ233" s="9" t="str">
        <f t="shared" si="136"/>
        <v>5201081</v>
      </c>
      <c r="DA233" s="9" t="str">
        <f t="shared" si="137"/>
        <v>5502082</v>
      </c>
      <c r="DB233" s="9" t="str">
        <f t="shared" si="138"/>
        <v>5500081</v>
      </c>
      <c r="DC233" s="9" t="str">
        <f t="shared" si="139"/>
        <v>5601082</v>
      </c>
      <c r="DD233" s="9">
        <v>8</v>
      </c>
      <c r="DE233" s="9">
        <v>8</v>
      </c>
      <c r="DF233" s="9">
        <v>8</v>
      </c>
      <c r="DG233" s="9">
        <v>8</v>
      </c>
      <c r="DH233" s="9">
        <v>8</v>
      </c>
      <c r="DI233" s="9">
        <v>8</v>
      </c>
      <c r="DJ233" s="9">
        <v>5</v>
      </c>
      <c r="DK233" s="9">
        <v>5</v>
      </c>
      <c r="DL233" s="9">
        <v>5</v>
      </c>
      <c r="DM233" s="9">
        <v>5</v>
      </c>
      <c r="DN233" s="9">
        <v>5</v>
      </c>
      <c r="DO233" s="9">
        <v>5</v>
      </c>
      <c r="DP233" s="25" t="s">
        <v>195</v>
      </c>
      <c r="DQ233" s="25" t="s">
        <v>199</v>
      </c>
      <c r="DR233" s="26" t="s">
        <v>195</v>
      </c>
      <c r="DS233" s="28" t="s">
        <v>204</v>
      </c>
      <c r="DT233" s="26" t="s">
        <v>197</v>
      </c>
      <c r="DU233" s="26" t="s">
        <v>124</v>
      </c>
      <c r="DV233" s="26">
        <f t="shared" si="140"/>
        <v>1</v>
      </c>
      <c r="DW233" s="26">
        <f t="shared" si="141"/>
        <v>1</v>
      </c>
      <c r="DX233" s="26">
        <f t="shared" si="142"/>
        <v>1</v>
      </c>
      <c r="DY233" s="26">
        <f t="shared" si="143"/>
        <v>2</v>
      </c>
      <c r="DZ233" s="26">
        <f t="shared" si="144"/>
        <v>2</v>
      </c>
      <c r="EA233" s="3">
        <f t="shared" si="145"/>
        <v>2</v>
      </c>
      <c r="EB233" s="39"/>
      <c r="EC233" s="9">
        <v>5302084</v>
      </c>
      <c r="ED233" s="34" t="s">
        <v>218</v>
      </c>
      <c r="EE233" s="8">
        <v>1</v>
      </c>
      <c r="EF233" s="9">
        <v>505530201</v>
      </c>
      <c r="EG233" s="3" t="str">
        <f t="shared" si="157"/>
        <v>对距离最远的1名敌人造成248%攻击伤害，并有100%几率使目标中毒，每秒造成55%攻击伤害，持续3秒。</v>
      </c>
    </row>
    <row r="234" spans="1:137" ht="13.5" customHeight="1">
      <c r="A234" s="9">
        <v>231</v>
      </c>
      <c r="B234" s="9">
        <v>1</v>
      </c>
      <c r="C234" s="9">
        <v>2001</v>
      </c>
      <c r="D234" s="9">
        <f t="shared" si="163"/>
        <v>2048499</v>
      </c>
      <c r="E234" s="9" t="str">
        <f t="shared" si="159"/>
        <v>5200082,5200083,5200082,5501084,5500083,5501084</v>
      </c>
      <c r="F234" s="9" t="str">
        <f t="shared" si="160"/>
        <v>8,8,8,8,8,8</v>
      </c>
      <c r="G234" s="9" t="str">
        <f t="shared" si="161"/>
        <v>486,526,526,526,526,526</v>
      </c>
      <c r="H234" s="9">
        <v>132</v>
      </c>
      <c r="I234" s="9" t="s">
        <v>278</v>
      </c>
      <c r="J234" s="9" t="s">
        <v>279</v>
      </c>
      <c r="K234" s="9" t="s">
        <v>279</v>
      </c>
      <c r="L234" s="9" t="s">
        <v>279</v>
      </c>
      <c r="M234" s="36" t="s">
        <v>295</v>
      </c>
      <c r="N234" s="40"/>
      <c r="O234" s="3">
        <f t="shared" si="158"/>
        <v>2048499</v>
      </c>
      <c r="P234" s="9">
        <v>1619366.48</v>
      </c>
      <c r="Q234" s="9">
        <v>5200082</v>
      </c>
      <c r="R234" s="9">
        <v>5200083</v>
      </c>
      <c r="S234" s="9">
        <v>5200082</v>
      </c>
      <c r="T234" s="9">
        <v>5501084</v>
      </c>
      <c r="U234" s="9">
        <v>5500083</v>
      </c>
      <c r="V234" s="9">
        <v>5501084</v>
      </c>
      <c r="W234" s="9">
        <v>8</v>
      </c>
      <c r="X234" s="9">
        <v>8</v>
      </c>
      <c r="Y234" s="9">
        <v>8</v>
      </c>
      <c r="Z234" s="9">
        <v>8</v>
      </c>
      <c r="AA234" s="9">
        <v>8</v>
      </c>
      <c r="AB234" s="9">
        <v>8</v>
      </c>
      <c r="AC234" s="9">
        <f t="shared" si="146"/>
        <v>486</v>
      </c>
      <c r="AD234" s="9">
        <f t="shared" si="147"/>
        <v>526</v>
      </c>
      <c r="AE234" s="9">
        <f t="shared" si="148"/>
        <v>526</v>
      </c>
      <c r="AF234" s="9">
        <f t="shared" si="149"/>
        <v>526</v>
      </c>
      <c r="AG234" s="9">
        <f t="shared" si="150"/>
        <v>526</v>
      </c>
      <c r="AH234" s="9">
        <f t="shared" si="151"/>
        <v>526</v>
      </c>
      <c r="AI234" s="7">
        <f t="shared" si="166"/>
        <v>269894.41333333333</v>
      </c>
      <c r="AJ234" s="7">
        <f t="shared" si="162"/>
        <v>269894.41333333333</v>
      </c>
      <c r="AK234" s="7">
        <f t="shared" si="162"/>
        <v>269894.41333333333</v>
      </c>
      <c r="AL234" s="7">
        <f t="shared" si="162"/>
        <v>269894.41333333333</v>
      </c>
      <c r="AM234" s="7">
        <f t="shared" si="162"/>
        <v>269894.41333333333</v>
      </c>
      <c r="AN234" s="7">
        <f t="shared" si="162"/>
        <v>269894.41333333333</v>
      </c>
      <c r="AO234" s="16"/>
      <c r="AP234" s="7"/>
      <c r="AQ234" s="9">
        <v>6</v>
      </c>
      <c r="AR234" s="9">
        <f t="shared" si="152"/>
        <v>558</v>
      </c>
      <c r="AS234" s="7">
        <f t="shared" si="164"/>
        <v>215</v>
      </c>
      <c r="AT234" s="7"/>
      <c r="AU234" s="16"/>
      <c r="AV234" s="7"/>
      <c r="AW234" s="7"/>
      <c r="AX234" s="7"/>
      <c r="AZ234" s="7"/>
      <c r="BA234" s="9">
        <f t="shared" si="165"/>
        <v>226674.14999999956</v>
      </c>
      <c r="BC234" s="5">
        <f t="shared" si="153"/>
        <v>454</v>
      </c>
      <c r="BR234" s="5">
        <v>5401073</v>
      </c>
      <c r="BS234" s="18">
        <f>[1]monsters!$N234</f>
        <v>262.83</v>
      </c>
      <c r="BT234" s="18">
        <f>[1]monsters!$O234</f>
        <v>26.28</v>
      </c>
      <c r="BU234" s="18">
        <f>[1]monsters!$P234</f>
        <v>1508.57</v>
      </c>
      <c r="BV234" s="18">
        <f>[1]monsters!$Q234</f>
        <v>150.86000000000001</v>
      </c>
      <c r="BW234" s="18">
        <f>[1]monsters!$R234</f>
        <v>32.85</v>
      </c>
      <c r="BX234" s="18">
        <f>[1]monsters!$S234</f>
        <v>3.29</v>
      </c>
      <c r="BY234" s="18">
        <f>[1]monsters!$K234</f>
        <v>1.6</v>
      </c>
      <c r="BZ234" s="5">
        <f>[1]monsters!$D234</f>
        <v>5</v>
      </c>
      <c r="CA234" s="5">
        <f t="shared" si="154"/>
        <v>0.1</v>
      </c>
      <c r="CB234" s="5">
        <f t="shared" si="155"/>
        <v>299.16795269360267</v>
      </c>
      <c r="CC234" s="5">
        <f t="shared" si="156"/>
        <v>29.916795269360268</v>
      </c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>
        <v>0</v>
      </c>
      <c r="CR234" s="3" t="b">
        <f t="shared" si="128"/>
        <v>1</v>
      </c>
      <c r="CS234" s="3" t="b">
        <f t="shared" si="129"/>
        <v>1</v>
      </c>
      <c r="CT234" s="3" t="b">
        <f t="shared" si="130"/>
        <v>1</v>
      </c>
      <c r="CU234" s="3" t="b">
        <f t="shared" si="131"/>
        <v>1</v>
      </c>
      <c r="CV234" s="3" t="b">
        <f t="shared" si="132"/>
        <v>1</v>
      </c>
      <c r="CW234" s="3" t="b">
        <f t="shared" si="133"/>
        <v>1</v>
      </c>
      <c r="CX234" s="9" t="str">
        <f t="shared" si="134"/>
        <v>5200082</v>
      </c>
      <c r="CY234" s="9" t="str">
        <f t="shared" si="135"/>
        <v>5200083</v>
      </c>
      <c r="CZ234" s="9" t="str">
        <f t="shared" si="136"/>
        <v>5200082</v>
      </c>
      <c r="DA234" s="9" t="str">
        <f t="shared" si="137"/>
        <v>5501084</v>
      </c>
      <c r="DB234" s="9" t="str">
        <f t="shared" si="138"/>
        <v>5500083</v>
      </c>
      <c r="DC234" s="9" t="str">
        <f t="shared" si="139"/>
        <v>5501084</v>
      </c>
      <c r="DD234" s="9">
        <v>8</v>
      </c>
      <c r="DE234" s="9">
        <v>8</v>
      </c>
      <c r="DF234" s="9">
        <v>8</v>
      </c>
      <c r="DG234" s="9">
        <v>8</v>
      </c>
      <c r="DH234" s="9">
        <v>8</v>
      </c>
      <c r="DI234" s="9">
        <v>8</v>
      </c>
      <c r="DJ234" s="9">
        <v>5</v>
      </c>
      <c r="DK234" s="9">
        <v>5</v>
      </c>
      <c r="DL234" s="9">
        <v>5</v>
      </c>
      <c r="DM234" s="9">
        <v>5</v>
      </c>
      <c r="DN234" s="9">
        <v>5</v>
      </c>
      <c r="DO234" s="9">
        <v>5</v>
      </c>
      <c r="DP234" s="25" t="s">
        <v>199</v>
      </c>
      <c r="DQ234" s="25" t="s">
        <v>113</v>
      </c>
      <c r="DR234" s="25" t="s">
        <v>199</v>
      </c>
      <c r="DS234" s="26" t="s">
        <v>214</v>
      </c>
      <c r="DT234" s="26" t="s">
        <v>207</v>
      </c>
      <c r="DU234" s="26" t="s">
        <v>214</v>
      </c>
      <c r="DV234" s="26">
        <f t="shared" si="140"/>
        <v>1</v>
      </c>
      <c r="DW234" s="26">
        <f t="shared" si="141"/>
        <v>1</v>
      </c>
      <c r="DX234" s="26">
        <f t="shared" si="142"/>
        <v>1</v>
      </c>
      <c r="DY234" s="26">
        <f t="shared" si="143"/>
        <v>2</v>
      </c>
      <c r="DZ234" s="26">
        <f t="shared" si="144"/>
        <v>2</v>
      </c>
      <c r="EA234" s="3">
        <f t="shared" si="145"/>
        <v>2</v>
      </c>
      <c r="EB234" s="39"/>
      <c r="EC234" s="9">
        <v>5501084</v>
      </c>
      <c r="ED234" s="34" t="s">
        <v>214</v>
      </c>
      <c r="EE234" s="8">
        <v>2</v>
      </c>
      <c r="EF234" s="9">
        <v>505540001</v>
      </c>
      <c r="EG234" s="3" t="str">
        <f t="shared" si="157"/>
        <v>对随机4名敌人造成42%攻击伤害，并有100%几率使目标中毒，每秒造成20%攻击伤害，持续3秒。</v>
      </c>
    </row>
    <row r="235" spans="1:137" ht="13.5" customHeight="1">
      <c r="A235" s="9">
        <v>232</v>
      </c>
      <c r="B235" s="9">
        <v>1</v>
      </c>
      <c r="C235" s="9">
        <v>2001</v>
      </c>
      <c r="D235" s="9">
        <f t="shared" si="163"/>
        <v>2059094</v>
      </c>
      <c r="E235" s="9" t="str">
        <f t="shared" si="159"/>
        <v>5202082,5201082,5301081,5400085,5501085,5402081</v>
      </c>
      <c r="F235" s="9" t="str">
        <f t="shared" si="160"/>
        <v>8,8,8,8,8,8</v>
      </c>
      <c r="G235" s="9" t="str">
        <f t="shared" si="161"/>
        <v>488,528,528,528,528,528</v>
      </c>
      <c r="H235" s="9">
        <v>132</v>
      </c>
      <c r="I235" s="9" t="s">
        <v>278</v>
      </c>
      <c r="J235" s="9" t="s">
        <v>279</v>
      </c>
      <c r="K235" s="9" t="s">
        <v>279</v>
      </c>
      <c r="L235" s="9" t="s">
        <v>279</v>
      </c>
      <c r="M235" s="36" t="s">
        <v>295</v>
      </c>
      <c r="N235" s="40"/>
      <c r="O235" s="3">
        <f t="shared" si="158"/>
        <v>2059094</v>
      </c>
      <c r="P235" s="9">
        <v>1627742.39</v>
      </c>
      <c r="Q235" s="9">
        <v>5202082</v>
      </c>
      <c r="R235" s="9">
        <v>5201082</v>
      </c>
      <c r="S235" s="9">
        <v>5301081</v>
      </c>
      <c r="T235" s="9">
        <v>5400085</v>
      </c>
      <c r="U235" s="9">
        <v>5501085</v>
      </c>
      <c r="V235" s="9">
        <v>5402081</v>
      </c>
      <c r="W235" s="9">
        <v>8</v>
      </c>
      <c r="X235" s="9">
        <v>8</v>
      </c>
      <c r="Y235" s="9">
        <v>8</v>
      </c>
      <c r="Z235" s="9">
        <v>8</v>
      </c>
      <c r="AA235" s="9">
        <v>8</v>
      </c>
      <c r="AB235" s="9">
        <v>8</v>
      </c>
      <c r="AC235" s="9">
        <f t="shared" si="146"/>
        <v>488</v>
      </c>
      <c r="AD235" s="9">
        <f t="shared" si="147"/>
        <v>528</v>
      </c>
      <c r="AE235" s="9">
        <f t="shared" si="148"/>
        <v>528</v>
      </c>
      <c r="AF235" s="9">
        <f t="shared" si="149"/>
        <v>528</v>
      </c>
      <c r="AG235" s="9">
        <f t="shared" si="150"/>
        <v>528</v>
      </c>
      <c r="AH235" s="9">
        <f t="shared" si="151"/>
        <v>528</v>
      </c>
      <c r="AI235" s="7">
        <f t="shared" si="166"/>
        <v>271290.39833333332</v>
      </c>
      <c r="AJ235" s="7">
        <f t="shared" si="162"/>
        <v>271290.39833333332</v>
      </c>
      <c r="AK235" s="7">
        <f t="shared" si="162"/>
        <v>271290.39833333332</v>
      </c>
      <c r="AL235" s="7">
        <f t="shared" si="162"/>
        <v>271290.39833333332</v>
      </c>
      <c r="AM235" s="7">
        <f t="shared" si="162"/>
        <v>271290.39833333332</v>
      </c>
      <c r="AN235" s="7">
        <f t="shared" si="162"/>
        <v>271290.39833333332</v>
      </c>
      <c r="AO235" s="16"/>
      <c r="AP235" s="7"/>
      <c r="AQ235" s="9">
        <v>6</v>
      </c>
      <c r="AR235" s="9">
        <f t="shared" si="152"/>
        <v>559</v>
      </c>
      <c r="AS235" s="7">
        <f t="shared" si="164"/>
        <v>216</v>
      </c>
      <c r="AT235" s="7"/>
      <c r="AU235" s="16"/>
      <c r="AV235" s="7"/>
      <c r="AW235" s="7"/>
      <c r="AX235" s="7"/>
      <c r="AZ235" s="7"/>
      <c r="BA235" s="9">
        <f t="shared" si="165"/>
        <v>228765.29999999955</v>
      </c>
      <c r="BC235" s="5">
        <f t="shared" si="153"/>
        <v>456</v>
      </c>
      <c r="BR235" s="5">
        <v>5501073</v>
      </c>
      <c r="BS235" s="18">
        <f>[1]monsters!$N235</f>
        <v>254.61</v>
      </c>
      <c r="BT235" s="18">
        <f>[1]monsters!$O235</f>
        <v>25.46</v>
      </c>
      <c r="BU235" s="18">
        <f>[1]monsters!$P235</f>
        <v>1362.58</v>
      </c>
      <c r="BV235" s="18">
        <f>[1]monsters!$Q235</f>
        <v>136.26</v>
      </c>
      <c r="BW235" s="18">
        <f>[1]monsters!$R235</f>
        <v>25.46</v>
      </c>
      <c r="BX235" s="18">
        <f>[1]monsters!$S235</f>
        <v>2.5499999999999998</v>
      </c>
      <c r="BY235" s="18">
        <f>[1]monsters!$K235</f>
        <v>1.4</v>
      </c>
      <c r="BZ235" s="5">
        <f>[1]monsters!$D235</f>
        <v>6</v>
      </c>
      <c r="CA235" s="5">
        <f t="shared" si="154"/>
        <v>0.1</v>
      </c>
      <c r="CB235" s="5">
        <f t="shared" si="155"/>
        <v>286.48456447811452</v>
      </c>
      <c r="CC235" s="5">
        <f t="shared" si="156"/>
        <v>28.648456447811455</v>
      </c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>
        <v>0</v>
      </c>
      <c r="CR235" s="3" t="b">
        <f t="shared" si="128"/>
        <v>1</v>
      </c>
      <c r="CS235" s="3" t="b">
        <f t="shared" si="129"/>
        <v>1</v>
      </c>
      <c r="CT235" s="3" t="b">
        <f t="shared" si="130"/>
        <v>1</v>
      </c>
      <c r="CU235" s="3" t="b">
        <f t="shared" si="131"/>
        <v>1</v>
      </c>
      <c r="CV235" s="3" t="b">
        <f t="shared" si="132"/>
        <v>1</v>
      </c>
      <c r="CW235" s="3" t="b">
        <f t="shared" si="133"/>
        <v>1</v>
      </c>
      <c r="CX235" s="9" t="str">
        <f t="shared" si="134"/>
        <v>5202082</v>
      </c>
      <c r="CY235" s="9" t="str">
        <f t="shared" si="135"/>
        <v>5201082</v>
      </c>
      <c r="CZ235" s="9" t="str">
        <f t="shared" si="136"/>
        <v>5301081</v>
      </c>
      <c r="DA235" s="9" t="str">
        <f t="shared" si="137"/>
        <v>5400085</v>
      </c>
      <c r="DB235" s="9" t="str">
        <f t="shared" si="138"/>
        <v>5501085</v>
      </c>
      <c r="DC235" s="9" t="str">
        <f t="shared" si="139"/>
        <v>5402081</v>
      </c>
      <c r="DD235" s="9">
        <v>8</v>
      </c>
      <c r="DE235" s="9">
        <v>8</v>
      </c>
      <c r="DF235" s="9">
        <v>8</v>
      </c>
      <c r="DG235" s="9">
        <v>8</v>
      </c>
      <c r="DH235" s="9">
        <v>8</v>
      </c>
      <c r="DI235" s="9">
        <v>8</v>
      </c>
      <c r="DJ235" s="9">
        <v>5</v>
      </c>
      <c r="DK235" s="9">
        <v>5</v>
      </c>
      <c r="DL235" s="9">
        <v>5</v>
      </c>
      <c r="DM235" s="9">
        <v>5</v>
      </c>
      <c r="DN235" s="9">
        <v>5</v>
      </c>
      <c r="DO235" s="9">
        <v>5</v>
      </c>
      <c r="DP235" s="25" t="s">
        <v>200</v>
      </c>
      <c r="DQ235" s="25" t="s">
        <v>114</v>
      </c>
      <c r="DR235" s="25" t="s">
        <v>107</v>
      </c>
      <c r="DS235" s="25" t="s">
        <v>210</v>
      </c>
      <c r="DT235" s="25" t="s">
        <v>209</v>
      </c>
      <c r="DU235" s="25" t="s">
        <v>196</v>
      </c>
      <c r="DV235" s="25">
        <f t="shared" si="140"/>
        <v>1</v>
      </c>
      <c r="DW235" s="25">
        <f t="shared" si="141"/>
        <v>1</v>
      </c>
      <c r="DX235" s="25">
        <f t="shared" si="142"/>
        <v>1</v>
      </c>
      <c r="DY235" s="25">
        <f t="shared" si="143"/>
        <v>2</v>
      </c>
      <c r="DZ235" s="25">
        <f t="shared" si="144"/>
        <v>2</v>
      </c>
      <c r="EA235" s="3">
        <f t="shared" si="145"/>
        <v>2</v>
      </c>
      <c r="EB235" s="39"/>
      <c r="EC235" s="9">
        <v>5600084</v>
      </c>
      <c r="ED235" s="34" t="s">
        <v>219</v>
      </c>
      <c r="EE235" s="8">
        <v>1</v>
      </c>
    </row>
    <row r="236" spans="1:137" ht="13.5" customHeight="1">
      <c r="A236" s="9">
        <v>233</v>
      </c>
      <c r="B236" s="9">
        <v>1</v>
      </c>
      <c r="C236" s="9">
        <v>2001</v>
      </c>
      <c r="D236" s="9">
        <f t="shared" si="163"/>
        <v>2069717</v>
      </c>
      <c r="E236" s="9" t="str">
        <f t="shared" si="159"/>
        <v>5301081,5301082,5301083,5500082,5500081,5500082</v>
      </c>
      <c r="F236" s="9" t="str">
        <f t="shared" si="160"/>
        <v>8,8,8,8,8,8</v>
      </c>
      <c r="G236" s="9" t="str">
        <f t="shared" si="161"/>
        <v>489,529,529,529,529,529</v>
      </c>
      <c r="H236" s="9">
        <v>133</v>
      </c>
      <c r="I236" s="9" t="s">
        <v>278</v>
      </c>
      <c r="J236" s="9" t="s">
        <v>279</v>
      </c>
      <c r="K236" s="9" t="s">
        <v>279</v>
      </c>
      <c r="L236" s="9" t="s">
        <v>279</v>
      </c>
      <c r="M236" s="36" t="s">
        <v>295</v>
      </c>
      <c r="N236" s="40"/>
      <c r="O236" s="3">
        <f t="shared" si="158"/>
        <v>2069717</v>
      </c>
      <c r="P236" s="9">
        <v>1636140.19</v>
      </c>
      <c r="Q236" s="9">
        <v>5301081</v>
      </c>
      <c r="R236" s="9">
        <v>5301082</v>
      </c>
      <c r="S236" s="9">
        <v>5301083</v>
      </c>
      <c r="T236" s="9">
        <v>5500082</v>
      </c>
      <c r="U236" s="9">
        <v>5500081</v>
      </c>
      <c r="V236" s="9">
        <v>5500082</v>
      </c>
      <c r="W236" s="9">
        <v>8</v>
      </c>
      <c r="X236" s="9">
        <v>8</v>
      </c>
      <c r="Y236" s="9">
        <v>8</v>
      </c>
      <c r="Z236" s="9">
        <v>8</v>
      </c>
      <c r="AA236" s="9">
        <v>8</v>
      </c>
      <c r="AB236" s="9">
        <v>8</v>
      </c>
      <c r="AC236" s="9">
        <f t="shared" si="146"/>
        <v>489</v>
      </c>
      <c r="AD236" s="9">
        <f t="shared" si="147"/>
        <v>529</v>
      </c>
      <c r="AE236" s="9">
        <f t="shared" si="148"/>
        <v>529</v>
      </c>
      <c r="AF236" s="9">
        <f t="shared" si="149"/>
        <v>529</v>
      </c>
      <c r="AG236" s="9">
        <f t="shared" si="150"/>
        <v>529</v>
      </c>
      <c r="AH236" s="9">
        <f t="shared" si="151"/>
        <v>529</v>
      </c>
      <c r="AI236" s="7">
        <f t="shared" si="166"/>
        <v>272690.03166666668</v>
      </c>
      <c r="AJ236" s="7">
        <f t="shared" si="162"/>
        <v>272690.03166666668</v>
      </c>
      <c r="AK236" s="7">
        <f t="shared" si="162"/>
        <v>272690.03166666668</v>
      </c>
      <c r="AL236" s="7">
        <f t="shared" si="162"/>
        <v>272690.03166666668</v>
      </c>
      <c r="AM236" s="7">
        <f t="shared" si="162"/>
        <v>272690.03166666668</v>
      </c>
      <c r="AN236" s="7">
        <f t="shared" si="162"/>
        <v>272690.03166666668</v>
      </c>
      <c r="AO236" s="16"/>
      <c r="AP236" s="7"/>
      <c r="AQ236" s="9">
        <v>6</v>
      </c>
      <c r="AR236" s="9">
        <f t="shared" si="152"/>
        <v>561</v>
      </c>
      <c r="AS236" s="7">
        <f t="shared" si="164"/>
        <v>216</v>
      </c>
      <c r="AT236" s="7"/>
      <c r="AU236" s="16"/>
      <c r="AV236" s="7"/>
      <c r="AW236" s="7"/>
      <c r="AX236" s="7"/>
      <c r="AZ236" s="7"/>
      <c r="BA236" s="9">
        <f t="shared" si="165"/>
        <v>230856.44999999955</v>
      </c>
      <c r="BC236" s="5">
        <f t="shared" si="153"/>
        <v>457</v>
      </c>
      <c r="BR236" s="5">
        <v>5502073</v>
      </c>
      <c r="BS236" s="18">
        <f>[1]monsters!$N236</f>
        <v>327.36</v>
      </c>
      <c r="BT236" s="18">
        <f>[1]monsters!$O236</f>
        <v>32.74</v>
      </c>
      <c r="BU236" s="18">
        <f>[1]monsters!$P236</f>
        <v>1362.58</v>
      </c>
      <c r="BV236" s="18">
        <f>[1]monsters!$Q236</f>
        <v>136.26</v>
      </c>
      <c r="BW236" s="18">
        <f>[1]monsters!$R236</f>
        <v>32.74</v>
      </c>
      <c r="BX236" s="18">
        <f>[1]monsters!$S236</f>
        <v>3.27</v>
      </c>
      <c r="BY236" s="18">
        <f>[1]monsters!$K236</f>
        <v>1.8</v>
      </c>
      <c r="BZ236" s="5">
        <f>[1]monsters!$D236</f>
        <v>6</v>
      </c>
      <c r="CA236" s="5">
        <f t="shared" si="154"/>
        <v>0.1</v>
      </c>
      <c r="CB236" s="5">
        <f t="shared" si="155"/>
        <v>355.23331447811449</v>
      </c>
      <c r="CC236" s="5">
        <f t="shared" si="156"/>
        <v>35.523331447811451</v>
      </c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>
        <v>0</v>
      </c>
      <c r="CR236" s="3" t="b">
        <f t="shared" si="128"/>
        <v>1</v>
      </c>
      <c r="CS236" s="3" t="b">
        <f t="shared" si="129"/>
        <v>1</v>
      </c>
      <c r="CT236" s="3" t="b">
        <f t="shared" si="130"/>
        <v>1</v>
      </c>
      <c r="CU236" s="3" t="b">
        <f t="shared" si="131"/>
        <v>1</v>
      </c>
      <c r="CV236" s="3" t="b">
        <f t="shared" si="132"/>
        <v>1</v>
      </c>
      <c r="CW236" s="3" t="b">
        <f t="shared" si="133"/>
        <v>1</v>
      </c>
      <c r="CX236" s="9" t="str">
        <f t="shared" si="134"/>
        <v>5301081</v>
      </c>
      <c r="CY236" s="9" t="str">
        <f t="shared" si="135"/>
        <v>5301082</v>
      </c>
      <c r="CZ236" s="9" t="str">
        <f t="shared" si="136"/>
        <v>5301083</v>
      </c>
      <c r="DA236" s="9" t="str">
        <f t="shared" si="137"/>
        <v>5500082</v>
      </c>
      <c r="DB236" s="9" t="str">
        <f t="shared" si="138"/>
        <v>5500081</v>
      </c>
      <c r="DC236" s="9" t="str">
        <f t="shared" si="139"/>
        <v>5500082</v>
      </c>
      <c r="DD236" s="9">
        <v>8</v>
      </c>
      <c r="DE236" s="9">
        <v>8</v>
      </c>
      <c r="DF236" s="9">
        <v>8</v>
      </c>
      <c r="DG236" s="9">
        <v>8</v>
      </c>
      <c r="DH236" s="9">
        <v>8</v>
      </c>
      <c r="DI236" s="9">
        <v>8</v>
      </c>
      <c r="DJ236" s="9">
        <v>5</v>
      </c>
      <c r="DK236" s="9">
        <v>5</v>
      </c>
      <c r="DL236" s="9">
        <v>5</v>
      </c>
      <c r="DM236" s="9">
        <v>5</v>
      </c>
      <c r="DN236" s="9">
        <v>5</v>
      </c>
      <c r="DO236" s="9">
        <v>5</v>
      </c>
      <c r="DP236" s="26" t="s">
        <v>107</v>
      </c>
      <c r="DQ236" s="26" t="s">
        <v>201</v>
      </c>
      <c r="DR236" s="26" t="s">
        <v>206</v>
      </c>
      <c r="DS236" s="26" t="s">
        <v>109</v>
      </c>
      <c r="DT236" s="26" t="s">
        <v>197</v>
      </c>
      <c r="DU236" s="26" t="s">
        <v>109</v>
      </c>
      <c r="DV236" s="26">
        <f t="shared" si="140"/>
        <v>1</v>
      </c>
      <c r="DW236" s="26">
        <f t="shared" si="141"/>
        <v>1</v>
      </c>
      <c r="DX236" s="26">
        <f t="shared" si="142"/>
        <v>1</v>
      </c>
      <c r="DY236" s="26">
        <f t="shared" si="143"/>
        <v>2</v>
      </c>
      <c r="DZ236" s="26">
        <f t="shared" si="144"/>
        <v>2</v>
      </c>
      <c r="EA236" s="3">
        <f t="shared" si="145"/>
        <v>2</v>
      </c>
      <c r="EB236" s="39"/>
      <c r="EC236" s="9">
        <v>5602084</v>
      </c>
      <c r="ED236" s="34" t="s">
        <v>220</v>
      </c>
      <c r="EE236" s="8">
        <v>2</v>
      </c>
    </row>
    <row r="237" spans="1:137" ht="13.5" customHeight="1">
      <c r="A237" s="9">
        <v>234</v>
      </c>
      <c r="B237" s="9">
        <v>1</v>
      </c>
      <c r="C237" s="9">
        <v>2001</v>
      </c>
      <c r="D237" s="9">
        <f t="shared" si="163"/>
        <v>2080368</v>
      </c>
      <c r="E237" s="9" t="str">
        <f t="shared" si="159"/>
        <v>5201082,5202083,5201082,5400085,5501085,5402081</v>
      </c>
      <c r="F237" s="9" t="str">
        <f t="shared" si="160"/>
        <v>8,8,8,8,8,8</v>
      </c>
      <c r="G237" s="9" t="str">
        <f t="shared" si="161"/>
        <v>490,530,530,530,530,530</v>
      </c>
      <c r="H237" s="9">
        <v>133</v>
      </c>
      <c r="I237" s="9" t="s">
        <v>278</v>
      </c>
      <c r="J237" s="9" t="s">
        <v>279</v>
      </c>
      <c r="K237" s="9" t="s">
        <v>279</v>
      </c>
      <c r="L237" s="9" t="s">
        <v>279</v>
      </c>
      <c r="M237" s="36" t="s">
        <v>295</v>
      </c>
      <c r="N237" s="40"/>
      <c r="O237" s="3">
        <f t="shared" si="158"/>
        <v>2080368</v>
      </c>
      <c r="P237" s="9">
        <v>1644559.88</v>
      </c>
      <c r="Q237" s="9">
        <v>5201082</v>
      </c>
      <c r="R237" s="9">
        <v>5202083</v>
      </c>
      <c r="S237" s="9">
        <v>5201082</v>
      </c>
      <c r="T237" s="9">
        <v>5400085</v>
      </c>
      <c r="U237" s="9">
        <v>5501085</v>
      </c>
      <c r="V237" s="9">
        <v>5402081</v>
      </c>
      <c r="W237" s="9">
        <v>8</v>
      </c>
      <c r="X237" s="9">
        <v>8</v>
      </c>
      <c r="Y237" s="9">
        <v>8</v>
      </c>
      <c r="Z237" s="9">
        <v>8</v>
      </c>
      <c r="AA237" s="9">
        <v>8</v>
      </c>
      <c r="AB237" s="9">
        <v>8</v>
      </c>
      <c r="AC237" s="9">
        <f t="shared" si="146"/>
        <v>490</v>
      </c>
      <c r="AD237" s="9">
        <f t="shared" si="147"/>
        <v>530</v>
      </c>
      <c r="AE237" s="9">
        <f t="shared" si="148"/>
        <v>530</v>
      </c>
      <c r="AF237" s="9">
        <f t="shared" si="149"/>
        <v>530</v>
      </c>
      <c r="AG237" s="9">
        <f t="shared" si="150"/>
        <v>530</v>
      </c>
      <c r="AH237" s="9">
        <f t="shared" si="151"/>
        <v>530</v>
      </c>
      <c r="AI237" s="7">
        <f t="shared" si="166"/>
        <v>274093.3133333333</v>
      </c>
      <c r="AJ237" s="7">
        <f t="shared" si="162"/>
        <v>274093.3133333333</v>
      </c>
      <c r="AK237" s="7">
        <f t="shared" si="162"/>
        <v>274093.3133333333</v>
      </c>
      <c r="AL237" s="7">
        <f t="shared" si="162"/>
        <v>274093.3133333333</v>
      </c>
      <c r="AM237" s="7">
        <f t="shared" si="162"/>
        <v>274093.3133333333</v>
      </c>
      <c r="AN237" s="7">
        <f t="shared" si="162"/>
        <v>274093.3133333333</v>
      </c>
      <c r="AO237" s="16"/>
      <c r="AP237" s="7"/>
      <c r="AQ237" s="9">
        <v>6</v>
      </c>
      <c r="AR237" s="9">
        <f t="shared" si="152"/>
        <v>562</v>
      </c>
      <c r="AS237" s="7">
        <f t="shared" si="164"/>
        <v>217</v>
      </c>
      <c r="AT237" s="7"/>
      <c r="AU237" s="16"/>
      <c r="AV237" s="7"/>
      <c r="AW237" s="7"/>
      <c r="AX237" s="7"/>
      <c r="AZ237" s="7"/>
      <c r="BA237" s="9">
        <f t="shared" si="165"/>
        <v>232947.59999999954</v>
      </c>
      <c r="BC237" s="5">
        <f t="shared" si="153"/>
        <v>458</v>
      </c>
      <c r="BR237" s="5">
        <v>5600073</v>
      </c>
      <c r="BS237" s="18">
        <f>[1]monsters!$N237</f>
        <v>190.08</v>
      </c>
      <c r="BT237" s="18">
        <f>[1]monsters!$O237</f>
        <v>19.010000000000002</v>
      </c>
      <c r="BU237" s="18">
        <f>[1]monsters!$P237</f>
        <v>2346.67</v>
      </c>
      <c r="BV237" s="18">
        <f>[1]monsters!$Q237</f>
        <v>234.67</v>
      </c>
      <c r="BW237" s="18">
        <f>[1]monsters!$R237</f>
        <v>38.020000000000003</v>
      </c>
      <c r="BX237" s="18">
        <f>[1]monsters!$S237</f>
        <v>3.8</v>
      </c>
      <c r="BY237" s="18">
        <f>[1]monsters!$K237</f>
        <v>1.8</v>
      </c>
      <c r="BZ237" s="5">
        <f>[1]monsters!$D237</f>
        <v>2</v>
      </c>
      <c r="CA237" s="5">
        <f t="shared" si="154"/>
        <v>0.1</v>
      </c>
      <c r="CB237" s="5">
        <f t="shared" si="155"/>
        <v>258.63805791245795</v>
      </c>
      <c r="CC237" s="5">
        <f t="shared" si="156"/>
        <v>25.863805791245795</v>
      </c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>
        <v>0</v>
      </c>
      <c r="CR237" s="3" t="b">
        <f t="shared" si="128"/>
        <v>1</v>
      </c>
      <c r="CS237" s="3" t="b">
        <f t="shared" si="129"/>
        <v>1</v>
      </c>
      <c r="CT237" s="3" t="b">
        <f t="shared" si="130"/>
        <v>1</v>
      </c>
      <c r="CU237" s="3" t="b">
        <f t="shared" si="131"/>
        <v>1</v>
      </c>
      <c r="CV237" s="3" t="b">
        <f t="shared" si="132"/>
        <v>1</v>
      </c>
      <c r="CW237" s="3" t="b">
        <f t="shared" si="133"/>
        <v>1</v>
      </c>
      <c r="CX237" s="9" t="str">
        <f t="shared" si="134"/>
        <v>5201082</v>
      </c>
      <c r="CY237" s="9" t="str">
        <f t="shared" si="135"/>
        <v>5202083</v>
      </c>
      <c r="CZ237" s="9" t="str">
        <f t="shared" si="136"/>
        <v>5201082</v>
      </c>
      <c r="DA237" s="9" t="str">
        <f t="shared" si="137"/>
        <v>5400085</v>
      </c>
      <c r="DB237" s="9" t="str">
        <f t="shared" si="138"/>
        <v>5501085</v>
      </c>
      <c r="DC237" s="9" t="str">
        <f t="shared" si="139"/>
        <v>5402081</v>
      </c>
      <c r="DD237" s="9">
        <v>8</v>
      </c>
      <c r="DE237" s="9">
        <v>8</v>
      </c>
      <c r="DF237" s="9">
        <v>8</v>
      </c>
      <c r="DG237" s="9">
        <v>8</v>
      </c>
      <c r="DH237" s="9">
        <v>8</v>
      </c>
      <c r="DI237" s="9">
        <v>8</v>
      </c>
      <c r="DJ237" s="9">
        <v>5</v>
      </c>
      <c r="DK237" s="9">
        <v>5</v>
      </c>
      <c r="DL237" s="9">
        <v>5</v>
      </c>
      <c r="DM237" s="9">
        <v>5</v>
      </c>
      <c r="DN237" s="9">
        <v>5</v>
      </c>
      <c r="DO237" s="9">
        <v>5</v>
      </c>
      <c r="DP237" s="25" t="s">
        <v>114</v>
      </c>
      <c r="DQ237" s="27" t="s">
        <v>208</v>
      </c>
      <c r="DR237" s="25" t="s">
        <v>114</v>
      </c>
      <c r="DS237" s="25" t="s">
        <v>210</v>
      </c>
      <c r="DT237" s="25" t="s">
        <v>209</v>
      </c>
      <c r="DU237" s="25" t="s">
        <v>196</v>
      </c>
      <c r="DV237" s="25">
        <f t="shared" si="140"/>
        <v>1</v>
      </c>
      <c r="DW237" s="25">
        <f t="shared" si="141"/>
        <v>1</v>
      </c>
      <c r="DX237" s="25">
        <f t="shared" si="142"/>
        <v>1</v>
      </c>
      <c r="DY237" s="25">
        <f t="shared" si="143"/>
        <v>2</v>
      </c>
      <c r="DZ237" s="25">
        <f t="shared" si="144"/>
        <v>2</v>
      </c>
      <c r="EA237" s="3">
        <f t="shared" si="145"/>
        <v>2</v>
      </c>
      <c r="EB237" s="39"/>
      <c r="EC237" s="9">
        <v>5202085</v>
      </c>
      <c r="ED237" s="34" t="s">
        <v>213</v>
      </c>
      <c r="EE237" s="8">
        <v>1</v>
      </c>
    </row>
    <row r="238" spans="1:137" ht="13.5" customHeight="1">
      <c r="A238" s="9">
        <v>235</v>
      </c>
      <c r="B238" s="9">
        <v>1</v>
      </c>
      <c r="C238" s="9">
        <v>2001</v>
      </c>
      <c r="D238" s="9">
        <f t="shared" si="163"/>
        <v>2091880</v>
      </c>
      <c r="E238" s="9" t="str">
        <f t="shared" si="159"/>
        <v>5600084,5202083,5201084,5501084,5501084,5501084</v>
      </c>
      <c r="F238" s="9" t="str">
        <f t="shared" si="160"/>
        <v>8,8,8,8,8,8</v>
      </c>
      <c r="G238" s="9" t="str">
        <f t="shared" si="161"/>
        <v>492,532,532,532,532,532</v>
      </c>
      <c r="H238" s="9">
        <v>134</v>
      </c>
      <c r="I238" s="9" t="s">
        <v>278</v>
      </c>
      <c r="J238" s="9" t="s">
        <v>279</v>
      </c>
      <c r="K238" s="9" t="s">
        <v>279</v>
      </c>
      <c r="L238" s="9" t="s">
        <v>279</v>
      </c>
      <c r="M238" s="36" t="s">
        <v>295</v>
      </c>
      <c r="O238" s="3">
        <f t="shared" si="158"/>
        <v>2091880</v>
      </c>
      <c r="P238" s="9">
        <v>1653660.15</v>
      </c>
      <c r="Q238" s="9">
        <v>5600084</v>
      </c>
      <c r="R238" s="9">
        <v>5202083</v>
      </c>
      <c r="S238" s="9">
        <v>5201084</v>
      </c>
      <c r="T238" s="9">
        <v>5501084</v>
      </c>
      <c r="U238" s="9">
        <v>5501084</v>
      </c>
      <c r="V238" s="9">
        <v>5501084</v>
      </c>
      <c r="W238" s="9">
        <v>8</v>
      </c>
      <c r="X238" s="9">
        <v>8</v>
      </c>
      <c r="Y238" s="9">
        <v>8</v>
      </c>
      <c r="Z238" s="9">
        <v>8</v>
      </c>
      <c r="AA238" s="9">
        <v>8</v>
      </c>
      <c r="AB238" s="9">
        <v>8</v>
      </c>
      <c r="AC238" s="9">
        <f t="shared" si="146"/>
        <v>492</v>
      </c>
      <c r="AD238" s="9">
        <f t="shared" si="147"/>
        <v>532</v>
      </c>
      <c r="AE238" s="9">
        <f t="shared" si="148"/>
        <v>532</v>
      </c>
      <c r="AF238" s="9">
        <f t="shared" si="149"/>
        <v>532</v>
      </c>
      <c r="AG238" s="9">
        <f t="shared" si="150"/>
        <v>532</v>
      </c>
      <c r="AH238" s="9">
        <f t="shared" si="151"/>
        <v>532</v>
      </c>
      <c r="AI238" s="7">
        <f t="shared" si="166"/>
        <v>275610.02499999997</v>
      </c>
      <c r="AJ238" s="7">
        <f t="shared" si="162"/>
        <v>275610.02499999997</v>
      </c>
      <c r="AK238" s="7">
        <f t="shared" si="162"/>
        <v>275610.02499999997</v>
      </c>
      <c r="AL238" s="7">
        <f t="shared" si="162"/>
        <v>275610.02499999997</v>
      </c>
      <c r="AM238" s="7">
        <f t="shared" si="162"/>
        <v>275610.02499999997</v>
      </c>
      <c r="AN238" s="7">
        <f t="shared" si="162"/>
        <v>275610.02499999997</v>
      </c>
      <c r="AO238" s="16"/>
      <c r="AP238" s="7"/>
      <c r="AQ238" s="9">
        <v>6</v>
      </c>
      <c r="AR238" s="9">
        <f t="shared" si="152"/>
        <v>564</v>
      </c>
      <c r="AS238" s="7">
        <f t="shared" si="164"/>
        <v>217</v>
      </c>
      <c r="AT238" s="7"/>
      <c r="AU238" s="16"/>
      <c r="AV238" s="7"/>
      <c r="AW238" s="7"/>
      <c r="AX238" s="7"/>
      <c r="AZ238" s="7"/>
      <c r="BA238" s="9">
        <f t="shared" si="165"/>
        <v>235038.74999999953</v>
      </c>
      <c r="BC238" s="5">
        <f t="shared" si="153"/>
        <v>459</v>
      </c>
      <c r="BR238" s="5">
        <v>5601073</v>
      </c>
      <c r="BS238" s="18">
        <f>[1]monsters!$N238</f>
        <v>137.28</v>
      </c>
      <c r="BT238" s="18">
        <f>[1]monsters!$O238</f>
        <v>13.73</v>
      </c>
      <c r="BU238" s="18">
        <f>[1]monsters!$P238</f>
        <v>2346.67</v>
      </c>
      <c r="BV238" s="18">
        <f>[1]monsters!$Q238</f>
        <v>234.67</v>
      </c>
      <c r="BW238" s="18">
        <f>[1]monsters!$R238</f>
        <v>27.46</v>
      </c>
      <c r="BX238" s="18">
        <f>[1]monsters!$S238</f>
        <v>2.75</v>
      </c>
      <c r="BY238" s="18">
        <f>[1]monsters!$K238</f>
        <v>1.3</v>
      </c>
      <c r="BZ238" s="5">
        <f>[1]monsters!$D238</f>
        <v>3</v>
      </c>
      <c r="CA238" s="5">
        <f t="shared" si="154"/>
        <v>0.1</v>
      </c>
      <c r="CB238" s="5">
        <f t="shared" si="155"/>
        <v>208.74205791245791</v>
      </c>
      <c r="CC238" s="5">
        <f t="shared" si="156"/>
        <v>20.874205791245792</v>
      </c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>
        <v>1</v>
      </c>
      <c r="CR238" s="3" t="b">
        <f t="shared" si="128"/>
        <v>1</v>
      </c>
      <c r="CS238" s="3" t="b">
        <f t="shared" si="129"/>
        <v>1</v>
      </c>
      <c r="CT238" s="3" t="b">
        <f t="shared" si="130"/>
        <v>1</v>
      </c>
      <c r="CU238" s="3" t="b">
        <f t="shared" si="131"/>
        <v>1</v>
      </c>
      <c r="CV238" s="3" t="b">
        <f t="shared" si="132"/>
        <v>1</v>
      </c>
      <c r="CW238" s="3" t="b">
        <f t="shared" si="133"/>
        <v>1</v>
      </c>
      <c r="CX238" s="9" t="str">
        <f t="shared" si="134"/>
        <v>5600084</v>
      </c>
      <c r="CY238" s="9" t="str">
        <f t="shared" si="135"/>
        <v>5202083</v>
      </c>
      <c r="CZ238" s="9" t="str">
        <f t="shared" si="136"/>
        <v>5201084</v>
      </c>
      <c r="DA238" s="9" t="str">
        <f t="shared" si="137"/>
        <v>5501084</v>
      </c>
      <c r="DB238" s="9" t="str">
        <f t="shared" si="138"/>
        <v>5501084</v>
      </c>
      <c r="DC238" s="9" t="str">
        <f t="shared" si="139"/>
        <v>5501084</v>
      </c>
      <c r="DD238" s="9">
        <v>8</v>
      </c>
      <c r="DE238" s="9">
        <v>8</v>
      </c>
      <c r="DF238" s="9">
        <v>8</v>
      </c>
      <c r="DG238" s="9">
        <v>8</v>
      </c>
      <c r="DH238" s="9">
        <v>8</v>
      </c>
      <c r="DI238" s="9">
        <v>8</v>
      </c>
      <c r="DJ238" s="9">
        <v>5</v>
      </c>
      <c r="DK238" s="9">
        <v>5</v>
      </c>
      <c r="DL238" s="9">
        <v>5</v>
      </c>
      <c r="DM238" s="9">
        <v>5</v>
      </c>
      <c r="DN238" s="9">
        <v>5</v>
      </c>
      <c r="DO238" s="9">
        <v>5</v>
      </c>
      <c r="DP238" s="27" t="s">
        <v>219</v>
      </c>
      <c r="DQ238" s="25" t="s">
        <v>208</v>
      </c>
      <c r="DR238" s="25" t="s">
        <v>217</v>
      </c>
      <c r="DS238" s="25" t="s">
        <v>214</v>
      </c>
      <c r="DT238" s="25" t="s">
        <v>214</v>
      </c>
      <c r="DU238" s="25" t="s">
        <v>214</v>
      </c>
      <c r="DV238" s="25">
        <f t="shared" si="140"/>
        <v>1</v>
      </c>
      <c r="DW238" s="25">
        <f t="shared" si="141"/>
        <v>1</v>
      </c>
      <c r="DX238" s="25">
        <f t="shared" si="142"/>
        <v>1</v>
      </c>
      <c r="DY238" s="25">
        <f t="shared" si="143"/>
        <v>2</v>
      </c>
      <c r="DZ238" s="25">
        <f t="shared" si="144"/>
        <v>2</v>
      </c>
      <c r="EA238" s="3">
        <f t="shared" si="145"/>
        <v>2</v>
      </c>
      <c r="EB238" s="39"/>
      <c r="EC238" s="9">
        <v>5300085</v>
      </c>
      <c r="ED238" s="34" t="s">
        <v>212</v>
      </c>
      <c r="EE238" s="8">
        <v>1</v>
      </c>
    </row>
    <row r="239" spans="1:137" ht="13.5" customHeight="1">
      <c r="A239" s="9">
        <v>236</v>
      </c>
      <c r="B239" s="9">
        <v>1</v>
      </c>
      <c r="C239" s="9">
        <v>2001</v>
      </c>
      <c r="D239" s="9">
        <f t="shared" si="163"/>
        <v>2102586</v>
      </c>
      <c r="E239" s="9" t="str">
        <f t="shared" si="159"/>
        <v>5200081,5301082,5200082,5402082,5400085,5400085</v>
      </c>
      <c r="F239" s="9" t="str">
        <f t="shared" si="160"/>
        <v>8,8,8,8,8,8</v>
      </c>
      <c r="G239" s="9" t="str">
        <f t="shared" si="161"/>
        <v>493,533,533,533,533,533</v>
      </c>
      <c r="H239" s="9">
        <v>134</v>
      </c>
      <c r="I239" s="9" t="s">
        <v>278</v>
      </c>
      <c r="J239" s="9" t="s">
        <v>279</v>
      </c>
      <c r="K239" s="9" t="s">
        <v>279</v>
      </c>
      <c r="L239" s="9" t="s">
        <v>279</v>
      </c>
      <c r="M239" s="36" t="s">
        <v>295</v>
      </c>
      <c r="N239" s="40"/>
      <c r="O239" s="3">
        <f t="shared" si="158"/>
        <v>2102586</v>
      </c>
      <c r="P239" s="9">
        <v>1662123.62</v>
      </c>
      <c r="Q239" s="9">
        <v>5200081</v>
      </c>
      <c r="R239" s="9">
        <v>5301082</v>
      </c>
      <c r="S239" s="9">
        <v>5200082</v>
      </c>
      <c r="T239" s="9">
        <v>5402082</v>
      </c>
      <c r="U239" s="9">
        <v>5400085</v>
      </c>
      <c r="V239" s="9">
        <v>5400085</v>
      </c>
      <c r="W239" s="9">
        <v>8</v>
      </c>
      <c r="X239" s="9">
        <v>8</v>
      </c>
      <c r="Y239" s="9">
        <v>8</v>
      </c>
      <c r="Z239" s="9">
        <v>8</v>
      </c>
      <c r="AA239" s="9">
        <v>8</v>
      </c>
      <c r="AB239" s="9">
        <v>8</v>
      </c>
      <c r="AC239" s="9">
        <f t="shared" si="146"/>
        <v>493</v>
      </c>
      <c r="AD239" s="9">
        <f t="shared" si="147"/>
        <v>533</v>
      </c>
      <c r="AE239" s="9">
        <f t="shared" si="148"/>
        <v>533</v>
      </c>
      <c r="AF239" s="9">
        <f t="shared" si="149"/>
        <v>533</v>
      </c>
      <c r="AG239" s="9">
        <f t="shared" si="150"/>
        <v>533</v>
      </c>
      <c r="AH239" s="9">
        <f t="shared" si="151"/>
        <v>533</v>
      </c>
      <c r="AI239" s="7">
        <f t="shared" si="166"/>
        <v>277020.60333333333</v>
      </c>
      <c r="AJ239" s="7">
        <f t="shared" si="162"/>
        <v>277020.60333333333</v>
      </c>
      <c r="AK239" s="7">
        <f t="shared" si="162"/>
        <v>277020.60333333333</v>
      </c>
      <c r="AL239" s="7">
        <f t="shared" si="162"/>
        <v>277020.60333333333</v>
      </c>
      <c r="AM239" s="7">
        <f t="shared" si="162"/>
        <v>277020.60333333333</v>
      </c>
      <c r="AN239" s="7">
        <f t="shared" si="162"/>
        <v>277020.60333333333</v>
      </c>
      <c r="AO239" s="16"/>
      <c r="AP239" s="7"/>
      <c r="AQ239" s="9">
        <v>6</v>
      </c>
      <c r="AR239" s="9">
        <f t="shared" si="152"/>
        <v>565</v>
      </c>
      <c r="AS239" s="7">
        <f t="shared" si="164"/>
        <v>218</v>
      </c>
      <c r="AT239" s="7"/>
      <c r="AU239" s="16"/>
      <c r="AV239" s="7"/>
      <c r="AW239" s="7"/>
      <c r="AX239" s="7"/>
      <c r="AZ239" s="7"/>
      <c r="BA239" s="9">
        <f t="shared" si="165"/>
        <v>237129.89999999953</v>
      </c>
      <c r="BC239" s="5">
        <f t="shared" si="153"/>
        <v>460</v>
      </c>
      <c r="BR239" s="5">
        <v>5200074</v>
      </c>
      <c r="BS239" s="18">
        <f>[1]monsters!$N239</f>
        <v>147.84</v>
      </c>
      <c r="BT239" s="18">
        <f>[1]monsters!$O239</f>
        <v>14.78</v>
      </c>
      <c r="BU239" s="18">
        <f>[1]monsters!$P239</f>
        <v>2346.67</v>
      </c>
      <c r="BV239" s="18">
        <f>[1]monsters!$Q239</f>
        <v>234.67</v>
      </c>
      <c r="BW239" s="18">
        <f>[1]monsters!$R239</f>
        <v>29.57</v>
      </c>
      <c r="BX239" s="18">
        <f>[1]monsters!$S239</f>
        <v>2.96</v>
      </c>
      <c r="BY239" s="18">
        <f>[1]monsters!$K239</f>
        <v>1.4</v>
      </c>
      <c r="BZ239" s="5">
        <f>[1]monsters!$D239</f>
        <v>3</v>
      </c>
      <c r="CA239" s="5">
        <f t="shared" si="154"/>
        <v>0.1</v>
      </c>
      <c r="CB239" s="5">
        <f t="shared" si="155"/>
        <v>218.7212579124579</v>
      </c>
      <c r="CC239" s="5">
        <f t="shared" si="156"/>
        <v>21.872125791245793</v>
      </c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>
        <v>0</v>
      </c>
      <c r="CR239" s="3" t="b">
        <f t="shared" si="128"/>
        <v>1</v>
      </c>
      <c r="CS239" s="3" t="b">
        <f t="shared" si="129"/>
        <v>1</v>
      </c>
      <c r="CT239" s="3" t="b">
        <f t="shared" si="130"/>
        <v>1</v>
      </c>
      <c r="CU239" s="3" t="b">
        <f t="shared" si="131"/>
        <v>1</v>
      </c>
      <c r="CV239" s="3" t="b">
        <f t="shared" si="132"/>
        <v>1</v>
      </c>
      <c r="CW239" s="3" t="b">
        <f t="shared" si="133"/>
        <v>1</v>
      </c>
      <c r="CX239" s="9" t="str">
        <f t="shared" si="134"/>
        <v>5200081</v>
      </c>
      <c r="CY239" s="9" t="str">
        <f t="shared" si="135"/>
        <v>5301082</v>
      </c>
      <c r="CZ239" s="9" t="str">
        <f t="shared" si="136"/>
        <v>5200082</v>
      </c>
      <c r="DA239" s="9" t="str">
        <f t="shared" si="137"/>
        <v>5402082</v>
      </c>
      <c r="DB239" s="9" t="str">
        <f t="shared" si="138"/>
        <v>5400085</v>
      </c>
      <c r="DC239" s="9" t="str">
        <f t="shared" si="139"/>
        <v>5400085</v>
      </c>
      <c r="DD239" s="9">
        <v>8</v>
      </c>
      <c r="DE239" s="9">
        <v>8</v>
      </c>
      <c r="DF239" s="9">
        <v>8</v>
      </c>
      <c r="DG239" s="9">
        <v>8</v>
      </c>
      <c r="DH239" s="9">
        <v>8</v>
      </c>
      <c r="DI239" s="9">
        <v>8</v>
      </c>
      <c r="DJ239" s="9">
        <v>5</v>
      </c>
      <c r="DK239" s="9">
        <v>5</v>
      </c>
      <c r="DL239" s="9">
        <v>5</v>
      </c>
      <c r="DM239" s="9">
        <v>5</v>
      </c>
      <c r="DN239" s="9">
        <v>5</v>
      </c>
      <c r="DO239" s="9">
        <v>5</v>
      </c>
      <c r="DP239" s="26" t="s">
        <v>194</v>
      </c>
      <c r="DQ239" s="26" t="s">
        <v>201</v>
      </c>
      <c r="DR239" s="26" t="s">
        <v>199</v>
      </c>
      <c r="DS239" s="26" t="s">
        <v>203</v>
      </c>
      <c r="DT239" s="26" t="s">
        <v>210</v>
      </c>
      <c r="DU239" s="26" t="s">
        <v>210</v>
      </c>
      <c r="DV239" s="26">
        <f t="shared" si="140"/>
        <v>1</v>
      </c>
      <c r="DW239" s="26">
        <f t="shared" si="141"/>
        <v>1</v>
      </c>
      <c r="DX239" s="26">
        <f t="shared" si="142"/>
        <v>1</v>
      </c>
      <c r="DY239" s="26">
        <f t="shared" si="143"/>
        <v>2</v>
      </c>
      <c r="DZ239" s="26">
        <f t="shared" si="144"/>
        <v>2</v>
      </c>
      <c r="EA239" s="3">
        <f t="shared" si="145"/>
        <v>2</v>
      </c>
      <c r="EB239" s="38"/>
      <c r="EC239" s="9">
        <v>5302085</v>
      </c>
      <c r="ED239" s="34" t="s">
        <v>221</v>
      </c>
      <c r="EE239" s="8">
        <v>1</v>
      </c>
    </row>
    <row r="240" spans="1:137" ht="13.5" customHeight="1">
      <c r="A240" s="9">
        <v>237</v>
      </c>
      <c r="B240" s="9">
        <v>1</v>
      </c>
      <c r="C240" s="9">
        <v>2001</v>
      </c>
      <c r="D240" s="9">
        <f t="shared" si="163"/>
        <v>2113320</v>
      </c>
      <c r="E240" s="9" t="str">
        <f t="shared" si="159"/>
        <v>5300085,5202085,5301082,5500082,5400085,5400085</v>
      </c>
      <c r="F240" s="9" t="str">
        <f t="shared" si="160"/>
        <v>8,8,8,8,8,8</v>
      </c>
      <c r="G240" s="9" t="str">
        <f t="shared" si="161"/>
        <v>494,535,535,535,535,535</v>
      </c>
      <c r="H240" s="9">
        <v>134</v>
      </c>
      <c r="I240" s="9" t="s">
        <v>278</v>
      </c>
      <c r="J240" s="9" t="s">
        <v>279</v>
      </c>
      <c r="K240" s="9" t="s">
        <v>279</v>
      </c>
      <c r="L240" s="9" t="s">
        <v>279</v>
      </c>
      <c r="M240" s="36" t="s">
        <v>295</v>
      </c>
      <c r="N240" s="40"/>
      <c r="O240" s="3">
        <f t="shared" si="158"/>
        <v>2113320</v>
      </c>
      <c r="P240" s="9">
        <v>1670608.98</v>
      </c>
      <c r="Q240" s="9">
        <v>5300085</v>
      </c>
      <c r="R240" s="9">
        <v>5202085</v>
      </c>
      <c r="S240" s="9">
        <v>5301082</v>
      </c>
      <c r="T240" s="9">
        <v>5500082</v>
      </c>
      <c r="U240" s="9">
        <v>5400085</v>
      </c>
      <c r="V240" s="9">
        <v>5400085</v>
      </c>
      <c r="W240" s="9">
        <v>8</v>
      </c>
      <c r="X240" s="9">
        <v>8</v>
      </c>
      <c r="Y240" s="9">
        <v>8</v>
      </c>
      <c r="Z240" s="9">
        <v>8</v>
      </c>
      <c r="AA240" s="9">
        <v>8</v>
      </c>
      <c r="AB240" s="9">
        <v>8</v>
      </c>
      <c r="AC240" s="9">
        <f t="shared" si="146"/>
        <v>494</v>
      </c>
      <c r="AD240" s="9">
        <f t="shared" si="147"/>
        <v>535</v>
      </c>
      <c r="AE240" s="9">
        <f t="shared" si="148"/>
        <v>535</v>
      </c>
      <c r="AF240" s="9">
        <f t="shared" si="149"/>
        <v>535</v>
      </c>
      <c r="AG240" s="9">
        <f t="shared" si="150"/>
        <v>535</v>
      </c>
      <c r="AH240" s="9">
        <f t="shared" si="151"/>
        <v>535</v>
      </c>
      <c r="AI240" s="7">
        <f t="shared" si="166"/>
        <v>278434.83</v>
      </c>
      <c r="AJ240" s="7">
        <f t="shared" si="162"/>
        <v>278434.83</v>
      </c>
      <c r="AK240" s="7">
        <f t="shared" si="162"/>
        <v>278434.83</v>
      </c>
      <c r="AL240" s="7">
        <f t="shared" si="162"/>
        <v>278434.83</v>
      </c>
      <c r="AM240" s="7">
        <f t="shared" si="162"/>
        <v>278434.83</v>
      </c>
      <c r="AN240" s="7">
        <f t="shared" si="162"/>
        <v>278434.83</v>
      </c>
      <c r="AO240" s="16"/>
      <c r="AP240" s="7"/>
      <c r="AQ240" s="9">
        <v>6</v>
      </c>
      <c r="AR240" s="9">
        <f t="shared" si="152"/>
        <v>567</v>
      </c>
      <c r="AS240" s="7">
        <f t="shared" si="164"/>
        <v>218</v>
      </c>
      <c r="AT240" s="7"/>
      <c r="AU240" s="16"/>
      <c r="AV240" s="7"/>
      <c r="AW240" s="7"/>
      <c r="AX240" s="7"/>
      <c r="AZ240" s="7"/>
      <c r="BA240" s="9">
        <f t="shared" si="165"/>
        <v>239221.04999999952</v>
      </c>
      <c r="BC240" s="5">
        <f t="shared" si="153"/>
        <v>462</v>
      </c>
      <c r="BR240" s="5">
        <v>5201074</v>
      </c>
      <c r="BS240" s="18">
        <f>[1]monsters!$N240</f>
        <v>197.12</v>
      </c>
      <c r="BT240" s="18">
        <f>[1]monsters!$O240</f>
        <v>19.71</v>
      </c>
      <c r="BU240" s="18">
        <f>[1]monsters!$P240</f>
        <v>1760</v>
      </c>
      <c r="BV240" s="18">
        <f>[1]monsters!$Q240</f>
        <v>176</v>
      </c>
      <c r="BW240" s="18">
        <f>[1]monsters!$R240</f>
        <v>28.16</v>
      </c>
      <c r="BX240" s="18">
        <f>[1]monsters!$S240</f>
        <v>2.82</v>
      </c>
      <c r="BY240" s="18">
        <f>[1]monsters!$K240</f>
        <v>1.4</v>
      </c>
      <c r="BZ240" s="5">
        <f>[1]monsters!$D240</f>
        <v>4</v>
      </c>
      <c r="CA240" s="5">
        <f t="shared" si="154"/>
        <v>0.1</v>
      </c>
      <c r="CB240" s="5">
        <f t="shared" si="155"/>
        <v>245.5376592592593</v>
      </c>
      <c r="CC240" s="5">
        <f t="shared" si="156"/>
        <v>24.55376592592593</v>
      </c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>
        <v>0</v>
      </c>
      <c r="CR240" s="3" t="b">
        <f t="shared" si="128"/>
        <v>1</v>
      </c>
      <c r="CS240" s="3" t="b">
        <f t="shared" si="129"/>
        <v>1</v>
      </c>
      <c r="CT240" s="3" t="b">
        <f t="shared" si="130"/>
        <v>1</v>
      </c>
      <c r="CU240" s="3" t="b">
        <f t="shared" si="131"/>
        <v>1</v>
      </c>
      <c r="CV240" s="3" t="b">
        <f t="shared" si="132"/>
        <v>1</v>
      </c>
      <c r="CW240" s="3" t="b">
        <f t="shared" si="133"/>
        <v>1</v>
      </c>
      <c r="CX240" s="9" t="str">
        <f t="shared" si="134"/>
        <v>5300085</v>
      </c>
      <c r="CY240" s="9" t="str">
        <f t="shared" si="135"/>
        <v>5202085</v>
      </c>
      <c r="CZ240" s="9" t="str">
        <f t="shared" si="136"/>
        <v>5301082</v>
      </c>
      <c r="DA240" s="9" t="str">
        <f t="shared" si="137"/>
        <v>5500082</v>
      </c>
      <c r="DB240" s="9" t="str">
        <f t="shared" si="138"/>
        <v>5400085</v>
      </c>
      <c r="DC240" s="9" t="str">
        <f t="shared" si="139"/>
        <v>5400085</v>
      </c>
      <c r="DD240" s="9">
        <v>8</v>
      </c>
      <c r="DE240" s="9">
        <v>8</v>
      </c>
      <c r="DF240" s="9">
        <v>8</v>
      </c>
      <c r="DG240" s="9">
        <v>8</v>
      </c>
      <c r="DH240" s="9">
        <v>8</v>
      </c>
      <c r="DI240" s="9">
        <v>8</v>
      </c>
      <c r="DJ240" s="9">
        <v>5</v>
      </c>
      <c r="DK240" s="9">
        <v>5</v>
      </c>
      <c r="DL240" s="9">
        <v>5</v>
      </c>
      <c r="DM240" s="9">
        <v>5</v>
      </c>
      <c r="DN240" s="9">
        <v>5</v>
      </c>
      <c r="DO240" s="9">
        <v>5</v>
      </c>
      <c r="DP240" s="25" t="s">
        <v>212</v>
      </c>
      <c r="DQ240" s="25" t="s">
        <v>213</v>
      </c>
      <c r="DR240" s="26" t="s">
        <v>201</v>
      </c>
      <c r="DS240" s="26" t="s">
        <v>109</v>
      </c>
      <c r="DT240" s="25" t="s">
        <v>210</v>
      </c>
      <c r="DU240" s="25" t="s">
        <v>210</v>
      </c>
      <c r="DV240" s="25">
        <f t="shared" si="140"/>
        <v>1</v>
      </c>
      <c r="DW240" s="25">
        <f t="shared" si="141"/>
        <v>1</v>
      </c>
      <c r="DX240" s="25">
        <f t="shared" si="142"/>
        <v>1</v>
      </c>
      <c r="DY240" s="25">
        <f t="shared" si="143"/>
        <v>2</v>
      </c>
      <c r="DZ240" s="25">
        <f t="shared" si="144"/>
        <v>2</v>
      </c>
      <c r="EA240" s="3">
        <f t="shared" si="145"/>
        <v>2</v>
      </c>
      <c r="EB240" s="39"/>
      <c r="EC240" s="9">
        <v>5400085</v>
      </c>
      <c r="ED240" s="34" t="s">
        <v>210</v>
      </c>
      <c r="EE240" s="8">
        <v>2</v>
      </c>
    </row>
    <row r="241" spans="1:135" ht="13.5" customHeight="1">
      <c r="A241" s="9">
        <v>238</v>
      </c>
      <c r="B241" s="9">
        <v>1</v>
      </c>
      <c r="C241" s="9">
        <v>2001</v>
      </c>
      <c r="D241" s="9">
        <f t="shared" si="163"/>
        <v>2124085</v>
      </c>
      <c r="E241" s="9" t="str">
        <f t="shared" si="159"/>
        <v>5202083,5202082,5201084,5501084,5500083,5501084</v>
      </c>
      <c r="F241" s="9" t="str">
        <f t="shared" si="160"/>
        <v>8,8,8,8,8,8</v>
      </c>
      <c r="G241" s="9" t="str">
        <f t="shared" si="161"/>
        <v>496,536,536,536,536,536</v>
      </c>
      <c r="H241" s="9">
        <v>135</v>
      </c>
      <c r="I241" s="9" t="s">
        <v>278</v>
      </c>
      <c r="J241" s="9" t="s">
        <v>279</v>
      </c>
      <c r="K241" s="9" t="s">
        <v>279</v>
      </c>
      <c r="L241" s="9" t="s">
        <v>279</v>
      </c>
      <c r="M241" s="36" t="s">
        <v>295</v>
      </c>
      <c r="N241" s="40"/>
      <c r="O241" s="3">
        <f t="shared" si="158"/>
        <v>2124085</v>
      </c>
      <c r="P241" s="9">
        <v>1679118.22</v>
      </c>
      <c r="Q241" s="9">
        <v>5202083</v>
      </c>
      <c r="R241" s="9">
        <v>5202082</v>
      </c>
      <c r="S241" s="9">
        <v>5201084</v>
      </c>
      <c r="T241" s="9">
        <v>5501084</v>
      </c>
      <c r="U241" s="9">
        <v>5500083</v>
      </c>
      <c r="V241" s="9">
        <v>5501084</v>
      </c>
      <c r="W241" s="9">
        <v>8</v>
      </c>
      <c r="X241" s="9">
        <v>8</v>
      </c>
      <c r="Y241" s="9">
        <v>8</v>
      </c>
      <c r="Z241" s="9">
        <v>8</v>
      </c>
      <c r="AA241" s="9">
        <v>8</v>
      </c>
      <c r="AB241" s="9">
        <v>8</v>
      </c>
      <c r="AC241" s="9">
        <f t="shared" si="146"/>
        <v>496</v>
      </c>
      <c r="AD241" s="9">
        <f t="shared" si="147"/>
        <v>536</v>
      </c>
      <c r="AE241" s="9">
        <f t="shared" si="148"/>
        <v>536</v>
      </c>
      <c r="AF241" s="9">
        <f t="shared" si="149"/>
        <v>536</v>
      </c>
      <c r="AG241" s="9">
        <f t="shared" si="150"/>
        <v>536</v>
      </c>
      <c r="AH241" s="9">
        <f t="shared" si="151"/>
        <v>536</v>
      </c>
      <c r="AI241" s="7">
        <f t="shared" si="166"/>
        <v>279853.03666666668</v>
      </c>
      <c r="AJ241" s="7">
        <f t="shared" si="162"/>
        <v>279853.03666666668</v>
      </c>
      <c r="AK241" s="7">
        <f t="shared" si="162"/>
        <v>279853.03666666668</v>
      </c>
      <c r="AL241" s="7">
        <f t="shared" si="162"/>
        <v>279853.03666666668</v>
      </c>
      <c r="AM241" s="7">
        <f t="shared" si="162"/>
        <v>279853.03666666668</v>
      </c>
      <c r="AN241" s="7">
        <f t="shared" si="162"/>
        <v>279853.03666666668</v>
      </c>
      <c r="AO241" s="16"/>
      <c r="AP241" s="7"/>
      <c r="AQ241" s="9">
        <v>6</v>
      </c>
      <c r="AR241" s="9">
        <f t="shared" si="152"/>
        <v>568</v>
      </c>
      <c r="AS241" s="7">
        <f t="shared" si="164"/>
        <v>219</v>
      </c>
      <c r="AT241" s="7"/>
      <c r="AU241" s="16"/>
      <c r="AV241" s="7"/>
      <c r="AW241" s="7"/>
      <c r="AX241" s="7"/>
      <c r="AZ241" s="7"/>
      <c r="BA241" s="9">
        <f t="shared" si="165"/>
        <v>241312.19999999952</v>
      </c>
      <c r="BC241" s="5">
        <f t="shared" si="153"/>
        <v>463</v>
      </c>
      <c r="BR241" s="5">
        <v>5300074</v>
      </c>
      <c r="BS241" s="18">
        <f>[1]monsters!$N241</f>
        <v>262.83</v>
      </c>
      <c r="BT241" s="18">
        <f>[1]monsters!$O241</f>
        <v>26.28</v>
      </c>
      <c r="BU241" s="18">
        <f>[1]monsters!$P241</f>
        <v>1508.57</v>
      </c>
      <c r="BV241" s="18">
        <f>[1]monsters!$Q241</f>
        <v>150.86000000000001</v>
      </c>
      <c r="BW241" s="18">
        <f>[1]monsters!$R241</f>
        <v>32.85</v>
      </c>
      <c r="BX241" s="18">
        <f>[1]monsters!$S241</f>
        <v>3.29</v>
      </c>
      <c r="BY241" s="18">
        <f>[1]monsters!$K241</f>
        <v>1.6</v>
      </c>
      <c r="BZ241" s="5">
        <f>[1]monsters!$D241</f>
        <v>5</v>
      </c>
      <c r="CA241" s="5">
        <f t="shared" si="154"/>
        <v>0.1</v>
      </c>
      <c r="CB241" s="5">
        <f t="shared" si="155"/>
        <v>299.16795269360267</v>
      </c>
      <c r="CC241" s="5">
        <f t="shared" si="156"/>
        <v>29.916795269360268</v>
      </c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>
        <v>0</v>
      </c>
      <c r="CR241" s="3" t="b">
        <f t="shared" si="128"/>
        <v>1</v>
      </c>
      <c r="CS241" s="3" t="b">
        <f t="shared" si="129"/>
        <v>1</v>
      </c>
      <c r="CT241" s="3" t="b">
        <f t="shared" si="130"/>
        <v>1</v>
      </c>
      <c r="CU241" s="3" t="b">
        <f t="shared" si="131"/>
        <v>1</v>
      </c>
      <c r="CV241" s="3" t="b">
        <f t="shared" si="132"/>
        <v>1</v>
      </c>
      <c r="CW241" s="3" t="b">
        <f t="shared" si="133"/>
        <v>1</v>
      </c>
      <c r="CX241" s="9" t="str">
        <f t="shared" si="134"/>
        <v>5202083</v>
      </c>
      <c r="CY241" s="9" t="str">
        <f t="shared" si="135"/>
        <v>5202082</v>
      </c>
      <c r="CZ241" s="9" t="str">
        <f t="shared" si="136"/>
        <v>5201084</v>
      </c>
      <c r="DA241" s="9" t="str">
        <f t="shared" si="137"/>
        <v>5501084</v>
      </c>
      <c r="DB241" s="9" t="str">
        <f t="shared" si="138"/>
        <v>5500083</v>
      </c>
      <c r="DC241" s="9" t="str">
        <f t="shared" si="139"/>
        <v>5501084</v>
      </c>
      <c r="DD241" s="9">
        <v>8</v>
      </c>
      <c r="DE241" s="9">
        <v>8</v>
      </c>
      <c r="DF241" s="9">
        <v>8</v>
      </c>
      <c r="DG241" s="9">
        <v>8</v>
      </c>
      <c r="DH241" s="9">
        <v>8</v>
      </c>
      <c r="DI241" s="9">
        <v>8</v>
      </c>
      <c r="DJ241" s="9">
        <v>5</v>
      </c>
      <c r="DK241" s="9">
        <v>5</v>
      </c>
      <c r="DL241" s="9">
        <v>5</v>
      </c>
      <c r="DM241" s="9">
        <v>5</v>
      </c>
      <c r="DN241" s="9">
        <v>5</v>
      </c>
      <c r="DO241" s="9">
        <v>5</v>
      </c>
      <c r="DP241" s="25" t="s">
        <v>208</v>
      </c>
      <c r="DQ241" s="25" t="s">
        <v>200</v>
      </c>
      <c r="DR241" s="26" t="s">
        <v>217</v>
      </c>
      <c r="DS241" s="26" t="s">
        <v>214</v>
      </c>
      <c r="DT241" s="26" t="s">
        <v>207</v>
      </c>
      <c r="DU241" s="26" t="s">
        <v>214</v>
      </c>
      <c r="DV241" s="26">
        <f t="shared" si="140"/>
        <v>1</v>
      </c>
      <c r="DW241" s="26">
        <f t="shared" si="141"/>
        <v>1</v>
      </c>
      <c r="DX241" s="26">
        <f t="shared" si="142"/>
        <v>1</v>
      </c>
      <c r="DY241" s="26">
        <f t="shared" si="143"/>
        <v>2</v>
      </c>
      <c r="DZ241" s="26">
        <f t="shared" si="144"/>
        <v>2</v>
      </c>
      <c r="EA241" s="3">
        <f t="shared" si="145"/>
        <v>2</v>
      </c>
      <c r="EB241" s="39"/>
      <c r="EC241" s="9">
        <v>5501085</v>
      </c>
      <c r="ED241" s="37" t="s">
        <v>209</v>
      </c>
      <c r="EE241" s="8">
        <v>2</v>
      </c>
    </row>
    <row r="242" spans="1:135" ht="13.5" customHeight="1">
      <c r="A242" s="9">
        <v>239</v>
      </c>
      <c r="B242" s="9">
        <v>1</v>
      </c>
      <c r="C242" s="9">
        <v>2001</v>
      </c>
      <c r="D242" s="9">
        <f t="shared" si="163"/>
        <v>2134874</v>
      </c>
      <c r="E242" s="9" t="str">
        <f t="shared" si="159"/>
        <v>5202083,5202082,5301083,5601083,5500083,5502083</v>
      </c>
      <c r="F242" s="9" t="str">
        <f t="shared" si="160"/>
        <v>8,8,8,8,8,8</v>
      </c>
      <c r="G242" s="9" t="str">
        <f t="shared" si="161"/>
        <v>497,537,537,537,537,537</v>
      </c>
      <c r="H242" s="9">
        <v>135</v>
      </c>
      <c r="I242" s="9" t="s">
        <v>278</v>
      </c>
      <c r="J242" s="9" t="s">
        <v>279</v>
      </c>
      <c r="K242" s="9" t="s">
        <v>279</v>
      </c>
      <c r="L242" s="9" t="s">
        <v>279</v>
      </c>
      <c r="M242" s="36" t="s">
        <v>295</v>
      </c>
      <c r="N242" s="40"/>
      <c r="O242" s="3">
        <f t="shared" si="158"/>
        <v>2134874</v>
      </c>
      <c r="P242" s="9">
        <v>1687647.36</v>
      </c>
      <c r="Q242" s="9">
        <v>5202083</v>
      </c>
      <c r="R242" s="9">
        <v>5202082</v>
      </c>
      <c r="S242" s="9">
        <v>5301083</v>
      </c>
      <c r="T242" s="9">
        <v>5601083</v>
      </c>
      <c r="U242" s="9">
        <v>5500083</v>
      </c>
      <c r="V242" s="9">
        <v>5502083</v>
      </c>
      <c r="W242" s="9">
        <v>8</v>
      </c>
      <c r="X242" s="9">
        <v>8</v>
      </c>
      <c r="Y242" s="9">
        <v>8</v>
      </c>
      <c r="Z242" s="9">
        <v>8</v>
      </c>
      <c r="AA242" s="9">
        <v>8</v>
      </c>
      <c r="AB242" s="9">
        <v>8</v>
      </c>
      <c r="AC242" s="9">
        <f t="shared" si="146"/>
        <v>497</v>
      </c>
      <c r="AD242" s="9">
        <f t="shared" si="147"/>
        <v>537</v>
      </c>
      <c r="AE242" s="9">
        <f t="shared" si="148"/>
        <v>537</v>
      </c>
      <c r="AF242" s="9">
        <f t="shared" si="149"/>
        <v>537</v>
      </c>
      <c r="AG242" s="9">
        <f t="shared" si="150"/>
        <v>537</v>
      </c>
      <c r="AH242" s="9">
        <f t="shared" si="151"/>
        <v>537</v>
      </c>
      <c r="AI242" s="7">
        <f t="shared" si="166"/>
        <v>281274.56</v>
      </c>
      <c r="AJ242" s="7">
        <f t="shared" si="162"/>
        <v>281274.56</v>
      </c>
      <c r="AK242" s="7">
        <f t="shared" si="162"/>
        <v>281274.56</v>
      </c>
      <c r="AL242" s="7">
        <f t="shared" si="162"/>
        <v>281274.56</v>
      </c>
      <c r="AM242" s="7">
        <f t="shared" si="162"/>
        <v>281274.56</v>
      </c>
      <c r="AN242" s="7">
        <f t="shared" si="162"/>
        <v>281274.56</v>
      </c>
      <c r="AO242" s="16"/>
      <c r="AP242" s="7"/>
      <c r="AQ242" s="9">
        <v>6</v>
      </c>
      <c r="AR242" s="9">
        <f t="shared" si="152"/>
        <v>570</v>
      </c>
      <c r="AS242" s="7">
        <f t="shared" si="164"/>
        <v>219</v>
      </c>
      <c r="AT242" s="7"/>
      <c r="AU242" s="16"/>
      <c r="AV242" s="7"/>
      <c r="AW242" s="7"/>
      <c r="AX242" s="7"/>
      <c r="AZ242" s="7"/>
      <c r="BA242" s="9">
        <f t="shared" si="165"/>
        <v>243403.34999999951</v>
      </c>
      <c r="BC242" s="5">
        <f t="shared" si="153"/>
        <v>464</v>
      </c>
      <c r="BR242" s="5">
        <v>5301074</v>
      </c>
      <c r="BS242" s="18">
        <f>[1]monsters!$N242</f>
        <v>192</v>
      </c>
      <c r="BT242" s="18">
        <f>[1]monsters!$O242</f>
        <v>19.2</v>
      </c>
      <c r="BU242" s="18">
        <f>[1]monsters!$P242</f>
        <v>2304</v>
      </c>
      <c r="BV242" s="18">
        <f>[1]monsters!$Q242</f>
        <v>230.4</v>
      </c>
      <c r="BW242" s="18">
        <f>[1]monsters!$R242</f>
        <v>48</v>
      </c>
      <c r="BX242" s="18">
        <f>[1]monsters!$S242</f>
        <v>4.8</v>
      </c>
      <c r="BY242" s="18">
        <f>[1]monsters!$K242</f>
        <v>1.5</v>
      </c>
      <c r="BZ242" s="5">
        <f>[1]monsters!$D242</f>
        <v>2</v>
      </c>
      <c r="CA242" s="5">
        <f t="shared" si="154"/>
        <v>0.1</v>
      </c>
      <c r="CB242" s="5">
        <f t="shared" si="155"/>
        <v>259.01575757575756</v>
      </c>
      <c r="CC242" s="5">
        <f t="shared" si="156"/>
        <v>25.901575757575756</v>
      </c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>
        <v>0</v>
      </c>
      <c r="CR242" s="3" t="b">
        <f t="shared" si="128"/>
        <v>1</v>
      </c>
      <c r="CS242" s="3" t="b">
        <f t="shared" si="129"/>
        <v>1</v>
      </c>
      <c r="CT242" s="3" t="b">
        <f t="shared" si="130"/>
        <v>1</v>
      </c>
      <c r="CU242" s="3" t="b">
        <f t="shared" si="131"/>
        <v>1</v>
      </c>
      <c r="CV242" s="3" t="b">
        <f t="shared" si="132"/>
        <v>1</v>
      </c>
      <c r="CW242" s="3" t="b">
        <f t="shared" si="133"/>
        <v>1</v>
      </c>
      <c r="CX242" s="9" t="str">
        <f t="shared" si="134"/>
        <v>5202083</v>
      </c>
      <c r="CY242" s="9" t="str">
        <f t="shared" si="135"/>
        <v>5202082</v>
      </c>
      <c r="CZ242" s="9" t="str">
        <f t="shared" si="136"/>
        <v>5301083</v>
      </c>
      <c r="DA242" s="9" t="str">
        <f t="shared" si="137"/>
        <v>5601083</v>
      </c>
      <c r="DB242" s="9" t="str">
        <f t="shared" si="138"/>
        <v>5500083</v>
      </c>
      <c r="DC242" s="9" t="str">
        <f t="shared" si="139"/>
        <v>5502083</v>
      </c>
      <c r="DD242" s="9">
        <v>8</v>
      </c>
      <c r="DE242" s="9">
        <v>8</v>
      </c>
      <c r="DF242" s="9">
        <v>8</v>
      </c>
      <c r="DG242" s="9">
        <v>8</v>
      </c>
      <c r="DH242" s="9">
        <v>8</v>
      </c>
      <c r="DI242" s="9">
        <v>8</v>
      </c>
      <c r="DJ242" s="9">
        <v>5</v>
      </c>
      <c r="DK242" s="9">
        <v>5</v>
      </c>
      <c r="DL242" s="9">
        <v>5</v>
      </c>
      <c r="DM242" s="9">
        <v>5</v>
      </c>
      <c r="DN242" s="9">
        <v>5</v>
      </c>
      <c r="DO242" s="9">
        <v>5</v>
      </c>
      <c r="DP242" s="25" t="s">
        <v>208</v>
      </c>
      <c r="DQ242" s="25" t="s">
        <v>200</v>
      </c>
      <c r="DR242" s="25" t="s">
        <v>206</v>
      </c>
      <c r="DS242" s="25" t="s">
        <v>216</v>
      </c>
      <c r="DT242" s="26" t="s">
        <v>207</v>
      </c>
      <c r="DU242" s="26" t="s">
        <v>215</v>
      </c>
      <c r="DV242" s="26">
        <f t="shared" si="140"/>
        <v>1</v>
      </c>
      <c r="DW242" s="26">
        <f t="shared" si="141"/>
        <v>1</v>
      </c>
      <c r="DX242" s="26">
        <f t="shared" si="142"/>
        <v>1</v>
      </c>
      <c r="DY242" s="26">
        <f t="shared" si="143"/>
        <v>2</v>
      </c>
      <c r="DZ242" s="26">
        <f t="shared" si="144"/>
        <v>2</v>
      </c>
      <c r="EA242" s="3">
        <f t="shared" si="145"/>
        <v>2</v>
      </c>
      <c r="EB242" s="39"/>
      <c r="EC242" s="9">
        <v>5200091</v>
      </c>
      <c r="ED242" s="34" t="s">
        <v>194</v>
      </c>
      <c r="EE242" s="8">
        <v>1</v>
      </c>
    </row>
    <row r="243" spans="1:135" ht="13.5" customHeight="1">
      <c r="A243" s="9">
        <v>240</v>
      </c>
      <c r="B243" s="9">
        <v>1</v>
      </c>
      <c r="C243" s="9">
        <v>2001</v>
      </c>
      <c r="D243" s="9">
        <f t="shared" si="163"/>
        <v>2145691</v>
      </c>
      <c r="E243" s="9" t="str">
        <f t="shared" si="159"/>
        <v>5201083,5201083,5201083,5402083,5402083,5402083</v>
      </c>
      <c r="F243" s="9" t="str">
        <f t="shared" si="160"/>
        <v>8,8,8,8,8,8</v>
      </c>
      <c r="G243" s="9" t="str">
        <f t="shared" si="161"/>
        <v>498,539,539,539,539,539</v>
      </c>
      <c r="H243" s="9">
        <v>136</v>
      </c>
      <c r="I243" s="9" t="s">
        <v>278</v>
      </c>
      <c r="J243" s="9" t="s">
        <v>279</v>
      </c>
      <c r="K243" s="9" t="s">
        <v>279</v>
      </c>
      <c r="L243" s="9" t="s">
        <v>279</v>
      </c>
      <c r="M243" s="36" t="s">
        <v>295</v>
      </c>
      <c r="O243" s="3">
        <f t="shared" si="158"/>
        <v>2145691</v>
      </c>
      <c r="P243" s="9">
        <v>1696198.39</v>
      </c>
      <c r="Q243" s="9">
        <v>5201083</v>
      </c>
      <c r="R243" s="9">
        <v>5201083</v>
      </c>
      <c r="S243" s="9">
        <v>5201083</v>
      </c>
      <c r="T243" s="9">
        <v>5402083</v>
      </c>
      <c r="U243" s="9">
        <v>5402083</v>
      </c>
      <c r="V243" s="9">
        <v>5402083</v>
      </c>
      <c r="W243" s="9">
        <v>8</v>
      </c>
      <c r="X243" s="9">
        <v>8</v>
      </c>
      <c r="Y243" s="9">
        <v>8</v>
      </c>
      <c r="Z243" s="9">
        <v>8</v>
      </c>
      <c r="AA243" s="9">
        <v>8</v>
      </c>
      <c r="AB243" s="9">
        <v>8</v>
      </c>
      <c r="AC243" s="9">
        <f t="shared" si="146"/>
        <v>498</v>
      </c>
      <c r="AD243" s="9">
        <f t="shared" si="147"/>
        <v>539</v>
      </c>
      <c r="AE243" s="9">
        <f t="shared" si="148"/>
        <v>539</v>
      </c>
      <c r="AF243" s="9">
        <f t="shared" si="149"/>
        <v>539</v>
      </c>
      <c r="AG243" s="9">
        <f t="shared" si="150"/>
        <v>539</v>
      </c>
      <c r="AH243" s="9">
        <f t="shared" si="151"/>
        <v>539</v>
      </c>
      <c r="AI243" s="7">
        <f t="shared" si="166"/>
        <v>282699.73166666663</v>
      </c>
      <c r="AJ243" s="7">
        <f t="shared" si="162"/>
        <v>282699.73166666663</v>
      </c>
      <c r="AK243" s="7">
        <f t="shared" si="162"/>
        <v>282699.73166666663</v>
      </c>
      <c r="AL243" s="7">
        <f t="shared" si="162"/>
        <v>282699.73166666663</v>
      </c>
      <c r="AM243" s="7">
        <f t="shared" si="162"/>
        <v>282699.73166666663</v>
      </c>
      <c r="AN243" s="7">
        <f t="shared" si="162"/>
        <v>282699.73166666663</v>
      </c>
      <c r="AO243" s="16"/>
      <c r="AP243" s="7"/>
      <c r="AQ243" s="9">
        <v>6</v>
      </c>
      <c r="AR243" s="9">
        <f t="shared" si="152"/>
        <v>571</v>
      </c>
      <c r="AS243" s="7">
        <f t="shared" si="164"/>
        <v>220</v>
      </c>
      <c r="AT243" s="7"/>
      <c r="AU243" s="16"/>
      <c r="AV243" s="7"/>
      <c r="AW243" s="7"/>
      <c r="AX243" s="7"/>
      <c r="AZ243" s="7"/>
      <c r="BA243" s="9">
        <f t="shared" si="165"/>
        <v>245494.49999999951</v>
      </c>
      <c r="BC243" s="5">
        <f t="shared" si="153"/>
        <v>465</v>
      </c>
      <c r="BR243" s="5">
        <v>5401074</v>
      </c>
      <c r="BS243" s="18">
        <f>[1]monsters!$N243</f>
        <v>184.32</v>
      </c>
      <c r="BT243" s="18">
        <f>[1]monsters!$O243</f>
        <v>18.43</v>
      </c>
      <c r="BU243" s="18">
        <f>[1]monsters!$P243</f>
        <v>2880</v>
      </c>
      <c r="BV243" s="18">
        <f>[1]monsters!$Q243</f>
        <v>288</v>
      </c>
      <c r="BW243" s="18">
        <f>[1]monsters!$R243</f>
        <v>61.44</v>
      </c>
      <c r="BX243" s="18">
        <f>[1]monsters!$S243</f>
        <v>6.14</v>
      </c>
      <c r="BY243" s="18">
        <f>[1]monsters!$K243</f>
        <v>1.8</v>
      </c>
      <c r="BZ243" s="5">
        <f>[1]monsters!$D243</f>
        <v>2</v>
      </c>
      <c r="CA243" s="5">
        <f t="shared" si="154"/>
        <v>0.1</v>
      </c>
      <c r="CB243" s="5">
        <f t="shared" si="155"/>
        <v>271.15209696969697</v>
      </c>
      <c r="CC243" s="5">
        <f t="shared" si="156"/>
        <v>27.1152096969697</v>
      </c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>
        <v>1</v>
      </c>
      <c r="CR243" s="3" t="b">
        <f t="shared" si="128"/>
        <v>1</v>
      </c>
      <c r="CS243" s="3" t="b">
        <f t="shared" si="129"/>
        <v>1</v>
      </c>
      <c r="CT243" s="3" t="b">
        <f t="shared" si="130"/>
        <v>1</v>
      </c>
      <c r="CU243" s="3" t="b">
        <f t="shared" si="131"/>
        <v>1</v>
      </c>
      <c r="CV243" s="3" t="b">
        <f t="shared" si="132"/>
        <v>1</v>
      </c>
      <c r="CW243" s="3" t="b">
        <f t="shared" si="133"/>
        <v>1</v>
      </c>
      <c r="CX243" s="9" t="str">
        <f t="shared" si="134"/>
        <v>5201083</v>
      </c>
      <c r="CY243" s="9" t="str">
        <f t="shared" si="135"/>
        <v>5201083</v>
      </c>
      <c r="CZ243" s="9" t="str">
        <f t="shared" si="136"/>
        <v>5201083</v>
      </c>
      <c r="DA243" s="9" t="str">
        <f t="shared" si="137"/>
        <v>5402083</v>
      </c>
      <c r="DB243" s="9" t="str">
        <f t="shared" si="138"/>
        <v>5402083</v>
      </c>
      <c r="DC243" s="9" t="str">
        <f t="shared" si="139"/>
        <v>5402083</v>
      </c>
      <c r="DD243" s="9">
        <v>8</v>
      </c>
      <c r="DE243" s="9">
        <v>8</v>
      </c>
      <c r="DF243" s="9">
        <v>8</v>
      </c>
      <c r="DG243" s="9">
        <v>8</v>
      </c>
      <c r="DH243" s="9">
        <v>8</v>
      </c>
      <c r="DI243" s="9">
        <v>8</v>
      </c>
      <c r="DJ243" s="9">
        <v>5</v>
      </c>
      <c r="DK243" s="9">
        <v>5</v>
      </c>
      <c r="DL243" s="9">
        <v>5</v>
      </c>
      <c r="DM243" s="9">
        <v>5</v>
      </c>
      <c r="DN243" s="9">
        <v>5</v>
      </c>
      <c r="DO243" s="9">
        <v>5</v>
      </c>
      <c r="DP243" s="25" t="s">
        <v>205</v>
      </c>
      <c r="DQ243" s="25" t="s">
        <v>205</v>
      </c>
      <c r="DR243" s="25" t="s">
        <v>205</v>
      </c>
      <c r="DS243" s="26" t="s">
        <v>118</v>
      </c>
      <c r="DT243" s="26" t="s">
        <v>118</v>
      </c>
      <c r="DU243" s="26" t="s">
        <v>118</v>
      </c>
      <c r="DV243" s="26">
        <f t="shared" si="140"/>
        <v>1</v>
      </c>
      <c r="DW243" s="26">
        <f t="shared" si="141"/>
        <v>1</v>
      </c>
      <c r="DX243" s="26">
        <f t="shared" si="142"/>
        <v>1</v>
      </c>
      <c r="DY243" s="26">
        <f t="shared" si="143"/>
        <v>2</v>
      </c>
      <c r="DZ243" s="26">
        <f t="shared" si="144"/>
        <v>2</v>
      </c>
      <c r="EA243" s="3">
        <f t="shared" si="145"/>
        <v>2</v>
      </c>
      <c r="EB243" s="39"/>
      <c r="EC243" s="9">
        <v>5201091</v>
      </c>
      <c r="ED243" s="34" t="s">
        <v>195</v>
      </c>
      <c r="EE243" s="8">
        <v>1</v>
      </c>
    </row>
    <row r="244" spans="1:135" ht="13.5" customHeight="1">
      <c r="A244" s="9">
        <v>241</v>
      </c>
      <c r="B244" s="9">
        <v>1</v>
      </c>
      <c r="C244" s="9">
        <v>2001</v>
      </c>
      <c r="D244" s="9">
        <f t="shared" si="163"/>
        <v>2156536</v>
      </c>
      <c r="E244" s="9" t="str">
        <f t="shared" si="159"/>
        <v>5300085,5202085,5202085,5502082,5500082,5502081</v>
      </c>
      <c r="F244" s="9" t="str">
        <f t="shared" si="160"/>
        <v>8,8,8,8,8,8</v>
      </c>
      <c r="G244" s="9" t="str">
        <f t="shared" si="161"/>
        <v>499,540,540,540,540,540</v>
      </c>
      <c r="H244" s="9">
        <v>136</v>
      </c>
      <c r="I244" s="9" t="s">
        <v>278</v>
      </c>
      <c r="J244" s="9" t="s">
        <v>279</v>
      </c>
      <c r="K244" s="9" t="s">
        <v>279</v>
      </c>
      <c r="L244" s="9" t="s">
        <v>279</v>
      </c>
      <c r="M244" s="36" t="s">
        <v>296</v>
      </c>
      <c r="N244" s="40"/>
      <c r="O244" s="3">
        <f t="shared" si="158"/>
        <v>2156536</v>
      </c>
      <c r="P244" s="9">
        <v>1704771.31</v>
      </c>
      <c r="Q244" s="9">
        <v>5300085</v>
      </c>
      <c r="R244" s="9">
        <v>5202085</v>
      </c>
      <c r="S244" s="9">
        <v>5202085</v>
      </c>
      <c r="T244" s="9">
        <v>5502082</v>
      </c>
      <c r="U244" s="9">
        <v>5500082</v>
      </c>
      <c r="V244" s="9">
        <v>5502081</v>
      </c>
      <c r="W244" s="9">
        <v>8</v>
      </c>
      <c r="X244" s="9">
        <v>8</v>
      </c>
      <c r="Y244" s="9">
        <v>8</v>
      </c>
      <c r="Z244" s="9">
        <v>8</v>
      </c>
      <c r="AA244" s="9">
        <v>8</v>
      </c>
      <c r="AB244" s="9">
        <v>8</v>
      </c>
      <c r="AC244" s="9">
        <f t="shared" si="146"/>
        <v>499</v>
      </c>
      <c r="AD244" s="9">
        <f t="shared" si="147"/>
        <v>540</v>
      </c>
      <c r="AE244" s="9">
        <f t="shared" si="148"/>
        <v>540</v>
      </c>
      <c r="AF244" s="9">
        <f t="shared" si="149"/>
        <v>540</v>
      </c>
      <c r="AG244" s="9">
        <f t="shared" si="150"/>
        <v>540</v>
      </c>
      <c r="AH244" s="9">
        <f t="shared" si="151"/>
        <v>540</v>
      </c>
      <c r="AI244" s="7">
        <f t="shared" si="166"/>
        <v>284128.5516666667</v>
      </c>
      <c r="AJ244" s="7">
        <f t="shared" si="162"/>
        <v>284128.5516666667</v>
      </c>
      <c r="AK244" s="7">
        <f t="shared" si="162"/>
        <v>284128.5516666667</v>
      </c>
      <c r="AL244" s="7">
        <f t="shared" si="162"/>
        <v>284128.5516666667</v>
      </c>
      <c r="AM244" s="7">
        <f t="shared" si="162"/>
        <v>284128.5516666667</v>
      </c>
      <c r="AN244" s="7">
        <f t="shared" si="162"/>
        <v>284128.5516666667</v>
      </c>
      <c r="AO244" s="16"/>
      <c r="AP244" s="7"/>
      <c r="AQ244" s="9">
        <v>6</v>
      </c>
      <c r="AR244" s="9">
        <f t="shared" si="152"/>
        <v>572</v>
      </c>
      <c r="AS244" s="7">
        <f t="shared" si="164"/>
        <v>220</v>
      </c>
      <c r="AT244" s="7"/>
      <c r="AU244" s="16"/>
      <c r="AV244" s="7"/>
      <c r="AW244" s="7"/>
      <c r="AX244" s="7"/>
      <c r="AZ244" s="7"/>
      <c r="BA244" s="9">
        <f t="shared" si="165"/>
        <v>247585.6499999995</v>
      </c>
      <c r="BC244" s="5">
        <f t="shared" si="153"/>
        <v>466</v>
      </c>
      <c r="BR244" s="5">
        <v>5402074</v>
      </c>
      <c r="BS244" s="18">
        <f>[1]monsters!$N244</f>
        <v>207.36</v>
      </c>
      <c r="BT244" s="18">
        <f>[1]monsters!$O244</f>
        <v>20.74</v>
      </c>
      <c r="BU244" s="18">
        <f>[1]monsters!$P244</f>
        <v>2560</v>
      </c>
      <c r="BV244" s="18">
        <f>[1]monsters!$Q244</f>
        <v>256</v>
      </c>
      <c r="BW244" s="18">
        <f>[1]monsters!$R244</f>
        <v>41.47</v>
      </c>
      <c r="BX244" s="18">
        <f>[1]monsters!$S244</f>
        <v>4.1500000000000004</v>
      </c>
      <c r="BY244" s="18">
        <f>[1]monsters!$K244</f>
        <v>1.8</v>
      </c>
      <c r="BZ244" s="5">
        <f>[1]monsters!$D244</f>
        <v>2</v>
      </c>
      <c r="CA244" s="5">
        <f t="shared" si="154"/>
        <v>0.1</v>
      </c>
      <c r="CB244" s="5">
        <f t="shared" si="155"/>
        <v>282.15048619528625</v>
      </c>
      <c r="CC244" s="5">
        <f t="shared" si="156"/>
        <v>28.215048619528627</v>
      </c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>
        <v>0</v>
      </c>
      <c r="CR244" s="3" t="b">
        <f t="shared" si="128"/>
        <v>1</v>
      </c>
      <c r="CS244" s="3" t="b">
        <f t="shared" si="129"/>
        <v>1</v>
      </c>
      <c r="CT244" s="3" t="b">
        <f t="shared" si="130"/>
        <v>1</v>
      </c>
      <c r="CU244" s="3" t="b">
        <f t="shared" si="131"/>
        <v>1</v>
      </c>
      <c r="CV244" s="3" t="b">
        <f t="shared" si="132"/>
        <v>1</v>
      </c>
      <c r="CW244" s="3" t="b">
        <f t="shared" si="133"/>
        <v>1</v>
      </c>
      <c r="CX244" s="9" t="str">
        <f t="shared" si="134"/>
        <v>5300085</v>
      </c>
      <c r="CY244" s="9" t="str">
        <f t="shared" si="135"/>
        <v>5202085</v>
      </c>
      <c r="CZ244" s="9" t="str">
        <f t="shared" si="136"/>
        <v>5202085</v>
      </c>
      <c r="DA244" s="9" t="str">
        <f t="shared" si="137"/>
        <v>5502082</v>
      </c>
      <c r="DB244" s="9" t="str">
        <f t="shared" si="138"/>
        <v>5500082</v>
      </c>
      <c r="DC244" s="9" t="str">
        <f t="shared" si="139"/>
        <v>5502081</v>
      </c>
      <c r="DD244" s="9">
        <v>8</v>
      </c>
      <c r="DE244" s="9">
        <v>8</v>
      </c>
      <c r="DF244" s="9">
        <v>8</v>
      </c>
      <c r="DG244" s="9">
        <v>8</v>
      </c>
      <c r="DH244" s="9">
        <v>8</v>
      </c>
      <c r="DI244" s="9">
        <v>8</v>
      </c>
      <c r="DJ244" s="9">
        <v>5</v>
      </c>
      <c r="DK244" s="9">
        <v>5</v>
      </c>
      <c r="DL244" s="9">
        <v>5</v>
      </c>
      <c r="DM244" s="9">
        <v>5</v>
      </c>
      <c r="DN244" s="9">
        <v>5</v>
      </c>
      <c r="DO244" s="9">
        <v>5</v>
      </c>
      <c r="DP244" s="25" t="s">
        <v>212</v>
      </c>
      <c r="DQ244" s="25" t="s">
        <v>213</v>
      </c>
      <c r="DR244" s="25" t="s">
        <v>213</v>
      </c>
      <c r="DS244" s="26" t="s">
        <v>204</v>
      </c>
      <c r="DT244" s="26" t="s">
        <v>109</v>
      </c>
      <c r="DU244" s="26" t="s">
        <v>119</v>
      </c>
      <c r="DV244" s="26">
        <f t="shared" si="140"/>
        <v>1</v>
      </c>
      <c r="DW244" s="26">
        <f t="shared" si="141"/>
        <v>1</v>
      </c>
      <c r="DX244" s="26">
        <f t="shared" si="142"/>
        <v>1</v>
      </c>
      <c r="DY244" s="26">
        <f t="shared" si="143"/>
        <v>2</v>
      </c>
      <c r="DZ244" s="26">
        <f t="shared" si="144"/>
        <v>2</v>
      </c>
      <c r="EA244" s="3">
        <f t="shared" si="145"/>
        <v>2</v>
      </c>
      <c r="EB244" s="39"/>
      <c r="EC244" s="9">
        <v>5202091</v>
      </c>
      <c r="ED244" s="34" t="s">
        <v>111</v>
      </c>
      <c r="EE244" s="8">
        <v>1</v>
      </c>
    </row>
    <row r="245" spans="1:135" ht="13.5" customHeight="1">
      <c r="A245" s="9">
        <v>242</v>
      </c>
      <c r="B245" s="9">
        <v>1</v>
      </c>
      <c r="C245" s="9">
        <v>2001</v>
      </c>
      <c r="D245" s="9">
        <f t="shared" si="163"/>
        <v>2168254</v>
      </c>
      <c r="E245" s="9" t="str">
        <f t="shared" si="159"/>
        <v>5200082,5200083,5200082,5401081,5401083,5400085</v>
      </c>
      <c r="F245" s="9" t="str">
        <f t="shared" si="160"/>
        <v>8,8,8,8,8,8</v>
      </c>
      <c r="G245" s="9" t="str">
        <f t="shared" si="161"/>
        <v>501,542,542,542,542,542</v>
      </c>
      <c r="H245" s="9">
        <v>136</v>
      </c>
      <c r="I245" s="9" t="s">
        <v>278</v>
      </c>
      <c r="J245" s="9" t="s">
        <v>279</v>
      </c>
      <c r="K245" s="9" t="s">
        <v>279</v>
      </c>
      <c r="L245" s="9" t="s">
        <v>279</v>
      </c>
      <c r="M245" s="36" t="s">
        <v>296</v>
      </c>
      <c r="N245" s="40"/>
      <c r="O245" s="3">
        <f t="shared" si="158"/>
        <v>2168254</v>
      </c>
      <c r="P245" s="9">
        <v>1714034.76</v>
      </c>
      <c r="Q245" s="9">
        <v>5200082</v>
      </c>
      <c r="R245" s="9">
        <v>5200083</v>
      </c>
      <c r="S245" s="9">
        <v>5200082</v>
      </c>
      <c r="T245" s="9">
        <v>5401081</v>
      </c>
      <c r="U245" s="9">
        <v>5401083</v>
      </c>
      <c r="V245" s="9">
        <v>5400085</v>
      </c>
      <c r="W245" s="9">
        <v>8</v>
      </c>
      <c r="X245" s="9">
        <v>8</v>
      </c>
      <c r="Y245" s="9">
        <v>8</v>
      </c>
      <c r="Z245" s="9">
        <v>8</v>
      </c>
      <c r="AA245" s="9">
        <v>8</v>
      </c>
      <c r="AB245" s="9">
        <v>8</v>
      </c>
      <c r="AC245" s="9">
        <f t="shared" si="146"/>
        <v>501</v>
      </c>
      <c r="AD245" s="9">
        <f t="shared" si="147"/>
        <v>542</v>
      </c>
      <c r="AE245" s="9">
        <f t="shared" si="148"/>
        <v>542</v>
      </c>
      <c r="AF245" s="9">
        <f t="shared" si="149"/>
        <v>542</v>
      </c>
      <c r="AG245" s="9">
        <f t="shared" si="150"/>
        <v>542</v>
      </c>
      <c r="AH245" s="9">
        <f t="shared" si="151"/>
        <v>542</v>
      </c>
      <c r="AI245" s="7">
        <f t="shared" si="166"/>
        <v>285672.46000000002</v>
      </c>
      <c r="AJ245" s="7">
        <f t="shared" si="162"/>
        <v>285672.46000000002</v>
      </c>
      <c r="AK245" s="7">
        <f t="shared" si="162"/>
        <v>285672.46000000002</v>
      </c>
      <c r="AL245" s="7">
        <f t="shared" si="162"/>
        <v>285672.46000000002</v>
      </c>
      <c r="AM245" s="7">
        <f t="shared" si="162"/>
        <v>285672.46000000002</v>
      </c>
      <c r="AN245" s="7">
        <f t="shared" si="162"/>
        <v>285672.46000000002</v>
      </c>
      <c r="AO245" s="16"/>
      <c r="AP245" s="7"/>
      <c r="AQ245" s="9">
        <v>6</v>
      </c>
      <c r="AR245" s="9">
        <f t="shared" si="152"/>
        <v>574</v>
      </c>
      <c r="AS245" s="7">
        <f t="shared" si="164"/>
        <v>221</v>
      </c>
      <c r="AT245" s="7"/>
      <c r="AU245" s="16"/>
      <c r="AV245" s="7"/>
      <c r="AW245" s="7"/>
      <c r="AX245" s="7"/>
      <c r="AZ245" s="7"/>
      <c r="BA245" s="9">
        <f t="shared" si="165"/>
        <v>249676.79999999949</v>
      </c>
      <c r="BC245" s="5">
        <f t="shared" si="153"/>
        <v>468</v>
      </c>
      <c r="BR245" s="5">
        <v>5501074</v>
      </c>
      <c r="BS245" s="18">
        <f>[1]monsters!$N245</f>
        <v>138.24</v>
      </c>
      <c r="BT245" s="18">
        <f>[1]monsters!$O245</f>
        <v>13.82</v>
      </c>
      <c r="BU245" s="18">
        <f>[1]monsters!$P245</f>
        <v>2560</v>
      </c>
      <c r="BV245" s="18">
        <f>[1]monsters!$Q245</f>
        <v>256</v>
      </c>
      <c r="BW245" s="18">
        <f>[1]monsters!$R245</f>
        <v>27.65</v>
      </c>
      <c r="BX245" s="18">
        <f>[1]monsters!$S245</f>
        <v>2.76</v>
      </c>
      <c r="BY245" s="18">
        <f>[1]monsters!$K245</f>
        <v>1.2</v>
      </c>
      <c r="BZ245" s="5">
        <f>[1]monsters!$D245</f>
        <v>3</v>
      </c>
      <c r="CA245" s="5">
        <f t="shared" si="154"/>
        <v>0.1</v>
      </c>
      <c r="CB245" s="5">
        <f t="shared" si="155"/>
        <v>216.83208619528622</v>
      </c>
      <c r="CC245" s="5">
        <f t="shared" si="156"/>
        <v>21.683208619528624</v>
      </c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>
        <v>0</v>
      </c>
      <c r="CR245" s="3" t="b">
        <f t="shared" si="128"/>
        <v>1</v>
      </c>
      <c r="CS245" s="3" t="b">
        <f t="shared" si="129"/>
        <v>1</v>
      </c>
      <c r="CT245" s="3" t="b">
        <f t="shared" si="130"/>
        <v>1</v>
      </c>
      <c r="CU245" s="3" t="b">
        <f t="shared" si="131"/>
        <v>1</v>
      </c>
      <c r="CV245" s="3" t="b">
        <f t="shared" si="132"/>
        <v>1</v>
      </c>
      <c r="CW245" s="3" t="b">
        <f t="shared" si="133"/>
        <v>1</v>
      </c>
      <c r="CX245" s="9" t="str">
        <f t="shared" si="134"/>
        <v>5200082</v>
      </c>
      <c r="CY245" s="9" t="str">
        <f t="shared" si="135"/>
        <v>5200083</v>
      </c>
      <c r="CZ245" s="9" t="str">
        <f t="shared" si="136"/>
        <v>5200082</v>
      </c>
      <c r="DA245" s="9" t="str">
        <f t="shared" si="137"/>
        <v>5401081</v>
      </c>
      <c r="DB245" s="9" t="str">
        <f t="shared" si="138"/>
        <v>5401083</v>
      </c>
      <c r="DC245" s="9" t="str">
        <f t="shared" si="139"/>
        <v>5400085</v>
      </c>
      <c r="DD245" s="9">
        <v>8</v>
      </c>
      <c r="DE245" s="9">
        <v>8</v>
      </c>
      <c r="DF245" s="9">
        <v>8</v>
      </c>
      <c r="DG245" s="9">
        <v>8</v>
      </c>
      <c r="DH245" s="9">
        <v>8</v>
      </c>
      <c r="DI245" s="9">
        <v>8</v>
      </c>
      <c r="DJ245" s="9">
        <v>5</v>
      </c>
      <c r="DK245" s="9">
        <v>5</v>
      </c>
      <c r="DL245" s="9">
        <v>5</v>
      </c>
      <c r="DM245" s="9">
        <v>5</v>
      </c>
      <c r="DN245" s="9">
        <v>5</v>
      </c>
      <c r="DO245" s="9">
        <v>5</v>
      </c>
      <c r="DP245" s="25" t="s">
        <v>199</v>
      </c>
      <c r="DQ245" s="25" t="s">
        <v>113</v>
      </c>
      <c r="DR245" s="25" t="s">
        <v>199</v>
      </c>
      <c r="DS245" s="26" t="s">
        <v>117</v>
      </c>
      <c r="DT245" s="26" t="s">
        <v>211</v>
      </c>
      <c r="DU245" s="26" t="s">
        <v>210</v>
      </c>
      <c r="DV245" s="26">
        <f t="shared" si="140"/>
        <v>1</v>
      </c>
      <c r="DW245" s="26">
        <f t="shared" si="141"/>
        <v>1</v>
      </c>
      <c r="DX245" s="26">
        <f t="shared" si="142"/>
        <v>1</v>
      </c>
      <c r="DY245" s="26">
        <f t="shared" si="143"/>
        <v>2</v>
      </c>
      <c r="DZ245" s="26">
        <f t="shared" si="144"/>
        <v>2</v>
      </c>
      <c r="EA245" s="3">
        <f t="shared" si="145"/>
        <v>2</v>
      </c>
      <c r="EB245" s="39"/>
      <c r="EC245" s="9">
        <v>5301091</v>
      </c>
      <c r="ED245" s="34" t="s">
        <v>107</v>
      </c>
      <c r="EE245" s="8">
        <v>1</v>
      </c>
    </row>
    <row r="246" spans="1:135" ht="13.5" customHeight="1">
      <c r="A246" s="9">
        <v>243</v>
      </c>
      <c r="B246" s="9">
        <v>1</v>
      </c>
      <c r="C246" s="9">
        <v>2001</v>
      </c>
      <c r="D246" s="9">
        <f t="shared" si="163"/>
        <v>2179154</v>
      </c>
      <c r="E246" s="9" t="str">
        <f t="shared" si="159"/>
        <v>5202081,5202082,5301082,5502081,5500081,5502081</v>
      </c>
      <c r="F246" s="9" t="str">
        <f t="shared" si="160"/>
        <v>8,8,8,8,8,8</v>
      </c>
      <c r="G246" s="9" t="str">
        <f t="shared" si="161"/>
        <v>502,543,543,543,543,543</v>
      </c>
      <c r="H246" s="9">
        <v>137</v>
      </c>
      <c r="I246" s="9" t="s">
        <v>278</v>
      </c>
      <c r="J246" s="9" t="s">
        <v>279</v>
      </c>
      <c r="K246" s="9" t="s">
        <v>279</v>
      </c>
      <c r="L246" s="9" t="s">
        <v>279</v>
      </c>
      <c r="M246" s="36" t="s">
        <v>296</v>
      </c>
      <c r="N246" s="40"/>
      <c r="O246" s="3">
        <f t="shared" si="158"/>
        <v>2179154</v>
      </c>
      <c r="P246" s="9">
        <v>1722651.46</v>
      </c>
      <c r="Q246" s="9">
        <v>5202081</v>
      </c>
      <c r="R246" s="9">
        <v>5202082</v>
      </c>
      <c r="S246" s="9">
        <v>5301082</v>
      </c>
      <c r="T246" s="9">
        <v>5502081</v>
      </c>
      <c r="U246" s="9">
        <v>5500081</v>
      </c>
      <c r="V246" s="9">
        <v>5502081</v>
      </c>
      <c r="W246" s="9">
        <v>8</v>
      </c>
      <c r="X246" s="9">
        <v>8</v>
      </c>
      <c r="Y246" s="9">
        <v>8</v>
      </c>
      <c r="Z246" s="9">
        <v>8</v>
      </c>
      <c r="AA246" s="9">
        <v>8</v>
      </c>
      <c r="AB246" s="9">
        <v>8</v>
      </c>
      <c r="AC246" s="9">
        <f t="shared" si="146"/>
        <v>502</v>
      </c>
      <c r="AD246" s="9">
        <f t="shared" si="147"/>
        <v>543</v>
      </c>
      <c r="AE246" s="9">
        <f t="shared" si="148"/>
        <v>543</v>
      </c>
      <c r="AF246" s="9">
        <f t="shared" si="149"/>
        <v>543</v>
      </c>
      <c r="AG246" s="9">
        <f t="shared" si="150"/>
        <v>543</v>
      </c>
      <c r="AH246" s="9">
        <f t="shared" si="151"/>
        <v>543</v>
      </c>
      <c r="AI246" s="7">
        <f t="shared" si="166"/>
        <v>287108.57666666666</v>
      </c>
      <c r="AJ246" s="7">
        <f t="shared" si="162"/>
        <v>287108.57666666666</v>
      </c>
      <c r="AK246" s="7">
        <f t="shared" si="162"/>
        <v>287108.57666666666</v>
      </c>
      <c r="AL246" s="7">
        <f t="shared" si="162"/>
        <v>287108.57666666666</v>
      </c>
      <c r="AM246" s="7">
        <f t="shared" si="162"/>
        <v>287108.57666666666</v>
      </c>
      <c r="AN246" s="7">
        <f t="shared" si="162"/>
        <v>287108.57666666666</v>
      </c>
      <c r="AO246" s="16"/>
      <c r="AP246" s="7"/>
      <c r="AQ246" s="9">
        <v>6</v>
      </c>
      <c r="AR246" s="9">
        <f t="shared" si="152"/>
        <v>576</v>
      </c>
      <c r="AS246" s="7">
        <f t="shared" si="164"/>
        <v>221</v>
      </c>
      <c r="AT246" s="7"/>
      <c r="AU246" s="16"/>
      <c r="AV246" s="7"/>
      <c r="AW246" s="7"/>
      <c r="AX246" s="7"/>
      <c r="AZ246" s="7"/>
      <c r="BA246" s="9">
        <f t="shared" si="165"/>
        <v>251767.94999999949</v>
      </c>
      <c r="BC246" s="5">
        <f t="shared" si="153"/>
        <v>469</v>
      </c>
      <c r="BR246" s="5">
        <v>5502074</v>
      </c>
      <c r="BS246" s="18">
        <f>[1]monsters!$N246</f>
        <v>245.76</v>
      </c>
      <c r="BT246" s="18">
        <f>[1]monsters!$O246</f>
        <v>24.58</v>
      </c>
      <c r="BU246" s="18">
        <f>[1]monsters!$P246</f>
        <v>1920</v>
      </c>
      <c r="BV246" s="18">
        <f>[1]monsters!$Q246</f>
        <v>192</v>
      </c>
      <c r="BW246" s="18">
        <f>[1]monsters!$R246</f>
        <v>35.11</v>
      </c>
      <c r="BX246" s="18">
        <f>[1]monsters!$S246</f>
        <v>3.51</v>
      </c>
      <c r="BY246" s="18">
        <f>[1]monsters!$K246</f>
        <v>1.6</v>
      </c>
      <c r="BZ246" s="5">
        <f>[1]monsters!$D246</f>
        <v>4</v>
      </c>
      <c r="CA246" s="5">
        <f t="shared" si="154"/>
        <v>0.1</v>
      </c>
      <c r="CB246" s="5">
        <f t="shared" si="155"/>
        <v>296.88966464646467</v>
      </c>
      <c r="CC246" s="5">
        <f t="shared" si="156"/>
        <v>29.688966464646469</v>
      </c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>
        <v>0</v>
      </c>
      <c r="CR246" s="3" t="b">
        <f t="shared" si="128"/>
        <v>1</v>
      </c>
      <c r="CS246" s="3" t="b">
        <f t="shared" si="129"/>
        <v>1</v>
      </c>
      <c r="CT246" s="3" t="b">
        <f t="shared" si="130"/>
        <v>1</v>
      </c>
      <c r="CU246" s="3" t="b">
        <f t="shared" si="131"/>
        <v>1</v>
      </c>
      <c r="CV246" s="3" t="b">
        <f t="shared" si="132"/>
        <v>1</v>
      </c>
      <c r="CW246" s="3" t="b">
        <f t="shared" si="133"/>
        <v>1</v>
      </c>
      <c r="CX246" s="9" t="str">
        <f t="shared" si="134"/>
        <v>5202081</v>
      </c>
      <c r="CY246" s="9" t="str">
        <f t="shared" si="135"/>
        <v>5202082</v>
      </c>
      <c r="CZ246" s="9" t="str">
        <f t="shared" si="136"/>
        <v>5301082</v>
      </c>
      <c r="DA246" s="9" t="str">
        <f t="shared" si="137"/>
        <v>5502081</v>
      </c>
      <c r="DB246" s="9" t="str">
        <f t="shared" si="138"/>
        <v>5500081</v>
      </c>
      <c r="DC246" s="9" t="str">
        <f t="shared" si="139"/>
        <v>5502081</v>
      </c>
      <c r="DD246" s="9">
        <v>8</v>
      </c>
      <c r="DE246" s="9">
        <v>8</v>
      </c>
      <c r="DF246" s="9">
        <v>8</v>
      </c>
      <c r="DG246" s="9">
        <v>8</v>
      </c>
      <c r="DH246" s="9">
        <v>8</v>
      </c>
      <c r="DI246" s="9">
        <v>8</v>
      </c>
      <c r="DJ246" s="9">
        <v>5</v>
      </c>
      <c r="DK246" s="9">
        <v>5</v>
      </c>
      <c r="DL246" s="9">
        <v>5</v>
      </c>
      <c r="DM246" s="9">
        <v>5</v>
      </c>
      <c r="DN246" s="9">
        <v>5</v>
      </c>
      <c r="DO246" s="9">
        <v>5</v>
      </c>
      <c r="DP246" s="25" t="s">
        <v>111</v>
      </c>
      <c r="DQ246" s="25" t="s">
        <v>200</v>
      </c>
      <c r="DR246" s="25" t="s">
        <v>201</v>
      </c>
      <c r="DS246" s="26" t="s">
        <v>119</v>
      </c>
      <c r="DT246" s="26" t="s">
        <v>197</v>
      </c>
      <c r="DU246" s="26" t="s">
        <v>119</v>
      </c>
      <c r="DV246" s="26">
        <f t="shared" si="140"/>
        <v>1</v>
      </c>
      <c r="DW246" s="26">
        <f t="shared" si="141"/>
        <v>1</v>
      </c>
      <c r="DX246" s="26">
        <f t="shared" si="142"/>
        <v>1</v>
      </c>
      <c r="DY246" s="26">
        <f t="shared" si="143"/>
        <v>2</v>
      </c>
      <c r="DZ246" s="26">
        <f t="shared" si="144"/>
        <v>2</v>
      </c>
      <c r="EA246" s="3">
        <f t="shared" si="145"/>
        <v>2</v>
      </c>
      <c r="EB246" s="39"/>
      <c r="EC246" s="9">
        <v>5401091</v>
      </c>
      <c r="ED246" s="34" t="s">
        <v>117</v>
      </c>
      <c r="EE246" s="8">
        <v>2</v>
      </c>
    </row>
    <row r="247" spans="1:135" ht="13.5" customHeight="1">
      <c r="A247" s="9">
        <v>244</v>
      </c>
      <c r="B247" s="9">
        <v>1</v>
      </c>
      <c r="C247" s="9">
        <v>2001</v>
      </c>
      <c r="D247" s="9">
        <f t="shared" si="163"/>
        <v>2190082</v>
      </c>
      <c r="E247" s="9" t="str">
        <f t="shared" si="159"/>
        <v>5201084,5201084,5202085,5501085,5502082,5502082</v>
      </c>
      <c r="F247" s="9" t="str">
        <f t="shared" si="160"/>
        <v>8,8,8,8,8,8</v>
      </c>
      <c r="G247" s="9" t="str">
        <f t="shared" si="161"/>
        <v>503,545,545,545,545,545</v>
      </c>
      <c r="H247" s="9">
        <v>137</v>
      </c>
      <c r="I247" s="9" t="s">
        <v>278</v>
      </c>
      <c r="J247" s="9" t="s">
        <v>279</v>
      </c>
      <c r="K247" s="9" t="s">
        <v>279</v>
      </c>
      <c r="L247" s="9" t="s">
        <v>279</v>
      </c>
      <c r="M247" s="36" t="s">
        <v>296</v>
      </c>
      <c r="N247" s="40"/>
      <c r="O247" s="3">
        <f t="shared" si="158"/>
        <v>2190082</v>
      </c>
      <c r="P247" s="9">
        <v>1731290.05</v>
      </c>
      <c r="Q247" s="9">
        <v>5201084</v>
      </c>
      <c r="R247" s="9">
        <v>5201084</v>
      </c>
      <c r="S247" s="9">
        <v>5202085</v>
      </c>
      <c r="T247" s="9">
        <v>5501085</v>
      </c>
      <c r="U247" s="9">
        <v>5502082</v>
      </c>
      <c r="V247" s="9">
        <v>5502082</v>
      </c>
      <c r="W247" s="9">
        <v>8</v>
      </c>
      <c r="X247" s="9">
        <v>8</v>
      </c>
      <c r="Y247" s="9">
        <v>8</v>
      </c>
      <c r="Z247" s="9">
        <v>8</v>
      </c>
      <c r="AA247" s="9">
        <v>8</v>
      </c>
      <c r="AB247" s="9">
        <v>8</v>
      </c>
      <c r="AC247" s="9">
        <f t="shared" si="146"/>
        <v>503</v>
      </c>
      <c r="AD247" s="9">
        <f t="shared" si="147"/>
        <v>545</v>
      </c>
      <c r="AE247" s="9">
        <f t="shared" si="148"/>
        <v>545</v>
      </c>
      <c r="AF247" s="9">
        <f t="shared" si="149"/>
        <v>545</v>
      </c>
      <c r="AG247" s="9">
        <f t="shared" si="150"/>
        <v>545</v>
      </c>
      <c r="AH247" s="9">
        <f t="shared" si="151"/>
        <v>545</v>
      </c>
      <c r="AI247" s="7">
        <f t="shared" si="166"/>
        <v>288548.34166666667</v>
      </c>
      <c r="AJ247" s="7">
        <f t="shared" si="162"/>
        <v>288548.34166666667</v>
      </c>
      <c r="AK247" s="7">
        <f t="shared" si="162"/>
        <v>288548.34166666667</v>
      </c>
      <c r="AL247" s="7">
        <f t="shared" si="162"/>
        <v>288548.34166666667</v>
      </c>
      <c r="AM247" s="7">
        <f t="shared" si="162"/>
        <v>288548.34166666667</v>
      </c>
      <c r="AN247" s="7">
        <f t="shared" si="162"/>
        <v>288548.34166666667</v>
      </c>
      <c r="AO247" s="16"/>
      <c r="AP247" s="7"/>
      <c r="AQ247" s="9">
        <v>6</v>
      </c>
      <c r="AR247" s="9">
        <f t="shared" si="152"/>
        <v>577</v>
      </c>
      <c r="AS247" s="7">
        <f t="shared" si="164"/>
        <v>222</v>
      </c>
      <c r="AT247" s="7"/>
      <c r="AU247" s="16"/>
      <c r="AV247" s="7"/>
      <c r="AW247" s="7"/>
      <c r="AX247" s="7"/>
      <c r="AZ247" s="7"/>
      <c r="BA247" s="9">
        <f t="shared" si="165"/>
        <v>253859.09999999948</v>
      </c>
      <c r="BC247" s="5">
        <f t="shared" si="153"/>
        <v>470</v>
      </c>
      <c r="BR247" s="5">
        <v>5600074</v>
      </c>
      <c r="BS247" s="18">
        <f>[1]monsters!$N247</f>
        <v>230.4</v>
      </c>
      <c r="BT247" s="18">
        <f>[1]monsters!$O247</f>
        <v>23.04</v>
      </c>
      <c r="BU247" s="18">
        <f>[1]monsters!$P247</f>
        <v>1920</v>
      </c>
      <c r="BV247" s="18">
        <f>[1]monsters!$Q247</f>
        <v>192</v>
      </c>
      <c r="BW247" s="18">
        <f>[1]monsters!$R247</f>
        <v>32.909999999999997</v>
      </c>
      <c r="BX247" s="18">
        <f>[1]monsters!$S247</f>
        <v>3.29</v>
      </c>
      <c r="BY247" s="18">
        <f>[1]monsters!$K247</f>
        <v>1.5</v>
      </c>
      <c r="BZ247" s="5">
        <f>[1]monsters!$D247</f>
        <v>4</v>
      </c>
      <c r="CA247" s="5">
        <f t="shared" si="154"/>
        <v>0.1</v>
      </c>
      <c r="CB247" s="5">
        <f t="shared" si="155"/>
        <v>282.37446464646462</v>
      </c>
      <c r="CC247" s="5">
        <f t="shared" si="156"/>
        <v>28.237446464646464</v>
      </c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>
        <v>0</v>
      </c>
      <c r="CR247" s="3" t="b">
        <f t="shared" si="128"/>
        <v>1</v>
      </c>
      <c r="CS247" s="3" t="b">
        <f t="shared" si="129"/>
        <v>1</v>
      </c>
      <c r="CT247" s="3" t="b">
        <f t="shared" si="130"/>
        <v>1</v>
      </c>
      <c r="CU247" s="3" t="b">
        <f t="shared" si="131"/>
        <v>1</v>
      </c>
      <c r="CV247" s="3" t="b">
        <f t="shared" si="132"/>
        <v>1</v>
      </c>
      <c r="CW247" s="3" t="b">
        <f t="shared" si="133"/>
        <v>1</v>
      </c>
      <c r="CX247" s="9" t="str">
        <f t="shared" si="134"/>
        <v>5201084</v>
      </c>
      <c r="CY247" s="9" t="str">
        <f t="shared" si="135"/>
        <v>5201084</v>
      </c>
      <c r="CZ247" s="9" t="str">
        <f t="shared" si="136"/>
        <v>5202085</v>
      </c>
      <c r="DA247" s="9" t="str">
        <f t="shared" si="137"/>
        <v>5501085</v>
      </c>
      <c r="DB247" s="9" t="str">
        <f t="shared" si="138"/>
        <v>5502082</v>
      </c>
      <c r="DC247" s="9" t="str">
        <f t="shared" si="139"/>
        <v>5502082</v>
      </c>
      <c r="DD247" s="9">
        <v>8</v>
      </c>
      <c r="DE247" s="9">
        <v>8</v>
      </c>
      <c r="DF247" s="9">
        <v>8</v>
      </c>
      <c r="DG247" s="9">
        <v>8</v>
      </c>
      <c r="DH247" s="9">
        <v>8</v>
      </c>
      <c r="DI247" s="9">
        <v>8</v>
      </c>
      <c r="DJ247" s="9">
        <v>5</v>
      </c>
      <c r="DK247" s="9">
        <v>5</v>
      </c>
      <c r="DL247" s="9">
        <v>5</v>
      </c>
      <c r="DM247" s="9">
        <v>5</v>
      </c>
      <c r="DN247" s="9">
        <v>5</v>
      </c>
      <c r="DO247" s="9">
        <v>5</v>
      </c>
      <c r="DP247" s="25" t="s">
        <v>217</v>
      </c>
      <c r="DQ247" s="25" t="s">
        <v>217</v>
      </c>
      <c r="DR247" s="27" t="s">
        <v>213</v>
      </c>
      <c r="DS247" s="25" t="s">
        <v>209</v>
      </c>
      <c r="DT247" s="28" t="s">
        <v>204</v>
      </c>
      <c r="DU247" s="28" t="s">
        <v>204</v>
      </c>
      <c r="DV247" s="28">
        <f t="shared" si="140"/>
        <v>1</v>
      </c>
      <c r="DW247" s="28">
        <f t="shared" si="141"/>
        <v>1</v>
      </c>
      <c r="DX247" s="28">
        <f t="shared" si="142"/>
        <v>1</v>
      </c>
      <c r="DY247" s="28">
        <f t="shared" si="143"/>
        <v>2</v>
      </c>
      <c r="DZ247" s="28">
        <f t="shared" si="144"/>
        <v>2</v>
      </c>
      <c r="EA247" s="3">
        <f t="shared" si="145"/>
        <v>2</v>
      </c>
      <c r="EB247" s="39"/>
      <c r="EC247" s="9">
        <v>5402091</v>
      </c>
      <c r="ED247" s="34" t="s">
        <v>196</v>
      </c>
      <c r="EE247" s="8">
        <v>2</v>
      </c>
    </row>
    <row r="248" spans="1:135" ht="13.5" customHeight="1">
      <c r="A248" s="9">
        <v>245</v>
      </c>
      <c r="B248" s="9">
        <v>1</v>
      </c>
      <c r="C248" s="9">
        <v>2001</v>
      </c>
      <c r="D248" s="9">
        <f t="shared" si="163"/>
        <v>2201040</v>
      </c>
      <c r="E248" s="9" t="str">
        <f t="shared" si="159"/>
        <v>5201082,5201082,5200082,5402082,5601082,5500082</v>
      </c>
      <c r="F248" s="9" t="str">
        <f t="shared" si="160"/>
        <v>8,8,8,8,8,8</v>
      </c>
      <c r="G248" s="9" t="str">
        <f t="shared" si="161"/>
        <v>505,546,546,546,546,546</v>
      </c>
      <c r="H248" s="9">
        <v>138</v>
      </c>
      <c r="I248" s="9" t="s">
        <v>278</v>
      </c>
      <c r="J248" s="9" t="s">
        <v>279</v>
      </c>
      <c r="K248" s="9" t="s">
        <v>279</v>
      </c>
      <c r="L248" s="9" t="s">
        <v>279</v>
      </c>
      <c r="M248" s="36" t="s">
        <v>296</v>
      </c>
      <c r="O248" s="3">
        <f t="shared" si="158"/>
        <v>2201040</v>
      </c>
      <c r="P248" s="9">
        <v>1739952.52</v>
      </c>
      <c r="Q248" s="9">
        <v>5201082</v>
      </c>
      <c r="R248" s="9">
        <v>5201082</v>
      </c>
      <c r="S248" s="9">
        <v>5200082</v>
      </c>
      <c r="T248" s="9">
        <v>5402082</v>
      </c>
      <c r="U248" s="9">
        <v>5601082</v>
      </c>
      <c r="V248" s="9">
        <v>5500082</v>
      </c>
      <c r="W248" s="9">
        <v>8</v>
      </c>
      <c r="X248" s="9">
        <v>8</v>
      </c>
      <c r="Y248" s="9">
        <v>8</v>
      </c>
      <c r="Z248" s="9">
        <v>8</v>
      </c>
      <c r="AA248" s="9">
        <v>8</v>
      </c>
      <c r="AB248" s="9">
        <v>8</v>
      </c>
      <c r="AC248" s="9">
        <f t="shared" si="146"/>
        <v>505</v>
      </c>
      <c r="AD248" s="9">
        <f t="shared" si="147"/>
        <v>546</v>
      </c>
      <c r="AE248" s="9">
        <f t="shared" si="148"/>
        <v>546</v>
      </c>
      <c r="AF248" s="9">
        <f t="shared" si="149"/>
        <v>546</v>
      </c>
      <c r="AG248" s="9">
        <f t="shared" si="150"/>
        <v>546</v>
      </c>
      <c r="AH248" s="9">
        <f t="shared" si="151"/>
        <v>546</v>
      </c>
      <c r="AI248" s="7">
        <f t="shared" si="166"/>
        <v>289992.08666666667</v>
      </c>
      <c r="AJ248" s="7">
        <f t="shared" si="162"/>
        <v>289992.08666666667</v>
      </c>
      <c r="AK248" s="7">
        <f t="shared" si="162"/>
        <v>289992.08666666667</v>
      </c>
      <c r="AL248" s="7">
        <f t="shared" si="162"/>
        <v>289992.08666666667</v>
      </c>
      <c r="AM248" s="7">
        <f t="shared" si="162"/>
        <v>289992.08666666667</v>
      </c>
      <c r="AN248" s="7">
        <f t="shared" si="162"/>
        <v>289992.08666666667</v>
      </c>
      <c r="AO248" s="16"/>
      <c r="AP248" s="7"/>
      <c r="AQ248" s="9">
        <v>6</v>
      </c>
      <c r="AR248" s="9">
        <f t="shared" si="152"/>
        <v>578</v>
      </c>
      <c r="AS248" s="7">
        <f t="shared" si="164"/>
        <v>222</v>
      </c>
      <c r="AT248" s="7"/>
      <c r="AU248" s="16"/>
      <c r="AV248" s="7"/>
      <c r="AW248" s="7"/>
      <c r="AX248" s="7"/>
      <c r="AZ248" s="7"/>
      <c r="BA248" s="9">
        <f t="shared" si="165"/>
        <v>255950.24999999948</v>
      </c>
      <c r="BC248" s="5">
        <f t="shared" si="153"/>
        <v>471</v>
      </c>
      <c r="BR248" s="5">
        <v>5601074</v>
      </c>
      <c r="BS248" s="18">
        <f>[1]monsters!$N248</f>
        <v>268.8</v>
      </c>
      <c r="BT248" s="18">
        <f>[1]monsters!$O248</f>
        <v>26.88</v>
      </c>
      <c r="BU248" s="18">
        <f>[1]monsters!$P248</f>
        <v>1645.71</v>
      </c>
      <c r="BV248" s="18">
        <f>[1]monsters!$Q248</f>
        <v>164.57</v>
      </c>
      <c r="BW248" s="18">
        <f>[1]monsters!$R248</f>
        <v>33.6</v>
      </c>
      <c r="BX248" s="18">
        <f>[1]monsters!$S248</f>
        <v>3.36</v>
      </c>
      <c r="BY248" s="18">
        <f>[1]monsters!$K248</f>
        <v>1.5</v>
      </c>
      <c r="BZ248" s="5">
        <f>[1]monsters!$D248</f>
        <v>5</v>
      </c>
      <c r="CA248" s="5">
        <f t="shared" si="154"/>
        <v>0.1</v>
      </c>
      <c r="CB248" s="5">
        <f t="shared" si="155"/>
        <v>309.42711111111112</v>
      </c>
      <c r="CC248" s="5">
        <f t="shared" si="156"/>
        <v>30.942711111111112</v>
      </c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>
        <v>1</v>
      </c>
      <c r="CR248" s="3" t="b">
        <f t="shared" si="128"/>
        <v>1</v>
      </c>
      <c r="CS248" s="3" t="b">
        <f t="shared" si="129"/>
        <v>1</v>
      </c>
      <c r="CT248" s="3" t="b">
        <f t="shared" si="130"/>
        <v>1</v>
      </c>
      <c r="CU248" s="3" t="b">
        <f t="shared" si="131"/>
        <v>1</v>
      </c>
      <c r="CV248" s="3" t="b">
        <f t="shared" si="132"/>
        <v>1</v>
      </c>
      <c r="CW248" s="3" t="b">
        <f t="shared" si="133"/>
        <v>1</v>
      </c>
      <c r="CX248" s="9" t="str">
        <f t="shared" si="134"/>
        <v>5201082</v>
      </c>
      <c r="CY248" s="9" t="str">
        <f t="shared" si="135"/>
        <v>5201082</v>
      </c>
      <c r="CZ248" s="9" t="str">
        <f t="shared" si="136"/>
        <v>5200082</v>
      </c>
      <c r="DA248" s="9" t="str">
        <f t="shared" si="137"/>
        <v>5402082</v>
      </c>
      <c r="DB248" s="9" t="str">
        <f t="shared" si="138"/>
        <v>5601082</v>
      </c>
      <c r="DC248" s="9" t="str">
        <f t="shared" si="139"/>
        <v>5500082</v>
      </c>
      <c r="DD248" s="9">
        <v>8</v>
      </c>
      <c r="DE248" s="9">
        <v>8</v>
      </c>
      <c r="DF248" s="9">
        <v>8</v>
      </c>
      <c r="DG248" s="9">
        <v>8</v>
      </c>
      <c r="DH248" s="9">
        <v>8</v>
      </c>
      <c r="DI248" s="9">
        <v>8</v>
      </c>
      <c r="DJ248" s="9">
        <v>5</v>
      </c>
      <c r="DK248" s="9">
        <v>5</v>
      </c>
      <c r="DL248" s="9">
        <v>5</v>
      </c>
      <c r="DM248" s="9">
        <v>5</v>
      </c>
      <c r="DN248" s="9">
        <v>5</v>
      </c>
      <c r="DO248" s="9">
        <v>5</v>
      </c>
      <c r="DP248" s="25" t="s">
        <v>114</v>
      </c>
      <c r="DQ248" s="25" t="s">
        <v>114</v>
      </c>
      <c r="DR248" s="26" t="s">
        <v>199</v>
      </c>
      <c r="DS248" s="26" t="s">
        <v>203</v>
      </c>
      <c r="DT248" s="25" t="s">
        <v>124</v>
      </c>
      <c r="DU248" s="25" t="s">
        <v>109</v>
      </c>
      <c r="DV248" s="25">
        <f t="shared" si="140"/>
        <v>1</v>
      </c>
      <c r="DW248" s="25">
        <f t="shared" si="141"/>
        <v>1</v>
      </c>
      <c r="DX248" s="25">
        <f t="shared" si="142"/>
        <v>1</v>
      </c>
      <c r="DY248" s="25">
        <f t="shared" si="143"/>
        <v>2</v>
      </c>
      <c r="DZ248" s="25">
        <f t="shared" si="144"/>
        <v>2</v>
      </c>
      <c r="EA248" s="3">
        <f t="shared" si="145"/>
        <v>2</v>
      </c>
      <c r="EB248" s="39"/>
      <c r="EC248" s="9">
        <v>5500091</v>
      </c>
      <c r="ED248" s="34" t="s">
        <v>197</v>
      </c>
      <c r="EE248" s="8">
        <v>2</v>
      </c>
    </row>
    <row r="249" spans="1:135" ht="13.5" customHeight="1">
      <c r="A249" s="9">
        <v>246</v>
      </c>
      <c r="B249" s="9">
        <v>1</v>
      </c>
      <c r="C249" s="9">
        <v>2001</v>
      </c>
      <c r="D249" s="9">
        <f t="shared" si="163"/>
        <v>2212023</v>
      </c>
      <c r="E249" s="9" t="str">
        <f t="shared" si="159"/>
        <v>5200082,5200083,5200082,5502082,5500082,5502081</v>
      </c>
      <c r="F249" s="9" t="str">
        <f t="shared" si="160"/>
        <v>8,8,8,8,8,8</v>
      </c>
      <c r="G249" s="9" t="str">
        <f t="shared" si="161"/>
        <v>506,547,547,547,547,547</v>
      </c>
      <c r="H249" s="9">
        <v>138</v>
      </c>
      <c r="I249" s="9" t="s">
        <v>278</v>
      </c>
      <c r="J249" s="9" t="s">
        <v>279</v>
      </c>
      <c r="K249" s="9" t="s">
        <v>279</v>
      </c>
      <c r="L249" s="9" t="s">
        <v>279</v>
      </c>
      <c r="M249" s="36" t="s">
        <v>296</v>
      </c>
      <c r="N249" s="40"/>
      <c r="O249" s="3">
        <f t="shared" si="158"/>
        <v>2212023</v>
      </c>
      <c r="P249" s="9">
        <v>1748634.89</v>
      </c>
      <c r="Q249" s="9">
        <v>5200082</v>
      </c>
      <c r="R249" s="9">
        <v>5200083</v>
      </c>
      <c r="S249" s="9">
        <v>5200082</v>
      </c>
      <c r="T249" s="9">
        <v>5502082</v>
      </c>
      <c r="U249" s="9">
        <v>5500082</v>
      </c>
      <c r="V249" s="9">
        <v>5502081</v>
      </c>
      <c r="W249" s="9">
        <v>8</v>
      </c>
      <c r="X249" s="9">
        <v>8</v>
      </c>
      <c r="Y249" s="9">
        <v>8</v>
      </c>
      <c r="Z249" s="9">
        <v>8</v>
      </c>
      <c r="AA249" s="9">
        <v>8</v>
      </c>
      <c r="AB249" s="9">
        <v>8</v>
      </c>
      <c r="AC249" s="9">
        <f t="shared" si="146"/>
        <v>506</v>
      </c>
      <c r="AD249" s="9">
        <f t="shared" si="147"/>
        <v>547</v>
      </c>
      <c r="AE249" s="9">
        <f t="shared" si="148"/>
        <v>547</v>
      </c>
      <c r="AF249" s="9">
        <f t="shared" si="149"/>
        <v>547</v>
      </c>
      <c r="AG249" s="9">
        <f t="shared" si="150"/>
        <v>547</v>
      </c>
      <c r="AH249" s="9">
        <f t="shared" si="151"/>
        <v>547</v>
      </c>
      <c r="AI249" s="7">
        <f t="shared" si="166"/>
        <v>291439.14833333332</v>
      </c>
      <c r="AJ249" s="7">
        <f t="shared" si="162"/>
        <v>291439.14833333332</v>
      </c>
      <c r="AK249" s="7">
        <f t="shared" si="162"/>
        <v>291439.14833333332</v>
      </c>
      <c r="AL249" s="7">
        <f t="shared" si="162"/>
        <v>291439.14833333332</v>
      </c>
      <c r="AM249" s="7">
        <f t="shared" si="162"/>
        <v>291439.14833333332</v>
      </c>
      <c r="AN249" s="7">
        <f t="shared" si="162"/>
        <v>291439.14833333332</v>
      </c>
      <c r="AO249" s="16"/>
      <c r="AP249" s="7"/>
      <c r="AQ249" s="9">
        <v>6</v>
      </c>
      <c r="AR249" s="9">
        <f t="shared" si="152"/>
        <v>580</v>
      </c>
      <c r="AS249" s="7">
        <f t="shared" si="164"/>
        <v>223</v>
      </c>
      <c r="AT249" s="7"/>
      <c r="AU249" s="16"/>
      <c r="AV249" s="7"/>
      <c r="AW249" s="7"/>
      <c r="AX249" s="7"/>
      <c r="AZ249" s="7"/>
      <c r="BA249" s="9">
        <f t="shared" si="165"/>
        <v>258041.39999999947</v>
      </c>
      <c r="BC249" s="5">
        <f t="shared" si="153"/>
        <v>473</v>
      </c>
      <c r="BR249" s="5">
        <v>5201075</v>
      </c>
      <c r="BS249" s="18">
        <f>[1]monsters!$N249</f>
        <v>250.88</v>
      </c>
      <c r="BT249" s="18">
        <f>[1]monsters!$O249</f>
        <v>25.09</v>
      </c>
      <c r="BU249" s="18">
        <f>[1]monsters!$P249</f>
        <v>1645.71</v>
      </c>
      <c r="BV249" s="18">
        <f>[1]monsters!$Q249</f>
        <v>164.57</v>
      </c>
      <c r="BW249" s="18">
        <f>[1]monsters!$R249</f>
        <v>31.36</v>
      </c>
      <c r="BX249" s="18">
        <f>[1]monsters!$S249</f>
        <v>3.14</v>
      </c>
      <c r="BY249" s="18">
        <f>[1]monsters!$K249</f>
        <v>1.4</v>
      </c>
      <c r="BZ249" s="5">
        <f>[1]monsters!$D249</f>
        <v>5</v>
      </c>
      <c r="CA249" s="5">
        <f t="shared" si="154"/>
        <v>0.1</v>
      </c>
      <c r="CB249" s="5">
        <f t="shared" si="155"/>
        <v>292.49271111111108</v>
      </c>
      <c r="CC249" s="5">
        <f t="shared" si="156"/>
        <v>29.24927111111111</v>
      </c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>
        <v>0</v>
      </c>
      <c r="CR249" s="3" t="b">
        <f t="shared" si="128"/>
        <v>1</v>
      </c>
      <c r="CS249" s="3" t="b">
        <f t="shared" si="129"/>
        <v>1</v>
      </c>
      <c r="CT249" s="3" t="b">
        <f t="shared" si="130"/>
        <v>1</v>
      </c>
      <c r="CU249" s="3" t="b">
        <f t="shared" si="131"/>
        <v>1</v>
      </c>
      <c r="CV249" s="3" t="b">
        <f t="shared" si="132"/>
        <v>1</v>
      </c>
      <c r="CW249" s="3" t="b">
        <f t="shared" si="133"/>
        <v>1</v>
      </c>
      <c r="CX249" s="9" t="str">
        <f t="shared" si="134"/>
        <v>5200082</v>
      </c>
      <c r="CY249" s="9" t="str">
        <f t="shared" si="135"/>
        <v>5200083</v>
      </c>
      <c r="CZ249" s="9" t="str">
        <f t="shared" si="136"/>
        <v>5200082</v>
      </c>
      <c r="DA249" s="9" t="str">
        <f t="shared" si="137"/>
        <v>5502082</v>
      </c>
      <c r="DB249" s="9" t="str">
        <f t="shared" si="138"/>
        <v>5500082</v>
      </c>
      <c r="DC249" s="9" t="str">
        <f t="shared" si="139"/>
        <v>5502081</v>
      </c>
      <c r="DD249" s="9">
        <v>8</v>
      </c>
      <c r="DE249" s="9">
        <v>8</v>
      </c>
      <c r="DF249" s="9">
        <v>8</v>
      </c>
      <c r="DG249" s="9">
        <v>8</v>
      </c>
      <c r="DH249" s="9">
        <v>8</v>
      </c>
      <c r="DI249" s="9">
        <v>8</v>
      </c>
      <c r="DJ249" s="9">
        <v>5</v>
      </c>
      <c r="DK249" s="9">
        <v>5</v>
      </c>
      <c r="DL249" s="9">
        <v>5</v>
      </c>
      <c r="DM249" s="9">
        <v>5</v>
      </c>
      <c r="DN249" s="9">
        <v>5</v>
      </c>
      <c r="DO249" s="9">
        <v>5</v>
      </c>
      <c r="DP249" s="25" t="s">
        <v>199</v>
      </c>
      <c r="DQ249" s="25" t="s">
        <v>113</v>
      </c>
      <c r="DR249" s="25" t="s">
        <v>199</v>
      </c>
      <c r="DS249" s="28" t="s">
        <v>204</v>
      </c>
      <c r="DT249" s="28" t="s">
        <v>109</v>
      </c>
      <c r="DU249" s="28" t="s">
        <v>119</v>
      </c>
      <c r="DV249" s="28">
        <f t="shared" si="140"/>
        <v>1</v>
      </c>
      <c r="DW249" s="28">
        <f t="shared" si="141"/>
        <v>1</v>
      </c>
      <c r="DX249" s="28">
        <f t="shared" si="142"/>
        <v>1</v>
      </c>
      <c r="DY249" s="28">
        <f t="shared" si="143"/>
        <v>2</v>
      </c>
      <c r="DZ249" s="28">
        <f t="shared" si="144"/>
        <v>2</v>
      </c>
      <c r="EA249" s="3">
        <f t="shared" si="145"/>
        <v>2</v>
      </c>
      <c r="EB249" s="39"/>
      <c r="EC249" s="9">
        <v>5502091</v>
      </c>
      <c r="ED249" s="34" t="s">
        <v>119</v>
      </c>
      <c r="EE249" s="8">
        <v>2</v>
      </c>
    </row>
    <row r="250" spans="1:135" ht="13.5" customHeight="1">
      <c r="A250" s="9">
        <v>247</v>
      </c>
      <c r="B250" s="9">
        <v>1</v>
      </c>
      <c r="C250" s="9">
        <v>2001</v>
      </c>
      <c r="D250" s="9">
        <f t="shared" si="163"/>
        <v>2223032</v>
      </c>
      <c r="E250" s="9" t="str">
        <f t="shared" si="159"/>
        <v>5202083,5202082,5202083,5401083,5501085,5501085</v>
      </c>
      <c r="F250" s="9" t="str">
        <f t="shared" si="160"/>
        <v>8,8,8,8,8,8</v>
      </c>
      <c r="G250" s="9" t="str">
        <f t="shared" si="161"/>
        <v>507,549,549,549,549,549</v>
      </c>
      <c r="H250" s="9">
        <v>138</v>
      </c>
      <c r="I250" s="9" t="s">
        <v>278</v>
      </c>
      <c r="J250" s="9" t="s">
        <v>279</v>
      </c>
      <c r="K250" s="9" t="s">
        <v>279</v>
      </c>
      <c r="L250" s="9" t="s">
        <v>279</v>
      </c>
      <c r="M250" s="36" t="s">
        <v>296</v>
      </c>
      <c r="N250" s="40"/>
      <c r="O250" s="3">
        <f t="shared" si="158"/>
        <v>2223032</v>
      </c>
      <c r="P250" s="9">
        <v>1757337.16</v>
      </c>
      <c r="Q250" s="9">
        <v>5202083</v>
      </c>
      <c r="R250" s="9">
        <v>5202082</v>
      </c>
      <c r="S250" s="9">
        <v>5202083</v>
      </c>
      <c r="T250" s="9">
        <v>5401083</v>
      </c>
      <c r="U250" s="9">
        <v>5501085</v>
      </c>
      <c r="V250" s="9">
        <v>5501085</v>
      </c>
      <c r="W250" s="9">
        <v>8</v>
      </c>
      <c r="X250" s="9">
        <v>8</v>
      </c>
      <c r="Y250" s="9">
        <v>8</v>
      </c>
      <c r="Z250" s="9">
        <v>8</v>
      </c>
      <c r="AA250" s="9">
        <v>8</v>
      </c>
      <c r="AB250" s="9">
        <v>8</v>
      </c>
      <c r="AC250" s="9">
        <f t="shared" si="146"/>
        <v>507</v>
      </c>
      <c r="AD250" s="9">
        <f t="shared" si="147"/>
        <v>549</v>
      </c>
      <c r="AE250" s="9">
        <f t="shared" si="148"/>
        <v>549</v>
      </c>
      <c r="AF250" s="9">
        <f t="shared" si="149"/>
        <v>549</v>
      </c>
      <c r="AG250" s="9">
        <f t="shared" si="150"/>
        <v>549</v>
      </c>
      <c r="AH250" s="9">
        <f t="shared" si="151"/>
        <v>549</v>
      </c>
      <c r="AI250" s="7">
        <f t="shared" si="166"/>
        <v>292889.52666666667</v>
      </c>
      <c r="AJ250" s="7">
        <f t="shared" si="162"/>
        <v>292889.52666666667</v>
      </c>
      <c r="AK250" s="7">
        <f t="shared" si="162"/>
        <v>292889.52666666667</v>
      </c>
      <c r="AL250" s="7">
        <f t="shared" si="162"/>
        <v>292889.52666666667</v>
      </c>
      <c r="AM250" s="7">
        <f t="shared" si="162"/>
        <v>292889.52666666667</v>
      </c>
      <c r="AN250" s="7">
        <f t="shared" si="162"/>
        <v>292889.52666666667</v>
      </c>
      <c r="AO250" s="16"/>
      <c r="AP250" s="7"/>
      <c r="AQ250" s="9">
        <v>6</v>
      </c>
      <c r="AR250" s="9">
        <f t="shared" si="152"/>
        <v>581</v>
      </c>
      <c r="AS250" s="7">
        <f t="shared" si="164"/>
        <v>223</v>
      </c>
      <c r="AT250" s="7"/>
      <c r="AU250" s="16"/>
      <c r="AV250" s="7"/>
      <c r="AW250" s="7"/>
      <c r="AX250" s="7"/>
      <c r="AZ250" s="7"/>
      <c r="BA250" s="9">
        <f t="shared" si="165"/>
        <v>260132.54999999946</v>
      </c>
      <c r="BC250" s="5">
        <f t="shared" si="153"/>
        <v>474</v>
      </c>
      <c r="BR250" s="5">
        <v>5202075</v>
      </c>
      <c r="BS250" s="18">
        <f>[1]monsters!$N250</f>
        <v>297.60000000000002</v>
      </c>
      <c r="BT250" s="18">
        <f>[1]monsters!$O250</f>
        <v>29.76</v>
      </c>
      <c r="BU250" s="18">
        <f>[1]monsters!$P250</f>
        <v>1486.45</v>
      </c>
      <c r="BV250" s="18">
        <f>[1]monsters!$Q250</f>
        <v>148.65</v>
      </c>
      <c r="BW250" s="18">
        <f>[1]monsters!$R250</f>
        <v>29.76</v>
      </c>
      <c r="BX250" s="18">
        <f>[1]monsters!$S250</f>
        <v>2.98</v>
      </c>
      <c r="BY250" s="18">
        <f>[1]monsters!$K250</f>
        <v>1.5</v>
      </c>
      <c r="BZ250" s="5">
        <f>[1]monsters!$D250</f>
        <v>6</v>
      </c>
      <c r="CA250" s="5">
        <f t="shared" si="154"/>
        <v>0.1</v>
      </c>
      <c r="CB250" s="5">
        <f t="shared" si="155"/>
        <v>331.28082154882156</v>
      </c>
      <c r="CC250" s="5">
        <f t="shared" si="156"/>
        <v>33.128082154882158</v>
      </c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>
        <v>0</v>
      </c>
      <c r="CR250" s="3" t="b">
        <f t="shared" si="128"/>
        <v>1</v>
      </c>
      <c r="CS250" s="3" t="b">
        <f t="shared" si="129"/>
        <v>1</v>
      </c>
      <c r="CT250" s="3" t="b">
        <f t="shared" si="130"/>
        <v>1</v>
      </c>
      <c r="CU250" s="3" t="b">
        <f t="shared" si="131"/>
        <v>1</v>
      </c>
      <c r="CV250" s="3" t="b">
        <f t="shared" si="132"/>
        <v>1</v>
      </c>
      <c r="CW250" s="3" t="b">
        <f t="shared" si="133"/>
        <v>1</v>
      </c>
      <c r="CX250" s="9" t="str">
        <f t="shared" si="134"/>
        <v>5202083</v>
      </c>
      <c r="CY250" s="9" t="str">
        <f t="shared" si="135"/>
        <v>5202082</v>
      </c>
      <c r="CZ250" s="9" t="str">
        <f t="shared" si="136"/>
        <v>5202083</v>
      </c>
      <c r="DA250" s="9" t="str">
        <f t="shared" si="137"/>
        <v>5401083</v>
      </c>
      <c r="DB250" s="9" t="str">
        <f t="shared" si="138"/>
        <v>5501085</v>
      </c>
      <c r="DC250" s="9" t="str">
        <f t="shared" si="139"/>
        <v>5501085</v>
      </c>
      <c r="DD250" s="9">
        <v>8</v>
      </c>
      <c r="DE250" s="9">
        <v>8</v>
      </c>
      <c r="DF250" s="9">
        <v>8</v>
      </c>
      <c r="DG250" s="9">
        <v>8</v>
      </c>
      <c r="DH250" s="9">
        <v>8</v>
      </c>
      <c r="DI250" s="9">
        <v>8</v>
      </c>
      <c r="DJ250" s="9">
        <v>5</v>
      </c>
      <c r="DK250" s="9">
        <v>5</v>
      </c>
      <c r="DL250" s="9">
        <v>5</v>
      </c>
      <c r="DM250" s="9">
        <v>5</v>
      </c>
      <c r="DN250" s="9">
        <v>5</v>
      </c>
      <c r="DO250" s="9">
        <v>5</v>
      </c>
      <c r="DP250" s="25" t="s">
        <v>208</v>
      </c>
      <c r="DQ250" s="25" t="s">
        <v>200</v>
      </c>
      <c r="DR250" s="26" t="s">
        <v>208</v>
      </c>
      <c r="DS250" s="26" t="s">
        <v>211</v>
      </c>
      <c r="DT250" s="25" t="s">
        <v>209</v>
      </c>
      <c r="DU250" s="25" t="s">
        <v>209</v>
      </c>
      <c r="DV250" s="25">
        <f t="shared" si="140"/>
        <v>1</v>
      </c>
      <c r="DW250" s="25">
        <f t="shared" si="141"/>
        <v>1</v>
      </c>
      <c r="DX250" s="25">
        <f t="shared" si="142"/>
        <v>1</v>
      </c>
      <c r="DY250" s="25">
        <f t="shared" si="143"/>
        <v>2</v>
      </c>
      <c r="DZ250" s="25">
        <f t="shared" si="144"/>
        <v>2</v>
      </c>
      <c r="EA250" s="3">
        <f t="shared" si="145"/>
        <v>2</v>
      </c>
      <c r="EB250" s="39"/>
      <c r="EC250" s="9">
        <v>5601091</v>
      </c>
      <c r="ED250" s="34" t="s">
        <v>198</v>
      </c>
      <c r="EE250" s="8">
        <v>2</v>
      </c>
    </row>
    <row r="251" spans="1:135" ht="13.5" customHeight="1">
      <c r="A251" s="9">
        <v>248</v>
      </c>
      <c r="B251" s="9">
        <v>1</v>
      </c>
      <c r="C251" s="9">
        <v>2001</v>
      </c>
      <c r="D251" s="9">
        <f t="shared" si="163"/>
        <v>2234070</v>
      </c>
      <c r="E251" s="9" t="str">
        <f t="shared" si="159"/>
        <v>5201081,5201082,5201084,5501084,5500083,5602084</v>
      </c>
      <c r="F251" s="9" t="str">
        <f t="shared" si="160"/>
        <v>8,8,8,8,8,8</v>
      </c>
      <c r="G251" s="9" t="str">
        <f t="shared" si="161"/>
        <v>508,550,550,550,550,550</v>
      </c>
      <c r="H251" s="9">
        <v>139</v>
      </c>
      <c r="I251" s="9" t="s">
        <v>278</v>
      </c>
      <c r="J251" s="9" t="s">
        <v>279</v>
      </c>
      <c r="K251" s="9" t="s">
        <v>279</v>
      </c>
      <c r="L251" s="9" t="s">
        <v>279</v>
      </c>
      <c r="M251" s="36" t="s">
        <v>296</v>
      </c>
      <c r="N251" s="40"/>
      <c r="O251" s="3">
        <f t="shared" si="158"/>
        <v>2234070</v>
      </c>
      <c r="P251" s="9">
        <v>1766063.31</v>
      </c>
      <c r="Q251" s="9">
        <v>5201081</v>
      </c>
      <c r="R251" s="9">
        <v>5201082</v>
      </c>
      <c r="S251" s="9">
        <v>5201084</v>
      </c>
      <c r="T251" s="9">
        <v>5501084</v>
      </c>
      <c r="U251" s="9">
        <v>5500083</v>
      </c>
      <c r="V251" s="9">
        <v>5602084</v>
      </c>
      <c r="W251" s="9">
        <v>8</v>
      </c>
      <c r="X251" s="9">
        <v>8</v>
      </c>
      <c r="Y251" s="9">
        <v>8</v>
      </c>
      <c r="Z251" s="9">
        <v>8</v>
      </c>
      <c r="AA251" s="9">
        <v>8</v>
      </c>
      <c r="AB251" s="9">
        <v>8</v>
      </c>
      <c r="AC251" s="9">
        <f t="shared" si="146"/>
        <v>508</v>
      </c>
      <c r="AD251" s="9">
        <f t="shared" si="147"/>
        <v>550</v>
      </c>
      <c r="AE251" s="9">
        <f t="shared" si="148"/>
        <v>550</v>
      </c>
      <c r="AF251" s="9">
        <f t="shared" si="149"/>
        <v>550</v>
      </c>
      <c r="AG251" s="9">
        <f t="shared" si="150"/>
        <v>550</v>
      </c>
      <c r="AH251" s="9">
        <f t="shared" si="151"/>
        <v>550</v>
      </c>
      <c r="AI251" s="7">
        <f t="shared" si="166"/>
        <v>294343.88500000001</v>
      </c>
      <c r="AJ251" s="7">
        <f t="shared" si="162"/>
        <v>294343.88500000001</v>
      </c>
      <c r="AK251" s="7">
        <f t="shared" si="162"/>
        <v>294343.88500000001</v>
      </c>
      <c r="AL251" s="7">
        <f t="shared" si="162"/>
        <v>294343.88500000001</v>
      </c>
      <c r="AM251" s="7">
        <f t="shared" si="162"/>
        <v>294343.88500000001</v>
      </c>
      <c r="AN251" s="7">
        <f t="shared" si="162"/>
        <v>294343.88500000001</v>
      </c>
      <c r="AO251" s="16"/>
      <c r="AP251" s="7"/>
      <c r="AQ251" s="9">
        <v>6</v>
      </c>
      <c r="AR251" s="9">
        <f t="shared" si="152"/>
        <v>583</v>
      </c>
      <c r="AS251" s="7">
        <f t="shared" si="164"/>
        <v>224</v>
      </c>
      <c r="AT251" s="7"/>
      <c r="AU251" s="16"/>
      <c r="AV251" s="7"/>
      <c r="AW251" s="7"/>
      <c r="AX251" s="7"/>
      <c r="AZ251" s="7"/>
      <c r="BA251" s="9">
        <f t="shared" si="165"/>
        <v>262223.69999999949</v>
      </c>
      <c r="BC251" s="5">
        <f t="shared" si="153"/>
        <v>475</v>
      </c>
      <c r="BR251" s="5">
        <v>5302075</v>
      </c>
      <c r="BS251" s="18">
        <f>[1]monsters!$N251</f>
        <v>192</v>
      </c>
      <c r="BT251" s="18">
        <f>[1]monsters!$O251</f>
        <v>19.2</v>
      </c>
      <c r="BU251" s="18">
        <f>[1]monsters!$P251</f>
        <v>2304</v>
      </c>
      <c r="BV251" s="18">
        <f>[1]monsters!$Q251</f>
        <v>230.4</v>
      </c>
      <c r="BW251" s="18">
        <f>[1]monsters!$R251</f>
        <v>48</v>
      </c>
      <c r="BX251" s="18">
        <f>[1]monsters!$S251</f>
        <v>4.8</v>
      </c>
      <c r="BY251" s="18">
        <f>[1]monsters!$K251</f>
        <v>1.5</v>
      </c>
      <c r="BZ251" s="5">
        <f>[1]monsters!$D251</f>
        <v>2</v>
      </c>
      <c r="CA251" s="5">
        <f t="shared" si="154"/>
        <v>0.1</v>
      </c>
      <c r="CB251" s="5">
        <f t="shared" si="155"/>
        <v>259.01575757575756</v>
      </c>
      <c r="CC251" s="5">
        <f t="shared" si="156"/>
        <v>25.901575757575756</v>
      </c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>
        <v>0</v>
      </c>
      <c r="CR251" s="3" t="b">
        <f t="shared" si="128"/>
        <v>1</v>
      </c>
      <c r="CS251" s="3" t="b">
        <f t="shared" si="129"/>
        <v>1</v>
      </c>
      <c r="CT251" s="3" t="b">
        <f t="shared" si="130"/>
        <v>1</v>
      </c>
      <c r="CU251" s="3" t="b">
        <f t="shared" si="131"/>
        <v>1</v>
      </c>
      <c r="CV251" s="3" t="b">
        <f t="shared" si="132"/>
        <v>1</v>
      </c>
      <c r="CW251" s="3" t="b">
        <f t="shared" si="133"/>
        <v>1</v>
      </c>
      <c r="CX251" s="9" t="str">
        <f t="shared" si="134"/>
        <v>5201081</v>
      </c>
      <c r="CY251" s="9" t="str">
        <f t="shared" si="135"/>
        <v>5201082</v>
      </c>
      <c r="CZ251" s="9" t="str">
        <f t="shared" si="136"/>
        <v>5201084</v>
      </c>
      <c r="DA251" s="9" t="str">
        <f t="shared" si="137"/>
        <v>5501084</v>
      </c>
      <c r="DB251" s="9" t="str">
        <f t="shared" si="138"/>
        <v>5500083</v>
      </c>
      <c r="DC251" s="9" t="str">
        <f t="shared" si="139"/>
        <v>5602084</v>
      </c>
      <c r="DD251" s="9">
        <v>8</v>
      </c>
      <c r="DE251" s="9">
        <v>8</v>
      </c>
      <c r="DF251" s="9">
        <v>8</v>
      </c>
      <c r="DG251" s="9">
        <v>8</v>
      </c>
      <c r="DH251" s="9">
        <v>8</v>
      </c>
      <c r="DI251" s="9">
        <v>8</v>
      </c>
      <c r="DJ251" s="9">
        <v>5</v>
      </c>
      <c r="DK251" s="9">
        <v>5</v>
      </c>
      <c r="DL251" s="9">
        <v>5</v>
      </c>
      <c r="DM251" s="9">
        <v>5</v>
      </c>
      <c r="DN251" s="9">
        <v>5</v>
      </c>
      <c r="DO251" s="9">
        <v>5</v>
      </c>
      <c r="DP251" s="25" t="s">
        <v>195</v>
      </c>
      <c r="DQ251" s="25" t="s">
        <v>114</v>
      </c>
      <c r="DR251" s="26" t="s">
        <v>217</v>
      </c>
      <c r="DS251" s="26" t="s">
        <v>214</v>
      </c>
      <c r="DT251" s="26" t="s">
        <v>207</v>
      </c>
      <c r="DU251" s="26" t="s">
        <v>220</v>
      </c>
      <c r="DV251" s="26">
        <f t="shared" si="140"/>
        <v>1</v>
      </c>
      <c r="DW251" s="26">
        <f t="shared" si="141"/>
        <v>1</v>
      </c>
      <c r="DX251" s="26">
        <f t="shared" si="142"/>
        <v>1</v>
      </c>
      <c r="DY251" s="26">
        <f t="shared" si="143"/>
        <v>2</v>
      </c>
      <c r="DZ251" s="26">
        <f t="shared" si="144"/>
        <v>2</v>
      </c>
      <c r="EA251" s="3">
        <f t="shared" si="145"/>
        <v>2</v>
      </c>
      <c r="EB251" s="39"/>
      <c r="EC251" s="9">
        <v>5200092</v>
      </c>
      <c r="ED251" s="34" t="s">
        <v>199</v>
      </c>
      <c r="EE251" s="8">
        <v>1</v>
      </c>
    </row>
    <row r="252" spans="1:135" ht="13.5" customHeight="1">
      <c r="A252" s="9">
        <v>249</v>
      </c>
      <c r="B252" s="9">
        <v>1</v>
      </c>
      <c r="C252" s="9">
        <v>2001</v>
      </c>
      <c r="D252" s="9">
        <f t="shared" si="163"/>
        <v>2245997</v>
      </c>
      <c r="E252" s="9" t="str">
        <f t="shared" si="159"/>
        <v>5200082,5301082,5202083,5402081,5501085,5500081</v>
      </c>
      <c r="F252" s="9" t="str">
        <f t="shared" si="160"/>
        <v>8,8,8,8,8,8</v>
      </c>
      <c r="G252" s="9" t="str">
        <f t="shared" si="161"/>
        <v>510,552,552,552,552,552</v>
      </c>
      <c r="H252" s="9">
        <v>139</v>
      </c>
      <c r="I252" s="9" t="s">
        <v>278</v>
      </c>
      <c r="J252" s="9" t="s">
        <v>279</v>
      </c>
      <c r="K252" s="9" t="s">
        <v>279</v>
      </c>
      <c r="L252" s="9" t="s">
        <v>279</v>
      </c>
      <c r="M252" s="36" t="s">
        <v>296</v>
      </c>
      <c r="N252" s="40"/>
      <c r="O252" s="3">
        <f t="shared" ref="O252:O315" si="167">ROUND(P252*1.1*1.15,0)</f>
        <v>2245997</v>
      </c>
      <c r="P252" s="9">
        <v>1775491.93</v>
      </c>
      <c r="Q252" s="9">
        <v>5200082</v>
      </c>
      <c r="R252" s="9">
        <v>5301082</v>
      </c>
      <c r="S252" s="9">
        <v>5202083</v>
      </c>
      <c r="T252" s="9">
        <v>5402081</v>
      </c>
      <c r="U252" s="9">
        <v>5501085</v>
      </c>
      <c r="V252" s="9">
        <v>5500081</v>
      </c>
      <c r="W252" s="9">
        <v>8</v>
      </c>
      <c r="X252" s="9">
        <v>8</v>
      </c>
      <c r="Y252" s="9">
        <v>8</v>
      </c>
      <c r="Z252" s="9">
        <v>8</v>
      </c>
      <c r="AA252" s="9">
        <v>8</v>
      </c>
      <c r="AB252" s="9">
        <v>8</v>
      </c>
      <c r="AC252" s="9">
        <f t="shared" si="146"/>
        <v>510</v>
      </c>
      <c r="AD252" s="9">
        <f t="shared" si="147"/>
        <v>552</v>
      </c>
      <c r="AE252" s="9">
        <f t="shared" si="148"/>
        <v>552</v>
      </c>
      <c r="AF252" s="9">
        <f t="shared" si="149"/>
        <v>552</v>
      </c>
      <c r="AG252" s="9">
        <f t="shared" si="150"/>
        <v>552</v>
      </c>
      <c r="AH252" s="9">
        <f t="shared" si="151"/>
        <v>552</v>
      </c>
      <c r="AI252" s="7">
        <f t="shared" si="166"/>
        <v>295915.32166666666</v>
      </c>
      <c r="AJ252" s="7">
        <f t="shared" si="162"/>
        <v>295915.32166666666</v>
      </c>
      <c r="AK252" s="7">
        <f t="shared" si="162"/>
        <v>295915.32166666666</v>
      </c>
      <c r="AL252" s="7">
        <f t="shared" si="162"/>
        <v>295915.32166666666</v>
      </c>
      <c r="AM252" s="7">
        <f t="shared" si="162"/>
        <v>295915.32166666666</v>
      </c>
      <c r="AN252" s="7">
        <f t="shared" si="162"/>
        <v>295915.32166666666</v>
      </c>
      <c r="AO252" s="16"/>
      <c r="AP252" s="7"/>
      <c r="AQ252" s="9">
        <v>6</v>
      </c>
      <c r="AR252" s="9">
        <f t="shared" si="152"/>
        <v>584</v>
      </c>
      <c r="AS252" s="7">
        <f t="shared" si="164"/>
        <v>224</v>
      </c>
      <c r="AT252" s="7"/>
      <c r="AU252" s="16"/>
      <c r="AV252" s="7"/>
      <c r="AW252" s="7"/>
      <c r="AX252" s="7"/>
      <c r="AZ252" s="7"/>
      <c r="BA252" s="9">
        <f t="shared" si="165"/>
        <v>264314.84999999951</v>
      </c>
      <c r="BC252" s="5">
        <f t="shared" si="153"/>
        <v>476</v>
      </c>
      <c r="BR252" s="5">
        <v>5301075</v>
      </c>
      <c r="BS252" s="18">
        <f>[1]monsters!$N252</f>
        <v>184.32</v>
      </c>
      <c r="BT252" s="18">
        <f>[1]monsters!$O252</f>
        <v>18.43</v>
      </c>
      <c r="BU252" s="18">
        <f>[1]monsters!$P252</f>
        <v>2880</v>
      </c>
      <c r="BV252" s="18">
        <f>[1]monsters!$Q252</f>
        <v>288</v>
      </c>
      <c r="BW252" s="18">
        <f>[1]monsters!$R252</f>
        <v>61.44</v>
      </c>
      <c r="BX252" s="18">
        <f>[1]monsters!$S252</f>
        <v>6.14</v>
      </c>
      <c r="BY252" s="18">
        <f>[1]monsters!$K252</f>
        <v>1.8</v>
      </c>
      <c r="BZ252" s="5">
        <f>[1]monsters!$D252</f>
        <v>2</v>
      </c>
      <c r="CA252" s="5">
        <f t="shared" si="154"/>
        <v>0.1</v>
      </c>
      <c r="CB252" s="5">
        <f t="shared" si="155"/>
        <v>271.15209696969697</v>
      </c>
      <c r="CC252" s="5">
        <f t="shared" si="156"/>
        <v>27.1152096969697</v>
      </c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>
        <v>0</v>
      </c>
      <c r="CR252" s="3" t="b">
        <f t="shared" si="128"/>
        <v>1</v>
      </c>
      <c r="CS252" s="3" t="b">
        <f t="shared" si="129"/>
        <v>1</v>
      </c>
      <c r="CT252" s="3" t="b">
        <f t="shared" si="130"/>
        <v>1</v>
      </c>
      <c r="CU252" s="3" t="b">
        <f t="shared" si="131"/>
        <v>1</v>
      </c>
      <c r="CV252" s="3" t="b">
        <f t="shared" si="132"/>
        <v>1</v>
      </c>
      <c r="CW252" s="3" t="b">
        <f t="shared" si="133"/>
        <v>1</v>
      </c>
      <c r="CX252" s="9" t="str">
        <f t="shared" si="134"/>
        <v>5200082</v>
      </c>
      <c r="CY252" s="9" t="str">
        <f t="shared" si="135"/>
        <v>5301082</v>
      </c>
      <c r="CZ252" s="9" t="str">
        <f t="shared" si="136"/>
        <v>5202083</v>
      </c>
      <c r="DA252" s="9" t="str">
        <f t="shared" si="137"/>
        <v>5402081</v>
      </c>
      <c r="DB252" s="9" t="str">
        <f t="shared" si="138"/>
        <v>5501085</v>
      </c>
      <c r="DC252" s="9" t="str">
        <f t="shared" si="139"/>
        <v>5500081</v>
      </c>
      <c r="DD252" s="9">
        <v>8</v>
      </c>
      <c r="DE252" s="9">
        <v>8</v>
      </c>
      <c r="DF252" s="9">
        <v>8</v>
      </c>
      <c r="DG252" s="9">
        <v>8</v>
      </c>
      <c r="DH252" s="9">
        <v>8</v>
      </c>
      <c r="DI252" s="9">
        <v>8</v>
      </c>
      <c r="DJ252" s="9">
        <v>5</v>
      </c>
      <c r="DK252" s="9">
        <v>5</v>
      </c>
      <c r="DL252" s="9">
        <v>5</v>
      </c>
      <c r="DM252" s="9">
        <v>5</v>
      </c>
      <c r="DN252" s="9">
        <v>5</v>
      </c>
      <c r="DO252" s="9">
        <v>5</v>
      </c>
      <c r="DP252" s="25" t="s">
        <v>199</v>
      </c>
      <c r="DQ252" s="26" t="s">
        <v>201</v>
      </c>
      <c r="DR252" s="25" t="s">
        <v>208</v>
      </c>
      <c r="DS252" s="26" t="s">
        <v>196</v>
      </c>
      <c r="DT252" s="26" t="s">
        <v>209</v>
      </c>
      <c r="DU252" s="28" t="s">
        <v>197</v>
      </c>
      <c r="DV252" s="28">
        <f t="shared" si="140"/>
        <v>1</v>
      </c>
      <c r="DW252" s="28">
        <f t="shared" si="141"/>
        <v>1</v>
      </c>
      <c r="DX252" s="28">
        <f t="shared" si="142"/>
        <v>1</v>
      </c>
      <c r="DY252" s="28">
        <f t="shared" si="143"/>
        <v>2</v>
      </c>
      <c r="DZ252" s="28">
        <f t="shared" si="144"/>
        <v>2</v>
      </c>
      <c r="EA252" s="3">
        <f t="shared" si="145"/>
        <v>2</v>
      </c>
      <c r="EB252" s="39"/>
      <c r="EC252" s="9">
        <v>5201092</v>
      </c>
      <c r="ED252" s="34" t="s">
        <v>114</v>
      </c>
      <c r="EE252" s="8">
        <v>1</v>
      </c>
    </row>
    <row r="253" spans="1:135" ht="13.5" customHeight="1">
      <c r="A253" s="9">
        <v>250</v>
      </c>
      <c r="B253" s="9">
        <v>1</v>
      </c>
      <c r="C253" s="9">
        <v>2001</v>
      </c>
      <c r="D253" s="9">
        <f t="shared" si="163"/>
        <v>2257091</v>
      </c>
      <c r="E253" s="9" t="str">
        <f t="shared" si="159"/>
        <v>5201083,5201083,5201083,5402083,5402083,5402083</v>
      </c>
      <c r="F253" s="9" t="str">
        <f t="shared" si="160"/>
        <v>8,8,8,8,8,8</v>
      </c>
      <c r="G253" s="9" t="str">
        <f t="shared" si="161"/>
        <v>511,553,553,553,553,553</v>
      </c>
      <c r="H253" s="9">
        <v>140</v>
      </c>
      <c r="I253" s="9" t="s">
        <v>278</v>
      </c>
      <c r="J253" s="9" t="s">
        <v>279</v>
      </c>
      <c r="K253" s="9" t="s">
        <v>279</v>
      </c>
      <c r="L253" s="9" t="s">
        <v>279</v>
      </c>
      <c r="M253" s="36" t="s">
        <v>296</v>
      </c>
      <c r="O253" s="3">
        <f t="shared" si="167"/>
        <v>2257091</v>
      </c>
      <c r="P253" s="9">
        <v>1784261.86</v>
      </c>
      <c r="Q253" s="9">
        <v>5201083</v>
      </c>
      <c r="R253" s="9">
        <v>5201083</v>
      </c>
      <c r="S253" s="9">
        <v>5201083</v>
      </c>
      <c r="T253" s="9">
        <v>5402083</v>
      </c>
      <c r="U253" s="9">
        <v>5402083</v>
      </c>
      <c r="V253" s="9">
        <v>5402083</v>
      </c>
      <c r="W253" s="9">
        <v>8</v>
      </c>
      <c r="X253" s="9">
        <v>8</v>
      </c>
      <c r="Y253" s="9">
        <v>8</v>
      </c>
      <c r="Z253" s="9">
        <v>8</v>
      </c>
      <c r="AA253" s="9">
        <v>8</v>
      </c>
      <c r="AB253" s="9">
        <v>8</v>
      </c>
      <c r="AC253" s="9">
        <f t="shared" si="146"/>
        <v>511</v>
      </c>
      <c r="AD253" s="9">
        <f t="shared" si="147"/>
        <v>553</v>
      </c>
      <c r="AE253" s="9">
        <f t="shared" si="148"/>
        <v>553</v>
      </c>
      <c r="AF253" s="9">
        <f t="shared" si="149"/>
        <v>553</v>
      </c>
      <c r="AG253" s="9">
        <f t="shared" si="150"/>
        <v>553</v>
      </c>
      <c r="AH253" s="9">
        <f t="shared" si="151"/>
        <v>553</v>
      </c>
      <c r="AI253" s="7">
        <f t="shared" si="166"/>
        <v>297376.97666666668</v>
      </c>
      <c r="AJ253" s="7">
        <f t="shared" si="162"/>
        <v>297376.97666666668</v>
      </c>
      <c r="AK253" s="7">
        <f t="shared" si="162"/>
        <v>297376.97666666668</v>
      </c>
      <c r="AL253" s="7">
        <f t="shared" si="162"/>
        <v>297376.97666666668</v>
      </c>
      <c r="AM253" s="7">
        <f t="shared" si="162"/>
        <v>297376.97666666668</v>
      </c>
      <c r="AN253" s="7">
        <f t="shared" si="162"/>
        <v>297376.97666666668</v>
      </c>
      <c r="AO253" s="16"/>
      <c r="AP253" s="7"/>
      <c r="AQ253" s="9">
        <v>6</v>
      </c>
      <c r="AR253" s="9">
        <f t="shared" si="152"/>
        <v>586</v>
      </c>
      <c r="AS253" s="7">
        <f t="shared" si="164"/>
        <v>225</v>
      </c>
      <c r="AT253" s="7"/>
      <c r="AU253" s="16"/>
      <c r="AV253" s="7"/>
      <c r="AW253" s="7"/>
      <c r="AX253" s="7"/>
      <c r="AY253" s="9">
        <v>6</v>
      </c>
      <c r="AZ253" s="7">
        <v>140</v>
      </c>
      <c r="BA253" s="9">
        <v>266406</v>
      </c>
      <c r="BC253" s="5">
        <f t="shared" si="153"/>
        <v>477</v>
      </c>
      <c r="BR253" s="5">
        <v>5400075</v>
      </c>
      <c r="BS253" s="18">
        <f>[1]monsters!$N253</f>
        <v>207.36</v>
      </c>
      <c r="BT253" s="18">
        <f>[1]monsters!$O253</f>
        <v>20.74</v>
      </c>
      <c r="BU253" s="18">
        <f>[1]monsters!$P253</f>
        <v>2560</v>
      </c>
      <c r="BV253" s="18">
        <f>[1]monsters!$Q253</f>
        <v>256</v>
      </c>
      <c r="BW253" s="18">
        <f>[1]monsters!$R253</f>
        <v>41.47</v>
      </c>
      <c r="BX253" s="18">
        <f>[1]monsters!$S253</f>
        <v>4.1500000000000004</v>
      </c>
      <c r="BY253" s="18">
        <f>[1]monsters!$K253</f>
        <v>1.8</v>
      </c>
      <c r="BZ253" s="5">
        <f>[1]monsters!$D253</f>
        <v>2</v>
      </c>
      <c r="CA253" s="5">
        <f t="shared" si="154"/>
        <v>0.1</v>
      </c>
      <c r="CB253" s="5">
        <f t="shared" si="155"/>
        <v>282.15048619528625</v>
      </c>
      <c r="CC253" s="5">
        <f t="shared" si="156"/>
        <v>28.215048619528627</v>
      </c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>
        <v>1</v>
      </c>
      <c r="CR253" s="3" t="b">
        <f t="shared" si="128"/>
        <v>1</v>
      </c>
      <c r="CS253" s="3" t="b">
        <f t="shared" si="129"/>
        <v>1</v>
      </c>
      <c r="CT253" s="3" t="b">
        <f t="shared" si="130"/>
        <v>1</v>
      </c>
      <c r="CU253" s="3" t="b">
        <f t="shared" si="131"/>
        <v>1</v>
      </c>
      <c r="CV253" s="3" t="b">
        <f t="shared" si="132"/>
        <v>1</v>
      </c>
      <c r="CW253" s="3" t="b">
        <f t="shared" si="133"/>
        <v>1</v>
      </c>
      <c r="CX253" s="9" t="str">
        <f t="shared" si="134"/>
        <v>5201083</v>
      </c>
      <c r="CY253" s="9" t="str">
        <f t="shared" si="135"/>
        <v>5201083</v>
      </c>
      <c r="CZ253" s="9" t="str">
        <f t="shared" si="136"/>
        <v>5201083</v>
      </c>
      <c r="DA253" s="9" t="str">
        <f t="shared" si="137"/>
        <v>5402083</v>
      </c>
      <c r="DB253" s="9" t="str">
        <f t="shared" si="138"/>
        <v>5402083</v>
      </c>
      <c r="DC253" s="9" t="str">
        <f t="shared" si="139"/>
        <v>5402083</v>
      </c>
      <c r="DD253" s="9">
        <v>8</v>
      </c>
      <c r="DE253" s="9">
        <v>8</v>
      </c>
      <c r="DF253" s="9">
        <v>8</v>
      </c>
      <c r="DG253" s="9">
        <v>8</v>
      </c>
      <c r="DH253" s="9">
        <v>8</v>
      </c>
      <c r="DI253" s="9">
        <v>8</v>
      </c>
      <c r="DJ253" s="9">
        <v>5</v>
      </c>
      <c r="DK253" s="9">
        <v>5</v>
      </c>
      <c r="DL253" s="9">
        <v>5</v>
      </c>
      <c r="DM253" s="9">
        <v>5</v>
      </c>
      <c r="DN253" s="9">
        <v>5</v>
      </c>
      <c r="DO253" s="9">
        <v>5</v>
      </c>
      <c r="DP253" s="25" t="s">
        <v>205</v>
      </c>
      <c r="DQ253" s="25" t="s">
        <v>205</v>
      </c>
      <c r="DR253" s="25" t="s">
        <v>205</v>
      </c>
      <c r="DS253" s="26" t="s">
        <v>118</v>
      </c>
      <c r="DT253" s="26" t="s">
        <v>118</v>
      </c>
      <c r="DU253" s="26" t="s">
        <v>118</v>
      </c>
      <c r="DV253" s="26">
        <f t="shared" si="140"/>
        <v>1</v>
      </c>
      <c r="DW253" s="26">
        <f t="shared" si="141"/>
        <v>1</v>
      </c>
      <c r="DX253" s="26">
        <f t="shared" si="142"/>
        <v>1</v>
      </c>
      <c r="DY253" s="26">
        <f t="shared" si="143"/>
        <v>2</v>
      </c>
      <c r="DZ253" s="26">
        <f t="shared" si="144"/>
        <v>2</v>
      </c>
      <c r="EA253" s="3">
        <f t="shared" si="145"/>
        <v>2</v>
      </c>
      <c r="EB253" s="39"/>
      <c r="EC253" s="9">
        <v>5202092</v>
      </c>
      <c r="ED253" s="34" t="s">
        <v>200</v>
      </c>
      <c r="EE253" s="8">
        <v>1</v>
      </c>
    </row>
    <row r="254" spans="1:135" ht="13.5" customHeight="1">
      <c r="A254" s="9">
        <v>251</v>
      </c>
      <c r="B254" s="9">
        <v>1</v>
      </c>
      <c r="C254" s="9">
        <v>2001</v>
      </c>
      <c r="D254" s="9">
        <f t="shared" si="163"/>
        <v>2321115</v>
      </c>
      <c r="E254" s="9" t="str">
        <f t="shared" si="159"/>
        <v>5201081,5201082,5200081,5502081,5601081,5401081</v>
      </c>
      <c r="F254" s="9" t="str">
        <f t="shared" si="160"/>
        <v>8,8,8,8,8,8</v>
      </c>
      <c r="G254" s="9" t="str">
        <f t="shared" si="161"/>
        <v>518,561,561,561,561,561</v>
      </c>
      <c r="H254" s="9">
        <v>140</v>
      </c>
      <c r="I254" s="9" t="s">
        <v>278</v>
      </c>
      <c r="J254" s="9" t="s">
        <v>279</v>
      </c>
      <c r="K254" s="9" t="s">
        <v>279</v>
      </c>
      <c r="L254" s="9" t="s">
        <v>279</v>
      </c>
      <c r="M254" s="36" t="s">
        <v>296</v>
      </c>
      <c r="N254" s="40"/>
      <c r="O254" s="3">
        <f t="shared" si="167"/>
        <v>2321115</v>
      </c>
      <c r="P254" s="9">
        <v>1834873.53</v>
      </c>
      <c r="Q254" s="9">
        <v>5201081</v>
      </c>
      <c r="R254" s="9">
        <v>5201082</v>
      </c>
      <c r="S254" s="9">
        <v>5200081</v>
      </c>
      <c r="T254" s="9">
        <v>5502081</v>
      </c>
      <c r="U254" s="9">
        <v>5601081</v>
      </c>
      <c r="V254" s="9">
        <v>5401081</v>
      </c>
      <c r="W254" s="9">
        <v>8</v>
      </c>
      <c r="X254" s="9">
        <v>8</v>
      </c>
      <c r="Y254" s="9">
        <v>8</v>
      </c>
      <c r="Z254" s="9">
        <v>8</v>
      </c>
      <c r="AA254" s="9">
        <v>8</v>
      </c>
      <c r="AB254" s="9">
        <v>8</v>
      </c>
      <c r="AC254" s="9">
        <f t="shared" si="146"/>
        <v>518</v>
      </c>
      <c r="AD254" s="9">
        <f t="shared" si="147"/>
        <v>561</v>
      </c>
      <c r="AE254" s="9">
        <f t="shared" si="148"/>
        <v>561</v>
      </c>
      <c r="AF254" s="9">
        <f t="shared" si="149"/>
        <v>561</v>
      </c>
      <c r="AG254" s="9">
        <f t="shared" si="150"/>
        <v>561</v>
      </c>
      <c r="AH254" s="9">
        <f t="shared" si="151"/>
        <v>561</v>
      </c>
      <c r="AI254" s="7">
        <f t="shared" si="166"/>
        <v>305812.255</v>
      </c>
      <c r="AJ254" s="7">
        <f t="shared" si="162"/>
        <v>305812.255</v>
      </c>
      <c r="AK254" s="7">
        <f t="shared" si="162"/>
        <v>305812.255</v>
      </c>
      <c r="AL254" s="7">
        <f t="shared" si="162"/>
        <v>305812.255</v>
      </c>
      <c r="AM254" s="7">
        <f t="shared" si="162"/>
        <v>305812.255</v>
      </c>
      <c r="AN254" s="7">
        <f t="shared" si="162"/>
        <v>305812.255</v>
      </c>
      <c r="AO254" s="16"/>
      <c r="AP254" s="7"/>
      <c r="AQ254" s="9">
        <v>6</v>
      </c>
      <c r="AR254" s="9">
        <f t="shared" si="152"/>
        <v>594</v>
      </c>
      <c r="AS254" s="7">
        <f t="shared" si="164"/>
        <v>225</v>
      </c>
      <c r="AT254" s="7"/>
      <c r="AU254" s="16"/>
      <c r="AV254" s="7"/>
      <c r="AW254" s="7"/>
      <c r="AX254" s="7"/>
      <c r="AZ254" s="7"/>
      <c r="BA254" s="9">
        <f>BA253+($BA$353-$BA$253)/($A$353-$A$253)</f>
        <v>268796.36</v>
      </c>
      <c r="BC254" s="5">
        <f t="shared" si="153"/>
        <v>484</v>
      </c>
      <c r="BR254" s="5">
        <v>5402075</v>
      </c>
      <c r="BS254" s="18">
        <f>[1]monsters!$N254</f>
        <v>138.24</v>
      </c>
      <c r="BT254" s="18">
        <f>[1]monsters!$O254</f>
        <v>13.82</v>
      </c>
      <c r="BU254" s="18">
        <f>[1]monsters!$P254</f>
        <v>2560</v>
      </c>
      <c r="BV254" s="18">
        <f>[1]monsters!$Q254</f>
        <v>256</v>
      </c>
      <c r="BW254" s="18">
        <f>[1]monsters!$R254</f>
        <v>27.65</v>
      </c>
      <c r="BX254" s="18">
        <f>[1]monsters!$S254</f>
        <v>2.76</v>
      </c>
      <c r="BY254" s="18">
        <f>[1]monsters!$K254</f>
        <v>1.2</v>
      </c>
      <c r="BZ254" s="5">
        <f>[1]monsters!$D254</f>
        <v>3</v>
      </c>
      <c r="CA254" s="5">
        <f t="shared" si="154"/>
        <v>0.1</v>
      </c>
      <c r="CB254" s="5">
        <f t="shared" si="155"/>
        <v>216.83208619528622</v>
      </c>
      <c r="CC254" s="5">
        <f t="shared" si="156"/>
        <v>21.683208619528624</v>
      </c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>
        <v>0</v>
      </c>
      <c r="CR254" s="3" t="b">
        <f t="shared" si="128"/>
        <v>1</v>
      </c>
      <c r="CS254" s="3" t="b">
        <f t="shared" si="129"/>
        <v>1</v>
      </c>
      <c r="CT254" s="3" t="b">
        <f t="shared" si="130"/>
        <v>1</v>
      </c>
      <c r="CU254" s="3" t="b">
        <f t="shared" si="131"/>
        <v>1</v>
      </c>
      <c r="CV254" s="3" t="b">
        <f t="shared" si="132"/>
        <v>1</v>
      </c>
      <c r="CW254" s="3" t="b">
        <f t="shared" si="133"/>
        <v>1</v>
      </c>
      <c r="CX254" s="9" t="str">
        <f t="shared" si="134"/>
        <v>5201081</v>
      </c>
      <c r="CY254" s="9" t="str">
        <f t="shared" si="135"/>
        <v>5201082</v>
      </c>
      <c r="CZ254" s="9" t="str">
        <f t="shared" si="136"/>
        <v>5200081</v>
      </c>
      <c r="DA254" s="9" t="str">
        <f t="shared" si="137"/>
        <v>5502081</v>
      </c>
      <c r="DB254" s="9" t="str">
        <f t="shared" si="138"/>
        <v>5601081</v>
      </c>
      <c r="DC254" s="9" t="str">
        <f t="shared" si="139"/>
        <v>5401081</v>
      </c>
      <c r="DD254" s="9">
        <v>8</v>
      </c>
      <c r="DE254" s="9">
        <v>8</v>
      </c>
      <c r="DF254" s="9">
        <v>8</v>
      </c>
      <c r="DG254" s="9">
        <v>8</v>
      </c>
      <c r="DH254" s="9">
        <v>8</v>
      </c>
      <c r="DI254" s="9">
        <v>8</v>
      </c>
      <c r="DJ254" s="9">
        <v>5</v>
      </c>
      <c r="DK254" s="9">
        <v>5</v>
      </c>
      <c r="DL254" s="9">
        <v>5</v>
      </c>
      <c r="DM254" s="9">
        <v>5</v>
      </c>
      <c r="DN254" s="9">
        <v>5</v>
      </c>
      <c r="DO254" s="9">
        <v>5</v>
      </c>
      <c r="DP254" s="25" t="s">
        <v>195</v>
      </c>
      <c r="DQ254" s="25" t="s">
        <v>114</v>
      </c>
      <c r="DR254" s="25" t="s">
        <v>194</v>
      </c>
      <c r="DS254" s="25" t="s">
        <v>119</v>
      </c>
      <c r="DT254" s="25" t="s">
        <v>198</v>
      </c>
      <c r="DU254" s="25" t="s">
        <v>117</v>
      </c>
      <c r="DV254" s="25">
        <f t="shared" si="140"/>
        <v>1</v>
      </c>
      <c r="DW254" s="25">
        <f t="shared" si="141"/>
        <v>1</v>
      </c>
      <c r="DX254" s="25">
        <f t="shared" si="142"/>
        <v>1</v>
      </c>
      <c r="DY254" s="25">
        <f t="shared" si="143"/>
        <v>2</v>
      </c>
      <c r="DZ254" s="25">
        <f t="shared" si="144"/>
        <v>2</v>
      </c>
      <c r="EA254" s="3">
        <f t="shared" si="145"/>
        <v>2</v>
      </c>
      <c r="EB254" s="39"/>
      <c r="EC254" s="9">
        <v>5301092</v>
      </c>
      <c r="ED254" s="34" t="s">
        <v>201</v>
      </c>
      <c r="EE254" s="8">
        <v>1</v>
      </c>
    </row>
    <row r="255" spans="1:135" ht="13.5" customHeight="1">
      <c r="A255" s="9">
        <v>252</v>
      </c>
      <c r="B255" s="9">
        <v>1</v>
      </c>
      <c r="C255" s="9">
        <v>2001</v>
      </c>
      <c r="D255" s="9">
        <f t="shared" si="163"/>
        <v>2385735</v>
      </c>
      <c r="E255" s="9" t="str">
        <f t="shared" si="159"/>
        <v>5200082,5200083,5200082,5502082,5500082,5502081</v>
      </c>
      <c r="F255" s="9" t="str">
        <f t="shared" si="160"/>
        <v>8,8,8,8,8,8</v>
      </c>
      <c r="G255" s="9" t="str">
        <f t="shared" si="161"/>
        <v>526,569,569,569,569,569</v>
      </c>
      <c r="H255" s="9">
        <v>140</v>
      </c>
      <c r="I255" s="9" t="s">
        <v>278</v>
      </c>
      <c r="J255" s="9" t="s">
        <v>279</v>
      </c>
      <c r="K255" s="9" t="s">
        <v>279</v>
      </c>
      <c r="L255" s="9" t="s">
        <v>279</v>
      </c>
      <c r="M255" s="36" t="s">
        <v>296</v>
      </c>
      <c r="N255" s="40"/>
      <c r="O255" s="3">
        <f t="shared" si="167"/>
        <v>2385735</v>
      </c>
      <c r="P255" s="9">
        <v>1885956.83</v>
      </c>
      <c r="Q255" s="9">
        <v>5200082</v>
      </c>
      <c r="R255" s="9">
        <v>5200083</v>
      </c>
      <c r="S255" s="9">
        <v>5200082</v>
      </c>
      <c r="T255" s="9">
        <v>5502082</v>
      </c>
      <c r="U255" s="9">
        <v>5500082</v>
      </c>
      <c r="V255" s="9">
        <v>5502081</v>
      </c>
      <c r="W255" s="9">
        <v>8</v>
      </c>
      <c r="X255" s="9">
        <v>8</v>
      </c>
      <c r="Y255" s="9">
        <v>8</v>
      </c>
      <c r="Z255" s="9">
        <v>8</v>
      </c>
      <c r="AA255" s="9">
        <v>8</v>
      </c>
      <c r="AB255" s="9">
        <v>8</v>
      </c>
      <c r="AC255" s="9">
        <f t="shared" si="146"/>
        <v>526</v>
      </c>
      <c r="AD255" s="9">
        <f t="shared" si="147"/>
        <v>569</v>
      </c>
      <c r="AE255" s="9">
        <f t="shared" si="148"/>
        <v>569</v>
      </c>
      <c r="AF255" s="9">
        <f t="shared" si="149"/>
        <v>569</v>
      </c>
      <c r="AG255" s="9">
        <f t="shared" si="150"/>
        <v>569</v>
      </c>
      <c r="AH255" s="9">
        <f t="shared" si="151"/>
        <v>569</v>
      </c>
      <c r="AI255" s="7">
        <f t="shared" si="166"/>
        <v>314326.13833333337</v>
      </c>
      <c r="AJ255" s="7">
        <f t="shared" si="162"/>
        <v>314326.13833333337</v>
      </c>
      <c r="AK255" s="7">
        <f t="shared" si="162"/>
        <v>314326.13833333337</v>
      </c>
      <c r="AL255" s="7">
        <f t="shared" ref="AJ255:AN306" si="168">$P255/6</f>
        <v>314326.13833333337</v>
      </c>
      <c r="AM255" s="7">
        <f t="shared" si="168"/>
        <v>314326.13833333337</v>
      </c>
      <c r="AN255" s="7">
        <f t="shared" si="168"/>
        <v>314326.13833333337</v>
      </c>
      <c r="AO255" s="16"/>
      <c r="AP255" s="7"/>
      <c r="AQ255" s="9">
        <v>6</v>
      </c>
      <c r="AR255" s="9">
        <f t="shared" si="152"/>
        <v>603</v>
      </c>
      <c r="AS255" s="7">
        <f t="shared" si="164"/>
        <v>226</v>
      </c>
      <c r="AT255" s="7"/>
      <c r="AU255" s="16"/>
      <c r="AV255" s="7"/>
      <c r="AW255" s="7"/>
      <c r="AX255" s="7"/>
      <c r="AZ255" s="7"/>
      <c r="BA255" s="9">
        <f t="shared" ref="BA255:BA318" si="169">BA254+($BA$353-$BA$253)/($A$353-$A$253)</f>
        <v>271186.71999999997</v>
      </c>
      <c r="BC255" s="5">
        <f t="shared" si="153"/>
        <v>491</v>
      </c>
      <c r="BR255" s="5">
        <v>5500075</v>
      </c>
      <c r="BS255" s="18">
        <f>[1]monsters!$N255</f>
        <v>245.76</v>
      </c>
      <c r="BT255" s="18">
        <f>[1]monsters!$O255</f>
        <v>24.58</v>
      </c>
      <c r="BU255" s="18">
        <f>[1]monsters!$P255</f>
        <v>1920</v>
      </c>
      <c r="BV255" s="18">
        <f>[1]monsters!$Q255</f>
        <v>192</v>
      </c>
      <c r="BW255" s="18">
        <f>[1]monsters!$R255</f>
        <v>35.11</v>
      </c>
      <c r="BX255" s="18">
        <f>[1]monsters!$S255</f>
        <v>3.51</v>
      </c>
      <c r="BY255" s="18">
        <f>[1]monsters!$K255</f>
        <v>1.6</v>
      </c>
      <c r="BZ255" s="5">
        <f>[1]monsters!$D255</f>
        <v>4</v>
      </c>
      <c r="CA255" s="5">
        <f t="shared" si="154"/>
        <v>0.1</v>
      </c>
      <c r="CB255" s="5">
        <f t="shared" si="155"/>
        <v>296.88966464646467</v>
      </c>
      <c r="CC255" s="5">
        <f t="shared" si="156"/>
        <v>29.688966464646469</v>
      </c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>
        <v>0</v>
      </c>
      <c r="CR255" s="3" t="b">
        <f t="shared" si="128"/>
        <v>1</v>
      </c>
      <c r="CS255" s="3" t="b">
        <f t="shared" si="129"/>
        <v>1</v>
      </c>
      <c r="CT255" s="3" t="b">
        <f t="shared" si="130"/>
        <v>1</v>
      </c>
      <c r="CU255" s="3" t="b">
        <f t="shared" si="131"/>
        <v>1</v>
      </c>
      <c r="CV255" s="3" t="b">
        <f t="shared" si="132"/>
        <v>1</v>
      </c>
      <c r="CW255" s="3" t="b">
        <f t="shared" si="133"/>
        <v>1</v>
      </c>
      <c r="CX255" s="9" t="str">
        <f t="shared" si="134"/>
        <v>5200082</v>
      </c>
      <c r="CY255" s="9" t="str">
        <f t="shared" si="135"/>
        <v>5200083</v>
      </c>
      <c r="CZ255" s="9" t="str">
        <f t="shared" si="136"/>
        <v>5200082</v>
      </c>
      <c r="DA255" s="9" t="str">
        <f t="shared" si="137"/>
        <v>5502082</v>
      </c>
      <c r="DB255" s="9" t="str">
        <f t="shared" si="138"/>
        <v>5500082</v>
      </c>
      <c r="DC255" s="9" t="str">
        <f t="shared" si="139"/>
        <v>5502081</v>
      </c>
      <c r="DD255" s="9">
        <v>8</v>
      </c>
      <c r="DE255" s="9">
        <v>8</v>
      </c>
      <c r="DF255" s="9">
        <v>8</v>
      </c>
      <c r="DG255" s="9">
        <v>8</v>
      </c>
      <c r="DH255" s="9">
        <v>8</v>
      </c>
      <c r="DI255" s="9">
        <v>8</v>
      </c>
      <c r="DJ255" s="9">
        <v>5</v>
      </c>
      <c r="DK255" s="9">
        <v>5</v>
      </c>
      <c r="DL255" s="9">
        <v>5</v>
      </c>
      <c r="DM255" s="9">
        <v>5</v>
      </c>
      <c r="DN255" s="9">
        <v>5</v>
      </c>
      <c r="DO255" s="9">
        <v>5</v>
      </c>
      <c r="DP255" s="25" t="s">
        <v>199</v>
      </c>
      <c r="DQ255" s="25" t="s">
        <v>113</v>
      </c>
      <c r="DR255" s="25" t="s">
        <v>199</v>
      </c>
      <c r="DS255" s="25" t="s">
        <v>204</v>
      </c>
      <c r="DT255" s="25" t="s">
        <v>109</v>
      </c>
      <c r="DU255" s="25" t="s">
        <v>119</v>
      </c>
      <c r="DV255" s="25">
        <f t="shared" si="140"/>
        <v>1</v>
      </c>
      <c r="DW255" s="25">
        <f t="shared" si="141"/>
        <v>1</v>
      </c>
      <c r="DX255" s="25">
        <f t="shared" si="142"/>
        <v>1</v>
      </c>
      <c r="DY255" s="25">
        <f t="shared" si="143"/>
        <v>2</v>
      </c>
      <c r="DZ255" s="25">
        <f t="shared" si="144"/>
        <v>2</v>
      </c>
      <c r="EA255" s="3">
        <f t="shared" si="145"/>
        <v>2</v>
      </c>
      <c r="EB255" s="39"/>
      <c r="EC255" s="9">
        <v>5401092</v>
      </c>
      <c r="ED255" s="34" t="s">
        <v>202</v>
      </c>
      <c r="EE255" s="8">
        <v>2</v>
      </c>
    </row>
    <row r="256" spans="1:135" ht="13.5" customHeight="1">
      <c r="A256" s="9">
        <v>253</v>
      </c>
      <c r="B256" s="9">
        <v>1</v>
      </c>
      <c r="C256" s="9">
        <v>2001</v>
      </c>
      <c r="D256" s="9">
        <f t="shared" si="163"/>
        <v>2450955</v>
      </c>
      <c r="E256" s="9" t="str">
        <f t="shared" si="159"/>
        <v>5202083,5202082,5202083,5401083,5402082,5401083</v>
      </c>
      <c r="F256" s="9" t="str">
        <f t="shared" si="160"/>
        <v>8,8,8,8,8,8</v>
      </c>
      <c r="G256" s="9" t="str">
        <f t="shared" si="161"/>
        <v>533,577,577,577,577,577</v>
      </c>
      <c r="H256" s="9">
        <v>141</v>
      </c>
      <c r="I256" s="9" t="s">
        <v>278</v>
      </c>
      <c r="J256" s="9" t="s">
        <v>279</v>
      </c>
      <c r="K256" s="9" t="s">
        <v>279</v>
      </c>
      <c r="L256" s="9" t="s">
        <v>279</v>
      </c>
      <c r="M256" s="36" t="s">
        <v>296</v>
      </c>
      <c r="N256" s="40"/>
      <c r="O256" s="3">
        <f t="shared" si="167"/>
        <v>2450955</v>
      </c>
      <c r="P256" s="9">
        <v>1937513.75</v>
      </c>
      <c r="Q256" s="9">
        <v>5202083</v>
      </c>
      <c r="R256" s="9">
        <v>5202082</v>
      </c>
      <c r="S256" s="9">
        <v>5202083</v>
      </c>
      <c r="T256" s="9">
        <v>5401083</v>
      </c>
      <c r="U256" s="9">
        <v>5402082</v>
      </c>
      <c r="V256" s="9">
        <v>5401083</v>
      </c>
      <c r="W256" s="9">
        <v>8</v>
      </c>
      <c r="X256" s="9">
        <v>8</v>
      </c>
      <c r="Y256" s="9">
        <v>8</v>
      </c>
      <c r="Z256" s="9">
        <v>8</v>
      </c>
      <c r="AA256" s="9">
        <v>8</v>
      </c>
      <c r="AB256" s="9">
        <v>8</v>
      </c>
      <c r="AC256" s="9">
        <f t="shared" si="146"/>
        <v>533</v>
      </c>
      <c r="AD256" s="9">
        <f t="shared" si="147"/>
        <v>577</v>
      </c>
      <c r="AE256" s="9">
        <f t="shared" si="148"/>
        <v>577</v>
      </c>
      <c r="AF256" s="9">
        <f t="shared" si="149"/>
        <v>577</v>
      </c>
      <c r="AG256" s="9">
        <f t="shared" si="150"/>
        <v>577</v>
      </c>
      <c r="AH256" s="9">
        <f t="shared" si="151"/>
        <v>577</v>
      </c>
      <c r="AI256" s="7">
        <f t="shared" si="166"/>
        <v>322918.95833333331</v>
      </c>
      <c r="AJ256" s="7">
        <f t="shared" si="168"/>
        <v>322918.95833333331</v>
      </c>
      <c r="AK256" s="7">
        <f t="shared" si="168"/>
        <v>322918.95833333331</v>
      </c>
      <c r="AL256" s="7">
        <f t="shared" si="168"/>
        <v>322918.95833333331</v>
      </c>
      <c r="AM256" s="7">
        <f t="shared" si="168"/>
        <v>322918.95833333331</v>
      </c>
      <c r="AN256" s="7">
        <f t="shared" si="168"/>
        <v>322918.95833333331</v>
      </c>
      <c r="AO256" s="16"/>
      <c r="AP256" s="7"/>
      <c r="AQ256" s="9">
        <v>6</v>
      </c>
      <c r="AR256" s="9">
        <f t="shared" si="152"/>
        <v>611</v>
      </c>
      <c r="AS256" s="7">
        <f t="shared" si="164"/>
        <v>226</v>
      </c>
      <c r="AT256" s="7"/>
      <c r="AU256" s="16"/>
      <c r="AV256" s="7"/>
      <c r="AW256" s="7"/>
      <c r="AX256" s="7"/>
      <c r="AZ256" s="7"/>
      <c r="BA256" s="9">
        <f t="shared" si="169"/>
        <v>273577.07999999996</v>
      </c>
      <c r="BC256" s="5">
        <f t="shared" si="153"/>
        <v>498</v>
      </c>
      <c r="BR256" s="5">
        <v>5502075</v>
      </c>
      <c r="BS256" s="18">
        <f>[1]monsters!$N256</f>
        <v>230.4</v>
      </c>
      <c r="BT256" s="18">
        <f>[1]monsters!$O256</f>
        <v>23.04</v>
      </c>
      <c r="BU256" s="18">
        <f>[1]monsters!$P256</f>
        <v>1920</v>
      </c>
      <c r="BV256" s="18">
        <f>[1]monsters!$Q256</f>
        <v>192</v>
      </c>
      <c r="BW256" s="18">
        <f>[1]monsters!$R256</f>
        <v>32.909999999999997</v>
      </c>
      <c r="BX256" s="18">
        <f>[1]monsters!$S256</f>
        <v>3.29</v>
      </c>
      <c r="BY256" s="18">
        <f>[1]monsters!$K256</f>
        <v>1.5</v>
      </c>
      <c r="BZ256" s="5">
        <f>[1]monsters!$D256</f>
        <v>4</v>
      </c>
      <c r="CA256" s="5">
        <f t="shared" si="154"/>
        <v>0.1</v>
      </c>
      <c r="CB256" s="5">
        <f t="shared" si="155"/>
        <v>282.37446464646462</v>
      </c>
      <c r="CC256" s="5">
        <f t="shared" si="156"/>
        <v>28.237446464646464</v>
      </c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>
        <v>0</v>
      </c>
      <c r="CR256" s="3" t="b">
        <f t="shared" si="128"/>
        <v>1</v>
      </c>
      <c r="CS256" s="3" t="b">
        <f t="shared" si="129"/>
        <v>1</v>
      </c>
      <c r="CT256" s="3" t="b">
        <f t="shared" si="130"/>
        <v>1</v>
      </c>
      <c r="CU256" s="3" t="b">
        <f t="shared" si="131"/>
        <v>1</v>
      </c>
      <c r="CV256" s="3" t="b">
        <f t="shared" si="132"/>
        <v>1</v>
      </c>
      <c r="CW256" s="3" t="b">
        <f t="shared" si="133"/>
        <v>1</v>
      </c>
      <c r="CX256" s="9" t="str">
        <f t="shared" si="134"/>
        <v>5202083</v>
      </c>
      <c r="CY256" s="9" t="str">
        <f t="shared" si="135"/>
        <v>5202082</v>
      </c>
      <c r="CZ256" s="9" t="str">
        <f t="shared" si="136"/>
        <v>5202083</v>
      </c>
      <c r="DA256" s="9" t="str">
        <f t="shared" si="137"/>
        <v>5401083</v>
      </c>
      <c r="DB256" s="9" t="str">
        <f t="shared" si="138"/>
        <v>5402082</v>
      </c>
      <c r="DC256" s="9" t="str">
        <f t="shared" si="139"/>
        <v>5401083</v>
      </c>
      <c r="DD256" s="9">
        <v>8</v>
      </c>
      <c r="DE256" s="9">
        <v>8</v>
      </c>
      <c r="DF256" s="9">
        <v>8</v>
      </c>
      <c r="DG256" s="9">
        <v>8</v>
      </c>
      <c r="DH256" s="9">
        <v>8</v>
      </c>
      <c r="DI256" s="9">
        <v>8</v>
      </c>
      <c r="DJ256" s="9">
        <v>5</v>
      </c>
      <c r="DK256" s="9">
        <v>5</v>
      </c>
      <c r="DL256" s="9">
        <v>5</v>
      </c>
      <c r="DM256" s="9">
        <v>5</v>
      </c>
      <c r="DN256" s="9">
        <v>5</v>
      </c>
      <c r="DO256" s="9">
        <v>5</v>
      </c>
      <c r="DP256" s="25" t="s">
        <v>208</v>
      </c>
      <c r="DQ256" s="25" t="s">
        <v>200</v>
      </c>
      <c r="DR256" s="25" t="s">
        <v>208</v>
      </c>
      <c r="DS256" s="25" t="s">
        <v>211</v>
      </c>
      <c r="DT256" s="25" t="s">
        <v>203</v>
      </c>
      <c r="DU256" s="25" t="s">
        <v>211</v>
      </c>
      <c r="DV256" s="25">
        <f t="shared" si="140"/>
        <v>1</v>
      </c>
      <c r="DW256" s="25">
        <f t="shared" si="141"/>
        <v>1</v>
      </c>
      <c r="DX256" s="25">
        <f t="shared" si="142"/>
        <v>1</v>
      </c>
      <c r="DY256" s="25">
        <f t="shared" si="143"/>
        <v>2</v>
      </c>
      <c r="DZ256" s="25">
        <f t="shared" si="144"/>
        <v>2</v>
      </c>
      <c r="EA256" s="3">
        <f t="shared" si="145"/>
        <v>2</v>
      </c>
      <c r="EB256" s="39"/>
      <c r="EC256" s="9">
        <v>5402092</v>
      </c>
      <c r="ED256" s="34" t="s">
        <v>203</v>
      </c>
      <c r="EE256" s="8">
        <v>2</v>
      </c>
    </row>
    <row r="257" spans="1:135" ht="13.5" customHeight="1">
      <c r="A257" s="9">
        <v>254</v>
      </c>
      <c r="B257" s="9">
        <v>1</v>
      </c>
      <c r="C257" s="9">
        <v>2001</v>
      </c>
      <c r="D257" s="9">
        <f t="shared" si="163"/>
        <v>2516779</v>
      </c>
      <c r="E257" s="9" t="str">
        <f t="shared" si="159"/>
        <v>5202083,5202082,5202083,5500082,5500081,5500082</v>
      </c>
      <c r="F257" s="9" t="str">
        <f t="shared" si="160"/>
        <v>8,8,8,8,8,8</v>
      </c>
      <c r="G257" s="9" t="str">
        <f t="shared" si="161"/>
        <v>540,584,584,584,584,584</v>
      </c>
      <c r="H257" s="9">
        <v>141</v>
      </c>
      <c r="I257" s="9" t="s">
        <v>278</v>
      </c>
      <c r="J257" s="9" t="s">
        <v>279</v>
      </c>
      <c r="K257" s="9" t="s">
        <v>279</v>
      </c>
      <c r="L257" s="9" t="s">
        <v>279</v>
      </c>
      <c r="M257" s="36" t="s">
        <v>296</v>
      </c>
      <c r="N257" s="40"/>
      <c r="O257" s="3">
        <f t="shared" si="167"/>
        <v>2516779</v>
      </c>
      <c r="P257" s="9">
        <v>1989548.27</v>
      </c>
      <c r="Q257" s="9">
        <v>5202083</v>
      </c>
      <c r="R257" s="9">
        <v>5202082</v>
      </c>
      <c r="S257" s="9">
        <v>5202083</v>
      </c>
      <c r="T257" s="9">
        <v>5500082</v>
      </c>
      <c r="U257" s="9">
        <v>5500081</v>
      </c>
      <c r="V257" s="9">
        <v>5500082</v>
      </c>
      <c r="W257" s="9">
        <v>8</v>
      </c>
      <c r="X257" s="9">
        <v>8</v>
      </c>
      <c r="Y257" s="9">
        <v>8</v>
      </c>
      <c r="Z257" s="9">
        <v>8</v>
      </c>
      <c r="AA257" s="9">
        <v>8</v>
      </c>
      <c r="AB257" s="9">
        <v>8</v>
      </c>
      <c r="AC257" s="9">
        <f t="shared" si="146"/>
        <v>540</v>
      </c>
      <c r="AD257" s="9">
        <f t="shared" si="147"/>
        <v>584</v>
      </c>
      <c r="AE257" s="9">
        <f t="shared" si="148"/>
        <v>584</v>
      </c>
      <c r="AF257" s="9">
        <f t="shared" si="149"/>
        <v>584</v>
      </c>
      <c r="AG257" s="9">
        <f t="shared" si="150"/>
        <v>584</v>
      </c>
      <c r="AH257" s="9">
        <f t="shared" si="151"/>
        <v>584</v>
      </c>
      <c r="AI257" s="7">
        <f t="shared" si="166"/>
        <v>331591.37833333336</v>
      </c>
      <c r="AJ257" s="7">
        <f t="shared" si="168"/>
        <v>331591.37833333336</v>
      </c>
      <c r="AK257" s="7">
        <f t="shared" si="168"/>
        <v>331591.37833333336</v>
      </c>
      <c r="AL257" s="7">
        <f t="shared" si="168"/>
        <v>331591.37833333336</v>
      </c>
      <c r="AM257" s="7">
        <f t="shared" si="168"/>
        <v>331591.37833333336</v>
      </c>
      <c r="AN257" s="7">
        <f t="shared" si="168"/>
        <v>331591.37833333336</v>
      </c>
      <c r="AO257" s="16"/>
      <c r="AP257" s="7"/>
      <c r="AQ257" s="9">
        <v>6</v>
      </c>
      <c r="AR257" s="9">
        <f t="shared" si="152"/>
        <v>619</v>
      </c>
      <c r="AS257" s="7">
        <f t="shared" si="164"/>
        <v>227</v>
      </c>
      <c r="AT257" s="7"/>
      <c r="AU257" s="16"/>
      <c r="AV257" s="7"/>
      <c r="AW257" s="7"/>
      <c r="AX257" s="7"/>
      <c r="AZ257" s="7"/>
      <c r="BA257" s="9">
        <f t="shared" si="169"/>
        <v>275967.43999999994</v>
      </c>
      <c r="BC257" s="5">
        <f t="shared" si="153"/>
        <v>505</v>
      </c>
      <c r="BR257" s="5">
        <v>5600075</v>
      </c>
      <c r="BS257" s="18">
        <f>[1]monsters!$N257</f>
        <v>268.8</v>
      </c>
      <c r="BT257" s="18">
        <f>[1]monsters!$O257</f>
        <v>26.88</v>
      </c>
      <c r="BU257" s="18">
        <f>[1]monsters!$P257</f>
        <v>1645.71</v>
      </c>
      <c r="BV257" s="18">
        <f>[1]monsters!$Q257</f>
        <v>164.57</v>
      </c>
      <c r="BW257" s="18">
        <f>[1]monsters!$R257</f>
        <v>33.6</v>
      </c>
      <c r="BX257" s="18">
        <f>[1]monsters!$S257</f>
        <v>3.36</v>
      </c>
      <c r="BY257" s="18">
        <f>[1]monsters!$K257</f>
        <v>1.5</v>
      </c>
      <c r="BZ257" s="5">
        <f>[1]monsters!$D257</f>
        <v>5</v>
      </c>
      <c r="CA257" s="5">
        <f t="shared" si="154"/>
        <v>0.1</v>
      </c>
      <c r="CB257" s="5">
        <f t="shared" si="155"/>
        <v>309.42711111111112</v>
      </c>
      <c r="CC257" s="5">
        <f t="shared" si="156"/>
        <v>30.942711111111112</v>
      </c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>
        <v>0</v>
      </c>
      <c r="CR257" s="3" t="b">
        <f t="shared" si="128"/>
        <v>1</v>
      </c>
      <c r="CS257" s="3" t="b">
        <f t="shared" si="129"/>
        <v>1</v>
      </c>
      <c r="CT257" s="3" t="b">
        <f t="shared" si="130"/>
        <v>1</v>
      </c>
      <c r="CU257" s="3" t="b">
        <f t="shared" si="131"/>
        <v>1</v>
      </c>
      <c r="CV257" s="3" t="b">
        <f t="shared" si="132"/>
        <v>1</v>
      </c>
      <c r="CW257" s="3" t="b">
        <f t="shared" si="133"/>
        <v>1</v>
      </c>
      <c r="CX257" s="9" t="str">
        <f t="shared" si="134"/>
        <v>5202083</v>
      </c>
      <c r="CY257" s="9" t="str">
        <f t="shared" si="135"/>
        <v>5202082</v>
      </c>
      <c r="CZ257" s="9" t="str">
        <f t="shared" si="136"/>
        <v>5202083</v>
      </c>
      <c r="DA257" s="9" t="str">
        <f t="shared" si="137"/>
        <v>5500082</v>
      </c>
      <c r="DB257" s="9" t="str">
        <f t="shared" si="138"/>
        <v>5500081</v>
      </c>
      <c r="DC257" s="9" t="str">
        <f t="shared" si="139"/>
        <v>5500082</v>
      </c>
      <c r="DD257" s="9">
        <v>8</v>
      </c>
      <c r="DE257" s="9">
        <v>8</v>
      </c>
      <c r="DF257" s="9">
        <v>8</v>
      </c>
      <c r="DG257" s="9">
        <v>8</v>
      </c>
      <c r="DH257" s="9">
        <v>8</v>
      </c>
      <c r="DI257" s="9">
        <v>8</v>
      </c>
      <c r="DJ257" s="9">
        <v>5</v>
      </c>
      <c r="DK257" s="9">
        <v>5</v>
      </c>
      <c r="DL257" s="9">
        <v>5</v>
      </c>
      <c r="DM257" s="9">
        <v>5</v>
      </c>
      <c r="DN257" s="9">
        <v>5</v>
      </c>
      <c r="DO257" s="9">
        <v>5</v>
      </c>
      <c r="DP257" s="25" t="s">
        <v>208</v>
      </c>
      <c r="DQ257" s="25" t="s">
        <v>200</v>
      </c>
      <c r="DR257" s="25" t="s">
        <v>208</v>
      </c>
      <c r="DS257" s="25" t="s">
        <v>109</v>
      </c>
      <c r="DT257" s="25" t="s">
        <v>197</v>
      </c>
      <c r="DU257" s="25" t="s">
        <v>109</v>
      </c>
      <c r="DV257" s="25">
        <f t="shared" si="140"/>
        <v>1</v>
      </c>
      <c r="DW257" s="25">
        <f t="shared" si="141"/>
        <v>1</v>
      </c>
      <c r="DX257" s="25">
        <f t="shared" si="142"/>
        <v>1</v>
      </c>
      <c r="DY257" s="25">
        <f t="shared" si="143"/>
        <v>2</v>
      </c>
      <c r="DZ257" s="25">
        <f t="shared" si="144"/>
        <v>2</v>
      </c>
      <c r="EA257" s="3">
        <f t="shared" si="145"/>
        <v>2</v>
      </c>
      <c r="EB257" s="39"/>
      <c r="EC257" s="9">
        <v>5500092</v>
      </c>
      <c r="ED257" s="34" t="s">
        <v>109</v>
      </c>
      <c r="EE257" s="8">
        <v>2</v>
      </c>
    </row>
    <row r="258" spans="1:135" ht="13.5" customHeight="1">
      <c r="A258" s="9">
        <v>255</v>
      </c>
      <c r="B258" s="9">
        <v>1</v>
      </c>
      <c r="C258" s="9">
        <v>2001</v>
      </c>
      <c r="D258" s="9">
        <f t="shared" si="163"/>
        <v>2583206</v>
      </c>
      <c r="E258" s="9" t="str">
        <f t="shared" si="159"/>
        <v>5202081,5202081,5200081,5400085,5602084,5400085</v>
      </c>
      <c r="F258" s="9" t="str">
        <f t="shared" si="160"/>
        <v>8,8,8,8,8,8</v>
      </c>
      <c r="G258" s="9" t="str">
        <f t="shared" si="161"/>
        <v>548,592,592,592,592,592</v>
      </c>
      <c r="H258" s="9">
        <v>142</v>
      </c>
      <c r="I258" s="9" t="s">
        <v>278</v>
      </c>
      <c r="J258" s="9" t="s">
        <v>279</v>
      </c>
      <c r="K258" s="9" t="s">
        <v>279</v>
      </c>
      <c r="L258" s="9" t="s">
        <v>279</v>
      </c>
      <c r="M258" s="36" t="s">
        <v>296</v>
      </c>
      <c r="O258" s="3">
        <f t="shared" si="167"/>
        <v>2583206</v>
      </c>
      <c r="P258" s="9">
        <v>2042060.39</v>
      </c>
      <c r="Q258" s="9">
        <v>5202081</v>
      </c>
      <c r="R258" s="9">
        <v>5202081</v>
      </c>
      <c r="S258" s="9">
        <v>5200081</v>
      </c>
      <c r="T258" s="9">
        <v>5400085</v>
      </c>
      <c r="U258" s="9">
        <v>5602084</v>
      </c>
      <c r="V258" s="9">
        <v>5400085</v>
      </c>
      <c r="W258" s="9">
        <v>8</v>
      </c>
      <c r="X258" s="9">
        <v>8</v>
      </c>
      <c r="Y258" s="9">
        <v>8</v>
      </c>
      <c r="Z258" s="9">
        <v>8</v>
      </c>
      <c r="AA258" s="9">
        <v>8</v>
      </c>
      <c r="AB258" s="9">
        <v>8</v>
      </c>
      <c r="AC258" s="9">
        <f t="shared" si="146"/>
        <v>548</v>
      </c>
      <c r="AD258" s="9">
        <f t="shared" si="147"/>
        <v>592</v>
      </c>
      <c r="AE258" s="9">
        <f t="shared" si="148"/>
        <v>592</v>
      </c>
      <c r="AF258" s="9">
        <f t="shared" si="149"/>
        <v>592</v>
      </c>
      <c r="AG258" s="9">
        <f t="shared" si="150"/>
        <v>592</v>
      </c>
      <c r="AH258" s="9">
        <f t="shared" si="151"/>
        <v>592</v>
      </c>
      <c r="AI258" s="7">
        <f t="shared" si="166"/>
        <v>340343.39833333332</v>
      </c>
      <c r="AJ258" s="7">
        <f t="shared" si="168"/>
        <v>340343.39833333332</v>
      </c>
      <c r="AK258" s="7">
        <f t="shared" si="168"/>
        <v>340343.39833333332</v>
      </c>
      <c r="AL258" s="7">
        <f t="shared" si="168"/>
        <v>340343.39833333332</v>
      </c>
      <c r="AM258" s="7">
        <f t="shared" si="168"/>
        <v>340343.39833333332</v>
      </c>
      <c r="AN258" s="7">
        <f t="shared" si="168"/>
        <v>340343.39833333332</v>
      </c>
      <c r="AO258" s="16"/>
      <c r="AP258" s="7"/>
      <c r="AQ258" s="9">
        <v>6</v>
      </c>
      <c r="AR258" s="9">
        <f t="shared" si="152"/>
        <v>628</v>
      </c>
      <c r="AS258" s="7">
        <f t="shared" si="164"/>
        <v>227</v>
      </c>
      <c r="AT258" s="7"/>
      <c r="AU258" s="16"/>
      <c r="AV258" s="7"/>
      <c r="AW258" s="7"/>
      <c r="AX258" s="7"/>
      <c r="AZ258" s="7"/>
      <c r="BA258" s="9">
        <f t="shared" si="169"/>
        <v>278357.79999999993</v>
      </c>
      <c r="BC258" s="5">
        <f t="shared" si="153"/>
        <v>512</v>
      </c>
      <c r="BR258" s="5">
        <v>5602075</v>
      </c>
      <c r="BS258" s="18">
        <f>[1]monsters!$N258</f>
        <v>250.88</v>
      </c>
      <c r="BT258" s="18">
        <f>[1]monsters!$O258</f>
        <v>25.09</v>
      </c>
      <c r="BU258" s="18">
        <f>[1]monsters!$P258</f>
        <v>1645.71</v>
      </c>
      <c r="BV258" s="18">
        <f>[1]monsters!$Q258</f>
        <v>164.57</v>
      </c>
      <c r="BW258" s="18">
        <f>[1]monsters!$R258</f>
        <v>31.36</v>
      </c>
      <c r="BX258" s="18">
        <f>[1]monsters!$S258</f>
        <v>3.14</v>
      </c>
      <c r="BY258" s="18">
        <f>[1]monsters!$K258</f>
        <v>1.4</v>
      </c>
      <c r="BZ258" s="5">
        <f>[1]monsters!$D258</f>
        <v>5</v>
      </c>
      <c r="CA258" s="5">
        <f t="shared" si="154"/>
        <v>0.1</v>
      </c>
      <c r="CB258" s="5">
        <f t="shared" si="155"/>
        <v>292.49271111111108</v>
      </c>
      <c r="CC258" s="5">
        <f t="shared" si="156"/>
        <v>29.24927111111111</v>
      </c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>
        <v>1</v>
      </c>
      <c r="CR258" s="3" t="b">
        <f t="shared" si="128"/>
        <v>1</v>
      </c>
      <c r="CS258" s="3" t="b">
        <f t="shared" si="129"/>
        <v>1</v>
      </c>
      <c r="CT258" s="3" t="b">
        <f t="shared" si="130"/>
        <v>1</v>
      </c>
      <c r="CU258" s="3" t="b">
        <f t="shared" si="131"/>
        <v>1</v>
      </c>
      <c r="CV258" s="3" t="b">
        <f t="shared" si="132"/>
        <v>1</v>
      </c>
      <c r="CW258" s="3" t="b">
        <f t="shared" si="133"/>
        <v>1</v>
      </c>
      <c r="CX258" s="9" t="str">
        <f t="shared" si="134"/>
        <v>5202081</v>
      </c>
      <c r="CY258" s="9" t="str">
        <f t="shared" si="135"/>
        <v>5202081</v>
      </c>
      <c r="CZ258" s="9" t="str">
        <f t="shared" si="136"/>
        <v>5200081</v>
      </c>
      <c r="DA258" s="9" t="str">
        <f t="shared" si="137"/>
        <v>5400085</v>
      </c>
      <c r="DB258" s="9" t="str">
        <f t="shared" si="138"/>
        <v>5602084</v>
      </c>
      <c r="DC258" s="9" t="str">
        <f t="shared" si="139"/>
        <v>5400085</v>
      </c>
      <c r="DD258" s="9">
        <v>8</v>
      </c>
      <c r="DE258" s="9">
        <v>8</v>
      </c>
      <c r="DF258" s="9">
        <v>8</v>
      </c>
      <c r="DG258" s="9">
        <v>8</v>
      </c>
      <c r="DH258" s="9">
        <v>8</v>
      </c>
      <c r="DI258" s="9">
        <v>8</v>
      </c>
      <c r="DJ258" s="9">
        <v>5</v>
      </c>
      <c r="DK258" s="9">
        <v>5</v>
      </c>
      <c r="DL258" s="9">
        <v>5</v>
      </c>
      <c r="DM258" s="9">
        <v>5</v>
      </c>
      <c r="DN258" s="9">
        <v>5</v>
      </c>
      <c r="DO258" s="9">
        <v>5</v>
      </c>
      <c r="DP258" s="25" t="s">
        <v>111</v>
      </c>
      <c r="DQ258" s="25" t="s">
        <v>111</v>
      </c>
      <c r="DR258" s="25" t="s">
        <v>194</v>
      </c>
      <c r="DS258" s="25" t="s">
        <v>210</v>
      </c>
      <c r="DT258" s="25" t="s">
        <v>220</v>
      </c>
      <c r="DU258" s="25" t="s">
        <v>210</v>
      </c>
      <c r="DV258" s="25">
        <f t="shared" si="140"/>
        <v>1</v>
      </c>
      <c r="DW258" s="25">
        <f t="shared" si="141"/>
        <v>1</v>
      </c>
      <c r="DX258" s="25">
        <f t="shared" si="142"/>
        <v>1</v>
      </c>
      <c r="DY258" s="25">
        <f t="shared" si="143"/>
        <v>2</v>
      </c>
      <c r="DZ258" s="25">
        <f t="shared" si="144"/>
        <v>2</v>
      </c>
      <c r="EA258" s="3">
        <f t="shared" si="145"/>
        <v>2</v>
      </c>
      <c r="EB258" s="39"/>
      <c r="EC258" s="9">
        <v>5502092</v>
      </c>
      <c r="ED258" s="34" t="s">
        <v>204</v>
      </c>
      <c r="EE258" s="8">
        <v>2</v>
      </c>
    </row>
    <row r="259" spans="1:135" ht="13.5" customHeight="1">
      <c r="A259" s="9">
        <v>256</v>
      </c>
      <c r="B259" s="9">
        <v>1</v>
      </c>
      <c r="C259" s="9">
        <v>2001</v>
      </c>
      <c r="D259" s="9">
        <f t="shared" si="163"/>
        <v>2595793</v>
      </c>
      <c r="E259" s="9" t="str">
        <f t="shared" si="159"/>
        <v>5202082,5201082,5301081,5501084,5500083,5501084</v>
      </c>
      <c r="F259" s="9" t="str">
        <f t="shared" si="160"/>
        <v>8,8,8,8,8,8</v>
      </c>
      <c r="G259" s="9" t="str">
        <f t="shared" si="161"/>
        <v>549,594,594,594,594,594</v>
      </c>
      <c r="H259" s="9">
        <v>142</v>
      </c>
      <c r="I259" s="9" t="s">
        <v>278</v>
      </c>
      <c r="J259" s="9" t="s">
        <v>279</v>
      </c>
      <c r="K259" s="9" t="s">
        <v>279</v>
      </c>
      <c r="L259" s="9" t="s">
        <v>279</v>
      </c>
      <c r="M259" s="36" t="s">
        <v>297</v>
      </c>
      <c r="N259" s="40"/>
      <c r="O259" s="3">
        <f t="shared" si="167"/>
        <v>2595793</v>
      </c>
      <c r="P259" s="9">
        <v>2052010.39</v>
      </c>
      <c r="Q259" s="9">
        <v>5202082</v>
      </c>
      <c r="R259" s="9">
        <v>5201082</v>
      </c>
      <c r="S259" s="9">
        <v>5301081</v>
      </c>
      <c r="T259" s="9">
        <v>5501084</v>
      </c>
      <c r="U259" s="9">
        <v>5500083</v>
      </c>
      <c r="V259" s="9">
        <v>5501084</v>
      </c>
      <c r="W259" s="9">
        <v>8</v>
      </c>
      <c r="X259" s="9">
        <v>8</v>
      </c>
      <c r="Y259" s="9">
        <v>8</v>
      </c>
      <c r="Z259" s="9">
        <v>8</v>
      </c>
      <c r="AA259" s="9">
        <v>8</v>
      </c>
      <c r="AB259" s="9">
        <v>8</v>
      </c>
      <c r="AC259" s="9">
        <f t="shared" si="146"/>
        <v>549</v>
      </c>
      <c r="AD259" s="9">
        <f t="shared" si="147"/>
        <v>594</v>
      </c>
      <c r="AE259" s="9">
        <f t="shared" si="148"/>
        <v>594</v>
      </c>
      <c r="AF259" s="9">
        <f t="shared" si="149"/>
        <v>594</v>
      </c>
      <c r="AG259" s="9">
        <f t="shared" si="150"/>
        <v>594</v>
      </c>
      <c r="AH259" s="9">
        <f t="shared" si="151"/>
        <v>594</v>
      </c>
      <c r="AI259" s="7">
        <f t="shared" si="166"/>
        <v>342001.73166666663</v>
      </c>
      <c r="AJ259" s="7">
        <f t="shared" si="168"/>
        <v>342001.73166666663</v>
      </c>
      <c r="AK259" s="7">
        <f t="shared" si="168"/>
        <v>342001.73166666663</v>
      </c>
      <c r="AL259" s="7">
        <f t="shared" si="168"/>
        <v>342001.73166666663</v>
      </c>
      <c r="AM259" s="7">
        <f t="shared" si="168"/>
        <v>342001.73166666663</v>
      </c>
      <c r="AN259" s="7">
        <f t="shared" si="168"/>
        <v>342001.73166666663</v>
      </c>
      <c r="AO259" s="16"/>
      <c r="AP259" s="7"/>
      <c r="AQ259" s="9">
        <v>6</v>
      </c>
      <c r="AR259" s="9">
        <f t="shared" si="152"/>
        <v>629</v>
      </c>
      <c r="AS259" s="7">
        <f t="shared" si="164"/>
        <v>228</v>
      </c>
      <c r="AT259" s="7"/>
      <c r="AU259" s="16"/>
      <c r="AV259" s="7"/>
      <c r="AW259" s="7"/>
      <c r="AX259" s="7"/>
      <c r="AZ259" s="7"/>
      <c r="BA259" s="9">
        <f t="shared" si="169"/>
        <v>280748.15999999992</v>
      </c>
      <c r="BC259" s="5">
        <f t="shared" si="153"/>
        <v>513</v>
      </c>
      <c r="BR259" s="5">
        <v>5200081</v>
      </c>
      <c r="BS259" s="18">
        <f>[1]monsters!$N259</f>
        <v>297.60000000000002</v>
      </c>
      <c r="BT259" s="18">
        <f>[1]monsters!$O259</f>
        <v>29.76</v>
      </c>
      <c r="BU259" s="18">
        <f>[1]monsters!$P259</f>
        <v>1486.45</v>
      </c>
      <c r="BV259" s="18">
        <f>[1]monsters!$Q259</f>
        <v>148.65</v>
      </c>
      <c r="BW259" s="18">
        <f>[1]monsters!$R259</f>
        <v>29.76</v>
      </c>
      <c r="BX259" s="18">
        <f>[1]monsters!$S259</f>
        <v>2.98</v>
      </c>
      <c r="BY259" s="18">
        <f>[1]monsters!$K259</f>
        <v>1.5</v>
      </c>
      <c r="BZ259" s="5">
        <f>[1]monsters!$D259</f>
        <v>6</v>
      </c>
      <c r="CA259" s="5">
        <f t="shared" si="154"/>
        <v>0.1</v>
      </c>
      <c r="CB259" s="5">
        <f t="shared" si="155"/>
        <v>331.28082154882156</v>
      </c>
      <c r="CC259" s="5">
        <f t="shared" si="156"/>
        <v>33.128082154882158</v>
      </c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>
        <v>0</v>
      </c>
      <c r="CR259" s="3" t="b">
        <f t="shared" si="128"/>
        <v>1</v>
      </c>
      <c r="CS259" s="3" t="b">
        <f t="shared" si="129"/>
        <v>1</v>
      </c>
      <c r="CT259" s="3" t="b">
        <f t="shared" si="130"/>
        <v>1</v>
      </c>
      <c r="CU259" s="3" t="b">
        <f t="shared" si="131"/>
        <v>1</v>
      </c>
      <c r="CV259" s="3" t="b">
        <f t="shared" si="132"/>
        <v>1</v>
      </c>
      <c r="CW259" s="3" t="b">
        <f t="shared" si="133"/>
        <v>1</v>
      </c>
      <c r="CX259" s="9" t="str">
        <f t="shared" si="134"/>
        <v>5202082</v>
      </c>
      <c r="CY259" s="9" t="str">
        <f t="shared" si="135"/>
        <v>5201082</v>
      </c>
      <c r="CZ259" s="9" t="str">
        <f t="shared" si="136"/>
        <v>5301081</v>
      </c>
      <c r="DA259" s="9" t="str">
        <f t="shared" si="137"/>
        <v>5501084</v>
      </c>
      <c r="DB259" s="9" t="str">
        <f t="shared" si="138"/>
        <v>5500083</v>
      </c>
      <c r="DC259" s="9" t="str">
        <f t="shared" si="139"/>
        <v>5501084</v>
      </c>
      <c r="DD259" s="9">
        <v>8</v>
      </c>
      <c r="DE259" s="9">
        <v>8</v>
      </c>
      <c r="DF259" s="9">
        <v>8</v>
      </c>
      <c r="DG259" s="9">
        <v>8</v>
      </c>
      <c r="DH259" s="9">
        <v>8</v>
      </c>
      <c r="DI259" s="9">
        <v>8</v>
      </c>
      <c r="DJ259" s="9">
        <v>5</v>
      </c>
      <c r="DK259" s="9">
        <v>5</v>
      </c>
      <c r="DL259" s="9">
        <v>5</v>
      </c>
      <c r="DM259" s="9">
        <v>5</v>
      </c>
      <c r="DN259" s="9">
        <v>5</v>
      </c>
      <c r="DO259" s="9">
        <v>5</v>
      </c>
      <c r="DP259" s="25" t="s">
        <v>200</v>
      </c>
      <c r="DQ259" s="25" t="s">
        <v>114</v>
      </c>
      <c r="DR259" s="25" t="s">
        <v>107</v>
      </c>
      <c r="DS259" s="25" t="s">
        <v>214</v>
      </c>
      <c r="DT259" s="25" t="s">
        <v>207</v>
      </c>
      <c r="DU259" s="25" t="s">
        <v>214</v>
      </c>
      <c r="DV259" s="25">
        <f t="shared" si="140"/>
        <v>1</v>
      </c>
      <c r="DW259" s="25">
        <f t="shared" si="141"/>
        <v>1</v>
      </c>
      <c r="DX259" s="25">
        <f t="shared" si="142"/>
        <v>1</v>
      </c>
      <c r="DY259" s="25">
        <f t="shared" si="143"/>
        <v>2</v>
      </c>
      <c r="DZ259" s="25">
        <f t="shared" si="144"/>
        <v>2</v>
      </c>
      <c r="EA259" s="3">
        <f t="shared" si="145"/>
        <v>2</v>
      </c>
      <c r="EB259" s="41"/>
      <c r="EC259" s="9">
        <v>5601092</v>
      </c>
      <c r="ED259" s="34" t="s">
        <v>124</v>
      </c>
      <c r="EE259" s="8">
        <v>2</v>
      </c>
    </row>
    <row r="260" spans="1:135" ht="13.5" customHeight="1">
      <c r="A260" s="9">
        <v>257</v>
      </c>
      <c r="B260" s="9">
        <v>1</v>
      </c>
      <c r="C260" s="9">
        <v>2001</v>
      </c>
      <c r="D260" s="9">
        <f t="shared" si="163"/>
        <v>2609331</v>
      </c>
      <c r="E260" s="9" t="str">
        <f t="shared" si="159"/>
        <v>5201084,5302084,5302084,5500083,5500081,5400085</v>
      </c>
      <c r="F260" s="9" t="str">
        <f t="shared" si="160"/>
        <v>8,8,8,8,8,8</v>
      </c>
      <c r="G260" s="9" t="str">
        <f t="shared" si="161"/>
        <v>550,595,595,595,595,595</v>
      </c>
      <c r="H260" s="9">
        <v>142</v>
      </c>
      <c r="I260" s="9" t="s">
        <v>278</v>
      </c>
      <c r="J260" s="9" t="s">
        <v>279</v>
      </c>
      <c r="K260" s="9" t="s">
        <v>279</v>
      </c>
      <c r="L260" s="9" t="s">
        <v>279</v>
      </c>
      <c r="M260" s="36" t="s">
        <v>297</v>
      </c>
      <c r="N260" s="40"/>
      <c r="O260" s="3">
        <f t="shared" si="167"/>
        <v>2609331</v>
      </c>
      <c r="P260" s="9">
        <v>2062712.61</v>
      </c>
      <c r="Q260" s="9">
        <v>5201084</v>
      </c>
      <c r="R260" s="9">
        <v>5302084</v>
      </c>
      <c r="S260" s="9">
        <v>5302084</v>
      </c>
      <c r="T260" s="9">
        <v>5500083</v>
      </c>
      <c r="U260" s="9">
        <v>5500081</v>
      </c>
      <c r="V260" s="9">
        <v>5400085</v>
      </c>
      <c r="W260" s="9">
        <v>8</v>
      </c>
      <c r="X260" s="9">
        <v>8</v>
      </c>
      <c r="Y260" s="9">
        <v>8</v>
      </c>
      <c r="Z260" s="9">
        <v>8</v>
      </c>
      <c r="AA260" s="9">
        <v>8</v>
      </c>
      <c r="AB260" s="9">
        <v>8</v>
      </c>
      <c r="AC260" s="9">
        <f t="shared" si="146"/>
        <v>550</v>
      </c>
      <c r="AD260" s="9">
        <f t="shared" si="147"/>
        <v>595</v>
      </c>
      <c r="AE260" s="9">
        <f t="shared" si="148"/>
        <v>595</v>
      </c>
      <c r="AF260" s="9">
        <f t="shared" si="149"/>
        <v>595</v>
      </c>
      <c r="AG260" s="9">
        <f t="shared" si="150"/>
        <v>595</v>
      </c>
      <c r="AH260" s="9">
        <f t="shared" si="151"/>
        <v>595</v>
      </c>
      <c r="AI260" s="7">
        <f t="shared" si="166"/>
        <v>343785.435</v>
      </c>
      <c r="AJ260" s="7">
        <f t="shared" si="168"/>
        <v>343785.435</v>
      </c>
      <c r="AK260" s="7">
        <f t="shared" si="168"/>
        <v>343785.435</v>
      </c>
      <c r="AL260" s="7">
        <f t="shared" si="168"/>
        <v>343785.435</v>
      </c>
      <c r="AM260" s="7">
        <f t="shared" si="168"/>
        <v>343785.435</v>
      </c>
      <c r="AN260" s="7">
        <f t="shared" si="168"/>
        <v>343785.435</v>
      </c>
      <c r="AO260" s="16"/>
      <c r="AP260" s="7"/>
      <c r="AQ260" s="9">
        <v>6</v>
      </c>
      <c r="AR260" s="9">
        <f t="shared" si="152"/>
        <v>631</v>
      </c>
      <c r="AS260" s="7">
        <f t="shared" si="164"/>
        <v>228</v>
      </c>
      <c r="AT260" s="7"/>
      <c r="AU260" s="16"/>
      <c r="AV260" s="7"/>
      <c r="AW260" s="7"/>
      <c r="AX260" s="7"/>
      <c r="AZ260" s="7"/>
      <c r="BA260" s="9">
        <f t="shared" si="169"/>
        <v>283138.5199999999</v>
      </c>
      <c r="BC260" s="5">
        <f t="shared" si="153"/>
        <v>514</v>
      </c>
      <c r="BR260" s="5">
        <v>5201081</v>
      </c>
      <c r="BS260" s="18">
        <f>[1]monsters!$N260</f>
        <v>192</v>
      </c>
      <c r="BT260" s="18">
        <f>[1]monsters!$O260</f>
        <v>19.2</v>
      </c>
      <c r="BU260" s="18">
        <f>[1]monsters!$P260</f>
        <v>2304</v>
      </c>
      <c r="BV260" s="18">
        <f>[1]monsters!$Q260</f>
        <v>230.4</v>
      </c>
      <c r="BW260" s="18">
        <f>[1]monsters!$R260</f>
        <v>48</v>
      </c>
      <c r="BX260" s="18">
        <f>[1]monsters!$S260</f>
        <v>4.8</v>
      </c>
      <c r="BY260" s="18">
        <f>[1]monsters!$K260</f>
        <v>1.5</v>
      </c>
      <c r="BZ260" s="5">
        <f>[1]monsters!$D260</f>
        <v>2</v>
      </c>
      <c r="CA260" s="5">
        <f t="shared" si="154"/>
        <v>0.1</v>
      </c>
      <c r="CB260" s="5">
        <f t="shared" si="155"/>
        <v>259.01575757575756</v>
      </c>
      <c r="CC260" s="5">
        <f t="shared" si="156"/>
        <v>25.901575757575756</v>
      </c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>
        <v>0</v>
      </c>
      <c r="CR260" s="3" t="b">
        <f t="shared" ref="CR260:CR323" si="170">IF(ISERROR(MATCH(INT(CX260),$EC$4:$EC$426,0))=FALSE,TRUE)</f>
        <v>1</v>
      </c>
      <c r="CS260" s="3" t="b">
        <f t="shared" ref="CS260:CS323" si="171">IF(ISERROR(MATCH(INT(CY260),$EC$4:$EC$426,0))=FALSE,TRUE)</f>
        <v>1</v>
      </c>
      <c r="CT260" s="3" t="b">
        <f t="shared" ref="CT260:CT323" si="172">IF(ISERROR(MATCH(INT(CZ260),$EC$4:$EC$426,0))=FALSE,TRUE)</f>
        <v>1</v>
      </c>
      <c r="CU260" s="3" t="b">
        <f t="shared" ref="CU260:CU323" si="173">IF(ISERROR(MATCH(INT(DA260),$EC$4:$EC$426,0))=FALSE,TRUE)</f>
        <v>1</v>
      </c>
      <c r="CV260" s="3" t="b">
        <f t="shared" ref="CV260:CV323" si="174">IF(ISERROR(MATCH(INT(DB260),$EC$4:$EC$426,0))=FALSE,TRUE)</f>
        <v>1</v>
      </c>
      <c r="CW260" s="3" t="b">
        <f t="shared" ref="CW260:CW323" si="175">IF(ISERROR(MATCH(INT(DC260),$EC$4:$EC$426,0))=FALSE,TRUE)</f>
        <v>1</v>
      </c>
      <c r="CX260" s="9" t="str">
        <f t="shared" ref="CX260:CX323" si="176">REPLACE(REPLACE(INDEX($EC$4:$EC$426,MATCH(DP260,$ED$4:$ED$426,0)),IF(DD260&gt;9,5,6),IF(DD260&gt;9,2,1),DD260),1,1,DJ260)</f>
        <v>5201084</v>
      </c>
      <c r="CY260" s="9" t="str">
        <f t="shared" ref="CY260:CY323" si="177">REPLACE(REPLACE(INDEX($EC$4:$EC$426,MATCH(DQ260,$ED$4:$ED$426,0)),IF(DE260&gt;9,5,6),IF(DE260&gt;9,2,1),DE260),1,1,DK260)</f>
        <v>5302084</v>
      </c>
      <c r="CZ260" s="9" t="str">
        <f t="shared" ref="CZ260:CZ323" si="178">REPLACE(REPLACE(INDEX($EC$4:$EC$426,MATCH(DR260,$ED$4:$ED$426,0)),IF(DF260&gt;9,5,6),IF(DF260&gt;9,2,1),DF260),1,1,DL260)</f>
        <v>5302084</v>
      </c>
      <c r="DA260" s="9" t="str">
        <f t="shared" ref="DA260:DA323" si="179">REPLACE(REPLACE(INDEX($EC$4:$EC$426,MATCH(DS260,$ED$4:$ED$426,0)),IF(DG260&gt;9,5,6),IF(DG260&gt;9,2,1),DG260),1,1,DM260)</f>
        <v>5500083</v>
      </c>
      <c r="DB260" s="9" t="str">
        <f t="shared" ref="DB260:DB323" si="180">REPLACE(REPLACE(INDEX($EC$4:$EC$426,MATCH(DT260,$ED$4:$ED$426,0)),IF(DH260&gt;9,5,6),IF(DH260&gt;9,2,1),DH260),1,1,DN260)</f>
        <v>5500081</v>
      </c>
      <c r="DC260" s="9" t="str">
        <f t="shared" ref="DC260:DC323" si="181">REPLACE(REPLACE(INDEX($EC$4:$EC$426,MATCH(DU260,$ED$4:$ED$426,0)),IF(DI260&gt;9,5,6),IF(DI260&gt;9,2,1),DI260),1,1,DO260)</f>
        <v>5400085</v>
      </c>
      <c r="DD260" s="9">
        <v>8</v>
      </c>
      <c r="DE260" s="9">
        <v>8</v>
      </c>
      <c r="DF260" s="9">
        <v>8</v>
      </c>
      <c r="DG260" s="9">
        <v>8</v>
      </c>
      <c r="DH260" s="9">
        <v>8</v>
      </c>
      <c r="DI260" s="9">
        <v>8</v>
      </c>
      <c r="DJ260" s="9">
        <v>5</v>
      </c>
      <c r="DK260" s="9">
        <v>5</v>
      </c>
      <c r="DL260" s="9">
        <v>5</v>
      </c>
      <c r="DM260" s="9">
        <v>5</v>
      </c>
      <c r="DN260" s="9">
        <v>5</v>
      </c>
      <c r="DO260" s="9">
        <v>5</v>
      </c>
      <c r="DP260" s="27" t="s">
        <v>217</v>
      </c>
      <c r="DQ260" s="27" t="s">
        <v>218</v>
      </c>
      <c r="DR260" s="27" t="s">
        <v>218</v>
      </c>
      <c r="DS260" s="25" t="s">
        <v>207</v>
      </c>
      <c r="DT260" s="25" t="s">
        <v>197</v>
      </c>
      <c r="DU260" s="25" t="s">
        <v>210</v>
      </c>
      <c r="DV260" s="25">
        <f t="shared" ref="DV260:DV323" si="182">INDEX($EE$4:$EE$426,MATCH(DP260,$ED$4:$ED$426,0))</f>
        <v>1</v>
      </c>
      <c r="DW260" s="25">
        <f t="shared" ref="DW260:DW323" si="183">INDEX($EE$4:$EE$426,MATCH(DQ260,$ED$4:$ED$426,0))</f>
        <v>1</v>
      </c>
      <c r="DX260" s="25">
        <f t="shared" ref="DX260:DX323" si="184">INDEX($EE$4:$EE$426,MATCH(DR260,$ED$4:$ED$426,0))</f>
        <v>1</v>
      </c>
      <c r="DY260" s="25">
        <f t="shared" ref="DY260:DY323" si="185">INDEX($EE$4:$EE$426,MATCH(DS260,$ED$4:$ED$426,0))</f>
        <v>2</v>
      </c>
      <c r="DZ260" s="25">
        <f t="shared" ref="DZ260:DZ323" si="186">INDEX($EE$4:$EE$426,MATCH(DT260,$ED$4:$ED$426,0))</f>
        <v>2</v>
      </c>
      <c r="EA260" s="3">
        <f t="shared" ref="EA260:EA323" si="187">INDEX($EE$4:$EE$426,MATCH(DU260,$ED$4:$ED$426,0))</f>
        <v>2</v>
      </c>
      <c r="EB260" s="42"/>
      <c r="EC260" s="9">
        <v>5200093</v>
      </c>
      <c r="ED260" s="34" t="s">
        <v>113</v>
      </c>
      <c r="EE260" s="8">
        <v>1</v>
      </c>
    </row>
    <row r="261" spans="1:135" ht="13.5" customHeight="1">
      <c r="A261" s="9">
        <v>258</v>
      </c>
      <c r="B261" s="9">
        <v>1</v>
      </c>
      <c r="C261" s="9">
        <v>2001</v>
      </c>
      <c r="D261" s="9">
        <f t="shared" si="163"/>
        <v>2621981</v>
      </c>
      <c r="E261" s="9" t="str">
        <f t="shared" si="159"/>
        <v>5302085,5202085,5202085,5401083,5402082,5401083</v>
      </c>
      <c r="F261" s="9" t="str">
        <f t="shared" si="160"/>
        <v>8,8,8,8,8,8</v>
      </c>
      <c r="G261" s="9" t="str">
        <f t="shared" si="161"/>
        <v>552,597,597,597,597,597</v>
      </c>
      <c r="H261" s="9">
        <v>143</v>
      </c>
      <c r="I261" s="9" t="s">
        <v>278</v>
      </c>
      <c r="J261" s="9" t="s">
        <v>279</v>
      </c>
      <c r="K261" s="9" t="s">
        <v>279</v>
      </c>
      <c r="L261" s="9" t="s">
        <v>279</v>
      </c>
      <c r="M261" s="36" t="s">
        <v>297</v>
      </c>
      <c r="N261" s="40"/>
      <c r="O261" s="3">
        <f t="shared" si="167"/>
        <v>2621981</v>
      </c>
      <c r="P261" s="9">
        <v>2072712.36</v>
      </c>
      <c r="Q261" s="9">
        <v>5302085</v>
      </c>
      <c r="R261" s="9">
        <v>5202085</v>
      </c>
      <c r="S261" s="9">
        <v>5202085</v>
      </c>
      <c r="T261" s="9">
        <v>5401083</v>
      </c>
      <c r="U261" s="9">
        <v>5402082</v>
      </c>
      <c r="V261" s="9">
        <v>5401083</v>
      </c>
      <c r="W261" s="9">
        <v>8</v>
      </c>
      <c r="X261" s="9">
        <v>8</v>
      </c>
      <c r="Y261" s="9">
        <v>8</v>
      </c>
      <c r="Z261" s="9">
        <v>8</v>
      </c>
      <c r="AA261" s="9">
        <v>8</v>
      </c>
      <c r="AB261" s="9">
        <v>8</v>
      </c>
      <c r="AC261" s="9">
        <f t="shared" ref="AC261:AC324" si="188">IF(AI261&gt;0,FLOOR((POWER((AI261/IF(AND(W261&gt;=2,W261&lt;4),1.1,IF(AND(W261&gt;=4,W261&lt;6),1.2,IF(W261&gt;=6,1.4,1)))/$Z$1),0.5)/INDEX($BD$4:$BQ$4,MATCH(W261,$BD$3:$BQ$3,0))-1)*10,1),"")</f>
        <v>552</v>
      </c>
      <c r="AD261" s="9">
        <f t="shared" ref="AD261:AD324" si="189">IF(AJ261&gt;0,FLOOR((POWER((AJ261/IF(AND(X261&gt;=2,X261&lt;4),1.1,IF(AND(X261&gt;=4,X261&lt;6),1.15,IF(X261&gt;=6,1.2,1)))/$Z$1),0.5)/INDEX($BD$4:$BQ$4,MATCH(X261,$BD$3:$BQ$3,0))-1)*10,1),"")</f>
        <v>597</v>
      </c>
      <c r="AE261" s="9">
        <f t="shared" ref="AE261:AE324" si="190">IF(AK261&gt;0,FLOOR((POWER((AK261/IF(AND(Y261&gt;=2,Y261&lt;4),1.1,IF(AND(Y261&gt;=4,Y261&lt;6),1.15,IF(Y261&gt;=6,1.2,1)))/$Z$1),0.5)/INDEX($BD$4:$BQ$4,MATCH(Y261,$BD$3:$BQ$3,0))-1)*10,1),"")</f>
        <v>597</v>
      </c>
      <c r="AF261" s="9">
        <f t="shared" ref="AF261:AF324" si="191">IF(AL261&gt;0,FLOOR((POWER((AL261/IF(AND(Z261&gt;=2,Z261&lt;4),1.1,IF(AND(Z261&gt;=4,Z261&lt;6),1.15,IF(Z261&gt;=6,1.2,1)))/$Z$1),0.5)/INDEX($BD$4:$BQ$4,MATCH(Z261,$BD$3:$BQ$3,0))-1)*10,1),"")</f>
        <v>597</v>
      </c>
      <c r="AG261" s="9">
        <f t="shared" ref="AG261:AG324" si="192">IF(AM261&gt;0,FLOOR((POWER((AM261/IF(AND(AA261&gt;=2,AA261&lt;4),1.1,IF(AND(AA261&gt;=4,AA261&lt;6),1.15,IF(AA261&gt;=6,1.2,1)))/$Z$1),0.5)/INDEX($BD$4:$BQ$4,MATCH(AA261,$BD$3:$BQ$3,0))-1)*10,1),"")</f>
        <v>597</v>
      </c>
      <c r="AH261" s="9">
        <f t="shared" ref="AH261:AH324" si="193">IF(AN261&gt;0,FLOOR((POWER((AN261/IF(AND(AB261&gt;=2,AB261&lt;4),1.1,IF(AND(AB261&gt;=4,AB261&lt;6),1.15,IF(AB261&gt;=6,1.2,1)))/$Z$1),0.5)/INDEX($BD$4:$BQ$4,MATCH(AB261,$BD$3:$BQ$3,0))-1)*10,1),"")</f>
        <v>597</v>
      </c>
      <c r="AI261" s="7">
        <f t="shared" si="166"/>
        <v>345452.06</v>
      </c>
      <c r="AJ261" s="7">
        <f t="shared" si="168"/>
        <v>345452.06</v>
      </c>
      <c r="AK261" s="7">
        <f t="shared" si="168"/>
        <v>345452.06</v>
      </c>
      <c r="AL261" s="7">
        <f t="shared" si="168"/>
        <v>345452.06</v>
      </c>
      <c r="AM261" s="7">
        <f t="shared" si="168"/>
        <v>345452.06</v>
      </c>
      <c r="AN261" s="7">
        <f t="shared" si="168"/>
        <v>345452.06</v>
      </c>
      <c r="AO261" s="16"/>
      <c r="AP261" s="7"/>
      <c r="AQ261" s="9">
        <v>6</v>
      </c>
      <c r="AR261" s="9">
        <f t="shared" ref="AR261:AR324" si="194">IF(AI261&gt;0,FLOOR((POWER((AI261/IF(AND(AQ261&gt;=2,AQ261&lt;4),1.2,IF(AND(AQ261&gt;=4,AQ261&lt;6),1.4,IF(AQ261&gt;=6,1.6,1)))/$Z$1),0.5)/INDEX($BD$4:$BQ$4,MATCH(AQ261,$BD$3:$BQ$3,0))-1)*10,1),"")</f>
        <v>632</v>
      </c>
      <c r="AS261" s="7">
        <f t="shared" si="164"/>
        <v>229</v>
      </c>
      <c r="AT261" s="7"/>
      <c r="AU261" s="16"/>
      <c r="AV261" s="7"/>
      <c r="AW261" s="7"/>
      <c r="AX261" s="7"/>
      <c r="AZ261" s="7"/>
      <c r="BA261" s="9">
        <f t="shared" si="169"/>
        <v>285528.87999999989</v>
      </c>
      <c r="BC261" s="5">
        <f t="shared" ref="BC261:BC324" si="195">FLOOR(POWER(((3000*1.5/0.9/1.05)/(96*INDEX($BD$4:$BO$4,MATCH(W261,$BD$3:$BO$3,0))*8*INDEX($BD$4:$BO$4,MATCH(W261,$BD$3:$BO$3,0)))*AI261/IF(AND(W261&gt;=2,W261&lt;4),1.2,IF(AND(W261&gt;=4,W261&lt;6),1.4,IF(W261&gt;=6,1.6,1)))),1/2)-10,1)</f>
        <v>515</v>
      </c>
      <c r="BR261" s="5">
        <v>5300081</v>
      </c>
      <c r="BS261" s="18">
        <f>[1]monsters!$N261</f>
        <v>184.32</v>
      </c>
      <c r="BT261" s="18">
        <f>[1]monsters!$O261</f>
        <v>18.43</v>
      </c>
      <c r="BU261" s="18">
        <f>[1]monsters!$P261</f>
        <v>2880</v>
      </c>
      <c r="BV261" s="18">
        <f>[1]monsters!$Q261</f>
        <v>288</v>
      </c>
      <c r="BW261" s="18">
        <f>[1]monsters!$R261</f>
        <v>61.44</v>
      </c>
      <c r="BX261" s="18">
        <f>[1]monsters!$S261</f>
        <v>6.14</v>
      </c>
      <c r="BY261" s="18">
        <f>[1]monsters!$K261</f>
        <v>1.8</v>
      </c>
      <c r="BZ261" s="5">
        <f>[1]monsters!$D261</f>
        <v>2</v>
      </c>
      <c r="CA261" s="5">
        <f t="shared" ref="CA261:CA324" si="196">INDEX($CH$5:$CH$10,MATCH($BZ261,$CG$5:$CG$10))</f>
        <v>0.1</v>
      </c>
      <c r="CB261" s="5">
        <f t="shared" ref="CB261:CB324" si="197">(BU261/33/(1-CA261)/(1-0)+BS261*(1+0.5*0.1)*0.9)</f>
        <v>271.15209696969697</v>
      </c>
      <c r="CC261" s="5">
        <f t="shared" ref="CC261:CC324" si="198">(BU261/33/(1-CA261)/(1-0)+BS261*(1+0.5*0.1)*0.9)*0.1</f>
        <v>27.1152096969697</v>
      </c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>
        <v>0</v>
      </c>
      <c r="CR261" s="3" t="b">
        <f t="shared" si="170"/>
        <v>1</v>
      </c>
      <c r="CS261" s="3" t="b">
        <f t="shared" si="171"/>
        <v>1</v>
      </c>
      <c r="CT261" s="3" t="b">
        <f t="shared" si="172"/>
        <v>1</v>
      </c>
      <c r="CU261" s="3" t="b">
        <f t="shared" si="173"/>
        <v>1</v>
      </c>
      <c r="CV261" s="3" t="b">
        <f t="shared" si="174"/>
        <v>1</v>
      </c>
      <c r="CW261" s="3" t="b">
        <f t="shared" si="175"/>
        <v>1</v>
      </c>
      <c r="CX261" s="9" t="str">
        <f t="shared" si="176"/>
        <v>5302085</v>
      </c>
      <c r="CY261" s="9" t="str">
        <f t="shared" si="177"/>
        <v>5202085</v>
      </c>
      <c r="CZ261" s="9" t="str">
        <f t="shared" si="178"/>
        <v>5202085</v>
      </c>
      <c r="DA261" s="9" t="str">
        <f t="shared" si="179"/>
        <v>5401083</v>
      </c>
      <c r="DB261" s="9" t="str">
        <f t="shared" si="180"/>
        <v>5402082</v>
      </c>
      <c r="DC261" s="9" t="str">
        <f t="shared" si="181"/>
        <v>5401083</v>
      </c>
      <c r="DD261" s="9">
        <v>8</v>
      </c>
      <c r="DE261" s="9">
        <v>8</v>
      </c>
      <c r="DF261" s="9">
        <v>8</v>
      </c>
      <c r="DG261" s="9">
        <v>8</v>
      </c>
      <c r="DH261" s="9">
        <v>8</v>
      </c>
      <c r="DI261" s="9">
        <v>8</v>
      </c>
      <c r="DJ261" s="9">
        <v>5</v>
      </c>
      <c r="DK261" s="9">
        <v>5</v>
      </c>
      <c r="DL261" s="9">
        <v>5</v>
      </c>
      <c r="DM261" s="9">
        <v>5</v>
      </c>
      <c r="DN261" s="9">
        <v>5</v>
      </c>
      <c r="DO261" s="9">
        <v>5</v>
      </c>
      <c r="DP261" s="25" t="s">
        <v>221</v>
      </c>
      <c r="DQ261" s="25" t="s">
        <v>213</v>
      </c>
      <c r="DR261" s="25" t="s">
        <v>213</v>
      </c>
      <c r="DS261" s="25" t="s">
        <v>211</v>
      </c>
      <c r="DT261" s="25" t="s">
        <v>203</v>
      </c>
      <c r="DU261" s="25" t="s">
        <v>211</v>
      </c>
      <c r="DV261" s="25">
        <f t="shared" si="182"/>
        <v>1</v>
      </c>
      <c r="DW261" s="25">
        <f t="shared" si="183"/>
        <v>1</v>
      </c>
      <c r="DX261" s="25">
        <f t="shared" si="184"/>
        <v>1</v>
      </c>
      <c r="DY261" s="25">
        <f t="shared" si="185"/>
        <v>2</v>
      </c>
      <c r="DZ261" s="25">
        <f t="shared" si="186"/>
        <v>2</v>
      </c>
      <c r="EA261" s="3">
        <f t="shared" si="187"/>
        <v>2</v>
      </c>
      <c r="EB261" s="42"/>
      <c r="EC261" s="9">
        <v>5201093</v>
      </c>
      <c r="ED261" s="34" t="s">
        <v>205</v>
      </c>
      <c r="EE261" s="8">
        <v>1</v>
      </c>
    </row>
    <row r="262" spans="1:135" ht="13.5" customHeight="1">
      <c r="A262" s="9">
        <v>259</v>
      </c>
      <c r="B262" s="9">
        <v>1</v>
      </c>
      <c r="C262" s="9">
        <v>2001</v>
      </c>
      <c r="D262" s="9">
        <f t="shared" si="163"/>
        <v>2634661</v>
      </c>
      <c r="E262" s="9" t="str">
        <f t="shared" si="159"/>
        <v>5202083,5202082,5202083,5400085,5501085,5402081</v>
      </c>
      <c r="F262" s="9" t="str">
        <f t="shared" si="160"/>
        <v>8,8,8,8,8,8</v>
      </c>
      <c r="G262" s="9" t="str">
        <f t="shared" si="161"/>
        <v>553,598,598,598,598,598</v>
      </c>
      <c r="H262" s="9">
        <v>143</v>
      </c>
      <c r="I262" s="9" t="s">
        <v>278</v>
      </c>
      <c r="J262" s="9" t="s">
        <v>279</v>
      </c>
      <c r="K262" s="9" t="s">
        <v>279</v>
      </c>
      <c r="L262" s="9" t="s">
        <v>279</v>
      </c>
      <c r="M262" s="36" t="s">
        <v>297</v>
      </c>
      <c r="N262" s="40"/>
      <c r="O262" s="3">
        <f t="shared" si="167"/>
        <v>2634661</v>
      </c>
      <c r="P262" s="9">
        <v>2082735.99</v>
      </c>
      <c r="Q262" s="9">
        <v>5202083</v>
      </c>
      <c r="R262" s="9">
        <v>5202082</v>
      </c>
      <c r="S262" s="9">
        <v>5202083</v>
      </c>
      <c r="T262" s="9">
        <v>5400085</v>
      </c>
      <c r="U262" s="9">
        <v>5501085</v>
      </c>
      <c r="V262" s="9">
        <v>5402081</v>
      </c>
      <c r="W262" s="9">
        <v>8</v>
      </c>
      <c r="X262" s="9">
        <v>8</v>
      </c>
      <c r="Y262" s="9">
        <v>8</v>
      </c>
      <c r="Z262" s="9">
        <v>8</v>
      </c>
      <c r="AA262" s="9">
        <v>8</v>
      </c>
      <c r="AB262" s="9">
        <v>8</v>
      </c>
      <c r="AC262" s="9">
        <f t="shared" si="188"/>
        <v>553</v>
      </c>
      <c r="AD262" s="9">
        <f t="shared" si="189"/>
        <v>598</v>
      </c>
      <c r="AE262" s="9">
        <f t="shared" si="190"/>
        <v>598</v>
      </c>
      <c r="AF262" s="9">
        <f t="shared" si="191"/>
        <v>598</v>
      </c>
      <c r="AG262" s="9">
        <f t="shared" si="192"/>
        <v>598</v>
      </c>
      <c r="AH262" s="9">
        <f t="shared" si="193"/>
        <v>598</v>
      </c>
      <c r="AI262" s="7">
        <f t="shared" si="166"/>
        <v>347122.66499999998</v>
      </c>
      <c r="AJ262" s="7">
        <f t="shared" si="168"/>
        <v>347122.66499999998</v>
      </c>
      <c r="AK262" s="7">
        <f t="shared" si="168"/>
        <v>347122.66499999998</v>
      </c>
      <c r="AL262" s="7">
        <f t="shared" si="168"/>
        <v>347122.66499999998</v>
      </c>
      <c r="AM262" s="7">
        <f t="shared" si="168"/>
        <v>347122.66499999998</v>
      </c>
      <c r="AN262" s="7">
        <f t="shared" si="168"/>
        <v>347122.66499999998</v>
      </c>
      <c r="AO262" s="16"/>
      <c r="AP262" s="7"/>
      <c r="AQ262" s="9">
        <v>6</v>
      </c>
      <c r="AR262" s="9">
        <f t="shared" si="194"/>
        <v>634</v>
      </c>
      <c r="AS262" s="7">
        <f t="shared" si="164"/>
        <v>229</v>
      </c>
      <c r="AT262" s="7"/>
      <c r="AU262" s="16"/>
      <c r="AV262" s="7"/>
      <c r="AW262" s="7"/>
      <c r="AX262" s="7"/>
      <c r="AZ262" s="7"/>
      <c r="BA262" s="9">
        <f t="shared" si="169"/>
        <v>287919.23999999987</v>
      </c>
      <c r="BC262" s="5">
        <f t="shared" si="195"/>
        <v>517</v>
      </c>
      <c r="BR262" s="5">
        <v>5301081</v>
      </c>
      <c r="BS262" s="18">
        <f>[1]monsters!$N262</f>
        <v>207.36</v>
      </c>
      <c r="BT262" s="18">
        <f>[1]monsters!$O262</f>
        <v>20.74</v>
      </c>
      <c r="BU262" s="18">
        <f>[1]monsters!$P262</f>
        <v>2560</v>
      </c>
      <c r="BV262" s="18">
        <f>[1]monsters!$Q262</f>
        <v>256</v>
      </c>
      <c r="BW262" s="18">
        <f>[1]monsters!$R262</f>
        <v>41.47</v>
      </c>
      <c r="BX262" s="18">
        <f>[1]monsters!$S262</f>
        <v>4.1500000000000004</v>
      </c>
      <c r="BY262" s="18">
        <f>[1]monsters!$K262</f>
        <v>1.8</v>
      </c>
      <c r="BZ262" s="5">
        <f>[1]monsters!$D262</f>
        <v>2</v>
      </c>
      <c r="CA262" s="5">
        <f t="shared" si="196"/>
        <v>0.1</v>
      </c>
      <c r="CB262" s="5">
        <f t="shared" si="197"/>
        <v>282.15048619528625</v>
      </c>
      <c r="CC262" s="5">
        <f t="shared" si="198"/>
        <v>28.215048619528627</v>
      </c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>
        <v>0</v>
      </c>
      <c r="CR262" s="3" t="b">
        <f t="shared" si="170"/>
        <v>1</v>
      </c>
      <c r="CS262" s="3" t="b">
        <f t="shared" si="171"/>
        <v>1</v>
      </c>
      <c r="CT262" s="3" t="b">
        <f t="shared" si="172"/>
        <v>1</v>
      </c>
      <c r="CU262" s="3" t="b">
        <f t="shared" si="173"/>
        <v>1</v>
      </c>
      <c r="CV262" s="3" t="b">
        <f t="shared" si="174"/>
        <v>1</v>
      </c>
      <c r="CW262" s="3" t="b">
        <f t="shared" si="175"/>
        <v>1</v>
      </c>
      <c r="CX262" s="9" t="str">
        <f t="shared" si="176"/>
        <v>5202083</v>
      </c>
      <c r="CY262" s="9" t="str">
        <f t="shared" si="177"/>
        <v>5202082</v>
      </c>
      <c r="CZ262" s="9" t="str">
        <f t="shared" si="178"/>
        <v>5202083</v>
      </c>
      <c r="DA262" s="9" t="str">
        <f t="shared" si="179"/>
        <v>5400085</v>
      </c>
      <c r="DB262" s="9" t="str">
        <f t="shared" si="180"/>
        <v>5501085</v>
      </c>
      <c r="DC262" s="9" t="str">
        <f t="shared" si="181"/>
        <v>5402081</v>
      </c>
      <c r="DD262" s="9">
        <v>8</v>
      </c>
      <c r="DE262" s="9">
        <v>8</v>
      </c>
      <c r="DF262" s="9">
        <v>8</v>
      </c>
      <c r="DG262" s="9">
        <v>8</v>
      </c>
      <c r="DH262" s="9">
        <v>8</v>
      </c>
      <c r="DI262" s="9">
        <v>8</v>
      </c>
      <c r="DJ262" s="9">
        <v>5</v>
      </c>
      <c r="DK262" s="9">
        <v>5</v>
      </c>
      <c r="DL262" s="9">
        <v>5</v>
      </c>
      <c r="DM262" s="9">
        <v>5</v>
      </c>
      <c r="DN262" s="9">
        <v>5</v>
      </c>
      <c r="DO262" s="9">
        <v>5</v>
      </c>
      <c r="DP262" s="25" t="s">
        <v>208</v>
      </c>
      <c r="DQ262" s="25" t="s">
        <v>200</v>
      </c>
      <c r="DR262" s="25" t="s">
        <v>208</v>
      </c>
      <c r="DS262" s="25" t="s">
        <v>210</v>
      </c>
      <c r="DT262" s="25" t="s">
        <v>209</v>
      </c>
      <c r="DU262" s="25" t="s">
        <v>196</v>
      </c>
      <c r="DV262" s="25">
        <f t="shared" si="182"/>
        <v>1</v>
      </c>
      <c r="DW262" s="25">
        <f t="shared" si="183"/>
        <v>1</v>
      </c>
      <c r="DX262" s="25">
        <f t="shared" si="184"/>
        <v>1</v>
      </c>
      <c r="DY262" s="25">
        <f t="shared" si="185"/>
        <v>2</v>
      </c>
      <c r="DZ262" s="25">
        <f t="shared" si="186"/>
        <v>2</v>
      </c>
      <c r="EA262" s="3">
        <f t="shared" si="187"/>
        <v>2</v>
      </c>
      <c r="EB262" s="42"/>
      <c r="EC262" s="9">
        <v>5202093</v>
      </c>
      <c r="ED262" s="34" t="s">
        <v>208</v>
      </c>
      <c r="EE262" s="8">
        <v>1</v>
      </c>
    </row>
    <row r="263" spans="1:135" ht="13.5" customHeight="1">
      <c r="A263" s="9">
        <v>260</v>
      </c>
      <c r="B263" s="9">
        <v>1</v>
      </c>
      <c r="C263" s="9">
        <v>2001</v>
      </c>
      <c r="D263" s="9">
        <f t="shared" si="163"/>
        <v>2647371</v>
      </c>
      <c r="E263" s="9" t="str">
        <f t="shared" si="159"/>
        <v>5201081,5201081,5200081,5601081,5501084,5501084</v>
      </c>
      <c r="F263" s="9" t="str">
        <f t="shared" si="160"/>
        <v>8,8,8,8,8,8</v>
      </c>
      <c r="G263" s="9" t="str">
        <f t="shared" si="161"/>
        <v>554,600,600,600,600,600</v>
      </c>
      <c r="H263" s="9">
        <v>144</v>
      </c>
      <c r="I263" s="9" t="s">
        <v>278</v>
      </c>
      <c r="J263" s="9" t="s">
        <v>279</v>
      </c>
      <c r="K263" s="9" t="s">
        <v>279</v>
      </c>
      <c r="L263" s="9" t="s">
        <v>279</v>
      </c>
      <c r="M263" s="36" t="s">
        <v>297</v>
      </c>
      <c r="O263" s="3">
        <f t="shared" si="167"/>
        <v>2647371</v>
      </c>
      <c r="P263" s="9">
        <v>2092783.5</v>
      </c>
      <c r="Q263" s="9">
        <v>5201081</v>
      </c>
      <c r="R263" s="9">
        <v>5201081</v>
      </c>
      <c r="S263" s="9">
        <v>5200081</v>
      </c>
      <c r="T263" s="9">
        <v>5601081</v>
      </c>
      <c r="U263" s="9">
        <v>5501084</v>
      </c>
      <c r="V263" s="9">
        <v>5501084</v>
      </c>
      <c r="W263" s="9">
        <v>8</v>
      </c>
      <c r="X263" s="9">
        <v>8</v>
      </c>
      <c r="Y263" s="9">
        <v>8</v>
      </c>
      <c r="Z263" s="9">
        <v>8</v>
      </c>
      <c r="AA263" s="9">
        <v>8</v>
      </c>
      <c r="AB263" s="9">
        <v>8</v>
      </c>
      <c r="AC263" s="9">
        <f t="shared" si="188"/>
        <v>554</v>
      </c>
      <c r="AD263" s="9">
        <f t="shared" si="189"/>
        <v>600</v>
      </c>
      <c r="AE263" s="9">
        <f t="shared" si="190"/>
        <v>600</v>
      </c>
      <c r="AF263" s="9">
        <f t="shared" si="191"/>
        <v>600</v>
      </c>
      <c r="AG263" s="9">
        <f t="shared" si="192"/>
        <v>600</v>
      </c>
      <c r="AH263" s="9">
        <f t="shared" si="193"/>
        <v>600</v>
      </c>
      <c r="AI263" s="7">
        <f t="shared" si="166"/>
        <v>348797.25</v>
      </c>
      <c r="AJ263" s="7">
        <f t="shared" si="168"/>
        <v>348797.25</v>
      </c>
      <c r="AK263" s="7">
        <f t="shared" si="168"/>
        <v>348797.25</v>
      </c>
      <c r="AL263" s="7">
        <f t="shared" si="168"/>
        <v>348797.25</v>
      </c>
      <c r="AM263" s="7">
        <f t="shared" si="168"/>
        <v>348797.25</v>
      </c>
      <c r="AN263" s="7">
        <f t="shared" si="168"/>
        <v>348797.25</v>
      </c>
      <c r="AO263" s="16"/>
      <c r="AP263" s="7"/>
      <c r="AQ263" s="9">
        <v>6</v>
      </c>
      <c r="AR263" s="9">
        <f t="shared" si="194"/>
        <v>635</v>
      </c>
      <c r="AS263" s="7">
        <f t="shared" si="164"/>
        <v>230</v>
      </c>
      <c r="AT263" s="7"/>
      <c r="AU263" s="16"/>
      <c r="AV263" s="7"/>
      <c r="AW263" s="7"/>
      <c r="AX263" s="7"/>
      <c r="AZ263" s="7"/>
      <c r="BA263" s="9">
        <f t="shared" si="169"/>
        <v>290309.59999999986</v>
      </c>
      <c r="BC263" s="5">
        <f t="shared" si="195"/>
        <v>518</v>
      </c>
      <c r="BR263" s="5">
        <v>5401081</v>
      </c>
      <c r="BS263" s="18">
        <f>[1]monsters!$N263</f>
        <v>138.24</v>
      </c>
      <c r="BT263" s="18">
        <f>[1]monsters!$O263</f>
        <v>13.82</v>
      </c>
      <c r="BU263" s="18">
        <f>[1]monsters!$P263</f>
        <v>2560</v>
      </c>
      <c r="BV263" s="18">
        <f>[1]monsters!$Q263</f>
        <v>256</v>
      </c>
      <c r="BW263" s="18">
        <f>[1]monsters!$R263</f>
        <v>27.65</v>
      </c>
      <c r="BX263" s="18">
        <f>[1]monsters!$S263</f>
        <v>2.76</v>
      </c>
      <c r="BY263" s="18">
        <f>[1]monsters!$K263</f>
        <v>1.2</v>
      </c>
      <c r="BZ263" s="5">
        <f>[1]monsters!$D263</f>
        <v>3</v>
      </c>
      <c r="CA263" s="5">
        <f t="shared" si="196"/>
        <v>0.1</v>
      </c>
      <c r="CB263" s="5">
        <f t="shared" si="197"/>
        <v>216.83208619528622</v>
      </c>
      <c r="CC263" s="5">
        <f t="shared" si="198"/>
        <v>21.683208619528624</v>
      </c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>
        <v>1</v>
      </c>
      <c r="CR263" s="3" t="b">
        <f t="shared" si="170"/>
        <v>1</v>
      </c>
      <c r="CS263" s="3" t="b">
        <f t="shared" si="171"/>
        <v>1</v>
      </c>
      <c r="CT263" s="3" t="b">
        <f t="shared" si="172"/>
        <v>1</v>
      </c>
      <c r="CU263" s="3" t="b">
        <f t="shared" si="173"/>
        <v>1</v>
      </c>
      <c r="CV263" s="3" t="b">
        <f t="shared" si="174"/>
        <v>1</v>
      </c>
      <c r="CW263" s="3" t="b">
        <f t="shared" si="175"/>
        <v>1</v>
      </c>
      <c r="CX263" s="9" t="str">
        <f t="shared" si="176"/>
        <v>5201081</v>
      </c>
      <c r="CY263" s="9" t="str">
        <f t="shared" si="177"/>
        <v>5201081</v>
      </c>
      <c r="CZ263" s="9" t="str">
        <f t="shared" si="178"/>
        <v>5200081</v>
      </c>
      <c r="DA263" s="9" t="str">
        <f t="shared" si="179"/>
        <v>5601081</v>
      </c>
      <c r="DB263" s="9" t="str">
        <f t="shared" si="180"/>
        <v>5501084</v>
      </c>
      <c r="DC263" s="9" t="str">
        <f t="shared" si="181"/>
        <v>5501084</v>
      </c>
      <c r="DD263" s="9">
        <v>8</v>
      </c>
      <c r="DE263" s="9">
        <v>8</v>
      </c>
      <c r="DF263" s="9">
        <v>8</v>
      </c>
      <c r="DG263" s="9">
        <v>8</v>
      </c>
      <c r="DH263" s="9">
        <v>8</v>
      </c>
      <c r="DI263" s="9">
        <v>8</v>
      </c>
      <c r="DJ263" s="9">
        <v>5</v>
      </c>
      <c r="DK263" s="9">
        <v>5</v>
      </c>
      <c r="DL263" s="9">
        <v>5</v>
      </c>
      <c r="DM263" s="9">
        <v>5</v>
      </c>
      <c r="DN263" s="9">
        <v>5</v>
      </c>
      <c r="DO263" s="9">
        <v>5</v>
      </c>
      <c r="DP263" s="25" t="s">
        <v>195</v>
      </c>
      <c r="DQ263" s="25" t="s">
        <v>195</v>
      </c>
      <c r="DR263" s="25" t="s">
        <v>194</v>
      </c>
      <c r="DS263" s="25" t="s">
        <v>198</v>
      </c>
      <c r="DT263" s="25" t="s">
        <v>214</v>
      </c>
      <c r="DU263" s="25" t="s">
        <v>214</v>
      </c>
      <c r="DV263" s="25">
        <f t="shared" si="182"/>
        <v>1</v>
      </c>
      <c r="DW263" s="25">
        <f t="shared" si="183"/>
        <v>1</v>
      </c>
      <c r="DX263" s="25">
        <f t="shared" si="184"/>
        <v>1</v>
      </c>
      <c r="DY263" s="25">
        <f t="shared" si="185"/>
        <v>2</v>
      </c>
      <c r="DZ263" s="25">
        <f t="shared" si="186"/>
        <v>2</v>
      </c>
      <c r="EA263" s="3">
        <f t="shared" si="187"/>
        <v>2</v>
      </c>
      <c r="EB263" s="42"/>
      <c r="EC263" s="9">
        <v>5301093</v>
      </c>
      <c r="ED263" s="34" t="s">
        <v>206</v>
      </c>
      <c r="EE263" s="8">
        <v>1</v>
      </c>
    </row>
    <row r="264" spans="1:135" ht="13.5" customHeight="1">
      <c r="A264" s="9">
        <v>261</v>
      </c>
      <c r="B264" s="9">
        <v>1</v>
      </c>
      <c r="C264" s="9">
        <v>2001</v>
      </c>
      <c r="D264" s="9">
        <f t="shared" si="163"/>
        <v>2660114</v>
      </c>
      <c r="E264" s="9" t="str">
        <f t="shared" si="159"/>
        <v>5302085,5202085,5202085,5400085,5501085,5400085</v>
      </c>
      <c r="F264" s="9" t="str">
        <f t="shared" si="160"/>
        <v>8,8,8,8,8,8</v>
      </c>
      <c r="G264" s="9" t="str">
        <f t="shared" si="161"/>
        <v>556,601,601,601,601,601</v>
      </c>
      <c r="H264" s="9">
        <v>144</v>
      </c>
      <c r="I264" s="9" t="s">
        <v>278</v>
      </c>
      <c r="J264" s="9" t="s">
        <v>279</v>
      </c>
      <c r="K264" s="9" t="s">
        <v>279</v>
      </c>
      <c r="L264" s="9" t="s">
        <v>279</v>
      </c>
      <c r="M264" s="36" t="s">
        <v>297</v>
      </c>
      <c r="N264" s="40"/>
      <c r="O264" s="3">
        <f t="shared" si="167"/>
        <v>2660114</v>
      </c>
      <c r="P264" s="9">
        <v>2102856.88</v>
      </c>
      <c r="Q264" s="9">
        <v>5302085</v>
      </c>
      <c r="R264" s="9">
        <v>5202085</v>
      </c>
      <c r="S264" s="9">
        <v>5202085</v>
      </c>
      <c r="T264" s="9">
        <v>5400085</v>
      </c>
      <c r="U264" s="9">
        <v>5501085</v>
      </c>
      <c r="V264" s="9">
        <v>5400085</v>
      </c>
      <c r="W264" s="9">
        <v>8</v>
      </c>
      <c r="X264" s="9">
        <v>8</v>
      </c>
      <c r="Y264" s="9">
        <v>8</v>
      </c>
      <c r="Z264" s="9">
        <v>8</v>
      </c>
      <c r="AA264" s="9">
        <v>8</v>
      </c>
      <c r="AB264" s="9">
        <v>8</v>
      </c>
      <c r="AC264" s="9">
        <f t="shared" si="188"/>
        <v>556</v>
      </c>
      <c r="AD264" s="9">
        <f t="shared" si="189"/>
        <v>601</v>
      </c>
      <c r="AE264" s="9">
        <f t="shared" si="190"/>
        <v>601</v>
      </c>
      <c r="AF264" s="9">
        <f t="shared" si="191"/>
        <v>601</v>
      </c>
      <c r="AG264" s="9">
        <f t="shared" si="192"/>
        <v>601</v>
      </c>
      <c r="AH264" s="9">
        <f t="shared" si="193"/>
        <v>601</v>
      </c>
      <c r="AI264" s="7">
        <f t="shared" si="166"/>
        <v>350476.14666666667</v>
      </c>
      <c r="AJ264" s="7">
        <f t="shared" si="168"/>
        <v>350476.14666666667</v>
      </c>
      <c r="AK264" s="7">
        <f t="shared" si="168"/>
        <v>350476.14666666667</v>
      </c>
      <c r="AL264" s="7">
        <f t="shared" si="168"/>
        <v>350476.14666666667</v>
      </c>
      <c r="AM264" s="7">
        <f t="shared" si="168"/>
        <v>350476.14666666667</v>
      </c>
      <c r="AN264" s="7">
        <f t="shared" si="168"/>
        <v>350476.14666666667</v>
      </c>
      <c r="AO264" s="16"/>
      <c r="AP264" s="7"/>
      <c r="AQ264" s="9">
        <v>6</v>
      </c>
      <c r="AR264" s="9">
        <f t="shared" si="194"/>
        <v>637</v>
      </c>
      <c r="AS264" s="7">
        <f t="shared" si="164"/>
        <v>230</v>
      </c>
      <c r="AT264" s="7"/>
      <c r="AU264" s="16"/>
      <c r="AV264" s="7"/>
      <c r="AW264" s="7"/>
      <c r="AX264" s="7"/>
      <c r="AZ264" s="7"/>
      <c r="BA264" s="9">
        <f t="shared" si="169"/>
        <v>292699.95999999985</v>
      </c>
      <c r="BC264" s="5">
        <f t="shared" si="195"/>
        <v>519</v>
      </c>
      <c r="BR264" s="5">
        <v>5402081</v>
      </c>
      <c r="BS264" s="18">
        <f>[1]monsters!$N264</f>
        <v>245.76</v>
      </c>
      <c r="BT264" s="18">
        <f>[1]monsters!$O264</f>
        <v>24.58</v>
      </c>
      <c r="BU264" s="18">
        <f>[1]monsters!$P264</f>
        <v>1920</v>
      </c>
      <c r="BV264" s="18">
        <f>[1]monsters!$Q264</f>
        <v>192</v>
      </c>
      <c r="BW264" s="18">
        <f>[1]monsters!$R264</f>
        <v>35.11</v>
      </c>
      <c r="BX264" s="18">
        <f>[1]monsters!$S264</f>
        <v>3.51</v>
      </c>
      <c r="BY264" s="18">
        <f>[1]monsters!$K264</f>
        <v>1.6</v>
      </c>
      <c r="BZ264" s="5">
        <f>[1]monsters!$D264</f>
        <v>4</v>
      </c>
      <c r="CA264" s="5">
        <f t="shared" si="196"/>
        <v>0.1</v>
      </c>
      <c r="CB264" s="5">
        <f t="shared" si="197"/>
        <v>296.88966464646467</v>
      </c>
      <c r="CC264" s="5">
        <f t="shared" si="198"/>
        <v>29.688966464646469</v>
      </c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>
        <v>0</v>
      </c>
      <c r="CR264" s="3" t="b">
        <f t="shared" si="170"/>
        <v>1</v>
      </c>
      <c r="CS264" s="3" t="b">
        <f t="shared" si="171"/>
        <v>1</v>
      </c>
      <c r="CT264" s="3" t="b">
        <f t="shared" si="172"/>
        <v>1</v>
      </c>
      <c r="CU264" s="3" t="b">
        <f t="shared" si="173"/>
        <v>1</v>
      </c>
      <c r="CV264" s="3" t="b">
        <f t="shared" si="174"/>
        <v>1</v>
      </c>
      <c r="CW264" s="3" t="b">
        <f t="shared" si="175"/>
        <v>1</v>
      </c>
      <c r="CX264" s="9" t="str">
        <f t="shared" si="176"/>
        <v>5302085</v>
      </c>
      <c r="CY264" s="9" t="str">
        <f t="shared" si="177"/>
        <v>5202085</v>
      </c>
      <c r="CZ264" s="9" t="str">
        <f t="shared" si="178"/>
        <v>5202085</v>
      </c>
      <c r="DA264" s="9" t="str">
        <f t="shared" si="179"/>
        <v>5400085</v>
      </c>
      <c r="DB264" s="9" t="str">
        <f t="shared" si="180"/>
        <v>5501085</v>
      </c>
      <c r="DC264" s="9" t="str">
        <f t="shared" si="181"/>
        <v>5400085</v>
      </c>
      <c r="DD264" s="9">
        <v>8</v>
      </c>
      <c r="DE264" s="9">
        <v>8</v>
      </c>
      <c r="DF264" s="9">
        <v>8</v>
      </c>
      <c r="DG264" s="9">
        <v>8</v>
      </c>
      <c r="DH264" s="9">
        <v>8</v>
      </c>
      <c r="DI264" s="9">
        <v>8</v>
      </c>
      <c r="DJ264" s="9">
        <v>5</v>
      </c>
      <c r="DK264" s="9">
        <v>5</v>
      </c>
      <c r="DL264" s="9">
        <v>5</v>
      </c>
      <c r="DM264" s="9">
        <v>5</v>
      </c>
      <c r="DN264" s="9">
        <v>5</v>
      </c>
      <c r="DO264" s="9">
        <v>5</v>
      </c>
      <c r="DP264" s="25" t="s">
        <v>221</v>
      </c>
      <c r="DQ264" s="25" t="s">
        <v>213</v>
      </c>
      <c r="DR264" s="25" t="s">
        <v>213</v>
      </c>
      <c r="DS264" s="25" t="s">
        <v>210</v>
      </c>
      <c r="DT264" s="25" t="s">
        <v>209</v>
      </c>
      <c r="DU264" s="25" t="s">
        <v>210</v>
      </c>
      <c r="DV264" s="25">
        <f t="shared" si="182"/>
        <v>1</v>
      </c>
      <c r="DW264" s="25">
        <f t="shared" si="183"/>
        <v>1</v>
      </c>
      <c r="DX264" s="25">
        <f t="shared" si="184"/>
        <v>1</v>
      </c>
      <c r="DY264" s="25">
        <f t="shared" si="185"/>
        <v>2</v>
      </c>
      <c r="DZ264" s="25">
        <f t="shared" si="186"/>
        <v>2</v>
      </c>
      <c r="EA264" s="3">
        <f t="shared" si="187"/>
        <v>2</v>
      </c>
      <c r="EB264" s="42"/>
      <c r="EC264" s="9">
        <v>5401093</v>
      </c>
      <c r="ED264" s="34" t="s">
        <v>211</v>
      </c>
      <c r="EE264" s="8">
        <v>2</v>
      </c>
    </row>
    <row r="265" spans="1:135" ht="13.5" customHeight="1">
      <c r="A265" s="9">
        <v>262</v>
      </c>
      <c r="B265" s="9">
        <v>1</v>
      </c>
      <c r="C265" s="9">
        <v>2001</v>
      </c>
      <c r="D265" s="9">
        <f t="shared" si="163"/>
        <v>2672884</v>
      </c>
      <c r="E265" s="9" t="str">
        <f t="shared" si="159"/>
        <v>5301081,5301082,5301082,5500082,5400085,5502083</v>
      </c>
      <c r="F265" s="9" t="str">
        <f t="shared" si="160"/>
        <v>8,8,8,8,8,8</v>
      </c>
      <c r="G265" s="9" t="str">
        <f t="shared" si="161"/>
        <v>557,603,603,603,603,603</v>
      </c>
      <c r="H265" s="9">
        <v>144</v>
      </c>
      <c r="I265" s="9" t="s">
        <v>278</v>
      </c>
      <c r="J265" s="9" t="s">
        <v>279</v>
      </c>
      <c r="K265" s="9" t="s">
        <v>279</v>
      </c>
      <c r="L265" s="9" t="s">
        <v>279</v>
      </c>
      <c r="M265" s="36" t="s">
        <v>297</v>
      </c>
      <c r="N265" s="40"/>
      <c r="O265" s="3">
        <f t="shared" si="167"/>
        <v>2672884</v>
      </c>
      <c r="P265" s="9">
        <v>2112952.15</v>
      </c>
      <c r="Q265" s="9">
        <v>5301081</v>
      </c>
      <c r="R265" s="9">
        <v>5301082</v>
      </c>
      <c r="S265" s="9">
        <v>5301082</v>
      </c>
      <c r="T265" s="9">
        <v>5500082</v>
      </c>
      <c r="U265" s="9">
        <v>5400085</v>
      </c>
      <c r="V265" s="9">
        <v>5502083</v>
      </c>
      <c r="W265" s="9">
        <v>8</v>
      </c>
      <c r="X265" s="9">
        <v>8</v>
      </c>
      <c r="Y265" s="9">
        <v>8</v>
      </c>
      <c r="Z265" s="9">
        <v>8</v>
      </c>
      <c r="AA265" s="9">
        <v>8</v>
      </c>
      <c r="AB265" s="9">
        <v>8</v>
      </c>
      <c r="AC265" s="9">
        <f t="shared" si="188"/>
        <v>557</v>
      </c>
      <c r="AD265" s="9">
        <f t="shared" si="189"/>
        <v>603</v>
      </c>
      <c r="AE265" s="9">
        <f t="shared" si="190"/>
        <v>603</v>
      </c>
      <c r="AF265" s="9">
        <f t="shared" si="191"/>
        <v>603</v>
      </c>
      <c r="AG265" s="9">
        <f t="shared" si="192"/>
        <v>603</v>
      </c>
      <c r="AH265" s="9">
        <f t="shared" si="193"/>
        <v>603</v>
      </c>
      <c r="AI265" s="7">
        <f t="shared" si="166"/>
        <v>352158.69166666665</v>
      </c>
      <c r="AJ265" s="7">
        <f t="shared" si="168"/>
        <v>352158.69166666665</v>
      </c>
      <c r="AK265" s="7">
        <f t="shared" si="168"/>
        <v>352158.69166666665</v>
      </c>
      <c r="AL265" s="7">
        <f t="shared" si="168"/>
        <v>352158.69166666665</v>
      </c>
      <c r="AM265" s="7">
        <f t="shared" si="168"/>
        <v>352158.69166666665</v>
      </c>
      <c r="AN265" s="7">
        <f t="shared" si="168"/>
        <v>352158.69166666665</v>
      </c>
      <c r="AO265" s="16"/>
      <c r="AP265" s="7"/>
      <c r="AQ265" s="9">
        <v>6</v>
      </c>
      <c r="AR265" s="9">
        <f t="shared" si="194"/>
        <v>639</v>
      </c>
      <c r="AS265" s="7">
        <f t="shared" si="164"/>
        <v>231</v>
      </c>
      <c r="AT265" s="7"/>
      <c r="AU265" s="16"/>
      <c r="AV265" s="7"/>
      <c r="AW265" s="7"/>
      <c r="AX265" s="7"/>
      <c r="AZ265" s="7"/>
      <c r="BA265" s="9">
        <f t="shared" si="169"/>
        <v>295090.31999999983</v>
      </c>
      <c r="BC265" s="5">
        <f t="shared" si="195"/>
        <v>521</v>
      </c>
      <c r="BR265" s="5">
        <v>5500081</v>
      </c>
      <c r="BS265" s="18">
        <f>[1]monsters!$N265</f>
        <v>230.4</v>
      </c>
      <c r="BT265" s="18">
        <f>[1]monsters!$O265</f>
        <v>23.04</v>
      </c>
      <c r="BU265" s="18">
        <f>[1]monsters!$P265</f>
        <v>1920</v>
      </c>
      <c r="BV265" s="18">
        <f>[1]monsters!$Q265</f>
        <v>192</v>
      </c>
      <c r="BW265" s="18">
        <f>[1]monsters!$R265</f>
        <v>32.909999999999997</v>
      </c>
      <c r="BX265" s="18">
        <f>[1]monsters!$S265</f>
        <v>3.29</v>
      </c>
      <c r="BY265" s="18">
        <f>[1]monsters!$K265</f>
        <v>1.5</v>
      </c>
      <c r="BZ265" s="5">
        <f>[1]monsters!$D265</f>
        <v>4</v>
      </c>
      <c r="CA265" s="5">
        <f t="shared" si="196"/>
        <v>0.1</v>
      </c>
      <c r="CB265" s="5">
        <f t="shared" si="197"/>
        <v>282.37446464646462</v>
      </c>
      <c r="CC265" s="5">
        <f t="shared" si="198"/>
        <v>28.237446464646464</v>
      </c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>
        <v>0</v>
      </c>
      <c r="CR265" s="3" t="b">
        <f t="shared" si="170"/>
        <v>1</v>
      </c>
      <c r="CS265" s="3" t="b">
        <f t="shared" si="171"/>
        <v>1</v>
      </c>
      <c r="CT265" s="3" t="b">
        <f t="shared" si="172"/>
        <v>1</v>
      </c>
      <c r="CU265" s="3" t="b">
        <f t="shared" si="173"/>
        <v>1</v>
      </c>
      <c r="CV265" s="3" t="b">
        <f t="shared" si="174"/>
        <v>1</v>
      </c>
      <c r="CW265" s="3" t="b">
        <f t="shared" si="175"/>
        <v>1</v>
      </c>
      <c r="CX265" s="9" t="str">
        <f t="shared" si="176"/>
        <v>5301081</v>
      </c>
      <c r="CY265" s="9" t="str">
        <f t="shared" si="177"/>
        <v>5301082</v>
      </c>
      <c r="CZ265" s="9" t="str">
        <f t="shared" si="178"/>
        <v>5301082</v>
      </c>
      <c r="DA265" s="9" t="str">
        <f t="shared" si="179"/>
        <v>5500082</v>
      </c>
      <c r="DB265" s="9" t="str">
        <f t="shared" si="180"/>
        <v>5400085</v>
      </c>
      <c r="DC265" s="9" t="str">
        <f t="shared" si="181"/>
        <v>5502083</v>
      </c>
      <c r="DD265" s="9">
        <v>8</v>
      </c>
      <c r="DE265" s="9">
        <v>8</v>
      </c>
      <c r="DF265" s="9">
        <v>8</v>
      </c>
      <c r="DG265" s="9">
        <v>8</v>
      </c>
      <c r="DH265" s="9">
        <v>8</v>
      </c>
      <c r="DI265" s="9">
        <v>8</v>
      </c>
      <c r="DJ265" s="9">
        <v>5</v>
      </c>
      <c r="DK265" s="9">
        <v>5</v>
      </c>
      <c r="DL265" s="9">
        <v>5</v>
      </c>
      <c r="DM265" s="9">
        <v>5</v>
      </c>
      <c r="DN265" s="9">
        <v>5</v>
      </c>
      <c r="DO265" s="9">
        <v>5</v>
      </c>
      <c r="DP265" s="25" t="s">
        <v>107</v>
      </c>
      <c r="DQ265" s="25" t="s">
        <v>201</v>
      </c>
      <c r="DR265" s="25" t="s">
        <v>201</v>
      </c>
      <c r="DS265" s="25" t="s">
        <v>109</v>
      </c>
      <c r="DT265" s="25" t="s">
        <v>210</v>
      </c>
      <c r="DU265" s="25" t="s">
        <v>215</v>
      </c>
      <c r="DV265" s="25">
        <f t="shared" si="182"/>
        <v>1</v>
      </c>
      <c r="DW265" s="25">
        <f t="shared" si="183"/>
        <v>1</v>
      </c>
      <c r="DX265" s="25">
        <f t="shared" si="184"/>
        <v>1</v>
      </c>
      <c r="DY265" s="25">
        <f t="shared" si="185"/>
        <v>2</v>
      </c>
      <c r="DZ265" s="25">
        <f t="shared" si="186"/>
        <v>2</v>
      </c>
      <c r="EA265" s="3">
        <f t="shared" si="187"/>
        <v>2</v>
      </c>
      <c r="EB265" s="42"/>
      <c r="EC265" s="9">
        <v>5402093</v>
      </c>
      <c r="ED265" s="34" t="s">
        <v>118</v>
      </c>
      <c r="EE265" s="8">
        <v>2</v>
      </c>
    </row>
    <row r="266" spans="1:135" ht="13.5" customHeight="1">
      <c r="A266" s="9">
        <v>263</v>
      </c>
      <c r="B266" s="9">
        <v>1</v>
      </c>
      <c r="C266" s="9">
        <v>2001</v>
      </c>
      <c r="D266" s="9">
        <f t="shared" si="163"/>
        <v>2685688</v>
      </c>
      <c r="E266" s="9" t="str">
        <f t="shared" si="159"/>
        <v>5201083,5200083,5301081,5501084,5500083,5501084</v>
      </c>
      <c r="F266" s="9" t="str">
        <f t="shared" si="160"/>
        <v>8,8,8,8,8,8</v>
      </c>
      <c r="G266" s="9" t="str">
        <f t="shared" si="161"/>
        <v>559,604,604,604,604,604</v>
      </c>
      <c r="H266" s="9">
        <v>145</v>
      </c>
      <c r="I266" s="9" t="s">
        <v>278</v>
      </c>
      <c r="J266" s="9" t="s">
        <v>279</v>
      </c>
      <c r="K266" s="9" t="s">
        <v>279</v>
      </c>
      <c r="L266" s="9" t="s">
        <v>279</v>
      </c>
      <c r="M266" s="36" t="s">
        <v>297</v>
      </c>
      <c r="N266" s="40"/>
      <c r="O266" s="3">
        <f t="shared" si="167"/>
        <v>2685688</v>
      </c>
      <c r="P266" s="9">
        <v>2123073.29</v>
      </c>
      <c r="Q266" s="9">
        <v>5201083</v>
      </c>
      <c r="R266" s="9">
        <v>5200083</v>
      </c>
      <c r="S266" s="9">
        <v>5301081</v>
      </c>
      <c r="T266" s="9">
        <v>5501084</v>
      </c>
      <c r="U266" s="9">
        <v>5500083</v>
      </c>
      <c r="V266" s="9">
        <v>5501084</v>
      </c>
      <c r="W266" s="9">
        <v>8</v>
      </c>
      <c r="X266" s="9">
        <v>8</v>
      </c>
      <c r="Y266" s="9">
        <v>8</v>
      </c>
      <c r="Z266" s="9">
        <v>8</v>
      </c>
      <c r="AA266" s="9">
        <v>8</v>
      </c>
      <c r="AB266" s="9">
        <v>8</v>
      </c>
      <c r="AC266" s="9">
        <f t="shared" si="188"/>
        <v>559</v>
      </c>
      <c r="AD266" s="9">
        <f t="shared" si="189"/>
        <v>604</v>
      </c>
      <c r="AE266" s="9">
        <f t="shared" si="190"/>
        <v>604</v>
      </c>
      <c r="AF266" s="9">
        <f t="shared" si="191"/>
        <v>604</v>
      </c>
      <c r="AG266" s="9">
        <f t="shared" si="192"/>
        <v>604</v>
      </c>
      <c r="AH266" s="9">
        <f t="shared" si="193"/>
        <v>604</v>
      </c>
      <c r="AI266" s="7">
        <f t="shared" si="166"/>
        <v>353845.54833333334</v>
      </c>
      <c r="AJ266" s="7">
        <f t="shared" si="168"/>
        <v>353845.54833333334</v>
      </c>
      <c r="AK266" s="7">
        <f t="shared" si="168"/>
        <v>353845.54833333334</v>
      </c>
      <c r="AL266" s="7">
        <f t="shared" si="168"/>
        <v>353845.54833333334</v>
      </c>
      <c r="AM266" s="7">
        <f t="shared" si="168"/>
        <v>353845.54833333334</v>
      </c>
      <c r="AN266" s="7">
        <f t="shared" si="168"/>
        <v>353845.54833333334</v>
      </c>
      <c r="AO266" s="16"/>
      <c r="AP266" s="7"/>
      <c r="AQ266" s="9">
        <v>6</v>
      </c>
      <c r="AR266" s="9">
        <f t="shared" si="194"/>
        <v>640</v>
      </c>
      <c r="AS266" s="7">
        <f t="shared" si="164"/>
        <v>231</v>
      </c>
      <c r="AT266" s="7"/>
      <c r="AU266" s="16"/>
      <c r="AV266" s="7"/>
      <c r="AW266" s="7"/>
      <c r="AX266" s="7"/>
      <c r="AZ266" s="7"/>
      <c r="BA266" s="9">
        <f t="shared" si="169"/>
        <v>297480.67999999982</v>
      </c>
      <c r="BC266" s="5">
        <f t="shared" si="195"/>
        <v>522</v>
      </c>
      <c r="BR266" s="5">
        <v>5501081</v>
      </c>
      <c r="BS266" s="18">
        <f>[1]monsters!$N266</f>
        <v>268.8</v>
      </c>
      <c r="BT266" s="18">
        <f>[1]monsters!$O266</f>
        <v>26.88</v>
      </c>
      <c r="BU266" s="18">
        <f>[1]monsters!$P266</f>
        <v>1645.71</v>
      </c>
      <c r="BV266" s="18">
        <f>[1]monsters!$Q266</f>
        <v>164.57</v>
      </c>
      <c r="BW266" s="18">
        <f>[1]monsters!$R266</f>
        <v>33.6</v>
      </c>
      <c r="BX266" s="18">
        <f>[1]monsters!$S266</f>
        <v>3.36</v>
      </c>
      <c r="BY266" s="18">
        <f>[1]monsters!$K266</f>
        <v>1.5</v>
      </c>
      <c r="BZ266" s="5">
        <f>[1]monsters!$D266</f>
        <v>5</v>
      </c>
      <c r="CA266" s="5">
        <f t="shared" si="196"/>
        <v>0.1</v>
      </c>
      <c r="CB266" s="5">
        <f t="shared" si="197"/>
        <v>309.42711111111112</v>
      </c>
      <c r="CC266" s="5">
        <f t="shared" si="198"/>
        <v>30.942711111111112</v>
      </c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>
        <v>0</v>
      </c>
      <c r="CR266" s="3" t="b">
        <f t="shared" si="170"/>
        <v>1</v>
      </c>
      <c r="CS266" s="3" t="b">
        <f t="shared" si="171"/>
        <v>1</v>
      </c>
      <c r="CT266" s="3" t="b">
        <f t="shared" si="172"/>
        <v>1</v>
      </c>
      <c r="CU266" s="3" t="b">
        <f t="shared" si="173"/>
        <v>1</v>
      </c>
      <c r="CV266" s="3" t="b">
        <f t="shared" si="174"/>
        <v>1</v>
      </c>
      <c r="CW266" s="3" t="b">
        <f t="shared" si="175"/>
        <v>1</v>
      </c>
      <c r="CX266" s="9" t="str">
        <f t="shared" si="176"/>
        <v>5201083</v>
      </c>
      <c r="CY266" s="9" t="str">
        <f t="shared" si="177"/>
        <v>5200083</v>
      </c>
      <c r="CZ266" s="9" t="str">
        <f t="shared" si="178"/>
        <v>5301081</v>
      </c>
      <c r="DA266" s="9" t="str">
        <f t="shared" si="179"/>
        <v>5501084</v>
      </c>
      <c r="DB266" s="9" t="str">
        <f t="shared" si="180"/>
        <v>5500083</v>
      </c>
      <c r="DC266" s="9" t="str">
        <f t="shared" si="181"/>
        <v>5501084</v>
      </c>
      <c r="DD266" s="9">
        <v>8</v>
      </c>
      <c r="DE266" s="9">
        <v>8</v>
      </c>
      <c r="DF266" s="9">
        <v>8</v>
      </c>
      <c r="DG266" s="9">
        <v>8</v>
      </c>
      <c r="DH266" s="9">
        <v>8</v>
      </c>
      <c r="DI266" s="9">
        <v>8</v>
      </c>
      <c r="DJ266" s="9">
        <v>5</v>
      </c>
      <c r="DK266" s="9">
        <v>5</v>
      </c>
      <c r="DL266" s="9">
        <v>5</v>
      </c>
      <c r="DM266" s="9">
        <v>5</v>
      </c>
      <c r="DN266" s="9">
        <v>5</v>
      </c>
      <c r="DO266" s="9">
        <v>5</v>
      </c>
      <c r="DP266" s="25" t="s">
        <v>205</v>
      </c>
      <c r="DQ266" s="25" t="s">
        <v>113</v>
      </c>
      <c r="DR266" s="25" t="s">
        <v>107</v>
      </c>
      <c r="DS266" s="25" t="s">
        <v>214</v>
      </c>
      <c r="DT266" s="25" t="s">
        <v>207</v>
      </c>
      <c r="DU266" s="25" t="s">
        <v>214</v>
      </c>
      <c r="DV266" s="25">
        <f t="shared" si="182"/>
        <v>1</v>
      </c>
      <c r="DW266" s="25">
        <f t="shared" si="183"/>
        <v>1</v>
      </c>
      <c r="DX266" s="25">
        <f t="shared" si="184"/>
        <v>1</v>
      </c>
      <c r="DY266" s="25">
        <f t="shared" si="185"/>
        <v>2</v>
      </c>
      <c r="DZ266" s="25">
        <f t="shared" si="186"/>
        <v>2</v>
      </c>
      <c r="EA266" s="3">
        <f t="shared" si="187"/>
        <v>2</v>
      </c>
      <c r="EB266" s="42"/>
      <c r="EC266" s="9">
        <v>5500093</v>
      </c>
      <c r="ED266" s="34" t="s">
        <v>207</v>
      </c>
      <c r="EE266" s="8">
        <v>2</v>
      </c>
    </row>
    <row r="267" spans="1:135" ht="13.5" customHeight="1">
      <c r="A267" s="9">
        <v>264</v>
      </c>
      <c r="B267" s="9">
        <v>1</v>
      </c>
      <c r="C267" s="9">
        <v>2001</v>
      </c>
      <c r="D267" s="9">
        <f t="shared" si="163"/>
        <v>2699458</v>
      </c>
      <c r="E267" s="9" t="str">
        <f t="shared" si="159"/>
        <v>5200083,5200083,5201082,5401083,5402082,5401083</v>
      </c>
      <c r="F267" s="9" t="str">
        <f t="shared" si="160"/>
        <v>8,8,8,8,8,8</v>
      </c>
      <c r="G267" s="9" t="str">
        <f t="shared" si="161"/>
        <v>560,606,606,606,606,606</v>
      </c>
      <c r="H267" s="9">
        <v>145</v>
      </c>
      <c r="I267" s="9" t="s">
        <v>278</v>
      </c>
      <c r="J267" s="9" t="s">
        <v>279</v>
      </c>
      <c r="K267" s="9" t="s">
        <v>279</v>
      </c>
      <c r="L267" s="9" t="s">
        <v>279</v>
      </c>
      <c r="M267" s="36" t="s">
        <v>297</v>
      </c>
      <c r="N267" s="40"/>
      <c r="O267" s="3">
        <f t="shared" si="167"/>
        <v>2699458</v>
      </c>
      <c r="P267" s="9">
        <v>2133958.59</v>
      </c>
      <c r="Q267" s="9">
        <v>5200083</v>
      </c>
      <c r="R267" s="9">
        <v>5200083</v>
      </c>
      <c r="S267" s="9">
        <v>5201082</v>
      </c>
      <c r="T267" s="9">
        <v>5401083</v>
      </c>
      <c r="U267" s="9">
        <v>5402082</v>
      </c>
      <c r="V267" s="9">
        <v>5401083</v>
      </c>
      <c r="W267" s="9">
        <v>8</v>
      </c>
      <c r="X267" s="9">
        <v>8</v>
      </c>
      <c r="Y267" s="9">
        <v>8</v>
      </c>
      <c r="Z267" s="9">
        <v>8</v>
      </c>
      <c r="AA267" s="9">
        <v>8</v>
      </c>
      <c r="AB267" s="9">
        <v>8</v>
      </c>
      <c r="AC267" s="9">
        <f t="shared" si="188"/>
        <v>560</v>
      </c>
      <c r="AD267" s="9">
        <f t="shared" si="189"/>
        <v>606</v>
      </c>
      <c r="AE267" s="9">
        <f t="shared" si="190"/>
        <v>606</v>
      </c>
      <c r="AF267" s="9">
        <f t="shared" si="191"/>
        <v>606</v>
      </c>
      <c r="AG267" s="9">
        <f t="shared" si="192"/>
        <v>606</v>
      </c>
      <c r="AH267" s="9">
        <f t="shared" si="193"/>
        <v>606</v>
      </c>
      <c r="AI267" s="7">
        <f t="shared" si="166"/>
        <v>355659.76499999996</v>
      </c>
      <c r="AJ267" s="7">
        <f t="shared" si="168"/>
        <v>355659.76499999996</v>
      </c>
      <c r="AK267" s="7">
        <f t="shared" si="168"/>
        <v>355659.76499999996</v>
      </c>
      <c r="AL267" s="7">
        <f t="shared" si="168"/>
        <v>355659.76499999996</v>
      </c>
      <c r="AM267" s="7">
        <f t="shared" si="168"/>
        <v>355659.76499999996</v>
      </c>
      <c r="AN267" s="7">
        <f t="shared" si="168"/>
        <v>355659.76499999996</v>
      </c>
      <c r="AO267" s="16"/>
      <c r="AP267" s="7"/>
      <c r="AQ267" s="9">
        <v>6</v>
      </c>
      <c r="AR267" s="9">
        <f t="shared" si="194"/>
        <v>642</v>
      </c>
      <c r="AS267" s="7">
        <f t="shared" si="164"/>
        <v>232</v>
      </c>
      <c r="AT267" s="7"/>
      <c r="AU267" s="16"/>
      <c r="AV267" s="7"/>
      <c r="AW267" s="7"/>
      <c r="AX267" s="7"/>
      <c r="AZ267" s="7"/>
      <c r="BA267" s="9">
        <f t="shared" si="169"/>
        <v>299871.0399999998</v>
      </c>
      <c r="BC267" s="5">
        <f t="shared" si="195"/>
        <v>523</v>
      </c>
      <c r="BR267" s="5">
        <v>5600081</v>
      </c>
      <c r="BS267" s="18">
        <f>[1]monsters!$N267</f>
        <v>250.88</v>
      </c>
      <c r="BT267" s="18">
        <f>[1]monsters!$O267</f>
        <v>25.09</v>
      </c>
      <c r="BU267" s="18">
        <f>[1]monsters!$P267</f>
        <v>1645.71</v>
      </c>
      <c r="BV267" s="18">
        <f>[1]monsters!$Q267</f>
        <v>164.57</v>
      </c>
      <c r="BW267" s="18">
        <f>[1]monsters!$R267</f>
        <v>31.36</v>
      </c>
      <c r="BX267" s="18">
        <f>[1]monsters!$S267</f>
        <v>3.14</v>
      </c>
      <c r="BY267" s="18">
        <f>[1]monsters!$K267</f>
        <v>1.4</v>
      </c>
      <c r="BZ267" s="5">
        <f>[1]monsters!$D267</f>
        <v>5</v>
      </c>
      <c r="CA267" s="5">
        <f t="shared" si="196"/>
        <v>0.1</v>
      </c>
      <c r="CB267" s="5">
        <f t="shared" si="197"/>
        <v>292.49271111111108</v>
      </c>
      <c r="CC267" s="5">
        <f t="shared" si="198"/>
        <v>29.24927111111111</v>
      </c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>
        <v>0</v>
      </c>
      <c r="CR267" s="3" t="b">
        <f t="shared" si="170"/>
        <v>1</v>
      </c>
      <c r="CS267" s="3" t="b">
        <f t="shared" si="171"/>
        <v>1</v>
      </c>
      <c r="CT267" s="3" t="b">
        <f t="shared" si="172"/>
        <v>1</v>
      </c>
      <c r="CU267" s="3" t="b">
        <f t="shared" si="173"/>
        <v>1</v>
      </c>
      <c r="CV267" s="3" t="b">
        <f t="shared" si="174"/>
        <v>1</v>
      </c>
      <c r="CW267" s="3" t="b">
        <f t="shared" si="175"/>
        <v>1</v>
      </c>
      <c r="CX267" s="9" t="str">
        <f t="shared" si="176"/>
        <v>5200083</v>
      </c>
      <c r="CY267" s="9" t="str">
        <f t="shared" si="177"/>
        <v>5200083</v>
      </c>
      <c r="CZ267" s="9" t="str">
        <f t="shared" si="178"/>
        <v>5201082</v>
      </c>
      <c r="DA267" s="9" t="str">
        <f t="shared" si="179"/>
        <v>5401083</v>
      </c>
      <c r="DB267" s="9" t="str">
        <f t="shared" si="180"/>
        <v>5402082</v>
      </c>
      <c r="DC267" s="9" t="str">
        <f t="shared" si="181"/>
        <v>5401083</v>
      </c>
      <c r="DD267" s="9">
        <v>8</v>
      </c>
      <c r="DE267" s="9">
        <v>8</v>
      </c>
      <c r="DF267" s="9">
        <v>8</v>
      </c>
      <c r="DG267" s="9">
        <v>8</v>
      </c>
      <c r="DH267" s="9">
        <v>8</v>
      </c>
      <c r="DI267" s="9">
        <v>8</v>
      </c>
      <c r="DJ267" s="9">
        <v>5</v>
      </c>
      <c r="DK267" s="9">
        <v>5</v>
      </c>
      <c r="DL267" s="9">
        <v>5</v>
      </c>
      <c r="DM267" s="9">
        <v>5</v>
      </c>
      <c r="DN267" s="9">
        <v>5</v>
      </c>
      <c r="DO267" s="9">
        <v>5</v>
      </c>
      <c r="DP267" s="25" t="s">
        <v>113</v>
      </c>
      <c r="DQ267" s="25" t="s">
        <v>113</v>
      </c>
      <c r="DR267" s="25" t="s">
        <v>114</v>
      </c>
      <c r="DS267" s="25" t="s">
        <v>211</v>
      </c>
      <c r="DT267" s="25" t="s">
        <v>203</v>
      </c>
      <c r="DU267" s="25" t="s">
        <v>211</v>
      </c>
      <c r="DV267" s="25">
        <f t="shared" si="182"/>
        <v>1</v>
      </c>
      <c r="DW267" s="25">
        <f t="shared" si="183"/>
        <v>1</v>
      </c>
      <c r="DX267" s="25">
        <f t="shared" si="184"/>
        <v>1</v>
      </c>
      <c r="DY267" s="25">
        <f t="shared" si="185"/>
        <v>2</v>
      </c>
      <c r="DZ267" s="25">
        <f t="shared" si="186"/>
        <v>2</v>
      </c>
      <c r="EA267" s="3">
        <f t="shared" si="187"/>
        <v>2</v>
      </c>
      <c r="EB267" s="42"/>
      <c r="EC267" s="9">
        <v>5502093</v>
      </c>
      <c r="ED267" s="34" t="s">
        <v>215</v>
      </c>
      <c r="EE267" s="8">
        <v>2</v>
      </c>
    </row>
    <row r="268" spans="1:135" ht="13.5" customHeight="1">
      <c r="A268" s="9">
        <v>265</v>
      </c>
      <c r="B268" s="9">
        <v>1</v>
      </c>
      <c r="C268" s="9">
        <v>2001</v>
      </c>
      <c r="D268" s="9">
        <f t="shared" si="163"/>
        <v>2712324</v>
      </c>
      <c r="E268" s="9" t="str">
        <f t="shared" ref="E268:E331" si="199">Q268&amp;","&amp;R268&amp;","&amp;S268&amp;","&amp;T268&amp;","&amp;U268&amp;","&amp;V268</f>
        <v>5201081,5201081,5201081,5502081,5502081,5502081</v>
      </c>
      <c r="F268" s="9" t="str">
        <f t="shared" ref="F268:F331" si="200">W268&amp;","&amp;X268&amp;","&amp;Y268&amp;","&amp;Z268&amp;","&amp;AA268&amp;","&amp;AB268</f>
        <v>8,8,8,8,8,8</v>
      </c>
      <c r="G268" s="9" t="str">
        <f t="shared" ref="G268:G331" si="201">AC268&amp;","&amp;AD268&amp;","&amp;AE268&amp;","&amp;AF268&amp;","&amp;AG268&amp;","&amp;AH268</f>
        <v>561,607,607,607,607,607</v>
      </c>
      <c r="H268" s="9">
        <v>146</v>
      </c>
      <c r="I268" s="9" t="s">
        <v>278</v>
      </c>
      <c r="J268" s="9" t="s">
        <v>279</v>
      </c>
      <c r="K268" s="9" t="s">
        <v>279</v>
      </c>
      <c r="L268" s="9" t="s">
        <v>279</v>
      </c>
      <c r="M268" s="36" t="s">
        <v>297</v>
      </c>
      <c r="O268" s="3">
        <f t="shared" si="167"/>
        <v>2712324</v>
      </c>
      <c r="P268" s="9">
        <v>2144129.48</v>
      </c>
      <c r="Q268" s="9">
        <v>5201081</v>
      </c>
      <c r="R268" s="9">
        <v>5201081</v>
      </c>
      <c r="S268" s="9">
        <v>5201081</v>
      </c>
      <c r="T268" s="9">
        <v>5502081</v>
      </c>
      <c r="U268" s="9">
        <v>5502081</v>
      </c>
      <c r="V268" s="9">
        <v>5502081</v>
      </c>
      <c r="W268" s="9">
        <v>8</v>
      </c>
      <c r="X268" s="9">
        <v>8</v>
      </c>
      <c r="Y268" s="9">
        <v>8</v>
      </c>
      <c r="Z268" s="9">
        <v>8</v>
      </c>
      <c r="AA268" s="9">
        <v>8</v>
      </c>
      <c r="AB268" s="9">
        <v>8</v>
      </c>
      <c r="AC268" s="9">
        <f t="shared" si="188"/>
        <v>561</v>
      </c>
      <c r="AD268" s="9">
        <f t="shared" si="189"/>
        <v>607</v>
      </c>
      <c r="AE268" s="9">
        <f t="shared" si="190"/>
        <v>607</v>
      </c>
      <c r="AF268" s="9">
        <f t="shared" si="191"/>
        <v>607</v>
      </c>
      <c r="AG268" s="9">
        <f t="shared" si="192"/>
        <v>607</v>
      </c>
      <c r="AH268" s="9">
        <f t="shared" si="193"/>
        <v>607</v>
      </c>
      <c r="AI268" s="7">
        <f t="shared" si="166"/>
        <v>357354.91333333333</v>
      </c>
      <c r="AJ268" s="7">
        <f t="shared" si="168"/>
        <v>357354.91333333333</v>
      </c>
      <c r="AK268" s="7">
        <f t="shared" si="168"/>
        <v>357354.91333333333</v>
      </c>
      <c r="AL268" s="7">
        <f t="shared" si="168"/>
        <v>357354.91333333333</v>
      </c>
      <c r="AM268" s="7">
        <f t="shared" si="168"/>
        <v>357354.91333333333</v>
      </c>
      <c r="AN268" s="7">
        <f t="shared" si="168"/>
        <v>357354.91333333333</v>
      </c>
      <c r="AO268" s="16"/>
      <c r="AP268" s="7"/>
      <c r="AQ268" s="9">
        <v>6</v>
      </c>
      <c r="AR268" s="9">
        <f t="shared" si="194"/>
        <v>643</v>
      </c>
      <c r="AS268" s="7">
        <f t="shared" si="164"/>
        <v>232</v>
      </c>
      <c r="AT268" s="7"/>
      <c r="AU268" s="16"/>
      <c r="AV268" s="7"/>
      <c r="AW268" s="7"/>
      <c r="AX268" s="7"/>
      <c r="AZ268" s="7"/>
      <c r="BA268" s="9">
        <f t="shared" si="169"/>
        <v>302261.39999999979</v>
      </c>
      <c r="BC268" s="5">
        <f t="shared" si="195"/>
        <v>524</v>
      </c>
      <c r="BR268" s="5">
        <v>5601081</v>
      </c>
      <c r="BS268" s="18">
        <f>[1]monsters!$N268</f>
        <v>297.60000000000002</v>
      </c>
      <c r="BT268" s="18">
        <f>[1]monsters!$O268</f>
        <v>29.76</v>
      </c>
      <c r="BU268" s="18">
        <f>[1]monsters!$P268</f>
        <v>1486.45</v>
      </c>
      <c r="BV268" s="18">
        <f>[1]monsters!$Q268</f>
        <v>148.65</v>
      </c>
      <c r="BW268" s="18">
        <f>[1]monsters!$R268</f>
        <v>29.76</v>
      </c>
      <c r="BX268" s="18">
        <f>[1]monsters!$S268</f>
        <v>2.98</v>
      </c>
      <c r="BY268" s="18">
        <f>[1]monsters!$K268</f>
        <v>1.5</v>
      </c>
      <c r="BZ268" s="5">
        <f>[1]monsters!$D268</f>
        <v>6</v>
      </c>
      <c r="CA268" s="5">
        <f t="shared" si="196"/>
        <v>0.1</v>
      </c>
      <c r="CB268" s="5">
        <f t="shared" si="197"/>
        <v>331.28082154882156</v>
      </c>
      <c r="CC268" s="5">
        <f t="shared" si="198"/>
        <v>33.128082154882158</v>
      </c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>
        <v>1</v>
      </c>
      <c r="CR268" s="3" t="b">
        <f t="shared" si="170"/>
        <v>1</v>
      </c>
      <c r="CS268" s="3" t="b">
        <f t="shared" si="171"/>
        <v>1</v>
      </c>
      <c r="CT268" s="3" t="b">
        <f t="shared" si="172"/>
        <v>1</v>
      </c>
      <c r="CU268" s="3" t="b">
        <f t="shared" si="173"/>
        <v>1</v>
      </c>
      <c r="CV268" s="3" t="b">
        <f t="shared" si="174"/>
        <v>1</v>
      </c>
      <c r="CW268" s="3" t="b">
        <f t="shared" si="175"/>
        <v>1</v>
      </c>
      <c r="CX268" s="9" t="str">
        <f t="shared" si="176"/>
        <v>5201081</v>
      </c>
      <c r="CY268" s="9" t="str">
        <f t="shared" si="177"/>
        <v>5201081</v>
      </c>
      <c r="CZ268" s="9" t="str">
        <f t="shared" si="178"/>
        <v>5201081</v>
      </c>
      <c r="DA268" s="9" t="str">
        <f t="shared" si="179"/>
        <v>5502081</v>
      </c>
      <c r="DB268" s="9" t="str">
        <f t="shared" si="180"/>
        <v>5502081</v>
      </c>
      <c r="DC268" s="9" t="str">
        <f t="shared" si="181"/>
        <v>5502081</v>
      </c>
      <c r="DD268" s="9">
        <v>8</v>
      </c>
      <c r="DE268" s="9">
        <v>8</v>
      </c>
      <c r="DF268" s="9">
        <v>8</v>
      </c>
      <c r="DG268" s="9">
        <v>8</v>
      </c>
      <c r="DH268" s="9">
        <v>8</v>
      </c>
      <c r="DI268" s="9">
        <v>8</v>
      </c>
      <c r="DJ268" s="9">
        <v>5</v>
      </c>
      <c r="DK268" s="9">
        <v>5</v>
      </c>
      <c r="DL268" s="9">
        <v>5</v>
      </c>
      <c r="DM268" s="9">
        <v>5</v>
      </c>
      <c r="DN268" s="9">
        <v>5</v>
      </c>
      <c r="DO268" s="9">
        <v>5</v>
      </c>
      <c r="DP268" s="25" t="s">
        <v>195</v>
      </c>
      <c r="DQ268" s="25" t="s">
        <v>195</v>
      </c>
      <c r="DR268" s="25" t="s">
        <v>195</v>
      </c>
      <c r="DS268" s="25" t="s">
        <v>119</v>
      </c>
      <c r="DT268" s="25" t="s">
        <v>119</v>
      </c>
      <c r="DU268" s="25" t="s">
        <v>119</v>
      </c>
      <c r="DV268" s="25">
        <f t="shared" si="182"/>
        <v>1</v>
      </c>
      <c r="DW268" s="25">
        <f t="shared" si="183"/>
        <v>1</v>
      </c>
      <c r="DX268" s="25">
        <f t="shared" si="184"/>
        <v>1</v>
      </c>
      <c r="DY268" s="25">
        <f t="shared" si="185"/>
        <v>2</v>
      </c>
      <c r="DZ268" s="25">
        <f t="shared" si="186"/>
        <v>2</v>
      </c>
      <c r="EA268" s="3">
        <f t="shared" si="187"/>
        <v>2</v>
      </c>
      <c r="EB268" s="42"/>
      <c r="EC268" s="9">
        <v>5601093</v>
      </c>
      <c r="ED268" s="34" t="s">
        <v>216</v>
      </c>
      <c r="EE268" s="8">
        <v>2</v>
      </c>
    </row>
    <row r="269" spans="1:135" ht="13.5" customHeight="1">
      <c r="A269" s="9">
        <v>266</v>
      </c>
      <c r="B269" s="9">
        <v>1</v>
      </c>
      <c r="C269" s="9">
        <v>2001</v>
      </c>
      <c r="D269" s="9">
        <f t="shared" si="163"/>
        <v>2725220</v>
      </c>
      <c r="E269" s="9" t="str">
        <f t="shared" si="199"/>
        <v>5202083,5201083,5302084,5501084,5400085,5500082</v>
      </c>
      <c r="F269" s="9" t="str">
        <f t="shared" si="200"/>
        <v>8,8,8,8,8,8</v>
      </c>
      <c r="G269" s="9" t="str">
        <f t="shared" si="201"/>
        <v>563,609,609,609,609,609</v>
      </c>
      <c r="H269" s="9">
        <v>146</v>
      </c>
      <c r="I269" s="9" t="s">
        <v>278</v>
      </c>
      <c r="J269" s="9" t="s">
        <v>279</v>
      </c>
      <c r="K269" s="9" t="s">
        <v>279</v>
      </c>
      <c r="L269" s="9" t="s">
        <v>279</v>
      </c>
      <c r="M269" s="36" t="s">
        <v>297</v>
      </c>
      <c r="N269" s="40"/>
      <c r="O269" s="3">
        <f t="shared" si="167"/>
        <v>2725220</v>
      </c>
      <c r="P269" s="9">
        <v>2154324.25</v>
      </c>
      <c r="Q269" s="9">
        <v>5202083</v>
      </c>
      <c r="R269" s="9">
        <v>5201083</v>
      </c>
      <c r="S269" s="9">
        <v>5302084</v>
      </c>
      <c r="T269" s="9">
        <v>5501084</v>
      </c>
      <c r="U269" s="9">
        <v>5400085</v>
      </c>
      <c r="V269" s="9">
        <v>5500082</v>
      </c>
      <c r="W269" s="9">
        <v>8</v>
      </c>
      <c r="X269" s="9">
        <v>8</v>
      </c>
      <c r="Y269" s="9">
        <v>8</v>
      </c>
      <c r="Z269" s="9">
        <v>8</v>
      </c>
      <c r="AA269" s="9">
        <v>8</v>
      </c>
      <c r="AB269" s="9">
        <v>8</v>
      </c>
      <c r="AC269" s="9">
        <f t="shared" si="188"/>
        <v>563</v>
      </c>
      <c r="AD269" s="9">
        <f t="shared" si="189"/>
        <v>609</v>
      </c>
      <c r="AE269" s="9">
        <f t="shared" si="190"/>
        <v>609</v>
      </c>
      <c r="AF269" s="9">
        <f t="shared" si="191"/>
        <v>609</v>
      </c>
      <c r="AG269" s="9">
        <f t="shared" si="192"/>
        <v>609</v>
      </c>
      <c r="AH269" s="9">
        <f t="shared" si="193"/>
        <v>609</v>
      </c>
      <c r="AI269" s="7">
        <f t="shared" si="166"/>
        <v>359054.04166666669</v>
      </c>
      <c r="AJ269" s="7">
        <f t="shared" si="168"/>
        <v>359054.04166666669</v>
      </c>
      <c r="AK269" s="7">
        <f t="shared" si="168"/>
        <v>359054.04166666669</v>
      </c>
      <c r="AL269" s="7">
        <f t="shared" si="168"/>
        <v>359054.04166666669</v>
      </c>
      <c r="AM269" s="7">
        <f t="shared" si="168"/>
        <v>359054.04166666669</v>
      </c>
      <c r="AN269" s="7">
        <f t="shared" si="168"/>
        <v>359054.04166666669</v>
      </c>
      <c r="AO269" s="16"/>
      <c r="AP269" s="7"/>
      <c r="AQ269" s="9">
        <v>6</v>
      </c>
      <c r="AR269" s="9">
        <f t="shared" si="194"/>
        <v>645</v>
      </c>
      <c r="AS269" s="7">
        <f t="shared" si="164"/>
        <v>233</v>
      </c>
      <c r="AT269" s="7"/>
      <c r="AU269" s="16"/>
      <c r="AV269" s="7"/>
      <c r="AW269" s="7"/>
      <c r="AX269" s="7"/>
      <c r="AZ269" s="7"/>
      <c r="BA269" s="9">
        <f t="shared" si="169"/>
        <v>304651.75999999978</v>
      </c>
      <c r="BC269" s="5">
        <f t="shared" si="195"/>
        <v>526</v>
      </c>
      <c r="BR269" s="5">
        <v>5200082</v>
      </c>
      <c r="BS269" s="18">
        <f>[1]monsters!$N269</f>
        <v>184.32</v>
      </c>
      <c r="BT269" s="18">
        <f>[1]monsters!$O269</f>
        <v>18.43</v>
      </c>
      <c r="BU269" s="18">
        <f>[1]monsters!$P269</f>
        <v>2880</v>
      </c>
      <c r="BV269" s="18">
        <f>[1]monsters!$Q269</f>
        <v>288</v>
      </c>
      <c r="BW269" s="18">
        <f>[1]monsters!$R269</f>
        <v>61.44</v>
      </c>
      <c r="BX269" s="18">
        <f>[1]monsters!$S269</f>
        <v>6.14</v>
      </c>
      <c r="BY269" s="18">
        <f>[1]monsters!$K269</f>
        <v>1.8</v>
      </c>
      <c r="BZ269" s="5">
        <f>[1]monsters!$D269</f>
        <v>2</v>
      </c>
      <c r="CA269" s="5">
        <f t="shared" si="196"/>
        <v>0.1</v>
      </c>
      <c r="CB269" s="5">
        <f t="shared" si="197"/>
        <v>271.15209696969697</v>
      </c>
      <c r="CC269" s="5">
        <f t="shared" si="198"/>
        <v>27.1152096969697</v>
      </c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>
        <v>0</v>
      </c>
      <c r="CR269" s="3" t="b">
        <f t="shared" si="170"/>
        <v>1</v>
      </c>
      <c r="CS269" s="3" t="b">
        <f t="shared" si="171"/>
        <v>1</v>
      </c>
      <c r="CT269" s="3" t="b">
        <f t="shared" si="172"/>
        <v>1</v>
      </c>
      <c r="CU269" s="3" t="b">
        <f t="shared" si="173"/>
        <v>1</v>
      </c>
      <c r="CV269" s="3" t="b">
        <f t="shared" si="174"/>
        <v>1</v>
      </c>
      <c r="CW269" s="3" t="b">
        <f t="shared" si="175"/>
        <v>1</v>
      </c>
      <c r="CX269" s="9" t="str">
        <f t="shared" si="176"/>
        <v>5202083</v>
      </c>
      <c r="CY269" s="9" t="str">
        <f t="shared" si="177"/>
        <v>5201083</v>
      </c>
      <c r="CZ269" s="9" t="str">
        <f t="shared" si="178"/>
        <v>5302084</v>
      </c>
      <c r="DA269" s="9" t="str">
        <f t="shared" si="179"/>
        <v>5501084</v>
      </c>
      <c r="DB269" s="9" t="str">
        <f t="shared" si="180"/>
        <v>5400085</v>
      </c>
      <c r="DC269" s="9" t="str">
        <f t="shared" si="181"/>
        <v>5500082</v>
      </c>
      <c r="DD269" s="9">
        <v>8</v>
      </c>
      <c r="DE269" s="9">
        <v>8</v>
      </c>
      <c r="DF269" s="9">
        <v>8</v>
      </c>
      <c r="DG269" s="9">
        <v>8</v>
      </c>
      <c r="DH269" s="9">
        <v>8</v>
      </c>
      <c r="DI269" s="9">
        <v>8</v>
      </c>
      <c r="DJ269" s="9">
        <v>5</v>
      </c>
      <c r="DK269" s="9">
        <v>5</v>
      </c>
      <c r="DL269" s="9">
        <v>5</v>
      </c>
      <c r="DM269" s="9">
        <v>5</v>
      </c>
      <c r="DN269" s="9">
        <v>5</v>
      </c>
      <c r="DO269" s="9">
        <v>5</v>
      </c>
      <c r="DP269" s="25" t="s">
        <v>208</v>
      </c>
      <c r="DQ269" s="25" t="s">
        <v>205</v>
      </c>
      <c r="DR269" s="25" t="s">
        <v>218</v>
      </c>
      <c r="DS269" s="25" t="s">
        <v>214</v>
      </c>
      <c r="DT269" s="25" t="s">
        <v>210</v>
      </c>
      <c r="DU269" s="25" t="s">
        <v>109</v>
      </c>
      <c r="DV269" s="25">
        <f t="shared" si="182"/>
        <v>1</v>
      </c>
      <c r="DW269" s="25">
        <f t="shared" si="183"/>
        <v>1</v>
      </c>
      <c r="DX269" s="25">
        <f t="shared" si="184"/>
        <v>1</v>
      </c>
      <c r="DY269" s="25">
        <f t="shared" si="185"/>
        <v>2</v>
      </c>
      <c r="DZ269" s="25">
        <f t="shared" si="186"/>
        <v>2</v>
      </c>
      <c r="EA269" s="3">
        <f t="shared" si="187"/>
        <v>2</v>
      </c>
      <c r="EB269" s="41"/>
      <c r="EC269" s="9">
        <v>5201094</v>
      </c>
      <c r="ED269" s="34" t="s">
        <v>217</v>
      </c>
      <c r="EE269" s="8">
        <v>1</v>
      </c>
    </row>
    <row r="270" spans="1:135" ht="13.5" customHeight="1">
      <c r="A270" s="9">
        <v>267</v>
      </c>
      <c r="B270" s="9">
        <v>1</v>
      </c>
      <c r="C270" s="9">
        <v>2001</v>
      </c>
      <c r="D270" s="9">
        <f t="shared" si="163"/>
        <v>2738149</v>
      </c>
      <c r="E270" s="9" t="str">
        <f t="shared" si="199"/>
        <v>5201083,5202085,5200081,5501084,5402082,5400085</v>
      </c>
      <c r="F270" s="9" t="str">
        <f t="shared" si="200"/>
        <v>8,8,8,8,8,8</v>
      </c>
      <c r="G270" s="9" t="str">
        <f t="shared" si="201"/>
        <v>564,610,610,610,610,610</v>
      </c>
      <c r="H270" s="9">
        <v>146</v>
      </c>
      <c r="I270" s="9" t="s">
        <v>278</v>
      </c>
      <c r="J270" s="9" t="s">
        <v>279</v>
      </c>
      <c r="K270" s="9" t="s">
        <v>279</v>
      </c>
      <c r="L270" s="9" t="s">
        <v>279</v>
      </c>
      <c r="M270" s="36" t="s">
        <v>297</v>
      </c>
      <c r="N270" s="40"/>
      <c r="O270" s="3">
        <f t="shared" si="167"/>
        <v>2738149</v>
      </c>
      <c r="P270" s="9">
        <v>2164544.89</v>
      </c>
      <c r="Q270" s="9">
        <v>5201083</v>
      </c>
      <c r="R270" s="9">
        <v>5202085</v>
      </c>
      <c r="S270" s="9">
        <v>5200081</v>
      </c>
      <c r="T270" s="9">
        <v>5501084</v>
      </c>
      <c r="U270" s="9">
        <v>5402082</v>
      </c>
      <c r="V270" s="9">
        <v>5400085</v>
      </c>
      <c r="W270" s="9">
        <v>8</v>
      </c>
      <c r="X270" s="9">
        <v>8</v>
      </c>
      <c r="Y270" s="9">
        <v>8</v>
      </c>
      <c r="Z270" s="9">
        <v>8</v>
      </c>
      <c r="AA270" s="9">
        <v>8</v>
      </c>
      <c r="AB270" s="9">
        <v>8</v>
      </c>
      <c r="AC270" s="9">
        <f t="shared" si="188"/>
        <v>564</v>
      </c>
      <c r="AD270" s="9">
        <f t="shared" si="189"/>
        <v>610</v>
      </c>
      <c r="AE270" s="9">
        <f t="shared" si="190"/>
        <v>610</v>
      </c>
      <c r="AF270" s="9">
        <f t="shared" si="191"/>
        <v>610</v>
      </c>
      <c r="AG270" s="9">
        <f t="shared" si="192"/>
        <v>610</v>
      </c>
      <c r="AH270" s="9">
        <f t="shared" si="193"/>
        <v>610</v>
      </c>
      <c r="AI270" s="7">
        <f t="shared" si="166"/>
        <v>360757.48166666669</v>
      </c>
      <c r="AJ270" s="7">
        <f t="shared" si="168"/>
        <v>360757.48166666669</v>
      </c>
      <c r="AK270" s="7">
        <f t="shared" si="168"/>
        <v>360757.48166666669</v>
      </c>
      <c r="AL270" s="7">
        <f t="shared" si="168"/>
        <v>360757.48166666669</v>
      </c>
      <c r="AM270" s="7">
        <f t="shared" si="168"/>
        <v>360757.48166666669</v>
      </c>
      <c r="AN270" s="7">
        <f t="shared" si="168"/>
        <v>360757.48166666669</v>
      </c>
      <c r="AO270" s="16"/>
      <c r="AP270" s="7"/>
      <c r="AQ270" s="9">
        <v>6</v>
      </c>
      <c r="AR270" s="9">
        <f t="shared" si="194"/>
        <v>646</v>
      </c>
      <c r="AS270" s="7">
        <f t="shared" si="164"/>
        <v>233</v>
      </c>
      <c r="AT270" s="7"/>
      <c r="AU270" s="16"/>
      <c r="AV270" s="7"/>
      <c r="AW270" s="7"/>
      <c r="AX270" s="7"/>
      <c r="AZ270" s="7"/>
      <c r="BA270" s="9">
        <f t="shared" si="169"/>
        <v>307042.11999999976</v>
      </c>
      <c r="BC270" s="5">
        <f t="shared" si="195"/>
        <v>527</v>
      </c>
      <c r="BR270" s="5">
        <v>5202082</v>
      </c>
      <c r="BS270" s="18">
        <f>[1]monsters!$N270</f>
        <v>161.28</v>
      </c>
      <c r="BT270" s="18">
        <f>[1]monsters!$O270</f>
        <v>16.13</v>
      </c>
      <c r="BU270" s="18">
        <f>[1]monsters!$P270</f>
        <v>2560</v>
      </c>
      <c r="BV270" s="18">
        <f>[1]monsters!$Q270</f>
        <v>256</v>
      </c>
      <c r="BW270" s="18">
        <f>[1]monsters!$R270</f>
        <v>32.26</v>
      </c>
      <c r="BX270" s="18">
        <f>[1]monsters!$S270</f>
        <v>3.23</v>
      </c>
      <c r="BY270" s="18">
        <f>[1]monsters!$K270</f>
        <v>1.4</v>
      </c>
      <c r="BZ270" s="5">
        <f>[1]monsters!$D270</f>
        <v>3</v>
      </c>
      <c r="CA270" s="5">
        <f t="shared" si="196"/>
        <v>0.1</v>
      </c>
      <c r="CB270" s="5">
        <f t="shared" si="197"/>
        <v>238.60488619528621</v>
      </c>
      <c r="CC270" s="5">
        <f t="shared" si="198"/>
        <v>23.860488619528624</v>
      </c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>
        <v>0</v>
      </c>
      <c r="CR270" s="3" t="b">
        <f t="shared" si="170"/>
        <v>1</v>
      </c>
      <c r="CS270" s="3" t="b">
        <f t="shared" si="171"/>
        <v>1</v>
      </c>
      <c r="CT270" s="3" t="b">
        <f t="shared" si="172"/>
        <v>1</v>
      </c>
      <c r="CU270" s="3" t="b">
        <f t="shared" si="173"/>
        <v>1</v>
      </c>
      <c r="CV270" s="3" t="b">
        <f t="shared" si="174"/>
        <v>1</v>
      </c>
      <c r="CW270" s="3" t="b">
        <f t="shared" si="175"/>
        <v>1</v>
      </c>
      <c r="CX270" s="9" t="str">
        <f t="shared" si="176"/>
        <v>5201083</v>
      </c>
      <c r="CY270" s="9" t="str">
        <f t="shared" si="177"/>
        <v>5202085</v>
      </c>
      <c r="CZ270" s="9" t="str">
        <f t="shared" si="178"/>
        <v>5200081</v>
      </c>
      <c r="DA270" s="9" t="str">
        <f t="shared" si="179"/>
        <v>5501084</v>
      </c>
      <c r="DB270" s="9" t="str">
        <f t="shared" si="180"/>
        <v>5402082</v>
      </c>
      <c r="DC270" s="9" t="str">
        <f t="shared" si="181"/>
        <v>5400085</v>
      </c>
      <c r="DD270" s="9">
        <v>8</v>
      </c>
      <c r="DE270" s="9">
        <v>8</v>
      </c>
      <c r="DF270" s="9">
        <v>8</v>
      </c>
      <c r="DG270" s="9">
        <v>8</v>
      </c>
      <c r="DH270" s="9">
        <v>8</v>
      </c>
      <c r="DI270" s="9">
        <v>8</v>
      </c>
      <c r="DJ270" s="9">
        <v>5</v>
      </c>
      <c r="DK270" s="9">
        <v>5</v>
      </c>
      <c r="DL270" s="9">
        <v>5</v>
      </c>
      <c r="DM270" s="9">
        <v>5</v>
      </c>
      <c r="DN270" s="9">
        <v>5</v>
      </c>
      <c r="DO270" s="9">
        <v>5</v>
      </c>
      <c r="DP270" s="25" t="s">
        <v>205</v>
      </c>
      <c r="DQ270" s="25" t="s">
        <v>213</v>
      </c>
      <c r="DR270" s="25" t="s">
        <v>194</v>
      </c>
      <c r="DS270" s="25" t="s">
        <v>214</v>
      </c>
      <c r="DT270" s="25" t="s">
        <v>203</v>
      </c>
      <c r="DU270" s="25" t="s">
        <v>210</v>
      </c>
      <c r="DV270" s="25">
        <f t="shared" si="182"/>
        <v>1</v>
      </c>
      <c r="DW270" s="25">
        <f t="shared" si="183"/>
        <v>1</v>
      </c>
      <c r="DX270" s="25">
        <f t="shared" si="184"/>
        <v>1</v>
      </c>
      <c r="DY270" s="25">
        <f t="shared" si="185"/>
        <v>2</v>
      </c>
      <c r="DZ270" s="25">
        <f t="shared" si="186"/>
        <v>2</v>
      </c>
      <c r="EA270" s="3">
        <f t="shared" si="187"/>
        <v>2</v>
      </c>
      <c r="EB270" s="42"/>
      <c r="EC270" s="9">
        <v>5302094</v>
      </c>
      <c r="ED270" s="34" t="s">
        <v>218</v>
      </c>
      <c r="EE270" s="8">
        <v>1</v>
      </c>
    </row>
    <row r="271" spans="1:135" ht="13.5" customHeight="1">
      <c r="A271" s="9">
        <v>268</v>
      </c>
      <c r="B271" s="9">
        <v>1</v>
      </c>
      <c r="C271" s="9">
        <v>2001</v>
      </c>
      <c r="D271" s="9">
        <f t="shared" si="163"/>
        <v>2751106</v>
      </c>
      <c r="E271" s="9" t="str">
        <f t="shared" si="199"/>
        <v>5300085,5202085,5202083,5401083,5501085,5400085</v>
      </c>
      <c r="F271" s="9" t="str">
        <f t="shared" si="200"/>
        <v>8,8,8,8,8,8</v>
      </c>
      <c r="G271" s="9" t="str">
        <f t="shared" si="201"/>
        <v>565,612,612,612,612,612</v>
      </c>
      <c r="H271" s="9">
        <v>147</v>
      </c>
      <c r="I271" s="9" t="s">
        <v>278</v>
      </c>
      <c r="J271" s="9" t="s">
        <v>279</v>
      </c>
      <c r="K271" s="9" t="s">
        <v>279</v>
      </c>
      <c r="L271" s="9" t="s">
        <v>279</v>
      </c>
      <c r="M271" s="36" t="s">
        <v>297</v>
      </c>
      <c r="N271" s="40"/>
      <c r="O271" s="3">
        <f t="shared" si="167"/>
        <v>2751106</v>
      </c>
      <c r="P271" s="9">
        <v>2174787.42</v>
      </c>
      <c r="Q271" s="9">
        <v>5300085</v>
      </c>
      <c r="R271" s="9">
        <v>5202085</v>
      </c>
      <c r="S271" s="9">
        <v>5202083</v>
      </c>
      <c r="T271" s="9">
        <v>5401083</v>
      </c>
      <c r="U271" s="9">
        <v>5501085</v>
      </c>
      <c r="V271" s="9">
        <v>5400085</v>
      </c>
      <c r="W271" s="9">
        <v>8</v>
      </c>
      <c r="X271" s="9">
        <v>8</v>
      </c>
      <c r="Y271" s="9">
        <v>8</v>
      </c>
      <c r="Z271" s="9">
        <v>8</v>
      </c>
      <c r="AA271" s="9">
        <v>8</v>
      </c>
      <c r="AB271" s="9">
        <v>8</v>
      </c>
      <c r="AC271" s="9">
        <f t="shared" si="188"/>
        <v>565</v>
      </c>
      <c r="AD271" s="9">
        <f t="shared" si="189"/>
        <v>612</v>
      </c>
      <c r="AE271" s="9">
        <f t="shared" si="190"/>
        <v>612</v>
      </c>
      <c r="AF271" s="9">
        <f t="shared" si="191"/>
        <v>612</v>
      </c>
      <c r="AG271" s="9">
        <f t="shared" si="192"/>
        <v>612</v>
      </c>
      <c r="AH271" s="9">
        <f t="shared" si="193"/>
        <v>612</v>
      </c>
      <c r="AI271" s="7">
        <f t="shared" si="166"/>
        <v>362464.57</v>
      </c>
      <c r="AJ271" s="7">
        <f t="shared" si="168"/>
        <v>362464.57</v>
      </c>
      <c r="AK271" s="7">
        <f t="shared" si="168"/>
        <v>362464.57</v>
      </c>
      <c r="AL271" s="7">
        <f t="shared" si="168"/>
        <v>362464.57</v>
      </c>
      <c r="AM271" s="7">
        <f t="shared" si="168"/>
        <v>362464.57</v>
      </c>
      <c r="AN271" s="7">
        <f t="shared" si="168"/>
        <v>362464.57</v>
      </c>
      <c r="AO271" s="16"/>
      <c r="AP271" s="7"/>
      <c r="AQ271" s="9">
        <v>6</v>
      </c>
      <c r="AR271" s="9">
        <f t="shared" si="194"/>
        <v>648</v>
      </c>
      <c r="AS271" s="7">
        <f t="shared" si="164"/>
        <v>234</v>
      </c>
      <c r="AT271" s="7"/>
      <c r="AU271" s="16"/>
      <c r="AV271" s="7"/>
      <c r="AW271" s="7"/>
      <c r="AX271" s="7"/>
      <c r="AZ271" s="7"/>
      <c r="BA271" s="9">
        <f t="shared" si="169"/>
        <v>309432.47999999975</v>
      </c>
      <c r="BC271" s="5">
        <f t="shared" si="195"/>
        <v>528</v>
      </c>
      <c r="BR271" s="5">
        <v>5302082</v>
      </c>
      <c r="BS271" s="18">
        <f>[1]monsters!$N271</f>
        <v>286.72000000000003</v>
      </c>
      <c r="BT271" s="18">
        <f>[1]monsters!$O271</f>
        <v>28.67</v>
      </c>
      <c r="BU271" s="18">
        <f>[1]monsters!$P271</f>
        <v>1645.71</v>
      </c>
      <c r="BV271" s="18">
        <f>[1]monsters!$Q271</f>
        <v>164.57</v>
      </c>
      <c r="BW271" s="18">
        <f>[1]monsters!$R271</f>
        <v>35.840000000000003</v>
      </c>
      <c r="BX271" s="18">
        <f>[1]monsters!$S271</f>
        <v>3.58</v>
      </c>
      <c r="BY271" s="18">
        <f>[1]monsters!$K271</f>
        <v>1.6</v>
      </c>
      <c r="BZ271" s="5">
        <f>[1]monsters!$D271</f>
        <v>5</v>
      </c>
      <c r="CA271" s="5">
        <f t="shared" si="196"/>
        <v>0.1</v>
      </c>
      <c r="CB271" s="5">
        <f t="shared" si="197"/>
        <v>326.36151111111116</v>
      </c>
      <c r="CC271" s="5">
        <f t="shared" si="198"/>
        <v>32.636151111111118</v>
      </c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>
        <v>0</v>
      </c>
      <c r="CR271" s="3" t="b">
        <f t="shared" si="170"/>
        <v>1</v>
      </c>
      <c r="CS271" s="3" t="b">
        <f t="shared" si="171"/>
        <v>1</v>
      </c>
      <c r="CT271" s="3" t="b">
        <f t="shared" si="172"/>
        <v>1</v>
      </c>
      <c r="CU271" s="3" t="b">
        <f t="shared" si="173"/>
        <v>1</v>
      </c>
      <c r="CV271" s="3" t="b">
        <f t="shared" si="174"/>
        <v>1</v>
      </c>
      <c r="CW271" s="3" t="b">
        <f t="shared" si="175"/>
        <v>1</v>
      </c>
      <c r="CX271" s="9" t="str">
        <f t="shared" si="176"/>
        <v>5300085</v>
      </c>
      <c r="CY271" s="9" t="str">
        <f t="shared" si="177"/>
        <v>5202085</v>
      </c>
      <c r="CZ271" s="9" t="str">
        <f t="shared" si="178"/>
        <v>5202083</v>
      </c>
      <c r="DA271" s="9" t="str">
        <f t="shared" si="179"/>
        <v>5401083</v>
      </c>
      <c r="DB271" s="9" t="str">
        <f t="shared" si="180"/>
        <v>5501085</v>
      </c>
      <c r="DC271" s="9" t="str">
        <f t="shared" si="181"/>
        <v>5400085</v>
      </c>
      <c r="DD271" s="9">
        <v>8</v>
      </c>
      <c r="DE271" s="9">
        <v>8</v>
      </c>
      <c r="DF271" s="9">
        <v>8</v>
      </c>
      <c r="DG271" s="9">
        <v>8</v>
      </c>
      <c r="DH271" s="9">
        <v>8</v>
      </c>
      <c r="DI271" s="9">
        <v>8</v>
      </c>
      <c r="DJ271" s="9">
        <v>5</v>
      </c>
      <c r="DK271" s="9">
        <v>5</v>
      </c>
      <c r="DL271" s="9">
        <v>5</v>
      </c>
      <c r="DM271" s="9">
        <v>5</v>
      </c>
      <c r="DN271" s="9">
        <v>5</v>
      </c>
      <c r="DO271" s="9">
        <v>5</v>
      </c>
      <c r="DP271" s="25" t="s">
        <v>212</v>
      </c>
      <c r="DQ271" s="25" t="s">
        <v>213</v>
      </c>
      <c r="DR271" s="25" t="s">
        <v>208</v>
      </c>
      <c r="DS271" s="25" t="s">
        <v>211</v>
      </c>
      <c r="DT271" s="25" t="s">
        <v>209</v>
      </c>
      <c r="DU271" s="25" t="s">
        <v>210</v>
      </c>
      <c r="DV271" s="25">
        <f t="shared" si="182"/>
        <v>1</v>
      </c>
      <c r="DW271" s="25">
        <f t="shared" si="183"/>
        <v>1</v>
      </c>
      <c r="DX271" s="25">
        <f t="shared" si="184"/>
        <v>1</v>
      </c>
      <c r="DY271" s="25">
        <f t="shared" si="185"/>
        <v>2</v>
      </c>
      <c r="DZ271" s="25">
        <f t="shared" si="186"/>
        <v>2</v>
      </c>
      <c r="EA271" s="3">
        <f t="shared" si="187"/>
        <v>2</v>
      </c>
      <c r="EB271" s="42"/>
      <c r="EC271" s="9">
        <v>5501094</v>
      </c>
      <c r="ED271" s="34" t="s">
        <v>214</v>
      </c>
      <c r="EE271" s="8">
        <v>2</v>
      </c>
    </row>
    <row r="272" spans="1:135" ht="13.5" customHeight="1">
      <c r="A272" s="9">
        <v>269</v>
      </c>
      <c r="B272" s="9">
        <v>1</v>
      </c>
      <c r="C272" s="9">
        <v>2001</v>
      </c>
      <c r="D272" s="9">
        <f t="shared" si="163"/>
        <v>2764096</v>
      </c>
      <c r="E272" s="9" t="str">
        <f t="shared" si="199"/>
        <v>5202082,5202082,5301082,5502082,5500081,5502081</v>
      </c>
      <c r="F272" s="9" t="str">
        <f t="shared" si="200"/>
        <v>8,8,8,8,8,8</v>
      </c>
      <c r="G272" s="9" t="str">
        <f t="shared" si="201"/>
        <v>567,613,613,613,613,613</v>
      </c>
      <c r="H272" s="9">
        <v>147</v>
      </c>
      <c r="I272" s="9" t="s">
        <v>278</v>
      </c>
      <c r="J272" s="9" t="s">
        <v>279</v>
      </c>
      <c r="K272" s="9" t="s">
        <v>279</v>
      </c>
      <c r="L272" s="9" t="s">
        <v>279</v>
      </c>
      <c r="M272" s="36" t="s">
        <v>297</v>
      </c>
      <c r="N272" s="40"/>
      <c r="O272" s="3">
        <f t="shared" si="167"/>
        <v>2764096</v>
      </c>
      <c r="P272" s="9">
        <v>2185055.8199999998</v>
      </c>
      <c r="Q272" s="9">
        <v>5202082</v>
      </c>
      <c r="R272" s="9">
        <v>5202082</v>
      </c>
      <c r="S272" s="9">
        <v>5301082</v>
      </c>
      <c r="T272" s="9">
        <v>5502082</v>
      </c>
      <c r="U272" s="9">
        <v>5500081</v>
      </c>
      <c r="V272" s="9">
        <v>5502081</v>
      </c>
      <c r="W272" s="9">
        <v>8</v>
      </c>
      <c r="X272" s="9">
        <v>8</v>
      </c>
      <c r="Y272" s="9">
        <v>8</v>
      </c>
      <c r="Z272" s="9">
        <v>8</v>
      </c>
      <c r="AA272" s="9">
        <v>8</v>
      </c>
      <c r="AB272" s="9">
        <v>8</v>
      </c>
      <c r="AC272" s="9">
        <f t="shared" si="188"/>
        <v>567</v>
      </c>
      <c r="AD272" s="9">
        <f t="shared" si="189"/>
        <v>613</v>
      </c>
      <c r="AE272" s="9">
        <f t="shared" si="190"/>
        <v>613</v>
      </c>
      <c r="AF272" s="9">
        <f t="shared" si="191"/>
        <v>613</v>
      </c>
      <c r="AG272" s="9">
        <f t="shared" si="192"/>
        <v>613</v>
      </c>
      <c r="AH272" s="9">
        <f t="shared" si="193"/>
        <v>613</v>
      </c>
      <c r="AI272" s="7">
        <f t="shared" si="166"/>
        <v>364175.97</v>
      </c>
      <c r="AJ272" s="7">
        <f t="shared" si="168"/>
        <v>364175.97</v>
      </c>
      <c r="AK272" s="7">
        <f t="shared" si="168"/>
        <v>364175.97</v>
      </c>
      <c r="AL272" s="7">
        <f t="shared" si="168"/>
        <v>364175.97</v>
      </c>
      <c r="AM272" s="7">
        <f t="shared" si="168"/>
        <v>364175.97</v>
      </c>
      <c r="AN272" s="7">
        <f t="shared" si="168"/>
        <v>364175.97</v>
      </c>
      <c r="AO272" s="16"/>
      <c r="AP272" s="7"/>
      <c r="AQ272" s="9">
        <v>6</v>
      </c>
      <c r="AR272" s="9">
        <f t="shared" si="194"/>
        <v>649</v>
      </c>
      <c r="AS272" s="7">
        <f t="shared" si="164"/>
        <v>234</v>
      </c>
      <c r="AT272" s="7"/>
      <c r="AU272" s="16"/>
      <c r="AV272" s="7"/>
      <c r="AW272" s="7"/>
      <c r="AX272" s="7"/>
      <c r="AZ272" s="7"/>
      <c r="BA272" s="9">
        <f t="shared" si="169"/>
        <v>311822.83999999973</v>
      </c>
      <c r="BC272" s="5">
        <f t="shared" si="195"/>
        <v>529</v>
      </c>
      <c r="BR272" s="5">
        <v>5300082</v>
      </c>
      <c r="BS272" s="18">
        <f>[1]monsters!$N272</f>
        <v>277.76</v>
      </c>
      <c r="BT272" s="18">
        <f>[1]monsters!$O272</f>
        <v>27.78</v>
      </c>
      <c r="BU272" s="18">
        <f>[1]monsters!$P272</f>
        <v>1486.45</v>
      </c>
      <c r="BV272" s="18">
        <f>[1]monsters!$Q272</f>
        <v>148.65</v>
      </c>
      <c r="BW272" s="18">
        <f>[1]monsters!$R272</f>
        <v>27.78</v>
      </c>
      <c r="BX272" s="18">
        <f>[1]monsters!$S272</f>
        <v>2.78</v>
      </c>
      <c r="BY272" s="18">
        <f>[1]monsters!$K272</f>
        <v>1.4</v>
      </c>
      <c r="BZ272" s="5">
        <f>[1]monsters!$D272</f>
        <v>6</v>
      </c>
      <c r="CA272" s="5">
        <f t="shared" si="196"/>
        <v>0.1</v>
      </c>
      <c r="CB272" s="5">
        <f t="shared" si="197"/>
        <v>312.53202154882155</v>
      </c>
      <c r="CC272" s="5">
        <f t="shared" si="198"/>
        <v>31.253202154882157</v>
      </c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>
        <v>0</v>
      </c>
      <c r="CR272" s="3" t="b">
        <f t="shared" si="170"/>
        <v>1</v>
      </c>
      <c r="CS272" s="3" t="b">
        <f t="shared" si="171"/>
        <v>1</v>
      </c>
      <c r="CT272" s="3" t="b">
        <f t="shared" si="172"/>
        <v>1</v>
      </c>
      <c r="CU272" s="3" t="b">
        <f t="shared" si="173"/>
        <v>1</v>
      </c>
      <c r="CV272" s="3" t="b">
        <f t="shared" si="174"/>
        <v>1</v>
      </c>
      <c r="CW272" s="3" t="b">
        <f t="shared" si="175"/>
        <v>1</v>
      </c>
      <c r="CX272" s="9" t="str">
        <f t="shared" si="176"/>
        <v>5202082</v>
      </c>
      <c r="CY272" s="9" t="str">
        <f t="shared" si="177"/>
        <v>5202082</v>
      </c>
      <c r="CZ272" s="9" t="str">
        <f t="shared" si="178"/>
        <v>5301082</v>
      </c>
      <c r="DA272" s="9" t="str">
        <f t="shared" si="179"/>
        <v>5502082</v>
      </c>
      <c r="DB272" s="9" t="str">
        <f t="shared" si="180"/>
        <v>5500081</v>
      </c>
      <c r="DC272" s="9" t="str">
        <f t="shared" si="181"/>
        <v>5502081</v>
      </c>
      <c r="DD272" s="9">
        <v>8</v>
      </c>
      <c r="DE272" s="9">
        <v>8</v>
      </c>
      <c r="DF272" s="9">
        <v>8</v>
      </c>
      <c r="DG272" s="9">
        <v>8</v>
      </c>
      <c r="DH272" s="9">
        <v>8</v>
      </c>
      <c r="DI272" s="9">
        <v>8</v>
      </c>
      <c r="DJ272" s="9">
        <v>5</v>
      </c>
      <c r="DK272" s="9">
        <v>5</v>
      </c>
      <c r="DL272" s="9">
        <v>5</v>
      </c>
      <c r="DM272" s="9">
        <v>5</v>
      </c>
      <c r="DN272" s="9">
        <v>5</v>
      </c>
      <c r="DO272" s="9">
        <v>5</v>
      </c>
      <c r="DP272" s="25" t="s">
        <v>200</v>
      </c>
      <c r="DQ272" s="25" t="s">
        <v>200</v>
      </c>
      <c r="DR272" s="25" t="s">
        <v>201</v>
      </c>
      <c r="DS272" s="25" t="s">
        <v>204</v>
      </c>
      <c r="DT272" s="25" t="s">
        <v>197</v>
      </c>
      <c r="DU272" s="25" t="s">
        <v>119</v>
      </c>
      <c r="DV272" s="25">
        <f t="shared" si="182"/>
        <v>1</v>
      </c>
      <c r="DW272" s="25">
        <f t="shared" si="183"/>
        <v>1</v>
      </c>
      <c r="DX272" s="25">
        <f t="shared" si="184"/>
        <v>1</v>
      </c>
      <c r="DY272" s="25">
        <f t="shared" si="185"/>
        <v>2</v>
      </c>
      <c r="DZ272" s="25">
        <f t="shared" si="186"/>
        <v>2</v>
      </c>
      <c r="EA272" s="3">
        <f t="shared" si="187"/>
        <v>2</v>
      </c>
      <c r="EB272" s="42"/>
      <c r="EC272" s="9">
        <v>5600094</v>
      </c>
      <c r="ED272" s="34" t="s">
        <v>219</v>
      </c>
      <c r="EE272" s="8">
        <v>1</v>
      </c>
    </row>
    <row r="273" spans="1:135" ht="13.5" customHeight="1">
      <c r="A273" s="9">
        <v>270</v>
      </c>
      <c r="B273" s="9">
        <v>1</v>
      </c>
      <c r="C273" s="9">
        <v>2001</v>
      </c>
      <c r="D273" s="9">
        <f t="shared" ref="D273:D336" si="202">O273</f>
        <v>2777115</v>
      </c>
      <c r="E273" s="9" t="str">
        <f t="shared" si="199"/>
        <v>5202083,5201083,5302084,5400085,5601081,5400085</v>
      </c>
      <c r="F273" s="9" t="str">
        <f t="shared" si="200"/>
        <v>8,8,8,8,8,8</v>
      </c>
      <c r="G273" s="9" t="str">
        <f t="shared" si="201"/>
        <v>568,614,614,614,614,614</v>
      </c>
      <c r="H273" s="9">
        <v>148</v>
      </c>
      <c r="I273" s="9" t="s">
        <v>278</v>
      </c>
      <c r="J273" s="9" t="s">
        <v>279</v>
      </c>
      <c r="K273" s="9" t="s">
        <v>279</v>
      </c>
      <c r="L273" s="9" t="s">
        <v>279</v>
      </c>
      <c r="M273" s="36" t="s">
        <v>297</v>
      </c>
      <c r="O273" s="3">
        <f t="shared" si="167"/>
        <v>2777115</v>
      </c>
      <c r="P273" s="9">
        <v>2195348.1</v>
      </c>
      <c r="Q273" s="9">
        <v>5202083</v>
      </c>
      <c r="R273" s="9">
        <v>5201083</v>
      </c>
      <c r="S273" s="9">
        <v>5302084</v>
      </c>
      <c r="T273" s="9">
        <v>5400085</v>
      </c>
      <c r="U273" s="9">
        <v>5601081</v>
      </c>
      <c r="V273" s="9">
        <v>5400085</v>
      </c>
      <c r="W273" s="9">
        <v>8</v>
      </c>
      <c r="X273" s="9">
        <v>8</v>
      </c>
      <c r="Y273" s="9">
        <v>8</v>
      </c>
      <c r="Z273" s="9">
        <v>8</v>
      </c>
      <c r="AA273" s="9">
        <v>8</v>
      </c>
      <c r="AB273" s="9">
        <v>8</v>
      </c>
      <c r="AC273" s="9">
        <f t="shared" si="188"/>
        <v>568</v>
      </c>
      <c r="AD273" s="9">
        <f t="shared" si="189"/>
        <v>614</v>
      </c>
      <c r="AE273" s="9">
        <f t="shared" si="190"/>
        <v>614</v>
      </c>
      <c r="AF273" s="9">
        <f t="shared" si="191"/>
        <v>614</v>
      </c>
      <c r="AG273" s="9">
        <f t="shared" si="192"/>
        <v>614</v>
      </c>
      <c r="AH273" s="9">
        <f t="shared" si="193"/>
        <v>614</v>
      </c>
      <c r="AI273" s="7">
        <f t="shared" si="166"/>
        <v>365891.35000000003</v>
      </c>
      <c r="AJ273" s="7">
        <f t="shared" si="168"/>
        <v>365891.35000000003</v>
      </c>
      <c r="AK273" s="7">
        <f t="shared" si="168"/>
        <v>365891.35000000003</v>
      </c>
      <c r="AL273" s="7">
        <f t="shared" si="168"/>
        <v>365891.35000000003</v>
      </c>
      <c r="AM273" s="7">
        <f t="shared" si="168"/>
        <v>365891.35000000003</v>
      </c>
      <c r="AN273" s="7">
        <f t="shared" si="168"/>
        <v>365891.35000000003</v>
      </c>
      <c r="AO273" s="16"/>
      <c r="AP273" s="7"/>
      <c r="AQ273" s="9">
        <v>6</v>
      </c>
      <c r="AR273" s="9">
        <f t="shared" si="194"/>
        <v>651</v>
      </c>
      <c r="AS273" s="7">
        <f t="shared" si="164"/>
        <v>235</v>
      </c>
      <c r="AT273" s="7"/>
      <c r="AU273" s="16"/>
      <c r="AV273" s="7"/>
      <c r="AW273" s="7"/>
      <c r="AX273" s="7"/>
      <c r="AZ273" s="7"/>
      <c r="BA273" s="9">
        <f t="shared" si="169"/>
        <v>314213.19999999972</v>
      </c>
      <c r="BC273" s="5">
        <f t="shared" si="195"/>
        <v>531</v>
      </c>
      <c r="BR273" s="5">
        <v>5400082</v>
      </c>
      <c r="BS273" s="18">
        <f>[1]monsters!$N273</f>
        <v>357.12</v>
      </c>
      <c r="BT273" s="18">
        <f>[1]monsters!$O273</f>
        <v>35.71</v>
      </c>
      <c r="BU273" s="18">
        <f>[1]monsters!$P273</f>
        <v>1486.45</v>
      </c>
      <c r="BV273" s="18">
        <f>[1]monsters!$Q273</f>
        <v>148.65</v>
      </c>
      <c r="BW273" s="18">
        <f>[1]monsters!$R273</f>
        <v>35.71</v>
      </c>
      <c r="BX273" s="18">
        <f>[1]monsters!$S273</f>
        <v>3.57</v>
      </c>
      <c r="BY273" s="18">
        <f>[1]monsters!$K273</f>
        <v>1.8</v>
      </c>
      <c r="BZ273" s="5">
        <f>[1]monsters!$D273</f>
        <v>6</v>
      </c>
      <c r="CA273" s="5">
        <f t="shared" si="196"/>
        <v>0.1</v>
      </c>
      <c r="CB273" s="5">
        <f t="shared" si="197"/>
        <v>387.52722154882156</v>
      </c>
      <c r="CC273" s="5">
        <f t="shared" si="198"/>
        <v>38.752722154882157</v>
      </c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>
        <v>1</v>
      </c>
      <c r="CR273" s="3" t="b">
        <f t="shared" si="170"/>
        <v>1</v>
      </c>
      <c r="CS273" s="3" t="b">
        <f t="shared" si="171"/>
        <v>1</v>
      </c>
      <c r="CT273" s="3" t="b">
        <f t="shared" si="172"/>
        <v>1</v>
      </c>
      <c r="CU273" s="3" t="b">
        <f t="shared" si="173"/>
        <v>1</v>
      </c>
      <c r="CV273" s="3" t="b">
        <f t="shared" si="174"/>
        <v>1</v>
      </c>
      <c r="CW273" s="3" t="b">
        <f t="shared" si="175"/>
        <v>1</v>
      </c>
      <c r="CX273" s="9" t="str">
        <f t="shared" si="176"/>
        <v>5202083</v>
      </c>
      <c r="CY273" s="9" t="str">
        <f t="shared" si="177"/>
        <v>5201083</v>
      </c>
      <c r="CZ273" s="9" t="str">
        <f t="shared" si="178"/>
        <v>5302084</v>
      </c>
      <c r="DA273" s="9" t="str">
        <f t="shared" si="179"/>
        <v>5400085</v>
      </c>
      <c r="DB273" s="9" t="str">
        <f t="shared" si="180"/>
        <v>5601081</v>
      </c>
      <c r="DC273" s="9" t="str">
        <f t="shared" si="181"/>
        <v>5400085</v>
      </c>
      <c r="DD273" s="9">
        <v>8</v>
      </c>
      <c r="DE273" s="9">
        <v>8</v>
      </c>
      <c r="DF273" s="9">
        <v>8</v>
      </c>
      <c r="DG273" s="9">
        <v>8</v>
      </c>
      <c r="DH273" s="9">
        <v>8</v>
      </c>
      <c r="DI273" s="9">
        <v>8</v>
      </c>
      <c r="DJ273" s="9">
        <v>5</v>
      </c>
      <c r="DK273" s="9">
        <v>5</v>
      </c>
      <c r="DL273" s="9">
        <v>5</v>
      </c>
      <c r="DM273" s="9">
        <v>5</v>
      </c>
      <c r="DN273" s="9">
        <v>5</v>
      </c>
      <c r="DO273" s="9">
        <v>5</v>
      </c>
      <c r="DP273" s="25" t="s">
        <v>208</v>
      </c>
      <c r="DQ273" s="25" t="s">
        <v>205</v>
      </c>
      <c r="DR273" s="25" t="s">
        <v>218</v>
      </c>
      <c r="DS273" s="25" t="s">
        <v>210</v>
      </c>
      <c r="DT273" s="25" t="s">
        <v>198</v>
      </c>
      <c r="DU273" s="25" t="s">
        <v>210</v>
      </c>
      <c r="DV273" s="25">
        <f t="shared" si="182"/>
        <v>1</v>
      </c>
      <c r="DW273" s="25">
        <f t="shared" si="183"/>
        <v>1</v>
      </c>
      <c r="DX273" s="25">
        <f t="shared" si="184"/>
        <v>1</v>
      </c>
      <c r="DY273" s="25">
        <f t="shared" si="185"/>
        <v>2</v>
      </c>
      <c r="DZ273" s="25">
        <f t="shared" si="186"/>
        <v>2</v>
      </c>
      <c r="EA273" s="3">
        <f t="shared" si="187"/>
        <v>2</v>
      </c>
      <c r="EB273" s="42"/>
      <c r="EC273" s="9">
        <v>5602094</v>
      </c>
      <c r="ED273" s="34" t="s">
        <v>220</v>
      </c>
      <c r="EE273" s="8">
        <v>2</v>
      </c>
    </row>
    <row r="274" spans="1:135" ht="13.5" customHeight="1">
      <c r="A274" s="9">
        <v>271</v>
      </c>
      <c r="B274" s="9">
        <v>1</v>
      </c>
      <c r="C274" s="9">
        <v>2001</v>
      </c>
      <c r="D274" s="9">
        <f t="shared" si="202"/>
        <v>2791114</v>
      </c>
      <c r="E274" s="9" t="str">
        <f t="shared" si="199"/>
        <v>5200083,5202085,5301083,5401083,5501085,5400085</v>
      </c>
      <c r="F274" s="9" t="str">
        <f t="shared" si="200"/>
        <v>8,8,8,8,8,8</v>
      </c>
      <c r="G274" s="9" t="str">
        <f t="shared" si="201"/>
        <v>570,616,616,616,616,616</v>
      </c>
      <c r="H274" s="9">
        <v>148</v>
      </c>
      <c r="I274" s="9" t="s">
        <v>278</v>
      </c>
      <c r="J274" s="9" t="s">
        <v>279</v>
      </c>
      <c r="K274" s="9" t="s">
        <v>279</v>
      </c>
      <c r="L274" s="9" t="s">
        <v>279</v>
      </c>
      <c r="M274" s="36" t="s">
        <v>298</v>
      </c>
      <c r="N274" s="40"/>
      <c r="O274" s="3">
        <f t="shared" si="167"/>
        <v>2791114</v>
      </c>
      <c r="P274" s="9">
        <v>2206414.4900000002</v>
      </c>
      <c r="Q274" s="9">
        <v>5200083</v>
      </c>
      <c r="R274" s="9">
        <v>5202085</v>
      </c>
      <c r="S274" s="9">
        <v>5301083</v>
      </c>
      <c r="T274" s="9">
        <v>5401083</v>
      </c>
      <c r="U274" s="9">
        <v>5501085</v>
      </c>
      <c r="V274" s="9">
        <v>5400085</v>
      </c>
      <c r="W274" s="9">
        <v>8</v>
      </c>
      <c r="X274" s="9">
        <v>8</v>
      </c>
      <c r="Y274" s="9">
        <v>8</v>
      </c>
      <c r="Z274" s="9">
        <v>8</v>
      </c>
      <c r="AA274" s="9">
        <v>8</v>
      </c>
      <c r="AB274" s="9">
        <v>8</v>
      </c>
      <c r="AC274" s="9">
        <f t="shared" si="188"/>
        <v>570</v>
      </c>
      <c r="AD274" s="9">
        <f t="shared" si="189"/>
        <v>616</v>
      </c>
      <c r="AE274" s="9">
        <f t="shared" si="190"/>
        <v>616</v>
      </c>
      <c r="AF274" s="9">
        <f t="shared" si="191"/>
        <v>616</v>
      </c>
      <c r="AG274" s="9">
        <f t="shared" si="192"/>
        <v>616</v>
      </c>
      <c r="AH274" s="9">
        <f t="shared" si="193"/>
        <v>616</v>
      </c>
      <c r="AI274" s="7">
        <f t="shared" si="166"/>
        <v>367735.74833333335</v>
      </c>
      <c r="AJ274" s="7">
        <f t="shared" si="168"/>
        <v>367735.74833333335</v>
      </c>
      <c r="AK274" s="7">
        <f t="shared" si="168"/>
        <v>367735.74833333335</v>
      </c>
      <c r="AL274" s="7">
        <f t="shared" si="168"/>
        <v>367735.74833333335</v>
      </c>
      <c r="AM274" s="7">
        <f t="shared" si="168"/>
        <v>367735.74833333335</v>
      </c>
      <c r="AN274" s="7">
        <f t="shared" si="168"/>
        <v>367735.74833333335</v>
      </c>
      <c r="AO274" s="16"/>
      <c r="AP274" s="7"/>
      <c r="AQ274" s="9">
        <v>6</v>
      </c>
      <c r="AR274" s="9">
        <f t="shared" si="194"/>
        <v>653</v>
      </c>
      <c r="AS274" s="7">
        <f t="shared" si="164"/>
        <v>235</v>
      </c>
      <c r="AT274" s="7"/>
      <c r="AU274" s="16"/>
      <c r="AV274" s="7"/>
      <c r="AW274" s="7"/>
      <c r="AX274" s="7"/>
      <c r="AZ274" s="7"/>
      <c r="BA274" s="9">
        <f t="shared" si="169"/>
        <v>316603.55999999971</v>
      </c>
      <c r="BC274" s="5">
        <f t="shared" si="195"/>
        <v>532</v>
      </c>
      <c r="BR274" s="5">
        <v>5402082</v>
      </c>
      <c r="BS274" s="18">
        <f>[1]monsters!$N274</f>
        <v>207.36</v>
      </c>
      <c r="BT274" s="18">
        <f>[1]monsters!$O274</f>
        <v>20.74</v>
      </c>
      <c r="BU274" s="18">
        <f>[1]monsters!$P274</f>
        <v>2560</v>
      </c>
      <c r="BV274" s="18">
        <f>[1]monsters!$Q274</f>
        <v>256</v>
      </c>
      <c r="BW274" s="18">
        <f>[1]monsters!$R274</f>
        <v>41.47</v>
      </c>
      <c r="BX274" s="18">
        <f>[1]monsters!$S274</f>
        <v>4.1500000000000004</v>
      </c>
      <c r="BY274" s="18">
        <f>[1]monsters!$K274</f>
        <v>1.8</v>
      </c>
      <c r="BZ274" s="5">
        <f>[1]monsters!$D274</f>
        <v>2</v>
      </c>
      <c r="CA274" s="5">
        <f t="shared" si="196"/>
        <v>0.1</v>
      </c>
      <c r="CB274" s="5">
        <f t="shared" si="197"/>
        <v>282.15048619528625</v>
      </c>
      <c r="CC274" s="5">
        <f t="shared" si="198"/>
        <v>28.215048619528627</v>
      </c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>
        <v>0</v>
      </c>
      <c r="CR274" s="3" t="b">
        <f t="shared" si="170"/>
        <v>1</v>
      </c>
      <c r="CS274" s="3" t="b">
        <f t="shared" si="171"/>
        <v>1</v>
      </c>
      <c r="CT274" s="3" t="b">
        <f t="shared" si="172"/>
        <v>1</v>
      </c>
      <c r="CU274" s="3" t="b">
        <f t="shared" si="173"/>
        <v>1</v>
      </c>
      <c r="CV274" s="3" t="b">
        <f t="shared" si="174"/>
        <v>1</v>
      </c>
      <c r="CW274" s="3" t="b">
        <f t="shared" si="175"/>
        <v>1</v>
      </c>
      <c r="CX274" s="9" t="str">
        <f t="shared" si="176"/>
        <v>5200083</v>
      </c>
      <c r="CY274" s="9" t="str">
        <f t="shared" si="177"/>
        <v>5202085</v>
      </c>
      <c r="CZ274" s="9" t="str">
        <f t="shared" si="178"/>
        <v>5301083</v>
      </c>
      <c r="DA274" s="9" t="str">
        <f t="shared" si="179"/>
        <v>5401083</v>
      </c>
      <c r="DB274" s="9" t="str">
        <f t="shared" si="180"/>
        <v>5501085</v>
      </c>
      <c r="DC274" s="9" t="str">
        <f t="shared" si="181"/>
        <v>5400085</v>
      </c>
      <c r="DD274" s="9">
        <v>8</v>
      </c>
      <c r="DE274" s="9">
        <v>8</v>
      </c>
      <c r="DF274" s="9">
        <v>8</v>
      </c>
      <c r="DG274" s="9">
        <v>8</v>
      </c>
      <c r="DH274" s="9">
        <v>8</v>
      </c>
      <c r="DI274" s="9">
        <v>8</v>
      </c>
      <c r="DJ274" s="9">
        <v>5</v>
      </c>
      <c r="DK274" s="9">
        <v>5</v>
      </c>
      <c r="DL274" s="9">
        <v>5</v>
      </c>
      <c r="DM274" s="9">
        <v>5</v>
      </c>
      <c r="DN274" s="9">
        <v>5</v>
      </c>
      <c r="DO274" s="9">
        <v>5</v>
      </c>
      <c r="DP274" s="25" t="s">
        <v>113</v>
      </c>
      <c r="DQ274" s="25" t="s">
        <v>213</v>
      </c>
      <c r="DR274" s="25" t="s">
        <v>206</v>
      </c>
      <c r="DS274" s="25" t="s">
        <v>211</v>
      </c>
      <c r="DT274" s="25" t="s">
        <v>209</v>
      </c>
      <c r="DU274" s="25" t="s">
        <v>210</v>
      </c>
      <c r="DV274" s="25">
        <f t="shared" si="182"/>
        <v>1</v>
      </c>
      <c r="DW274" s="25">
        <f t="shared" si="183"/>
        <v>1</v>
      </c>
      <c r="DX274" s="25">
        <f t="shared" si="184"/>
        <v>1</v>
      </c>
      <c r="DY274" s="25">
        <f t="shared" si="185"/>
        <v>2</v>
      </c>
      <c r="DZ274" s="25">
        <f t="shared" si="186"/>
        <v>2</v>
      </c>
      <c r="EA274" s="3">
        <f t="shared" si="187"/>
        <v>2</v>
      </c>
      <c r="EB274" s="42"/>
      <c r="EC274" s="9">
        <v>5202095</v>
      </c>
      <c r="ED274" s="34" t="s">
        <v>213</v>
      </c>
      <c r="EE274" s="8">
        <v>1</v>
      </c>
    </row>
    <row r="275" spans="1:135" ht="13.5" customHeight="1">
      <c r="A275" s="9">
        <v>272</v>
      </c>
      <c r="B275" s="9">
        <v>1</v>
      </c>
      <c r="C275" s="9">
        <v>2001</v>
      </c>
      <c r="D275" s="9">
        <f t="shared" si="202"/>
        <v>2804197</v>
      </c>
      <c r="E275" s="9" t="str">
        <f t="shared" si="199"/>
        <v>5301081,5301082,5301083,5500081,5500082,5500083</v>
      </c>
      <c r="F275" s="9" t="str">
        <f t="shared" si="200"/>
        <v>8,8,8,8,8,8</v>
      </c>
      <c r="G275" s="9" t="str">
        <f t="shared" si="201"/>
        <v>571,618,618,618,618,618</v>
      </c>
      <c r="H275" s="9">
        <v>148</v>
      </c>
      <c r="I275" s="9" t="s">
        <v>278</v>
      </c>
      <c r="J275" s="9" t="s">
        <v>279</v>
      </c>
      <c r="K275" s="9" t="s">
        <v>279</v>
      </c>
      <c r="L275" s="9" t="s">
        <v>279</v>
      </c>
      <c r="M275" s="36" t="s">
        <v>298</v>
      </c>
      <c r="N275" s="40"/>
      <c r="O275" s="3">
        <f t="shared" si="167"/>
        <v>2804197</v>
      </c>
      <c r="P275" s="9">
        <v>2216756.52</v>
      </c>
      <c r="Q275" s="9">
        <v>5301081</v>
      </c>
      <c r="R275" s="9">
        <v>5301082</v>
      </c>
      <c r="S275" s="9">
        <v>5301083</v>
      </c>
      <c r="T275" s="9">
        <v>5500081</v>
      </c>
      <c r="U275" s="9">
        <v>5500082</v>
      </c>
      <c r="V275" s="9">
        <v>5500083</v>
      </c>
      <c r="W275" s="9">
        <v>8</v>
      </c>
      <c r="X275" s="9">
        <v>8</v>
      </c>
      <c r="Y275" s="9">
        <v>8</v>
      </c>
      <c r="Z275" s="9">
        <v>8</v>
      </c>
      <c r="AA275" s="9">
        <v>8</v>
      </c>
      <c r="AB275" s="9">
        <v>8</v>
      </c>
      <c r="AC275" s="9">
        <f t="shared" si="188"/>
        <v>571</v>
      </c>
      <c r="AD275" s="9">
        <f t="shared" si="189"/>
        <v>618</v>
      </c>
      <c r="AE275" s="9">
        <f t="shared" si="190"/>
        <v>618</v>
      </c>
      <c r="AF275" s="9">
        <f t="shared" si="191"/>
        <v>618</v>
      </c>
      <c r="AG275" s="9">
        <f t="shared" si="192"/>
        <v>618</v>
      </c>
      <c r="AH275" s="9">
        <f t="shared" si="193"/>
        <v>618</v>
      </c>
      <c r="AI275" s="7">
        <f t="shared" si="166"/>
        <v>369459.42</v>
      </c>
      <c r="AJ275" s="7">
        <f t="shared" si="168"/>
        <v>369459.42</v>
      </c>
      <c r="AK275" s="7">
        <f t="shared" si="168"/>
        <v>369459.42</v>
      </c>
      <c r="AL275" s="7">
        <f t="shared" si="168"/>
        <v>369459.42</v>
      </c>
      <c r="AM275" s="7">
        <f t="shared" si="168"/>
        <v>369459.42</v>
      </c>
      <c r="AN275" s="7">
        <f t="shared" si="168"/>
        <v>369459.42</v>
      </c>
      <c r="AO275" s="16"/>
      <c r="AP275" s="7"/>
      <c r="AQ275" s="9">
        <v>6</v>
      </c>
      <c r="AR275" s="9">
        <f t="shared" si="194"/>
        <v>654</v>
      </c>
      <c r="AS275" s="7">
        <f t="shared" si="164"/>
        <v>236</v>
      </c>
      <c r="AT275" s="7"/>
      <c r="AU275" s="16"/>
      <c r="AV275" s="7"/>
      <c r="AW275" s="7"/>
      <c r="AX275" s="7"/>
      <c r="AZ275" s="7"/>
      <c r="BA275" s="9">
        <f t="shared" si="169"/>
        <v>318993.91999999969</v>
      </c>
      <c r="BC275" s="5">
        <f t="shared" si="195"/>
        <v>533</v>
      </c>
      <c r="BR275" s="5">
        <v>5500082</v>
      </c>
      <c r="BS275" s="18">
        <f>[1]monsters!$N275</f>
        <v>149.76</v>
      </c>
      <c r="BT275" s="18">
        <f>[1]monsters!$O275</f>
        <v>14.98</v>
      </c>
      <c r="BU275" s="18">
        <f>[1]monsters!$P275</f>
        <v>2560</v>
      </c>
      <c r="BV275" s="18">
        <f>[1]monsters!$Q275</f>
        <v>256</v>
      </c>
      <c r="BW275" s="18">
        <f>[1]monsters!$R275</f>
        <v>29.95</v>
      </c>
      <c r="BX275" s="18">
        <f>[1]monsters!$S275</f>
        <v>3</v>
      </c>
      <c r="BY275" s="18">
        <f>[1]monsters!$K275</f>
        <v>1.3</v>
      </c>
      <c r="BZ275" s="5">
        <f>[1]monsters!$D275</f>
        <v>3</v>
      </c>
      <c r="CA275" s="5">
        <f t="shared" si="196"/>
        <v>0.1</v>
      </c>
      <c r="CB275" s="5">
        <f t="shared" si="197"/>
        <v>227.7184861952862</v>
      </c>
      <c r="CC275" s="5">
        <f t="shared" si="198"/>
        <v>22.771848619528622</v>
      </c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>
        <v>0</v>
      </c>
      <c r="CR275" s="3" t="b">
        <f t="shared" si="170"/>
        <v>1</v>
      </c>
      <c r="CS275" s="3" t="b">
        <f t="shared" si="171"/>
        <v>1</v>
      </c>
      <c r="CT275" s="3" t="b">
        <f t="shared" si="172"/>
        <v>1</v>
      </c>
      <c r="CU275" s="3" t="b">
        <f t="shared" si="173"/>
        <v>1</v>
      </c>
      <c r="CV275" s="3" t="b">
        <f t="shared" si="174"/>
        <v>1</v>
      </c>
      <c r="CW275" s="3" t="b">
        <f t="shared" si="175"/>
        <v>1</v>
      </c>
      <c r="CX275" s="9" t="str">
        <f t="shared" si="176"/>
        <v>5301081</v>
      </c>
      <c r="CY275" s="9" t="str">
        <f t="shared" si="177"/>
        <v>5301082</v>
      </c>
      <c r="CZ275" s="9" t="str">
        <f t="shared" si="178"/>
        <v>5301083</v>
      </c>
      <c r="DA275" s="9" t="str">
        <f t="shared" si="179"/>
        <v>5500081</v>
      </c>
      <c r="DB275" s="9" t="str">
        <f t="shared" si="180"/>
        <v>5500082</v>
      </c>
      <c r="DC275" s="9" t="str">
        <f t="shared" si="181"/>
        <v>5500083</v>
      </c>
      <c r="DD275" s="9">
        <v>8</v>
      </c>
      <c r="DE275" s="9">
        <v>8</v>
      </c>
      <c r="DF275" s="9">
        <v>8</v>
      </c>
      <c r="DG275" s="9">
        <v>8</v>
      </c>
      <c r="DH275" s="9">
        <v>8</v>
      </c>
      <c r="DI275" s="9">
        <v>8</v>
      </c>
      <c r="DJ275" s="9">
        <v>5</v>
      </c>
      <c r="DK275" s="9">
        <v>5</v>
      </c>
      <c r="DL275" s="9">
        <v>5</v>
      </c>
      <c r="DM275" s="9">
        <v>5</v>
      </c>
      <c r="DN275" s="9">
        <v>5</v>
      </c>
      <c r="DO275" s="9">
        <v>5</v>
      </c>
      <c r="DP275" s="3" t="s">
        <v>107</v>
      </c>
      <c r="DQ275" s="3" t="s">
        <v>201</v>
      </c>
      <c r="DR275" s="3" t="s">
        <v>206</v>
      </c>
      <c r="DS275" s="3" t="s">
        <v>197</v>
      </c>
      <c r="DT275" s="3" t="s">
        <v>109</v>
      </c>
      <c r="DU275" s="3" t="s">
        <v>207</v>
      </c>
      <c r="DV275" s="3">
        <f t="shared" si="182"/>
        <v>1</v>
      </c>
      <c r="DW275" s="3">
        <f t="shared" si="183"/>
        <v>1</v>
      </c>
      <c r="DX275" s="3">
        <f t="shared" si="184"/>
        <v>1</v>
      </c>
      <c r="DY275" s="3">
        <f t="shared" si="185"/>
        <v>2</v>
      </c>
      <c r="DZ275" s="3">
        <f t="shared" si="186"/>
        <v>2</v>
      </c>
      <c r="EA275" s="3">
        <f t="shared" si="187"/>
        <v>2</v>
      </c>
      <c r="EB275" s="42"/>
      <c r="EC275" s="9">
        <v>5300095</v>
      </c>
      <c r="ED275" s="34" t="s">
        <v>212</v>
      </c>
      <c r="EE275" s="8">
        <v>1</v>
      </c>
    </row>
    <row r="276" spans="1:135" ht="13.5" customHeight="1">
      <c r="A276" s="9">
        <v>273</v>
      </c>
      <c r="B276" s="9">
        <v>1</v>
      </c>
      <c r="C276" s="9">
        <v>2001</v>
      </c>
      <c r="D276" s="9">
        <f t="shared" si="202"/>
        <v>2817312</v>
      </c>
      <c r="E276" s="9" t="str">
        <f t="shared" si="199"/>
        <v>5200082,5200083,5200082,5501085,5501085,5402081</v>
      </c>
      <c r="F276" s="9" t="str">
        <f t="shared" si="200"/>
        <v>8,8,8,8,8,8</v>
      </c>
      <c r="G276" s="9" t="str">
        <f t="shared" si="201"/>
        <v>572,619,619,619,619,619</v>
      </c>
      <c r="H276" s="9">
        <v>149</v>
      </c>
      <c r="I276" s="9" t="s">
        <v>278</v>
      </c>
      <c r="J276" s="9" t="s">
        <v>279</v>
      </c>
      <c r="K276" s="9" t="s">
        <v>279</v>
      </c>
      <c r="L276" s="9" t="s">
        <v>279</v>
      </c>
      <c r="M276" s="36" t="s">
        <v>298</v>
      </c>
      <c r="N276" s="40"/>
      <c r="O276" s="3">
        <f t="shared" si="167"/>
        <v>2817312</v>
      </c>
      <c r="P276" s="9">
        <v>2227124.42</v>
      </c>
      <c r="Q276" s="9">
        <v>5200082</v>
      </c>
      <c r="R276" s="9">
        <v>5200083</v>
      </c>
      <c r="S276" s="9">
        <v>5200082</v>
      </c>
      <c r="T276" s="9">
        <v>5501085</v>
      </c>
      <c r="U276" s="9">
        <v>5501085</v>
      </c>
      <c r="V276" s="9">
        <v>5402081</v>
      </c>
      <c r="W276" s="9">
        <v>8</v>
      </c>
      <c r="X276" s="9">
        <v>8</v>
      </c>
      <c r="Y276" s="9">
        <v>8</v>
      </c>
      <c r="Z276" s="9">
        <v>8</v>
      </c>
      <c r="AA276" s="9">
        <v>8</v>
      </c>
      <c r="AB276" s="9">
        <v>8</v>
      </c>
      <c r="AC276" s="9">
        <f t="shared" si="188"/>
        <v>572</v>
      </c>
      <c r="AD276" s="9">
        <f t="shared" si="189"/>
        <v>619</v>
      </c>
      <c r="AE276" s="9">
        <f t="shared" si="190"/>
        <v>619</v>
      </c>
      <c r="AF276" s="9">
        <f t="shared" si="191"/>
        <v>619</v>
      </c>
      <c r="AG276" s="9">
        <f t="shared" si="192"/>
        <v>619</v>
      </c>
      <c r="AH276" s="9">
        <f t="shared" si="193"/>
        <v>619</v>
      </c>
      <c r="AI276" s="7">
        <f t="shared" si="166"/>
        <v>371187.40333333332</v>
      </c>
      <c r="AJ276" s="7">
        <f t="shared" si="168"/>
        <v>371187.40333333332</v>
      </c>
      <c r="AK276" s="7">
        <f t="shared" si="168"/>
        <v>371187.40333333332</v>
      </c>
      <c r="AL276" s="7">
        <f t="shared" si="168"/>
        <v>371187.40333333332</v>
      </c>
      <c r="AM276" s="7">
        <f t="shared" si="168"/>
        <v>371187.40333333332</v>
      </c>
      <c r="AN276" s="7">
        <f t="shared" si="168"/>
        <v>371187.40333333332</v>
      </c>
      <c r="AO276" s="16"/>
      <c r="AP276" s="7"/>
      <c r="AQ276" s="9">
        <v>6</v>
      </c>
      <c r="AR276" s="9">
        <f t="shared" si="194"/>
        <v>656</v>
      </c>
      <c r="AS276" s="7">
        <f t="shared" si="164"/>
        <v>236</v>
      </c>
      <c r="AT276" s="7"/>
      <c r="AU276" s="16"/>
      <c r="AV276" s="7"/>
      <c r="AW276" s="7"/>
      <c r="AX276" s="7"/>
      <c r="AZ276" s="7"/>
      <c r="BA276" s="9">
        <f t="shared" si="169"/>
        <v>321384.27999999968</v>
      </c>
      <c r="BC276" s="5">
        <f t="shared" si="195"/>
        <v>535</v>
      </c>
      <c r="BR276" s="5">
        <v>5502082</v>
      </c>
      <c r="BS276" s="18">
        <f>[1]monsters!$N276</f>
        <v>161.28</v>
      </c>
      <c r="BT276" s="18">
        <f>[1]monsters!$O276</f>
        <v>16.13</v>
      </c>
      <c r="BU276" s="18">
        <f>[1]monsters!$P276</f>
        <v>2560</v>
      </c>
      <c r="BV276" s="18">
        <f>[1]monsters!$Q276</f>
        <v>256</v>
      </c>
      <c r="BW276" s="18">
        <f>[1]monsters!$R276</f>
        <v>32.26</v>
      </c>
      <c r="BX276" s="18">
        <f>[1]monsters!$S276</f>
        <v>3.23</v>
      </c>
      <c r="BY276" s="18">
        <f>[1]monsters!$K276</f>
        <v>1.4</v>
      </c>
      <c r="BZ276" s="5">
        <f>[1]monsters!$D276</f>
        <v>3</v>
      </c>
      <c r="CA276" s="5">
        <f t="shared" si="196"/>
        <v>0.1</v>
      </c>
      <c r="CB276" s="5">
        <f t="shared" si="197"/>
        <v>238.60488619528621</v>
      </c>
      <c r="CC276" s="5">
        <f t="shared" si="198"/>
        <v>23.860488619528624</v>
      </c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>
        <v>0</v>
      </c>
      <c r="CR276" s="3" t="b">
        <f t="shared" si="170"/>
        <v>1</v>
      </c>
      <c r="CS276" s="3" t="b">
        <f t="shared" si="171"/>
        <v>1</v>
      </c>
      <c r="CT276" s="3" t="b">
        <f t="shared" si="172"/>
        <v>1</v>
      </c>
      <c r="CU276" s="3" t="b">
        <f t="shared" si="173"/>
        <v>1</v>
      </c>
      <c r="CV276" s="3" t="b">
        <f t="shared" si="174"/>
        <v>1</v>
      </c>
      <c r="CW276" s="3" t="b">
        <f t="shared" si="175"/>
        <v>1</v>
      </c>
      <c r="CX276" s="9" t="str">
        <f t="shared" si="176"/>
        <v>5200082</v>
      </c>
      <c r="CY276" s="9" t="str">
        <f t="shared" si="177"/>
        <v>5200083</v>
      </c>
      <c r="CZ276" s="9" t="str">
        <f t="shared" si="178"/>
        <v>5200082</v>
      </c>
      <c r="DA276" s="9" t="str">
        <f t="shared" si="179"/>
        <v>5501085</v>
      </c>
      <c r="DB276" s="9" t="str">
        <f t="shared" si="180"/>
        <v>5501085</v>
      </c>
      <c r="DC276" s="9" t="str">
        <f t="shared" si="181"/>
        <v>5402081</v>
      </c>
      <c r="DD276" s="9">
        <v>8</v>
      </c>
      <c r="DE276" s="9">
        <v>8</v>
      </c>
      <c r="DF276" s="9">
        <v>8</v>
      </c>
      <c r="DG276" s="9">
        <v>8</v>
      </c>
      <c r="DH276" s="9">
        <v>8</v>
      </c>
      <c r="DI276" s="9">
        <v>8</v>
      </c>
      <c r="DJ276" s="9">
        <v>5</v>
      </c>
      <c r="DK276" s="9">
        <v>5</v>
      </c>
      <c r="DL276" s="9">
        <v>5</v>
      </c>
      <c r="DM276" s="9">
        <v>5</v>
      </c>
      <c r="DN276" s="9">
        <v>5</v>
      </c>
      <c r="DO276" s="9">
        <v>5</v>
      </c>
      <c r="DP276" s="3" t="s">
        <v>199</v>
      </c>
      <c r="DQ276" s="3" t="s">
        <v>113</v>
      </c>
      <c r="DR276" s="3" t="s">
        <v>199</v>
      </c>
      <c r="DS276" s="25" t="s">
        <v>209</v>
      </c>
      <c r="DT276" s="25" t="s">
        <v>209</v>
      </c>
      <c r="DU276" s="25" t="s">
        <v>196</v>
      </c>
      <c r="DV276" s="25">
        <f t="shared" si="182"/>
        <v>1</v>
      </c>
      <c r="DW276" s="25">
        <f t="shared" si="183"/>
        <v>1</v>
      </c>
      <c r="DX276" s="25">
        <f t="shared" si="184"/>
        <v>1</v>
      </c>
      <c r="DY276" s="25">
        <f t="shared" si="185"/>
        <v>2</v>
      </c>
      <c r="DZ276" s="25">
        <f t="shared" si="186"/>
        <v>2</v>
      </c>
      <c r="EA276" s="3">
        <f t="shared" si="187"/>
        <v>2</v>
      </c>
      <c r="EB276" s="42"/>
      <c r="EC276" s="9">
        <v>5302095</v>
      </c>
      <c r="ED276" s="34" t="s">
        <v>221</v>
      </c>
      <c r="EE276" s="8">
        <v>1</v>
      </c>
    </row>
    <row r="277" spans="1:135" ht="13.5" customHeight="1">
      <c r="A277" s="9">
        <v>274</v>
      </c>
      <c r="B277" s="9">
        <v>1</v>
      </c>
      <c r="C277" s="9">
        <v>2001</v>
      </c>
      <c r="D277" s="9">
        <f t="shared" si="202"/>
        <v>2830455</v>
      </c>
      <c r="E277" s="9" t="str">
        <f t="shared" si="199"/>
        <v>5201081,5201082,5202081,5401081,5401083,5400085</v>
      </c>
      <c r="F277" s="9" t="str">
        <f t="shared" si="200"/>
        <v>8,8,8,8,8,8</v>
      </c>
      <c r="G277" s="9" t="str">
        <f t="shared" si="201"/>
        <v>574,620,620,620,620,620</v>
      </c>
      <c r="H277" s="9">
        <v>149</v>
      </c>
      <c r="I277" s="9" t="s">
        <v>278</v>
      </c>
      <c r="J277" s="9" t="s">
        <v>279</v>
      </c>
      <c r="K277" s="9" t="s">
        <v>279</v>
      </c>
      <c r="L277" s="9" t="s">
        <v>279</v>
      </c>
      <c r="M277" s="36" t="s">
        <v>298</v>
      </c>
      <c r="N277" s="40"/>
      <c r="O277" s="3">
        <f t="shared" si="167"/>
        <v>2830455</v>
      </c>
      <c r="P277" s="9">
        <v>2237514.21</v>
      </c>
      <c r="Q277" s="9">
        <v>5201081</v>
      </c>
      <c r="R277" s="9">
        <v>5201082</v>
      </c>
      <c r="S277" s="9">
        <v>5202081</v>
      </c>
      <c r="T277" s="9">
        <v>5401081</v>
      </c>
      <c r="U277" s="9">
        <v>5401083</v>
      </c>
      <c r="V277" s="9">
        <v>5400085</v>
      </c>
      <c r="W277" s="9">
        <v>8</v>
      </c>
      <c r="X277" s="9">
        <v>8</v>
      </c>
      <c r="Y277" s="9">
        <v>8</v>
      </c>
      <c r="Z277" s="9">
        <v>8</v>
      </c>
      <c r="AA277" s="9">
        <v>8</v>
      </c>
      <c r="AB277" s="9">
        <v>8</v>
      </c>
      <c r="AC277" s="9">
        <f t="shared" si="188"/>
        <v>574</v>
      </c>
      <c r="AD277" s="9">
        <f t="shared" si="189"/>
        <v>620</v>
      </c>
      <c r="AE277" s="9">
        <f t="shared" si="190"/>
        <v>620</v>
      </c>
      <c r="AF277" s="9">
        <f t="shared" si="191"/>
        <v>620</v>
      </c>
      <c r="AG277" s="9">
        <f t="shared" si="192"/>
        <v>620</v>
      </c>
      <c r="AH277" s="9">
        <f t="shared" si="193"/>
        <v>620</v>
      </c>
      <c r="AI277" s="7">
        <f t="shared" si="166"/>
        <v>372919.03499999997</v>
      </c>
      <c r="AJ277" s="7">
        <f t="shared" si="168"/>
        <v>372919.03499999997</v>
      </c>
      <c r="AK277" s="7">
        <f t="shared" si="168"/>
        <v>372919.03499999997</v>
      </c>
      <c r="AL277" s="7">
        <f t="shared" si="168"/>
        <v>372919.03499999997</v>
      </c>
      <c r="AM277" s="7">
        <f t="shared" si="168"/>
        <v>372919.03499999997</v>
      </c>
      <c r="AN277" s="7">
        <f t="shared" si="168"/>
        <v>372919.03499999997</v>
      </c>
      <c r="AO277" s="16"/>
      <c r="AP277" s="7"/>
      <c r="AQ277" s="9">
        <v>6</v>
      </c>
      <c r="AR277" s="9">
        <f t="shared" si="194"/>
        <v>657</v>
      </c>
      <c r="AS277" s="7">
        <f t="shared" si="164"/>
        <v>237</v>
      </c>
      <c r="AT277" s="7"/>
      <c r="AU277" s="16"/>
      <c r="AV277" s="7"/>
      <c r="AW277" s="7"/>
      <c r="AX277" s="7"/>
      <c r="AZ277" s="7"/>
      <c r="BA277" s="9">
        <f t="shared" si="169"/>
        <v>323774.63999999966</v>
      </c>
      <c r="BC277" s="5">
        <f t="shared" si="195"/>
        <v>536</v>
      </c>
      <c r="BR277" s="5">
        <v>5600082</v>
      </c>
      <c r="BS277" s="18">
        <f>[1]monsters!$N277</f>
        <v>215.04</v>
      </c>
      <c r="BT277" s="18">
        <f>[1]monsters!$O277</f>
        <v>21.5</v>
      </c>
      <c r="BU277" s="18">
        <f>[1]monsters!$P277</f>
        <v>1920</v>
      </c>
      <c r="BV277" s="18">
        <f>[1]monsters!$Q277</f>
        <v>192</v>
      </c>
      <c r="BW277" s="18">
        <f>[1]monsters!$R277</f>
        <v>30.72</v>
      </c>
      <c r="BX277" s="18">
        <f>[1]monsters!$S277</f>
        <v>3.07</v>
      </c>
      <c r="BY277" s="18">
        <f>[1]monsters!$K277</f>
        <v>1.4</v>
      </c>
      <c r="BZ277" s="5">
        <f>[1]monsters!$D277</f>
        <v>4</v>
      </c>
      <c r="CA277" s="5">
        <f t="shared" si="196"/>
        <v>0.1</v>
      </c>
      <c r="CB277" s="5">
        <f t="shared" si="197"/>
        <v>267.85926464646468</v>
      </c>
      <c r="CC277" s="5">
        <f t="shared" si="198"/>
        <v>26.785926464646469</v>
      </c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>
        <v>0</v>
      </c>
      <c r="CR277" s="3" t="b">
        <f t="shared" si="170"/>
        <v>1</v>
      </c>
      <c r="CS277" s="3" t="b">
        <f t="shared" si="171"/>
        <v>1</v>
      </c>
      <c r="CT277" s="3" t="b">
        <f t="shared" si="172"/>
        <v>1</v>
      </c>
      <c r="CU277" s="3" t="b">
        <f t="shared" si="173"/>
        <v>1</v>
      </c>
      <c r="CV277" s="3" t="b">
        <f t="shared" si="174"/>
        <v>1</v>
      </c>
      <c r="CW277" s="3" t="b">
        <f t="shared" si="175"/>
        <v>1</v>
      </c>
      <c r="CX277" s="9" t="str">
        <f t="shared" si="176"/>
        <v>5201081</v>
      </c>
      <c r="CY277" s="9" t="str">
        <f t="shared" si="177"/>
        <v>5201082</v>
      </c>
      <c r="CZ277" s="9" t="str">
        <f t="shared" si="178"/>
        <v>5202081</v>
      </c>
      <c r="DA277" s="9" t="str">
        <f t="shared" si="179"/>
        <v>5401081</v>
      </c>
      <c r="DB277" s="9" t="str">
        <f t="shared" si="180"/>
        <v>5401083</v>
      </c>
      <c r="DC277" s="9" t="str">
        <f t="shared" si="181"/>
        <v>5400085</v>
      </c>
      <c r="DD277" s="9">
        <v>8</v>
      </c>
      <c r="DE277" s="9">
        <v>8</v>
      </c>
      <c r="DF277" s="9">
        <v>8</v>
      </c>
      <c r="DG277" s="9">
        <v>8</v>
      </c>
      <c r="DH277" s="9">
        <v>8</v>
      </c>
      <c r="DI277" s="9">
        <v>8</v>
      </c>
      <c r="DJ277" s="9">
        <v>5</v>
      </c>
      <c r="DK277" s="9">
        <v>5</v>
      </c>
      <c r="DL277" s="9">
        <v>5</v>
      </c>
      <c r="DM277" s="9">
        <v>5</v>
      </c>
      <c r="DN277" s="9">
        <v>5</v>
      </c>
      <c r="DO277" s="9">
        <v>5</v>
      </c>
      <c r="DP277" s="3" t="s">
        <v>195</v>
      </c>
      <c r="DQ277" s="3" t="s">
        <v>114</v>
      </c>
      <c r="DR277" s="3" t="s">
        <v>111</v>
      </c>
      <c r="DS277" s="3" t="s">
        <v>117</v>
      </c>
      <c r="DT277" s="3" t="s">
        <v>211</v>
      </c>
      <c r="DU277" s="3" t="s">
        <v>210</v>
      </c>
      <c r="DV277" s="3">
        <f t="shared" si="182"/>
        <v>1</v>
      </c>
      <c r="DW277" s="3">
        <f t="shared" si="183"/>
        <v>1</v>
      </c>
      <c r="DX277" s="3">
        <f t="shared" si="184"/>
        <v>1</v>
      </c>
      <c r="DY277" s="3">
        <f t="shared" si="185"/>
        <v>2</v>
      </c>
      <c r="DZ277" s="3">
        <f t="shared" si="186"/>
        <v>2</v>
      </c>
      <c r="EA277" s="3">
        <f t="shared" si="187"/>
        <v>2</v>
      </c>
      <c r="EB277" s="42"/>
      <c r="EC277" s="9">
        <v>5400095</v>
      </c>
      <c r="ED277" s="34" t="s">
        <v>210</v>
      </c>
      <c r="EE277" s="8">
        <v>2</v>
      </c>
    </row>
    <row r="278" spans="1:135" ht="13.5" customHeight="1">
      <c r="A278" s="9">
        <v>275</v>
      </c>
      <c r="B278" s="9">
        <v>1</v>
      </c>
      <c r="C278" s="9">
        <v>2001</v>
      </c>
      <c r="D278" s="9">
        <f t="shared" si="202"/>
        <v>2843629</v>
      </c>
      <c r="E278" s="9" t="str">
        <f t="shared" si="199"/>
        <v>5302085,5201082,5301081,5501084,5500083,5501084</v>
      </c>
      <c r="F278" s="9" t="str">
        <f t="shared" si="200"/>
        <v>8,8,8,8,8,8</v>
      </c>
      <c r="G278" s="9" t="str">
        <f t="shared" si="201"/>
        <v>575,622,622,622,622,622</v>
      </c>
      <c r="H278" s="9">
        <v>150</v>
      </c>
      <c r="I278" s="9" t="s">
        <v>278</v>
      </c>
      <c r="J278" s="9" t="s">
        <v>279</v>
      </c>
      <c r="K278" s="9" t="s">
        <v>279</v>
      </c>
      <c r="L278" s="9" t="s">
        <v>279</v>
      </c>
      <c r="M278" s="36" t="s">
        <v>298</v>
      </c>
      <c r="O278" s="3">
        <f t="shared" si="167"/>
        <v>2843629</v>
      </c>
      <c r="P278" s="9">
        <v>2247927.88</v>
      </c>
      <c r="Q278" s="9">
        <v>5302085</v>
      </c>
      <c r="R278" s="9">
        <v>5201082</v>
      </c>
      <c r="S278" s="9">
        <v>5301081</v>
      </c>
      <c r="T278" s="9">
        <v>5501084</v>
      </c>
      <c r="U278" s="9">
        <v>5500083</v>
      </c>
      <c r="V278" s="9">
        <v>5501084</v>
      </c>
      <c r="W278" s="9">
        <v>8</v>
      </c>
      <c r="X278" s="9">
        <v>8</v>
      </c>
      <c r="Y278" s="9">
        <v>8</v>
      </c>
      <c r="Z278" s="9">
        <v>8</v>
      </c>
      <c r="AA278" s="9">
        <v>8</v>
      </c>
      <c r="AB278" s="9">
        <v>8</v>
      </c>
      <c r="AC278" s="9">
        <f t="shared" si="188"/>
        <v>575</v>
      </c>
      <c r="AD278" s="9">
        <f t="shared" si="189"/>
        <v>622</v>
      </c>
      <c r="AE278" s="9">
        <f t="shared" si="190"/>
        <v>622</v>
      </c>
      <c r="AF278" s="9">
        <f t="shared" si="191"/>
        <v>622</v>
      </c>
      <c r="AG278" s="9">
        <f t="shared" si="192"/>
        <v>622</v>
      </c>
      <c r="AH278" s="9">
        <f t="shared" si="193"/>
        <v>622</v>
      </c>
      <c r="AI278" s="7">
        <f t="shared" si="166"/>
        <v>374654.64666666667</v>
      </c>
      <c r="AJ278" s="7">
        <f t="shared" si="168"/>
        <v>374654.64666666667</v>
      </c>
      <c r="AK278" s="7">
        <f t="shared" si="168"/>
        <v>374654.64666666667</v>
      </c>
      <c r="AL278" s="7">
        <f t="shared" si="168"/>
        <v>374654.64666666667</v>
      </c>
      <c r="AM278" s="7">
        <f t="shared" si="168"/>
        <v>374654.64666666667</v>
      </c>
      <c r="AN278" s="7">
        <f t="shared" si="168"/>
        <v>374654.64666666667</v>
      </c>
      <c r="AO278" s="16"/>
      <c r="AP278" s="7"/>
      <c r="AQ278" s="9">
        <v>6</v>
      </c>
      <c r="AR278" s="9">
        <f t="shared" si="194"/>
        <v>659</v>
      </c>
      <c r="AS278" s="7">
        <f t="shared" si="164"/>
        <v>237</v>
      </c>
      <c r="AT278" s="7"/>
      <c r="AU278" s="16"/>
      <c r="AV278" s="7"/>
      <c r="AW278" s="7"/>
      <c r="AX278" s="7"/>
      <c r="AZ278" s="7"/>
      <c r="BA278" s="9">
        <f t="shared" si="169"/>
        <v>326164.99999999965</v>
      </c>
      <c r="BC278" s="5">
        <f t="shared" si="195"/>
        <v>537</v>
      </c>
      <c r="BR278" s="5">
        <v>5602082</v>
      </c>
      <c r="BS278" s="18">
        <f>[1]monsters!$N278</f>
        <v>286.72000000000003</v>
      </c>
      <c r="BT278" s="18">
        <f>[1]monsters!$O278</f>
        <v>28.67</v>
      </c>
      <c r="BU278" s="18">
        <f>[1]monsters!$P278</f>
        <v>1645.71</v>
      </c>
      <c r="BV278" s="18">
        <f>[1]monsters!$Q278</f>
        <v>164.57</v>
      </c>
      <c r="BW278" s="18">
        <f>[1]monsters!$R278</f>
        <v>35.840000000000003</v>
      </c>
      <c r="BX278" s="18">
        <f>[1]monsters!$S278</f>
        <v>3.58</v>
      </c>
      <c r="BY278" s="18">
        <f>[1]monsters!$K278</f>
        <v>1.6</v>
      </c>
      <c r="BZ278" s="5">
        <f>[1]monsters!$D278</f>
        <v>5</v>
      </c>
      <c r="CA278" s="5">
        <f t="shared" si="196"/>
        <v>0.1</v>
      </c>
      <c r="CB278" s="5">
        <f t="shared" si="197"/>
        <v>326.36151111111116</v>
      </c>
      <c r="CC278" s="5">
        <f t="shared" si="198"/>
        <v>32.636151111111118</v>
      </c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>
        <v>1</v>
      </c>
      <c r="CR278" s="3" t="b">
        <f t="shared" si="170"/>
        <v>1</v>
      </c>
      <c r="CS278" s="3" t="b">
        <f t="shared" si="171"/>
        <v>1</v>
      </c>
      <c r="CT278" s="3" t="b">
        <f t="shared" si="172"/>
        <v>1</v>
      </c>
      <c r="CU278" s="3" t="b">
        <f t="shared" si="173"/>
        <v>1</v>
      </c>
      <c r="CV278" s="3" t="b">
        <f t="shared" si="174"/>
        <v>1</v>
      </c>
      <c r="CW278" s="3" t="b">
        <f t="shared" si="175"/>
        <v>1</v>
      </c>
      <c r="CX278" s="9" t="str">
        <f t="shared" si="176"/>
        <v>5302085</v>
      </c>
      <c r="CY278" s="9" t="str">
        <f t="shared" si="177"/>
        <v>5201082</v>
      </c>
      <c r="CZ278" s="9" t="str">
        <f t="shared" si="178"/>
        <v>5301081</v>
      </c>
      <c r="DA278" s="9" t="str">
        <f t="shared" si="179"/>
        <v>5501084</v>
      </c>
      <c r="DB278" s="9" t="str">
        <f t="shared" si="180"/>
        <v>5500083</v>
      </c>
      <c r="DC278" s="9" t="str">
        <f t="shared" si="181"/>
        <v>5501084</v>
      </c>
      <c r="DD278" s="9">
        <v>8</v>
      </c>
      <c r="DE278" s="9">
        <v>8</v>
      </c>
      <c r="DF278" s="9">
        <v>8</v>
      </c>
      <c r="DG278" s="9">
        <v>8</v>
      </c>
      <c r="DH278" s="9">
        <v>8</v>
      </c>
      <c r="DI278" s="9">
        <v>8</v>
      </c>
      <c r="DJ278" s="9">
        <v>5</v>
      </c>
      <c r="DK278" s="9">
        <v>5</v>
      </c>
      <c r="DL278" s="9">
        <v>5</v>
      </c>
      <c r="DM278" s="9">
        <v>5</v>
      </c>
      <c r="DN278" s="9">
        <v>5</v>
      </c>
      <c r="DO278" s="9">
        <v>5</v>
      </c>
      <c r="DP278" s="3" t="s">
        <v>221</v>
      </c>
      <c r="DQ278" s="3" t="s">
        <v>114</v>
      </c>
      <c r="DR278" s="3" t="s">
        <v>107</v>
      </c>
      <c r="DS278" s="3" t="s">
        <v>214</v>
      </c>
      <c r="DT278" s="3" t="s">
        <v>207</v>
      </c>
      <c r="DU278" s="3" t="s">
        <v>214</v>
      </c>
      <c r="DV278" s="3">
        <f t="shared" si="182"/>
        <v>1</v>
      </c>
      <c r="DW278" s="3">
        <f t="shared" si="183"/>
        <v>1</v>
      </c>
      <c r="DX278" s="3">
        <f t="shared" si="184"/>
        <v>1</v>
      </c>
      <c r="DY278" s="3">
        <f t="shared" si="185"/>
        <v>2</v>
      </c>
      <c r="DZ278" s="3">
        <f t="shared" si="186"/>
        <v>2</v>
      </c>
      <c r="EA278" s="3">
        <f t="shared" si="187"/>
        <v>2</v>
      </c>
      <c r="EB278" s="42"/>
      <c r="EC278" s="9">
        <v>5501095</v>
      </c>
      <c r="ED278" s="37" t="s">
        <v>209</v>
      </c>
      <c r="EE278" s="8">
        <v>2</v>
      </c>
    </row>
    <row r="279" spans="1:135" ht="13.5" customHeight="1">
      <c r="A279" s="9">
        <v>276</v>
      </c>
      <c r="B279" s="9">
        <v>1</v>
      </c>
      <c r="C279" s="9">
        <v>2001</v>
      </c>
      <c r="D279" s="9">
        <f t="shared" si="202"/>
        <v>2954327</v>
      </c>
      <c r="E279" s="9" t="str">
        <f t="shared" si="199"/>
        <v>5201091,5201092,5200092,5502092,5500093,5501094</v>
      </c>
      <c r="F279" s="9" t="str">
        <f t="shared" si="200"/>
        <v>9,9,9,9,9,9</v>
      </c>
      <c r="G279" s="9" t="str">
        <f t="shared" si="201"/>
        <v>537,580,580,580,580,580</v>
      </c>
      <c r="H279" s="9">
        <v>150</v>
      </c>
      <c r="I279" s="9" t="s">
        <v>278</v>
      </c>
      <c r="J279" s="9" t="s">
        <v>279</v>
      </c>
      <c r="K279" s="9" t="s">
        <v>279</v>
      </c>
      <c r="L279" s="9" t="s">
        <v>279</v>
      </c>
      <c r="M279" s="36" t="s">
        <v>298</v>
      </c>
      <c r="N279" s="40"/>
      <c r="O279" s="3">
        <f t="shared" si="167"/>
        <v>2954327</v>
      </c>
      <c r="P279" s="9">
        <v>2335436.14</v>
      </c>
      <c r="Q279" s="9">
        <v>5201091</v>
      </c>
      <c r="R279" s="9">
        <v>5201092</v>
      </c>
      <c r="S279" s="9">
        <v>5200092</v>
      </c>
      <c r="T279" s="9">
        <v>5502092</v>
      </c>
      <c r="U279" s="9">
        <v>5500093</v>
      </c>
      <c r="V279" s="9">
        <v>5501094</v>
      </c>
      <c r="W279" s="9">
        <v>9</v>
      </c>
      <c r="X279" s="9">
        <v>9</v>
      </c>
      <c r="Y279" s="9">
        <v>9</v>
      </c>
      <c r="Z279" s="9">
        <v>9</v>
      </c>
      <c r="AA279" s="9">
        <v>9</v>
      </c>
      <c r="AB279" s="9">
        <v>9</v>
      </c>
      <c r="AC279" s="9">
        <f t="shared" si="188"/>
        <v>537</v>
      </c>
      <c r="AD279" s="9">
        <f t="shared" si="189"/>
        <v>580</v>
      </c>
      <c r="AE279" s="9">
        <f t="shared" si="190"/>
        <v>580</v>
      </c>
      <c r="AF279" s="9">
        <f t="shared" si="191"/>
        <v>580</v>
      </c>
      <c r="AG279" s="9">
        <f t="shared" si="192"/>
        <v>580</v>
      </c>
      <c r="AH279" s="9">
        <f t="shared" si="193"/>
        <v>580</v>
      </c>
      <c r="AI279" s="7">
        <f t="shared" si="166"/>
        <v>389239.35666666669</v>
      </c>
      <c r="AJ279" s="7">
        <f t="shared" si="168"/>
        <v>389239.35666666669</v>
      </c>
      <c r="AK279" s="7">
        <f t="shared" si="168"/>
        <v>389239.35666666669</v>
      </c>
      <c r="AL279" s="7">
        <f t="shared" si="168"/>
        <v>389239.35666666669</v>
      </c>
      <c r="AM279" s="7">
        <f t="shared" si="168"/>
        <v>389239.35666666669</v>
      </c>
      <c r="AN279" s="7">
        <f t="shared" si="168"/>
        <v>389239.35666666669</v>
      </c>
      <c r="AO279" s="16"/>
      <c r="AP279" s="7"/>
      <c r="AQ279" s="9">
        <v>6</v>
      </c>
      <c r="AR279" s="9">
        <f t="shared" si="194"/>
        <v>672</v>
      </c>
      <c r="AS279" s="7">
        <f t="shared" si="164"/>
        <v>238</v>
      </c>
      <c r="AT279" s="7"/>
      <c r="AU279" s="16"/>
      <c r="AV279" s="7"/>
      <c r="AW279" s="7"/>
      <c r="AX279" s="7"/>
      <c r="AZ279" s="7"/>
      <c r="BA279" s="9">
        <f t="shared" si="169"/>
        <v>328555.35999999964</v>
      </c>
      <c r="BC279" s="5">
        <f t="shared" si="195"/>
        <v>501</v>
      </c>
      <c r="BR279" s="5">
        <v>5200083</v>
      </c>
      <c r="BS279" s="18">
        <f>[1]monsters!$N279</f>
        <v>208</v>
      </c>
      <c r="BT279" s="18">
        <f>[1]monsters!$O279</f>
        <v>20.8</v>
      </c>
      <c r="BU279" s="18">
        <f>[1]monsters!$P279</f>
        <v>2496</v>
      </c>
      <c r="BV279" s="18">
        <f>[1]monsters!$Q279</f>
        <v>249.6</v>
      </c>
      <c r="BW279" s="18">
        <f>[1]monsters!$R279</f>
        <v>52</v>
      </c>
      <c r="BX279" s="18">
        <f>[1]monsters!$S279</f>
        <v>5.2</v>
      </c>
      <c r="BY279" s="18">
        <f>[1]monsters!$K279</f>
        <v>1.5</v>
      </c>
      <c r="BZ279" s="5">
        <f>[1]monsters!$D279</f>
        <v>2</v>
      </c>
      <c r="CA279" s="5">
        <f t="shared" si="196"/>
        <v>0.1</v>
      </c>
      <c r="CB279" s="5">
        <f t="shared" si="197"/>
        <v>280.60040404040404</v>
      </c>
      <c r="CC279" s="5">
        <f t="shared" si="198"/>
        <v>28.060040404040407</v>
      </c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>
        <v>0</v>
      </c>
      <c r="CR279" s="3" t="b">
        <f t="shared" si="170"/>
        <v>1</v>
      </c>
      <c r="CS279" s="3" t="b">
        <f t="shared" si="171"/>
        <v>1</v>
      </c>
      <c r="CT279" s="3" t="b">
        <f t="shared" si="172"/>
        <v>1</v>
      </c>
      <c r="CU279" s="3" t="b">
        <f t="shared" si="173"/>
        <v>1</v>
      </c>
      <c r="CV279" s="3" t="b">
        <f t="shared" si="174"/>
        <v>1</v>
      </c>
      <c r="CW279" s="3" t="b">
        <f t="shared" si="175"/>
        <v>1</v>
      </c>
      <c r="CX279" s="9" t="str">
        <f t="shared" si="176"/>
        <v>5201091</v>
      </c>
      <c r="CY279" s="9" t="str">
        <f t="shared" si="177"/>
        <v>5201092</v>
      </c>
      <c r="CZ279" s="9" t="str">
        <f t="shared" si="178"/>
        <v>5200092</v>
      </c>
      <c r="DA279" s="9" t="str">
        <f t="shared" si="179"/>
        <v>5502092</v>
      </c>
      <c r="DB279" s="9" t="str">
        <f t="shared" si="180"/>
        <v>5500093</v>
      </c>
      <c r="DC279" s="9" t="str">
        <f t="shared" si="181"/>
        <v>5501094</v>
      </c>
      <c r="DD279" s="9">
        <v>9</v>
      </c>
      <c r="DE279" s="9">
        <v>9</v>
      </c>
      <c r="DF279" s="9">
        <v>9</v>
      </c>
      <c r="DG279" s="9">
        <v>9</v>
      </c>
      <c r="DH279" s="9">
        <v>9</v>
      </c>
      <c r="DI279" s="9">
        <v>9</v>
      </c>
      <c r="DJ279" s="9">
        <v>5</v>
      </c>
      <c r="DK279" s="9">
        <v>5</v>
      </c>
      <c r="DL279" s="9">
        <v>5</v>
      </c>
      <c r="DM279" s="9">
        <v>5</v>
      </c>
      <c r="DN279" s="9">
        <v>5</v>
      </c>
      <c r="DO279" s="9">
        <v>5</v>
      </c>
      <c r="DP279" s="3" t="s">
        <v>195</v>
      </c>
      <c r="DQ279" s="3" t="s">
        <v>114</v>
      </c>
      <c r="DR279" s="3" t="s">
        <v>199</v>
      </c>
      <c r="DS279" s="3" t="s">
        <v>204</v>
      </c>
      <c r="DT279" s="3" t="s">
        <v>207</v>
      </c>
      <c r="DU279" s="3" t="s">
        <v>214</v>
      </c>
      <c r="DV279" s="3">
        <f t="shared" si="182"/>
        <v>1</v>
      </c>
      <c r="DW279" s="3">
        <f t="shared" si="183"/>
        <v>1</v>
      </c>
      <c r="DX279" s="3">
        <f t="shared" si="184"/>
        <v>1</v>
      </c>
      <c r="DY279" s="3">
        <f t="shared" si="185"/>
        <v>2</v>
      </c>
      <c r="DZ279" s="3">
        <f t="shared" si="186"/>
        <v>2</v>
      </c>
      <c r="EA279" s="3">
        <f t="shared" si="187"/>
        <v>2</v>
      </c>
      <c r="EB279" s="41"/>
      <c r="EC279" s="9">
        <v>5200101</v>
      </c>
      <c r="ED279" s="34" t="s">
        <v>194</v>
      </c>
      <c r="EE279" s="8">
        <v>1</v>
      </c>
    </row>
    <row r="280" spans="1:135" ht="13.5" customHeight="1">
      <c r="A280" s="9">
        <v>277</v>
      </c>
      <c r="B280" s="9">
        <v>1</v>
      </c>
      <c r="C280" s="9">
        <v>2001</v>
      </c>
      <c r="D280" s="9">
        <f t="shared" si="202"/>
        <v>3066084</v>
      </c>
      <c r="E280" s="9" t="str">
        <f t="shared" si="199"/>
        <v>5202093,5202092,5202093,5400095,5501095,5402091</v>
      </c>
      <c r="F280" s="9" t="str">
        <f t="shared" si="200"/>
        <v>9,9,9,9,9,9</v>
      </c>
      <c r="G280" s="9" t="str">
        <f t="shared" si="201"/>
        <v>547,591,591,591,591,591</v>
      </c>
      <c r="H280" s="9">
        <v>150</v>
      </c>
      <c r="I280" s="9" t="s">
        <v>278</v>
      </c>
      <c r="J280" s="9" t="s">
        <v>279</v>
      </c>
      <c r="K280" s="9" t="s">
        <v>279</v>
      </c>
      <c r="L280" s="9" t="s">
        <v>279</v>
      </c>
      <c r="M280" s="36" t="s">
        <v>298</v>
      </c>
      <c r="N280" s="40"/>
      <c r="O280" s="3">
        <f t="shared" si="167"/>
        <v>3066084</v>
      </c>
      <c r="P280" s="9">
        <v>2423782.19</v>
      </c>
      <c r="Q280" s="9">
        <v>5202093</v>
      </c>
      <c r="R280" s="9">
        <v>5202092</v>
      </c>
      <c r="S280" s="9">
        <v>5202093</v>
      </c>
      <c r="T280" s="9">
        <v>5400095</v>
      </c>
      <c r="U280" s="9">
        <v>5501095</v>
      </c>
      <c r="V280" s="9">
        <v>5402091</v>
      </c>
      <c r="W280" s="9">
        <v>9</v>
      </c>
      <c r="X280" s="9">
        <v>9</v>
      </c>
      <c r="Y280" s="9">
        <v>9</v>
      </c>
      <c r="Z280" s="9">
        <v>9</v>
      </c>
      <c r="AA280" s="9">
        <v>9</v>
      </c>
      <c r="AB280" s="9">
        <v>9</v>
      </c>
      <c r="AC280" s="9">
        <f t="shared" si="188"/>
        <v>547</v>
      </c>
      <c r="AD280" s="9">
        <f t="shared" si="189"/>
        <v>591</v>
      </c>
      <c r="AE280" s="9">
        <f t="shared" si="190"/>
        <v>591</v>
      </c>
      <c r="AF280" s="9">
        <f t="shared" si="191"/>
        <v>591</v>
      </c>
      <c r="AG280" s="9">
        <f t="shared" si="192"/>
        <v>591</v>
      </c>
      <c r="AH280" s="9">
        <f t="shared" si="193"/>
        <v>591</v>
      </c>
      <c r="AI280" s="7">
        <f t="shared" si="166"/>
        <v>403963.6983333333</v>
      </c>
      <c r="AJ280" s="7">
        <f t="shared" si="168"/>
        <v>403963.6983333333</v>
      </c>
      <c r="AK280" s="7">
        <f t="shared" si="168"/>
        <v>403963.6983333333</v>
      </c>
      <c r="AL280" s="7">
        <f t="shared" si="168"/>
        <v>403963.6983333333</v>
      </c>
      <c r="AM280" s="7">
        <f t="shared" si="168"/>
        <v>403963.6983333333</v>
      </c>
      <c r="AN280" s="7">
        <f t="shared" si="168"/>
        <v>403963.6983333333</v>
      </c>
      <c r="AO280" s="16"/>
      <c r="AP280" s="7"/>
      <c r="AQ280" s="9">
        <v>6</v>
      </c>
      <c r="AR280" s="9">
        <f t="shared" si="194"/>
        <v>685</v>
      </c>
      <c r="AS280" s="7">
        <f t="shared" si="164"/>
        <v>238</v>
      </c>
      <c r="AT280" s="7"/>
      <c r="AU280" s="16"/>
      <c r="AV280" s="7"/>
      <c r="AW280" s="7"/>
      <c r="AX280" s="7"/>
      <c r="AZ280" s="7"/>
      <c r="BA280" s="9">
        <f t="shared" si="169"/>
        <v>330945.71999999962</v>
      </c>
      <c r="BC280" s="5">
        <f t="shared" si="195"/>
        <v>511</v>
      </c>
      <c r="BR280" s="5">
        <v>5202083</v>
      </c>
      <c r="BS280" s="18">
        <f>[1]monsters!$N280</f>
        <v>199.68</v>
      </c>
      <c r="BT280" s="18">
        <f>[1]monsters!$O280</f>
        <v>19.97</v>
      </c>
      <c r="BU280" s="18">
        <f>[1]monsters!$P280</f>
        <v>3120</v>
      </c>
      <c r="BV280" s="18">
        <f>[1]monsters!$Q280</f>
        <v>312</v>
      </c>
      <c r="BW280" s="18">
        <f>[1]monsters!$R280</f>
        <v>66.56</v>
      </c>
      <c r="BX280" s="18">
        <f>[1]monsters!$S280</f>
        <v>6.66</v>
      </c>
      <c r="BY280" s="18">
        <f>[1]monsters!$K280</f>
        <v>1.8</v>
      </c>
      <c r="BZ280" s="5">
        <f>[1]monsters!$D280</f>
        <v>2</v>
      </c>
      <c r="CA280" s="5">
        <f t="shared" si="196"/>
        <v>0.1</v>
      </c>
      <c r="CB280" s="5">
        <f t="shared" si="197"/>
        <v>293.74810505050505</v>
      </c>
      <c r="CC280" s="5">
        <f t="shared" si="198"/>
        <v>29.374810505050505</v>
      </c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>
        <v>0</v>
      </c>
      <c r="CR280" s="3" t="b">
        <f t="shared" si="170"/>
        <v>1</v>
      </c>
      <c r="CS280" s="3" t="b">
        <f t="shared" si="171"/>
        <v>1</v>
      </c>
      <c r="CT280" s="3" t="b">
        <f t="shared" si="172"/>
        <v>1</v>
      </c>
      <c r="CU280" s="3" t="b">
        <f t="shared" si="173"/>
        <v>1</v>
      </c>
      <c r="CV280" s="3" t="b">
        <f t="shared" si="174"/>
        <v>1</v>
      </c>
      <c r="CW280" s="3" t="b">
        <f t="shared" si="175"/>
        <v>1</v>
      </c>
      <c r="CX280" s="9" t="str">
        <f t="shared" si="176"/>
        <v>5202093</v>
      </c>
      <c r="CY280" s="9" t="str">
        <f t="shared" si="177"/>
        <v>5202092</v>
      </c>
      <c r="CZ280" s="9" t="str">
        <f t="shared" si="178"/>
        <v>5202093</v>
      </c>
      <c r="DA280" s="9" t="str">
        <f t="shared" si="179"/>
        <v>5400095</v>
      </c>
      <c r="DB280" s="9" t="str">
        <f t="shared" si="180"/>
        <v>5501095</v>
      </c>
      <c r="DC280" s="9" t="str">
        <f t="shared" si="181"/>
        <v>5402091</v>
      </c>
      <c r="DD280" s="9">
        <v>9</v>
      </c>
      <c r="DE280" s="9">
        <v>9</v>
      </c>
      <c r="DF280" s="9">
        <v>9</v>
      </c>
      <c r="DG280" s="9">
        <v>9</v>
      </c>
      <c r="DH280" s="9">
        <v>9</v>
      </c>
      <c r="DI280" s="9">
        <v>9</v>
      </c>
      <c r="DJ280" s="9">
        <v>5</v>
      </c>
      <c r="DK280" s="9">
        <v>5</v>
      </c>
      <c r="DL280" s="9">
        <v>5</v>
      </c>
      <c r="DM280" s="9">
        <v>5</v>
      </c>
      <c r="DN280" s="9">
        <v>5</v>
      </c>
      <c r="DO280" s="9">
        <v>5</v>
      </c>
      <c r="DP280" s="25" t="s">
        <v>208</v>
      </c>
      <c r="DQ280" s="25" t="s">
        <v>200</v>
      </c>
      <c r="DR280" s="25" t="s">
        <v>208</v>
      </c>
      <c r="DS280" s="25" t="s">
        <v>210</v>
      </c>
      <c r="DT280" s="25" t="s">
        <v>209</v>
      </c>
      <c r="DU280" s="25" t="s">
        <v>196</v>
      </c>
      <c r="DV280" s="25">
        <f t="shared" si="182"/>
        <v>1</v>
      </c>
      <c r="DW280" s="25">
        <f t="shared" si="183"/>
        <v>1</v>
      </c>
      <c r="DX280" s="25">
        <f t="shared" si="184"/>
        <v>1</v>
      </c>
      <c r="DY280" s="25">
        <f t="shared" si="185"/>
        <v>2</v>
      </c>
      <c r="DZ280" s="25">
        <f t="shared" si="186"/>
        <v>2</v>
      </c>
      <c r="EA280" s="3">
        <f t="shared" si="187"/>
        <v>2</v>
      </c>
      <c r="EB280" s="42"/>
      <c r="EC280" s="9">
        <v>5201101</v>
      </c>
      <c r="ED280" s="34" t="s">
        <v>195</v>
      </c>
      <c r="EE280" s="8">
        <v>1</v>
      </c>
    </row>
    <row r="281" spans="1:135" ht="13.5" customHeight="1">
      <c r="A281" s="9">
        <v>278</v>
      </c>
      <c r="B281" s="9">
        <v>1</v>
      </c>
      <c r="C281" s="9">
        <v>2001</v>
      </c>
      <c r="D281" s="9">
        <f t="shared" si="202"/>
        <v>3179914</v>
      </c>
      <c r="E281" s="9" t="str">
        <f t="shared" si="199"/>
        <v>5301091,5301092,5301093,5501094,5400095,5502093</v>
      </c>
      <c r="F281" s="9" t="str">
        <f t="shared" si="200"/>
        <v>9,9,9,9,9,9</v>
      </c>
      <c r="G281" s="9" t="str">
        <f t="shared" si="201"/>
        <v>557,603,603,603,603,603</v>
      </c>
      <c r="H281" s="9">
        <v>151</v>
      </c>
      <c r="I281" s="9" t="s">
        <v>278</v>
      </c>
      <c r="J281" s="9" t="s">
        <v>279</v>
      </c>
      <c r="K281" s="9" t="s">
        <v>279</v>
      </c>
      <c r="L281" s="9" t="s">
        <v>279</v>
      </c>
      <c r="M281" s="36" t="s">
        <v>298</v>
      </c>
      <c r="N281" s="40"/>
      <c r="O281" s="3">
        <f t="shared" si="167"/>
        <v>3179914</v>
      </c>
      <c r="P281" s="9">
        <v>2513766.0099999998</v>
      </c>
      <c r="Q281" s="9">
        <v>5301091</v>
      </c>
      <c r="R281" s="9">
        <v>5301092</v>
      </c>
      <c r="S281" s="9">
        <v>5301093</v>
      </c>
      <c r="T281" s="9">
        <v>5501094</v>
      </c>
      <c r="U281" s="9">
        <v>5400095</v>
      </c>
      <c r="V281" s="9">
        <v>5502093</v>
      </c>
      <c r="W281" s="9">
        <v>9</v>
      </c>
      <c r="X281" s="9">
        <v>9</v>
      </c>
      <c r="Y281" s="9">
        <v>9</v>
      </c>
      <c r="Z281" s="9">
        <v>9</v>
      </c>
      <c r="AA281" s="9">
        <v>9</v>
      </c>
      <c r="AB281" s="9">
        <v>9</v>
      </c>
      <c r="AC281" s="9">
        <f t="shared" si="188"/>
        <v>557</v>
      </c>
      <c r="AD281" s="9">
        <f t="shared" si="189"/>
        <v>603</v>
      </c>
      <c r="AE281" s="9">
        <f t="shared" si="190"/>
        <v>603</v>
      </c>
      <c r="AF281" s="9">
        <f t="shared" si="191"/>
        <v>603</v>
      </c>
      <c r="AG281" s="9">
        <f t="shared" si="192"/>
        <v>603</v>
      </c>
      <c r="AH281" s="9">
        <f t="shared" si="193"/>
        <v>603</v>
      </c>
      <c r="AI281" s="7">
        <f t="shared" si="166"/>
        <v>418961.00166666665</v>
      </c>
      <c r="AJ281" s="7">
        <f t="shared" si="168"/>
        <v>418961.00166666665</v>
      </c>
      <c r="AK281" s="7">
        <f t="shared" si="168"/>
        <v>418961.00166666665</v>
      </c>
      <c r="AL281" s="7">
        <f t="shared" si="168"/>
        <v>418961.00166666665</v>
      </c>
      <c r="AM281" s="7">
        <f t="shared" si="168"/>
        <v>418961.00166666665</v>
      </c>
      <c r="AN281" s="7">
        <f t="shared" si="168"/>
        <v>418961.00166666665</v>
      </c>
      <c r="AO281" s="16"/>
      <c r="AP281" s="7"/>
      <c r="AQ281" s="9">
        <v>6</v>
      </c>
      <c r="AR281" s="9">
        <f t="shared" si="194"/>
        <v>697</v>
      </c>
      <c r="AS281" s="7">
        <f t="shared" si="164"/>
        <v>239</v>
      </c>
      <c r="AT281" s="7"/>
      <c r="AU281" s="16"/>
      <c r="AV281" s="7"/>
      <c r="AW281" s="7"/>
      <c r="AX281" s="7"/>
      <c r="AZ281" s="7"/>
      <c r="BA281" s="9">
        <f t="shared" si="169"/>
        <v>333336.07999999961</v>
      </c>
      <c r="BC281" s="5">
        <f t="shared" si="195"/>
        <v>520</v>
      </c>
      <c r="BR281" s="5">
        <v>5302083</v>
      </c>
      <c r="BS281" s="18">
        <f>[1]monsters!$N281</f>
        <v>224.64</v>
      </c>
      <c r="BT281" s="18">
        <f>[1]monsters!$O281</f>
        <v>22.46</v>
      </c>
      <c r="BU281" s="18">
        <f>[1]monsters!$P281</f>
        <v>2773.33</v>
      </c>
      <c r="BV281" s="18">
        <f>[1]monsters!$Q281</f>
        <v>277.33</v>
      </c>
      <c r="BW281" s="18">
        <f>[1]monsters!$R281</f>
        <v>44.93</v>
      </c>
      <c r="BX281" s="18">
        <f>[1]monsters!$S281</f>
        <v>4.49</v>
      </c>
      <c r="BY281" s="18">
        <f>[1]monsters!$K281</f>
        <v>1.8</v>
      </c>
      <c r="BZ281" s="5">
        <f>[1]monsters!$D281</f>
        <v>2</v>
      </c>
      <c r="CA281" s="5">
        <f t="shared" si="196"/>
        <v>0.1</v>
      </c>
      <c r="CB281" s="5">
        <f t="shared" si="197"/>
        <v>305.66291447811443</v>
      </c>
      <c r="CC281" s="5">
        <f t="shared" si="198"/>
        <v>30.566291447811444</v>
      </c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>
        <v>0</v>
      </c>
      <c r="CR281" s="3" t="b">
        <f t="shared" si="170"/>
        <v>1</v>
      </c>
      <c r="CS281" s="3" t="b">
        <f t="shared" si="171"/>
        <v>1</v>
      </c>
      <c r="CT281" s="3" t="b">
        <f t="shared" si="172"/>
        <v>1</v>
      </c>
      <c r="CU281" s="3" t="b">
        <f t="shared" si="173"/>
        <v>1</v>
      </c>
      <c r="CV281" s="3" t="b">
        <f t="shared" si="174"/>
        <v>1</v>
      </c>
      <c r="CW281" s="3" t="b">
        <f t="shared" si="175"/>
        <v>1</v>
      </c>
      <c r="CX281" s="9" t="str">
        <f t="shared" si="176"/>
        <v>5301091</v>
      </c>
      <c r="CY281" s="9" t="str">
        <f t="shared" si="177"/>
        <v>5301092</v>
      </c>
      <c r="CZ281" s="9" t="str">
        <f t="shared" si="178"/>
        <v>5301093</v>
      </c>
      <c r="DA281" s="9" t="str">
        <f t="shared" si="179"/>
        <v>5501094</v>
      </c>
      <c r="DB281" s="9" t="str">
        <f t="shared" si="180"/>
        <v>5400095</v>
      </c>
      <c r="DC281" s="9" t="str">
        <f t="shared" si="181"/>
        <v>5502093</v>
      </c>
      <c r="DD281" s="9">
        <v>9</v>
      </c>
      <c r="DE281" s="9">
        <v>9</v>
      </c>
      <c r="DF281" s="9">
        <v>9</v>
      </c>
      <c r="DG281" s="9">
        <v>9</v>
      </c>
      <c r="DH281" s="9">
        <v>9</v>
      </c>
      <c r="DI281" s="9">
        <v>9</v>
      </c>
      <c r="DJ281" s="9">
        <v>5</v>
      </c>
      <c r="DK281" s="9">
        <v>5</v>
      </c>
      <c r="DL281" s="9">
        <v>5</v>
      </c>
      <c r="DM281" s="9">
        <v>5</v>
      </c>
      <c r="DN281" s="9">
        <v>5</v>
      </c>
      <c r="DO281" s="9">
        <v>5</v>
      </c>
      <c r="DP281" s="26" t="s">
        <v>107</v>
      </c>
      <c r="DQ281" s="26" t="s">
        <v>201</v>
      </c>
      <c r="DR281" s="26" t="s">
        <v>206</v>
      </c>
      <c r="DS281" s="26" t="s">
        <v>214</v>
      </c>
      <c r="DT281" s="26" t="s">
        <v>210</v>
      </c>
      <c r="DU281" s="26" t="s">
        <v>215</v>
      </c>
      <c r="DV281" s="26">
        <f t="shared" si="182"/>
        <v>1</v>
      </c>
      <c r="DW281" s="26">
        <f t="shared" si="183"/>
        <v>1</v>
      </c>
      <c r="DX281" s="26">
        <f t="shared" si="184"/>
        <v>1</v>
      </c>
      <c r="DY281" s="26">
        <f t="shared" si="185"/>
        <v>2</v>
      </c>
      <c r="DZ281" s="26">
        <f t="shared" si="186"/>
        <v>2</v>
      </c>
      <c r="EA281" s="3">
        <f t="shared" si="187"/>
        <v>2</v>
      </c>
      <c r="EB281" s="42"/>
      <c r="EC281" s="9">
        <v>5202101</v>
      </c>
      <c r="ED281" s="34" t="s">
        <v>111</v>
      </c>
      <c r="EE281" s="8">
        <v>1</v>
      </c>
    </row>
    <row r="282" spans="1:135" ht="13.5" customHeight="1">
      <c r="A282" s="9">
        <v>279</v>
      </c>
      <c r="B282" s="9">
        <v>1</v>
      </c>
      <c r="C282" s="9">
        <v>2001</v>
      </c>
      <c r="D282" s="9">
        <f t="shared" si="202"/>
        <v>3293988</v>
      </c>
      <c r="E282" s="9" t="str">
        <f t="shared" si="199"/>
        <v>5200092,5200093,5202092,5402092,5500093,5501094</v>
      </c>
      <c r="F282" s="9" t="str">
        <f t="shared" si="200"/>
        <v>9,9,9,9,9,9</v>
      </c>
      <c r="G282" s="9" t="str">
        <f t="shared" si="201"/>
        <v>567,613,613,613,613,613</v>
      </c>
      <c r="H282" s="9">
        <v>151</v>
      </c>
      <c r="I282" s="9" t="s">
        <v>278</v>
      </c>
      <c r="J282" s="9" t="s">
        <v>279</v>
      </c>
      <c r="K282" s="9" t="s">
        <v>279</v>
      </c>
      <c r="L282" s="9" t="s">
        <v>279</v>
      </c>
      <c r="M282" s="36" t="s">
        <v>298</v>
      </c>
      <c r="N282" s="40"/>
      <c r="O282" s="3">
        <f t="shared" si="167"/>
        <v>3293988</v>
      </c>
      <c r="P282" s="9">
        <v>2603942.86</v>
      </c>
      <c r="Q282" s="9">
        <v>5200092</v>
      </c>
      <c r="R282" s="9">
        <v>5200093</v>
      </c>
      <c r="S282" s="9">
        <v>5202092</v>
      </c>
      <c r="T282" s="9">
        <v>5402092</v>
      </c>
      <c r="U282" s="9">
        <v>5500093</v>
      </c>
      <c r="V282" s="9">
        <v>5501094</v>
      </c>
      <c r="W282" s="9">
        <v>9</v>
      </c>
      <c r="X282" s="9">
        <v>9</v>
      </c>
      <c r="Y282" s="9">
        <v>9</v>
      </c>
      <c r="Z282" s="9">
        <v>9</v>
      </c>
      <c r="AA282" s="9">
        <v>9</v>
      </c>
      <c r="AB282" s="9">
        <v>9</v>
      </c>
      <c r="AC282" s="9">
        <f t="shared" si="188"/>
        <v>567</v>
      </c>
      <c r="AD282" s="9">
        <f t="shared" si="189"/>
        <v>613</v>
      </c>
      <c r="AE282" s="9">
        <f t="shared" si="190"/>
        <v>613</v>
      </c>
      <c r="AF282" s="9">
        <f t="shared" si="191"/>
        <v>613</v>
      </c>
      <c r="AG282" s="9">
        <f t="shared" si="192"/>
        <v>613</v>
      </c>
      <c r="AH282" s="9">
        <f t="shared" si="193"/>
        <v>613</v>
      </c>
      <c r="AI282" s="7">
        <f t="shared" si="166"/>
        <v>433990.47666666663</v>
      </c>
      <c r="AJ282" s="7">
        <f t="shared" si="168"/>
        <v>433990.47666666663</v>
      </c>
      <c r="AK282" s="7">
        <f t="shared" si="168"/>
        <v>433990.47666666663</v>
      </c>
      <c r="AL282" s="7">
        <f t="shared" si="168"/>
        <v>433990.47666666663</v>
      </c>
      <c r="AM282" s="7">
        <f t="shared" si="168"/>
        <v>433990.47666666663</v>
      </c>
      <c r="AN282" s="7">
        <f t="shared" si="168"/>
        <v>433990.47666666663</v>
      </c>
      <c r="AO282" s="16"/>
      <c r="AP282" s="7"/>
      <c r="AQ282" s="9">
        <v>6</v>
      </c>
      <c r="AR282" s="9">
        <f t="shared" si="194"/>
        <v>710</v>
      </c>
      <c r="AS282" s="7">
        <f t="shared" si="164"/>
        <v>239</v>
      </c>
      <c r="AT282" s="7"/>
      <c r="AU282" s="16"/>
      <c r="AV282" s="7"/>
      <c r="AW282" s="7"/>
      <c r="AX282" s="7"/>
      <c r="AZ282" s="7"/>
      <c r="BA282" s="9">
        <f t="shared" si="169"/>
        <v>335726.43999999959</v>
      </c>
      <c r="BC282" s="5">
        <f t="shared" si="195"/>
        <v>530</v>
      </c>
      <c r="BR282" s="5">
        <v>5301083</v>
      </c>
      <c r="BS282" s="18">
        <f>[1]monsters!$N282</f>
        <v>149.76</v>
      </c>
      <c r="BT282" s="18">
        <f>[1]monsters!$O282</f>
        <v>14.98</v>
      </c>
      <c r="BU282" s="18">
        <f>[1]monsters!$P282</f>
        <v>2773.33</v>
      </c>
      <c r="BV282" s="18">
        <f>[1]monsters!$Q282</f>
        <v>277.33</v>
      </c>
      <c r="BW282" s="18">
        <f>[1]monsters!$R282</f>
        <v>29.95</v>
      </c>
      <c r="BX282" s="18">
        <f>[1]monsters!$S282</f>
        <v>3</v>
      </c>
      <c r="BY282" s="18">
        <f>[1]monsters!$K282</f>
        <v>1.2</v>
      </c>
      <c r="BZ282" s="5">
        <f>[1]monsters!$D282</f>
        <v>3</v>
      </c>
      <c r="CA282" s="5">
        <f t="shared" si="196"/>
        <v>0.1</v>
      </c>
      <c r="CB282" s="5">
        <f t="shared" si="197"/>
        <v>234.90131447811447</v>
      </c>
      <c r="CC282" s="5">
        <f t="shared" si="198"/>
        <v>23.49013144781145</v>
      </c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>
        <v>0</v>
      </c>
      <c r="CR282" s="3" t="b">
        <f t="shared" si="170"/>
        <v>1</v>
      </c>
      <c r="CS282" s="3" t="b">
        <f t="shared" si="171"/>
        <v>1</v>
      </c>
      <c r="CT282" s="3" t="b">
        <f t="shared" si="172"/>
        <v>1</v>
      </c>
      <c r="CU282" s="3" t="b">
        <f t="shared" si="173"/>
        <v>1</v>
      </c>
      <c r="CV282" s="3" t="b">
        <f t="shared" si="174"/>
        <v>1</v>
      </c>
      <c r="CW282" s="3" t="b">
        <f t="shared" si="175"/>
        <v>1</v>
      </c>
      <c r="CX282" s="9" t="str">
        <f t="shared" si="176"/>
        <v>5200092</v>
      </c>
      <c r="CY282" s="9" t="str">
        <f t="shared" si="177"/>
        <v>5200093</v>
      </c>
      <c r="CZ282" s="9" t="str">
        <f t="shared" si="178"/>
        <v>5202092</v>
      </c>
      <c r="DA282" s="9" t="str">
        <f t="shared" si="179"/>
        <v>5402092</v>
      </c>
      <c r="DB282" s="9" t="str">
        <f t="shared" si="180"/>
        <v>5500093</v>
      </c>
      <c r="DC282" s="9" t="str">
        <f t="shared" si="181"/>
        <v>5501094</v>
      </c>
      <c r="DD282" s="9">
        <v>9</v>
      </c>
      <c r="DE282" s="9">
        <v>9</v>
      </c>
      <c r="DF282" s="9">
        <v>9</v>
      </c>
      <c r="DG282" s="9">
        <v>9</v>
      </c>
      <c r="DH282" s="9">
        <v>9</v>
      </c>
      <c r="DI282" s="9">
        <v>9</v>
      </c>
      <c r="DJ282" s="9">
        <v>5</v>
      </c>
      <c r="DK282" s="9">
        <v>5</v>
      </c>
      <c r="DL282" s="9">
        <v>5</v>
      </c>
      <c r="DM282" s="9">
        <v>5</v>
      </c>
      <c r="DN282" s="9">
        <v>5</v>
      </c>
      <c r="DO282" s="9">
        <v>5</v>
      </c>
      <c r="DP282" s="25" t="s">
        <v>199</v>
      </c>
      <c r="DQ282" s="25" t="s">
        <v>113</v>
      </c>
      <c r="DR282" s="26" t="s">
        <v>200</v>
      </c>
      <c r="DS282" s="26" t="s">
        <v>203</v>
      </c>
      <c r="DT282" s="26" t="s">
        <v>207</v>
      </c>
      <c r="DU282" s="26" t="s">
        <v>214</v>
      </c>
      <c r="DV282" s="26">
        <f t="shared" si="182"/>
        <v>1</v>
      </c>
      <c r="DW282" s="26">
        <f t="shared" si="183"/>
        <v>1</v>
      </c>
      <c r="DX282" s="26">
        <f t="shared" si="184"/>
        <v>1</v>
      </c>
      <c r="DY282" s="26">
        <f t="shared" si="185"/>
        <v>2</v>
      </c>
      <c r="DZ282" s="26">
        <f t="shared" si="186"/>
        <v>2</v>
      </c>
      <c r="EA282" s="3">
        <f t="shared" si="187"/>
        <v>2</v>
      </c>
      <c r="EB282" s="42"/>
      <c r="EC282" s="9">
        <v>5301101</v>
      </c>
      <c r="ED282" s="34" t="s">
        <v>107</v>
      </c>
      <c r="EE282" s="8">
        <v>1</v>
      </c>
    </row>
    <row r="283" spans="1:135" ht="13.5" customHeight="1">
      <c r="A283" s="9">
        <v>280</v>
      </c>
      <c r="B283" s="9">
        <v>1</v>
      </c>
      <c r="C283" s="9">
        <v>2001</v>
      </c>
      <c r="D283" s="9">
        <f t="shared" si="202"/>
        <v>3409139</v>
      </c>
      <c r="E283" s="9" t="str">
        <f t="shared" si="199"/>
        <v>5300095,5201092,5301091,5400095,5501095,5400095</v>
      </c>
      <c r="F283" s="9" t="str">
        <f t="shared" si="200"/>
        <v>9,9,9,9,9,9</v>
      </c>
      <c r="G283" s="9" t="str">
        <f t="shared" si="201"/>
        <v>577,624,624,624,624,624</v>
      </c>
      <c r="H283" s="9">
        <v>152</v>
      </c>
      <c r="I283" s="9" t="s">
        <v>278</v>
      </c>
      <c r="J283" s="9" t="s">
        <v>279</v>
      </c>
      <c r="K283" s="9" t="s">
        <v>279</v>
      </c>
      <c r="L283" s="9" t="s">
        <v>279</v>
      </c>
      <c r="M283" s="36" t="s">
        <v>298</v>
      </c>
      <c r="O283" s="3">
        <f t="shared" si="167"/>
        <v>3409139</v>
      </c>
      <c r="P283" s="9">
        <v>2694971.43</v>
      </c>
      <c r="Q283" s="9">
        <v>5300095</v>
      </c>
      <c r="R283" s="9">
        <v>5201092</v>
      </c>
      <c r="S283" s="9">
        <v>5301091</v>
      </c>
      <c r="T283" s="9">
        <v>5400095</v>
      </c>
      <c r="U283" s="9">
        <v>5501095</v>
      </c>
      <c r="V283" s="9">
        <v>5400095</v>
      </c>
      <c r="W283" s="9">
        <v>9</v>
      </c>
      <c r="X283" s="9">
        <v>9</v>
      </c>
      <c r="Y283" s="9">
        <v>9</v>
      </c>
      <c r="Z283" s="9">
        <v>9</v>
      </c>
      <c r="AA283" s="9">
        <v>9</v>
      </c>
      <c r="AB283" s="9">
        <v>9</v>
      </c>
      <c r="AC283" s="9">
        <f t="shared" si="188"/>
        <v>577</v>
      </c>
      <c r="AD283" s="9">
        <f t="shared" si="189"/>
        <v>624</v>
      </c>
      <c r="AE283" s="9">
        <f t="shared" si="190"/>
        <v>624</v>
      </c>
      <c r="AF283" s="9">
        <f t="shared" si="191"/>
        <v>624</v>
      </c>
      <c r="AG283" s="9">
        <f t="shared" si="192"/>
        <v>624</v>
      </c>
      <c r="AH283" s="9">
        <f t="shared" si="193"/>
        <v>624</v>
      </c>
      <c r="AI283" s="7">
        <f t="shared" si="166"/>
        <v>449161.90500000003</v>
      </c>
      <c r="AJ283" s="7">
        <f t="shared" si="168"/>
        <v>449161.90500000003</v>
      </c>
      <c r="AK283" s="7">
        <f t="shared" si="168"/>
        <v>449161.90500000003</v>
      </c>
      <c r="AL283" s="7">
        <f t="shared" si="168"/>
        <v>449161.90500000003</v>
      </c>
      <c r="AM283" s="7">
        <f t="shared" si="168"/>
        <v>449161.90500000003</v>
      </c>
      <c r="AN283" s="7">
        <f t="shared" si="168"/>
        <v>449161.90500000003</v>
      </c>
      <c r="AO283" s="16"/>
      <c r="AP283" s="7"/>
      <c r="AQ283" s="9">
        <v>6</v>
      </c>
      <c r="AR283" s="9">
        <f t="shared" si="194"/>
        <v>722</v>
      </c>
      <c r="AS283" s="7">
        <f t="shared" ref="AS283:AS346" si="203">FLOOR((A283-150)/2,1)+175</f>
        <v>240</v>
      </c>
      <c r="AT283" s="7"/>
      <c r="AU283" s="16"/>
      <c r="AV283" s="7"/>
      <c r="AW283" s="7"/>
      <c r="AX283" s="7"/>
      <c r="AZ283" s="7"/>
      <c r="BA283" s="9">
        <f t="shared" si="169"/>
        <v>338116.79999999958</v>
      </c>
      <c r="BC283" s="5">
        <f t="shared" si="195"/>
        <v>539</v>
      </c>
      <c r="BR283" s="5">
        <v>5400083</v>
      </c>
      <c r="BS283" s="18">
        <f>[1]monsters!$N283</f>
        <v>266.24</v>
      </c>
      <c r="BT283" s="18">
        <f>[1]monsters!$O283</f>
        <v>26.62</v>
      </c>
      <c r="BU283" s="18">
        <f>[1]monsters!$P283</f>
        <v>2080</v>
      </c>
      <c r="BV283" s="18">
        <f>[1]monsters!$Q283</f>
        <v>208</v>
      </c>
      <c r="BW283" s="18">
        <f>[1]monsters!$R283</f>
        <v>38.03</v>
      </c>
      <c r="BX283" s="18">
        <f>[1]monsters!$S283</f>
        <v>3.8</v>
      </c>
      <c r="BY283" s="18">
        <f>[1]monsters!$K283</f>
        <v>1.6</v>
      </c>
      <c r="BZ283" s="5">
        <f>[1]monsters!$D283</f>
        <v>4</v>
      </c>
      <c r="CA283" s="5">
        <f t="shared" si="196"/>
        <v>0.1</v>
      </c>
      <c r="CB283" s="5">
        <f t="shared" si="197"/>
        <v>321.63047003367006</v>
      </c>
      <c r="CC283" s="5">
        <f t="shared" si="198"/>
        <v>32.163047003367005</v>
      </c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>
        <v>1</v>
      </c>
      <c r="CR283" s="3" t="b">
        <f t="shared" si="170"/>
        <v>1</v>
      </c>
      <c r="CS283" s="3" t="b">
        <f t="shared" si="171"/>
        <v>1</v>
      </c>
      <c r="CT283" s="3" t="b">
        <f t="shared" si="172"/>
        <v>1</v>
      </c>
      <c r="CU283" s="3" t="b">
        <f t="shared" si="173"/>
        <v>1</v>
      </c>
      <c r="CV283" s="3" t="b">
        <f t="shared" si="174"/>
        <v>1</v>
      </c>
      <c r="CW283" s="3" t="b">
        <f t="shared" si="175"/>
        <v>1</v>
      </c>
      <c r="CX283" s="9" t="str">
        <f t="shared" si="176"/>
        <v>5300095</v>
      </c>
      <c r="CY283" s="9" t="str">
        <f t="shared" si="177"/>
        <v>5201092</v>
      </c>
      <c r="CZ283" s="9" t="str">
        <f t="shared" si="178"/>
        <v>5301091</v>
      </c>
      <c r="DA283" s="9" t="str">
        <f t="shared" si="179"/>
        <v>5400095</v>
      </c>
      <c r="DB283" s="9" t="str">
        <f t="shared" si="180"/>
        <v>5501095</v>
      </c>
      <c r="DC283" s="9" t="str">
        <f t="shared" si="181"/>
        <v>5400095</v>
      </c>
      <c r="DD283" s="9">
        <v>9</v>
      </c>
      <c r="DE283" s="9">
        <v>9</v>
      </c>
      <c r="DF283" s="9">
        <v>9</v>
      </c>
      <c r="DG283" s="9">
        <v>9</v>
      </c>
      <c r="DH283" s="9">
        <v>9</v>
      </c>
      <c r="DI283" s="9">
        <v>9</v>
      </c>
      <c r="DJ283" s="9">
        <v>5</v>
      </c>
      <c r="DK283" s="9">
        <v>5</v>
      </c>
      <c r="DL283" s="9">
        <v>5</v>
      </c>
      <c r="DM283" s="9">
        <v>5</v>
      </c>
      <c r="DN283" s="9">
        <v>5</v>
      </c>
      <c r="DO283" s="9">
        <v>5</v>
      </c>
      <c r="DP283" s="25" t="s">
        <v>212</v>
      </c>
      <c r="DQ283" s="25" t="s">
        <v>114</v>
      </c>
      <c r="DR283" s="25" t="s">
        <v>107</v>
      </c>
      <c r="DS283" s="26" t="s">
        <v>210</v>
      </c>
      <c r="DT283" s="26" t="s">
        <v>209</v>
      </c>
      <c r="DU283" s="26" t="s">
        <v>210</v>
      </c>
      <c r="DV283" s="26">
        <f t="shared" si="182"/>
        <v>1</v>
      </c>
      <c r="DW283" s="26">
        <f t="shared" si="183"/>
        <v>1</v>
      </c>
      <c r="DX283" s="26">
        <f t="shared" si="184"/>
        <v>1</v>
      </c>
      <c r="DY283" s="26">
        <f t="shared" si="185"/>
        <v>2</v>
      </c>
      <c r="DZ283" s="26">
        <f t="shared" si="186"/>
        <v>2</v>
      </c>
      <c r="EA283" s="3">
        <f t="shared" si="187"/>
        <v>2</v>
      </c>
      <c r="EB283" s="42"/>
      <c r="EC283" s="9">
        <v>5401101</v>
      </c>
      <c r="ED283" s="34" t="s">
        <v>117</v>
      </c>
      <c r="EE283" s="8">
        <v>2</v>
      </c>
    </row>
    <row r="284" spans="1:135" ht="13.5" customHeight="1">
      <c r="A284" s="9">
        <v>281</v>
      </c>
      <c r="B284" s="9">
        <v>1</v>
      </c>
      <c r="C284" s="9">
        <v>2001</v>
      </c>
      <c r="D284" s="9">
        <f t="shared" si="202"/>
        <v>3424973</v>
      </c>
      <c r="E284" s="9" t="str">
        <f t="shared" si="199"/>
        <v>5201091,5200093,5202091,5502092,5500091,5601092</v>
      </c>
      <c r="F284" s="9" t="str">
        <f t="shared" si="200"/>
        <v>9,9,9,9,9,9</v>
      </c>
      <c r="G284" s="9" t="str">
        <f t="shared" si="201"/>
        <v>579,626,626,626,626,626</v>
      </c>
      <c r="H284" s="9">
        <v>152</v>
      </c>
      <c r="I284" s="9" t="s">
        <v>278</v>
      </c>
      <c r="J284" s="9" t="s">
        <v>279</v>
      </c>
      <c r="K284" s="9" t="s">
        <v>279</v>
      </c>
      <c r="L284" s="9" t="s">
        <v>279</v>
      </c>
      <c r="M284" s="36" t="s">
        <v>298</v>
      </c>
      <c r="N284" s="40"/>
      <c r="O284" s="3">
        <f t="shared" si="167"/>
        <v>3424973</v>
      </c>
      <c r="P284" s="9">
        <v>2707488.53</v>
      </c>
      <c r="Q284" s="9">
        <v>5201091</v>
      </c>
      <c r="R284" s="9">
        <v>5200093</v>
      </c>
      <c r="S284" s="9">
        <v>5202091</v>
      </c>
      <c r="T284" s="9">
        <v>5502092</v>
      </c>
      <c r="U284" s="9">
        <v>5500091</v>
      </c>
      <c r="V284" s="9">
        <v>5601092</v>
      </c>
      <c r="W284" s="9">
        <v>9</v>
      </c>
      <c r="X284" s="9">
        <v>9</v>
      </c>
      <c r="Y284" s="9">
        <v>9</v>
      </c>
      <c r="Z284" s="9">
        <v>9</v>
      </c>
      <c r="AA284" s="9">
        <v>9</v>
      </c>
      <c r="AB284" s="9">
        <v>9</v>
      </c>
      <c r="AC284" s="9">
        <f t="shared" si="188"/>
        <v>579</v>
      </c>
      <c r="AD284" s="9">
        <f t="shared" si="189"/>
        <v>626</v>
      </c>
      <c r="AE284" s="9">
        <f t="shared" si="190"/>
        <v>626</v>
      </c>
      <c r="AF284" s="9">
        <f t="shared" si="191"/>
        <v>626</v>
      </c>
      <c r="AG284" s="9">
        <f t="shared" si="192"/>
        <v>626</v>
      </c>
      <c r="AH284" s="9">
        <f t="shared" si="193"/>
        <v>626</v>
      </c>
      <c r="AI284" s="7">
        <f t="shared" si="166"/>
        <v>451248.08833333332</v>
      </c>
      <c r="AJ284" s="7">
        <f t="shared" si="168"/>
        <v>451248.08833333332</v>
      </c>
      <c r="AK284" s="7">
        <f t="shared" si="168"/>
        <v>451248.08833333332</v>
      </c>
      <c r="AL284" s="7">
        <f t="shared" si="168"/>
        <v>451248.08833333332</v>
      </c>
      <c r="AM284" s="7">
        <f t="shared" si="168"/>
        <v>451248.08833333332</v>
      </c>
      <c r="AN284" s="7">
        <f t="shared" si="168"/>
        <v>451248.08833333332</v>
      </c>
      <c r="AO284" s="16"/>
      <c r="AP284" s="7"/>
      <c r="AQ284" s="9">
        <v>6</v>
      </c>
      <c r="AR284" s="9">
        <f t="shared" si="194"/>
        <v>724</v>
      </c>
      <c r="AS284" s="7">
        <f t="shared" si="203"/>
        <v>240</v>
      </c>
      <c r="AT284" s="7"/>
      <c r="AU284" s="16"/>
      <c r="AV284" s="7"/>
      <c r="AW284" s="7"/>
      <c r="AX284" s="7"/>
      <c r="AZ284" s="7"/>
      <c r="BA284" s="9">
        <f t="shared" si="169"/>
        <v>340507.15999999957</v>
      </c>
      <c r="BC284" s="5">
        <f t="shared" si="195"/>
        <v>540</v>
      </c>
      <c r="BR284" s="5">
        <v>5401083</v>
      </c>
      <c r="BS284" s="18">
        <f>[1]monsters!$N284</f>
        <v>249.6</v>
      </c>
      <c r="BT284" s="18">
        <f>[1]monsters!$O284</f>
        <v>24.96</v>
      </c>
      <c r="BU284" s="18">
        <f>[1]monsters!$P284</f>
        <v>2080</v>
      </c>
      <c r="BV284" s="18">
        <f>[1]monsters!$Q284</f>
        <v>208</v>
      </c>
      <c r="BW284" s="18">
        <f>[1]monsters!$R284</f>
        <v>35.659999999999997</v>
      </c>
      <c r="BX284" s="18">
        <f>[1]monsters!$S284</f>
        <v>3.57</v>
      </c>
      <c r="BY284" s="18">
        <f>[1]monsters!$K284</f>
        <v>1.5</v>
      </c>
      <c r="BZ284" s="5">
        <f>[1]monsters!$D284</f>
        <v>4</v>
      </c>
      <c r="CA284" s="5">
        <f t="shared" si="196"/>
        <v>0.1</v>
      </c>
      <c r="CB284" s="5">
        <f t="shared" si="197"/>
        <v>305.90567003367005</v>
      </c>
      <c r="CC284" s="5">
        <f t="shared" si="198"/>
        <v>30.590567003367006</v>
      </c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>
        <v>0</v>
      </c>
      <c r="CR284" s="3" t="b">
        <f t="shared" si="170"/>
        <v>1</v>
      </c>
      <c r="CS284" s="3" t="b">
        <f t="shared" si="171"/>
        <v>1</v>
      </c>
      <c r="CT284" s="3" t="b">
        <f t="shared" si="172"/>
        <v>1</v>
      </c>
      <c r="CU284" s="3" t="b">
        <f t="shared" si="173"/>
        <v>1</v>
      </c>
      <c r="CV284" s="3" t="b">
        <f t="shared" si="174"/>
        <v>1</v>
      </c>
      <c r="CW284" s="3" t="b">
        <f t="shared" si="175"/>
        <v>1</v>
      </c>
      <c r="CX284" s="9" t="str">
        <f t="shared" si="176"/>
        <v>5201091</v>
      </c>
      <c r="CY284" s="9" t="str">
        <f t="shared" si="177"/>
        <v>5200093</v>
      </c>
      <c r="CZ284" s="9" t="str">
        <f t="shared" si="178"/>
        <v>5202091</v>
      </c>
      <c r="DA284" s="9" t="str">
        <f t="shared" si="179"/>
        <v>5502092</v>
      </c>
      <c r="DB284" s="9" t="str">
        <f t="shared" si="180"/>
        <v>5500091</v>
      </c>
      <c r="DC284" s="9" t="str">
        <f t="shared" si="181"/>
        <v>5601092</v>
      </c>
      <c r="DD284" s="9">
        <v>9</v>
      </c>
      <c r="DE284" s="9">
        <v>9</v>
      </c>
      <c r="DF284" s="9">
        <v>9</v>
      </c>
      <c r="DG284" s="9">
        <v>9</v>
      </c>
      <c r="DH284" s="9">
        <v>9</v>
      </c>
      <c r="DI284" s="9">
        <v>9</v>
      </c>
      <c r="DJ284" s="9">
        <v>5</v>
      </c>
      <c r="DK284" s="9">
        <v>5</v>
      </c>
      <c r="DL284" s="9">
        <v>5</v>
      </c>
      <c r="DM284" s="9">
        <v>5</v>
      </c>
      <c r="DN284" s="9">
        <v>5</v>
      </c>
      <c r="DO284" s="9">
        <v>5</v>
      </c>
      <c r="DP284" s="25" t="s">
        <v>195</v>
      </c>
      <c r="DQ284" s="25" t="s">
        <v>113</v>
      </c>
      <c r="DR284" s="26" t="s">
        <v>111</v>
      </c>
      <c r="DS284" s="28" t="s">
        <v>204</v>
      </c>
      <c r="DT284" s="26" t="s">
        <v>197</v>
      </c>
      <c r="DU284" s="26" t="s">
        <v>124</v>
      </c>
      <c r="DV284" s="26">
        <f t="shared" si="182"/>
        <v>1</v>
      </c>
      <c r="DW284" s="26">
        <f t="shared" si="183"/>
        <v>1</v>
      </c>
      <c r="DX284" s="26">
        <f t="shared" si="184"/>
        <v>1</v>
      </c>
      <c r="DY284" s="26">
        <f t="shared" si="185"/>
        <v>2</v>
      </c>
      <c r="DZ284" s="26">
        <f t="shared" si="186"/>
        <v>2</v>
      </c>
      <c r="EA284" s="3">
        <f t="shared" si="187"/>
        <v>2</v>
      </c>
      <c r="EB284" s="42"/>
      <c r="EC284" s="9">
        <v>5402101</v>
      </c>
      <c r="ED284" s="34" t="s">
        <v>196</v>
      </c>
      <c r="EE284" s="8">
        <v>2</v>
      </c>
    </row>
    <row r="285" spans="1:135" ht="13.5" customHeight="1">
      <c r="A285" s="9">
        <v>282</v>
      </c>
      <c r="B285" s="9">
        <v>1</v>
      </c>
      <c r="C285" s="9">
        <v>2001</v>
      </c>
      <c r="D285" s="9">
        <f t="shared" si="202"/>
        <v>3440842</v>
      </c>
      <c r="E285" s="9" t="str">
        <f t="shared" si="199"/>
        <v>5200092,5200093,5200092,5501094,5500093,5501094</v>
      </c>
      <c r="F285" s="9" t="str">
        <f t="shared" si="200"/>
        <v>9,9,9,9,9,9</v>
      </c>
      <c r="G285" s="9" t="str">
        <f t="shared" si="201"/>
        <v>580,627,627,627,627,627</v>
      </c>
      <c r="H285" s="9">
        <v>152</v>
      </c>
      <c r="I285" s="9" t="s">
        <v>278</v>
      </c>
      <c r="J285" s="9" t="s">
        <v>279</v>
      </c>
      <c r="K285" s="9" t="s">
        <v>279</v>
      </c>
      <c r="L285" s="9" t="s">
        <v>279</v>
      </c>
      <c r="M285" s="36" t="s">
        <v>298</v>
      </c>
      <c r="N285" s="40"/>
      <c r="O285" s="3">
        <f t="shared" si="167"/>
        <v>3440842</v>
      </c>
      <c r="P285" s="9">
        <v>2720033.49</v>
      </c>
      <c r="Q285" s="9">
        <v>5200092</v>
      </c>
      <c r="R285" s="9">
        <v>5200093</v>
      </c>
      <c r="S285" s="9">
        <v>5200092</v>
      </c>
      <c r="T285" s="9">
        <v>5501094</v>
      </c>
      <c r="U285" s="9">
        <v>5500093</v>
      </c>
      <c r="V285" s="9">
        <v>5501094</v>
      </c>
      <c r="W285" s="9">
        <v>9</v>
      </c>
      <c r="X285" s="9">
        <v>9</v>
      </c>
      <c r="Y285" s="9">
        <v>9</v>
      </c>
      <c r="Z285" s="9">
        <v>9</v>
      </c>
      <c r="AA285" s="9">
        <v>9</v>
      </c>
      <c r="AB285" s="9">
        <v>9</v>
      </c>
      <c r="AC285" s="9">
        <f t="shared" si="188"/>
        <v>580</v>
      </c>
      <c r="AD285" s="9">
        <f t="shared" si="189"/>
        <v>627</v>
      </c>
      <c r="AE285" s="9">
        <f t="shared" si="190"/>
        <v>627</v>
      </c>
      <c r="AF285" s="9">
        <f t="shared" si="191"/>
        <v>627</v>
      </c>
      <c r="AG285" s="9">
        <f t="shared" si="192"/>
        <v>627</v>
      </c>
      <c r="AH285" s="9">
        <f t="shared" si="193"/>
        <v>627</v>
      </c>
      <c r="AI285" s="7">
        <f t="shared" si="166"/>
        <v>453338.91500000004</v>
      </c>
      <c r="AJ285" s="7">
        <f t="shared" si="168"/>
        <v>453338.91500000004</v>
      </c>
      <c r="AK285" s="7">
        <f t="shared" si="168"/>
        <v>453338.91500000004</v>
      </c>
      <c r="AL285" s="7">
        <f t="shared" si="168"/>
        <v>453338.91500000004</v>
      </c>
      <c r="AM285" s="7">
        <f t="shared" si="168"/>
        <v>453338.91500000004</v>
      </c>
      <c r="AN285" s="7">
        <f t="shared" si="168"/>
        <v>453338.91500000004</v>
      </c>
      <c r="AO285" s="16"/>
      <c r="AP285" s="7"/>
      <c r="AQ285" s="9">
        <v>6</v>
      </c>
      <c r="AR285" s="9">
        <f t="shared" si="194"/>
        <v>726</v>
      </c>
      <c r="AS285" s="7">
        <f t="shared" si="203"/>
        <v>241</v>
      </c>
      <c r="AT285" s="7"/>
      <c r="AU285" s="16"/>
      <c r="AV285" s="7"/>
      <c r="AW285" s="7"/>
      <c r="AX285" s="7"/>
      <c r="AZ285" s="7"/>
      <c r="BA285" s="9">
        <f t="shared" si="169"/>
        <v>342897.51999999955</v>
      </c>
      <c r="BC285" s="5">
        <f t="shared" si="195"/>
        <v>542</v>
      </c>
      <c r="BR285" s="5">
        <v>5501083</v>
      </c>
      <c r="BS285" s="18">
        <f>[1]monsters!$N285</f>
        <v>291.2</v>
      </c>
      <c r="BT285" s="18">
        <f>[1]monsters!$O285</f>
        <v>29.12</v>
      </c>
      <c r="BU285" s="18">
        <f>[1]monsters!$P285</f>
        <v>1782.86</v>
      </c>
      <c r="BV285" s="18">
        <f>[1]monsters!$Q285</f>
        <v>178.29</v>
      </c>
      <c r="BW285" s="18">
        <f>[1]monsters!$R285</f>
        <v>36.4</v>
      </c>
      <c r="BX285" s="18">
        <f>[1]monsters!$S285</f>
        <v>3.64</v>
      </c>
      <c r="BY285" s="18">
        <f>[1]monsters!$K285</f>
        <v>1.5</v>
      </c>
      <c r="BZ285" s="5">
        <f>[1]monsters!$D285</f>
        <v>5</v>
      </c>
      <c r="CA285" s="5">
        <f t="shared" si="196"/>
        <v>0.1</v>
      </c>
      <c r="CB285" s="5">
        <f t="shared" si="197"/>
        <v>335.21295622895627</v>
      </c>
      <c r="CC285" s="5">
        <f t="shared" si="198"/>
        <v>33.521295622895629</v>
      </c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>
        <v>0</v>
      </c>
      <c r="CR285" s="3" t="b">
        <f t="shared" si="170"/>
        <v>1</v>
      </c>
      <c r="CS285" s="3" t="b">
        <f t="shared" si="171"/>
        <v>1</v>
      </c>
      <c r="CT285" s="3" t="b">
        <f t="shared" si="172"/>
        <v>1</v>
      </c>
      <c r="CU285" s="3" t="b">
        <f t="shared" si="173"/>
        <v>1</v>
      </c>
      <c r="CV285" s="3" t="b">
        <f t="shared" si="174"/>
        <v>1</v>
      </c>
      <c r="CW285" s="3" t="b">
        <f t="shared" si="175"/>
        <v>1</v>
      </c>
      <c r="CX285" s="9" t="str">
        <f t="shared" si="176"/>
        <v>5200092</v>
      </c>
      <c r="CY285" s="9" t="str">
        <f t="shared" si="177"/>
        <v>5200093</v>
      </c>
      <c r="CZ285" s="9" t="str">
        <f t="shared" si="178"/>
        <v>5200092</v>
      </c>
      <c r="DA285" s="9" t="str">
        <f t="shared" si="179"/>
        <v>5501094</v>
      </c>
      <c r="DB285" s="9" t="str">
        <f t="shared" si="180"/>
        <v>5500093</v>
      </c>
      <c r="DC285" s="9" t="str">
        <f t="shared" si="181"/>
        <v>5501094</v>
      </c>
      <c r="DD285" s="9">
        <v>9</v>
      </c>
      <c r="DE285" s="9">
        <v>9</v>
      </c>
      <c r="DF285" s="9">
        <v>9</v>
      </c>
      <c r="DG285" s="9">
        <v>9</v>
      </c>
      <c r="DH285" s="9">
        <v>9</v>
      </c>
      <c r="DI285" s="9">
        <v>9</v>
      </c>
      <c r="DJ285" s="9">
        <v>5</v>
      </c>
      <c r="DK285" s="9">
        <v>5</v>
      </c>
      <c r="DL285" s="9">
        <v>5</v>
      </c>
      <c r="DM285" s="9">
        <v>5</v>
      </c>
      <c r="DN285" s="9">
        <v>5</v>
      </c>
      <c r="DO285" s="9">
        <v>5</v>
      </c>
      <c r="DP285" s="25" t="s">
        <v>199</v>
      </c>
      <c r="DQ285" s="25" t="s">
        <v>113</v>
      </c>
      <c r="DR285" s="25" t="s">
        <v>199</v>
      </c>
      <c r="DS285" s="26" t="s">
        <v>214</v>
      </c>
      <c r="DT285" s="26" t="s">
        <v>207</v>
      </c>
      <c r="DU285" s="26" t="s">
        <v>214</v>
      </c>
      <c r="DV285" s="26">
        <f t="shared" si="182"/>
        <v>1</v>
      </c>
      <c r="DW285" s="26">
        <f t="shared" si="183"/>
        <v>1</v>
      </c>
      <c r="DX285" s="26">
        <f t="shared" si="184"/>
        <v>1</v>
      </c>
      <c r="DY285" s="26">
        <f t="shared" si="185"/>
        <v>2</v>
      </c>
      <c r="DZ285" s="26">
        <f t="shared" si="186"/>
        <v>2</v>
      </c>
      <c r="EA285" s="3">
        <f t="shared" si="187"/>
        <v>2</v>
      </c>
      <c r="EB285" s="42"/>
      <c r="EC285" s="9">
        <v>5500101</v>
      </c>
      <c r="ED285" s="34" t="s">
        <v>197</v>
      </c>
      <c r="EE285" s="8">
        <v>2</v>
      </c>
    </row>
    <row r="286" spans="1:135" ht="13.5" customHeight="1">
      <c r="A286" s="9">
        <v>283</v>
      </c>
      <c r="B286" s="9">
        <v>1</v>
      </c>
      <c r="C286" s="9">
        <v>2001</v>
      </c>
      <c r="D286" s="9">
        <f t="shared" si="202"/>
        <v>3456747</v>
      </c>
      <c r="E286" s="9" t="str">
        <f t="shared" si="199"/>
        <v>5202092,5201092,5301091,5400095,5501095,5402091</v>
      </c>
      <c r="F286" s="9" t="str">
        <f t="shared" si="200"/>
        <v>9,9,9,9,9,9</v>
      </c>
      <c r="G286" s="9" t="str">
        <f t="shared" si="201"/>
        <v>581,629,629,629,629,629</v>
      </c>
      <c r="H286" s="9">
        <v>153</v>
      </c>
      <c r="I286" s="9" t="s">
        <v>278</v>
      </c>
      <c r="J286" s="9" t="s">
        <v>279</v>
      </c>
      <c r="K286" s="9" t="s">
        <v>279</v>
      </c>
      <c r="L286" s="9" t="s">
        <v>279</v>
      </c>
      <c r="M286" s="36" t="s">
        <v>298</v>
      </c>
      <c r="N286" s="40"/>
      <c r="O286" s="3">
        <f t="shared" si="167"/>
        <v>3456747</v>
      </c>
      <c r="P286" s="9">
        <v>2732606.31</v>
      </c>
      <c r="Q286" s="9">
        <v>5202092</v>
      </c>
      <c r="R286" s="9">
        <v>5201092</v>
      </c>
      <c r="S286" s="9">
        <v>5301091</v>
      </c>
      <c r="T286" s="9">
        <v>5400095</v>
      </c>
      <c r="U286" s="9">
        <v>5501095</v>
      </c>
      <c r="V286" s="9">
        <v>5402091</v>
      </c>
      <c r="W286" s="9">
        <v>9</v>
      </c>
      <c r="X286" s="9">
        <v>9</v>
      </c>
      <c r="Y286" s="9">
        <v>9</v>
      </c>
      <c r="Z286" s="9">
        <v>9</v>
      </c>
      <c r="AA286" s="9">
        <v>9</v>
      </c>
      <c r="AB286" s="9">
        <v>9</v>
      </c>
      <c r="AC286" s="9">
        <f t="shared" si="188"/>
        <v>581</v>
      </c>
      <c r="AD286" s="9">
        <f t="shared" si="189"/>
        <v>629</v>
      </c>
      <c r="AE286" s="9">
        <f t="shared" si="190"/>
        <v>629</v>
      </c>
      <c r="AF286" s="9">
        <f t="shared" si="191"/>
        <v>629</v>
      </c>
      <c r="AG286" s="9">
        <f t="shared" si="192"/>
        <v>629</v>
      </c>
      <c r="AH286" s="9">
        <f t="shared" si="193"/>
        <v>629</v>
      </c>
      <c r="AI286" s="7">
        <f t="shared" si="166"/>
        <v>455434.38500000001</v>
      </c>
      <c r="AJ286" s="7">
        <f t="shared" si="168"/>
        <v>455434.38500000001</v>
      </c>
      <c r="AK286" s="7">
        <f t="shared" si="168"/>
        <v>455434.38500000001</v>
      </c>
      <c r="AL286" s="7">
        <f t="shared" si="168"/>
        <v>455434.38500000001</v>
      </c>
      <c r="AM286" s="7">
        <f t="shared" si="168"/>
        <v>455434.38500000001</v>
      </c>
      <c r="AN286" s="7">
        <f t="shared" si="168"/>
        <v>455434.38500000001</v>
      </c>
      <c r="AO286" s="16"/>
      <c r="AP286" s="7"/>
      <c r="AQ286" s="9">
        <v>6</v>
      </c>
      <c r="AR286" s="9">
        <f t="shared" si="194"/>
        <v>728</v>
      </c>
      <c r="AS286" s="7">
        <f t="shared" si="203"/>
        <v>241</v>
      </c>
      <c r="AT286" s="7"/>
      <c r="AU286" s="16"/>
      <c r="AV286" s="7"/>
      <c r="AW286" s="7"/>
      <c r="AX286" s="7"/>
      <c r="AZ286" s="7"/>
      <c r="BA286" s="9">
        <f t="shared" si="169"/>
        <v>345287.87999999954</v>
      </c>
      <c r="BC286" s="5">
        <f t="shared" si="195"/>
        <v>543</v>
      </c>
      <c r="BR286" s="5">
        <v>5502083</v>
      </c>
      <c r="BS286" s="18">
        <f>[1]monsters!$N286</f>
        <v>271.79000000000002</v>
      </c>
      <c r="BT286" s="18">
        <f>[1]monsters!$O286</f>
        <v>27.18</v>
      </c>
      <c r="BU286" s="18">
        <f>[1]monsters!$P286</f>
        <v>1782.86</v>
      </c>
      <c r="BV286" s="18">
        <f>[1]monsters!$Q286</f>
        <v>178.29</v>
      </c>
      <c r="BW286" s="18">
        <f>[1]monsters!$R286</f>
        <v>33.97</v>
      </c>
      <c r="BX286" s="18">
        <f>[1]monsters!$S286</f>
        <v>3.4</v>
      </c>
      <c r="BY286" s="18">
        <f>[1]monsters!$K286</f>
        <v>1.4</v>
      </c>
      <c r="BZ286" s="5">
        <f>[1]monsters!$D286</f>
        <v>5</v>
      </c>
      <c r="CA286" s="5">
        <f t="shared" si="196"/>
        <v>0.1</v>
      </c>
      <c r="CB286" s="5">
        <f t="shared" si="197"/>
        <v>316.87050622895629</v>
      </c>
      <c r="CC286" s="5">
        <f t="shared" si="198"/>
        <v>31.687050622895629</v>
      </c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>
        <v>0</v>
      </c>
      <c r="CR286" s="3" t="b">
        <f t="shared" si="170"/>
        <v>1</v>
      </c>
      <c r="CS286" s="3" t="b">
        <f t="shared" si="171"/>
        <v>1</v>
      </c>
      <c r="CT286" s="3" t="b">
        <f t="shared" si="172"/>
        <v>1</v>
      </c>
      <c r="CU286" s="3" t="b">
        <f t="shared" si="173"/>
        <v>1</v>
      </c>
      <c r="CV286" s="3" t="b">
        <f t="shared" si="174"/>
        <v>1</v>
      </c>
      <c r="CW286" s="3" t="b">
        <f t="shared" si="175"/>
        <v>1</v>
      </c>
      <c r="CX286" s="9" t="str">
        <f t="shared" si="176"/>
        <v>5202092</v>
      </c>
      <c r="CY286" s="9" t="str">
        <f t="shared" si="177"/>
        <v>5201092</v>
      </c>
      <c r="CZ286" s="9" t="str">
        <f t="shared" si="178"/>
        <v>5301091</v>
      </c>
      <c r="DA286" s="9" t="str">
        <f t="shared" si="179"/>
        <v>5400095</v>
      </c>
      <c r="DB286" s="9" t="str">
        <f t="shared" si="180"/>
        <v>5501095</v>
      </c>
      <c r="DC286" s="9" t="str">
        <f t="shared" si="181"/>
        <v>5402091</v>
      </c>
      <c r="DD286" s="9">
        <v>9</v>
      </c>
      <c r="DE286" s="9">
        <v>9</v>
      </c>
      <c r="DF286" s="9">
        <v>9</v>
      </c>
      <c r="DG286" s="9">
        <v>9</v>
      </c>
      <c r="DH286" s="9">
        <v>9</v>
      </c>
      <c r="DI286" s="9">
        <v>9</v>
      </c>
      <c r="DJ286" s="9">
        <v>5</v>
      </c>
      <c r="DK286" s="9">
        <v>5</v>
      </c>
      <c r="DL286" s="9">
        <v>5</v>
      </c>
      <c r="DM286" s="9">
        <v>5</v>
      </c>
      <c r="DN286" s="9">
        <v>5</v>
      </c>
      <c r="DO286" s="9">
        <v>5</v>
      </c>
      <c r="DP286" s="25" t="s">
        <v>200</v>
      </c>
      <c r="DQ286" s="25" t="s">
        <v>114</v>
      </c>
      <c r="DR286" s="25" t="s">
        <v>107</v>
      </c>
      <c r="DS286" s="25" t="s">
        <v>210</v>
      </c>
      <c r="DT286" s="25" t="s">
        <v>209</v>
      </c>
      <c r="DU286" s="25" t="s">
        <v>196</v>
      </c>
      <c r="DV286" s="25">
        <f t="shared" si="182"/>
        <v>1</v>
      </c>
      <c r="DW286" s="25">
        <f t="shared" si="183"/>
        <v>1</v>
      </c>
      <c r="DX286" s="25">
        <f t="shared" si="184"/>
        <v>1</v>
      </c>
      <c r="DY286" s="25">
        <f t="shared" si="185"/>
        <v>2</v>
      </c>
      <c r="DZ286" s="25">
        <f t="shared" si="186"/>
        <v>2</v>
      </c>
      <c r="EA286" s="3">
        <f t="shared" si="187"/>
        <v>2</v>
      </c>
      <c r="EB286" s="42"/>
      <c r="EC286" s="9">
        <v>5502101</v>
      </c>
      <c r="ED286" s="34" t="s">
        <v>119</v>
      </c>
      <c r="EE286" s="8">
        <v>2</v>
      </c>
    </row>
    <row r="287" spans="1:135" ht="13.5" customHeight="1">
      <c r="A287" s="9">
        <v>284</v>
      </c>
      <c r="B287" s="9">
        <v>1</v>
      </c>
      <c r="C287" s="9">
        <v>2001</v>
      </c>
      <c r="D287" s="9">
        <f t="shared" si="202"/>
        <v>3472689</v>
      </c>
      <c r="E287" s="9" t="str">
        <f t="shared" si="199"/>
        <v>5301091,5301092,5301093,5500092,5500091,5500092</v>
      </c>
      <c r="F287" s="9" t="str">
        <f t="shared" si="200"/>
        <v>9,9,9,9,9,9</v>
      </c>
      <c r="G287" s="9" t="str">
        <f t="shared" si="201"/>
        <v>583,630,630,630,630,630</v>
      </c>
      <c r="H287" s="9">
        <v>153</v>
      </c>
      <c r="I287" s="9" t="s">
        <v>278</v>
      </c>
      <c r="J287" s="9" t="s">
        <v>279</v>
      </c>
      <c r="K287" s="9" t="s">
        <v>279</v>
      </c>
      <c r="L287" s="9" t="s">
        <v>279</v>
      </c>
      <c r="M287" s="36" t="s">
        <v>298</v>
      </c>
      <c r="N287" s="40"/>
      <c r="O287" s="3">
        <f t="shared" si="167"/>
        <v>3472689</v>
      </c>
      <c r="P287" s="9">
        <v>2745208.98</v>
      </c>
      <c r="Q287" s="9">
        <v>5301091</v>
      </c>
      <c r="R287" s="9">
        <v>5301092</v>
      </c>
      <c r="S287" s="9">
        <v>5301093</v>
      </c>
      <c r="T287" s="9">
        <v>5500092</v>
      </c>
      <c r="U287" s="9">
        <v>5500091</v>
      </c>
      <c r="V287" s="9">
        <v>5500092</v>
      </c>
      <c r="W287" s="9">
        <v>9</v>
      </c>
      <c r="X287" s="9">
        <v>9</v>
      </c>
      <c r="Y287" s="9">
        <v>9</v>
      </c>
      <c r="Z287" s="9">
        <v>9</v>
      </c>
      <c r="AA287" s="9">
        <v>9</v>
      </c>
      <c r="AB287" s="9">
        <v>9</v>
      </c>
      <c r="AC287" s="9">
        <f t="shared" si="188"/>
        <v>583</v>
      </c>
      <c r="AD287" s="9">
        <f t="shared" si="189"/>
        <v>630</v>
      </c>
      <c r="AE287" s="9">
        <f t="shared" si="190"/>
        <v>630</v>
      </c>
      <c r="AF287" s="9">
        <f t="shared" si="191"/>
        <v>630</v>
      </c>
      <c r="AG287" s="9">
        <f t="shared" si="192"/>
        <v>630</v>
      </c>
      <c r="AH287" s="9">
        <f t="shared" si="193"/>
        <v>630</v>
      </c>
      <c r="AI287" s="7">
        <f t="shared" si="166"/>
        <v>457534.83</v>
      </c>
      <c r="AJ287" s="7">
        <f t="shared" si="168"/>
        <v>457534.83</v>
      </c>
      <c r="AK287" s="7">
        <f t="shared" si="168"/>
        <v>457534.83</v>
      </c>
      <c r="AL287" s="7">
        <f t="shared" si="168"/>
        <v>457534.83</v>
      </c>
      <c r="AM287" s="7">
        <f t="shared" si="168"/>
        <v>457534.83</v>
      </c>
      <c r="AN287" s="7">
        <f t="shared" si="168"/>
        <v>457534.83</v>
      </c>
      <c r="AO287" s="16"/>
      <c r="AP287" s="7"/>
      <c r="AQ287" s="9">
        <v>6</v>
      </c>
      <c r="AR287" s="9">
        <f t="shared" si="194"/>
        <v>729</v>
      </c>
      <c r="AS287" s="7">
        <f t="shared" si="203"/>
        <v>242</v>
      </c>
      <c r="AT287" s="7"/>
      <c r="AU287" s="16"/>
      <c r="AV287" s="7"/>
      <c r="AW287" s="7"/>
      <c r="AX287" s="7"/>
      <c r="AZ287" s="7"/>
      <c r="BA287" s="9">
        <f t="shared" si="169"/>
        <v>347678.23999999953</v>
      </c>
      <c r="BC287" s="5">
        <f t="shared" si="195"/>
        <v>544</v>
      </c>
      <c r="BR287" s="5">
        <v>5600083</v>
      </c>
      <c r="BS287" s="18">
        <f>[1]monsters!$N287</f>
        <v>322.39999999999998</v>
      </c>
      <c r="BT287" s="18">
        <f>[1]monsters!$O287</f>
        <v>32.24</v>
      </c>
      <c r="BU287" s="18">
        <f>[1]monsters!$P287</f>
        <v>1610.32</v>
      </c>
      <c r="BV287" s="18">
        <f>[1]monsters!$Q287</f>
        <v>161.03</v>
      </c>
      <c r="BW287" s="18">
        <f>[1]monsters!$R287</f>
        <v>32.24</v>
      </c>
      <c r="BX287" s="18">
        <f>[1]monsters!$S287</f>
        <v>3.22</v>
      </c>
      <c r="BY287" s="18">
        <f>[1]monsters!$K287</f>
        <v>1.5</v>
      </c>
      <c r="BZ287" s="5">
        <f>[1]monsters!$D287</f>
        <v>6</v>
      </c>
      <c r="CA287" s="5">
        <f t="shared" si="196"/>
        <v>0.1</v>
      </c>
      <c r="CB287" s="5">
        <f t="shared" si="197"/>
        <v>358.88752861952861</v>
      </c>
      <c r="CC287" s="5">
        <f t="shared" si="198"/>
        <v>35.88875286195286</v>
      </c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>
        <v>0</v>
      </c>
      <c r="CR287" s="3" t="b">
        <f t="shared" si="170"/>
        <v>1</v>
      </c>
      <c r="CS287" s="3" t="b">
        <f t="shared" si="171"/>
        <v>1</v>
      </c>
      <c r="CT287" s="3" t="b">
        <f t="shared" si="172"/>
        <v>1</v>
      </c>
      <c r="CU287" s="3" t="b">
        <f t="shared" si="173"/>
        <v>1</v>
      </c>
      <c r="CV287" s="3" t="b">
        <f t="shared" si="174"/>
        <v>1</v>
      </c>
      <c r="CW287" s="3" t="b">
        <f t="shared" si="175"/>
        <v>1</v>
      </c>
      <c r="CX287" s="9" t="str">
        <f t="shared" si="176"/>
        <v>5301091</v>
      </c>
      <c r="CY287" s="9" t="str">
        <f t="shared" si="177"/>
        <v>5301092</v>
      </c>
      <c r="CZ287" s="9" t="str">
        <f t="shared" si="178"/>
        <v>5301093</v>
      </c>
      <c r="DA287" s="9" t="str">
        <f t="shared" si="179"/>
        <v>5500092</v>
      </c>
      <c r="DB287" s="9" t="str">
        <f t="shared" si="180"/>
        <v>5500091</v>
      </c>
      <c r="DC287" s="9" t="str">
        <f t="shared" si="181"/>
        <v>5500092</v>
      </c>
      <c r="DD287" s="9">
        <v>9</v>
      </c>
      <c r="DE287" s="9">
        <v>9</v>
      </c>
      <c r="DF287" s="9">
        <v>9</v>
      </c>
      <c r="DG287" s="9">
        <v>9</v>
      </c>
      <c r="DH287" s="9">
        <v>9</v>
      </c>
      <c r="DI287" s="9">
        <v>9</v>
      </c>
      <c r="DJ287" s="9">
        <v>5</v>
      </c>
      <c r="DK287" s="9">
        <v>5</v>
      </c>
      <c r="DL287" s="9">
        <v>5</v>
      </c>
      <c r="DM287" s="9">
        <v>5</v>
      </c>
      <c r="DN287" s="9">
        <v>5</v>
      </c>
      <c r="DO287" s="9">
        <v>5</v>
      </c>
      <c r="DP287" s="26" t="s">
        <v>107</v>
      </c>
      <c r="DQ287" s="26" t="s">
        <v>201</v>
      </c>
      <c r="DR287" s="26" t="s">
        <v>206</v>
      </c>
      <c r="DS287" s="26" t="s">
        <v>109</v>
      </c>
      <c r="DT287" s="26" t="s">
        <v>197</v>
      </c>
      <c r="DU287" s="26" t="s">
        <v>109</v>
      </c>
      <c r="DV287" s="26">
        <f t="shared" si="182"/>
        <v>1</v>
      </c>
      <c r="DW287" s="26">
        <f t="shared" si="183"/>
        <v>1</v>
      </c>
      <c r="DX287" s="26">
        <f t="shared" si="184"/>
        <v>1</v>
      </c>
      <c r="DY287" s="26">
        <f t="shared" si="185"/>
        <v>2</v>
      </c>
      <c r="DZ287" s="26">
        <f t="shared" si="186"/>
        <v>2</v>
      </c>
      <c r="EA287" s="3">
        <f t="shared" si="187"/>
        <v>2</v>
      </c>
      <c r="EB287" s="42"/>
      <c r="EC287" s="9">
        <v>5601101</v>
      </c>
      <c r="ED287" s="34" t="s">
        <v>198</v>
      </c>
      <c r="EE287" s="8">
        <v>2</v>
      </c>
    </row>
    <row r="288" spans="1:135" ht="13.5" customHeight="1">
      <c r="A288" s="9">
        <v>285</v>
      </c>
      <c r="B288" s="9">
        <v>1</v>
      </c>
      <c r="C288" s="9">
        <v>2001</v>
      </c>
      <c r="D288" s="9">
        <f t="shared" si="202"/>
        <v>3488669</v>
      </c>
      <c r="E288" s="9" t="str">
        <f t="shared" si="199"/>
        <v>5201092,5201092,5201092,5501095,5400095,5501095</v>
      </c>
      <c r="F288" s="9" t="str">
        <f t="shared" si="200"/>
        <v>9,9,9,9,9,9</v>
      </c>
      <c r="G288" s="9" t="str">
        <f t="shared" si="201"/>
        <v>584,632,632,632,632,632</v>
      </c>
      <c r="H288" s="9">
        <v>154</v>
      </c>
      <c r="I288" s="9" t="s">
        <v>278</v>
      </c>
      <c r="J288" s="9" t="s">
        <v>279</v>
      </c>
      <c r="K288" s="9" t="s">
        <v>279</v>
      </c>
      <c r="L288" s="9" t="s">
        <v>279</v>
      </c>
      <c r="M288" s="36" t="s">
        <v>298</v>
      </c>
      <c r="O288" s="3">
        <f t="shared" si="167"/>
        <v>3488669</v>
      </c>
      <c r="P288" s="9">
        <v>2757841.5</v>
      </c>
      <c r="Q288" s="9">
        <v>5201092</v>
      </c>
      <c r="R288" s="9">
        <v>5201092</v>
      </c>
      <c r="S288" s="9">
        <v>5201092</v>
      </c>
      <c r="T288" s="9">
        <v>5501095</v>
      </c>
      <c r="U288" s="9">
        <v>5400095</v>
      </c>
      <c r="V288" s="9">
        <v>5501095</v>
      </c>
      <c r="W288" s="9">
        <v>9</v>
      </c>
      <c r="X288" s="9">
        <v>9</v>
      </c>
      <c r="Y288" s="9">
        <v>9</v>
      </c>
      <c r="Z288" s="9">
        <v>9</v>
      </c>
      <c r="AA288" s="9">
        <v>9</v>
      </c>
      <c r="AB288" s="9">
        <v>9</v>
      </c>
      <c r="AC288" s="9">
        <f t="shared" si="188"/>
        <v>584</v>
      </c>
      <c r="AD288" s="9">
        <f t="shared" si="189"/>
        <v>632</v>
      </c>
      <c r="AE288" s="9">
        <f t="shared" si="190"/>
        <v>632</v>
      </c>
      <c r="AF288" s="9">
        <f t="shared" si="191"/>
        <v>632</v>
      </c>
      <c r="AG288" s="9">
        <f t="shared" si="192"/>
        <v>632</v>
      </c>
      <c r="AH288" s="9">
        <f t="shared" si="193"/>
        <v>632</v>
      </c>
      <c r="AI288" s="7">
        <f t="shared" si="166"/>
        <v>459640.25</v>
      </c>
      <c r="AJ288" s="7">
        <f t="shared" si="168"/>
        <v>459640.25</v>
      </c>
      <c r="AK288" s="7">
        <f t="shared" si="168"/>
        <v>459640.25</v>
      </c>
      <c r="AL288" s="7">
        <f t="shared" si="168"/>
        <v>459640.25</v>
      </c>
      <c r="AM288" s="7">
        <f t="shared" si="168"/>
        <v>459640.25</v>
      </c>
      <c r="AN288" s="7">
        <f t="shared" si="168"/>
        <v>459640.25</v>
      </c>
      <c r="AO288" s="16"/>
      <c r="AP288" s="7"/>
      <c r="AQ288" s="9">
        <v>6</v>
      </c>
      <c r="AR288" s="9">
        <f t="shared" si="194"/>
        <v>731</v>
      </c>
      <c r="AS288" s="7">
        <f t="shared" si="203"/>
        <v>242</v>
      </c>
      <c r="AT288" s="7"/>
      <c r="AU288" s="16"/>
      <c r="AV288" s="7"/>
      <c r="AW288" s="7"/>
      <c r="AX288" s="7"/>
      <c r="AZ288" s="7"/>
      <c r="BA288" s="9">
        <f t="shared" si="169"/>
        <v>350068.59999999951</v>
      </c>
      <c r="BC288" s="5">
        <f t="shared" si="195"/>
        <v>546</v>
      </c>
      <c r="BR288" s="5">
        <v>5601083</v>
      </c>
      <c r="BS288" s="18">
        <f>[1]monsters!$N288</f>
        <v>208</v>
      </c>
      <c r="BT288" s="18">
        <f>[1]monsters!$O288</f>
        <v>20.8</v>
      </c>
      <c r="BU288" s="18">
        <f>[1]monsters!$P288</f>
        <v>2496</v>
      </c>
      <c r="BV288" s="18">
        <f>[1]monsters!$Q288</f>
        <v>249.6</v>
      </c>
      <c r="BW288" s="18">
        <f>[1]monsters!$R288</f>
        <v>52</v>
      </c>
      <c r="BX288" s="18">
        <f>[1]monsters!$S288</f>
        <v>5.2</v>
      </c>
      <c r="BY288" s="18">
        <f>[1]monsters!$K288</f>
        <v>1.5</v>
      </c>
      <c r="BZ288" s="5">
        <f>[1]monsters!$D288</f>
        <v>2</v>
      </c>
      <c r="CA288" s="5">
        <f t="shared" si="196"/>
        <v>0.1</v>
      </c>
      <c r="CB288" s="5">
        <f t="shared" si="197"/>
        <v>280.60040404040404</v>
      </c>
      <c r="CC288" s="5">
        <f t="shared" si="198"/>
        <v>28.060040404040407</v>
      </c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>
        <v>1</v>
      </c>
      <c r="CR288" s="3" t="b">
        <f t="shared" si="170"/>
        <v>1</v>
      </c>
      <c r="CS288" s="3" t="b">
        <f t="shared" si="171"/>
        <v>1</v>
      </c>
      <c r="CT288" s="3" t="b">
        <f t="shared" si="172"/>
        <v>1</v>
      </c>
      <c r="CU288" s="3" t="b">
        <f t="shared" si="173"/>
        <v>1</v>
      </c>
      <c r="CV288" s="3" t="b">
        <f t="shared" si="174"/>
        <v>1</v>
      </c>
      <c r="CW288" s="3" t="b">
        <f t="shared" si="175"/>
        <v>1</v>
      </c>
      <c r="CX288" s="9" t="str">
        <f t="shared" si="176"/>
        <v>5201092</v>
      </c>
      <c r="CY288" s="9" t="str">
        <f t="shared" si="177"/>
        <v>5201092</v>
      </c>
      <c r="CZ288" s="9" t="str">
        <f t="shared" si="178"/>
        <v>5201092</v>
      </c>
      <c r="DA288" s="9" t="str">
        <f t="shared" si="179"/>
        <v>5501095</v>
      </c>
      <c r="DB288" s="9" t="str">
        <f t="shared" si="180"/>
        <v>5400095</v>
      </c>
      <c r="DC288" s="9" t="str">
        <f t="shared" si="181"/>
        <v>5501095</v>
      </c>
      <c r="DD288" s="9">
        <v>9</v>
      </c>
      <c r="DE288" s="9">
        <v>9</v>
      </c>
      <c r="DF288" s="9">
        <v>9</v>
      </c>
      <c r="DG288" s="9">
        <v>9</v>
      </c>
      <c r="DH288" s="9">
        <v>9</v>
      </c>
      <c r="DI288" s="9">
        <v>9</v>
      </c>
      <c r="DJ288" s="9">
        <v>5</v>
      </c>
      <c r="DK288" s="9">
        <v>5</v>
      </c>
      <c r="DL288" s="9">
        <v>5</v>
      </c>
      <c r="DM288" s="9">
        <v>5</v>
      </c>
      <c r="DN288" s="9">
        <v>5</v>
      </c>
      <c r="DO288" s="9">
        <v>5</v>
      </c>
      <c r="DP288" s="25" t="s">
        <v>114</v>
      </c>
      <c r="DQ288" s="25" t="s">
        <v>114</v>
      </c>
      <c r="DR288" s="25" t="s">
        <v>114</v>
      </c>
      <c r="DS288" s="25" t="s">
        <v>209</v>
      </c>
      <c r="DT288" s="25" t="s">
        <v>210</v>
      </c>
      <c r="DU288" s="25" t="s">
        <v>209</v>
      </c>
      <c r="DV288" s="25">
        <f t="shared" si="182"/>
        <v>1</v>
      </c>
      <c r="DW288" s="25">
        <f t="shared" si="183"/>
        <v>1</v>
      </c>
      <c r="DX288" s="25">
        <f t="shared" si="184"/>
        <v>1</v>
      </c>
      <c r="DY288" s="25">
        <f t="shared" si="185"/>
        <v>2</v>
      </c>
      <c r="DZ288" s="25">
        <f t="shared" si="186"/>
        <v>2</v>
      </c>
      <c r="EA288" s="3">
        <f t="shared" si="187"/>
        <v>2</v>
      </c>
      <c r="EB288" s="42"/>
      <c r="EC288" s="9">
        <v>5200102</v>
      </c>
      <c r="ED288" s="34" t="s">
        <v>199</v>
      </c>
      <c r="EE288" s="8">
        <v>1</v>
      </c>
    </row>
    <row r="289" spans="1:135" ht="13.5" customHeight="1">
      <c r="A289" s="9">
        <v>286</v>
      </c>
      <c r="B289" s="9">
        <v>1</v>
      </c>
      <c r="C289" s="9">
        <v>2001</v>
      </c>
      <c r="D289" s="9">
        <f t="shared" si="202"/>
        <v>3504685</v>
      </c>
      <c r="E289" s="9" t="str">
        <f t="shared" si="199"/>
        <v>5201094,5202092,5302094,5501094,5500093,5501094</v>
      </c>
      <c r="F289" s="9" t="str">
        <f t="shared" si="200"/>
        <v>9,9,9,9,9,9</v>
      </c>
      <c r="G289" s="9" t="str">
        <f t="shared" si="201"/>
        <v>585,633,633,633,633,633</v>
      </c>
      <c r="H289" s="9">
        <v>154</v>
      </c>
      <c r="I289" s="9" t="s">
        <v>278</v>
      </c>
      <c r="J289" s="9" t="s">
        <v>279</v>
      </c>
      <c r="K289" s="9" t="s">
        <v>279</v>
      </c>
      <c r="L289" s="9" t="s">
        <v>279</v>
      </c>
      <c r="M289" s="36" t="s">
        <v>299</v>
      </c>
      <c r="N289" s="40"/>
      <c r="O289" s="3">
        <f t="shared" si="167"/>
        <v>3504685</v>
      </c>
      <c r="P289" s="9">
        <v>2770501.88</v>
      </c>
      <c r="Q289" s="9">
        <v>5201094</v>
      </c>
      <c r="R289" s="9">
        <v>5202092</v>
      </c>
      <c r="S289" s="9">
        <v>5302094</v>
      </c>
      <c r="T289" s="9">
        <v>5501094</v>
      </c>
      <c r="U289" s="9">
        <v>5500093</v>
      </c>
      <c r="V289" s="9">
        <v>5501094</v>
      </c>
      <c r="W289" s="9">
        <v>9</v>
      </c>
      <c r="X289" s="9">
        <v>9</v>
      </c>
      <c r="Y289" s="9">
        <v>9</v>
      </c>
      <c r="Z289" s="9">
        <v>9</v>
      </c>
      <c r="AA289" s="9">
        <v>9</v>
      </c>
      <c r="AB289" s="9">
        <v>9</v>
      </c>
      <c r="AC289" s="9">
        <f t="shared" si="188"/>
        <v>585</v>
      </c>
      <c r="AD289" s="9">
        <f t="shared" si="189"/>
        <v>633</v>
      </c>
      <c r="AE289" s="9">
        <f t="shared" si="190"/>
        <v>633</v>
      </c>
      <c r="AF289" s="9">
        <f t="shared" si="191"/>
        <v>633</v>
      </c>
      <c r="AG289" s="9">
        <f t="shared" si="192"/>
        <v>633</v>
      </c>
      <c r="AH289" s="9">
        <f t="shared" si="193"/>
        <v>633</v>
      </c>
      <c r="AI289" s="7">
        <f t="shared" si="166"/>
        <v>461750.3133333333</v>
      </c>
      <c r="AJ289" s="7">
        <f t="shared" si="168"/>
        <v>461750.3133333333</v>
      </c>
      <c r="AK289" s="7">
        <f t="shared" si="168"/>
        <v>461750.3133333333</v>
      </c>
      <c r="AL289" s="7">
        <f t="shared" si="168"/>
        <v>461750.3133333333</v>
      </c>
      <c r="AM289" s="7">
        <f t="shared" si="168"/>
        <v>461750.3133333333</v>
      </c>
      <c r="AN289" s="7">
        <f t="shared" si="168"/>
        <v>461750.3133333333</v>
      </c>
      <c r="AO289" s="16"/>
      <c r="AP289" s="7"/>
      <c r="AQ289" s="9">
        <v>6</v>
      </c>
      <c r="AR289" s="9">
        <f t="shared" si="194"/>
        <v>733</v>
      </c>
      <c r="AS289" s="7">
        <f t="shared" si="203"/>
        <v>243</v>
      </c>
      <c r="AT289" s="7"/>
      <c r="AU289" s="16"/>
      <c r="AV289" s="7"/>
      <c r="AW289" s="7"/>
      <c r="AX289" s="7"/>
      <c r="AZ289" s="7"/>
      <c r="BA289" s="9">
        <f t="shared" si="169"/>
        <v>352458.9599999995</v>
      </c>
      <c r="BC289" s="5">
        <f t="shared" si="195"/>
        <v>547</v>
      </c>
      <c r="BR289" s="5">
        <v>5200084</v>
      </c>
      <c r="BS289" s="18">
        <f>[1]monsters!$N289</f>
        <v>199.68</v>
      </c>
      <c r="BT289" s="18">
        <f>[1]monsters!$O289</f>
        <v>19.97</v>
      </c>
      <c r="BU289" s="18">
        <f>[1]monsters!$P289</f>
        <v>3120</v>
      </c>
      <c r="BV289" s="18">
        <f>[1]monsters!$Q289</f>
        <v>312</v>
      </c>
      <c r="BW289" s="18">
        <f>[1]monsters!$R289</f>
        <v>66.56</v>
      </c>
      <c r="BX289" s="18">
        <f>[1]monsters!$S289</f>
        <v>6.66</v>
      </c>
      <c r="BY289" s="18">
        <f>[1]monsters!$K289</f>
        <v>1.8</v>
      </c>
      <c r="BZ289" s="5">
        <f>[1]monsters!$D289</f>
        <v>2</v>
      </c>
      <c r="CA289" s="5">
        <f t="shared" si="196"/>
        <v>0.1</v>
      </c>
      <c r="CB289" s="5">
        <f t="shared" si="197"/>
        <v>293.74810505050505</v>
      </c>
      <c r="CC289" s="5">
        <f t="shared" si="198"/>
        <v>29.374810505050505</v>
      </c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>
        <v>0</v>
      </c>
      <c r="CR289" s="3" t="b">
        <f t="shared" si="170"/>
        <v>1</v>
      </c>
      <c r="CS289" s="3" t="b">
        <f t="shared" si="171"/>
        <v>1</v>
      </c>
      <c r="CT289" s="3" t="b">
        <f t="shared" si="172"/>
        <v>1</v>
      </c>
      <c r="CU289" s="3" t="b">
        <f t="shared" si="173"/>
        <v>1</v>
      </c>
      <c r="CV289" s="3" t="b">
        <f t="shared" si="174"/>
        <v>1</v>
      </c>
      <c r="CW289" s="3" t="b">
        <f t="shared" si="175"/>
        <v>1</v>
      </c>
      <c r="CX289" s="9" t="str">
        <f t="shared" si="176"/>
        <v>5201094</v>
      </c>
      <c r="CY289" s="9" t="str">
        <f t="shared" si="177"/>
        <v>5202092</v>
      </c>
      <c r="CZ289" s="9" t="str">
        <f t="shared" si="178"/>
        <v>5302094</v>
      </c>
      <c r="DA289" s="9" t="str">
        <f t="shared" si="179"/>
        <v>5501094</v>
      </c>
      <c r="DB289" s="9" t="str">
        <f t="shared" si="180"/>
        <v>5500093</v>
      </c>
      <c r="DC289" s="9" t="str">
        <f t="shared" si="181"/>
        <v>5501094</v>
      </c>
      <c r="DD289" s="9">
        <v>9</v>
      </c>
      <c r="DE289" s="9">
        <v>9</v>
      </c>
      <c r="DF289" s="9">
        <v>9</v>
      </c>
      <c r="DG289" s="9">
        <v>9</v>
      </c>
      <c r="DH289" s="9">
        <v>9</v>
      </c>
      <c r="DI289" s="9">
        <v>9</v>
      </c>
      <c r="DJ289" s="9">
        <v>5</v>
      </c>
      <c r="DK289" s="9">
        <v>5</v>
      </c>
      <c r="DL289" s="9">
        <v>5</v>
      </c>
      <c r="DM289" s="9">
        <v>5</v>
      </c>
      <c r="DN289" s="9">
        <v>5</v>
      </c>
      <c r="DO289" s="9">
        <v>5</v>
      </c>
      <c r="DP289" s="27" t="s">
        <v>217</v>
      </c>
      <c r="DQ289" s="25" t="s">
        <v>200</v>
      </c>
      <c r="DR289" s="27" t="s">
        <v>218</v>
      </c>
      <c r="DS289" s="25" t="s">
        <v>214</v>
      </c>
      <c r="DT289" s="25" t="s">
        <v>207</v>
      </c>
      <c r="DU289" s="25" t="s">
        <v>214</v>
      </c>
      <c r="DV289" s="25">
        <f t="shared" si="182"/>
        <v>1</v>
      </c>
      <c r="DW289" s="25">
        <f t="shared" si="183"/>
        <v>1</v>
      </c>
      <c r="DX289" s="25">
        <f t="shared" si="184"/>
        <v>1</v>
      </c>
      <c r="DY289" s="25">
        <f t="shared" si="185"/>
        <v>2</v>
      </c>
      <c r="DZ289" s="25">
        <f t="shared" si="186"/>
        <v>2</v>
      </c>
      <c r="EA289" s="3">
        <f t="shared" si="187"/>
        <v>2</v>
      </c>
      <c r="EB289" s="41"/>
      <c r="EC289" s="9">
        <v>5201102</v>
      </c>
      <c r="ED289" s="34" t="s">
        <v>114</v>
      </c>
      <c r="EE289" s="8">
        <v>1</v>
      </c>
    </row>
    <row r="290" spans="1:135" ht="13.5" customHeight="1">
      <c r="A290" s="9">
        <v>287</v>
      </c>
      <c r="B290" s="9">
        <v>1</v>
      </c>
      <c r="C290" s="9">
        <v>2001</v>
      </c>
      <c r="D290" s="9">
        <f t="shared" si="202"/>
        <v>3520738</v>
      </c>
      <c r="E290" s="9" t="str">
        <f t="shared" si="199"/>
        <v>5201091,5201092,5202091,5402092,5400095,5400095</v>
      </c>
      <c r="F290" s="9" t="str">
        <f t="shared" si="200"/>
        <v>9,9,9,9,9,9</v>
      </c>
      <c r="G290" s="9" t="str">
        <f t="shared" si="201"/>
        <v>587,635,635,635,635,635</v>
      </c>
      <c r="H290" s="9">
        <v>154</v>
      </c>
      <c r="I290" s="9" t="s">
        <v>278</v>
      </c>
      <c r="J290" s="9" t="s">
        <v>279</v>
      </c>
      <c r="K290" s="9" t="s">
        <v>279</v>
      </c>
      <c r="L290" s="9" t="s">
        <v>279</v>
      </c>
      <c r="M290" s="36" t="s">
        <v>299</v>
      </c>
      <c r="N290" s="40"/>
      <c r="O290" s="3">
        <f t="shared" si="167"/>
        <v>3520738</v>
      </c>
      <c r="P290" s="9">
        <v>2783192.11</v>
      </c>
      <c r="Q290" s="9">
        <v>5201091</v>
      </c>
      <c r="R290" s="9">
        <v>5201092</v>
      </c>
      <c r="S290" s="9">
        <v>5202091</v>
      </c>
      <c r="T290" s="9">
        <v>5402092</v>
      </c>
      <c r="U290" s="9">
        <v>5400095</v>
      </c>
      <c r="V290" s="9">
        <v>5400095</v>
      </c>
      <c r="W290" s="9">
        <v>9</v>
      </c>
      <c r="X290" s="9">
        <v>9</v>
      </c>
      <c r="Y290" s="9">
        <v>9</v>
      </c>
      <c r="Z290" s="9">
        <v>9</v>
      </c>
      <c r="AA290" s="9">
        <v>9</v>
      </c>
      <c r="AB290" s="9">
        <v>9</v>
      </c>
      <c r="AC290" s="9">
        <f t="shared" si="188"/>
        <v>587</v>
      </c>
      <c r="AD290" s="9">
        <f t="shared" si="189"/>
        <v>635</v>
      </c>
      <c r="AE290" s="9">
        <f t="shared" si="190"/>
        <v>635</v>
      </c>
      <c r="AF290" s="9">
        <f t="shared" si="191"/>
        <v>635</v>
      </c>
      <c r="AG290" s="9">
        <f t="shared" si="192"/>
        <v>635</v>
      </c>
      <c r="AH290" s="9">
        <f t="shared" si="193"/>
        <v>635</v>
      </c>
      <c r="AI290" s="7">
        <f t="shared" si="166"/>
        <v>463865.35166666663</v>
      </c>
      <c r="AJ290" s="7">
        <f t="shared" si="168"/>
        <v>463865.35166666663</v>
      </c>
      <c r="AK290" s="7">
        <f t="shared" si="168"/>
        <v>463865.35166666663</v>
      </c>
      <c r="AL290" s="7">
        <f t="shared" si="168"/>
        <v>463865.35166666663</v>
      </c>
      <c r="AM290" s="7">
        <f t="shared" si="168"/>
        <v>463865.35166666663</v>
      </c>
      <c r="AN290" s="7">
        <f t="shared" si="168"/>
        <v>463865.35166666663</v>
      </c>
      <c r="AO290" s="16"/>
      <c r="AP290" s="7"/>
      <c r="AQ290" s="9">
        <v>6</v>
      </c>
      <c r="AR290" s="9">
        <f t="shared" si="194"/>
        <v>734</v>
      </c>
      <c r="AS290" s="7">
        <f t="shared" si="203"/>
        <v>243</v>
      </c>
      <c r="AT290" s="7"/>
      <c r="AU290" s="16"/>
      <c r="AV290" s="7"/>
      <c r="AW290" s="7"/>
      <c r="AX290" s="7"/>
      <c r="AZ290" s="7"/>
      <c r="BA290" s="9">
        <f t="shared" si="169"/>
        <v>354849.31999999948</v>
      </c>
      <c r="BC290" s="5">
        <f t="shared" si="195"/>
        <v>548</v>
      </c>
      <c r="BR290" s="5">
        <v>5201084</v>
      </c>
      <c r="BS290" s="18">
        <f>[1]monsters!$N290</f>
        <v>224.64</v>
      </c>
      <c r="BT290" s="18">
        <f>[1]monsters!$O290</f>
        <v>22.46</v>
      </c>
      <c r="BU290" s="18">
        <f>[1]monsters!$P290</f>
        <v>2773.33</v>
      </c>
      <c r="BV290" s="18">
        <f>[1]monsters!$Q290</f>
        <v>277.33</v>
      </c>
      <c r="BW290" s="18">
        <f>[1]monsters!$R290</f>
        <v>44.93</v>
      </c>
      <c r="BX290" s="18">
        <f>[1]monsters!$S290</f>
        <v>4.49</v>
      </c>
      <c r="BY290" s="18">
        <f>[1]monsters!$K290</f>
        <v>1.8</v>
      </c>
      <c r="BZ290" s="5">
        <f>[1]monsters!$D290</f>
        <v>2</v>
      </c>
      <c r="CA290" s="5">
        <f t="shared" si="196"/>
        <v>0.1</v>
      </c>
      <c r="CB290" s="5">
        <f t="shared" si="197"/>
        <v>305.66291447811443</v>
      </c>
      <c r="CC290" s="5">
        <f t="shared" si="198"/>
        <v>30.566291447811444</v>
      </c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>
        <v>0</v>
      </c>
      <c r="CR290" s="3" t="b">
        <f t="shared" si="170"/>
        <v>1</v>
      </c>
      <c r="CS290" s="3" t="b">
        <f t="shared" si="171"/>
        <v>1</v>
      </c>
      <c r="CT290" s="3" t="b">
        <f t="shared" si="172"/>
        <v>1</v>
      </c>
      <c r="CU290" s="3" t="b">
        <f t="shared" si="173"/>
        <v>1</v>
      </c>
      <c r="CV290" s="3" t="b">
        <f t="shared" si="174"/>
        <v>1</v>
      </c>
      <c r="CW290" s="3" t="b">
        <f t="shared" si="175"/>
        <v>1</v>
      </c>
      <c r="CX290" s="9" t="str">
        <f t="shared" si="176"/>
        <v>5201091</v>
      </c>
      <c r="CY290" s="9" t="str">
        <f t="shared" si="177"/>
        <v>5201092</v>
      </c>
      <c r="CZ290" s="9" t="str">
        <f t="shared" si="178"/>
        <v>5202091</v>
      </c>
      <c r="DA290" s="9" t="str">
        <f t="shared" si="179"/>
        <v>5402092</v>
      </c>
      <c r="DB290" s="9" t="str">
        <f t="shared" si="180"/>
        <v>5400095</v>
      </c>
      <c r="DC290" s="9" t="str">
        <f t="shared" si="181"/>
        <v>5400095</v>
      </c>
      <c r="DD290" s="9">
        <v>9</v>
      </c>
      <c r="DE290" s="9">
        <v>9</v>
      </c>
      <c r="DF290" s="9">
        <v>9</v>
      </c>
      <c r="DG290" s="9">
        <v>9</v>
      </c>
      <c r="DH290" s="9">
        <v>9</v>
      </c>
      <c r="DI290" s="9">
        <v>9</v>
      </c>
      <c r="DJ290" s="9">
        <v>5</v>
      </c>
      <c r="DK290" s="9">
        <v>5</v>
      </c>
      <c r="DL290" s="9">
        <v>5</v>
      </c>
      <c r="DM290" s="9">
        <v>5</v>
      </c>
      <c r="DN290" s="9">
        <v>5</v>
      </c>
      <c r="DO290" s="9">
        <v>5</v>
      </c>
      <c r="DP290" s="26" t="s">
        <v>195</v>
      </c>
      <c r="DQ290" s="26" t="s">
        <v>114</v>
      </c>
      <c r="DR290" s="26" t="s">
        <v>111</v>
      </c>
      <c r="DS290" s="26" t="s">
        <v>203</v>
      </c>
      <c r="DT290" s="26" t="s">
        <v>210</v>
      </c>
      <c r="DU290" s="26" t="s">
        <v>210</v>
      </c>
      <c r="DV290" s="26">
        <f t="shared" si="182"/>
        <v>1</v>
      </c>
      <c r="DW290" s="26">
        <f t="shared" si="183"/>
        <v>1</v>
      </c>
      <c r="DX290" s="26">
        <f t="shared" si="184"/>
        <v>1</v>
      </c>
      <c r="DY290" s="26">
        <f t="shared" si="185"/>
        <v>2</v>
      </c>
      <c r="DZ290" s="26">
        <f t="shared" si="186"/>
        <v>2</v>
      </c>
      <c r="EA290" s="3">
        <f t="shared" si="187"/>
        <v>2</v>
      </c>
      <c r="EB290" s="42"/>
      <c r="EC290" s="9">
        <v>5202102</v>
      </c>
      <c r="ED290" s="34" t="s">
        <v>200</v>
      </c>
      <c r="EE290" s="8">
        <v>1</v>
      </c>
    </row>
    <row r="291" spans="1:135" ht="13.5" customHeight="1">
      <c r="A291" s="9">
        <v>288</v>
      </c>
      <c r="B291" s="9">
        <v>1</v>
      </c>
      <c r="C291" s="9">
        <v>2001</v>
      </c>
      <c r="D291" s="9">
        <f t="shared" si="202"/>
        <v>3536826</v>
      </c>
      <c r="E291" s="9" t="str">
        <f t="shared" si="199"/>
        <v>5302095,5202095,5301092,5500092,5501095,5400095</v>
      </c>
      <c r="F291" s="9" t="str">
        <f t="shared" si="200"/>
        <v>9,9,9,9,9,9</v>
      </c>
      <c r="G291" s="9" t="str">
        <f t="shared" si="201"/>
        <v>588,636,636,636,636,636</v>
      </c>
      <c r="H291" s="9">
        <v>155</v>
      </c>
      <c r="I291" s="9" t="s">
        <v>278</v>
      </c>
      <c r="J291" s="9" t="s">
        <v>279</v>
      </c>
      <c r="K291" s="9" t="s">
        <v>279</v>
      </c>
      <c r="L291" s="9" t="s">
        <v>279</v>
      </c>
      <c r="M291" s="36" t="s">
        <v>299</v>
      </c>
      <c r="N291" s="40"/>
      <c r="O291" s="3">
        <f t="shared" si="167"/>
        <v>3536826</v>
      </c>
      <c r="P291" s="9">
        <v>2795910.2</v>
      </c>
      <c r="Q291" s="9">
        <v>5302095</v>
      </c>
      <c r="R291" s="9">
        <v>5202095</v>
      </c>
      <c r="S291" s="9">
        <v>5301092</v>
      </c>
      <c r="T291" s="9">
        <v>5500092</v>
      </c>
      <c r="U291" s="9">
        <v>5501095</v>
      </c>
      <c r="V291" s="9">
        <v>5400095</v>
      </c>
      <c r="W291" s="9">
        <v>9</v>
      </c>
      <c r="X291" s="9">
        <v>9</v>
      </c>
      <c r="Y291" s="9">
        <v>9</v>
      </c>
      <c r="Z291" s="9">
        <v>9</v>
      </c>
      <c r="AA291" s="9">
        <v>9</v>
      </c>
      <c r="AB291" s="9">
        <v>9</v>
      </c>
      <c r="AC291" s="9">
        <f t="shared" si="188"/>
        <v>588</v>
      </c>
      <c r="AD291" s="9">
        <f t="shared" si="189"/>
        <v>636</v>
      </c>
      <c r="AE291" s="9">
        <f t="shared" si="190"/>
        <v>636</v>
      </c>
      <c r="AF291" s="9">
        <f t="shared" si="191"/>
        <v>636</v>
      </c>
      <c r="AG291" s="9">
        <f t="shared" si="192"/>
        <v>636</v>
      </c>
      <c r="AH291" s="9">
        <f t="shared" si="193"/>
        <v>636</v>
      </c>
      <c r="AI291" s="7">
        <f t="shared" si="166"/>
        <v>465985.03333333338</v>
      </c>
      <c r="AJ291" s="7">
        <f t="shared" si="168"/>
        <v>465985.03333333338</v>
      </c>
      <c r="AK291" s="7">
        <f t="shared" si="168"/>
        <v>465985.03333333338</v>
      </c>
      <c r="AL291" s="7">
        <f t="shared" si="168"/>
        <v>465985.03333333338</v>
      </c>
      <c r="AM291" s="7">
        <f t="shared" si="168"/>
        <v>465985.03333333338</v>
      </c>
      <c r="AN291" s="7">
        <f t="shared" si="168"/>
        <v>465985.03333333338</v>
      </c>
      <c r="AO291" s="16"/>
      <c r="AP291" s="7"/>
      <c r="AQ291" s="9">
        <v>6</v>
      </c>
      <c r="AR291" s="9">
        <f t="shared" si="194"/>
        <v>736</v>
      </c>
      <c r="AS291" s="7">
        <f t="shared" si="203"/>
        <v>244</v>
      </c>
      <c r="AT291" s="7"/>
      <c r="AU291" s="16"/>
      <c r="AV291" s="7"/>
      <c r="AW291" s="7"/>
      <c r="AX291" s="7"/>
      <c r="AZ291" s="7"/>
      <c r="BA291" s="9">
        <f t="shared" si="169"/>
        <v>357239.67999999947</v>
      </c>
      <c r="BC291" s="5">
        <f t="shared" si="195"/>
        <v>549</v>
      </c>
      <c r="BR291" s="5">
        <v>5300084</v>
      </c>
      <c r="BS291" s="18">
        <f>[1]monsters!$N291</f>
        <v>149.76</v>
      </c>
      <c r="BT291" s="18">
        <f>[1]monsters!$O291</f>
        <v>14.98</v>
      </c>
      <c r="BU291" s="18">
        <f>[1]monsters!$P291</f>
        <v>2773.33</v>
      </c>
      <c r="BV291" s="18">
        <f>[1]monsters!$Q291</f>
        <v>277.33</v>
      </c>
      <c r="BW291" s="18">
        <f>[1]monsters!$R291</f>
        <v>29.95</v>
      </c>
      <c r="BX291" s="18">
        <f>[1]monsters!$S291</f>
        <v>3</v>
      </c>
      <c r="BY291" s="18">
        <f>[1]monsters!$K291</f>
        <v>1.2</v>
      </c>
      <c r="BZ291" s="5">
        <f>[1]monsters!$D291</f>
        <v>3</v>
      </c>
      <c r="CA291" s="5">
        <f t="shared" si="196"/>
        <v>0.1</v>
      </c>
      <c r="CB291" s="5">
        <f t="shared" si="197"/>
        <v>234.90131447811447</v>
      </c>
      <c r="CC291" s="5">
        <f t="shared" si="198"/>
        <v>23.49013144781145</v>
      </c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>
        <v>0</v>
      </c>
      <c r="CR291" s="3" t="b">
        <f t="shared" si="170"/>
        <v>1</v>
      </c>
      <c r="CS291" s="3" t="b">
        <f t="shared" si="171"/>
        <v>1</v>
      </c>
      <c r="CT291" s="3" t="b">
        <f t="shared" si="172"/>
        <v>1</v>
      </c>
      <c r="CU291" s="3" t="b">
        <f t="shared" si="173"/>
        <v>1</v>
      </c>
      <c r="CV291" s="3" t="b">
        <f t="shared" si="174"/>
        <v>1</v>
      </c>
      <c r="CW291" s="3" t="b">
        <f t="shared" si="175"/>
        <v>1</v>
      </c>
      <c r="CX291" s="9" t="str">
        <f t="shared" si="176"/>
        <v>5302095</v>
      </c>
      <c r="CY291" s="9" t="str">
        <f t="shared" si="177"/>
        <v>5202095</v>
      </c>
      <c r="CZ291" s="9" t="str">
        <f t="shared" si="178"/>
        <v>5301092</v>
      </c>
      <c r="DA291" s="9" t="str">
        <f t="shared" si="179"/>
        <v>5500092</v>
      </c>
      <c r="DB291" s="9" t="str">
        <f t="shared" si="180"/>
        <v>5501095</v>
      </c>
      <c r="DC291" s="9" t="str">
        <f t="shared" si="181"/>
        <v>5400095</v>
      </c>
      <c r="DD291" s="9">
        <v>9</v>
      </c>
      <c r="DE291" s="9">
        <v>9</v>
      </c>
      <c r="DF291" s="9">
        <v>9</v>
      </c>
      <c r="DG291" s="9">
        <v>9</v>
      </c>
      <c r="DH291" s="9">
        <v>9</v>
      </c>
      <c r="DI291" s="9">
        <v>9</v>
      </c>
      <c r="DJ291" s="9">
        <v>5</v>
      </c>
      <c r="DK291" s="9">
        <v>5</v>
      </c>
      <c r="DL291" s="9">
        <v>5</v>
      </c>
      <c r="DM291" s="9">
        <v>5</v>
      </c>
      <c r="DN291" s="9">
        <v>5</v>
      </c>
      <c r="DO291" s="9">
        <v>5</v>
      </c>
      <c r="DP291" s="25" t="s">
        <v>221</v>
      </c>
      <c r="DQ291" s="25" t="s">
        <v>213</v>
      </c>
      <c r="DR291" s="26" t="s">
        <v>201</v>
      </c>
      <c r="DS291" s="26" t="s">
        <v>109</v>
      </c>
      <c r="DT291" s="25" t="s">
        <v>209</v>
      </c>
      <c r="DU291" s="25" t="s">
        <v>210</v>
      </c>
      <c r="DV291" s="25">
        <f t="shared" si="182"/>
        <v>1</v>
      </c>
      <c r="DW291" s="25">
        <f t="shared" si="183"/>
        <v>1</v>
      </c>
      <c r="DX291" s="25">
        <f t="shared" si="184"/>
        <v>1</v>
      </c>
      <c r="DY291" s="25">
        <f t="shared" si="185"/>
        <v>2</v>
      </c>
      <c r="DZ291" s="25">
        <f t="shared" si="186"/>
        <v>2</v>
      </c>
      <c r="EA291" s="3">
        <f t="shared" si="187"/>
        <v>2</v>
      </c>
      <c r="EB291" s="42"/>
      <c r="EC291" s="9">
        <v>5301102</v>
      </c>
      <c r="ED291" s="34" t="s">
        <v>201</v>
      </c>
      <c r="EE291" s="8">
        <v>1</v>
      </c>
    </row>
    <row r="292" spans="1:135" ht="13.5" customHeight="1">
      <c r="A292" s="9">
        <v>289</v>
      </c>
      <c r="B292" s="9">
        <v>1</v>
      </c>
      <c r="C292" s="9">
        <v>2001</v>
      </c>
      <c r="D292" s="9">
        <f t="shared" si="202"/>
        <v>3552953</v>
      </c>
      <c r="E292" s="9" t="str">
        <f t="shared" si="199"/>
        <v>5202093,5202092,5201094,5501094,5500093,5501094</v>
      </c>
      <c r="F292" s="9" t="str">
        <f t="shared" si="200"/>
        <v>9,9,9,9,9,9</v>
      </c>
      <c r="G292" s="9" t="str">
        <f t="shared" si="201"/>
        <v>589,638,638,638,638,638</v>
      </c>
      <c r="H292" s="9">
        <v>155</v>
      </c>
      <c r="I292" s="9" t="s">
        <v>278</v>
      </c>
      <c r="J292" s="9" t="s">
        <v>279</v>
      </c>
      <c r="K292" s="9" t="s">
        <v>279</v>
      </c>
      <c r="L292" s="9" t="s">
        <v>279</v>
      </c>
      <c r="M292" s="36" t="s">
        <v>299</v>
      </c>
      <c r="N292" s="40"/>
      <c r="O292" s="3">
        <f t="shared" si="167"/>
        <v>3552953</v>
      </c>
      <c r="P292" s="9">
        <v>2808658.14</v>
      </c>
      <c r="Q292" s="9">
        <v>5202093</v>
      </c>
      <c r="R292" s="9">
        <v>5202092</v>
      </c>
      <c r="S292" s="9">
        <v>5201094</v>
      </c>
      <c r="T292" s="9">
        <v>5501094</v>
      </c>
      <c r="U292" s="9">
        <v>5500093</v>
      </c>
      <c r="V292" s="9">
        <v>5501094</v>
      </c>
      <c r="W292" s="9">
        <v>9</v>
      </c>
      <c r="X292" s="9">
        <v>9</v>
      </c>
      <c r="Y292" s="9">
        <v>9</v>
      </c>
      <c r="Z292" s="9">
        <v>9</v>
      </c>
      <c r="AA292" s="9">
        <v>9</v>
      </c>
      <c r="AB292" s="9">
        <v>9</v>
      </c>
      <c r="AC292" s="9">
        <f t="shared" si="188"/>
        <v>589</v>
      </c>
      <c r="AD292" s="9">
        <f t="shared" si="189"/>
        <v>638</v>
      </c>
      <c r="AE292" s="9">
        <f t="shared" si="190"/>
        <v>638</v>
      </c>
      <c r="AF292" s="9">
        <f t="shared" si="191"/>
        <v>638</v>
      </c>
      <c r="AG292" s="9">
        <f t="shared" si="192"/>
        <v>638</v>
      </c>
      <c r="AH292" s="9">
        <f t="shared" si="193"/>
        <v>638</v>
      </c>
      <c r="AI292" s="7">
        <f t="shared" si="166"/>
        <v>468109.69</v>
      </c>
      <c r="AJ292" s="7">
        <f t="shared" si="168"/>
        <v>468109.69</v>
      </c>
      <c r="AK292" s="7">
        <f t="shared" si="168"/>
        <v>468109.69</v>
      </c>
      <c r="AL292" s="7">
        <f t="shared" si="168"/>
        <v>468109.69</v>
      </c>
      <c r="AM292" s="7">
        <f t="shared" si="168"/>
        <v>468109.69</v>
      </c>
      <c r="AN292" s="7">
        <f t="shared" si="168"/>
        <v>468109.69</v>
      </c>
      <c r="AO292" s="16"/>
      <c r="AP292" s="7"/>
      <c r="AQ292" s="9">
        <v>6</v>
      </c>
      <c r="AR292" s="9">
        <f t="shared" si="194"/>
        <v>738</v>
      </c>
      <c r="AS292" s="7">
        <f t="shared" si="203"/>
        <v>244</v>
      </c>
      <c r="AT292" s="7"/>
      <c r="AU292" s="16"/>
      <c r="AV292" s="7"/>
      <c r="AW292" s="7"/>
      <c r="AX292" s="7"/>
      <c r="AZ292" s="7"/>
      <c r="BA292" s="9">
        <f t="shared" si="169"/>
        <v>359630.03999999946</v>
      </c>
      <c r="BC292" s="5">
        <f t="shared" si="195"/>
        <v>551</v>
      </c>
      <c r="BR292" s="5">
        <v>5301084</v>
      </c>
      <c r="BS292" s="18">
        <f>[1]monsters!$N292</f>
        <v>266.24</v>
      </c>
      <c r="BT292" s="18">
        <f>[1]monsters!$O292</f>
        <v>26.62</v>
      </c>
      <c r="BU292" s="18">
        <f>[1]monsters!$P292</f>
        <v>2080</v>
      </c>
      <c r="BV292" s="18">
        <f>[1]monsters!$Q292</f>
        <v>208</v>
      </c>
      <c r="BW292" s="18">
        <f>[1]monsters!$R292</f>
        <v>38.03</v>
      </c>
      <c r="BX292" s="18">
        <f>[1]monsters!$S292</f>
        <v>3.8</v>
      </c>
      <c r="BY292" s="18">
        <f>[1]monsters!$K292</f>
        <v>1.6</v>
      </c>
      <c r="BZ292" s="5">
        <f>[1]monsters!$D292</f>
        <v>4</v>
      </c>
      <c r="CA292" s="5">
        <f t="shared" si="196"/>
        <v>0.1</v>
      </c>
      <c r="CB292" s="5">
        <f t="shared" si="197"/>
        <v>321.63047003367006</v>
      </c>
      <c r="CC292" s="5">
        <f t="shared" si="198"/>
        <v>32.163047003367005</v>
      </c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>
        <v>0</v>
      </c>
      <c r="CR292" s="3" t="b">
        <f t="shared" si="170"/>
        <v>1</v>
      </c>
      <c r="CS292" s="3" t="b">
        <f t="shared" si="171"/>
        <v>1</v>
      </c>
      <c r="CT292" s="3" t="b">
        <f t="shared" si="172"/>
        <v>1</v>
      </c>
      <c r="CU292" s="3" t="b">
        <f t="shared" si="173"/>
        <v>1</v>
      </c>
      <c r="CV292" s="3" t="b">
        <f t="shared" si="174"/>
        <v>1</v>
      </c>
      <c r="CW292" s="3" t="b">
        <f t="shared" si="175"/>
        <v>1</v>
      </c>
      <c r="CX292" s="9" t="str">
        <f t="shared" si="176"/>
        <v>5202093</v>
      </c>
      <c r="CY292" s="9" t="str">
        <f t="shared" si="177"/>
        <v>5202092</v>
      </c>
      <c r="CZ292" s="9" t="str">
        <f t="shared" si="178"/>
        <v>5201094</v>
      </c>
      <c r="DA292" s="9" t="str">
        <f t="shared" si="179"/>
        <v>5501094</v>
      </c>
      <c r="DB292" s="9" t="str">
        <f t="shared" si="180"/>
        <v>5500093</v>
      </c>
      <c r="DC292" s="9" t="str">
        <f t="shared" si="181"/>
        <v>5501094</v>
      </c>
      <c r="DD292" s="9">
        <v>9</v>
      </c>
      <c r="DE292" s="9">
        <v>9</v>
      </c>
      <c r="DF292" s="9">
        <v>9</v>
      </c>
      <c r="DG292" s="9">
        <v>9</v>
      </c>
      <c r="DH292" s="9">
        <v>9</v>
      </c>
      <c r="DI292" s="9">
        <v>9</v>
      </c>
      <c r="DJ292" s="9">
        <v>5</v>
      </c>
      <c r="DK292" s="9">
        <v>5</v>
      </c>
      <c r="DL292" s="9">
        <v>5</v>
      </c>
      <c r="DM292" s="9">
        <v>5</v>
      </c>
      <c r="DN292" s="9">
        <v>5</v>
      </c>
      <c r="DO292" s="9">
        <v>5</v>
      </c>
      <c r="DP292" s="25" t="s">
        <v>208</v>
      </c>
      <c r="DQ292" s="25" t="s">
        <v>200</v>
      </c>
      <c r="DR292" s="26" t="s">
        <v>217</v>
      </c>
      <c r="DS292" s="26" t="s">
        <v>214</v>
      </c>
      <c r="DT292" s="26" t="s">
        <v>207</v>
      </c>
      <c r="DU292" s="26" t="s">
        <v>214</v>
      </c>
      <c r="DV292" s="26">
        <f t="shared" si="182"/>
        <v>1</v>
      </c>
      <c r="DW292" s="26">
        <f t="shared" si="183"/>
        <v>1</v>
      </c>
      <c r="DX292" s="26">
        <f t="shared" si="184"/>
        <v>1</v>
      </c>
      <c r="DY292" s="26">
        <f t="shared" si="185"/>
        <v>2</v>
      </c>
      <c r="DZ292" s="26">
        <f t="shared" si="186"/>
        <v>2</v>
      </c>
      <c r="EA292" s="3">
        <f t="shared" si="187"/>
        <v>2</v>
      </c>
      <c r="EB292" s="42"/>
      <c r="EC292" s="9">
        <v>5401102</v>
      </c>
      <c r="ED292" s="34" t="s">
        <v>202</v>
      </c>
      <c r="EE292" s="8">
        <v>2</v>
      </c>
    </row>
    <row r="293" spans="1:135" ht="13.5" customHeight="1">
      <c r="A293" s="9">
        <v>290</v>
      </c>
      <c r="B293" s="9">
        <v>1</v>
      </c>
      <c r="C293" s="9">
        <v>2001</v>
      </c>
      <c r="D293" s="9">
        <f t="shared" si="202"/>
        <v>3569114</v>
      </c>
      <c r="E293" s="9" t="str">
        <f t="shared" si="199"/>
        <v>5202093,5202093,5301093,5601093,5500093,5500093</v>
      </c>
      <c r="F293" s="9" t="str">
        <f t="shared" si="200"/>
        <v>9,9,9,9,9,9</v>
      </c>
      <c r="G293" s="9" t="str">
        <f t="shared" si="201"/>
        <v>591,639,639,639,639,639</v>
      </c>
      <c r="H293" s="9">
        <v>156</v>
      </c>
      <c r="I293" s="9" t="s">
        <v>278</v>
      </c>
      <c r="J293" s="9" t="s">
        <v>279</v>
      </c>
      <c r="K293" s="9" t="s">
        <v>279</v>
      </c>
      <c r="L293" s="9" t="s">
        <v>279</v>
      </c>
      <c r="M293" s="36" t="s">
        <v>299</v>
      </c>
      <c r="O293" s="3">
        <f t="shared" si="167"/>
        <v>3569114</v>
      </c>
      <c r="P293" s="9">
        <v>2821433.94</v>
      </c>
      <c r="Q293" s="9">
        <v>5202093</v>
      </c>
      <c r="R293" s="9">
        <v>5202093</v>
      </c>
      <c r="S293" s="9">
        <v>5301093</v>
      </c>
      <c r="T293" s="9">
        <v>5601093</v>
      </c>
      <c r="U293" s="9">
        <v>5500093</v>
      </c>
      <c r="V293" s="9">
        <v>5500093</v>
      </c>
      <c r="W293" s="9">
        <v>9</v>
      </c>
      <c r="X293" s="9">
        <v>9</v>
      </c>
      <c r="Y293" s="9">
        <v>9</v>
      </c>
      <c r="Z293" s="9">
        <v>9</v>
      </c>
      <c r="AA293" s="9">
        <v>9</v>
      </c>
      <c r="AB293" s="9">
        <v>9</v>
      </c>
      <c r="AC293" s="9">
        <f t="shared" si="188"/>
        <v>591</v>
      </c>
      <c r="AD293" s="9">
        <f t="shared" si="189"/>
        <v>639</v>
      </c>
      <c r="AE293" s="9">
        <f t="shared" si="190"/>
        <v>639</v>
      </c>
      <c r="AF293" s="9">
        <f t="shared" si="191"/>
        <v>639</v>
      </c>
      <c r="AG293" s="9">
        <f t="shared" si="192"/>
        <v>639</v>
      </c>
      <c r="AH293" s="9">
        <f t="shared" si="193"/>
        <v>639</v>
      </c>
      <c r="AI293" s="7">
        <f t="shared" si="166"/>
        <v>470238.99</v>
      </c>
      <c r="AJ293" s="7">
        <f t="shared" si="168"/>
        <v>470238.99</v>
      </c>
      <c r="AK293" s="7">
        <f t="shared" si="168"/>
        <v>470238.99</v>
      </c>
      <c r="AL293" s="7">
        <f t="shared" si="168"/>
        <v>470238.99</v>
      </c>
      <c r="AM293" s="7">
        <f t="shared" si="168"/>
        <v>470238.99</v>
      </c>
      <c r="AN293" s="7">
        <f t="shared" si="168"/>
        <v>470238.99</v>
      </c>
      <c r="AO293" s="16"/>
      <c r="AP293" s="7"/>
      <c r="AQ293" s="9">
        <v>6</v>
      </c>
      <c r="AR293" s="9">
        <f t="shared" si="194"/>
        <v>739</v>
      </c>
      <c r="AS293" s="7">
        <f t="shared" si="203"/>
        <v>245</v>
      </c>
      <c r="AT293" s="7"/>
      <c r="AU293" s="16"/>
      <c r="AV293" s="7"/>
      <c r="AW293" s="7"/>
      <c r="AX293" s="7"/>
      <c r="AZ293" s="7"/>
      <c r="BA293" s="9">
        <f t="shared" si="169"/>
        <v>362020.39999999944</v>
      </c>
      <c r="BC293" s="5">
        <f t="shared" si="195"/>
        <v>552</v>
      </c>
      <c r="BR293" s="5">
        <v>5401084</v>
      </c>
      <c r="BS293" s="18">
        <f>[1]monsters!$N293</f>
        <v>249.6</v>
      </c>
      <c r="BT293" s="18">
        <f>[1]monsters!$O293</f>
        <v>24.96</v>
      </c>
      <c r="BU293" s="18">
        <f>[1]monsters!$P293</f>
        <v>2080</v>
      </c>
      <c r="BV293" s="18">
        <f>[1]monsters!$Q293</f>
        <v>208</v>
      </c>
      <c r="BW293" s="18">
        <f>[1]monsters!$R293</f>
        <v>35.659999999999997</v>
      </c>
      <c r="BX293" s="18">
        <f>[1]monsters!$S293</f>
        <v>3.57</v>
      </c>
      <c r="BY293" s="18">
        <f>[1]monsters!$K293</f>
        <v>1.5</v>
      </c>
      <c r="BZ293" s="5">
        <f>[1]monsters!$D293</f>
        <v>4</v>
      </c>
      <c r="CA293" s="5">
        <f t="shared" si="196"/>
        <v>0.1</v>
      </c>
      <c r="CB293" s="5">
        <f t="shared" si="197"/>
        <v>305.90567003367005</v>
      </c>
      <c r="CC293" s="5">
        <f t="shared" si="198"/>
        <v>30.590567003367006</v>
      </c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>
        <v>1</v>
      </c>
      <c r="CR293" s="3" t="b">
        <f t="shared" si="170"/>
        <v>1</v>
      </c>
      <c r="CS293" s="3" t="b">
        <f t="shared" si="171"/>
        <v>1</v>
      </c>
      <c r="CT293" s="3" t="b">
        <f t="shared" si="172"/>
        <v>1</v>
      </c>
      <c r="CU293" s="3" t="b">
        <f t="shared" si="173"/>
        <v>1</v>
      </c>
      <c r="CV293" s="3" t="b">
        <f t="shared" si="174"/>
        <v>1</v>
      </c>
      <c r="CW293" s="3" t="b">
        <f t="shared" si="175"/>
        <v>1</v>
      </c>
      <c r="CX293" s="9" t="str">
        <f t="shared" si="176"/>
        <v>5202093</v>
      </c>
      <c r="CY293" s="9" t="str">
        <f t="shared" si="177"/>
        <v>5202093</v>
      </c>
      <c r="CZ293" s="9" t="str">
        <f t="shared" si="178"/>
        <v>5301093</v>
      </c>
      <c r="DA293" s="9" t="str">
        <f t="shared" si="179"/>
        <v>5601093</v>
      </c>
      <c r="DB293" s="9" t="str">
        <f t="shared" si="180"/>
        <v>5500093</v>
      </c>
      <c r="DC293" s="9" t="str">
        <f t="shared" si="181"/>
        <v>5500093</v>
      </c>
      <c r="DD293" s="9">
        <v>9</v>
      </c>
      <c r="DE293" s="9">
        <v>9</v>
      </c>
      <c r="DF293" s="9">
        <v>9</v>
      </c>
      <c r="DG293" s="9">
        <v>9</v>
      </c>
      <c r="DH293" s="9">
        <v>9</v>
      </c>
      <c r="DI293" s="9">
        <v>9</v>
      </c>
      <c r="DJ293" s="9">
        <v>5</v>
      </c>
      <c r="DK293" s="9">
        <v>5</v>
      </c>
      <c r="DL293" s="9">
        <v>5</v>
      </c>
      <c r="DM293" s="9">
        <v>5</v>
      </c>
      <c r="DN293" s="9">
        <v>5</v>
      </c>
      <c r="DO293" s="9">
        <v>5</v>
      </c>
      <c r="DP293" s="25" t="s">
        <v>208</v>
      </c>
      <c r="DQ293" s="25" t="s">
        <v>208</v>
      </c>
      <c r="DR293" s="25" t="s">
        <v>206</v>
      </c>
      <c r="DS293" s="25" t="s">
        <v>216</v>
      </c>
      <c r="DT293" s="26" t="s">
        <v>207</v>
      </c>
      <c r="DU293" s="26" t="s">
        <v>207</v>
      </c>
      <c r="DV293" s="26">
        <f t="shared" si="182"/>
        <v>1</v>
      </c>
      <c r="DW293" s="26">
        <f t="shared" si="183"/>
        <v>1</v>
      </c>
      <c r="DX293" s="26">
        <f t="shared" si="184"/>
        <v>1</v>
      </c>
      <c r="DY293" s="26">
        <f t="shared" si="185"/>
        <v>2</v>
      </c>
      <c r="DZ293" s="26">
        <f t="shared" si="186"/>
        <v>2</v>
      </c>
      <c r="EA293" s="3">
        <f t="shared" si="187"/>
        <v>2</v>
      </c>
      <c r="EB293" s="42"/>
      <c r="EC293" s="9">
        <v>5402102</v>
      </c>
      <c r="ED293" s="34" t="s">
        <v>203</v>
      </c>
      <c r="EE293" s="8">
        <v>2</v>
      </c>
    </row>
    <row r="294" spans="1:135" ht="13.5" customHeight="1">
      <c r="A294" s="9">
        <v>291</v>
      </c>
      <c r="B294" s="9">
        <v>1</v>
      </c>
      <c r="C294" s="9">
        <v>2001</v>
      </c>
      <c r="D294" s="9">
        <f t="shared" si="202"/>
        <v>3585313</v>
      </c>
      <c r="E294" s="9" t="str">
        <f t="shared" si="199"/>
        <v>5201093,5200093,5200092,5402093,5500093,5402093</v>
      </c>
      <c r="F294" s="9" t="str">
        <f t="shared" si="200"/>
        <v>9,9,9,9,9,9</v>
      </c>
      <c r="G294" s="9" t="str">
        <f t="shared" si="201"/>
        <v>592,640,640,640,640,640</v>
      </c>
      <c r="H294" s="9">
        <v>156</v>
      </c>
      <c r="I294" s="9" t="s">
        <v>278</v>
      </c>
      <c r="J294" s="9" t="s">
        <v>279</v>
      </c>
      <c r="K294" s="9" t="s">
        <v>279</v>
      </c>
      <c r="L294" s="9" t="s">
        <v>279</v>
      </c>
      <c r="M294" s="36" t="s">
        <v>299</v>
      </c>
      <c r="N294" s="40"/>
      <c r="O294" s="3">
        <f t="shared" si="167"/>
        <v>3585313</v>
      </c>
      <c r="P294" s="9">
        <v>2834239.59</v>
      </c>
      <c r="Q294" s="9">
        <v>5201093</v>
      </c>
      <c r="R294" s="9">
        <v>5200093</v>
      </c>
      <c r="S294" s="9">
        <v>5200092</v>
      </c>
      <c r="T294" s="9">
        <v>5402093</v>
      </c>
      <c r="U294" s="9">
        <v>5500093</v>
      </c>
      <c r="V294" s="9">
        <v>5402093</v>
      </c>
      <c r="W294" s="9">
        <v>9</v>
      </c>
      <c r="X294" s="9">
        <v>9</v>
      </c>
      <c r="Y294" s="9">
        <v>9</v>
      </c>
      <c r="Z294" s="9">
        <v>9</v>
      </c>
      <c r="AA294" s="9">
        <v>9</v>
      </c>
      <c r="AB294" s="9">
        <v>9</v>
      </c>
      <c r="AC294" s="9">
        <f t="shared" si="188"/>
        <v>592</v>
      </c>
      <c r="AD294" s="9">
        <f t="shared" si="189"/>
        <v>640</v>
      </c>
      <c r="AE294" s="9">
        <f t="shared" si="190"/>
        <v>640</v>
      </c>
      <c r="AF294" s="9">
        <f t="shared" si="191"/>
        <v>640</v>
      </c>
      <c r="AG294" s="9">
        <f t="shared" si="192"/>
        <v>640</v>
      </c>
      <c r="AH294" s="9">
        <f t="shared" si="193"/>
        <v>640</v>
      </c>
      <c r="AI294" s="7">
        <f t="shared" si="166"/>
        <v>472373.26499999996</v>
      </c>
      <c r="AJ294" s="7">
        <f t="shared" si="168"/>
        <v>472373.26499999996</v>
      </c>
      <c r="AK294" s="7">
        <f t="shared" si="168"/>
        <v>472373.26499999996</v>
      </c>
      <c r="AL294" s="7">
        <f t="shared" si="168"/>
        <v>472373.26499999996</v>
      </c>
      <c r="AM294" s="7">
        <f t="shared" si="168"/>
        <v>472373.26499999996</v>
      </c>
      <c r="AN294" s="7">
        <f t="shared" si="168"/>
        <v>472373.26499999996</v>
      </c>
      <c r="AO294" s="16"/>
      <c r="AP294" s="7"/>
      <c r="AQ294" s="9">
        <v>6</v>
      </c>
      <c r="AR294" s="9">
        <f t="shared" si="194"/>
        <v>741</v>
      </c>
      <c r="AS294" s="7">
        <f t="shared" si="203"/>
        <v>245</v>
      </c>
      <c r="AT294" s="7"/>
      <c r="AU294" s="16"/>
      <c r="AV294" s="7"/>
      <c r="AW294" s="7"/>
      <c r="AX294" s="7"/>
      <c r="AZ294" s="7"/>
      <c r="BA294" s="9">
        <f t="shared" si="169"/>
        <v>364410.75999999943</v>
      </c>
      <c r="BC294" s="5">
        <f t="shared" si="195"/>
        <v>553</v>
      </c>
      <c r="BR294" s="5">
        <v>5402084</v>
      </c>
      <c r="BS294" s="18">
        <f>[1]monsters!$N294</f>
        <v>291.2</v>
      </c>
      <c r="BT294" s="18">
        <f>[1]monsters!$O294</f>
        <v>29.12</v>
      </c>
      <c r="BU294" s="18">
        <f>[1]monsters!$P294</f>
        <v>1782.86</v>
      </c>
      <c r="BV294" s="18">
        <f>[1]monsters!$Q294</f>
        <v>178.29</v>
      </c>
      <c r="BW294" s="18">
        <f>[1]monsters!$R294</f>
        <v>36.4</v>
      </c>
      <c r="BX294" s="18">
        <f>[1]monsters!$S294</f>
        <v>3.64</v>
      </c>
      <c r="BY294" s="18">
        <f>[1]monsters!$K294</f>
        <v>1.5</v>
      </c>
      <c r="BZ294" s="5">
        <f>[1]monsters!$D294</f>
        <v>5</v>
      </c>
      <c r="CA294" s="5">
        <f t="shared" si="196"/>
        <v>0.1</v>
      </c>
      <c r="CB294" s="5">
        <f t="shared" si="197"/>
        <v>335.21295622895627</v>
      </c>
      <c r="CC294" s="5">
        <f t="shared" si="198"/>
        <v>33.521295622895629</v>
      </c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>
        <v>0</v>
      </c>
      <c r="CR294" s="3" t="b">
        <f t="shared" si="170"/>
        <v>1</v>
      </c>
      <c r="CS294" s="3" t="b">
        <f t="shared" si="171"/>
        <v>1</v>
      </c>
      <c r="CT294" s="3" t="b">
        <f t="shared" si="172"/>
        <v>1</v>
      </c>
      <c r="CU294" s="3" t="b">
        <f t="shared" si="173"/>
        <v>1</v>
      </c>
      <c r="CV294" s="3" t="b">
        <f t="shared" si="174"/>
        <v>1</v>
      </c>
      <c r="CW294" s="3" t="b">
        <f t="shared" si="175"/>
        <v>1</v>
      </c>
      <c r="CX294" s="9" t="str">
        <f t="shared" si="176"/>
        <v>5201093</v>
      </c>
      <c r="CY294" s="9" t="str">
        <f t="shared" si="177"/>
        <v>5200093</v>
      </c>
      <c r="CZ294" s="9" t="str">
        <f t="shared" si="178"/>
        <v>5200092</v>
      </c>
      <c r="DA294" s="9" t="str">
        <f t="shared" si="179"/>
        <v>5402093</v>
      </c>
      <c r="DB294" s="9" t="str">
        <f t="shared" si="180"/>
        <v>5500093</v>
      </c>
      <c r="DC294" s="9" t="str">
        <f t="shared" si="181"/>
        <v>5402093</v>
      </c>
      <c r="DD294" s="9">
        <v>9</v>
      </c>
      <c r="DE294" s="9">
        <v>9</v>
      </c>
      <c r="DF294" s="9">
        <v>9</v>
      </c>
      <c r="DG294" s="9">
        <v>9</v>
      </c>
      <c r="DH294" s="9">
        <v>9</v>
      </c>
      <c r="DI294" s="9">
        <v>9</v>
      </c>
      <c r="DJ294" s="9">
        <v>5</v>
      </c>
      <c r="DK294" s="9">
        <v>5</v>
      </c>
      <c r="DL294" s="9">
        <v>5</v>
      </c>
      <c r="DM294" s="9">
        <v>5</v>
      </c>
      <c r="DN294" s="9">
        <v>5</v>
      </c>
      <c r="DO294" s="9">
        <v>5</v>
      </c>
      <c r="DP294" s="25" t="s">
        <v>205</v>
      </c>
      <c r="DQ294" s="25" t="s">
        <v>113</v>
      </c>
      <c r="DR294" s="25" t="s">
        <v>199</v>
      </c>
      <c r="DS294" s="26" t="s">
        <v>118</v>
      </c>
      <c r="DT294" s="26" t="s">
        <v>207</v>
      </c>
      <c r="DU294" s="26" t="s">
        <v>118</v>
      </c>
      <c r="DV294" s="26">
        <f t="shared" si="182"/>
        <v>1</v>
      </c>
      <c r="DW294" s="26">
        <f t="shared" si="183"/>
        <v>1</v>
      </c>
      <c r="DX294" s="26">
        <f t="shared" si="184"/>
        <v>1</v>
      </c>
      <c r="DY294" s="26">
        <f t="shared" si="185"/>
        <v>2</v>
      </c>
      <c r="DZ294" s="26">
        <f t="shared" si="186"/>
        <v>2</v>
      </c>
      <c r="EA294" s="3">
        <f t="shared" si="187"/>
        <v>2</v>
      </c>
      <c r="EB294" s="42"/>
      <c r="EC294" s="9">
        <v>5500102</v>
      </c>
      <c r="ED294" s="34" t="s">
        <v>109</v>
      </c>
      <c r="EE294" s="8">
        <v>2</v>
      </c>
    </row>
    <row r="295" spans="1:135" ht="13.5" customHeight="1">
      <c r="A295" s="9">
        <v>292</v>
      </c>
      <c r="B295" s="9">
        <v>1</v>
      </c>
      <c r="C295" s="9">
        <v>2001</v>
      </c>
      <c r="D295" s="9">
        <f t="shared" si="202"/>
        <v>3601550</v>
      </c>
      <c r="E295" s="9" t="str">
        <f t="shared" si="199"/>
        <v>5302095,5202095,5202095,5502092,5500092,5502091</v>
      </c>
      <c r="F295" s="9" t="str">
        <f t="shared" si="200"/>
        <v>9,9,9,9,9,9</v>
      </c>
      <c r="G295" s="9" t="str">
        <f t="shared" si="201"/>
        <v>594,642,642,642,642,642</v>
      </c>
      <c r="H295" s="9">
        <v>156</v>
      </c>
      <c r="I295" s="9" t="s">
        <v>278</v>
      </c>
      <c r="J295" s="9" t="s">
        <v>279</v>
      </c>
      <c r="K295" s="9" t="s">
        <v>279</v>
      </c>
      <c r="L295" s="9" t="s">
        <v>279</v>
      </c>
      <c r="M295" s="36" t="s">
        <v>299</v>
      </c>
      <c r="N295" s="40"/>
      <c r="O295" s="3">
        <f t="shared" si="167"/>
        <v>3601550</v>
      </c>
      <c r="P295" s="9">
        <v>2847075.09</v>
      </c>
      <c r="Q295" s="9">
        <v>5302095</v>
      </c>
      <c r="R295" s="9">
        <v>5202095</v>
      </c>
      <c r="S295" s="9">
        <v>5202095</v>
      </c>
      <c r="T295" s="9">
        <v>5502092</v>
      </c>
      <c r="U295" s="9">
        <v>5500092</v>
      </c>
      <c r="V295" s="9">
        <v>5502091</v>
      </c>
      <c r="W295" s="9">
        <v>9</v>
      </c>
      <c r="X295" s="9">
        <v>9</v>
      </c>
      <c r="Y295" s="9">
        <v>9</v>
      </c>
      <c r="Z295" s="9">
        <v>9</v>
      </c>
      <c r="AA295" s="9">
        <v>9</v>
      </c>
      <c r="AB295" s="9">
        <v>9</v>
      </c>
      <c r="AC295" s="9">
        <f t="shared" si="188"/>
        <v>594</v>
      </c>
      <c r="AD295" s="9">
        <f t="shared" si="189"/>
        <v>642</v>
      </c>
      <c r="AE295" s="9">
        <f t="shared" si="190"/>
        <v>642</v>
      </c>
      <c r="AF295" s="9">
        <f t="shared" si="191"/>
        <v>642</v>
      </c>
      <c r="AG295" s="9">
        <f t="shared" si="192"/>
        <v>642</v>
      </c>
      <c r="AH295" s="9">
        <f t="shared" si="193"/>
        <v>642</v>
      </c>
      <c r="AI295" s="7">
        <f t="shared" ref="AI295:AI358" si="204">$P295/6</f>
        <v>474512.51499999996</v>
      </c>
      <c r="AJ295" s="7">
        <f t="shared" si="168"/>
        <v>474512.51499999996</v>
      </c>
      <c r="AK295" s="7">
        <f t="shared" si="168"/>
        <v>474512.51499999996</v>
      </c>
      <c r="AL295" s="7">
        <f t="shared" si="168"/>
        <v>474512.51499999996</v>
      </c>
      <c r="AM295" s="7">
        <f t="shared" si="168"/>
        <v>474512.51499999996</v>
      </c>
      <c r="AN295" s="7">
        <f t="shared" si="168"/>
        <v>474512.51499999996</v>
      </c>
      <c r="AO295" s="16"/>
      <c r="AP295" s="7"/>
      <c r="AQ295" s="9">
        <v>6</v>
      </c>
      <c r="AR295" s="9">
        <f t="shared" si="194"/>
        <v>743</v>
      </c>
      <c r="AS295" s="7">
        <f t="shared" si="203"/>
        <v>246</v>
      </c>
      <c r="AT295" s="7"/>
      <c r="AU295" s="16"/>
      <c r="AV295" s="7"/>
      <c r="AW295" s="7"/>
      <c r="AX295" s="7"/>
      <c r="AZ295" s="7"/>
      <c r="BA295" s="9">
        <f t="shared" si="169"/>
        <v>366801.11999999941</v>
      </c>
      <c r="BC295" s="5">
        <f t="shared" si="195"/>
        <v>555</v>
      </c>
      <c r="BR295" s="5">
        <v>5501084</v>
      </c>
      <c r="BS295" s="18">
        <f>[1]monsters!$N295</f>
        <v>271.79000000000002</v>
      </c>
      <c r="BT295" s="18">
        <f>[1]monsters!$O295</f>
        <v>27.18</v>
      </c>
      <c r="BU295" s="18">
        <f>[1]monsters!$P295</f>
        <v>1782.86</v>
      </c>
      <c r="BV295" s="18">
        <f>[1]monsters!$Q295</f>
        <v>178.29</v>
      </c>
      <c r="BW295" s="18">
        <f>[1]monsters!$R295</f>
        <v>33.97</v>
      </c>
      <c r="BX295" s="18">
        <f>[1]monsters!$S295</f>
        <v>3.4</v>
      </c>
      <c r="BY295" s="18">
        <f>[1]monsters!$K295</f>
        <v>1.4</v>
      </c>
      <c r="BZ295" s="5">
        <f>[1]monsters!$D295</f>
        <v>5</v>
      </c>
      <c r="CA295" s="5">
        <f t="shared" si="196"/>
        <v>0.1</v>
      </c>
      <c r="CB295" s="5">
        <f t="shared" si="197"/>
        <v>316.87050622895629</v>
      </c>
      <c r="CC295" s="5">
        <f t="shared" si="198"/>
        <v>31.687050622895629</v>
      </c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>
        <v>0</v>
      </c>
      <c r="CR295" s="3" t="b">
        <f t="shared" si="170"/>
        <v>1</v>
      </c>
      <c r="CS295" s="3" t="b">
        <f t="shared" si="171"/>
        <v>1</v>
      </c>
      <c r="CT295" s="3" t="b">
        <f t="shared" si="172"/>
        <v>1</v>
      </c>
      <c r="CU295" s="3" t="b">
        <f t="shared" si="173"/>
        <v>1</v>
      </c>
      <c r="CV295" s="3" t="b">
        <f t="shared" si="174"/>
        <v>1</v>
      </c>
      <c r="CW295" s="3" t="b">
        <f t="shared" si="175"/>
        <v>1</v>
      </c>
      <c r="CX295" s="9" t="str">
        <f t="shared" si="176"/>
        <v>5302095</v>
      </c>
      <c r="CY295" s="9" t="str">
        <f t="shared" si="177"/>
        <v>5202095</v>
      </c>
      <c r="CZ295" s="9" t="str">
        <f t="shared" si="178"/>
        <v>5202095</v>
      </c>
      <c r="DA295" s="9" t="str">
        <f t="shared" si="179"/>
        <v>5502092</v>
      </c>
      <c r="DB295" s="9" t="str">
        <f t="shared" si="180"/>
        <v>5500092</v>
      </c>
      <c r="DC295" s="9" t="str">
        <f t="shared" si="181"/>
        <v>5502091</v>
      </c>
      <c r="DD295" s="9">
        <v>9</v>
      </c>
      <c r="DE295" s="9">
        <v>9</v>
      </c>
      <c r="DF295" s="9">
        <v>9</v>
      </c>
      <c r="DG295" s="9">
        <v>9</v>
      </c>
      <c r="DH295" s="9">
        <v>9</v>
      </c>
      <c r="DI295" s="9">
        <v>9</v>
      </c>
      <c r="DJ295" s="9">
        <v>5</v>
      </c>
      <c r="DK295" s="9">
        <v>5</v>
      </c>
      <c r="DL295" s="9">
        <v>5</v>
      </c>
      <c r="DM295" s="9">
        <v>5</v>
      </c>
      <c r="DN295" s="9">
        <v>5</v>
      </c>
      <c r="DO295" s="9">
        <v>5</v>
      </c>
      <c r="DP295" s="25" t="s">
        <v>221</v>
      </c>
      <c r="DQ295" s="25" t="s">
        <v>213</v>
      </c>
      <c r="DR295" s="25" t="s">
        <v>213</v>
      </c>
      <c r="DS295" s="26" t="s">
        <v>204</v>
      </c>
      <c r="DT295" s="26" t="s">
        <v>109</v>
      </c>
      <c r="DU295" s="26" t="s">
        <v>119</v>
      </c>
      <c r="DV295" s="26">
        <f t="shared" si="182"/>
        <v>1</v>
      </c>
      <c r="DW295" s="26">
        <f t="shared" si="183"/>
        <v>1</v>
      </c>
      <c r="DX295" s="26">
        <f t="shared" si="184"/>
        <v>1</v>
      </c>
      <c r="DY295" s="26">
        <f t="shared" si="185"/>
        <v>2</v>
      </c>
      <c r="DZ295" s="26">
        <f t="shared" si="186"/>
        <v>2</v>
      </c>
      <c r="EA295" s="3">
        <f t="shared" si="187"/>
        <v>2</v>
      </c>
      <c r="EB295" s="42"/>
      <c r="EC295" s="9">
        <v>5502102</v>
      </c>
      <c r="ED295" s="34" t="s">
        <v>204</v>
      </c>
      <c r="EE295" s="8">
        <v>2</v>
      </c>
    </row>
    <row r="296" spans="1:135" ht="13.5" customHeight="1">
      <c r="A296" s="9">
        <v>293</v>
      </c>
      <c r="B296" s="9">
        <v>1</v>
      </c>
      <c r="C296" s="9">
        <v>2001</v>
      </c>
      <c r="D296" s="9">
        <f t="shared" si="202"/>
        <v>3617822</v>
      </c>
      <c r="E296" s="9" t="str">
        <f t="shared" si="199"/>
        <v>5200092,5200093,5200092,5401091,5401093,5400095</v>
      </c>
      <c r="F296" s="9" t="str">
        <f t="shared" si="200"/>
        <v>9,9,9,9,9,9</v>
      </c>
      <c r="G296" s="9" t="str">
        <f t="shared" si="201"/>
        <v>595,643,643,643,643,643</v>
      </c>
      <c r="H296" s="9">
        <v>157</v>
      </c>
      <c r="I296" s="9" t="s">
        <v>278</v>
      </c>
      <c r="J296" s="9" t="s">
        <v>279</v>
      </c>
      <c r="K296" s="9" t="s">
        <v>279</v>
      </c>
      <c r="L296" s="9" t="s">
        <v>279</v>
      </c>
      <c r="M296" s="36" t="s">
        <v>299</v>
      </c>
      <c r="N296" s="40"/>
      <c r="O296" s="3">
        <f t="shared" si="167"/>
        <v>3617822</v>
      </c>
      <c r="P296" s="9">
        <v>2859938.45</v>
      </c>
      <c r="Q296" s="9">
        <v>5200092</v>
      </c>
      <c r="R296" s="9">
        <v>5200093</v>
      </c>
      <c r="S296" s="9">
        <v>5200092</v>
      </c>
      <c r="T296" s="9">
        <v>5401091</v>
      </c>
      <c r="U296" s="9">
        <v>5401093</v>
      </c>
      <c r="V296" s="9">
        <v>5400095</v>
      </c>
      <c r="W296" s="9">
        <v>9</v>
      </c>
      <c r="X296" s="9">
        <v>9</v>
      </c>
      <c r="Y296" s="9">
        <v>9</v>
      </c>
      <c r="Z296" s="9">
        <v>9</v>
      </c>
      <c r="AA296" s="9">
        <v>9</v>
      </c>
      <c r="AB296" s="9">
        <v>9</v>
      </c>
      <c r="AC296" s="9">
        <f t="shared" si="188"/>
        <v>595</v>
      </c>
      <c r="AD296" s="9">
        <f t="shared" si="189"/>
        <v>643</v>
      </c>
      <c r="AE296" s="9">
        <f t="shared" si="190"/>
        <v>643</v>
      </c>
      <c r="AF296" s="9">
        <f t="shared" si="191"/>
        <v>643</v>
      </c>
      <c r="AG296" s="9">
        <f t="shared" si="192"/>
        <v>643</v>
      </c>
      <c r="AH296" s="9">
        <f t="shared" si="193"/>
        <v>643</v>
      </c>
      <c r="AI296" s="7">
        <f t="shared" si="204"/>
        <v>476656.40833333338</v>
      </c>
      <c r="AJ296" s="7">
        <f t="shared" si="168"/>
        <v>476656.40833333338</v>
      </c>
      <c r="AK296" s="7">
        <f t="shared" si="168"/>
        <v>476656.40833333338</v>
      </c>
      <c r="AL296" s="7">
        <f t="shared" si="168"/>
        <v>476656.40833333338</v>
      </c>
      <c r="AM296" s="7">
        <f t="shared" si="168"/>
        <v>476656.40833333338</v>
      </c>
      <c r="AN296" s="7">
        <f t="shared" si="168"/>
        <v>476656.40833333338</v>
      </c>
      <c r="AO296" s="16"/>
      <c r="AP296" s="7"/>
      <c r="AQ296" s="9">
        <v>6</v>
      </c>
      <c r="AR296" s="9">
        <f t="shared" si="194"/>
        <v>745</v>
      </c>
      <c r="AS296" s="7">
        <f t="shared" si="203"/>
        <v>246</v>
      </c>
      <c r="AT296" s="7"/>
      <c r="AU296" s="16"/>
      <c r="AV296" s="7"/>
      <c r="AW296" s="7"/>
      <c r="AX296" s="7"/>
      <c r="AZ296" s="7"/>
      <c r="BA296" s="9">
        <f t="shared" si="169"/>
        <v>369191.4799999994</v>
      </c>
      <c r="BC296" s="5">
        <f t="shared" si="195"/>
        <v>556</v>
      </c>
      <c r="BR296" s="5">
        <v>5502084</v>
      </c>
      <c r="BS296" s="18">
        <f>[1]monsters!$N296</f>
        <v>322.39999999999998</v>
      </c>
      <c r="BT296" s="18">
        <f>[1]monsters!$O296</f>
        <v>32.24</v>
      </c>
      <c r="BU296" s="18">
        <f>[1]monsters!$P296</f>
        <v>1610.32</v>
      </c>
      <c r="BV296" s="18">
        <f>[1]monsters!$Q296</f>
        <v>161.03</v>
      </c>
      <c r="BW296" s="18">
        <f>[1]monsters!$R296</f>
        <v>32.24</v>
      </c>
      <c r="BX296" s="18">
        <f>[1]monsters!$S296</f>
        <v>3.22</v>
      </c>
      <c r="BY296" s="18">
        <f>[1]monsters!$K296</f>
        <v>1.5</v>
      </c>
      <c r="BZ296" s="5">
        <f>[1]monsters!$D296</f>
        <v>6</v>
      </c>
      <c r="CA296" s="5">
        <f t="shared" si="196"/>
        <v>0.1</v>
      </c>
      <c r="CB296" s="5">
        <f t="shared" si="197"/>
        <v>358.88752861952861</v>
      </c>
      <c r="CC296" s="5">
        <f t="shared" si="198"/>
        <v>35.88875286195286</v>
      </c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>
        <v>0</v>
      </c>
      <c r="CR296" s="3" t="b">
        <f t="shared" si="170"/>
        <v>1</v>
      </c>
      <c r="CS296" s="3" t="b">
        <f t="shared" si="171"/>
        <v>1</v>
      </c>
      <c r="CT296" s="3" t="b">
        <f t="shared" si="172"/>
        <v>1</v>
      </c>
      <c r="CU296" s="3" t="b">
        <f t="shared" si="173"/>
        <v>1</v>
      </c>
      <c r="CV296" s="3" t="b">
        <f t="shared" si="174"/>
        <v>1</v>
      </c>
      <c r="CW296" s="3" t="b">
        <f t="shared" si="175"/>
        <v>1</v>
      </c>
      <c r="CX296" s="9" t="str">
        <f t="shared" si="176"/>
        <v>5200092</v>
      </c>
      <c r="CY296" s="9" t="str">
        <f t="shared" si="177"/>
        <v>5200093</v>
      </c>
      <c r="CZ296" s="9" t="str">
        <f t="shared" si="178"/>
        <v>5200092</v>
      </c>
      <c r="DA296" s="9" t="str">
        <f t="shared" si="179"/>
        <v>5401091</v>
      </c>
      <c r="DB296" s="9" t="str">
        <f t="shared" si="180"/>
        <v>5401093</v>
      </c>
      <c r="DC296" s="9" t="str">
        <f t="shared" si="181"/>
        <v>5400095</v>
      </c>
      <c r="DD296" s="9">
        <v>9</v>
      </c>
      <c r="DE296" s="9">
        <v>9</v>
      </c>
      <c r="DF296" s="9">
        <v>9</v>
      </c>
      <c r="DG296" s="9">
        <v>9</v>
      </c>
      <c r="DH296" s="9">
        <v>9</v>
      </c>
      <c r="DI296" s="9">
        <v>9</v>
      </c>
      <c r="DJ296" s="9">
        <v>5</v>
      </c>
      <c r="DK296" s="9">
        <v>5</v>
      </c>
      <c r="DL296" s="9">
        <v>5</v>
      </c>
      <c r="DM296" s="9">
        <v>5</v>
      </c>
      <c r="DN296" s="9">
        <v>5</v>
      </c>
      <c r="DO296" s="9">
        <v>5</v>
      </c>
      <c r="DP296" s="25" t="s">
        <v>199</v>
      </c>
      <c r="DQ296" s="25" t="s">
        <v>113</v>
      </c>
      <c r="DR296" s="25" t="s">
        <v>199</v>
      </c>
      <c r="DS296" s="26" t="s">
        <v>117</v>
      </c>
      <c r="DT296" s="26" t="s">
        <v>211</v>
      </c>
      <c r="DU296" s="26" t="s">
        <v>210</v>
      </c>
      <c r="DV296" s="26">
        <f t="shared" si="182"/>
        <v>1</v>
      </c>
      <c r="DW296" s="26">
        <f t="shared" si="183"/>
        <v>1</v>
      </c>
      <c r="DX296" s="26">
        <f t="shared" si="184"/>
        <v>1</v>
      </c>
      <c r="DY296" s="26">
        <f t="shared" si="185"/>
        <v>2</v>
      </c>
      <c r="DZ296" s="26">
        <f t="shared" si="186"/>
        <v>2</v>
      </c>
      <c r="EA296" s="3">
        <f t="shared" si="187"/>
        <v>2</v>
      </c>
      <c r="EB296" s="42"/>
      <c r="EC296" s="9">
        <v>5601102</v>
      </c>
      <c r="ED296" s="34" t="s">
        <v>124</v>
      </c>
      <c r="EE296" s="8">
        <v>2</v>
      </c>
    </row>
    <row r="297" spans="1:135" ht="13.5" customHeight="1">
      <c r="A297" s="9">
        <v>294</v>
      </c>
      <c r="B297" s="9">
        <v>1</v>
      </c>
      <c r="C297" s="9">
        <v>2001</v>
      </c>
      <c r="D297" s="9">
        <f t="shared" si="202"/>
        <v>3634132</v>
      </c>
      <c r="E297" s="9" t="str">
        <f t="shared" si="199"/>
        <v>5202091,5202092,5301092,5502091,5500091,5502091</v>
      </c>
      <c r="F297" s="9" t="str">
        <f t="shared" si="200"/>
        <v>9,9,9,9,9,9</v>
      </c>
      <c r="G297" s="9" t="str">
        <f t="shared" si="201"/>
        <v>596,645,645,645,645,645</v>
      </c>
      <c r="H297" s="9">
        <v>157</v>
      </c>
      <c r="I297" s="9" t="s">
        <v>278</v>
      </c>
      <c r="J297" s="9" t="s">
        <v>279</v>
      </c>
      <c r="K297" s="9" t="s">
        <v>279</v>
      </c>
      <c r="L297" s="9" t="s">
        <v>279</v>
      </c>
      <c r="M297" s="36" t="s">
        <v>299</v>
      </c>
      <c r="N297" s="40"/>
      <c r="O297" s="3">
        <f t="shared" si="167"/>
        <v>3634132</v>
      </c>
      <c r="P297" s="9">
        <v>2872831.66</v>
      </c>
      <c r="Q297" s="9">
        <v>5202091</v>
      </c>
      <c r="R297" s="9">
        <v>5202092</v>
      </c>
      <c r="S297" s="9">
        <v>5301092</v>
      </c>
      <c r="T297" s="9">
        <v>5502091</v>
      </c>
      <c r="U297" s="9">
        <v>5500091</v>
      </c>
      <c r="V297" s="9">
        <v>5502091</v>
      </c>
      <c r="W297" s="9">
        <v>9</v>
      </c>
      <c r="X297" s="9">
        <v>9</v>
      </c>
      <c r="Y297" s="9">
        <v>9</v>
      </c>
      <c r="Z297" s="9">
        <v>9</v>
      </c>
      <c r="AA297" s="9">
        <v>9</v>
      </c>
      <c r="AB297" s="9">
        <v>9</v>
      </c>
      <c r="AC297" s="9">
        <f t="shared" si="188"/>
        <v>596</v>
      </c>
      <c r="AD297" s="9">
        <f t="shared" si="189"/>
        <v>645</v>
      </c>
      <c r="AE297" s="9">
        <f t="shared" si="190"/>
        <v>645</v>
      </c>
      <c r="AF297" s="9">
        <f t="shared" si="191"/>
        <v>645</v>
      </c>
      <c r="AG297" s="9">
        <f t="shared" si="192"/>
        <v>645</v>
      </c>
      <c r="AH297" s="9">
        <f t="shared" si="193"/>
        <v>645</v>
      </c>
      <c r="AI297" s="7">
        <f t="shared" si="204"/>
        <v>478805.27666666667</v>
      </c>
      <c r="AJ297" s="7">
        <f t="shared" si="168"/>
        <v>478805.27666666667</v>
      </c>
      <c r="AK297" s="7">
        <f t="shared" si="168"/>
        <v>478805.27666666667</v>
      </c>
      <c r="AL297" s="7">
        <f t="shared" si="168"/>
        <v>478805.27666666667</v>
      </c>
      <c r="AM297" s="7">
        <f t="shared" si="168"/>
        <v>478805.27666666667</v>
      </c>
      <c r="AN297" s="7">
        <f t="shared" si="168"/>
        <v>478805.27666666667</v>
      </c>
      <c r="AO297" s="16"/>
      <c r="AP297" s="7"/>
      <c r="AQ297" s="9">
        <v>6</v>
      </c>
      <c r="AR297" s="9">
        <f t="shared" si="194"/>
        <v>746</v>
      </c>
      <c r="AS297" s="7">
        <f t="shared" si="203"/>
        <v>247</v>
      </c>
      <c r="AT297" s="7"/>
      <c r="AU297" s="16"/>
      <c r="AV297" s="7"/>
      <c r="AW297" s="7"/>
      <c r="AX297" s="7"/>
      <c r="AZ297" s="7"/>
      <c r="BA297" s="9">
        <f t="shared" si="169"/>
        <v>371581.83999999939</v>
      </c>
      <c r="BC297" s="5">
        <f t="shared" si="195"/>
        <v>557</v>
      </c>
      <c r="BR297" s="5">
        <v>5600084</v>
      </c>
      <c r="BS297" s="18">
        <f>[1]monsters!$N297</f>
        <v>208</v>
      </c>
      <c r="BT297" s="18">
        <f>[1]monsters!$O297</f>
        <v>20.8</v>
      </c>
      <c r="BU297" s="18">
        <f>[1]monsters!$P297</f>
        <v>2496</v>
      </c>
      <c r="BV297" s="18">
        <f>[1]monsters!$Q297</f>
        <v>249.6</v>
      </c>
      <c r="BW297" s="18">
        <f>[1]monsters!$R297</f>
        <v>52</v>
      </c>
      <c r="BX297" s="18">
        <f>[1]monsters!$S297</f>
        <v>5.2</v>
      </c>
      <c r="BY297" s="18">
        <f>[1]monsters!$K297</f>
        <v>1.5</v>
      </c>
      <c r="BZ297" s="5">
        <f>[1]monsters!$D297</f>
        <v>2</v>
      </c>
      <c r="CA297" s="5">
        <f t="shared" si="196"/>
        <v>0.1</v>
      </c>
      <c r="CB297" s="5">
        <f t="shared" si="197"/>
        <v>280.60040404040404</v>
      </c>
      <c r="CC297" s="5">
        <f t="shared" si="198"/>
        <v>28.060040404040407</v>
      </c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>
        <v>0</v>
      </c>
      <c r="CR297" s="3" t="b">
        <f t="shared" si="170"/>
        <v>1</v>
      </c>
      <c r="CS297" s="3" t="b">
        <f t="shared" si="171"/>
        <v>1</v>
      </c>
      <c r="CT297" s="3" t="b">
        <f t="shared" si="172"/>
        <v>1</v>
      </c>
      <c r="CU297" s="3" t="b">
        <f t="shared" si="173"/>
        <v>1</v>
      </c>
      <c r="CV297" s="3" t="b">
        <f t="shared" si="174"/>
        <v>1</v>
      </c>
      <c r="CW297" s="3" t="b">
        <f t="shared" si="175"/>
        <v>1</v>
      </c>
      <c r="CX297" s="9" t="str">
        <f t="shared" si="176"/>
        <v>5202091</v>
      </c>
      <c r="CY297" s="9" t="str">
        <f t="shared" si="177"/>
        <v>5202092</v>
      </c>
      <c r="CZ297" s="9" t="str">
        <f t="shared" si="178"/>
        <v>5301092</v>
      </c>
      <c r="DA297" s="9" t="str">
        <f t="shared" si="179"/>
        <v>5502091</v>
      </c>
      <c r="DB297" s="9" t="str">
        <f t="shared" si="180"/>
        <v>5500091</v>
      </c>
      <c r="DC297" s="9" t="str">
        <f t="shared" si="181"/>
        <v>5502091</v>
      </c>
      <c r="DD297" s="9">
        <v>9</v>
      </c>
      <c r="DE297" s="9">
        <v>9</v>
      </c>
      <c r="DF297" s="9">
        <v>9</v>
      </c>
      <c r="DG297" s="9">
        <v>9</v>
      </c>
      <c r="DH297" s="9">
        <v>9</v>
      </c>
      <c r="DI297" s="9">
        <v>9</v>
      </c>
      <c r="DJ297" s="9">
        <v>5</v>
      </c>
      <c r="DK297" s="9">
        <v>5</v>
      </c>
      <c r="DL297" s="9">
        <v>5</v>
      </c>
      <c r="DM297" s="9">
        <v>5</v>
      </c>
      <c r="DN297" s="9">
        <v>5</v>
      </c>
      <c r="DO297" s="9">
        <v>5</v>
      </c>
      <c r="DP297" s="25" t="s">
        <v>111</v>
      </c>
      <c r="DQ297" s="25" t="s">
        <v>200</v>
      </c>
      <c r="DR297" s="25" t="s">
        <v>201</v>
      </c>
      <c r="DS297" s="26" t="s">
        <v>119</v>
      </c>
      <c r="DT297" s="26" t="s">
        <v>197</v>
      </c>
      <c r="DU297" s="26" t="s">
        <v>119</v>
      </c>
      <c r="DV297" s="26">
        <f t="shared" si="182"/>
        <v>1</v>
      </c>
      <c r="DW297" s="26">
        <f t="shared" si="183"/>
        <v>1</v>
      </c>
      <c r="DX297" s="26">
        <f t="shared" si="184"/>
        <v>1</v>
      </c>
      <c r="DY297" s="26">
        <f t="shared" si="185"/>
        <v>2</v>
      </c>
      <c r="DZ297" s="26">
        <f t="shared" si="186"/>
        <v>2</v>
      </c>
      <c r="EA297" s="3">
        <f t="shared" si="187"/>
        <v>2</v>
      </c>
      <c r="EB297" s="42"/>
      <c r="EC297" s="9">
        <v>5200103</v>
      </c>
      <c r="ED297" s="34" t="s">
        <v>113</v>
      </c>
      <c r="EE297" s="8">
        <v>1</v>
      </c>
    </row>
    <row r="298" spans="1:135" ht="13.5" customHeight="1">
      <c r="A298" s="9">
        <v>295</v>
      </c>
      <c r="B298" s="9">
        <v>1</v>
      </c>
      <c r="C298" s="9">
        <v>2001</v>
      </c>
      <c r="D298" s="9">
        <f t="shared" si="202"/>
        <v>3650477</v>
      </c>
      <c r="E298" s="9" t="str">
        <f t="shared" si="199"/>
        <v>5300095,5201092,5301091,5400095,5502092,5502092</v>
      </c>
      <c r="F298" s="9" t="str">
        <f t="shared" si="200"/>
        <v>9,9,9,9,9,9</v>
      </c>
      <c r="G298" s="9" t="str">
        <f t="shared" si="201"/>
        <v>598,646,646,646,646,646</v>
      </c>
      <c r="H298" s="9">
        <v>158</v>
      </c>
      <c r="I298" s="9" t="s">
        <v>278</v>
      </c>
      <c r="J298" s="9" t="s">
        <v>279</v>
      </c>
      <c r="K298" s="9" t="s">
        <v>279</v>
      </c>
      <c r="L298" s="9" t="s">
        <v>279</v>
      </c>
      <c r="M298" s="36" t="s">
        <v>299</v>
      </c>
      <c r="O298" s="3">
        <f t="shared" si="167"/>
        <v>3650477</v>
      </c>
      <c r="P298" s="9">
        <v>2885752.73</v>
      </c>
      <c r="Q298" s="9">
        <v>5300095</v>
      </c>
      <c r="R298" s="9">
        <v>5201092</v>
      </c>
      <c r="S298" s="9">
        <v>5301091</v>
      </c>
      <c r="T298" s="9">
        <v>5400095</v>
      </c>
      <c r="U298" s="9">
        <v>5502092</v>
      </c>
      <c r="V298" s="9">
        <v>5502092</v>
      </c>
      <c r="W298" s="9">
        <v>9</v>
      </c>
      <c r="X298" s="9">
        <v>9</v>
      </c>
      <c r="Y298" s="9">
        <v>9</v>
      </c>
      <c r="Z298" s="9">
        <v>9</v>
      </c>
      <c r="AA298" s="9">
        <v>9</v>
      </c>
      <c r="AB298" s="9">
        <v>9</v>
      </c>
      <c r="AC298" s="9">
        <f t="shared" si="188"/>
        <v>598</v>
      </c>
      <c r="AD298" s="9">
        <f t="shared" si="189"/>
        <v>646</v>
      </c>
      <c r="AE298" s="9">
        <f t="shared" si="190"/>
        <v>646</v>
      </c>
      <c r="AF298" s="9">
        <f t="shared" si="191"/>
        <v>646</v>
      </c>
      <c r="AG298" s="9">
        <f t="shared" si="192"/>
        <v>646</v>
      </c>
      <c r="AH298" s="9">
        <f t="shared" si="193"/>
        <v>646</v>
      </c>
      <c r="AI298" s="7">
        <f t="shared" si="204"/>
        <v>480958.78833333333</v>
      </c>
      <c r="AJ298" s="7">
        <f t="shared" si="168"/>
        <v>480958.78833333333</v>
      </c>
      <c r="AK298" s="7">
        <f t="shared" si="168"/>
        <v>480958.78833333333</v>
      </c>
      <c r="AL298" s="7">
        <f t="shared" si="168"/>
        <v>480958.78833333333</v>
      </c>
      <c r="AM298" s="7">
        <f t="shared" si="168"/>
        <v>480958.78833333333</v>
      </c>
      <c r="AN298" s="7">
        <f t="shared" si="168"/>
        <v>480958.78833333333</v>
      </c>
      <c r="AO298" s="16"/>
      <c r="AP298" s="7"/>
      <c r="AQ298" s="9">
        <v>6</v>
      </c>
      <c r="AR298" s="9">
        <f t="shared" si="194"/>
        <v>748</v>
      </c>
      <c r="AS298" s="7">
        <f t="shared" si="203"/>
        <v>247</v>
      </c>
      <c r="AT298" s="7"/>
      <c r="AU298" s="16"/>
      <c r="AV298" s="7"/>
      <c r="AW298" s="7"/>
      <c r="AX298" s="7"/>
      <c r="AZ298" s="7"/>
      <c r="BA298" s="9">
        <f t="shared" si="169"/>
        <v>373972.19999999937</v>
      </c>
      <c r="BC298" s="5">
        <f t="shared" si="195"/>
        <v>558</v>
      </c>
      <c r="BR298" s="5">
        <v>5601084</v>
      </c>
      <c r="BS298" s="18">
        <f>[1]monsters!$N298</f>
        <v>199.68</v>
      </c>
      <c r="BT298" s="18">
        <f>[1]monsters!$O298</f>
        <v>19.97</v>
      </c>
      <c r="BU298" s="18">
        <f>[1]monsters!$P298</f>
        <v>3120</v>
      </c>
      <c r="BV298" s="18">
        <f>[1]monsters!$Q298</f>
        <v>312</v>
      </c>
      <c r="BW298" s="18">
        <f>[1]monsters!$R298</f>
        <v>66.56</v>
      </c>
      <c r="BX298" s="18">
        <f>[1]monsters!$S298</f>
        <v>6.66</v>
      </c>
      <c r="BY298" s="18">
        <f>[1]monsters!$K298</f>
        <v>1.8</v>
      </c>
      <c r="BZ298" s="5">
        <f>[1]monsters!$D298</f>
        <v>2</v>
      </c>
      <c r="CA298" s="5">
        <f t="shared" si="196"/>
        <v>0.1</v>
      </c>
      <c r="CB298" s="5">
        <f t="shared" si="197"/>
        <v>293.74810505050505</v>
      </c>
      <c r="CC298" s="5">
        <f t="shared" si="198"/>
        <v>29.374810505050505</v>
      </c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>
        <v>1</v>
      </c>
      <c r="CR298" s="3" t="b">
        <f t="shared" si="170"/>
        <v>1</v>
      </c>
      <c r="CS298" s="3" t="b">
        <f t="shared" si="171"/>
        <v>1</v>
      </c>
      <c r="CT298" s="3" t="b">
        <f t="shared" si="172"/>
        <v>1</v>
      </c>
      <c r="CU298" s="3" t="b">
        <f t="shared" si="173"/>
        <v>1</v>
      </c>
      <c r="CV298" s="3" t="b">
        <f t="shared" si="174"/>
        <v>1</v>
      </c>
      <c r="CW298" s="3" t="b">
        <f t="shared" si="175"/>
        <v>1</v>
      </c>
      <c r="CX298" s="9" t="str">
        <f t="shared" si="176"/>
        <v>5300095</v>
      </c>
      <c r="CY298" s="9" t="str">
        <f t="shared" si="177"/>
        <v>5201092</v>
      </c>
      <c r="CZ298" s="9" t="str">
        <f t="shared" si="178"/>
        <v>5301091</v>
      </c>
      <c r="DA298" s="9" t="str">
        <f t="shared" si="179"/>
        <v>5400095</v>
      </c>
      <c r="DB298" s="9" t="str">
        <f t="shared" si="180"/>
        <v>5502092</v>
      </c>
      <c r="DC298" s="9" t="str">
        <f t="shared" si="181"/>
        <v>5502092</v>
      </c>
      <c r="DD298" s="9">
        <v>9</v>
      </c>
      <c r="DE298" s="9">
        <v>9</v>
      </c>
      <c r="DF298" s="9">
        <v>9</v>
      </c>
      <c r="DG298" s="9">
        <v>9</v>
      </c>
      <c r="DH298" s="9">
        <v>9</v>
      </c>
      <c r="DI298" s="9">
        <v>9</v>
      </c>
      <c r="DJ298" s="9">
        <v>5</v>
      </c>
      <c r="DK298" s="9">
        <v>5</v>
      </c>
      <c r="DL298" s="9">
        <v>5</v>
      </c>
      <c r="DM298" s="9">
        <v>5</v>
      </c>
      <c r="DN298" s="9">
        <v>5</v>
      </c>
      <c r="DO298" s="9">
        <v>5</v>
      </c>
      <c r="DP298" s="25" t="s">
        <v>212</v>
      </c>
      <c r="DQ298" s="27" t="s">
        <v>114</v>
      </c>
      <c r="DR298" s="27" t="s">
        <v>107</v>
      </c>
      <c r="DS298" s="25" t="s">
        <v>210</v>
      </c>
      <c r="DT298" s="28" t="s">
        <v>204</v>
      </c>
      <c r="DU298" s="28" t="s">
        <v>204</v>
      </c>
      <c r="DV298" s="28">
        <f t="shared" si="182"/>
        <v>1</v>
      </c>
      <c r="DW298" s="28">
        <f t="shared" si="183"/>
        <v>1</v>
      </c>
      <c r="DX298" s="28">
        <f t="shared" si="184"/>
        <v>1</v>
      </c>
      <c r="DY298" s="28">
        <f t="shared" si="185"/>
        <v>2</v>
      </c>
      <c r="DZ298" s="28">
        <f t="shared" si="186"/>
        <v>2</v>
      </c>
      <c r="EA298" s="3">
        <f t="shared" si="187"/>
        <v>2</v>
      </c>
      <c r="EB298" s="42"/>
      <c r="EC298" s="9">
        <v>5201103</v>
      </c>
      <c r="ED298" s="34" t="s">
        <v>205</v>
      </c>
      <c r="EE298" s="8">
        <v>1</v>
      </c>
    </row>
    <row r="299" spans="1:135" ht="13.5" customHeight="1">
      <c r="A299" s="9">
        <v>296</v>
      </c>
      <c r="B299" s="9">
        <v>1</v>
      </c>
      <c r="C299" s="9">
        <v>2001</v>
      </c>
      <c r="D299" s="9">
        <f t="shared" si="202"/>
        <v>3666860</v>
      </c>
      <c r="E299" s="9" t="str">
        <f t="shared" si="199"/>
        <v>5201092,5201092,5200092,5402092,5601092,5500092</v>
      </c>
      <c r="F299" s="9" t="str">
        <f t="shared" si="200"/>
        <v>9,9,9,9,9,9</v>
      </c>
      <c r="G299" s="9" t="str">
        <f t="shared" si="201"/>
        <v>599,648,648,648,648,648</v>
      </c>
      <c r="H299" s="9">
        <v>158</v>
      </c>
      <c r="I299" s="9" t="s">
        <v>278</v>
      </c>
      <c r="J299" s="9" t="s">
        <v>279</v>
      </c>
      <c r="K299" s="9" t="s">
        <v>279</v>
      </c>
      <c r="L299" s="9" t="s">
        <v>279</v>
      </c>
      <c r="M299" s="36" t="s">
        <v>299</v>
      </c>
      <c r="N299" s="40"/>
      <c r="O299" s="3">
        <f t="shared" si="167"/>
        <v>3666860</v>
      </c>
      <c r="P299" s="9">
        <v>2898703.65</v>
      </c>
      <c r="Q299" s="9">
        <v>5201092</v>
      </c>
      <c r="R299" s="9">
        <v>5201092</v>
      </c>
      <c r="S299" s="9">
        <v>5200092</v>
      </c>
      <c r="T299" s="9">
        <v>5402092</v>
      </c>
      <c r="U299" s="9">
        <v>5601092</v>
      </c>
      <c r="V299" s="9">
        <v>5500092</v>
      </c>
      <c r="W299" s="9">
        <v>9</v>
      </c>
      <c r="X299" s="9">
        <v>9</v>
      </c>
      <c r="Y299" s="9">
        <v>9</v>
      </c>
      <c r="Z299" s="9">
        <v>9</v>
      </c>
      <c r="AA299" s="9">
        <v>9</v>
      </c>
      <c r="AB299" s="9">
        <v>9</v>
      </c>
      <c r="AC299" s="9">
        <f t="shared" si="188"/>
        <v>599</v>
      </c>
      <c r="AD299" s="9">
        <f t="shared" si="189"/>
        <v>648</v>
      </c>
      <c r="AE299" s="9">
        <f t="shared" si="190"/>
        <v>648</v>
      </c>
      <c r="AF299" s="9">
        <f t="shared" si="191"/>
        <v>648</v>
      </c>
      <c r="AG299" s="9">
        <f t="shared" si="192"/>
        <v>648</v>
      </c>
      <c r="AH299" s="9">
        <f t="shared" si="193"/>
        <v>648</v>
      </c>
      <c r="AI299" s="7">
        <f t="shared" si="204"/>
        <v>483117.27499999997</v>
      </c>
      <c r="AJ299" s="7">
        <f t="shared" si="168"/>
        <v>483117.27499999997</v>
      </c>
      <c r="AK299" s="7">
        <f t="shared" si="168"/>
        <v>483117.27499999997</v>
      </c>
      <c r="AL299" s="7">
        <f t="shared" si="168"/>
        <v>483117.27499999997</v>
      </c>
      <c r="AM299" s="7">
        <f t="shared" si="168"/>
        <v>483117.27499999997</v>
      </c>
      <c r="AN299" s="7">
        <f t="shared" si="168"/>
        <v>483117.27499999997</v>
      </c>
      <c r="AO299" s="16"/>
      <c r="AP299" s="7"/>
      <c r="AQ299" s="9">
        <v>6</v>
      </c>
      <c r="AR299" s="9">
        <f t="shared" si="194"/>
        <v>750</v>
      </c>
      <c r="AS299" s="7">
        <f t="shared" si="203"/>
        <v>248</v>
      </c>
      <c r="AT299" s="7"/>
      <c r="AU299" s="16"/>
      <c r="AV299" s="7"/>
      <c r="AW299" s="7"/>
      <c r="AX299" s="7"/>
      <c r="AZ299" s="7"/>
      <c r="BA299" s="9">
        <f t="shared" si="169"/>
        <v>376362.55999999936</v>
      </c>
      <c r="BC299" s="5">
        <f t="shared" si="195"/>
        <v>560</v>
      </c>
      <c r="BR299" s="5">
        <v>5201085</v>
      </c>
      <c r="BS299" s="18">
        <f>[1]monsters!$N299</f>
        <v>224.64</v>
      </c>
      <c r="BT299" s="18">
        <f>[1]monsters!$O299</f>
        <v>22.46</v>
      </c>
      <c r="BU299" s="18">
        <f>[1]monsters!$P299</f>
        <v>2773.33</v>
      </c>
      <c r="BV299" s="18">
        <f>[1]monsters!$Q299</f>
        <v>277.33</v>
      </c>
      <c r="BW299" s="18">
        <f>[1]monsters!$R299</f>
        <v>44.93</v>
      </c>
      <c r="BX299" s="18">
        <f>[1]monsters!$S299</f>
        <v>4.49</v>
      </c>
      <c r="BY299" s="18">
        <f>[1]monsters!$K299</f>
        <v>1.8</v>
      </c>
      <c r="BZ299" s="5">
        <f>[1]monsters!$D299</f>
        <v>2</v>
      </c>
      <c r="CA299" s="5">
        <f t="shared" si="196"/>
        <v>0.1</v>
      </c>
      <c r="CB299" s="5">
        <f t="shared" si="197"/>
        <v>305.66291447811443</v>
      </c>
      <c r="CC299" s="5">
        <f t="shared" si="198"/>
        <v>30.566291447811444</v>
      </c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>
        <v>0</v>
      </c>
      <c r="CR299" s="3" t="b">
        <f t="shared" si="170"/>
        <v>1</v>
      </c>
      <c r="CS299" s="3" t="b">
        <f t="shared" si="171"/>
        <v>1</v>
      </c>
      <c r="CT299" s="3" t="b">
        <f t="shared" si="172"/>
        <v>1</v>
      </c>
      <c r="CU299" s="3" t="b">
        <f t="shared" si="173"/>
        <v>1</v>
      </c>
      <c r="CV299" s="3" t="b">
        <f t="shared" si="174"/>
        <v>1</v>
      </c>
      <c r="CW299" s="3" t="b">
        <f t="shared" si="175"/>
        <v>1</v>
      </c>
      <c r="CX299" s="9" t="str">
        <f t="shared" si="176"/>
        <v>5201092</v>
      </c>
      <c r="CY299" s="9" t="str">
        <f t="shared" si="177"/>
        <v>5201092</v>
      </c>
      <c r="CZ299" s="9" t="str">
        <f t="shared" si="178"/>
        <v>5200092</v>
      </c>
      <c r="DA299" s="9" t="str">
        <f t="shared" si="179"/>
        <v>5402092</v>
      </c>
      <c r="DB299" s="9" t="str">
        <f t="shared" si="180"/>
        <v>5601092</v>
      </c>
      <c r="DC299" s="9" t="str">
        <f t="shared" si="181"/>
        <v>5500092</v>
      </c>
      <c r="DD299" s="9">
        <v>9</v>
      </c>
      <c r="DE299" s="9">
        <v>9</v>
      </c>
      <c r="DF299" s="9">
        <v>9</v>
      </c>
      <c r="DG299" s="9">
        <v>9</v>
      </c>
      <c r="DH299" s="9">
        <v>9</v>
      </c>
      <c r="DI299" s="9">
        <v>9</v>
      </c>
      <c r="DJ299" s="9">
        <v>5</v>
      </c>
      <c r="DK299" s="9">
        <v>5</v>
      </c>
      <c r="DL299" s="9">
        <v>5</v>
      </c>
      <c r="DM299" s="9">
        <v>5</v>
      </c>
      <c r="DN299" s="9">
        <v>5</v>
      </c>
      <c r="DO299" s="9">
        <v>5</v>
      </c>
      <c r="DP299" s="25" t="s">
        <v>114</v>
      </c>
      <c r="DQ299" s="25" t="s">
        <v>114</v>
      </c>
      <c r="DR299" s="26" t="s">
        <v>199</v>
      </c>
      <c r="DS299" s="26" t="s">
        <v>203</v>
      </c>
      <c r="DT299" s="25" t="s">
        <v>124</v>
      </c>
      <c r="DU299" s="25" t="s">
        <v>109</v>
      </c>
      <c r="DV299" s="25">
        <f t="shared" si="182"/>
        <v>1</v>
      </c>
      <c r="DW299" s="25">
        <f t="shared" si="183"/>
        <v>1</v>
      </c>
      <c r="DX299" s="25">
        <f t="shared" si="184"/>
        <v>1</v>
      </c>
      <c r="DY299" s="25">
        <f t="shared" si="185"/>
        <v>2</v>
      </c>
      <c r="DZ299" s="25">
        <f t="shared" si="186"/>
        <v>2</v>
      </c>
      <c r="EA299" s="3">
        <f t="shared" si="187"/>
        <v>2</v>
      </c>
      <c r="EB299" s="42"/>
      <c r="EC299" s="9">
        <v>5202103</v>
      </c>
      <c r="ED299" s="34" t="s">
        <v>208</v>
      </c>
      <c r="EE299" s="8">
        <v>1</v>
      </c>
    </row>
    <row r="300" spans="1:135" ht="13.5" customHeight="1">
      <c r="A300" s="9">
        <v>297</v>
      </c>
      <c r="B300" s="9">
        <v>1</v>
      </c>
      <c r="C300" s="9">
        <v>2001</v>
      </c>
      <c r="D300" s="9">
        <f t="shared" si="202"/>
        <v>3683281</v>
      </c>
      <c r="E300" s="9" t="str">
        <f t="shared" si="199"/>
        <v>5200092,5200093,5200092,5502092,5500092,5502093</v>
      </c>
      <c r="F300" s="9" t="str">
        <f t="shared" si="200"/>
        <v>9,9,9,9,9,9</v>
      </c>
      <c r="G300" s="9" t="str">
        <f t="shared" si="201"/>
        <v>600,649,649,649,649,649</v>
      </c>
      <c r="H300" s="9">
        <v>158</v>
      </c>
      <c r="I300" s="9" t="s">
        <v>278</v>
      </c>
      <c r="J300" s="9" t="s">
        <v>279</v>
      </c>
      <c r="K300" s="9" t="s">
        <v>279</v>
      </c>
      <c r="L300" s="9" t="s">
        <v>279</v>
      </c>
      <c r="M300" s="36" t="s">
        <v>299</v>
      </c>
      <c r="N300" s="40"/>
      <c r="O300" s="3">
        <f t="shared" si="167"/>
        <v>3683281</v>
      </c>
      <c r="P300" s="9">
        <v>2911684.42</v>
      </c>
      <c r="Q300" s="9">
        <v>5200092</v>
      </c>
      <c r="R300" s="9">
        <v>5200093</v>
      </c>
      <c r="S300" s="9">
        <v>5200092</v>
      </c>
      <c r="T300" s="9">
        <v>5502092</v>
      </c>
      <c r="U300" s="9">
        <v>5500092</v>
      </c>
      <c r="V300" s="9">
        <v>5502093</v>
      </c>
      <c r="W300" s="9">
        <v>9</v>
      </c>
      <c r="X300" s="9">
        <v>9</v>
      </c>
      <c r="Y300" s="9">
        <v>9</v>
      </c>
      <c r="Z300" s="9">
        <v>9</v>
      </c>
      <c r="AA300" s="9">
        <v>9</v>
      </c>
      <c r="AB300" s="9">
        <v>9</v>
      </c>
      <c r="AC300" s="9">
        <f t="shared" si="188"/>
        <v>600</v>
      </c>
      <c r="AD300" s="9">
        <f t="shared" si="189"/>
        <v>649</v>
      </c>
      <c r="AE300" s="9">
        <f t="shared" si="190"/>
        <v>649</v>
      </c>
      <c r="AF300" s="9">
        <f t="shared" si="191"/>
        <v>649</v>
      </c>
      <c r="AG300" s="9">
        <f t="shared" si="192"/>
        <v>649</v>
      </c>
      <c r="AH300" s="9">
        <f t="shared" si="193"/>
        <v>649</v>
      </c>
      <c r="AI300" s="7">
        <f t="shared" si="204"/>
        <v>485280.73666666663</v>
      </c>
      <c r="AJ300" s="7">
        <f t="shared" si="168"/>
        <v>485280.73666666663</v>
      </c>
      <c r="AK300" s="7">
        <f t="shared" si="168"/>
        <v>485280.73666666663</v>
      </c>
      <c r="AL300" s="7">
        <f t="shared" si="168"/>
        <v>485280.73666666663</v>
      </c>
      <c r="AM300" s="7">
        <f t="shared" si="168"/>
        <v>485280.73666666663</v>
      </c>
      <c r="AN300" s="7">
        <f t="shared" si="168"/>
        <v>485280.73666666663</v>
      </c>
      <c r="AO300" s="16"/>
      <c r="AP300" s="7"/>
      <c r="AQ300" s="9">
        <v>6</v>
      </c>
      <c r="AR300" s="9">
        <f t="shared" si="194"/>
        <v>751</v>
      </c>
      <c r="AS300" s="7">
        <f t="shared" si="203"/>
        <v>248</v>
      </c>
      <c r="AT300" s="7"/>
      <c r="AU300" s="16"/>
      <c r="AV300" s="7"/>
      <c r="AW300" s="7"/>
      <c r="AX300" s="7"/>
      <c r="AZ300" s="7"/>
      <c r="BA300" s="9">
        <f t="shared" si="169"/>
        <v>378752.91999999934</v>
      </c>
      <c r="BC300" s="5">
        <f t="shared" si="195"/>
        <v>561</v>
      </c>
      <c r="BR300" s="5">
        <v>5202085</v>
      </c>
      <c r="BS300" s="18">
        <f>[1]monsters!$N300</f>
        <v>149.76</v>
      </c>
      <c r="BT300" s="18">
        <f>[1]monsters!$O300</f>
        <v>14.98</v>
      </c>
      <c r="BU300" s="18">
        <f>[1]monsters!$P300</f>
        <v>2773.33</v>
      </c>
      <c r="BV300" s="18">
        <f>[1]monsters!$Q300</f>
        <v>277.33</v>
      </c>
      <c r="BW300" s="18">
        <f>[1]monsters!$R300</f>
        <v>29.95</v>
      </c>
      <c r="BX300" s="18">
        <f>[1]monsters!$S300</f>
        <v>3</v>
      </c>
      <c r="BY300" s="18">
        <f>[1]monsters!$K300</f>
        <v>1.2</v>
      </c>
      <c r="BZ300" s="5">
        <f>[1]monsters!$D300</f>
        <v>3</v>
      </c>
      <c r="CA300" s="5">
        <f t="shared" si="196"/>
        <v>0.1</v>
      </c>
      <c r="CB300" s="5">
        <f t="shared" si="197"/>
        <v>234.90131447811447</v>
      </c>
      <c r="CC300" s="5">
        <f t="shared" si="198"/>
        <v>23.49013144781145</v>
      </c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>
        <v>0</v>
      </c>
      <c r="CR300" s="3" t="b">
        <f t="shared" si="170"/>
        <v>1</v>
      </c>
      <c r="CS300" s="3" t="b">
        <f t="shared" si="171"/>
        <v>1</v>
      </c>
      <c r="CT300" s="3" t="b">
        <f t="shared" si="172"/>
        <v>1</v>
      </c>
      <c r="CU300" s="3" t="b">
        <f t="shared" si="173"/>
        <v>1</v>
      </c>
      <c r="CV300" s="3" t="b">
        <f t="shared" si="174"/>
        <v>1</v>
      </c>
      <c r="CW300" s="3" t="b">
        <f t="shared" si="175"/>
        <v>1</v>
      </c>
      <c r="CX300" s="9" t="str">
        <f t="shared" si="176"/>
        <v>5200092</v>
      </c>
      <c r="CY300" s="9" t="str">
        <f t="shared" si="177"/>
        <v>5200093</v>
      </c>
      <c r="CZ300" s="9" t="str">
        <f t="shared" si="178"/>
        <v>5200092</v>
      </c>
      <c r="DA300" s="9" t="str">
        <f t="shared" si="179"/>
        <v>5502092</v>
      </c>
      <c r="DB300" s="9" t="str">
        <f t="shared" si="180"/>
        <v>5500092</v>
      </c>
      <c r="DC300" s="9" t="str">
        <f t="shared" si="181"/>
        <v>5502093</v>
      </c>
      <c r="DD300" s="9">
        <v>9</v>
      </c>
      <c r="DE300" s="9">
        <v>9</v>
      </c>
      <c r="DF300" s="9">
        <v>9</v>
      </c>
      <c r="DG300" s="9">
        <v>9</v>
      </c>
      <c r="DH300" s="9">
        <v>9</v>
      </c>
      <c r="DI300" s="9">
        <v>9</v>
      </c>
      <c r="DJ300" s="9">
        <v>5</v>
      </c>
      <c r="DK300" s="9">
        <v>5</v>
      </c>
      <c r="DL300" s="9">
        <v>5</v>
      </c>
      <c r="DM300" s="9">
        <v>5</v>
      </c>
      <c r="DN300" s="9">
        <v>5</v>
      </c>
      <c r="DO300" s="9">
        <v>5</v>
      </c>
      <c r="DP300" s="25" t="s">
        <v>199</v>
      </c>
      <c r="DQ300" s="25" t="s">
        <v>113</v>
      </c>
      <c r="DR300" s="25" t="s">
        <v>199</v>
      </c>
      <c r="DS300" s="28" t="s">
        <v>204</v>
      </c>
      <c r="DT300" s="28" t="s">
        <v>109</v>
      </c>
      <c r="DU300" s="28" t="s">
        <v>215</v>
      </c>
      <c r="DV300" s="28">
        <f t="shared" si="182"/>
        <v>1</v>
      </c>
      <c r="DW300" s="28">
        <f t="shared" si="183"/>
        <v>1</v>
      </c>
      <c r="DX300" s="28">
        <f t="shared" si="184"/>
        <v>1</v>
      </c>
      <c r="DY300" s="28">
        <f t="shared" si="185"/>
        <v>2</v>
      </c>
      <c r="DZ300" s="28">
        <f t="shared" si="186"/>
        <v>2</v>
      </c>
      <c r="EA300" s="3">
        <f t="shared" si="187"/>
        <v>2</v>
      </c>
      <c r="EB300" s="42"/>
      <c r="EC300" s="9">
        <v>5301103</v>
      </c>
      <c r="ED300" s="34" t="s">
        <v>206</v>
      </c>
      <c r="EE300" s="8">
        <v>1</v>
      </c>
    </row>
    <row r="301" spans="1:135" ht="13.5" customHeight="1">
      <c r="A301" s="9">
        <v>298</v>
      </c>
      <c r="B301" s="9">
        <v>1</v>
      </c>
      <c r="C301" s="9">
        <v>2001</v>
      </c>
      <c r="D301" s="9">
        <f t="shared" si="202"/>
        <v>3699737</v>
      </c>
      <c r="E301" s="9" t="str">
        <f t="shared" si="199"/>
        <v>5202093,5202092,5202093,5401093,5400095,5501095</v>
      </c>
      <c r="F301" s="9" t="str">
        <f t="shared" si="200"/>
        <v>9,9,9,9,9,9</v>
      </c>
      <c r="G301" s="9" t="str">
        <f t="shared" si="201"/>
        <v>602,651,651,651,651,651</v>
      </c>
      <c r="H301" s="9">
        <v>159</v>
      </c>
      <c r="I301" s="9" t="s">
        <v>278</v>
      </c>
      <c r="J301" s="9" t="s">
        <v>279</v>
      </c>
      <c r="K301" s="9" t="s">
        <v>279</v>
      </c>
      <c r="L301" s="9" t="s">
        <v>279</v>
      </c>
      <c r="M301" s="36" t="s">
        <v>299</v>
      </c>
      <c r="N301" s="40"/>
      <c r="O301" s="3">
        <f t="shared" si="167"/>
        <v>3699737</v>
      </c>
      <c r="P301" s="9">
        <v>2924693.05</v>
      </c>
      <c r="Q301" s="9">
        <v>5202093</v>
      </c>
      <c r="R301" s="9">
        <v>5202092</v>
      </c>
      <c r="S301" s="9">
        <v>5202093</v>
      </c>
      <c r="T301" s="9">
        <v>5401093</v>
      </c>
      <c r="U301" s="9">
        <v>5400095</v>
      </c>
      <c r="V301" s="9">
        <v>5501095</v>
      </c>
      <c r="W301" s="9">
        <v>9</v>
      </c>
      <c r="X301" s="9">
        <v>9</v>
      </c>
      <c r="Y301" s="9">
        <v>9</v>
      </c>
      <c r="Z301" s="9">
        <v>9</v>
      </c>
      <c r="AA301" s="9">
        <v>9</v>
      </c>
      <c r="AB301" s="9">
        <v>9</v>
      </c>
      <c r="AC301" s="9">
        <f t="shared" si="188"/>
        <v>602</v>
      </c>
      <c r="AD301" s="9">
        <f t="shared" si="189"/>
        <v>651</v>
      </c>
      <c r="AE301" s="9">
        <f t="shared" si="190"/>
        <v>651</v>
      </c>
      <c r="AF301" s="9">
        <f t="shared" si="191"/>
        <v>651</v>
      </c>
      <c r="AG301" s="9">
        <f t="shared" si="192"/>
        <v>651</v>
      </c>
      <c r="AH301" s="9">
        <f t="shared" si="193"/>
        <v>651</v>
      </c>
      <c r="AI301" s="7">
        <f t="shared" si="204"/>
        <v>487448.84166666662</v>
      </c>
      <c r="AJ301" s="7">
        <f t="shared" si="168"/>
        <v>487448.84166666662</v>
      </c>
      <c r="AK301" s="7">
        <f t="shared" si="168"/>
        <v>487448.84166666662</v>
      </c>
      <c r="AL301" s="7">
        <f t="shared" si="168"/>
        <v>487448.84166666662</v>
      </c>
      <c r="AM301" s="7">
        <f t="shared" si="168"/>
        <v>487448.84166666662</v>
      </c>
      <c r="AN301" s="7">
        <f t="shared" si="168"/>
        <v>487448.84166666662</v>
      </c>
      <c r="AO301" s="16"/>
      <c r="AP301" s="7"/>
      <c r="AQ301" s="9">
        <v>6</v>
      </c>
      <c r="AR301" s="9">
        <f t="shared" si="194"/>
        <v>753</v>
      </c>
      <c r="AS301" s="7">
        <f t="shared" si="203"/>
        <v>249</v>
      </c>
      <c r="AT301" s="7"/>
      <c r="AU301" s="16"/>
      <c r="AV301" s="7"/>
      <c r="AW301" s="7"/>
      <c r="AX301" s="7"/>
      <c r="AZ301" s="7"/>
      <c r="BA301" s="9">
        <f t="shared" si="169"/>
        <v>381143.27999999933</v>
      </c>
      <c r="BC301" s="5">
        <f t="shared" si="195"/>
        <v>562</v>
      </c>
      <c r="BR301" s="5">
        <v>5302085</v>
      </c>
      <c r="BS301" s="18">
        <f>[1]monsters!$N301</f>
        <v>266.24</v>
      </c>
      <c r="BT301" s="18">
        <f>[1]monsters!$O301</f>
        <v>26.62</v>
      </c>
      <c r="BU301" s="18">
        <f>[1]monsters!$P301</f>
        <v>2080</v>
      </c>
      <c r="BV301" s="18">
        <f>[1]monsters!$Q301</f>
        <v>208</v>
      </c>
      <c r="BW301" s="18">
        <f>[1]monsters!$R301</f>
        <v>38.03</v>
      </c>
      <c r="BX301" s="18">
        <f>[1]monsters!$S301</f>
        <v>3.8</v>
      </c>
      <c r="BY301" s="18">
        <f>[1]monsters!$K301</f>
        <v>1.6</v>
      </c>
      <c r="BZ301" s="5">
        <f>[1]monsters!$D301</f>
        <v>4</v>
      </c>
      <c r="CA301" s="5">
        <f t="shared" si="196"/>
        <v>0.1</v>
      </c>
      <c r="CB301" s="5">
        <f t="shared" si="197"/>
        <v>321.63047003367006</v>
      </c>
      <c r="CC301" s="5">
        <f t="shared" si="198"/>
        <v>32.163047003367005</v>
      </c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>
        <v>0</v>
      </c>
      <c r="CR301" s="3" t="b">
        <f t="shared" si="170"/>
        <v>1</v>
      </c>
      <c r="CS301" s="3" t="b">
        <f t="shared" si="171"/>
        <v>1</v>
      </c>
      <c r="CT301" s="3" t="b">
        <f t="shared" si="172"/>
        <v>1</v>
      </c>
      <c r="CU301" s="3" t="b">
        <f t="shared" si="173"/>
        <v>1</v>
      </c>
      <c r="CV301" s="3" t="b">
        <f t="shared" si="174"/>
        <v>1</v>
      </c>
      <c r="CW301" s="3" t="b">
        <f t="shared" si="175"/>
        <v>1</v>
      </c>
      <c r="CX301" s="9" t="str">
        <f t="shared" si="176"/>
        <v>5202093</v>
      </c>
      <c r="CY301" s="9" t="str">
        <f t="shared" si="177"/>
        <v>5202092</v>
      </c>
      <c r="CZ301" s="9" t="str">
        <f t="shared" si="178"/>
        <v>5202093</v>
      </c>
      <c r="DA301" s="9" t="str">
        <f t="shared" si="179"/>
        <v>5401093</v>
      </c>
      <c r="DB301" s="9" t="str">
        <f t="shared" si="180"/>
        <v>5400095</v>
      </c>
      <c r="DC301" s="9" t="str">
        <f t="shared" si="181"/>
        <v>5501095</v>
      </c>
      <c r="DD301" s="9">
        <v>9</v>
      </c>
      <c r="DE301" s="9">
        <v>9</v>
      </c>
      <c r="DF301" s="9">
        <v>9</v>
      </c>
      <c r="DG301" s="9">
        <v>9</v>
      </c>
      <c r="DH301" s="9">
        <v>9</v>
      </c>
      <c r="DI301" s="9">
        <v>9</v>
      </c>
      <c r="DJ301" s="9">
        <v>5</v>
      </c>
      <c r="DK301" s="9">
        <v>5</v>
      </c>
      <c r="DL301" s="9">
        <v>5</v>
      </c>
      <c r="DM301" s="9">
        <v>5</v>
      </c>
      <c r="DN301" s="9">
        <v>5</v>
      </c>
      <c r="DO301" s="9">
        <v>5</v>
      </c>
      <c r="DP301" s="25" t="s">
        <v>208</v>
      </c>
      <c r="DQ301" s="25" t="s">
        <v>200</v>
      </c>
      <c r="DR301" s="26" t="s">
        <v>208</v>
      </c>
      <c r="DS301" s="26" t="s">
        <v>211</v>
      </c>
      <c r="DT301" s="25" t="s">
        <v>210</v>
      </c>
      <c r="DU301" s="25" t="s">
        <v>209</v>
      </c>
      <c r="DV301" s="25">
        <f t="shared" si="182"/>
        <v>1</v>
      </c>
      <c r="DW301" s="25">
        <f t="shared" si="183"/>
        <v>1</v>
      </c>
      <c r="DX301" s="25">
        <f t="shared" si="184"/>
        <v>1</v>
      </c>
      <c r="DY301" s="25">
        <f t="shared" si="185"/>
        <v>2</v>
      </c>
      <c r="DZ301" s="25">
        <f t="shared" si="186"/>
        <v>2</v>
      </c>
      <c r="EA301" s="3">
        <f t="shared" si="187"/>
        <v>2</v>
      </c>
      <c r="EB301" s="42"/>
      <c r="EC301" s="9">
        <v>5401103</v>
      </c>
      <c r="ED301" s="34" t="s">
        <v>211</v>
      </c>
      <c r="EE301" s="8">
        <v>2</v>
      </c>
    </row>
    <row r="302" spans="1:135" ht="13.5" customHeight="1">
      <c r="A302" s="9">
        <v>299</v>
      </c>
      <c r="B302" s="9">
        <v>1</v>
      </c>
      <c r="C302" s="9">
        <v>2001</v>
      </c>
      <c r="D302" s="9">
        <f t="shared" si="202"/>
        <v>3716228</v>
      </c>
      <c r="E302" s="9" t="str">
        <f t="shared" si="199"/>
        <v>5201091,5201092,5201094,5501094,5500093,5602094</v>
      </c>
      <c r="F302" s="9" t="str">
        <f t="shared" si="200"/>
        <v>9,9,9,9,9,9</v>
      </c>
      <c r="G302" s="9" t="str">
        <f t="shared" si="201"/>
        <v>603,652,652,652,652,652</v>
      </c>
      <c r="H302" s="9">
        <v>159</v>
      </c>
      <c r="I302" s="9" t="s">
        <v>278</v>
      </c>
      <c r="J302" s="9" t="s">
        <v>279</v>
      </c>
      <c r="K302" s="9" t="s">
        <v>279</v>
      </c>
      <c r="L302" s="9" t="s">
        <v>279</v>
      </c>
      <c r="M302" s="36" t="s">
        <v>299</v>
      </c>
      <c r="N302" s="40"/>
      <c r="O302" s="3">
        <f t="shared" si="167"/>
        <v>3716228</v>
      </c>
      <c r="P302" s="9">
        <v>2937729.54</v>
      </c>
      <c r="Q302" s="9">
        <v>5201091</v>
      </c>
      <c r="R302" s="9">
        <v>5201092</v>
      </c>
      <c r="S302" s="9">
        <v>5201094</v>
      </c>
      <c r="T302" s="9">
        <v>5501094</v>
      </c>
      <c r="U302" s="9">
        <v>5500093</v>
      </c>
      <c r="V302" s="9">
        <v>5602094</v>
      </c>
      <c r="W302" s="9">
        <v>9</v>
      </c>
      <c r="X302" s="9">
        <v>9</v>
      </c>
      <c r="Y302" s="9">
        <v>9</v>
      </c>
      <c r="Z302" s="9">
        <v>9</v>
      </c>
      <c r="AA302" s="9">
        <v>9</v>
      </c>
      <c r="AB302" s="9">
        <v>9</v>
      </c>
      <c r="AC302" s="9">
        <f t="shared" si="188"/>
        <v>603</v>
      </c>
      <c r="AD302" s="9">
        <f t="shared" si="189"/>
        <v>652</v>
      </c>
      <c r="AE302" s="9">
        <f t="shared" si="190"/>
        <v>652</v>
      </c>
      <c r="AF302" s="9">
        <f t="shared" si="191"/>
        <v>652</v>
      </c>
      <c r="AG302" s="9">
        <f t="shared" si="192"/>
        <v>652</v>
      </c>
      <c r="AH302" s="9">
        <f t="shared" si="193"/>
        <v>652</v>
      </c>
      <c r="AI302" s="7">
        <f t="shared" si="204"/>
        <v>489621.59</v>
      </c>
      <c r="AJ302" s="7">
        <f t="shared" si="168"/>
        <v>489621.59</v>
      </c>
      <c r="AK302" s="7">
        <f t="shared" si="168"/>
        <v>489621.59</v>
      </c>
      <c r="AL302" s="7">
        <f t="shared" si="168"/>
        <v>489621.59</v>
      </c>
      <c r="AM302" s="7">
        <f t="shared" si="168"/>
        <v>489621.59</v>
      </c>
      <c r="AN302" s="7">
        <f t="shared" si="168"/>
        <v>489621.59</v>
      </c>
      <c r="AO302" s="16"/>
      <c r="AP302" s="7"/>
      <c r="AQ302" s="9">
        <v>6</v>
      </c>
      <c r="AR302" s="9">
        <f t="shared" si="194"/>
        <v>755</v>
      </c>
      <c r="AS302" s="7">
        <f t="shared" si="203"/>
        <v>249</v>
      </c>
      <c r="AT302" s="7"/>
      <c r="AU302" s="16"/>
      <c r="AV302" s="7"/>
      <c r="AW302" s="7"/>
      <c r="AX302" s="7"/>
      <c r="AZ302" s="7"/>
      <c r="BA302" s="9">
        <f t="shared" si="169"/>
        <v>383533.63999999932</v>
      </c>
      <c r="BC302" s="5">
        <f t="shared" si="195"/>
        <v>563</v>
      </c>
      <c r="BR302" s="5">
        <v>5301085</v>
      </c>
      <c r="BS302" s="18">
        <f>[1]monsters!$N302</f>
        <v>249.6</v>
      </c>
      <c r="BT302" s="18">
        <f>[1]monsters!$O302</f>
        <v>24.96</v>
      </c>
      <c r="BU302" s="18">
        <f>[1]monsters!$P302</f>
        <v>2080</v>
      </c>
      <c r="BV302" s="18">
        <f>[1]monsters!$Q302</f>
        <v>208</v>
      </c>
      <c r="BW302" s="18">
        <f>[1]monsters!$R302</f>
        <v>35.659999999999997</v>
      </c>
      <c r="BX302" s="18">
        <f>[1]monsters!$S302</f>
        <v>3.57</v>
      </c>
      <c r="BY302" s="18">
        <f>[1]monsters!$K302</f>
        <v>1.5</v>
      </c>
      <c r="BZ302" s="5">
        <f>[1]monsters!$D302</f>
        <v>4</v>
      </c>
      <c r="CA302" s="5">
        <f t="shared" si="196"/>
        <v>0.1</v>
      </c>
      <c r="CB302" s="5">
        <f t="shared" si="197"/>
        <v>305.90567003367005</v>
      </c>
      <c r="CC302" s="5">
        <f t="shared" si="198"/>
        <v>30.590567003367006</v>
      </c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>
        <v>0</v>
      </c>
      <c r="CR302" s="3" t="b">
        <f t="shared" si="170"/>
        <v>1</v>
      </c>
      <c r="CS302" s="3" t="b">
        <f t="shared" si="171"/>
        <v>1</v>
      </c>
      <c r="CT302" s="3" t="b">
        <f t="shared" si="172"/>
        <v>1</v>
      </c>
      <c r="CU302" s="3" t="b">
        <f t="shared" si="173"/>
        <v>1</v>
      </c>
      <c r="CV302" s="3" t="b">
        <f t="shared" si="174"/>
        <v>1</v>
      </c>
      <c r="CW302" s="3" t="b">
        <f t="shared" si="175"/>
        <v>1</v>
      </c>
      <c r="CX302" s="9" t="str">
        <f t="shared" si="176"/>
        <v>5201091</v>
      </c>
      <c r="CY302" s="9" t="str">
        <f t="shared" si="177"/>
        <v>5201092</v>
      </c>
      <c r="CZ302" s="9" t="str">
        <f t="shared" si="178"/>
        <v>5201094</v>
      </c>
      <c r="DA302" s="9" t="str">
        <f t="shared" si="179"/>
        <v>5501094</v>
      </c>
      <c r="DB302" s="9" t="str">
        <f t="shared" si="180"/>
        <v>5500093</v>
      </c>
      <c r="DC302" s="9" t="str">
        <f t="shared" si="181"/>
        <v>5602094</v>
      </c>
      <c r="DD302" s="9">
        <v>9</v>
      </c>
      <c r="DE302" s="9">
        <v>9</v>
      </c>
      <c r="DF302" s="9">
        <v>9</v>
      </c>
      <c r="DG302" s="9">
        <v>9</v>
      </c>
      <c r="DH302" s="9">
        <v>9</v>
      </c>
      <c r="DI302" s="9">
        <v>9</v>
      </c>
      <c r="DJ302" s="9">
        <v>5</v>
      </c>
      <c r="DK302" s="9">
        <v>5</v>
      </c>
      <c r="DL302" s="9">
        <v>5</v>
      </c>
      <c r="DM302" s="9">
        <v>5</v>
      </c>
      <c r="DN302" s="9">
        <v>5</v>
      </c>
      <c r="DO302" s="9">
        <v>5</v>
      </c>
      <c r="DP302" s="25" t="s">
        <v>195</v>
      </c>
      <c r="DQ302" s="25" t="s">
        <v>114</v>
      </c>
      <c r="DR302" s="26" t="s">
        <v>217</v>
      </c>
      <c r="DS302" s="26" t="s">
        <v>214</v>
      </c>
      <c r="DT302" s="26" t="s">
        <v>207</v>
      </c>
      <c r="DU302" s="26" t="s">
        <v>220</v>
      </c>
      <c r="DV302" s="26">
        <f t="shared" si="182"/>
        <v>1</v>
      </c>
      <c r="DW302" s="26">
        <f t="shared" si="183"/>
        <v>1</v>
      </c>
      <c r="DX302" s="26">
        <f t="shared" si="184"/>
        <v>1</v>
      </c>
      <c r="DY302" s="26">
        <f t="shared" si="185"/>
        <v>2</v>
      </c>
      <c r="DZ302" s="26">
        <f t="shared" si="186"/>
        <v>2</v>
      </c>
      <c r="EA302" s="3">
        <f t="shared" si="187"/>
        <v>2</v>
      </c>
      <c r="EB302" s="42"/>
      <c r="EC302" s="9">
        <v>5402103</v>
      </c>
      <c r="ED302" s="34" t="s">
        <v>118</v>
      </c>
      <c r="EE302" s="8">
        <v>2</v>
      </c>
    </row>
    <row r="303" spans="1:135" ht="13.5" customHeight="1">
      <c r="A303" s="9">
        <v>300</v>
      </c>
      <c r="B303" s="9">
        <v>1</v>
      </c>
      <c r="C303" s="9">
        <v>2001</v>
      </c>
      <c r="D303" s="9">
        <f t="shared" si="202"/>
        <v>3732757</v>
      </c>
      <c r="E303" s="9" t="str">
        <f t="shared" si="199"/>
        <v>5200092,5301091,5202093,5402091,5501095,5500091</v>
      </c>
      <c r="F303" s="9" t="str">
        <f t="shared" si="200"/>
        <v>9,9,9,9,9,9</v>
      </c>
      <c r="G303" s="9" t="str">
        <f t="shared" si="201"/>
        <v>604,654,654,654,654,654</v>
      </c>
      <c r="H303" s="9">
        <v>160</v>
      </c>
      <c r="I303" s="9" t="s">
        <v>278</v>
      </c>
      <c r="J303" s="9" t="s">
        <v>279</v>
      </c>
      <c r="K303" s="9" t="s">
        <v>279</v>
      </c>
      <c r="L303" s="9" t="s">
        <v>279</v>
      </c>
      <c r="M303" s="36" t="s">
        <v>299</v>
      </c>
      <c r="O303" s="3">
        <f t="shared" si="167"/>
        <v>3732757</v>
      </c>
      <c r="P303" s="9">
        <v>2950795.88</v>
      </c>
      <c r="Q303" s="9">
        <v>5200092</v>
      </c>
      <c r="R303" s="9">
        <v>5301091</v>
      </c>
      <c r="S303" s="9">
        <v>5202093</v>
      </c>
      <c r="T303" s="9">
        <v>5402091</v>
      </c>
      <c r="U303" s="9">
        <v>5501095</v>
      </c>
      <c r="V303" s="9">
        <v>5500091</v>
      </c>
      <c r="W303" s="9">
        <v>9</v>
      </c>
      <c r="X303" s="9">
        <v>9</v>
      </c>
      <c r="Y303" s="9">
        <v>9</v>
      </c>
      <c r="Z303" s="9">
        <v>9</v>
      </c>
      <c r="AA303" s="9">
        <v>9</v>
      </c>
      <c r="AB303" s="9">
        <v>9</v>
      </c>
      <c r="AC303" s="9">
        <f t="shared" si="188"/>
        <v>604</v>
      </c>
      <c r="AD303" s="9">
        <f t="shared" si="189"/>
        <v>654</v>
      </c>
      <c r="AE303" s="9">
        <f t="shared" si="190"/>
        <v>654</v>
      </c>
      <c r="AF303" s="9">
        <f t="shared" si="191"/>
        <v>654</v>
      </c>
      <c r="AG303" s="9">
        <f t="shared" si="192"/>
        <v>654</v>
      </c>
      <c r="AH303" s="9">
        <f t="shared" si="193"/>
        <v>654</v>
      </c>
      <c r="AI303" s="7">
        <f t="shared" si="204"/>
        <v>491799.3133333333</v>
      </c>
      <c r="AJ303" s="7">
        <f t="shared" si="168"/>
        <v>491799.3133333333</v>
      </c>
      <c r="AK303" s="7">
        <f t="shared" si="168"/>
        <v>491799.3133333333</v>
      </c>
      <c r="AL303" s="7">
        <f t="shared" si="168"/>
        <v>491799.3133333333</v>
      </c>
      <c r="AM303" s="7">
        <f t="shared" si="168"/>
        <v>491799.3133333333</v>
      </c>
      <c r="AN303" s="7">
        <f t="shared" si="168"/>
        <v>491799.3133333333</v>
      </c>
      <c r="AO303" s="16"/>
      <c r="AP303" s="7"/>
      <c r="AQ303" s="9">
        <v>6</v>
      </c>
      <c r="AR303" s="9">
        <f t="shared" si="194"/>
        <v>756</v>
      </c>
      <c r="AS303" s="7">
        <f t="shared" si="203"/>
        <v>250</v>
      </c>
      <c r="AT303" s="7"/>
      <c r="AU303" s="16"/>
      <c r="AV303" s="7"/>
      <c r="AW303" s="7"/>
      <c r="AX303" s="7"/>
      <c r="AZ303" s="7"/>
      <c r="BA303" s="9">
        <f t="shared" si="169"/>
        <v>385923.9999999993</v>
      </c>
      <c r="BC303" s="5">
        <f t="shared" si="195"/>
        <v>565</v>
      </c>
      <c r="BR303" s="5">
        <v>5400085</v>
      </c>
      <c r="BS303" s="18">
        <f>[1]monsters!$N303</f>
        <v>291.2</v>
      </c>
      <c r="BT303" s="18">
        <f>[1]monsters!$O303</f>
        <v>29.12</v>
      </c>
      <c r="BU303" s="18">
        <f>[1]monsters!$P303</f>
        <v>1782.86</v>
      </c>
      <c r="BV303" s="18">
        <f>[1]monsters!$Q303</f>
        <v>178.29</v>
      </c>
      <c r="BW303" s="18">
        <f>[1]monsters!$R303</f>
        <v>36.4</v>
      </c>
      <c r="BX303" s="18">
        <f>[1]monsters!$S303</f>
        <v>3.64</v>
      </c>
      <c r="BY303" s="18">
        <f>[1]monsters!$K303</f>
        <v>1.5</v>
      </c>
      <c r="BZ303" s="5">
        <f>[1]monsters!$D303</f>
        <v>5</v>
      </c>
      <c r="CA303" s="5">
        <f t="shared" si="196"/>
        <v>0.1</v>
      </c>
      <c r="CB303" s="5">
        <f t="shared" si="197"/>
        <v>335.21295622895627</v>
      </c>
      <c r="CC303" s="5">
        <f t="shared" si="198"/>
        <v>33.521295622895629</v>
      </c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>
        <v>1</v>
      </c>
      <c r="CR303" s="3" t="b">
        <f t="shared" si="170"/>
        <v>1</v>
      </c>
      <c r="CS303" s="3" t="b">
        <f t="shared" si="171"/>
        <v>1</v>
      </c>
      <c r="CT303" s="3" t="b">
        <f t="shared" si="172"/>
        <v>1</v>
      </c>
      <c r="CU303" s="3" t="b">
        <f t="shared" si="173"/>
        <v>1</v>
      </c>
      <c r="CV303" s="3" t="b">
        <f t="shared" si="174"/>
        <v>1</v>
      </c>
      <c r="CW303" s="3" t="b">
        <f t="shared" si="175"/>
        <v>1</v>
      </c>
      <c r="CX303" s="9" t="str">
        <f t="shared" si="176"/>
        <v>5200092</v>
      </c>
      <c r="CY303" s="9" t="str">
        <f t="shared" si="177"/>
        <v>5301091</v>
      </c>
      <c r="CZ303" s="9" t="str">
        <f t="shared" si="178"/>
        <v>5202093</v>
      </c>
      <c r="DA303" s="9" t="str">
        <f t="shared" si="179"/>
        <v>5402091</v>
      </c>
      <c r="DB303" s="9" t="str">
        <f t="shared" si="180"/>
        <v>5501095</v>
      </c>
      <c r="DC303" s="9" t="str">
        <f t="shared" si="181"/>
        <v>5500091</v>
      </c>
      <c r="DD303" s="9">
        <v>9</v>
      </c>
      <c r="DE303" s="9">
        <v>9</v>
      </c>
      <c r="DF303" s="9">
        <v>9</v>
      </c>
      <c r="DG303" s="9">
        <v>9</v>
      </c>
      <c r="DH303" s="9">
        <v>9</v>
      </c>
      <c r="DI303" s="9">
        <v>9</v>
      </c>
      <c r="DJ303" s="9">
        <v>5</v>
      </c>
      <c r="DK303" s="9">
        <v>5</v>
      </c>
      <c r="DL303" s="9">
        <v>5</v>
      </c>
      <c r="DM303" s="9">
        <v>5</v>
      </c>
      <c r="DN303" s="9">
        <v>5</v>
      </c>
      <c r="DO303" s="9">
        <v>5</v>
      </c>
      <c r="DP303" s="25" t="s">
        <v>199</v>
      </c>
      <c r="DQ303" s="26" t="s">
        <v>107</v>
      </c>
      <c r="DR303" s="25" t="s">
        <v>208</v>
      </c>
      <c r="DS303" s="26" t="s">
        <v>196</v>
      </c>
      <c r="DT303" s="26" t="s">
        <v>209</v>
      </c>
      <c r="DU303" s="28" t="s">
        <v>197</v>
      </c>
      <c r="DV303" s="28">
        <f t="shared" si="182"/>
        <v>1</v>
      </c>
      <c r="DW303" s="28">
        <f t="shared" si="183"/>
        <v>1</v>
      </c>
      <c r="DX303" s="28">
        <f t="shared" si="184"/>
        <v>1</v>
      </c>
      <c r="DY303" s="28">
        <f t="shared" si="185"/>
        <v>2</v>
      </c>
      <c r="DZ303" s="28">
        <f t="shared" si="186"/>
        <v>2</v>
      </c>
      <c r="EA303" s="3">
        <f t="shared" si="187"/>
        <v>2</v>
      </c>
      <c r="EB303" s="42"/>
      <c r="EC303" s="9">
        <v>5500103</v>
      </c>
      <c r="ED303" s="34" t="s">
        <v>207</v>
      </c>
      <c r="EE303" s="8">
        <v>2</v>
      </c>
    </row>
    <row r="304" spans="1:135" ht="13.5" customHeight="1">
      <c r="A304" s="9">
        <v>301</v>
      </c>
      <c r="B304" s="9">
        <v>1</v>
      </c>
      <c r="C304" s="9">
        <v>2001</v>
      </c>
      <c r="D304" s="9">
        <f t="shared" si="202"/>
        <v>3832104</v>
      </c>
      <c r="E304" s="9" t="str">
        <f t="shared" si="199"/>
        <v>5201093,5202091,5200092,5402093,5401091,5402093</v>
      </c>
      <c r="F304" s="9" t="str">
        <f t="shared" si="200"/>
        <v>9,9,9,9,9,9</v>
      </c>
      <c r="G304" s="9" t="str">
        <f t="shared" si="201"/>
        <v>613,662,662,662,662,662</v>
      </c>
      <c r="H304" s="9">
        <v>160</v>
      </c>
      <c r="I304" s="9" t="s">
        <v>278</v>
      </c>
      <c r="J304" s="9" t="s">
        <v>279</v>
      </c>
      <c r="K304" s="9" t="s">
        <v>279</v>
      </c>
      <c r="L304" s="9" t="s">
        <v>279</v>
      </c>
      <c r="M304" s="36" t="s">
        <v>300</v>
      </c>
      <c r="N304" s="40"/>
      <c r="O304" s="3">
        <f t="shared" si="167"/>
        <v>3832104</v>
      </c>
      <c r="P304" s="9">
        <v>3029331.23</v>
      </c>
      <c r="Q304" s="9">
        <v>5201093</v>
      </c>
      <c r="R304" s="9">
        <v>5202091</v>
      </c>
      <c r="S304" s="9">
        <v>5200092</v>
      </c>
      <c r="T304" s="9">
        <v>5402093</v>
      </c>
      <c r="U304" s="9">
        <v>5401091</v>
      </c>
      <c r="V304" s="9">
        <v>5402093</v>
      </c>
      <c r="W304" s="9">
        <v>9</v>
      </c>
      <c r="X304" s="9">
        <v>9</v>
      </c>
      <c r="Y304" s="9">
        <v>9</v>
      </c>
      <c r="Z304" s="9">
        <v>9</v>
      </c>
      <c r="AA304" s="9">
        <v>9</v>
      </c>
      <c r="AB304" s="9">
        <v>9</v>
      </c>
      <c r="AC304" s="9">
        <f t="shared" si="188"/>
        <v>613</v>
      </c>
      <c r="AD304" s="9">
        <f t="shared" si="189"/>
        <v>662</v>
      </c>
      <c r="AE304" s="9">
        <f t="shared" si="190"/>
        <v>662</v>
      </c>
      <c r="AF304" s="9">
        <f t="shared" si="191"/>
        <v>662</v>
      </c>
      <c r="AG304" s="9">
        <f t="shared" si="192"/>
        <v>662</v>
      </c>
      <c r="AH304" s="9">
        <f t="shared" si="193"/>
        <v>662</v>
      </c>
      <c r="AI304" s="7">
        <f t="shared" si="204"/>
        <v>504888.53833333333</v>
      </c>
      <c r="AJ304" s="7">
        <f t="shared" si="168"/>
        <v>504888.53833333333</v>
      </c>
      <c r="AK304" s="7">
        <f t="shared" si="168"/>
        <v>504888.53833333333</v>
      </c>
      <c r="AL304" s="7">
        <f t="shared" si="168"/>
        <v>504888.53833333333</v>
      </c>
      <c r="AM304" s="7">
        <f t="shared" si="168"/>
        <v>504888.53833333333</v>
      </c>
      <c r="AN304" s="7">
        <f t="shared" si="168"/>
        <v>504888.53833333333</v>
      </c>
      <c r="AO304" s="16"/>
      <c r="AP304" s="7"/>
      <c r="AQ304" s="9">
        <v>7</v>
      </c>
      <c r="AR304" s="9">
        <f t="shared" si="194"/>
        <v>689</v>
      </c>
      <c r="AS304" s="7">
        <f t="shared" si="203"/>
        <v>250</v>
      </c>
      <c r="AT304" s="7"/>
      <c r="AU304" s="16"/>
      <c r="AV304" s="7"/>
      <c r="AW304" s="7"/>
      <c r="AX304" s="7"/>
      <c r="AZ304" s="7"/>
      <c r="BA304" s="9">
        <f t="shared" si="169"/>
        <v>388314.35999999929</v>
      </c>
      <c r="BC304" s="5">
        <f t="shared" si="195"/>
        <v>572</v>
      </c>
      <c r="BR304" s="5">
        <v>5402085</v>
      </c>
      <c r="BS304" s="18">
        <f>[1]monsters!$N304</f>
        <v>271.79000000000002</v>
      </c>
      <c r="BT304" s="18">
        <f>[1]monsters!$O304</f>
        <v>27.18</v>
      </c>
      <c r="BU304" s="18">
        <f>[1]monsters!$P304</f>
        <v>1782.86</v>
      </c>
      <c r="BV304" s="18">
        <f>[1]monsters!$Q304</f>
        <v>178.29</v>
      </c>
      <c r="BW304" s="18">
        <f>[1]monsters!$R304</f>
        <v>33.97</v>
      </c>
      <c r="BX304" s="18">
        <f>[1]monsters!$S304</f>
        <v>3.4</v>
      </c>
      <c r="BY304" s="18">
        <f>[1]monsters!$K304</f>
        <v>1.4</v>
      </c>
      <c r="BZ304" s="5">
        <f>[1]monsters!$D304</f>
        <v>5</v>
      </c>
      <c r="CA304" s="5">
        <f t="shared" si="196"/>
        <v>0.1</v>
      </c>
      <c r="CB304" s="5">
        <f t="shared" si="197"/>
        <v>316.87050622895629</v>
      </c>
      <c r="CC304" s="5">
        <f t="shared" si="198"/>
        <v>31.687050622895629</v>
      </c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>
        <v>0</v>
      </c>
      <c r="CR304" s="3" t="b">
        <f t="shared" si="170"/>
        <v>1</v>
      </c>
      <c r="CS304" s="3" t="b">
        <f t="shared" si="171"/>
        <v>1</v>
      </c>
      <c r="CT304" s="3" t="b">
        <f t="shared" si="172"/>
        <v>1</v>
      </c>
      <c r="CU304" s="3" t="b">
        <f t="shared" si="173"/>
        <v>1</v>
      </c>
      <c r="CV304" s="3" t="b">
        <f t="shared" si="174"/>
        <v>1</v>
      </c>
      <c r="CW304" s="3" t="b">
        <f t="shared" si="175"/>
        <v>1</v>
      </c>
      <c r="CX304" s="9" t="str">
        <f t="shared" si="176"/>
        <v>5201093</v>
      </c>
      <c r="CY304" s="9" t="str">
        <f t="shared" si="177"/>
        <v>5202091</v>
      </c>
      <c r="CZ304" s="9" t="str">
        <f t="shared" si="178"/>
        <v>5200092</v>
      </c>
      <c r="DA304" s="9" t="str">
        <f t="shared" si="179"/>
        <v>5402093</v>
      </c>
      <c r="DB304" s="9" t="str">
        <f t="shared" si="180"/>
        <v>5401091</v>
      </c>
      <c r="DC304" s="9" t="str">
        <f t="shared" si="181"/>
        <v>5402093</v>
      </c>
      <c r="DD304" s="9">
        <v>9</v>
      </c>
      <c r="DE304" s="9">
        <v>9</v>
      </c>
      <c r="DF304" s="9">
        <v>9</v>
      </c>
      <c r="DG304" s="9">
        <v>9</v>
      </c>
      <c r="DH304" s="9">
        <v>9</v>
      </c>
      <c r="DI304" s="9">
        <v>9</v>
      </c>
      <c r="DJ304" s="9">
        <v>5</v>
      </c>
      <c r="DK304" s="9">
        <v>5</v>
      </c>
      <c r="DL304" s="9">
        <v>5</v>
      </c>
      <c r="DM304" s="9">
        <v>5</v>
      </c>
      <c r="DN304" s="9">
        <v>5</v>
      </c>
      <c r="DO304" s="9">
        <v>5</v>
      </c>
      <c r="DP304" s="25" t="s">
        <v>205</v>
      </c>
      <c r="DQ304" s="25" t="s">
        <v>111</v>
      </c>
      <c r="DR304" s="25" t="s">
        <v>199</v>
      </c>
      <c r="DS304" s="26" t="s">
        <v>118</v>
      </c>
      <c r="DT304" s="26" t="s">
        <v>117</v>
      </c>
      <c r="DU304" s="26" t="s">
        <v>118</v>
      </c>
      <c r="DV304" s="26">
        <f t="shared" si="182"/>
        <v>1</v>
      </c>
      <c r="DW304" s="26">
        <f t="shared" si="183"/>
        <v>1</v>
      </c>
      <c r="DX304" s="26">
        <f t="shared" si="184"/>
        <v>1</v>
      </c>
      <c r="DY304" s="26">
        <f t="shared" si="185"/>
        <v>2</v>
      </c>
      <c r="DZ304" s="26">
        <f t="shared" si="186"/>
        <v>2</v>
      </c>
      <c r="EA304" s="3">
        <f t="shared" si="187"/>
        <v>2</v>
      </c>
      <c r="EB304" s="42"/>
      <c r="EC304" s="9">
        <v>5502103</v>
      </c>
      <c r="ED304" s="34" t="s">
        <v>215</v>
      </c>
      <c r="EE304" s="8">
        <v>2</v>
      </c>
    </row>
    <row r="305" spans="1:135" ht="13.5" customHeight="1">
      <c r="A305" s="9">
        <v>302</v>
      </c>
      <c r="B305" s="9">
        <v>1</v>
      </c>
      <c r="C305" s="9">
        <v>2001</v>
      </c>
      <c r="D305" s="9">
        <f t="shared" si="202"/>
        <v>3932287</v>
      </c>
      <c r="E305" s="9" t="str">
        <f t="shared" si="199"/>
        <v>5201091,5201092,5200091,5502091,5601091,5401091</v>
      </c>
      <c r="F305" s="9" t="str">
        <f t="shared" si="200"/>
        <v>9,9,9,9,9,9</v>
      </c>
      <c r="G305" s="9" t="str">
        <f t="shared" si="201"/>
        <v>621,671,671,671,671,671</v>
      </c>
      <c r="H305" s="9">
        <v>160</v>
      </c>
      <c r="I305" s="9" t="s">
        <v>278</v>
      </c>
      <c r="J305" s="9" t="s">
        <v>279</v>
      </c>
      <c r="K305" s="9" t="s">
        <v>279</v>
      </c>
      <c r="L305" s="9" t="s">
        <v>279</v>
      </c>
      <c r="M305" s="36" t="s">
        <v>300</v>
      </c>
      <c r="N305" s="40"/>
      <c r="O305" s="3">
        <f t="shared" si="167"/>
        <v>3932287</v>
      </c>
      <c r="P305" s="9">
        <v>3108527.26</v>
      </c>
      <c r="Q305" s="9">
        <v>5201091</v>
      </c>
      <c r="R305" s="9">
        <v>5201092</v>
      </c>
      <c r="S305" s="9">
        <v>5200091</v>
      </c>
      <c r="T305" s="9">
        <v>5502091</v>
      </c>
      <c r="U305" s="9">
        <v>5601091</v>
      </c>
      <c r="V305" s="9">
        <v>5401091</v>
      </c>
      <c r="W305" s="9">
        <v>9</v>
      </c>
      <c r="X305" s="9">
        <v>9</v>
      </c>
      <c r="Y305" s="9">
        <v>9</v>
      </c>
      <c r="Z305" s="9">
        <v>9</v>
      </c>
      <c r="AA305" s="9">
        <v>9</v>
      </c>
      <c r="AB305" s="9">
        <v>9</v>
      </c>
      <c r="AC305" s="9">
        <f t="shared" si="188"/>
        <v>621</v>
      </c>
      <c r="AD305" s="9">
        <f t="shared" si="189"/>
        <v>671</v>
      </c>
      <c r="AE305" s="9">
        <f t="shared" si="190"/>
        <v>671</v>
      </c>
      <c r="AF305" s="9">
        <f t="shared" si="191"/>
        <v>671</v>
      </c>
      <c r="AG305" s="9">
        <f t="shared" si="192"/>
        <v>671</v>
      </c>
      <c r="AH305" s="9">
        <f t="shared" si="193"/>
        <v>671</v>
      </c>
      <c r="AI305" s="7">
        <f t="shared" si="204"/>
        <v>518087.87666666665</v>
      </c>
      <c r="AJ305" s="7">
        <f t="shared" si="168"/>
        <v>518087.87666666665</v>
      </c>
      <c r="AK305" s="7">
        <f t="shared" si="168"/>
        <v>518087.87666666665</v>
      </c>
      <c r="AL305" s="7">
        <f t="shared" si="168"/>
        <v>518087.87666666665</v>
      </c>
      <c r="AM305" s="7">
        <f t="shared" si="168"/>
        <v>518087.87666666665</v>
      </c>
      <c r="AN305" s="7">
        <f t="shared" si="168"/>
        <v>518087.87666666665</v>
      </c>
      <c r="AO305" s="16"/>
      <c r="AP305" s="7"/>
      <c r="AQ305" s="9">
        <v>7</v>
      </c>
      <c r="AR305" s="9">
        <f t="shared" si="194"/>
        <v>698</v>
      </c>
      <c r="AS305" s="7">
        <f t="shared" si="203"/>
        <v>251</v>
      </c>
      <c r="AT305" s="7"/>
      <c r="AU305" s="16"/>
      <c r="AV305" s="7"/>
      <c r="AW305" s="7"/>
      <c r="AX305" s="7"/>
      <c r="AZ305" s="7"/>
      <c r="BA305" s="9">
        <f t="shared" si="169"/>
        <v>390704.71999999927</v>
      </c>
      <c r="BC305" s="5">
        <f t="shared" si="195"/>
        <v>580</v>
      </c>
      <c r="BR305" s="5">
        <v>5500085</v>
      </c>
      <c r="BS305" s="18">
        <f>[1]monsters!$N305</f>
        <v>322.39999999999998</v>
      </c>
      <c r="BT305" s="18">
        <f>[1]monsters!$O305</f>
        <v>32.24</v>
      </c>
      <c r="BU305" s="18">
        <f>[1]monsters!$P305</f>
        <v>1610.32</v>
      </c>
      <c r="BV305" s="18">
        <f>[1]monsters!$Q305</f>
        <v>161.03</v>
      </c>
      <c r="BW305" s="18">
        <f>[1]monsters!$R305</f>
        <v>32.24</v>
      </c>
      <c r="BX305" s="18">
        <f>[1]monsters!$S305</f>
        <v>3.22</v>
      </c>
      <c r="BY305" s="18">
        <f>[1]monsters!$K305</f>
        <v>1.5</v>
      </c>
      <c r="BZ305" s="5">
        <f>[1]monsters!$D305</f>
        <v>6</v>
      </c>
      <c r="CA305" s="5">
        <f t="shared" si="196"/>
        <v>0.1</v>
      </c>
      <c r="CB305" s="5">
        <f t="shared" si="197"/>
        <v>358.88752861952861</v>
      </c>
      <c r="CC305" s="5">
        <f t="shared" si="198"/>
        <v>35.88875286195286</v>
      </c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>
        <v>0</v>
      </c>
      <c r="CR305" s="3" t="b">
        <f t="shared" si="170"/>
        <v>1</v>
      </c>
      <c r="CS305" s="3" t="b">
        <f t="shared" si="171"/>
        <v>1</v>
      </c>
      <c r="CT305" s="3" t="b">
        <f t="shared" si="172"/>
        <v>1</v>
      </c>
      <c r="CU305" s="3" t="b">
        <f t="shared" si="173"/>
        <v>1</v>
      </c>
      <c r="CV305" s="3" t="b">
        <f t="shared" si="174"/>
        <v>1</v>
      </c>
      <c r="CW305" s="3" t="b">
        <f t="shared" si="175"/>
        <v>1</v>
      </c>
      <c r="CX305" s="9" t="str">
        <f t="shared" si="176"/>
        <v>5201091</v>
      </c>
      <c r="CY305" s="9" t="str">
        <f t="shared" si="177"/>
        <v>5201092</v>
      </c>
      <c r="CZ305" s="9" t="str">
        <f t="shared" si="178"/>
        <v>5200091</v>
      </c>
      <c r="DA305" s="9" t="str">
        <f t="shared" si="179"/>
        <v>5502091</v>
      </c>
      <c r="DB305" s="9" t="str">
        <f t="shared" si="180"/>
        <v>5601091</v>
      </c>
      <c r="DC305" s="9" t="str">
        <f t="shared" si="181"/>
        <v>5401091</v>
      </c>
      <c r="DD305" s="9">
        <v>9</v>
      </c>
      <c r="DE305" s="9">
        <v>9</v>
      </c>
      <c r="DF305" s="9">
        <v>9</v>
      </c>
      <c r="DG305" s="9">
        <v>9</v>
      </c>
      <c r="DH305" s="9">
        <v>9</v>
      </c>
      <c r="DI305" s="9">
        <v>9</v>
      </c>
      <c r="DJ305" s="9">
        <v>5</v>
      </c>
      <c r="DK305" s="9">
        <v>5</v>
      </c>
      <c r="DL305" s="9">
        <v>5</v>
      </c>
      <c r="DM305" s="9">
        <v>5</v>
      </c>
      <c r="DN305" s="9">
        <v>5</v>
      </c>
      <c r="DO305" s="9">
        <v>5</v>
      </c>
      <c r="DP305" s="25" t="s">
        <v>195</v>
      </c>
      <c r="DQ305" s="25" t="s">
        <v>114</v>
      </c>
      <c r="DR305" s="25" t="s">
        <v>194</v>
      </c>
      <c r="DS305" s="25" t="s">
        <v>119</v>
      </c>
      <c r="DT305" s="25" t="s">
        <v>198</v>
      </c>
      <c r="DU305" s="25" t="s">
        <v>117</v>
      </c>
      <c r="DV305" s="25">
        <f t="shared" si="182"/>
        <v>1</v>
      </c>
      <c r="DW305" s="25">
        <f t="shared" si="183"/>
        <v>1</v>
      </c>
      <c r="DX305" s="25">
        <f t="shared" si="184"/>
        <v>1</v>
      </c>
      <c r="DY305" s="25">
        <f t="shared" si="185"/>
        <v>2</v>
      </c>
      <c r="DZ305" s="25">
        <f t="shared" si="186"/>
        <v>2</v>
      </c>
      <c r="EA305" s="3">
        <f t="shared" si="187"/>
        <v>2</v>
      </c>
      <c r="EB305" s="42"/>
      <c r="EC305" s="9">
        <v>5601103</v>
      </c>
      <c r="ED305" s="34" t="s">
        <v>216</v>
      </c>
      <c r="EE305" s="8">
        <v>2</v>
      </c>
    </row>
    <row r="306" spans="1:135" ht="13.5" customHeight="1">
      <c r="A306" s="9">
        <v>303</v>
      </c>
      <c r="B306" s="9">
        <v>1</v>
      </c>
      <c r="C306" s="9">
        <v>2001</v>
      </c>
      <c r="D306" s="9">
        <f t="shared" si="202"/>
        <v>4033313</v>
      </c>
      <c r="E306" s="9" t="str">
        <f t="shared" si="199"/>
        <v>5200092,5200093,5200092,5502092,5500092,5502093</v>
      </c>
      <c r="F306" s="9" t="str">
        <f t="shared" si="200"/>
        <v>9,9,9,9,9,9</v>
      </c>
      <c r="G306" s="9" t="str">
        <f t="shared" si="201"/>
        <v>629,680,680,680,680,680</v>
      </c>
      <c r="H306" s="9">
        <v>161</v>
      </c>
      <c r="I306" s="9" t="s">
        <v>278</v>
      </c>
      <c r="J306" s="9" t="s">
        <v>279</v>
      </c>
      <c r="K306" s="9" t="s">
        <v>279</v>
      </c>
      <c r="L306" s="9" t="s">
        <v>279</v>
      </c>
      <c r="M306" s="36" t="s">
        <v>300</v>
      </c>
      <c r="N306" s="40"/>
      <c r="O306" s="3">
        <f t="shared" si="167"/>
        <v>4033313</v>
      </c>
      <c r="P306" s="9">
        <v>3188389.94</v>
      </c>
      <c r="Q306" s="9">
        <v>5200092</v>
      </c>
      <c r="R306" s="9">
        <v>5200093</v>
      </c>
      <c r="S306" s="9">
        <v>5200092</v>
      </c>
      <c r="T306" s="9">
        <v>5502092</v>
      </c>
      <c r="U306" s="9">
        <v>5500092</v>
      </c>
      <c r="V306" s="9">
        <v>5502093</v>
      </c>
      <c r="W306" s="9">
        <v>9</v>
      </c>
      <c r="X306" s="9">
        <v>9</v>
      </c>
      <c r="Y306" s="9">
        <v>9</v>
      </c>
      <c r="Z306" s="9">
        <v>9</v>
      </c>
      <c r="AA306" s="9">
        <v>9</v>
      </c>
      <c r="AB306" s="9">
        <v>9</v>
      </c>
      <c r="AC306" s="9">
        <f t="shared" si="188"/>
        <v>629</v>
      </c>
      <c r="AD306" s="9">
        <f t="shared" si="189"/>
        <v>680</v>
      </c>
      <c r="AE306" s="9">
        <f t="shared" si="190"/>
        <v>680</v>
      </c>
      <c r="AF306" s="9">
        <f t="shared" si="191"/>
        <v>680</v>
      </c>
      <c r="AG306" s="9">
        <f t="shared" si="192"/>
        <v>680</v>
      </c>
      <c r="AH306" s="9">
        <f t="shared" si="193"/>
        <v>680</v>
      </c>
      <c r="AI306" s="7">
        <f t="shared" si="204"/>
        <v>531398.32333333336</v>
      </c>
      <c r="AJ306" s="7">
        <f t="shared" si="168"/>
        <v>531398.32333333336</v>
      </c>
      <c r="AK306" s="7">
        <f t="shared" si="168"/>
        <v>531398.32333333336</v>
      </c>
      <c r="AL306" s="7">
        <f t="shared" ref="AJ306:AN357" si="205">$P306/6</f>
        <v>531398.32333333336</v>
      </c>
      <c r="AM306" s="7">
        <f t="shared" si="205"/>
        <v>531398.32333333336</v>
      </c>
      <c r="AN306" s="7">
        <f t="shared" si="205"/>
        <v>531398.32333333336</v>
      </c>
      <c r="AO306" s="16"/>
      <c r="AP306" s="7"/>
      <c r="AQ306" s="9">
        <v>7</v>
      </c>
      <c r="AR306" s="9">
        <f t="shared" si="194"/>
        <v>707</v>
      </c>
      <c r="AS306" s="7">
        <f t="shared" si="203"/>
        <v>251</v>
      </c>
      <c r="AT306" s="7"/>
      <c r="AU306" s="16"/>
      <c r="AV306" s="7"/>
      <c r="AW306" s="7"/>
      <c r="AX306" s="7"/>
      <c r="AZ306" s="7"/>
      <c r="BA306" s="9">
        <f t="shared" si="169"/>
        <v>393095.07999999926</v>
      </c>
      <c r="BC306" s="5">
        <f t="shared" si="195"/>
        <v>587</v>
      </c>
      <c r="BR306" s="5">
        <v>5502085</v>
      </c>
      <c r="BS306" s="18">
        <f>[1]monsters!$N306</f>
        <v>199.68</v>
      </c>
      <c r="BT306" s="18">
        <f>[1]monsters!$O306</f>
        <v>19.97</v>
      </c>
      <c r="BU306" s="18">
        <f>[1]monsters!$P306</f>
        <v>3120</v>
      </c>
      <c r="BV306" s="18">
        <f>[1]monsters!$Q306</f>
        <v>312</v>
      </c>
      <c r="BW306" s="18">
        <f>[1]monsters!$R306</f>
        <v>66.56</v>
      </c>
      <c r="BX306" s="18">
        <f>[1]monsters!$S306</f>
        <v>6.66</v>
      </c>
      <c r="BY306" s="18">
        <f>[1]monsters!$K306</f>
        <v>1.8</v>
      </c>
      <c r="BZ306" s="5">
        <f>[1]monsters!$D306</f>
        <v>2</v>
      </c>
      <c r="CA306" s="5">
        <f t="shared" si="196"/>
        <v>0.1</v>
      </c>
      <c r="CB306" s="5">
        <f t="shared" si="197"/>
        <v>293.74810505050505</v>
      </c>
      <c r="CC306" s="5">
        <f t="shared" si="198"/>
        <v>29.374810505050505</v>
      </c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>
        <v>0</v>
      </c>
      <c r="CR306" s="3" t="b">
        <f t="shared" si="170"/>
        <v>1</v>
      </c>
      <c r="CS306" s="3" t="b">
        <f t="shared" si="171"/>
        <v>1</v>
      </c>
      <c r="CT306" s="3" t="b">
        <f t="shared" si="172"/>
        <v>1</v>
      </c>
      <c r="CU306" s="3" t="b">
        <f t="shared" si="173"/>
        <v>1</v>
      </c>
      <c r="CV306" s="3" t="b">
        <f t="shared" si="174"/>
        <v>1</v>
      </c>
      <c r="CW306" s="3" t="b">
        <f t="shared" si="175"/>
        <v>1</v>
      </c>
      <c r="CX306" s="9" t="str">
        <f t="shared" si="176"/>
        <v>5200092</v>
      </c>
      <c r="CY306" s="9" t="str">
        <f t="shared" si="177"/>
        <v>5200093</v>
      </c>
      <c r="CZ306" s="9" t="str">
        <f t="shared" si="178"/>
        <v>5200092</v>
      </c>
      <c r="DA306" s="9" t="str">
        <f t="shared" si="179"/>
        <v>5502092</v>
      </c>
      <c r="DB306" s="9" t="str">
        <f t="shared" si="180"/>
        <v>5500092</v>
      </c>
      <c r="DC306" s="9" t="str">
        <f t="shared" si="181"/>
        <v>5502093</v>
      </c>
      <c r="DD306" s="9">
        <v>9</v>
      </c>
      <c r="DE306" s="9">
        <v>9</v>
      </c>
      <c r="DF306" s="9">
        <v>9</v>
      </c>
      <c r="DG306" s="9">
        <v>9</v>
      </c>
      <c r="DH306" s="9">
        <v>9</v>
      </c>
      <c r="DI306" s="9">
        <v>9</v>
      </c>
      <c r="DJ306" s="9">
        <v>5</v>
      </c>
      <c r="DK306" s="9">
        <v>5</v>
      </c>
      <c r="DL306" s="9">
        <v>5</v>
      </c>
      <c r="DM306" s="9">
        <v>5</v>
      </c>
      <c r="DN306" s="9">
        <v>5</v>
      </c>
      <c r="DO306" s="9">
        <v>5</v>
      </c>
      <c r="DP306" s="25" t="s">
        <v>199</v>
      </c>
      <c r="DQ306" s="25" t="s">
        <v>113</v>
      </c>
      <c r="DR306" s="25" t="s">
        <v>199</v>
      </c>
      <c r="DS306" s="25" t="s">
        <v>204</v>
      </c>
      <c r="DT306" s="25" t="s">
        <v>109</v>
      </c>
      <c r="DU306" s="25" t="s">
        <v>215</v>
      </c>
      <c r="DV306" s="25">
        <f t="shared" si="182"/>
        <v>1</v>
      </c>
      <c r="DW306" s="25">
        <f t="shared" si="183"/>
        <v>1</v>
      </c>
      <c r="DX306" s="25">
        <f t="shared" si="184"/>
        <v>1</v>
      </c>
      <c r="DY306" s="25">
        <f t="shared" si="185"/>
        <v>2</v>
      </c>
      <c r="DZ306" s="25">
        <f t="shared" si="186"/>
        <v>2</v>
      </c>
      <c r="EA306" s="3">
        <f t="shared" si="187"/>
        <v>2</v>
      </c>
      <c r="EB306" s="42"/>
      <c r="EC306" s="9">
        <v>5201104</v>
      </c>
      <c r="ED306" s="34" t="s">
        <v>217</v>
      </c>
      <c r="EE306" s="8">
        <v>1</v>
      </c>
    </row>
    <row r="307" spans="1:135" ht="13.5" customHeight="1">
      <c r="A307" s="9">
        <v>304</v>
      </c>
      <c r="B307" s="9">
        <v>1</v>
      </c>
      <c r="C307" s="9">
        <v>2001</v>
      </c>
      <c r="D307" s="9">
        <f t="shared" si="202"/>
        <v>4135183</v>
      </c>
      <c r="E307" s="9" t="str">
        <f t="shared" si="199"/>
        <v>5202093,5202092,5202093,5401093,5402092,5401093</v>
      </c>
      <c r="F307" s="9" t="str">
        <f t="shared" si="200"/>
        <v>9,9,9,9,9,9</v>
      </c>
      <c r="G307" s="9" t="str">
        <f t="shared" si="201"/>
        <v>637,689,689,689,689,689</v>
      </c>
      <c r="H307" s="9">
        <v>161</v>
      </c>
      <c r="I307" s="9" t="s">
        <v>278</v>
      </c>
      <c r="J307" s="9" t="s">
        <v>279</v>
      </c>
      <c r="K307" s="9" t="s">
        <v>279</v>
      </c>
      <c r="L307" s="9" t="s">
        <v>279</v>
      </c>
      <c r="M307" s="36" t="s">
        <v>300</v>
      </c>
      <c r="N307" s="40"/>
      <c r="O307" s="3">
        <f t="shared" si="167"/>
        <v>4135183</v>
      </c>
      <c r="P307" s="9">
        <v>3268919.27</v>
      </c>
      <c r="Q307" s="9">
        <v>5202093</v>
      </c>
      <c r="R307" s="9">
        <v>5202092</v>
      </c>
      <c r="S307" s="9">
        <v>5202093</v>
      </c>
      <c r="T307" s="9">
        <v>5401093</v>
      </c>
      <c r="U307" s="9">
        <v>5402092</v>
      </c>
      <c r="V307" s="9">
        <v>5401093</v>
      </c>
      <c r="W307" s="9">
        <v>9</v>
      </c>
      <c r="X307" s="9">
        <v>9</v>
      </c>
      <c r="Y307" s="9">
        <v>9</v>
      </c>
      <c r="Z307" s="9">
        <v>9</v>
      </c>
      <c r="AA307" s="9">
        <v>9</v>
      </c>
      <c r="AB307" s="9">
        <v>9</v>
      </c>
      <c r="AC307" s="9">
        <f t="shared" si="188"/>
        <v>637</v>
      </c>
      <c r="AD307" s="9">
        <f t="shared" si="189"/>
        <v>689</v>
      </c>
      <c r="AE307" s="9">
        <f t="shared" si="190"/>
        <v>689</v>
      </c>
      <c r="AF307" s="9">
        <f t="shared" si="191"/>
        <v>689</v>
      </c>
      <c r="AG307" s="9">
        <f t="shared" si="192"/>
        <v>689</v>
      </c>
      <c r="AH307" s="9">
        <f t="shared" si="193"/>
        <v>689</v>
      </c>
      <c r="AI307" s="7">
        <f t="shared" si="204"/>
        <v>544819.8783333333</v>
      </c>
      <c r="AJ307" s="7">
        <f t="shared" si="205"/>
        <v>544819.8783333333</v>
      </c>
      <c r="AK307" s="7">
        <f t="shared" si="205"/>
        <v>544819.8783333333</v>
      </c>
      <c r="AL307" s="7">
        <f t="shared" si="205"/>
        <v>544819.8783333333</v>
      </c>
      <c r="AM307" s="7">
        <f t="shared" si="205"/>
        <v>544819.8783333333</v>
      </c>
      <c r="AN307" s="7">
        <f t="shared" si="205"/>
        <v>544819.8783333333</v>
      </c>
      <c r="AO307" s="16"/>
      <c r="AP307" s="7"/>
      <c r="AQ307" s="9">
        <v>7</v>
      </c>
      <c r="AR307" s="9">
        <f t="shared" si="194"/>
        <v>716</v>
      </c>
      <c r="AS307" s="7">
        <f t="shared" si="203"/>
        <v>252</v>
      </c>
      <c r="AT307" s="7"/>
      <c r="AU307" s="16"/>
      <c r="AV307" s="7"/>
      <c r="AW307" s="7"/>
      <c r="AX307" s="7"/>
      <c r="AZ307" s="7"/>
      <c r="BA307" s="9">
        <f t="shared" si="169"/>
        <v>395485.43999999925</v>
      </c>
      <c r="BC307" s="5">
        <f t="shared" si="195"/>
        <v>595</v>
      </c>
      <c r="BR307" s="5">
        <v>5600085</v>
      </c>
      <c r="BS307" s="18">
        <f>[1]monsters!$N307</f>
        <v>174.72</v>
      </c>
      <c r="BT307" s="18">
        <f>[1]monsters!$O307</f>
        <v>17.47</v>
      </c>
      <c r="BU307" s="18">
        <f>[1]monsters!$P307</f>
        <v>2773.33</v>
      </c>
      <c r="BV307" s="18">
        <f>[1]monsters!$Q307</f>
        <v>277.33</v>
      </c>
      <c r="BW307" s="18">
        <f>[1]monsters!$R307</f>
        <v>34.94</v>
      </c>
      <c r="BX307" s="18">
        <f>[1]monsters!$S307</f>
        <v>3.49</v>
      </c>
      <c r="BY307" s="18">
        <f>[1]monsters!$K307</f>
        <v>1.4</v>
      </c>
      <c r="BZ307" s="5">
        <f>[1]monsters!$D307</f>
        <v>3</v>
      </c>
      <c r="CA307" s="5">
        <f t="shared" si="196"/>
        <v>0.1</v>
      </c>
      <c r="CB307" s="5">
        <f t="shared" si="197"/>
        <v>258.4885144781145</v>
      </c>
      <c r="CC307" s="5">
        <f t="shared" si="198"/>
        <v>25.848851447811452</v>
      </c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>
        <v>0</v>
      </c>
      <c r="CR307" s="3" t="b">
        <f t="shared" si="170"/>
        <v>1</v>
      </c>
      <c r="CS307" s="3" t="b">
        <f t="shared" si="171"/>
        <v>1</v>
      </c>
      <c r="CT307" s="3" t="b">
        <f t="shared" si="172"/>
        <v>1</v>
      </c>
      <c r="CU307" s="3" t="b">
        <f t="shared" si="173"/>
        <v>1</v>
      </c>
      <c r="CV307" s="3" t="b">
        <f t="shared" si="174"/>
        <v>1</v>
      </c>
      <c r="CW307" s="3" t="b">
        <f t="shared" si="175"/>
        <v>1</v>
      </c>
      <c r="CX307" s="9" t="str">
        <f t="shared" si="176"/>
        <v>5202093</v>
      </c>
      <c r="CY307" s="9" t="str">
        <f t="shared" si="177"/>
        <v>5202092</v>
      </c>
      <c r="CZ307" s="9" t="str">
        <f t="shared" si="178"/>
        <v>5202093</v>
      </c>
      <c r="DA307" s="9" t="str">
        <f t="shared" si="179"/>
        <v>5401093</v>
      </c>
      <c r="DB307" s="9" t="str">
        <f t="shared" si="180"/>
        <v>5402092</v>
      </c>
      <c r="DC307" s="9" t="str">
        <f t="shared" si="181"/>
        <v>5401093</v>
      </c>
      <c r="DD307" s="9">
        <v>9</v>
      </c>
      <c r="DE307" s="9">
        <v>9</v>
      </c>
      <c r="DF307" s="9">
        <v>9</v>
      </c>
      <c r="DG307" s="9">
        <v>9</v>
      </c>
      <c r="DH307" s="9">
        <v>9</v>
      </c>
      <c r="DI307" s="9">
        <v>9</v>
      </c>
      <c r="DJ307" s="9">
        <v>5</v>
      </c>
      <c r="DK307" s="9">
        <v>5</v>
      </c>
      <c r="DL307" s="9">
        <v>5</v>
      </c>
      <c r="DM307" s="9">
        <v>5</v>
      </c>
      <c r="DN307" s="9">
        <v>5</v>
      </c>
      <c r="DO307" s="9">
        <v>5</v>
      </c>
      <c r="DP307" s="25" t="s">
        <v>208</v>
      </c>
      <c r="DQ307" s="25" t="s">
        <v>200</v>
      </c>
      <c r="DR307" s="25" t="s">
        <v>208</v>
      </c>
      <c r="DS307" s="25" t="s">
        <v>211</v>
      </c>
      <c r="DT307" s="25" t="s">
        <v>203</v>
      </c>
      <c r="DU307" s="25" t="s">
        <v>211</v>
      </c>
      <c r="DV307" s="25">
        <f t="shared" si="182"/>
        <v>1</v>
      </c>
      <c r="DW307" s="25">
        <f t="shared" si="183"/>
        <v>1</v>
      </c>
      <c r="DX307" s="25">
        <f t="shared" si="184"/>
        <v>1</v>
      </c>
      <c r="DY307" s="25">
        <f t="shared" si="185"/>
        <v>2</v>
      </c>
      <c r="DZ307" s="25">
        <f t="shared" si="186"/>
        <v>2</v>
      </c>
      <c r="EA307" s="3">
        <f t="shared" si="187"/>
        <v>2</v>
      </c>
      <c r="EB307" s="42"/>
      <c r="EC307" s="9">
        <v>5302104</v>
      </c>
      <c r="ED307" s="34" t="s">
        <v>218</v>
      </c>
      <c r="EE307" s="8">
        <v>1</v>
      </c>
    </row>
    <row r="308" spans="1:135" ht="13.5" customHeight="1">
      <c r="A308" s="9">
        <v>305</v>
      </c>
      <c r="B308" s="9">
        <v>1</v>
      </c>
      <c r="C308" s="9">
        <v>2001</v>
      </c>
      <c r="D308" s="9">
        <f t="shared" si="202"/>
        <v>4237901</v>
      </c>
      <c r="E308" s="9" t="str">
        <f t="shared" si="199"/>
        <v>5202093,5202093,5202093,5500092,5500092,5500092</v>
      </c>
      <c r="F308" s="9" t="str">
        <f t="shared" si="200"/>
        <v>9,9,9,9,9,9</v>
      </c>
      <c r="G308" s="9" t="str">
        <f t="shared" si="201"/>
        <v>645,697,697,697,697,697</v>
      </c>
      <c r="H308" s="9">
        <v>162</v>
      </c>
      <c r="I308" s="9" t="s">
        <v>278</v>
      </c>
      <c r="J308" s="9" t="s">
        <v>279</v>
      </c>
      <c r="K308" s="9" t="s">
        <v>279</v>
      </c>
      <c r="L308" s="9" t="s">
        <v>279</v>
      </c>
      <c r="M308" s="36" t="s">
        <v>300</v>
      </c>
      <c r="O308" s="3">
        <f t="shared" si="167"/>
        <v>4237901</v>
      </c>
      <c r="P308" s="9">
        <v>3350119.23</v>
      </c>
      <c r="Q308" s="9">
        <v>5202093</v>
      </c>
      <c r="R308" s="9">
        <v>5202093</v>
      </c>
      <c r="S308" s="9">
        <v>5202093</v>
      </c>
      <c r="T308" s="9">
        <v>5500092</v>
      </c>
      <c r="U308" s="9">
        <v>5500092</v>
      </c>
      <c r="V308" s="9">
        <v>5500092</v>
      </c>
      <c r="W308" s="9">
        <v>9</v>
      </c>
      <c r="X308" s="9">
        <v>9</v>
      </c>
      <c r="Y308" s="9">
        <v>9</v>
      </c>
      <c r="Z308" s="9">
        <v>9</v>
      </c>
      <c r="AA308" s="9">
        <v>9</v>
      </c>
      <c r="AB308" s="9">
        <v>9</v>
      </c>
      <c r="AC308" s="9">
        <f t="shared" si="188"/>
        <v>645</v>
      </c>
      <c r="AD308" s="9">
        <f t="shared" si="189"/>
        <v>697</v>
      </c>
      <c r="AE308" s="9">
        <f t="shared" si="190"/>
        <v>697</v>
      </c>
      <c r="AF308" s="9">
        <f t="shared" si="191"/>
        <v>697</v>
      </c>
      <c r="AG308" s="9">
        <f t="shared" si="192"/>
        <v>697</v>
      </c>
      <c r="AH308" s="9">
        <f t="shared" si="193"/>
        <v>697</v>
      </c>
      <c r="AI308" s="7">
        <f t="shared" si="204"/>
        <v>558353.20499999996</v>
      </c>
      <c r="AJ308" s="7">
        <f t="shared" si="205"/>
        <v>558353.20499999996</v>
      </c>
      <c r="AK308" s="7">
        <f t="shared" si="205"/>
        <v>558353.20499999996</v>
      </c>
      <c r="AL308" s="7">
        <f t="shared" si="205"/>
        <v>558353.20499999996</v>
      </c>
      <c r="AM308" s="7">
        <f t="shared" si="205"/>
        <v>558353.20499999996</v>
      </c>
      <c r="AN308" s="7">
        <f t="shared" si="205"/>
        <v>558353.20499999996</v>
      </c>
      <c r="AO308" s="16"/>
      <c r="AP308" s="7"/>
      <c r="AQ308" s="9">
        <v>7</v>
      </c>
      <c r="AR308" s="9">
        <f t="shared" si="194"/>
        <v>725</v>
      </c>
      <c r="AS308" s="7">
        <f t="shared" si="203"/>
        <v>252</v>
      </c>
      <c r="AT308" s="7"/>
      <c r="AU308" s="16"/>
      <c r="AV308" s="7"/>
      <c r="AW308" s="7"/>
      <c r="AX308" s="7"/>
      <c r="AZ308" s="7"/>
      <c r="BA308" s="9">
        <f t="shared" si="169"/>
        <v>397875.79999999923</v>
      </c>
      <c r="BC308" s="5">
        <f t="shared" si="195"/>
        <v>602</v>
      </c>
      <c r="BR308" s="5">
        <v>5602085</v>
      </c>
      <c r="BS308" s="18">
        <f>[1]monsters!$N308</f>
        <v>310.61</v>
      </c>
      <c r="BT308" s="18">
        <f>[1]monsters!$O308</f>
        <v>31.06</v>
      </c>
      <c r="BU308" s="18">
        <f>[1]monsters!$P308</f>
        <v>1782.86</v>
      </c>
      <c r="BV308" s="18">
        <f>[1]monsters!$Q308</f>
        <v>178.29</v>
      </c>
      <c r="BW308" s="18">
        <f>[1]monsters!$R308</f>
        <v>38.83</v>
      </c>
      <c r="BX308" s="18">
        <f>[1]monsters!$S308</f>
        <v>3.88</v>
      </c>
      <c r="BY308" s="18">
        <f>[1]monsters!$K308</f>
        <v>1.6</v>
      </c>
      <c r="BZ308" s="5">
        <f>[1]monsters!$D308</f>
        <v>5</v>
      </c>
      <c r="CA308" s="5">
        <f t="shared" si="196"/>
        <v>0.1</v>
      </c>
      <c r="CB308" s="5">
        <f t="shared" si="197"/>
        <v>353.55540622895626</v>
      </c>
      <c r="CC308" s="5">
        <f t="shared" si="198"/>
        <v>35.355540622895624</v>
      </c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>
        <v>1</v>
      </c>
      <c r="CR308" s="3" t="b">
        <f t="shared" si="170"/>
        <v>1</v>
      </c>
      <c r="CS308" s="3" t="b">
        <f t="shared" si="171"/>
        <v>1</v>
      </c>
      <c r="CT308" s="3" t="b">
        <f t="shared" si="172"/>
        <v>1</v>
      </c>
      <c r="CU308" s="3" t="b">
        <f t="shared" si="173"/>
        <v>1</v>
      </c>
      <c r="CV308" s="3" t="b">
        <f t="shared" si="174"/>
        <v>1</v>
      </c>
      <c r="CW308" s="3" t="b">
        <f t="shared" si="175"/>
        <v>1</v>
      </c>
      <c r="CX308" s="9" t="str">
        <f t="shared" si="176"/>
        <v>5202093</v>
      </c>
      <c r="CY308" s="9" t="str">
        <f t="shared" si="177"/>
        <v>5202093</v>
      </c>
      <c r="CZ308" s="9" t="str">
        <f t="shared" si="178"/>
        <v>5202093</v>
      </c>
      <c r="DA308" s="9" t="str">
        <f t="shared" si="179"/>
        <v>5500092</v>
      </c>
      <c r="DB308" s="9" t="str">
        <f t="shared" si="180"/>
        <v>5500092</v>
      </c>
      <c r="DC308" s="9" t="str">
        <f t="shared" si="181"/>
        <v>5500092</v>
      </c>
      <c r="DD308" s="9">
        <v>9</v>
      </c>
      <c r="DE308" s="9">
        <v>9</v>
      </c>
      <c r="DF308" s="9">
        <v>9</v>
      </c>
      <c r="DG308" s="9">
        <v>9</v>
      </c>
      <c r="DH308" s="9">
        <v>9</v>
      </c>
      <c r="DI308" s="9">
        <v>9</v>
      </c>
      <c r="DJ308" s="9">
        <v>5</v>
      </c>
      <c r="DK308" s="9">
        <v>5</v>
      </c>
      <c r="DL308" s="9">
        <v>5</v>
      </c>
      <c r="DM308" s="9">
        <v>5</v>
      </c>
      <c r="DN308" s="9">
        <v>5</v>
      </c>
      <c r="DO308" s="9">
        <v>5</v>
      </c>
      <c r="DP308" s="25" t="s">
        <v>208</v>
      </c>
      <c r="DQ308" s="25" t="s">
        <v>208</v>
      </c>
      <c r="DR308" s="25" t="s">
        <v>208</v>
      </c>
      <c r="DS308" s="25" t="s">
        <v>109</v>
      </c>
      <c r="DT308" s="25" t="s">
        <v>109</v>
      </c>
      <c r="DU308" s="25" t="s">
        <v>109</v>
      </c>
      <c r="DV308" s="25">
        <f t="shared" si="182"/>
        <v>1</v>
      </c>
      <c r="DW308" s="25">
        <f t="shared" si="183"/>
        <v>1</v>
      </c>
      <c r="DX308" s="25">
        <f t="shared" si="184"/>
        <v>1</v>
      </c>
      <c r="DY308" s="25">
        <f t="shared" si="185"/>
        <v>2</v>
      </c>
      <c r="DZ308" s="25">
        <f t="shared" si="186"/>
        <v>2</v>
      </c>
      <c r="EA308" s="3">
        <f t="shared" si="187"/>
        <v>2</v>
      </c>
      <c r="EB308" s="42"/>
      <c r="EC308" s="9">
        <v>5501104</v>
      </c>
      <c r="ED308" s="34" t="s">
        <v>214</v>
      </c>
      <c r="EE308" s="8">
        <v>2</v>
      </c>
    </row>
    <row r="309" spans="1:135" ht="13.5" customHeight="1">
      <c r="A309" s="9">
        <v>306</v>
      </c>
      <c r="B309" s="9">
        <v>1</v>
      </c>
      <c r="C309" s="9">
        <v>2001</v>
      </c>
      <c r="D309" s="9">
        <f t="shared" si="202"/>
        <v>4256504</v>
      </c>
      <c r="E309" s="9" t="str">
        <f t="shared" si="199"/>
        <v>5202091,5202092,5200091,5501095,5602094,5400095</v>
      </c>
      <c r="F309" s="9" t="str">
        <f t="shared" si="200"/>
        <v>9,9,9,9,9,9</v>
      </c>
      <c r="G309" s="9" t="str">
        <f t="shared" si="201"/>
        <v>646,699,699,699,699,699</v>
      </c>
      <c r="H309" s="9">
        <v>162</v>
      </c>
      <c r="I309" s="9" t="s">
        <v>278</v>
      </c>
      <c r="J309" s="9" t="s">
        <v>279</v>
      </c>
      <c r="K309" s="9" t="s">
        <v>279</v>
      </c>
      <c r="L309" s="9" t="s">
        <v>279</v>
      </c>
      <c r="M309" s="36" t="s">
        <v>300</v>
      </c>
      <c r="N309" s="40"/>
      <c r="O309" s="3">
        <f t="shared" si="167"/>
        <v>4256504</v>
      </c>
      <c r="P309" s="9">
        <v>3364825.33</v>
      </c>
      <c r="Q309" s="9">
        <v>5202091</v>
      </c>
      <c r="R309" s="9">
        <v>5202092</v>
      </c>
      <c r="S309" s="9">
        <v>5200091</v>
      </c>
      <c r="T309" s="9">
        <v>5501095</v>
      </c>
      <c r="U309" s="9">
        <v>5602094</v>
      </c>
      <c r="V309" s="9">
        <v>5400095</v>
      </c>
      <c r="W309" s="9">
        <v>9</v>
      </c>
      <c r="X309" s="9">
        <v>9</v>
      </c>
      <c r="Y309" s="9">
        <v>9</v>
      </c>
      <c r="Z309" s="9">
        <v>9</v>
      </c>
      <c r="AA309" s="9">
        <v>9</v>
      </c>
      <c r="AB309" s="9">
        <v>9</v>
      </c>
      <c r="AC309" s="9">
        <f t="shared" si="188"/>
        <v>646</v>
      </c>
      <c r="AD309" s="9">
        <f t="shared" si="189"/>
        <v>699</v>
      </c>
      <c r="AE309" s="9">
        <f t="shared" si="190"/>
        <v>699</v>
      </c>
      <c r="AF309" s="9">
        <f t="shared" si="191"/>
        <v>699</v>
      </c>
      <c r="AG309" s="9">
        <f t="shared" si="192"/>
        <v>699</v>
      </c>
      <c r="AH309" s="9">
        <f t="shared" si="193"/>
        <v>699</v>
      </c>
      <c r="AI309" s="7">
        <f t="shared" si="204"/>
        <v>560804.22166666668</v>
      </c>
      <c r="AJ309" s="7">
        <f t="shared" si="205"/>
        <v>560804.22166666668</v>
      </c>
      <c r="AK309" s="7">
        <f t="shared" si="205"/>
        <v>560804.22166666668</v>
      </c>
      <c r="AL309" s="7">
        <f t="shared" si="205"/>
        <v>560804.22166666668</v>
      </c>
      <c r="AM309" s="7">
        <f t="shared" si="205"/>
        <v>560804.22166666668</v>
      </c>
      <c r="AN309" s="7">
        <f t="shared" si="205"/>
        <v>560804.22166666668</v>
      </c>
      <c r="AO309" s="16"/>
      <c r="AP309" s="7"/>
      <c r="AQ309" s="9">
        <v>7</v>
      </c>
      <c r="AR309" s="9">
        <f t="shared" si="194"/>
        <v>727</v>
      </c>
      <c r="AS309" s="7">
        <f t="shared" si="203"/>
        <v>253</v>
      </c>
      <c r="AT309" s="7"/>
      <c r="AU309" s="16"/>
      <c r="AV309" s="7"/>
      <c r="AW309" s="7"/>
      <c r="AX309" s="7"/>
      <c r="AZ309" s="7"/>
      <c r="BA309" s="9">
        <f t="shared" si="169"/>
        <v>400266.15999999922</v>
      </c>
      <c r="BC309" s="5">
        <f t="shared" si="195"/>
        <v>604</v>
      </c>
      <c r="BR309" s="5">
        <v>5200091</v>
      </c>
      <c r="BS309" s="18">
        <f>[1]monsters!$N309</f>
        <v>300.91000000000003</v>
      </c>
      <c r="BT309" s="18">
        <f>[1]monsters!$O309</f>
        <v>30.09</v>
      </c>
      <c r="BU309" s="18">
        <f>[1]monsters!$P309</f>
        <v>1610.32</v>
      </c>
      <c r="BV309" s="18">
        <f>[1]monsters!$Q309</f>
        <v>161.03</v>
      </c>
      <c r="BW309" s="18">
        <f>[1]monsters!$R309</f>
        <v>30.09</v>
      </c>
      <c r="BX309" s="18">
        <f>[1]monsters!$S309</f>
        <v>3.01</v>
      </c>
      <c r="BY309" s="18">
        <f>[1]monsters!$K309</f>
        <v>1.4</v>
      </c>
      <c r="BZ309" s="5">
        <f>[1]monsters!$D309</f>
        <v>6</v>
      </c>
      <c r="CA309" s="5">
        <f t="shared" si="196"/>
        <v>0.1</v>
      </c>
      <c r="CB309" s="5">
        <f t="shared" si="197"/>
        <v>338.57947861952863</v>
      </c>
      <c r="CC309" s="5">
        <f t="shared" si="198"/>
        <v>33.857947861952866</v>
      </c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>
        <v>0</v>
      </c>
      <c r="CR309" s="3" t="b">
        <f t="shared" si="170"/>
        <v>1</v>
      </c>
      <c r="CS309" s="3" t="b">
        <f t="shared" si="171"/>
        <v>1</v>
      </c>
      <c r="CT309" s="3" t="b">
        <f t="shared" si="172"/>
        <v>1</v>
      </c>
      <c r="CU309" s="3" t="b">
        <f t="shared" si="173"/>
        <v>1</v>
      </c>
      <c r="CV309" s="3" t="b">
        <f t="shared" si="174"/>
        <v>1</v>
      </c>
      <c r="CW309" s="3" t="b">
        <f t="shared" si="175"/>
        <v>1</v>
      </c>
      <c r="CX309" s="9" t="str">
        <f t="shared" si="176"/>
        <v>5202091</v>
      </c>
      <c r="CY309" s="9" t="str">
        <f t="shared" si="177"/>
        <v>5202092</v>
      </c>
      <c r="CZ309" s="9" t="str">
        <f t="shared" si="178"/>
        <v>5200091</v>
      </c>
      <c r="DA309" s="9" t="str">
        <f t="shared" si="179"/>
        <v>5501095</v>
      </c>
      <c r="DB309" s="9" t="str">
        <f t="shared" si="180"/>
        <v>5602094</v>
      </c>
      <c r="DC309" s="9" t="str">
        <f t="shared" si="181"/>
        <v>5400095</v>
      </c>
      <c r="DD309" s="9">
        <v>9</v>
      </c>
      <c r="DE309" s="9">
        <v>9</v>
      </c>
      <c r="DF309" s="9">
        <v>9</v>
      </c>
      <c r="DG309" s="9">
        <v>9</v>
      </c>
      <c r="DH309" s="9">
        <v>9</v>
      </c>
      <c r="DI309" s="9">
        <v>9</v>
      </c>
      <c r="DJ309" s="9">
        <v>5</v>
      </c>
      <c r="DK309" s="9">
        <v>5</v>
      </c>
      <c r="DL309" s="9">
        <v>5</v>
      </c>
      <c r="DM309" s="9">
        <v>5</v>
      </c>
      <c r="DN309" s="9">
        <v>5</v>
      </c>
      <c r="DO309" s="9">
        <v>5</v>
      </c>
      <c r="DP309" s="25" t="s">
        <v>111</v>
      </c>
      <c r="DQ309" s="25" t="s">
        <v>200</v>
      </c>
      <c r="DR309" s="25" t="s">
        <v>194</v>
      </c>
      <c r="DS309" s="25" t="s">
        <v>209</v>
      </c>
      <c r="DT309" s="25" t="s">
        <v>220</v>
      </c>
      <c r="DU309" s="25" t="s">
        <v>210</v>
      </c>
      <c r="DV309" s="25">
        <f t="shared" si="182"/>
        <v>1</v>
      </c>
      <c r="DW309" s="25">
        <f t="shared" si="183"/>
        <v>1</v>
      </c>
      <c r="DX309" s="25">
        <f t="shared" si="184"/>
        <v>1</v>
      </c>
      <c r="DY309" s="25">
        <f t="shared" si="185"/>
        <v>2</v>
      </c>
      <c r="DZ309" s="25">
        <f t="shared" si="186"/>
        <v>2</v>
      </c>
      <c r="EA309" s="3">
        <f t="shared" si="187"/>
        <v>2</v>
      </c>
      <c r="EB309" s="43"/>
      <c r="EC309" s="9">
        <v>5600104</v>
      </c>
      <c r="ED309" s="34" t="s">
        <v>219</v>
      </c>
      <c r="EE309" s="8">
        <v>1</v>
      </c>
    </row>
    <row r="310" spans="1:135" ht="13.5" customHeight="1">
      <c r="A310" s="9">
        <v>307</v>
      </c>
      <c r="B310" s="9">
        <v>1</v>
      </c>
      <c r="C310" s="9">
        <v>2001</v>
      </c>
      <c r="D310" s="9">
        <f t="shared" si="202"/>
        <v>4275150</v>
      </c>
      <c r="E310" s="9" t="str">
        <f t="shared" si="199"/>
        <v>5202092,5201092,5301091,5501094,5500093,5501094</v>
      </c>
      <c r="F310" s="9" t="str">
        <f t="shared" si="200"/>
        <v>9,9,9,9,9,9</v>
      </c>
      <c r="G310" s="9" t="str">
        <f t="shared" si="201"/>
        <v>648,700,700,700,700,700</v>
      </c>
      <c r="H310" s="9">
        <v>162</v>
      </c>
      <c r="I310" s="9" t="s">
        <v>278</v>
      </c>
      <c r="J310" s="9" t="s">
        <v>279</v>
      </c>
      <c r="K310" s="9" t="s">
        <v>279</v>
      </c>
      <c r="L310" s="9" t="s">
        <v>279</v>
      </c>
      <c r="M310" s="36" t="s">
        <v>300</v>
      </c>
      <c r="N310" s="40"/>
      <c r="O310" s="3">
        <f t="shared" si="167"/>
        <v>4275150</v>
      </c>
      <c r="P310" s="9">
        <v>3379565.26</v>
      </c>
      <c r="Q310" s="9">
        <v>5202092</v>
      </c>
      <c r="R310" s="9">
        <v>5201092</v>
      </c>
      <c r="S310" s="9">
        <v>5301091</v>
      </c>
      <c r="T310" s="9">
        <v>5501094</v>
      </c>
      <c r="U310" s="9">
        <v>5500093</v>
      </c>
      <c r="V310" s="9">
        <v>5501094</v>
      </c>
      <c r="W310" s="9">
        <v>9</v>
      </c>
      <c r="X310" s="9">
        <v>9</v>
      </c>
      <c r="Y310" s="9">
        <v>9</v>
      </c>
      <c r="Z310" s="9">
        <v>9</v>
      </c>
      <c r="AA310" s="9">
        <v>9</v>
      </c>
      <c r="AB310" s="9">
        <v>9</v>
      </c>
      <c r="AC310" s="9">
        <f t="shared" si="188"/>
        <v>648</v>
      </c>
      <c r="AD310" s="9">
        <f t="shared" si="189"/>
        <v>700</v>
      </c>
      <c r="AE310" s="9">
        <f t="shared" si="190"/>
        <v>700</v>
      </c>
      <c r="AF310" s="9">
        <f t="shared" si="191"/>
        <v>700</v>
      </c>
      <c r="AG310" s="9">
        <f t="shared" si="192"/>
        <v>700</v>
      </c>
      <c r="AH310" s="9">
        <f t="shared" si="193"/>
        <v>700</v>
      </c>
      <c r="AI310" s="7">
        <f t="shared" si="204"/>
        <v>563260.87666666659</v>
      </c>
      <c r="AJ310" s="7">
        <f t="shared" si="205"/>
        <v>563260.87666666659</v>
      </c>
      <c r="AK310" s="7">
        <f t="shared" si="205"/>
        <v>563260.87666666659</v>
      </c>
      <c r="AL310" s="7">
        <f t="shared" si="205"/>
        <v>563260.87666666659</v>
      </c>
      <c r="AM310" s="7">
        <f t="shared" si="205"/>
        <v>563260.87666666659</v>
      </c>
      <c r="AN310" s="7">
        <f t="shared" si="205"/>
        <v>563260.87666666659</v>
      </c>
      <c r="AO310" s="16"/>
      <c r="AP310" s="7"/>
      <c r="AQ310" s="9">
        <v>7</v>
      </c>
      <c r="AR310" s="9">
        <f t="shared" si="194"/>
        <v>728</v>
      </c>
      <c r="AS310" s="7">
        <f t="shared" si="203"/>
        <v>253</v>
      </c>
      <c r="AT310" s="7"/>
      <c r="AU310" s="16"/>
      <c r="AV310" s="7"/>
      <c r="AW310" s="7"/>
      <c r="AX310" s="7"/>
      <c r="AZ310" s="7"/>
      <c r="BA310" s="9">
        <f t="shared" si="169"/>
        <v>402656.5199999992</v>
      </c>
      <c r="BC310" s="5">
        <f t="shared" si="195"/>
        <v>605</v>
      </c>
      <c r="BR310" s="5">
        <v>5201091</v>
      </c>
      <c r="BS310" s="18">
        <f>[1]monsters!$N310</f>
        <v>386.88</v>
      </c>
      <c r="BT310" s="18">
        <f>[1]monsters!$O310</f>
        <v>38.69</v>
      </c>
      <c r="BU310" s="18">
        <f>[1]monsters!$P310</f>
        <v>1610.32</v>
      </c>
      <c r="BV310" s="18">
        <f>[1]monsters!$Q310</f>
        <v>161.03</v>
      </c>
      <c r="BW310" s="18">
        <f>[1]monsters!$R310</f>
        <v>38.69</v>
      </c>
      <c r="BX310" s="18">
        <f>[1]monsters!$S310</f>
        <v>3.87</v>
      </c>
      <c r="BY310" s="18">
        <f>[1]monsters!$K310</f>
        <v>1.8</v>
      </c>
      <c r="BZ310" s="5">
        <f>[1]monsters!$D310</f>
        <v>6</v>
      </c>
      <c r="CA310" s="5">
        <f t="shared" si="196"/>
        <v>0.1</v>
      </c>
      <c r="CB310" s="5">
        <f t="shared" si="197"/>
        <v>419.82112861952862</v>
      </c>
      <c r="CC310" s="5">
        <f t="shared" si="198"/>
        <v>41.982112861952864</v>
      </c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>
        <v>0</v>
      </c>
      <c r="CR310" s="3" t="b">
        <f t="shared" si="170"/>
        <v>1</v>
      </c>
      <c r="CS310" s="3" t="b">
        <f t="shared" si="171"/>
        <v>1</v>
      </c>
      <c r="CT310" s="3" t="b">
        <f t="shared" si="172"/>
        <v>1</v>
      </c>
      <c r="CU310" s="3" t="b">
        <f t="shared" si="173"/>
        <v>1</v>
      </c>
      <c r="CV310" s="3" t="b">
        <f t="shared" si="174"/>
        <v>1</v>
      </c>
      <c r="CW310" s="3" t="b">
        <f t="shared" si="175"/>
        <v>1</v>
      </c>
      <c r="CX310" s="9" t="str">
        <f t="shared" si="176"/>
        <v>5202092</v>
      </c>
      <c r="CY310" s="9" t="str">
        <f t="shared" si="177"/>
        <v>5201092</v>
      </c>
      <c r="CZ310" s="9" t="str">
        <f t="shared" si="178"/>
        <v>5301091</v>
      </c>
      <c r="DA310" s="9" t="str">
        <f t="shared" si="179"/>
        <v>5501094</v>
      </c>
      <c r="DB310" s="9" t="str">
        <f t="shared" si="180"/>
        <v>5500093</v>
      </c>
      <c r="DC310" s="9" t="str">
        <f t="shared" si="181"/>
        <v>5501094</v>
      </c>
      <c r="DD310" s="9">
        <v>9</v>
      </c>
      <c r="DE310" s="9">
        <v>9</v>
      </c>
      <c r="DF310" s="9">
        <v>9</v>
      </c>
      <c r="DG310" s="9">
        <v>9</v>
      </c>
      <c r="DH310" s="9">
        <v>9</v>
      </c>
      <c r="DI310" s="9">
        <v>9</v>
      </c>
      <c r="DJ310" s="9">
        <v>5</v>
      </c>
      <c r="DK310" s="9">
        <v>5</v>
      </c>
      <c r="DL310" s="9">
        <v>5</v>
      </c>
      <c r="DM310" s="9">
        <v>5</v>
      </c>
      <c r="DN310" s="9">
        <v>5</v>
      </c>
      <c r="DO310" s="9">
        <v>5</v>
      </c>
      <c r="DP310" s="25" t="s">
        <v>200</v>
      </c>
      <c r="DQ310" s="25" t="s">
        <v>114</v>
      </c>
      <c r="DR310" s="25" t="s">
        <v>107</v>
      </c>
      <c r="DS310" s="25" t="s">
        <v>214</v>
      </c>
      <c r="DT310" s="25" t="s">
        <v>207</v>
      </c>
      <c r="DU310" s="25" t="s">
        <v>214</v>
      </c>
      <c r="DV310" s="25">
        <f t="shared" si="182"/>
        <v>1</v>
      </c>
      <c r="DW310" s="25">
        <f t="shared" si="183"/>
        <v>1</v>
      </c>
      <c r="DX310" s="25">
        <f t="shared" si="184"/>
        <v>1</v>
      </c>
      <c r="DY310" s="25">
        <f t="shared" si="185"/>
        <v>2</v>
      </c>
      <c r="DZ310" s="25">
        <f t="shared" si="186"/>
        <v>2</v>
      </c>
      <c r="EA310" s="3">
        <f t="shared" si="187"/>
        <v>2</v>
      </c>
      <c r="EB310" s="44"/>
      <c r="EC310" s="9">
        <v>5602104</v>
      </c>
      <c r="ED310" s="34" t="s">
        <v>220</v>
      </c>
      <c r="EE310" s="8">
        <v>2</v>
      </c>
    </row>
    <row r="311" spans="1:135" ht="13.5" customHeight="1">
      <c r="A311" s="9">
        <v>308</v>
      </c>
      <c r="B311" s="9">
        <v>1</v>
      </c>
      <c r="C311" s="9">
        <v>2001</v>
      </c>
      <c r="D311" s="9">
        <f t="shared" si="202"/>
        <v>4293836</v>
      </c>
      <c r="E311" s="9" t="str">
        <f t="shared" si="199"/>
        <v>5202092,5201092,5301091,5500093,5500091,5400095</v>
      </c>
      <c r="F311" s="9" t="str">
        <f t="shared" si="200"/>
        <v>9,9,9,9,9,9</v>
      </c>
      <c r="G311" s="9" t="str">
        <f t="shared" si="201"/>
        <v>649,702,702,702,702,702</v>
      </c>
      <c r="H311" s="9">
        <v>163</v>
      </c>
      <c r="I311" s="9" t="s">
        <v>278</v>
      </c>
      <c r="J311" s="9" t="s">
        <v>279</v>
      </c>
      <c r="K311" s="9" t="s">
        <v>279</v>
      </c>
      <c r="L311" s="9" t="s">
        <v>279</v>
      </c>
      <c r="M311" s="36" t="s">
        <v>300</v>
      </c>
      <c r="N311" s="40"/>
      <c r="O311" s="3">
        <f t="shared" si="167"/>
        <v>4293836</v>
      </c>
      <c r="P311" s="9">
        <v>3394337.03</v>
      </c>
      <c r="Q311" s="9">
        <v>5202092</v>
      </c>
      <c r="R311" s="9">
        <v>5201092</v>
      </c>
      <c r="S311" s="9">
        <v>5301091</v>
      </c>
      <c r="T311" s="9">
        <v>5500093</v>
      </c>
      <c r="U311" s="9">
        <v>5500091</v>
      </c>
      <c r="V311" s="9">
        <v>5400095</v>
      </c>
      <c r="W311" s="9">
        <v>9</v>
      </c>
      <c r="X311" s="9">
        <v>9</v>
      </c>
      <c r="Y311" s="9">
        <v>9</v>
      </c>
      <c r="Z311" s="9">
        <v>9</v>
      </c>
      <c r="AA311" s="9">
        <v>9</v>
      </c>
      <c r="AB311" s="9">
        <v>9</v>
      </c>
      <c r="AC311" s="9">
        <f t="shared" si="188"/>
        <v>649</v>
      </c>
      <c r="AD311" s="9">
        <f t="shared" si="189"/>
        <v>702</v>
      </c>
      <c r="AE311" s="9">
        <f t="shared" si="190"/>
        <v>702</v>
      </c>
      <c r="AF311" s="9">
        <f t="shared" si="191"/>
        <v>702</v>
      </c>
      <c r="AG311" s="9">
        <f t="shared" si="192"/>
        <v>702</v>
      </c>
      <c r="AH311" s="9">
        <f t="shared" si="193"/>
        <v>702</v>
      </c>
      <c r="AI311" s="7">
        <f t="shared" si="204"/>
        <v>565722.83833333326</v>
      </c>
      <c r="AJ311" s="7">
        <f t="shared" si="205"/>
        <v>565722.83833333326</v>
      </c>
      <c r="AK311" s="7">
        <f t="shared" si="205"/>
        <v>565722.83833333326</v>
      </c>
      <c r="AL311" s="7">
        <f t="shared" si="205"/>
        <v>565722.83833333326</v>
      </c>
      <c r="AM311" s="7">
        <f t="shared" si="205"/>
        <v>565722.83833333326</v>
      </c>
      <c r="AN311" s="7">
        <f t="shared" si="205"/>
        <v>565722.83833333326</v>
      </c>
      <c r="AO311" s="16"/>
      <c r="AP311" s="7"/>
      <c r="AQ311" s="9">
        <v>7</v>
      </c>
      <c r="AR311" s="9">
        <f t="shared" si="194"/>
        <v>730</v>
      </c>
      <c r="AS311" s="7">
        <f t="shared" si="203"/>
        <v>254</v>
      </c>
      <c r="AT311" s="7"/>
      <c r="AU311" s="16"/>
      <c r="AV311" s="7"/>
      <c r="AW311" s="7"/>
      <c r="AX311" s="7"/>
      <c r="AZ311" s="7"/>
      <c r="BA311" s="9">
        <f t="shared" si="169"/>
        <v>405046.87999999919</v>
      </c>
      <c r="BC311" s="5">
        <f t="shared" si="195"/>
        <v>606</v>
      </c>
      <c r="BR311" s="5">
        <v>5300091</v>
      </c>
      <c r="BS311" s="18">
        <f>[1]monsters!$N311</f>
        <v>224.64</v>
      </c>
      <c r="BT311" s="18">
        <f>[1]monsters!$O311</f>
        <v>22.46</v>
      </c>
      <c r="BU311" s="18">
        <f>[1]monsters!$P311</f>
        <v>2773.33</v>
      </c>
      <c r="BV311" s="18">
        <f>[1]monsters!$Q311</f>
        <v>277.33</v>
      </c>
      <c r="BW311" s="18">
        <f>[1]monsters!$R311</f>
        <v>44.93</v>
      </c>
      <c r="BX311" s="18">
        <f>[1]monsters!$S311</f>
        <v>4.49</v>
      </c>
      <c r="BY311" s="18">
        <f>[1]monsters!$K311</f>
        <v>1.8</v>
      </c>
      <c r="BZ311" s="5">
        <f>[1]monsters!$D311</f>
        <v>2</v>
      </c>
      <c r="CA311" s="5">
        <f t="shared" si="196"/>
        <v>0.1</v>
      </c>
      <c r="CB311" s="5">
        <f t="shared" si="197"/>
        <v>305.66291447811443</v>
      </c>
      <c r="CC311" s="5">
        <f t="shared" si="198"/>
        <v>30.566291447811444</v>
      </c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>
        <v>0</v>
      </c>
      <c r="CR311" s="3" t="b">
        <f t="shared" si="170"/>
        <v>1</v>
      </c>
      <c r="CS311" s="3" t="b">
        <f t="shared" si="171"/>
        <v>1</v>
      </c>
      <c r="CT311" s="3" t="b">
        <f t="shared" si="172"/>
        <v>1</v>
      </c>
      <c r="CU311" s="3" t="b">
        <f t="shared" si="173"/>
        <v>1</v>
      </c>
      <c r="CV311" s="3" t="b">
        <f t="shared" si="174"/>
        <v>1</v>
      </c>
      <c r="CW311" s="3" t="b">
        <f t="shared" si="175"/>
        <v>1</v>
      </c>
      <c r="CX311" s="9" t="str">
        <f t="shared" si="176"/>
        <v>5202092</v>
      </c>
      <c r="CY311" s="9" t="str">
        <f t="shared" si="177"/>
        <v>5201092</v>
      </c>
      <c r="CZ311" s="9" t="str">
        <f t="shared" si="178"/>
        <v>5301091</v>
      </c>
      <c r="DA311" s="9" t="str">
        <f t="shared" si="179"/>
        <v>5500093</v>
      </c>
      <c r="DB311" s="9" t="str">
        <f t="shared" si="180"/>
        <v>5500091</v>
      </c>
      <c r="DC311" s="9" t="str">
        <f t="shared" si="181"/>
        <v>5400095</v>
      </c>
      <c r="DD311" s="9">
        <v>9</v>
      </c>
      <c r="DE311" s="9">
        <v>9</v>
      </c>
      <c r="DF311" s="9">
        <v>9</v>
      </c>
      <c r="DG311" s="9">
        <v>9</v>
      </c>
      <c r="DH311" s="9">
        <v>9</v>
      </c>
      <c r="DI311" s="9">
        <v>9</v>
      </c>
      <c r="DJ311" s="9">
        <v>5</v>
      </c>
      <c r="DK311" s="9">
        <v>5</v>
      </c>
      <c r="DL311" s="9">
        <v>5</v>
      </c>
      <c r="DM311" s="9">
        <v>5</v>
      </c>
      <c r="DN311" s="9">
        <v>5</v>
      </c>
      <c r="DO311" s="9">
        <v>5</v>
      </c>
      <c r="DP311" s="27" t="s">
        <v>200</v>
      </c>
      <c r="DQ311" s="27" t="s">
        <v>114</v>
      </c>
      <c r="DR311" s="27" t="s">
        <v>107</v>
      </c>
      <c r="DS311" s="25" t="s">
        <v>207</v>
      </c>
      <c r="DT311" s="25" t="s">
        <v>197</v>
      </c>
      <c r="DU311" s="25" t="s">
        <v>210</v>
      </c>
      <c r="DV311" s="25">
        <f t="shared" si="182"/>
        <v>1</v>
      </c>
      <c r="DW311" s="25">
        <f t="shared" si="183"/>
        <v>1</v>
      </c>
      <c r="DX311" s="25">
        <f t="shared" si="184"/>
        <v>1</v>
      </c>
      <c r="DY311" s="25">
        <f t="shared" si="185"/>
        <v>2</v>
      </c>
      <c r="DZ311" s="25">
        <f t="shared" si="186"/>
        <v>2</v>
      </c>
      <c r="EA311" s="3">
        <f t="shared" si="187"/>
        <v>2</v>
      </c>
      <c r="EB311" s="44"/>
      <c r="EC311" s="9">
        <v>5202105</v>
      </c>
      <c r="ED311" s="34" t="s">
        <v>213</v>
      </c>
      <c r="EE311" s="8">
        <v>1</v>
      </c>
    </row>
    <row r="312" spans="1:135" ht="13.5" customHeight="1">
      <c r="A312" s="9">
        <v>309</v>
      </c>
      <c r="B312" s="9">
        <v>1</v>
      </c>
      <c r="C312" s="9">
        <v>2001</v>
      </c>
      <c r="D312" s="9">
        <f t="shared" si="202"/>
        <v>4312560</v>
      </c>
      <c r="E312" s="9" t="str">
        <f t="shared" si="199"/>
        <v>5302095,5202095,5202095,5401093,5402092,5401093</v>
      </c>
      <c r="F312" s="9" t="str">
        <f t="shared" si="200"/>
        <v>9,9,9,9,9,9</v>
      </c>
      <c r="G312" s="9" t="str">
        <f t="shared" si="201"/>
        <v>650,703,703,703,703,703</v>
      </c>
      <c r="H312" s="9">
        <v>163</v>
      </c>
      <c r="I312" s="9" t="s">
        <v>278</v>
      </c>
      <c r="J312" s="9" t="s">
        <v>279</v>
      </c>
      <c r="K312" s="9" t="s">
        <v>279</v>
      </c>
      <c r="L312" s="9" t="s">
        <v>279</v>
      </c>
      <c r="M312" s="36" t="s">
        <v>300</v>
      </c>
      <c r="N312" s="40"/>
      <c r="O312" s="3">
        <f t="shared" si="167"/>
        <v>4312560</v>
      </c>
      <c r="P312" s="9">
        <v>3409138.65</v>
      </c>
      <c r="Q312" s="9">
        <v>5302095</v>
      </c>
      <c r="R312" s="9">
        <v>5202095</v>
      </c>
      <c r="S312" s="9">
        <v>5202095</v>
      </c>
      <c r="T312" s="9">
        <v>5401093</v>
      </c>
      <c r="U312" s="9">
        <v>5402092</v>
      </c>
      <c r="V312" s="9">
        <v>5401093</v>
      </c>
      <c r="W312" s="9">
        <v>9</v>
      </c>
      <c r="X312" s="9">
        <v>9</v>
      </c>
      <c r="Y312" s="9">
        <v>9</v>
      </c>
      <c r="Z312" s="9">
        <v>9</v>
      </c>
      <c r="AA312" s="9">
        <v>9</v>
      </c>
      <c r="AB312" s="9">
        <v>9</v>
      </c>
      <c r="AC312" s="9">
        <f t="shared" si="188"/>
        <v>650</v>
      </c>
      <c r="AD312" s="9">
        <f t="shared" si="189"/>
        <v>703</v>
      </c>
      <c r="AE312" s="9">
        <f t="shared" si="190"/>
        <v>703</v>
      </c>
      <c r="AF312" s="9">
        <f t="shared" si="191"/>
        <v>703</v>
      </c>
      <c r="AG312" s="9">
        <f t="shared" si="192"/>
        <v>703</v>
      </c>
      <c r="AH312" s="9">
        <f t="shared" si="193"/>
        <v>703</v>
      </c>
      <c r="AI312" s="7">
        <f t="shared" si="204"/>
        <v>568189.77500000002</v>
      </c>
      <c r="AJ312" s="7">
        <f t="shared" si="205"/>
        <v>568189.77500000002</v>
      </c>
      <c r="AK312" s="7">
        <f t="shared" si="205"/>
        <v>568189.77500000002</v>
      </c>
      <c r="AL312" s="7">
        <f t="shared" si="205"/>
        <v>568189.77500000002</v>
      </c>
      <c r="AM312" s="7">
        <f t="shared" si="205"/>
        <v>568189.77500000002</v>
      </c>
      <c r="AN312" s="7">
        <f t="shared" si="205"/>
        <v>568189.77500000002</v>
      </c>
      <c r="AO312" s="16"/>
      <c r="AP312" s="7"/>
      <c r="AQ312" s="9">
        <v>7</v>
      </c>
      <c r="AR312" s="9">
        <f t="shared" si="194"/>
        <v>731</v>
      </c>
      <c r="AS312" s="7">
        <f t="shared" si="203"/>
        <v>254</v>
      </c>
      <c r="AT312" s="7"/>
      <c r="AU312" s="16"/>
      <c r="AV312" s="7"/>
      <c r="AW312" s="7"/>
      <c r="AX312" s="7"/>
      <c r="AZ312" s="7"/>
      <c r="BA312" s="9">
        <f t="shared" si="169"/>
        <v>407437.23999999918</v>
      </c>
      <c r="BC312" s="5">
        <f t="shared" si="195"/>
        <v>608</v>
      </c>
      <c r="BR312" s="5">
        <v>5301091</v>
      </c>
      <c r="BS312" s="18">
        <f>[1]monsters!$N312</f>
        <v>162.24</v>
      </c>
      <c r="BT312" s="18">
        <f>[1]monsters!$O312</f>
        <v>16.22</v>
      </c>
      <c r="BU312" s="18">
        <f>[1]monsters!$P312</f>
        <v>2773.33</v>
      </c>
      <c r="BV312" s="18">
        <f>[1]monsters!$Q312</f>
        <v>277.33</v>
      </c>
      <c r="BW312" s="18">
        <f>[1]monsters!$R312</f>
        <v>32.450000000000003</v>
      </c>
      <c r="BX312" s="18">
        <f>[1]monsters!$S312</f>
        <v>3.24</v>
      </c>
      <c r="BY312" s="18">
        <f>[1]monsters!$K312</f>
        <v>1.3</v>
      </c>
      <c r="BZ312" s="5">
        <f>[1]monsters!$D312</f>
        <v>3</v>
      </c>
      <c r="CA312" s="5">
        <f t="shared" si="196"/>
        <v>0.1</v>
      </c>
      <c r="CB312" s="5">
        <f t="shared" si="197"/>
        <v>246.69491447811447</v>
      </c>
      <c r="CC312" s="5">
        <f t="shared" si="198"/>
        <v>24.669491447811449</v>
      </c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>
        <v>0</v>
      </c>
      <c r="CR312" s="3" t="b">
        <f t="shared" si="170"/>
        <v>1</v>
      </c>
      <c r="CS312" s="3" t="b">
        <f t="shared" si="171"/>
        <v>1</v>
      </c>
      <c r="CT312" s="3" t="b">
        <f t="shared" si="172"/>
        <v>1</v>
      </c>
      <c r="CU312" s="3" t="b">
        <f t="shared" si="173"/>
        <v>1</v>
      </c>
      <c r="CV312" s="3" t="b">
        <f t="shared" si="174"/>
        <v>1</v>
      </c>
      <c r="CW312" s="3" t="b">
        <f t="shared" si="175"/>
        <v>1</v>
      </c>
      <c r="CX312" s="9" t="str">
        <f t="shared" si="176"/>
        <v>5302095</v>
      </c>
      <c r="CY312" s="9" t="str">
        <f t="shared" si="177"/>
        <v>5202095</v>
      </c>
      <c r="CZ312" s="9" t="str">
        <f t="shared" si="178"/>
        <v>5202095</v>
      </c>
      <c r="DA312" s="9" t="str">
        <f t="shared" si="179"/>
        <v>5401093</v>
      </c>
      <c r="DB312" s="9" t="str">
        <f t="shared" si="180"/>
        <v>5402092</v>
      </c>
      <c r="DC312" s="9" t="str">
        <f t="shared" si="181"/>
        <v>5401093</v>
      </c>
      <c r="DD312" s="9">
        <v>9</v>
      </c>
      <c r="DE312" s="9">
        <v>9</v>
      </c>
      <c r="DF312" s="9">
        <v>9</v>
      </c>
      <c r="DG312" s="9">
        <v>9</v>
      </c>
      <c r="DH312" s="9">
        <v>9</v>
      </c>
      <c r="DI312" s="9">
        <v>9</v>
      </c>
      <c r="DJ312" s="9">
        <v>5</v>
      </c>
      <c r="DK312" s="9">
        <v>5</v>
      </c>
      <c r="DL312" s="9">
        <v>5</v>
      </c>
      <c r="DM312" s="9">
        <v>5</v>
      </c>
      <c r="DN312" s="9">
        <v>5</v>
      </c>
      <c r="DO312" s="9">
        <v>5</v>
      </c>
      <c r="DP312" s="25" t="s">
        <v>221</v>
      </c>
      <c r="DQ312" s="25" t="s">
        <v>213</v>
      </c>
      <c r="DR312" s="25" t="s">
        <v>213</v>
      </c>
      <c r="DS312" s="25" t="s">
        <v>211</v>
      </c>
      <c r="DT312" s="25" t="s">
        <v>203</v>
      </c>
      <c r="DU312" s="25" t="s">
        <v>211</v>
      </c>
      <c r="DV312" s="25">
        <f t="shared" si="182"/>
        <v>1</v>
      </c>
      <c r="DW312" s="25">
        <f t="shared" si="183"/>
        <v>1</v>
      </c>
      <c r="DX312" s="25">
        <f t="shared" si="184"/>
        <v>1</v>
      </c>
      <c r="DY312" s="25">
        <f t="shared" si="185"/>
        <v>2</v>
      </c>
      <c r="DZ312" s="25">
        <f t="shared" si="186"/>
        <v>2</v>
      </c>
      <c r="EA312" s="3">
        <f t="shared" si="187"/>
        <v>2</v>
      </c>
      <c r="EB312" s="44"/>
      <c r="EC312" s="9">
        <v>5300105</v>
      </c>
      <c r="ED312" s="34" t="s">
        <v>212</v>
      </c>
      <c r="EE312" s="8">
        <v>1</v>
      </c>
    </row>
    <row r="313" spans="1:135" ht="13.5" customHeight="1">
      <c r="A313" s="9">
        <v>310</v>
      </c>
      <c r="B313" s="9">
        <v>1</v>
      </c>
      <c r="C313" s="9">
        <v>2001</v>
      </c>
      <c r="D313" s="9">
        <f t="shared" si="202"/>
        <v>4331330</v>
      </c>
      <c r="E313" s="9" t="str">
        <f t="shared" si="199"/>
        <v>5202093,5202093,5202093,5400095,5501095,5400095</v>
      </c>
      <c r="F313" s="9" t="str">
        <f t="shared" si="200"/>
        <v>9,9,9,9,9,9</v>
      </c>
      <c r="G313" s="9" t="str">
        <f t="shared" si="201"/>
        <v>652,705,705,705,705,705</v>
      </c>
      <c r="H313" s="9">
        <v>164</v>
      </c>
      <c r="I313" s="9" t="s">
        <v>278</v>
      </c>
      <c r="J313" s="9" t="s">
        <v>279</v>
      </c>
      <c r="K313" s="9" t="s">
        <v>279</v>
      </c>
      <c r="L313" s="9" t="s">
        <v>279</v>
      </c>
      <c r="M313" s="36" t="s">
        <v>300</v>
      </c>
      <c r="O313" s="3">
        <f t="shared" si="167"/>
        <v>4331330</v>
      </c>
      <c r="P313" s="9">
        <v>3423976.09</v>
      </c>
      <c r="Q313" s="9">
        <v>5202093</v>
      </c>
      <c r="R313" s="9">
        <v>5202093</v>
      </c>
      <c r="S313" s="9">
        <v>5202093</v>
      </c>
      <c r="T313" s="9">
        <v>5400095</v>
      </c>
      <c r="U313" s="9">
        <v>5501095</v>
      </c>
      <c r="V313" s="9">
        <v>5400095</v>
      </c>
      <c r="W313" s="9">
        <v>9</v>
      </c>
      <c r="X313" s="9">
        <v>9</v>
      </c>
      <c r="Y313" s="9">
        <v>9</v>
      </c>
      <c r="Z313" s="9">
        <v>9</v>
      </c>
      <c r="AA313" s="9">
        <v>9</v>
      </c>
      <c r="AB313" s="9">
        <v>9</v>
      </c>
      <c r="AC313" s="9">
        <f t="shared" si="188"/>
        <v>652</v>
      </c>
      <c r="AD313" s="9">
        <f t="shared" si="189"/>
        <v>705</v>
      </c>
      <c r="AE313" s="9">
        <f t="shared" si="190"/>
        <v>705</v>
      </c>
      <c r="AF313" s="9">
        <f t="shared" si="191"/>
        <v>705</v>
      </c>
      <c r="AG313" s="9">
        <f t="shared" si="192"/>
        <v>705</v>
      </c>
      <c r="AH313" s="9">
        <f t="shared" si="193"/>
        <v>705</v>
      </c>
      <c r="AI313" s="7">
        <f t="shared" si="204"/>
        <v>570662.68166666664</v>
      </c>
      <c r="AJ313" s="7">
        <f t="shared" si="205"/>
        <v>570662.68166666664</v>
      </c>
      <c r="AK313" s="7">
        <f t="shared" si="205"/>
        <v>570662.68166666664</v>
      </c>
      <c r="AL313" s="7">
        <f t="shared" si="205"/>
        <v>570662.68166666664</v>
      </c>
      <c r="AM313" s="7">
        <f t="shared" si="205"/>
        <v>570662.68166666664</v>
      </c>
      <c r="AN313" s="7">
        <f t="shared" si="205"/>
        <v>570662.68166666664</v>
      </c>
      <c r="AO313" s="16"/>
      <c r="AP313" s="7"/>
      <c r="AQ313" s="9">
        <v>7</v>
      </c>
      <c r="AR313" s="9">
        <f t="shared" si="194"/>
        <v>733</v>
      </c>
      <c r="AS313" s="7">
        <f t="shared" si="203"/>
        <v>255</v>
      </c>
      <c r="AT313" s="7"/>
      <c r="AU313" s="16"/>
      <c r="AV313" s="7"/>
      <c r="AW313" s="7"/>
      <c r="AX313" s="7"/>
      <c r="AZ313" s="7"/>
      <c r="BA313" s="9">
        <f t="shared" si="169"/>
        <v>409827.59999999916</v>
      </c>
      <c r="BC313" s="5">
        <f t="shared" si="195"/>
        <v>609</v>
      </c>
      <c r="BR313" s="5">
        <v>5401091</v>
      </c>
      <c r="BS313" s="18">
        <f>[1]monsters!$N313</f>
        <v>174.72</v>
      </c>
      <c r="BT313" s="18">
        <f>[1]monsters!$O313</f>
        <v>17.47</v>
      </c>
      <c r="BU313" s="18">
        <f>[1]monsters!$P313</f>
        <v>2773.33</v>
      </c>
      <c r="BV313" s="18">
        <f>[1]monsters!$Q313</f>
        <v>277.33</v>
      </c>
      <c r="BW313" s="18">
        <f>[1]monsters!$R313</f>
        <v>34.94</v>
      </c>
      <c r="BX313" s="18">
        <f>[1]monsters!$S313</f>
        <v>3.49</v>
      </c>
      <c r="BY313" s="18">
        <f>[1]monsters!$K313</f>
        <v>1.4</v>
      </c>
      <c r="BZ313" s="5">
        <f>[1]monsters!$D313</f>
        <v>3</v>
      </c>
      <c r="CA313" s="5">
        <f t="shared" si="196"/>
        <v>0.1</v>
      </c>
      <c r="CB313" s="5">
        <f t="shared" si="197"/>
        <v>258.4885144781145</v>
      </c>
      <c r="CC313" s="5">
        <f t="shared" si="198"/>
        <v>25.848851447811452</v>
      </c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>
        <v>1</v>
      </c>
      <c r="CR313" s="3" t="b">
        <f t="shared" si="170"/>
        <v>1</v>
      </c>
      <c r="CS313" s="3" t="b">
        <f t="shared" si="171"/>
        <v>1</v>
      </c>
      <c r="CT313" s="3" t="b">
        <f t="shared" si="172"/>
        <v>1</v>
      </c>
      <c r="CU313" s="3" t="b">
        <f t="shared" si="173"/>
        <v>1</v>
      </c>
      <c r="CV313" s="3" t="b">
        <f t="shared" si="174"/>
        <v>1</v>
      </c>
      <c r="CW313" s="3" t="b">
        <f t="shared" si="175"/>
        <v>1</v>
      </c>
      <c r="CX313" s="9" t="str">
        <f t="shared" si="176"/>
        <v>5202093</v>
      </c>
      <c r="CY313" s="9" t="str">
        <f t="shared" si="177"/>
        <v>5202093</v>
      </c>
      <c r="CZ313" s="9" t="str">
        <f t="shared" si="178"/>
        <v>5202093</v>
      </c>
      <c r="DA313" s="9" t="str">
        <f t="shared" si="179"/>
        <v>5400095</v>
      </c>
      <c r="DB313" s="9" t="str">
        <f t="shared" si="180"/>
        <v>5501095</v>
      </c>
      <c r="DC313" s="9" t="str">
        <f t="shared" si="181"/>
        <v>5400095</v>
      </c>
      <c r="DD313" s="9">
        <v>9</v>
      </c>
      <c r="DE313" s="9">
        <v>9</v>
      </c>
      <c r="DF313" s="9">
        <v>9</v>
      </c>
      <c r="DG313" s="9">
        <v>9</v>
      </c>
      <c r="DH313" s="9">
        <v>9</v>
      </c>
      <c r="DI313" s="9">
        <v>9</v>
      </c>
      <c r="DJ313" s="9">
        <v>5</v>
      </c>
      <c r="DK313" s="9">
        <v>5</v>
      </c>
      <c r="DL313" s="9">
        <v>5</v>
      </c>
      <c r="DM313" s="9">
        <v>5</v>
      </c>
      <c r="DN313" s="9">
        <v>5</v>
      </c>
      <c r="DO313" s="9">
        <v>5</v>
      </c>
      <c r="DP313" s="25" t="s">
        <v>208</v>
      </c>
      <c r="DQ313" s="25" t="s">
        <v>208</v>
      </c>
      <c r="DR313" s="25" t="s">
        <v>208</v>
      </c>
      <c r="DS313" s="25" t="s">
        <v>210</v>
      </c>
      <c r="DT313" s="25" t="s">
        <v>209</v>
      </c>
      <c r="DU313" s="25" t="s">
        <v>210</v>
      </c>
      <c r="DV313" s="25">
        <f t="shared" si="182"/>
        <v>1</v>
      </c>
      <c r="DW313" s="25">
        <f t="shared" si="183"/>
        <v>1</v>
      </c>
      <c r="DX313" s="25">
        <f t="shared" si="184"/>
        <v>1</v>
      </c>
      <c r="DY313" s="25">
        <f t="shared" si="185"/>
        <v>2</v>
      </c>
      <c r="DZ313" s="25">
        <f t="shared" si="186"/>
        <v>2</v>
      </c>
      <c r="EA313" s="3">
        <f t="shared" si="187"/>
        <v>2</v>
      </c>
      <c r="EB313" s="44"/>
      <c r="EC313" s="9">
        <v>5302105</v>
      </c>
      <c r="ED313" s="34" t="s">
        <v>221</v>
      </c>
      <c r="EE313" s="8">
        <v>1</v>
      </c>
    </row>
    <row r="314" spans="1:135" ht="13.5" customHeight="1">
      <c r="A314" s="9">
        <v>311</v>
      </c>
      <c r="B314" s="9">
        <v>1</v>
      </c>
      <c r="C314" s="9">
        <v>2001</v>
      </c>
      <c r="D314" s="9">
        <f t="shared" si="202"/>
        <v>4350137</v>
      </c>
      <c r="E314" s="9" t="str">
        <f t="shared" si="199"/>
        <v>5201091,5201092,5200091,5601091,5500093,5501094</v>
      </c>
      <c r="F314" s="9" t="str">
        <f t="shared" si="200"/>
        <v>9,9,9,9,9,9</v>
      </c>
      <c r="G314" s="9" t="str">
        <f t="shared" si="201"/>
        <v>653,707,707,707,707,707</v>
      </c>
      <c r="H314" s="9">
        <v>164</v>
      </c>
      <c r="I314" s="9" t="s">
        <v>278</v>
      </c>
      <c r="J314" s="9" t="s">
        <v>279</v>
      </c>
      <c r="K314" s="9" t="s">
        <v>279</v>
      </c>
      <c r="L314" s="9" t="s">
        <v>279</v>
      </c>
      <c r="M314" s="36" t="s">
        <v>300</v>
      </c>
      <c r="N314" s="40"/>
      <c r="O314" s="3">
        <f t="shared" si="167"/>
        <v>4350137</v>
      </c>
      <c r="P314" s="9">
        <v>3438843.38</v>
      </c>
      <c r="Q314" s="9">
        <v>5201091</v>
      </c>
      <c r="R314" s="9">
        <v>5201092</v>
      </c>
      <c r="S314" s="9">
        <v>5200091</v>
      </c>
      <c r="T314" s="9">
        <v>5601091</v>
      </c>
      <c r="U314" s="9">
        <v>5500093</v>
      </c>
      <c r="V314" s="9">
        <v>5501094</v>
      </c>
      <c r="W314" s="9">
        <v>9</v>
      </c>
      <c r="X314" s="9">
        <v>9</v>
      </c>
      <c r="Y314" s="9">
        <v>9</v>
      </c>
      <c r="Z314" s="9">
        <v>9</v>
      </c>
      <c r="AA314" s="9">
        <v>9</v>
      </c>
      <c r="AB314" s="9">
        <v>9</v>
      </c>
      <c r="AC314" s="9">
        <f t="shared" si="188"/>
        <v>653</v>
      </c>
      <c r="AD314" s="9">
        <f t="shared" si="189"/>
        <v>707</v>
      </c>
      <c r="AE314" s="9">
        <f t="shared" si="190"/>
        <v>707</v>
      </c>
      <c r="AF314" s="9">
        <f t="shared" si="191"/>
        <v>707</v>
      </c>
      <c r="AG314" s="9">
        <f t="shared" si="192"/>
        <v>707</v>
      </c>
      <c r="AH314" s="9">
        <f t="shared" si="193"/>
        <v>707</v>
      </c>
      <c r="AI314" s="7">
        <f t="shared" si="204"/>
        <v>573140.56333333335</v>
      </c>
      <c r="AJ314" s="7">
        <f t="shared" si="205"/>
        <v>573140.56333333335</v>
      </c>
      <c r="AK314" s="7">
        <f t="shared" si="205"/>
        <v>573140.56333333335</v>
      </c>
      <c r="AL314" s="7">
        <f t="shared" si="205"/>
        <v>573140.56333333335</v>
      </c>
      <c r="AM314" s="7">
        <f t="shared" si="205"/>
        <v>573140.56333333335</v>
      </c>
      <c r="AN314" s="7">
        <f t="shared" si="205"/>
        <v>573140.56333333335</v>
      </c>
      <c r="AO314" s="16"/>
      <c r="AP314" s="7"/>
      <c r="AQ314" s="9">
        <v>7</v>
      </c>
      <c r="AR314" s="9">
        <f t="shared" si="194"/>
        <v>735</v>
      </c>
      <c r="AS314" s="7">
        <f t="shared" si="203"/>
        <v>255</v>
      </c>
      <c r="AT314" s="7"/>
      <c r="AU314" s="16"/>
      <c r="AV314" s="7"/>
      <c r="AW314" s="7"/>
      <c r="AX314" s="7"/>
      <c r="AZ314" s="7"/>
      <c r="BA314" s="9">
        <f t="shared" si="169"/>
        <v>412217.95999999915</v>
      </c>
      <c r="BC314" s="5">
        <f t="shared" si="195"/>
        <v>610</v>
      </c>
      <c r="BR314" s="5">
        <v>5402091</v>
      </c>
      <c r="BS314" s="18">
        <f>[1]monsters!$N314</f>
        <v>232.96</v>
      </c>
      <c r="BT314" s="18">
        <f>[1]monsters!$O314</f>
        <v>23.3</v>
      </c>
      <c r="BU314" s="18">
        <f>[1]monsters!$P314</f>
        <v>2080</v>
      </c>
      <c r="BV314" s="18">
        <f>[1]monsters!$Q314</f>
        <v>208</v>
      </c>
      <c r="BW314" s="18">
        <f>[1]monsters!$R314</f>
        <v>33.28</v>
      </c>
      <c r="BX314" s="18">
        <f>[1]monsters!$S314</f>
        <v>3.33</v>
      </c>
      <c r="BY314" s="18">
        <f>[1]monsters!$K314</f>
        <v>1.4</v>
      </c>
      <c r="BZ314" s="5">
        <f>[1]monsters!$D314</f>
        <v>4</v>
      </c>
      <c r="CA314" s="5">
        <f t="shared" si="196"/>
        <v>0.1</v>
      </c>
      <c r="CB314" s="5">
        <f t="shared" si="197"/>
        <v>290.18087003367009</v>
      </c>
      <c r="CC314" s="5">
        <f t="shared" si="198"/>
        <v>29.018087003367011</v>
      </c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>
        <v>0</v>
      </c>
      <c r="CR314" s="3" t="b">
        <f t="shared" si="170"/>
        <v>1</v>
      </c>
      <c r="CS314" s="3" t="b">
        <f t="shared" si="171"/>
        <v>1</v>
      </c>
      <c r="CT314" s="3" t="b">
        <f t="shared" si="172"/>
        <v>1</v>
      </c>
      <c r="CU314" s="3" t="b">
        <f t="shared" si="173"/>
        <v>1</v>
      </c>
      <c r="CV314" s="3" t="b">
        <f t="shared" si="174"/>
        <v>1</v>
      </c>
      <c r="CW314" s="3" t="b">
        <f t="shared" si="175"/>
        <v>1</v>
      </c>
      <c r="CX314" s="9" t="str">
        <f t="shared" si="176"/>
        <v>5201091</v>
      </c>
      <c r="CY314" s="9" t="str">
        <f t="shared" si="177"/>
        <v>5201092</v>
      </c>
      <c r="CZ314" s="9" t="str">
        <f t="shared" si="178"/>
        <v>5200091</v>
      </c>
      <c r="DA314" s="9" t="str">
        <f t="shared" si="179"/>
        <v>5601091</v>
      </c>
      <c r="DB314" s="9" t="str">
        <f t="shared" si="180"/>
        <v>5500093</v>
      </c>
      <c r="DC314" s="9" t="str">
        <f t="shared" si="181"/>
        <v>5501094</v>
      </c>
      <c r="DD314" s="9">
        <v>9</v>
      </c>
      <c r="DE314" s="9">
        <v>9</v>
      </c>
      <c r="DF314" s="9">
        <v>9</v>
      </c>
      <c r="DG314" s="9">
        <v>9</v>
      </c>
      <c r="DH314" s="9">
        <v>9</v>
      </c>
      <c r="DI314" s="9">
        <v>9</v>
      </c>
      <c r="DJ314" s="9">
        <v>5</v>
      </c>
      <c r="DK314" s="9">
        <v>5</v>
      </c>
      <c r="DL314" s="9">
        <v>5</v>
      </c>
      <c r="DM314" s="9">
        <v>5</v>
      </c>
      <c r="DN314" s="9">
        <v>5</v>
      </c>
      <c r="DO314" s="9">
        <v>5</v>
      </c>
      <c r="DP314" s="25" t="s">
        <v>195</v>
      </c>
      <c r="DQ314" s="25" t="s">
        <v>114</v>
      </c>
      <c r="DR314" s="25" t="s">
        <v>194</v>
      </c>
      <c r="DS314" s="25" t="s">
        <v>198</v>
      </c>
      <c r="DT314" s="25" t="s">
        <v>207</v>
      </c>
      <c r="DU314" s="25" t="s">
        <v>214</v>
      </c>
      <c r="DV314" s="25">
        <f t="shared" si="182"/>
        <v>1</v>
      </c>
      <c r="DW314" s="25">
        <f t="shared" si="183"/>
        <v>1</v>
      </c>
      <c r="DX314" s="25">
        <f t="shared" si="184"/>
        <v>1</v>
      </c>
      <c r="DY314" s="25">
        <f t="shared" si="185"/>
        <v>2</v>
      </c>
      <c r="DZ314" s="25">
        <f t="shared" si="186"/>
        <v>2</v>
      </c>
      <c r="EA314" s="3">
        <f t="shared" si="187"/>
        <v>2</v>
      </c>
      <c r="EB314" s="44"/>
      <c r="EC314" s="9">
        <v>5400105</v>
      </c>
      <c r="ED314" s="34" t="s">
        <v>210</v>
      </c>
      <c r="EE314" s="8">
        <v>2</v>
      </c>
    </row>
    <row r="315" spans="1:135" ht="13.5" customHeight="1">
      <c r="A315" s="9">
        <v>312</v>
      </c>
      <c r="B315" s="9">
        <v>1</v>
      </c>
      <c r="C315" s="9">
        <v>2001</v>
      </c>
      <c r="D315" s="9">
        <f t="shared" si="202"/>
        <v>4368984</v>
      </c>
      <c r="E315" s="9" t="str">
        <f t="shared" si="199"/>
        <v>5302095,5202095,5202095,5400095,5400095,5400095</v>
      </c>
      <c r="F315" s="9" t="str">
        <f t="shared" si="200"/>
        <v>9,9,9,9,9,9</v>
      </c>
      <c r="G315" s="9" t="str">
        <f t="shared" si="201"/>
        <v>655,708,708,708,708,708</v>
      </c>
      <c r="H315" s="9">
        <v>164</v>
      </c>
      <c r="I315" s="9" t="s">
        <v>278</v>
      </c>
      <c r="J315" s="9" t="s">
        <v>279</v>
      </c>
      <c r="K315" s="9" t="s">
        <v>279</v>
      </c>
      <c r="L315" s="9" t="s">
        <v>279</v>
      </c>
      <c r="M315" s="36" t="s">
        <v>300</v>
      </c>
      <c r="N315" s="40"/>
      <c r="O315" s="3">
        <f t="shared" si="167"/>
        <v>4368984</v>
      </c>
      <c r="P315" s="9">
        <v>3453742.51</v>
      </c>
      <c r="Q315" s="9">
        <v>5302095</v>
      </c>
      <c r="R315" s="9">
        <v>5202095</v>
      </c>
      <c r="S315" s="9">
        <v>5202095</v>
      </c>
      <c r="T315" s="9">
        <v>5400095</v>
      </c>
      <c r="U315" s="9">
        <v>5400095</v>
      </c>
      <c r="V315" s="9">
        <v>5400095</v>
      </c>
      <c r="W315" s="9">
        <v>9</v>
      </c>
      <c r="X315" s="9">
        <v>9</v>
      </c>
      <c r="Y315" s="9">
        <v>9</v>
      </c>
      <c r="Z315" s="9">
        <v>9</v>
      </c>
      <c r="AA315" s="9">
        <v>9</v>
      </c>
      <c r="AB315" s="9">
        <v>9</v>
      </c>
      <c r="AC315" s="9">
        <f t="shared" si="188"/>
        <v>655</v>
      </c>
      <c r="AD315" s="9">
        <f t="shared" si="189"/>
        <v>708</v>
      </c>
      <c r="AE315" s="9">
        <f t="shared" si="190"/>
        <v>708</v>
      </c>
      <c r="AF315" s="9">
        <f t="shared" si="191"/>
        <v>708</v>
      </c>
      <c r="AG315" s="9">
        <f t="shared" si="192"/>
        <v>708</v>
      </c>
      <c r="AH315" s="9">
        <f t="shared" si="193"/>
        <v>708</v>
      </c>
      <c r="AI315" s="7">
        <f t="shared" si="204"/>
        <v>575623.75166666659</v>
      </c>
      <c r="AJ315" s="7">
        <f t="shared" si="205"/>
        <v>575623.75166666659</v>
      </c>
      <c r="AK315" s="7">
        <f t="shared" si="205"/>
        <v>575623.75166666659</v>
      </c>
      <c r="AL315" s="7">
        <f t="shared" si="205"/>
        <v>575623.75166666659</v>
      </c>
      <c r="AM315" s="7">
        <f t="shared" si="205"/>
        <v>575623.75166666659</v>
      </c>
      <c r="AN315" s="7">
        <f t="shared" si="205"/>
        <v>575623.75166666659</v>
      </c>
      <c r="AO315" s="16"/>
      <c r="AP315" s="7"/>
      <c r="AQ315" s="9">
        <v>7</v>
      </c>
      <c r="AR315" s="9">
        <f t="shared" si="194"/>
        <v>736</v>
      </c>
      <c r="AS315" s="7">
        <f t="shared" si="203"/>
        <v>256</v>
      </c>
      <c r="AT315" s="7"/>
      <c r="AU315" s="16"/>
      <c r="AV315" s="7"/>
      <c r="AW315" s="7"/>
      <c r="AX315" s="7"/>
      <c r="AZ315" s="7"/>
      <c r="BA315" s="9">
        <f t="shared" si="169"/>
        <v>414608.31999999913</v>
      </c>
      <c r="BC315" s="5">
        <f t="shared" si="195"/>
        <v>612</v>
      </c>
      <c r="BR315" s="5">
        <v>5500091</v>
      </c>
      <c r="BS315" s="18">
        <f>[1]monsters!$N315</f>
        <v>310.61</v>
      </c>
      <c r="BT315" s="18">
        <f>[1]monsters!$O315</f>
        <v>31.06</v>
      </c>
      <c r="BU315" s="18">
        <f>[1]monsters!$P315</f>
        <v>1782.86</v>
      </c>
      <c r="BV315" s="18">
        <f>[1]monsters!$Q315</f>
        <v>178.29</v>
      </c>
      <c r="BW315" s="18">
        <f>[1]monsters!$R315</f>
        <v>38.83</v>
      </c>
      <c r="BX315" s="18">
        <f>[1]monsters!$S315</f>
        <v>3.88</v>
      </c>
      <c r="BY315" s="18">
        <f>[1]monsters!$K315</f>
        <v>1.6</v>
      </c>
      <c r="BZ315" s="5">
        <f>[1]monsters!$D315</f>
        <v>5</v>
      </c>
      <c r="CA315" s="5">
        <f t="shared" si="196"/>
        <v>0.1</v>
      </c>
      <c r="CB315" s="5">
        <f t="shared" si="197"/>
        <v>353.55540622895626</v>
      </c>
      <c r="CC315" s="5">
        <f t="shared" si="198"/>
        <v>35.355540622895624</v>
      </c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>
        <v>0</v>
      </c>
      <c r="CR315" s="3" t="b">
        <f t="shared" si="170"/>
        <v>1</v>
      </c>
      <c r="CS315" s="3" t="b">
        <f t="shared" si="171"/>
        <v>1</v>
      </c>
      <c r="CT315" s="3" t="b">
        <f t="shared" si="172"/>
        <v>1</v>
      </c>
      <c r="CU315" s="3" t="b">
        <f t="shared" si="173"/>
        <v>1</v>
      </c>
      <c r="CV315" s="3" t="b">
        <f t="shared" si="174"/>
        <v>1</v>
      </c>
      <c r="CW315" s="3" t="b">
        <f t="shared" si="175"/>
        <v>1</v>
      </c>
      <c r="CX315" s="9" t="str">
        <f t="shared" si="176"/>
        <v>5302095</v>
      </c>
      <c r="CY315" s="9" t="str">
        <f t="shared" si="177"/>
        <v>5202095</v>
      </c>
      <c r="CZ315" s="9" t="str">
        <f t="shared" si="178"/>
        <v>5202095</v>
      </c>
      <c r="DA315" s="9" t="str">
        <f t="shared" si="179"/>
        <v>5400095</v>
      </c>
      <c r="DB315" s="9" t="str">
        <f t="shared" si="180"/>
        <v>5400095</v>
      </c>
      <c r="DC315" s="9" t="str">
        <f t="shared" si="181"/>
        <v>5400095</v>
      </c>
      <c r="DD315" s="9">
        <v>9</v>
      </c>
      <c r="DE315" s="9">
        <v>9</v>
      </c>
      <c r="DF315" s="9">
        <v>9</v>
      </c>
      <c r="DG315" s="9">
        <v>9</v>
      </c>
      <c r="DH315" s="9">
        <v>9</v>
      </c>
      <c r="DI315" s="9">
        <v>9</v>
      </c>
      <c r="DJ315" s="9">
        <v>5</v>
      </c>
      <c r="DK315" s="9">
        <v>5</v>
      </c>
      <c r="DL315" s="9">
        <v>5</v>
      </c>
      <c r="DM315" s="9">
        <v>5</v>
      </c>
      <c r="DN315" s="9">
        <v>5</v>
      </c>
      <c r="DO315" s="9">
        <v>5</v>
      </c>
      <c r="DP315" s="25" t="s">
        <v>221</v>
      </c>
      <c r="DQ315" s="25" t="s">
        <v>213</v>
      </c>
      <c r="DR315" s="25" t="s">
        <v>213</v>
      </c>
      <c r="DS315" s="25" t="s">
        <v>210</v>
      </c>
      <c r="DT315" s="25" t="s">
        <v>210</v>
      </c>
      <c r="DU315" s="25" t="s">
        <v>210</v>
      </c>
      <c r="DV315" s="25">
        <f t="shared" si="182"/>
        <v>1</v>
      </c>
      <c r="DW315" s="25">
        <f t="shared" si="183"/>
        <v>1</v>
      </c>
      <c r="DX315" s="25">
        <f t="shared" si="184"/>
        <v>1</v>
      </c>
      <c r="DY315" s="25">
        <f t="shared" si="185"/>
        <v>2</v>
      </c>
      <c r="DZ315" s="25">
        <f t="shared" si="186"/>
        <v>2</v>
      </c>
      <c r="EA315" s="3">
        <f t="shared" si="187"/>
        <v>2</v>
      </c>
      <c r="EB315" s="44"/>
      <c r="EC315" s="9">
        <v>5501105</v>
      </c>
      <c r="ED315" s="37" t="s">
        <v>209</v>
      </c>
      <c r="EE315" s="8">
        <v>2</v>
      </c>
    </row>
    <row r="316" spans="1:135" ht="13.5" customHeight="1">
      <c r="A316" s="9">
        <v>313</v>
      </c>
      <c r="B316" s="9">
        <v>1</v>
      </c>
      <c r="C316" s="9">
        <v>2001</v>
      </c>
      <c r="D316" s="9">
        <f t="shared" si="202"/>
        <v>4387874</v>
      </c>
      <c r="E316" s="9" t="str">
        <f t="shared" si="199"/>
        <v>5301091,5301092,5301092,5500092,5501095,5502093</v>
      </c>
      <c r="F316" s="9" t="str">
        <f t="shared" si="200"/>
        <v>9,9,9,9,9,9</v>
      </c>
      <c r="G316" s="9" t="str">
        <f t="shared" si="201"/>
        <v>656,710,710,710,710,710</v>
      </c>
      <c r="H316" s="9">
        <v>165</v>
      </c>
      <c r="I316" s="9" t="s">
        <v>278</v>
      </c>
      <c r="J316" s="9" t="s">
        <v>279</v>
      </c>
      <c r="K316" s="9" t="s">
        <v>279</v>
      </c>
      <c r="L316" s="9" t="s">
        <v>279</v>
      </c>
      <c r="M316" s="36" t="s">
        <v>300</v>
      </c>
      <c r="N316" s="40"/>
      <c r="O316" s="3">
        <f t="shared" ref="O316:O379" si="206">ROUND(P316*1.1*1.15,0)</f>
        <v>4387874</v>
      </c>
      <c r="P316" s="9">
        <v>3468675.47</v>
      </c>
      <c r="Q316" s="9">
        <v>5301091</v>
      </c>
      <c r="R316" s="9">
        <v>5301092</v>
      </c>
      <c r="S316" s="9">
        <v>5301092</v>
      </c>
      <c r="T316" s="9">
        <v>5500092</v>
      </c>
      <c r="U316" s="9">
        <v>5501095</v>
      </c>
      <c r="V316" s="9">
        <v>5502093</v>
      </c>
      <c r="W316" s="9">
        <v>9</v>
      </c>
      <c r="X316" s="9">
        <v>9</v>
      </c>
      <c r="Y316" s="9">
        <v>9</v>
      </c>
      <c r="Z316" s="9">
        <v>9</v>
      </c>
      <c r="AA316" s="9">
        <v>9</v>
      </c>
      <c r="AB316" s="9">
        <v>9</v>
      </c>
      <c r="AC316" s="9">
        <f t="shared" si="188"/>
        <v>656</v>
      </c>
      <c r="AD316" s="9">
        <f t="shared" si="189"/>
        <v>710</v>
      </c>
      <c r="AE316" s="9">
        <f t="shared" si="190"/>
        <v>710</v>
      </c>
      <c r="AF316" s="9">
        <f t="shared" si="191"/>
        <v>710</v>
      </c>
      <c r="AG316" s="9">
        <f t="shared" si="192"/>
        <v>710</v>
      </c>
      <c r="AH316" s="9">
        <f t="shared" si="193"/>
        <v>710</v>
      </c>
      <c r="AI316" s="7">
        <f t="shared" si="204"/>
        <v>578112.57833333337</v>
      </c>
      <c r="AJ316" s="7">
        <f t="shared" si="205"/>
        <v>578112.57833333337</v>
      </c>
      <c r="AK316" s="7">
        <f t="shared" si="205"/>
        <v>578112.57833333337</v>
      </c>
      <c r="AL316" s="7">
        <f t="shared" si="205"/>
        <v>578112.57833333337</v>
      </c>
      <c r="AM316" s="7">
        <f t="shared" si="205"/>
        <v>578112.57833333337</v>
      </c>
      <c r="AN316" s="7">
        <f t="shared" si="205"/>
        <v>578112.57833333337</v>
      </c>
      <c r="AO316" s="16"/>
      <c r="AP316" s="7"/>
      <c r="AQ316" s="9">
        <v>7</v>
      </c>
      <c r="AR316" s="9">
        <f t="shared" si="194"/>
        <v>738</v>
      </c>
      <c r="AS316" s="7">
        <f t="shared" si="203"/>
        <v>256</v>
      </c>
      <c r="AT316" s="7"/>
      <c r="AU316" s="16"/>
      <c r="AV316" s="7"/>
      <c r="AW316" s="7"/>
      <c r="AX316" s="7"/>
      <c r="AZ316" s="7"/>
      <c r="BA316" s="9">
        <f t="shared" si="169"/>
        <v>416998.67999999912</v>
      </c>
      <c r="BC316" s="5">
        <f t="shared" si="195"/>
        <v>613</v>
      </c>
      <c r="BR316" s="5">
        <v>5501091</v>
      </c>
      <c r="BS316" s="18">
        <f>[1]monsters!$N316</f>
        <v>224</v>
      </c>
      <c r="BT316" s="18">
        <f>[1]monsters!$O316</f>
        <v>22.4</v>
      </c>
      <c r="BU316" s="18">
        <f>[1]monsters!$P316</f>
        <v>2688</v>
      </c>
      <c r="BV316" s="18">
        <f>[1]monsters!$Q316</f>
        <v>268.8</v>
      </c>
      <c r="BW316" s="18">
        <f>[1]monsters!$R316</f>
        <v>56</v>
      </c>
      <c r="BX316" s="18">
        <f>[1]monsters!$S316</f>
        <v>5.6</v>
      </c>
      <c r="BY316" s="18">
        <f>[1]monsters!$K316</f>
        <v>1.5</v>
      </c>
      <c r="BZ316" s="5">
        <f>[1]monsters!$D316</f>
        <v>2</v>
      </c>
      <c r="CA316" s="5">
        <f t="shared" si="196"/>
        <v>0.1</v>
      </c>
      <c r="CB316" s="5">
        <f t="shared" si="197"/>
        <v>302.18505050505053</v>
      </c>
      <c r="CC316" s="5">
        <f t="shared" si="198"/>
        <v>30.218505050505055</v>
      </c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>
        <v>0</v>
      </c>
      <c r="CR316" s="3" t="b">
        <f t="shared" si="170"/>
        <v>1</v>
      </c>
      <c r="CS316" s="3" t="b">
        <f t="shared" si="171"/>
        <v>1</v>
      </c>
      <c r="CT316" s="3" t="b">
        <f t="shared" si="172"/>
        <v>1</v>
      </c>
      <c r="CU316" s="3" t="b">
        <f t="shared" si="173"/>
        <v>1</v>
      </c>
      <c r="CV316" s="3" t="b">
        <f t="shared" si="174"/>
        <v>1</v>
      </c>
      <c r="CW316" s="3" t="b">
        <f t="shared" si="175"/>
        <v>1</v>
      </c>
      <c r="CX316" s="9" t="str">
        <f t="shared" si="176"/>
        <v>5301091</v>
      </c>
      <c r="CY316" s="9" t="str">
        <f t="shared" si="177"/>
        <v>5301092</v>
      </c>
      <c r="CZ316" s="9" t="str">
        <f t="shared" si="178"/>
        <v>5301092</v>
      </c>
      <c r="DA316" s="9" t="str">
        <f t="shared" si="179"/>
        <v>5500092</v>
      </c>
      <c r="DB316" s="9" t="str">
        <f t="shared" si="180"/>
        <v>5501095</v>
      </c>
      <c r="DC316" s="9" t="str">
        <f t="shared" si="181"/>
        <v>5502093</v>
      </c>
      <c r="DD316" s="9">
        <v>9</v>
      </c>
      <c r="DE316" s="9">
        <v>9</v>
      </c>
      <c r="DF316" s="9">
        <v>9</v>
      </c>
      <c r="DG316" s="9">
        <v>9</v>
      </c>
      <c r="DH316" s="9">
        <v>9</v>
      </c>
      <c r="DI316" s="9">
        <v>9</v>
      </c>
      <c r="DJ316" s="9">
        <v>5</v>
      </c>
      <c r="DK316" s="9">
        <v>5</v>
      </c>
      <c r="DL316" s="9">
        <v>5</v>
      </c>
      <c r="DM316" s="9">
        <v>5</v>
      </c>
      <c r="DN316" s="9">
        <v>5</v>
      </c>
      <c r="DO316" s="9">
        <v>5</v>
      </c>
      <c r="DP316" s="25" t="s">
        <v>107</v>
      </c>
      <c r="DQ316" s="25" t="s">
        <v>201</v>
      </c>
      <c r="DR316" s="25" t="s">
        <v>201</v>
      </c>
      <c r="DS316" s="25" t="s">
        <v>109</v>
      </c>
      <c r="DT316" s="25" t="s">
        <v>209</v>
      </c>
      <c r="DU316" s="25" t="s">
        <v>215</v>
      </c>
      <c r="DV316" s="25">
        <f t="shared" si="182"/>
        <v>1</v>
      </c>
      <c r="DW316" s="25">
        <f t="shared" si="183"/>
        <v>1</v>
      </c>
      <c r="DX316" s="25">
        <f t="shared" si="184"/>
        <v>1</v>
      </c>
      <c r="DY316" s="25">
        <f t="shared" si="185"/>
        <v>2</v>
      </c>
      <c r="DZ316" s="25">
        <f t="shared" si="186"/>
        <v>2</v>
      </c>
      <c r="EA316" s="3">
        <f t="shared" si="187"/>
        <v>2</v>
      </c>
      <c r="EB316" s="44"/>
      <c r="EC316" s="9">
        <v>5200111</v>
      </c>
      <c r="ED316" s="34" t="s">
        <v>194</v>
      </c>
      <c r="EE316" s="8">
        <v>1</v>
      </c>
    </row>
    <row r="317" spans="1:135" ht="13.5" customHeight="1">
      <c r="A317" s="9">
        <v>314</v>
      </c>
      <c r="B317" s="9">
        <v>1</v>
      </c>
      <c r="C317" s="9">
        <v>2001</v>
      </c>
      <c r="D317" s="9">
        <f t="shared" si="202"/>
        <v>4406805</v>
      </c>
      <c r="E317" s="9" t="str">
        <f t="shared" si="199"/>
        <v>5201093,5200093,5301091,5501094,5500093,5501094</v>
      </c>
      <c r="F317" s="9" t="str">
        <f t="shared" si="200"/>
        <v>9,9,9,9,9,9</v>
      </c>
      <c r="G317" s="9" t="str">
        <f t="shared" si="201"/>
        <v>658,711,711,711,711,711</v>
      </c>
      <c r="H317" s="9">
        <v>165</v>
      </c>
      <c r="I317" s="9" t="s">
        <v>278</v>
      </c>
      <c r="J317" s="9" t="s">
        <v>279</v>
      </c>
      <c r="K317" s="9" t="s">
        <v>279</v>
      </c>
      <c r="L317" s="9" t="s">
        <v>279</v>
      </c>
      <c r="M317" s="36" t="s">
        <v>300</v>
      </c>
      <c r="N317" s="40"/>
      <c r="O317" s="3">
        <f t="shared" si="206"/>
        <v>4406805</v>
      </c>
      <c r="P317" s="9">
        <v>3483640.27</v>
      </c>
      <c r="Q317" s="9">
        <v>5201093</v>
      </c>
      <c r="R317" s="9">
        <v>5200093</v>
      </c>
      <c r="S317" s="9">
        <v>5301091</v>
      </c>
      <c r="T317" s="9">
        <v>5501094</v>
      </c>
      <c r="U317" s="9">
        <v>5500093</v>
      </c>
      <c r="V317" s="9">
        <v>5501094</v>
      </c>
      <c r="W317" s="9">
        <v>9</v>
      </c>
      <c r="X317" s="9">
        <v>9</v>
      </c>
      <c r="Y317" s="9">
        <v>9</v>
      </c>
      <c r="Z317" s="9">
        <v>9</v>
      </c>
      <c r="AA317" s="9">
        <v>9</v>
      </c>
      <c r="AB317" s="9">
        <v>9</v>
      </c>
      <c r="AC317" s="9">
        <f t="shared" si="188"/>
        <v>658</v>
      </c>
      <c r="AD317" s="9">
        <f t="shared" si="189"/>
        <v>711</v>
      </c>
      <c r="AE317" s="9">
        <f t="shared" si="190"/>
        <v>711</v>
      </c>
      <c r="AF317" s="9">
        <f t="shared" si="191"/>
        <v>711</v>
      </c>
      <c r="AG317" s="9">
        <f t="shared" si="192"/>
        <v>711</v>
      </c>
      <c r="AH317" s="9">
        <f t="shared" si="193"/>
        <v>711</v>
      </c>
      <c r="AI317" s="7">
        <f t="shared" si="204"/>
        <v>580606.71166666667</v>
      </c>
      <c r="AJ317" s="7">
        <f t="shared" si="205"/>
        <v>580606.71166666667</v>
      </c>
      <c r="AK317" s="7">
        <f t="shared" si="205"/>
        <v>580606.71166666667</v>
      </c>
      <c r="AL317" s="7">
        <f t="shared" si="205"/>
        <v>580606.71166666667</v>
      </c>
      <c r="AM317" s="7">
        <f t="shared" si="205"/>
        <v>580606.71166666667</v>
      </c>
      <c r="AN317" s="7">
        <f t="shared" si="205"/>
        <v>580606.71166666667</v>
      </c>
      <c r="AO317" s="16"/>
      <c r="AP317" s="7"/>
      <c r="AQ317" s="9">
        <v>7</v>
      </c>
      <c r="AR317" s="9">
        <f t="shared" si="194"/>
        <v>739</v>
      </c>
      <c r="AS317" s="7">
        <f t="shared" si="203"/>
        <v>257</v>
      </c>
      <c r="AT317" s="7"/>
      <c r="AU317" s="16"/>
      <c r="AV317" s="7"/>
      <c r="AW317" s="7"/>
      <c r="AX317" s="7"/>
      <c r="AZ317" s="7"/>
      <c r="BA317" s="9">
        <f t="shared" si="169"/>
        <v>419389.03999999911</v>
      </c>
      <c r="BC317" s="5">
        <f t="shared" si="195"/>
        <v>614</v>
      </c>
      <c r="BR317" s="5">
        <v>5600091</v>
      </c>
      <c r="BS317" s="18">
        <f>[1]monsters!$N317</f>
        <v>215.04</v>
      </c>
      <c r="BT317" s="18">
        <f>[1]monsters!$O317</f>
        <v>21.5</v>
      </c>
      <c r="BU317" s="18">
        <f>[1]monsters!$P317</f>
        <v>3360</v>
      </c>
      <c r="BV317" s="18">
        <f>[1]monsters!$Q317</f>
        <v>336</v>
      </c>
      <c r="BW317" s="18">
        <f>[1]monsters!$R317</f>
        <v>71.680000000000007</v>
      </c>
      <c r="BX317" s="18">
        <f>[1]monsters!$S317</f>
        <v>7.17</v>
      </c>
      <c r="BY317" s="18">
        <f>[1]monsters!$K317</f>
        <v>1.8</v>
      </c>
      <c r="BZ317" s="5">
        <f>[1]monsters!$D317</f>
        <v>2</v>
      </c>
      <c r="CA317" s="5">
        <f t="shared" si="196"/>
        <v>0.1</v>
      </c>
      <c r="CB317" s="5">
        <f t="shared" si="197"/>
        <v>316.34411313131312</v>
      </c>
      <c r="CC317" s="5">
        <f t="shared" si="198"/>
        <v>31.634411313131313</v>
      </c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>
        <v>0</v>
      </c>
      <c r="CR317" s="3" t="b">
        <f t="shared" si="170"/>
        <v>1</v>
      </c>
      <c r="CS317" s="3" t="b">
        <f t="shared" si="171"/>
        <v>1</v>
      </c>
      <c r="CT317" s="3" t="b">
        <f t="shared" si="172"/>
        <v>1</v>
      </c>
      <c r="CU317" s="3" t="b">
        <f t="shared" si="173"/>
        <v>1</v>
      </c>
      <c r="CV317" s="3" t="b">
        <f t="shared" si="174"/>
        <v>1</v>
      </c>
      <c r="CW317" s="3" t="b">
        <f t="shared" si="175"/>
        <v>1</v>
      </c>
      <c r="CX317" s="9" t="str">
        <f t="shared" si="176"/>
        <v>5201093</v>
      </c>
      <c r="CY317" s="9" t="str">
        <f t="shared" si="177"/>
        <v>5200093</v>
      </c>
      <c r="CZ317" s="9" t="str">
        <f t="shared" si="178"/>
        <v>5301091</v>
      </c>
      <c r="DA317" s="9" t="str">
        <f t="shared" si="179"/>
        <v>5501094</v>
      </c>
      <c r="DB317" s="9" t="str">
        <f t="shared" si="180"/>
        <v>5500093</v>
      </c>
      <c r="DC317" s="9" t="str">
        <f t="shared" si="181"/>
        <v>5501094</v>
      </c>
      <c r="DD317" s="9">
        <v>9</v>
      </c>
      <c r="DE317" s="9">
        <v>9</v>
      </c>
      <c r="DF317" s="9">
        <v>9</v>
      </c>
      <c r="DG317" s="9">
        <v>9</v>
      </c>
      <c r="DH317" s="9">
        <v>9</v>
      </c>
      <c r="DI317" s="9">
        <v>9</v>
      </c>
      <c r="DJ317" s="9">
        <v>5</v>
      </c>
      <c r="DK317" s="9">
        <v>5</v>
      </c>
      <c r="DL317" s="9">
        <v>5</v>
      </c>
      <c r="DM317" s="9">
        <v>5</v>
      </c>
      <c r="DN317" s="9">
        <v>5</v>
      </c>
      <c r="DO317" s="9">
        <v>5</v>
      </c>
      <c r="DP317" s="25" t="s">
        <v>205</v>
      </c>
      <c r="DQ317" s="25" t="s">
        <v>113</v>
      </c>
      <c r="DR317" s="25" t="s">
        <v>107</v>
      </c>
      <c r="DS317" s="25" t="s">
        <v>214</v>
      </c>
      <c r="DT317" s="25" t="s">
        <v>207</v>
      </c>
      <c r="DU317" s="25" t="s">
        <v>214</v>
      </c>
      <c r="DV317" s="25">
        <f t="shared" si="182"/>
        <v>1</v>
      </c>
      <c r="DW317" s="25">
        <f t="shared" si="183"/>
        <v>1</v>
      </c>
      <c r="DX317" s="25">
        <f t="shared" si="184"/>
        <v>1</v>
      </c>
      <c r="DY317" s="25">
        <f t="shared" si="185"/>
        <v>2</v>
      </c>
      <c r="DZ317" s="25">
        <f t="shared" si="186"/>
        <v>2</v>
      </c>
      <c r="EA317" s="3">
        <f t="shared" si="187"/>
        <v>2</v>
      </c>
      <c r="EB317" s="44"/>
      <c r="EC317" s="9">
        <v>5201111</v>
      </c>
      <c r="ED317" s="34" t="s">
        <v>195</v>
      </c>
      <c r="EE317" s="8">
        <v>1</v>
      </c>
    </row>
    <row r="318" spans="1:135" ht="13.5" customHeight="1">
      <c r="A318" s="9">
        <v>315</v>
      </c>
      <c r="B318" s="9">
        <v>1</v>
      </c>
      <c r="C318" s="9">
        <v>2001</v>
      </c>
      <c r="D318" s="9">
        <f t="shared" si="202"/>
        <v>4425776</v>
      </c>
      <c r="E318" s="9" t="str">
        <f t="shared" si="199"/>
        <v>5200093,5200093,5200093,5401093,5401093,5401093</v>
      </c>
      <c r="F318" s="9" t="str">
        <f t="shared" si="200"/>
        <v>9,9,9,9,9,9</v>
      </c>
      <c r="G318" s="9" t="str">
        <f t="shared" si="201"/>
        <v>659,713,713,713,713,713</v>
      </c>
      <c r="H318" s="9">
        <v>166</v>
      </c>
      <c r="I318" s="9" t="s">
        <v>278</v>
      </c>
      <c r="J318" s="9" t="s">
        <v>279</v>
      </c>
      <c r="K318" s="9" t="s">
        <v>279</v>
      </c>
      <c r="L318" s="9" t="s">
        <v>279</v>
      </c>
      <c r="M318" s="36" t="s">
        <v>300</v>
      </c>
      <c r="O318" s="3">
        <f t="shared" si="206"/>
        <v>4425776</v>
      </c>
      <c r="P318" s="9">
        <v>3498636.91</v>
      </c>
      <c r="Q318" s="9">
        <v>5200093</v>
      </c>
      <c r="R318" s="9">
        <v>5200093</v>
      </c>
      <c r="S318" s="9">
        <v>5200093</v>
      </c>
      <c r="T318" s="9">
        <v>5401093</v>
      </c>
      <c r="U318" s="9">
        <v>5401093</v>
      </c>
      <c r="V318" s="9">
        <v>5401093</v>
      </c>
      <c r="W318" s="9">
        <v>9</v>
      </c>
      <c r="X318" s="9">
        <v>9</v>
      </c>
      <c r="Y318" s="9">
        <v>9</v>
      </c>
      <c r="Z318" s="9">
        <v>9</v>
      </c>
      <c r="AA318" s="9">
        <v>9</v>
      </c>
      <c r="AB318" s="9">
        <v>9</v>
      </c>
      <c r="AC318" s="9">
        <f t="shared" si="188"/>
        <v>659</v>
      </c>
      <c r="AD318" s="9">
        <f t="shared" si="189"/>
        <v>713</v>
      </c>
      <c r="AE318" s="9">
        <f t="shared" si="190"/>
        <v>713</v>
      </c>
      <c r="AF318" s="9">
        <f t="shared" si="191"/>
        <v>713</v>
      </c>
      <c r="AG318" s="9">
        <f t="shared" si="192"/>
        <v>713</v>
      </c>
      <c r="AH318" s="9">
        <f t="shared" si="193"/>
        <v>713</v>
      </c>
      <c r="AI318" s="7">
        <f t="shared" si="204"/>
        <v>583106.15166666673</v>
      </c>
      <c r="AJ318" s="7">
        <f t="shared" si="205"/>
        <v>583106.15166666673</v>
      </c>
      <c r="AK318" s="7">
        <f t="shared" si="205"/>
        <v>583106.15166666673</v>
      </c>
      <c r="AL318" s="7">
        <f t="shared" si="205"/>
        <v>583106.15166666673</v>
      </c>
      <c r="AM318" s="7">
        <f t="shared" si="205"/>
        <v>583106.15166666673</v>
      </c>
      <c r="AN318" s="7">
        <f t="shared" si="205"/>
        <v>583106.15166666673</v>
      </c>
      <c r="AO318" s="16"/>
      <c r="AP318" s="7"/>
      <c r="AQ318" s="9">
        <v>7</v>
      </c>
      <c r="AR318" s="9">
        <f t="shared" si="194"/>
        <v>741</v>
      </c>
      <c r="AS318" s="7">
        <f t="shared" si="203"/>
        <v>257</v>
      </c>
      <c r="AT318" s="7"/>
      <c r="AU318" s="16"/>
      <c r="AV318" s="7"/>
      <c r="AW318" s="7"/>
      <c r="AX318" s="7"/>
      <c r="AZ318" s="7"/>
      <c r="BA318" s="9">
        <f t="shared" si="169"/>
        <v>421779.39999999909</v>
      </c>
      <c r="BC318" s="5">
        <f t="shared" si="195"/>
        <v>616</v>
      </c>
      <c r="BR318" s="5">
        <v>5601091</v>
      </c>
      <c r="BS318" s="18">
        <f>[1]monsters!$N318</f>
        <v>241.92</v>
      </c>
      <c r="BT318" s="18">
        <f>[1]monsters!$O318</f>
        <v>24.19</v>
      </c>
      <c r="BU318" s="18">
        <f>[1]monsters!$P318</f>
        <v>2986.67</v>
      </c>
      <c r="BV318" s="18">
        <f>[1]monsters!$Q318</f>
        <v>298.67</v>
      </c>
      <c r="BW318" s="18">
        <f>[1]monsters!$R318</f>
        <v>48.38</v>
      </c>
      <c r="BX318" s="18">
        <f>[1]monsters!$S318</f>
        <v>4.84</v>
      </c>
      <c r="BY318" s="18">
        <f>[1]monsters!$K318</f>
        <v>1.8</v>
      </c>
      <c r="BZ318" s="5">
        <f>[1]monsters!$D318</f>
        <v>2</v>
      </c>
      <c r="CA318" s="5">
        <f t="shared" si="196"/>
        <v>0.1</v>
      </c>
      <c r="CB318" s="5">
        <f t="shared" si="197"/>
        <v>329.17567946127946</v>
      </c>
      <c r="CC318" s="5">
        <f t="shared" si="198"/>
        <v>32.917567946127946</v>
      </c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>
        <v>1</v>
      </c>
      <c r="CR318" s="3" t="b">
        <f t="shared" si="170"/>
        <v>1</v>
      </c>
      <c r="CS318" s="3" t="b">
        <f t="shared" si="171"/>
        <v>1</v>
      </c>
      <c r="CT318" s="3" t="b">
        <f t="shared" si="172"/>
        <v>1</v>
      </c>
      <c r="CU318" s="3" t="b">
        <f t="shared" si="173"/>
        <v>1</v>
      </c>
      <c r="CV318" s="3" t="b">
        <f t="shared" si="174"/>
        <v>1</v>
      </c>
      <c r="CW318" s="3" t="b">
        <f t="shared" si="175"/>
        <v>1</v>
      </c>
      <c r="CX318" s="9" t="str">
        <f t="shared" si="176"/>
        <v>5200093</v>
      </c>
      <c r="CY318" s="9" t="str">
        <f t="shared" si="177"/>
        <v>5200093</v>
      </c>
      <c r="CZ318" s="9" t="str">
        <f t="shared" si="178"/>
        <v>5200093</v>
      </c>
      <c r="DA318" s="9" t="str">
        <f t="shared" si="179"/>
        <v>5401093</v>
      </c>
      <c r="DB318" s="9" t="str">
        <f t="shared" si="180"/>
        <v>5401093</v>
      </c>
      <c r="DC318" s="9" t="str">
        <f t="shared" si="181"/>
        <v>5401093</v>
      </c>
      <c r="DD318" s="9">
        <v>9</v>
      </c>
      <c r="DE318" s="9">
        <v>9</v>
      </c>
      <c r="DF318" s="9">
        <v>9</v>
      </c>
      <c r="DG318" s="9">
        <v>9</v>
      </c>
      <c r="DH318" s="9">
        <v>9</v>
      </c>
      <c r="DI318" s="9">
        <v>9</v>
      </c>
      <c r="DJ318" s="9">
        <v>5</v>
      </c>
      <c r="DK318" s="9">
        <v>5</v>
      </c>
      <c r="DL318" s="9">
        <v>5</v>
      </c>
      <c r="DM318" s="9">
        <v>5</v>
      </c>
      <c r="DN318" s="9">
        <v>5</v>
      </c>
      <c r="DO318" s="9">
        <v>5</v>
      </c>
      <c r="DP318" s="25" t="s">
        <v>113</v>
      </c>
      <c r="DQ318" s="25" t="s">
        <v>113</v>
      </c>
      <c r="DR318" s="25" t="s">
        <v>113</v>
      </c>
      <c r="DS318" s="25" t="s">
        <v>211</v>
      </c>
      <c r="DT318" s="25" t="s">
        <v>211</v>
      </c>
      <c r="DU318" s="25" t="s">
        <v>211</v>
      </c>
      <c r="DV318" s="25">
        <f t="shared" si="182"/>
        <v>1</v>
      </c>
      <c r="DW318" s="25">
        <f t="shared" si="183"/>
        <v>1</v>
      </c>
      <c r="DX318" s="25">
        <f t="shared" si="184"/>
        <v>1</v>
      </c>
      <c r="DY318" s="25">
        <f t="shared" si="185"/>
        <v>2</v>
      </c>
      <c r="DZ318" s="25">
        <f t="shared" si="186"/>
        <v>2</v>
      </c>
      <c r="EA318" s="3">
        <f t="shared" si="187"/>
        <v>2</v>
      </c>
      <c r="EB318" s="44"/>
      <c r="EC318" s="9">
        <v>5202111</v>
      </c>
      <c r="ED318" s="34" t="s">
        <v>111</v>
      </c>
      <c r="EE318" s="8">
        <v>1</v>
      </c>
    </row>
    <row r="319" spans="1:135" ht="13.5" customHeight="1">
      <c r="A319" s="9">
        <v>316</v>
      </c>
      <c r="B319" s="9">
        <v>1</v>
      </c>
      <c r="C319" s="9">
        <v>2001</v>
      </c>
      <c r="D319" s="9">
        <f t="shared" si="202"/>
        <v>4444787</v>
      </c>
      <c r="E319" s="9" t="str">
        <f t="shared" si="199"/>
        <v>5201091,5201092,5202091,5502091,5500091,5502091</v>
      </c>
      <c r="F319" s="9" t="str">
        <f t="shared" si="200"/>
        <v>9,9,9,9,9,9</v>
      </c>
      <c r="G319" s="9" t="str">
        <f t="shared" si="201"/>
        <v>661,714,714,714,714,714</v>
      </c>
      <c r="H319" s="9">
        <v>166</v>
      </c>
      <c r="I319" s="9" t="s">
        <v>278</v>
      </c>
      <c r="J319" s="9" t="s">
        <v>279</v>
      </c>
      <c r="K319" s="9" t="s">
        <v>279</v>
      </c>
      <c r="L319" s="9" t="s">
        <v>279</v>
      </c>
      <c r="M319" s="36" t="s">
        <v>301</v>
      </c>
      <c r="N319" s="40"/>
      <c r="O319" s="3">
        <f t="shared" si="206"/>
        <v>4444787</v>
      </c>
      <c r="P319" s="9">
        <v>3513665.39</v>
      </c>
      <c r="Q319" s="9">
        <v>5201091</v>
      </c>
      <c r="R319" s="9">
        <v>5201092</v>
      </c>
      <c r="S319" s="9">
        <v>5202091</v>
      </c>
      <c r="T319" s="9">
        <v>5502091</v>
      </c>
      <c r="U319" s="9">
        <v>5500091</v>
      </c>
      <c r="V319" s="9">
        <v>5502091</v>
      </c>
      <c r="W319" s="9">
        <v>9</v>
      </c>
      <c r="X319" s="9">
        <v>9</v>
      </c>
      <c r="Y319" s="9">
        <v>9</v>
      </c>
      <c r="Z319" s="9">
        <v>9</v>
      </c>
      <c r="AA319" s="9">
        <v>9</v>
      </c>
      <c r="AB319" s="9">
        <v>9</v>
      </c>
      <c r="AC319" s="9">
        <f t="shared" si="188"/>
        <v>661</v>
      </c>
      <c r="AD319" s="9">
        <f t="shared" si="189"/>
        <v>714</v>
      </c>
      <c r="AE319" s="9">
        <f t="shared" si="190"/>
        <v>714</v>
      </c>
      <c r="AF319" s="9">
        <f t="shared" si="191"/>
        <v>714</v>
      </c>
      <c r="AG319" s="9">
        <f t="shared" si="192"/>
        <v>714</v>
      </c>
      <c r="AH319" s="9">
        <f t="shared" si="193"/>
        <v>714</v>
      </c>
      <c r="AI319" s="7">
        <f t="shared" si="204"/>
        <v>585610.89833333332</v>
      </c>
      <c r="AJ319" s="7">
        <f t="shared" si="205"/>
        <v>585610.89833333332</v>
      </c>
      <c r="AK319" s="7">
        <f t="shared" si="205"/>
        <v>585610.89833333332</v>
      </c>
      <c r="AL319" s="7">
        <f t="shared" si="205"/>
        <v>585610.89833333332</v>
      </c>
      <c r="AM319" s="7">
        <f t="shared" si="205"/>
        <v>585610.89833333332</v>
      </c>
      <c r="AN319" s="7">
        <f t="shared" si="205"/>
        <v>585610.89833333332</v>
      </c>
      <c r="AO319" s="16"/>
      <c r="AP319" s="7"/>
      <c r="AQ319" s="9">
        <v>7</v>
      </c>
      <c r="AR319" s="9">
        <f t="shared" si="194"/>
        <v>743</v>
      </c>
      <c r="AS319" s="7">
        <f t="shared" si="203"/>
        <v>258</v>
      </c>
      <c r="AT319" s="7"/>
      <c r="AU319" s="16"/>
      <c r="AV319" s="7"/>
      <c r="AW319" s="7"/>
      <c r="AX319" s="7"/>
      <c r="AZ319" s="7"/>
      <c r="BA319" s="9">
        <f t="shared" ref="BA319:BA352" si="207">BA318+($BA$353-$BA$253)/($A$353-$A$253)</f>
        <v>424169.75999999908</v>
      </c>
      <c r="BC319" s="5">
        <f t="shared" si="195"/>
        <v>617</v>
      </c>
      <c r="BR319" s="5">
        <v>5200092</v>
      </c>
      <c r="BS319" s="18">
        <f>[1]monsters!$N319</f>
        <v>161.28</v>
      </c>
      <c r="BT319" s="18">
        <f>[1]monsters!$O319</f>
        <v>16.13</v>
      </c>
      <c r="BU319" s="18">
        <f>[1]monsters!$P319</f>
        <v>2986.67</v>
      </c>
      <c r="BV319" s="18">
        <f>[1]monsters!$Q319</f>
        <v>298.67</v>
      </c>
      <c r="BW319" s="18">
        <f>[1]monsters!$R319</f>
        <v>32.26</v>
      </c>
      <c r="BX319" s="18">
        <f>[1]monsters!$S319</f>
        <v>3.23</v>
      </c>
      <c r="BY319" s="18">
        <f>[1]monsters!$K319</f>
        <v>1.2</v>
      </c>
      <c r="BZ319" s="5">
        <f>[1]monsters!$D319</f>
        <v>3</v>
      </c>
      <c r="CA319" s="5">
        <f t="shared" si="196"/>
        <v>0.1</v>
      </c>
      <c r="CB319" s="5">
        <f t="shared" si="197"/>
        <v>252.97087946127948</v>
      </c>
      <c r="CC319" s="5">
        <f t="shared" si="198"/>
        <v>25.297087946127949</v>
      </c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>
        <v>0</v>
      </c>
      <c r="CR319" s="3" t="b">
        <f t="shared" si="170"/>
        <v>1</v>
      </c>
      <c r="CS319" s="3" t="b">
        <f t="shared" si="171"/>
        <v>1</v>
      </c>
      <c r="CT319" s="3" t="b">
        <f t="shared" si="172"/>
        <v>1</v>
      </c>
      <c r="CU319" s="3" t="b">
        <f t="shared" si="173"/>
        <v>1</v>
      </c>
      <c r="CV319" s="3" t="b">
        <f t="shared" si="174"/>
        <v>1</v>
      </c>
      <c r="CW319" s="3" t="b">
        <f t="shared" si="175"/>
        <v>1</v>
      </c>
      <c r="CX319" s="9" t="str">
        <f t="shared" si="176"/>
        <v>5201091</v>
      </c>
      <c r="CY319" s="9" t="str">
        <f t="shared" si="177"/>
        <v>5201092</v>
      </c>
      <c r="CZ319" s="9" t="str">
        <f t="shared" si="178"/>
        <v>5202091</v>
      </c>
      <c r="DA319" s="9" t="str">
        <f t="shared" si="179"/>
        <v>5502091</v>
      </c>
      <c r="DB319" s="9" t="str">
        <f t="shared" si="180"/>
        <v>5500091</v>
      </c>
      <c r="DC319" s="9" t="str">
        <f t="shared" si="181"/>
        <v>5502091</v>
      </c>
      <c r="DD319" s="9">
        <v>9</v>
      </c>
      <c r="DE319" s="9">
        <v>9</v>
      </c>
      <c r="DF319" s="9">
        <v>9</v>
      </c>
      <c r="DG319" s="9">
        <v>9</v>
      </c>
      <c r="DH319" s="9">
        <v>9</v>
      </c>
      <c r="DI319" s="9">
        <v>9</v>
      </c>
      <c r="DJ319" s="9">
        <v>5</v>
      </c>
      <c r="DK319" s="9">
        <v>5</v>
      </c>
      <c r="DL319" s="9">
        <v>5</v>
      </c>
      <c r="DM319" s="9">
        <v>5</v>
      </c>
      <c r="DN319" s="9">
        <v>5</v>
      </c>
      <c r="DO319" s="9">
        <v>5</v>
      </c>
      <c r="DP319" s="25" t="s">
        <v>195</v>
      </c>
      <c r="DQ319" s="25" t="s">
        <v>114</v>
      </c>
      <c r="DR319" s="25" t="s">
        <v>111</v>
      </c>
      <c r="DS319" s="25" t="s">
        <v>119</v>
      </c>
      <c r="DT319" s="25" t="s">
        <v>197</v>
      </c>
      <c r="DU319" s="25" t="s">
        <v>119</v>
      </c>
      <c r="DV319" s="25">
        <f t="shared" si="182"/>
        <v>1</v>
      </c>
      <c r="DW319" s="25">
        <f t="shared" si="183"/>
        <v>1</v>
      </c>
      <c r="DX319" s="25">
        <f t="shared" si="184"/>
        <v>1</v>
      </c>
      <c r="DY319" s="25">
        <f t="shared" si="185"/>
        <v>2</v>
      </c>
      <c r="DZ319" s="25">
        <f t="shared" si="186"/>
        <v>2</v>
      </c>
      <c r="EA319" s="3">
        <f t="shared" si="187"/>
        <v>2</v>
      </c>
      <c r="EB319" s="43"/>
      <c r="EC319" s="9">
        <v>5301111</v>
      </c>
      <c r="ED319" s="34" t="s">
        <v>107</v>
      </c>
      <c r="EE319" s="8">
        <v>1</v>
      </c>
    </row>
    <row r="320" spans="1:135" ht="13.5" customHeight="1">
      <c r="A320" s="9">
        <v>317</v>
      </c>
      <c r="B320" s="9">
        <v>1</v>
      </c>
      <c r="C320" s="9">
        <v>2001</v>
      </c>
      <c r="D320" s="9">
        <f t="shared" si="202"/>
        <v>4463841</v>
      </c>
      <c r="E320" s="9" t="str">
        <f t="shared" si="199"/>
        <v>5202093,5201093,5302094,5501094,5400095,5500092</v>
      </c>
      <c r="F320" s="9" t="str">
        <f t="shared" si="200"/>
        <v>9,9,9,9,9,9</v>
      </c>
      <c r="G320" s="9" t="str">
        <f t="shared" si="201"/>
        <v>662,716,716,716,716,716</v>
      </c>
      <c r="H320" s="9">
        <v>166</v>
      </c>
      <c r="I320" s="9" t="s">
        <v>278</v>
      </c>
      <c r="J320" s="9" t="s">
        <v>279</v>
      </c>
      <c r="K320" s="9" t="s">
        <v>279</v>
      </c>
      <c r="L320" s="9" t="s">
        <v>279</v>
      </c>
      <c r="M320" s="36" t="s">
        <v>301</v>
      </c>
      <c r="N320" s="40"/>
      <c r="O320" s="3">
        <f t="shared" si="206"/>
        <v>4463841</v>
      </c>
      <c r="P320" s="9">
        <v>3528727.7</v>
      </c>
      <c r="Q320" s="9">
        <v>5202093</v>
      </c>
      <c r="R320" s="9">
        <v>5201093</v>
      </c>
      <c r="S320" s="9">
        <v>5302094</v>
      </c>
      <c r="T320" s="9">
        <v>5501094</v>
      </c>
      <c r="U320" s="9">
        <v>5400095</v>
      </c>
      <c r="V320" s="9">
        <v>5500092</v>
      </c>
      <c r="W320" s="9">
        <v>9</v>
      </c>
      <c r="X320" s="9">
        <v>9</v>
      </c>
      <c r="Y320" s="9">
        <v>9</v>
      </c>
      <c r="Z320" s="9">
        <v>9</v>
      </c>
      <c r="AA320" s="9">
        <v>9</v>
      </c>
      <c r="AB320" s="9">
        <v>9</v>
      </c>
      <c r="AC320" s="9">
        <f t="shared" si="188"/>
        <v>662</v>
      </c>
      <c r="AD320" s="9">
        <f t="shared" si="189"/>
        <v>716</v>
      </c>
      <c r="AE320" s="9">
        <f t="shared" si="190"/>
        <v>716</v>
      </c>
      <c r="AF320" s="9">
        <f t="shared" si="191"/>
        <v>716</v>
      </c>
      <c r="AG320" s="9">
        <f t="shared" si="192"/>
        <v>716</v>
      </c>
      <c r="AH320" s="9">
        <f t="shared" si="193"/>
        <v>716</v>
      </c>
      <c r="AI320" s="7">
        <f t="shared" si="204"/>
        <v>588121.28333333333</v>
      </c>
      <c r="AJ320" s="7">
        <f t="shared" si="205"/>
        <v>588121.28333333333</v>
      </c>
      <c r="AK320" s="7">
        <f t="shared" si="205"/>
        <v>588121.28333333333</v>
      </c>
      <c r="AL320" s="7">
        <f t="shared" si="205"/>
        <v>588121.28333333333</v>
      </c>
      <c r="AM320" s="7">
        <f t="shared" si="205"/>
        <v>588121.28333333333</v>
      </c>
      <c r="AN320" s="7">
        <f t="shared" si="205"/>
        <v>588121.28333333333</v>
      </c>
      <c r="AO320" s="16"/>
      <c r="AP320" s="7"/>
      <c r="AQ320" s="9">
        <v>7</v>
      </c>
      <c r="AR320" s="9">
        <f t="shared" si="194"/>
        <v>744</v>
      </c>
      <c r="AS320" s="7">
        <f t="shared" si="203"/>
        <v>258</v>
      </c>
      <c r="AT320" s="7"/>
      <c r="AU320" s="16"/>
      <c r="AV320" s="7"/>
      <c r="AW320" s="7"/>
      <c r="AX320" s="7"/>
      <c r="AZ320" s="7"/>
      <c r="BA320" s="9">
        <f t="shared" si="207"/>
        <v>426560.11999999906</v>
      </c>
      <c r="BC320" s="5">
        <f t="shared" si="195"/>
        <v>619</v>
      </c>
      <c r="BR320" s="5">
        <v>5202092</v>
      </c>
      <c r="BS320" s="18">
        <f>[1]monsters!$N320</f>
        <v>286.72000000000003</v>
      </c>
      <c r="BT320" s="18">
        <f>[1]monsters!$O320</f>
        <v>28.67</v>
      </c>
      <c r="BU320" s="18">
        <f>[1]monsters!$P320</f>
        <v>2240</v>
      </c>
      <c r="BV320" s="18">
        <f>[1]monsters!$Q320</f>
        <v>224</v>
      </c>
      <c r="BW320" s="18">
        <f>[1]monsters!$R320</f>
        <v>40.96</v>
      </c>
      <c r="BX320" s="18">
        <f>[1]monsters!$S320</f>
        <v>4.0999999999999996</v>
      </c>
      <c r="BY320" s="18">
        <f>[1]monsters!$K320</f>
        <v>1.6</v>
      </c>
      <c r="BZ320" s="5">
        <f>[1]monsters!$D320</f>
        <v>4</v>
      </c>
      <c r="CA320" s="5">
        <f t="shared" si="196"/>
        <v>0.1</v>
      </c>
      <c r="CB320" s="5">
        <f t="shared" si="197"/>
        <v>346.37127542087546</v>
      </c>
      <c r="CC320" s="5">
        <f t="shared" si="198"/>
        <v>34.637127542087548</v>
      </c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>
        <v>0</v>
      </c>
      <c r="CR320" s="3" t="b">
        <f t="shared" si="170"/>
        <v>1</v>
      </c>
      <c r="CS320" s="3" t="b">
        <f t="shared" si="171"/>
        <v>1</v>
      </c>
      <c r="CT320" s="3" t="b">
        <f t="shared" si="172"/>
        <v>1</v>
      </c>
      <c r="CU320" s="3" t="b">
        <f t="shared" si="173"/>
        <v>1</v>
      </c>
      <c r="CV320" s="3" t="b">
        <f t="shared" si="174"/>
        <v>1</v>
      </c>
      <c r="CW320" s="3" t="b">
        <f t="shared" si="175"/>
        <v>1</v>
      </c>
      <c r="CX320" s="9" t="str">
        <f t="shared" si="176"/>
        <v>5202093</v>
      </c>
      <c r="CY320" s="9" t="str">
        <f t="shared" si="177"/>
        <v>5201093</v>
      </c>
      <c r="CZ320" s="9" t="str">
        <f t="shared" si="178"/>
        <v>5302094</v>
      </c>
      <c r="DA320" s="9" t="str">
        <f t="shared" si="179"/>
        <v>5501094</v>
      </c>
      <c r="DB320" s="9" t="str">
        <f t="shared" si="180"/>
        <v>5400095</v>
      </c>
      <c r="DC320" s="9" t="str">
        <f t="shared" si="181"/>
        <v>5500092</v>
      </c>
      <c r="DD320" s="9">
        <v>9</v>
      </c>
      <c r="DE320" s="9">
        <v>9</v>
      </c>
      <c r="DF320" s="9">
        <v>9</v>
      </c>
      <c r="DG320" s="9">
        <v>9</v>
      </c>
      <c r="DH320" s="9">
        <v>9</v>
      </c>
      <c r="DI320" s="9">
        <v>9</v>
      </c>
      <c r="DJ320" s="9">
        <v>5</v>
      </c>
      <c r="DK320" s="9">
        <v>5</v>
      </c>
      <c r="DL320" s="9">
        <v>5</v>
      </c>
      <c r="DM320" s="9">
        <v>5</v>
      </c>
      <c r="DN320" s="9">
        <v>5</v>
      </c>
      <c r="DO320" s="9">
        <v>5</v>
      </c>
      <c r="DP320" s="25" t="s">
        <v>208</v>
      </c>
      <c r="DQ320" s="25" t="s">
        <v>205</v>
      </c>
      <c r="DR320" s="25" t="s">
        <v>218</v>
      </c>
      <c r="DS320" s="25" t="s">
        <v>214</v>
      </c>
      <c r="DT320" s="25" t="s">
        <v>210</v>
      </c>
      <c r="DU320" s="25" t="s">
        <v>109</v>
      </c>
      <c r="DV320" s="25">
        <f t="shared" si="182"/>
        <v>1</v>
      </c>
      <c r="DW320" s="25">
        <f t="shared" si="183"/>
        <v>1</v>
      </c>
      <c r="DX320" s="25">
        <f t="shared" si="184"/>
        <v>1</v>
      </c>
      <c r="DY320" s="25">
        <f t="shared" si="185"/>
        <v>2</v>
      </c>
      <c r="DZ320" s="25">
        <f t="shared" si="186"/>
        <v>2</v>
      </c>
      <c r="EA320" s="3">
        <f t="shared" si="187"/>
        <v>2</v>
      </c>
      <c r="EB320" s="44"/>
      <c r="EC320" s="9">
        <v>5401111</v>
      </c>
      <c r="ED320" s="34" t="s">
        <v>117</v>
      </c>
      <c r="EE320" s="8">
        <v>2</v>
      </c>
    </row>
    <row r="321" spans="1:135" ht="13.5" customHeight="1">
      <c r="A321" s="9">
        <v>318</v>
      </c>
      <c r="B321" s="9">
        <v>1</v>
      </c>
      <c r="C321" s="9">
        <v>2001</v>
      </c>
      <c r="D321" s="9">
        <f t="shared" si="202"/>
        <v>4482932</v>
      </c>
      <c r="E321" s="9" t="str">
        <f t="shared" si="199"/>
        <v>5201093,5202095,5200091,5501094,5402092,5400095</v>
      </c>
      <c r="F321" s="9" t="str">
        <f t="shared" si="200"/>
        <v>9,9,9,9,9,9</v>
      </c>
      <c r="G321" s="9" t="str">
        <f t="shared" si="201"/>
        <v>663,717,717,717,717,717</v>
      </c>
      <c r="H321" s="9">
        <v>167</v>
      </c>
      <c r="I321" s="9" t="s">
        <v>278</v>
      </c>
      <c r="J321" s="9" t="s">
        <v>279</v>
      </c>
      <c r="K321" s="9" t="s">
        <v>279</v>
      </c>
      <c r="L321" s="9" t="s">
        <v>279</v>
      </c>
      <c r="M321" s="36" t="s">
        <v>301</v>
      </c>
      <c r="N321" s="40"/>
      <c r="O321" s="3">
        <f t="shared" si="206"/>
        <v>4482932</v>
      </c>
      <c r="P321" s="9">
        <v>3543819.86</v>
      </c>
      <c r="Q321" s="9">
        <v>5201093</v>
      </c>
      <c r="R321" s="9">
        <v>5202095</v>
      </c>
      <c r="S321" s="9">
        <v>5200091</v>
      </c>
      <c r="T321" s="9">
        <v>5501094</v>
      </c>
      <c r="U321" s="9">
        <v>5402092</v>
      </c>
      <c r="V321" s="9">
        <v>5400095</v>
      </c>
      <c r="W321" s="9">
        <v>9</v>
      </c>
      <c r="X321" s="9">
        <v>9</v>
      </c>
      <c r="Y321" s="9">
        <v>9</v>
      </c>
      <c r="Z321" s="9">
        <v>9</v>
      </c>
      <c r="AA321" s="9">
        <v>9</v>
      </c>
      <c r="AB321" s="9">
        <v>9</v>
      </c>
      <c r="AC321" s="9">
        <f t="shared" si="188"/>
        <v>663</v>
      </c>
      <c r="AD321" s="9">
        <f t="shared" si="189"/>
        <v>717</v>
      </c>
      <c r="AE321" s="9">
        <f t="shared" si="190"/>
        <v>717</v>
      </c>
      <c r="AF321" s="9">
        <f t="shared" si="191"/>
        <v>717</v>
      </c>
      <c r="AG321" s="9">
        <f t="shared" si="192"/>
        <v>717</v>
      </c>
      <c r="AH321" s="9">
        <f t="shared" si="193"/>
        <v>717</v>
      </c>
      <c r="AI321" s="7">
        <f t="shared" si="204"/>
        <v>590636.64333333331</v>
      </c>
      <c r="AJ321" s="7">
        <f t="shared" si="205"/>
        <v>590636.64333333331</v>
      </c>
      <c r="AK321" s="7">
        <f t="shared" si="205"/>
        <v>590636.64333333331</v>
      </c>
      <c r="AL321" s="7">
        <f t="shared" si="205"/>
        <v>590636.64333333331</v>
      </c>
      <c r="AM321" s="7">
        <f t="shared" si="205"/>
        <v>590636.64333333331</v>
      </c>
      <c r="AN321" s="7">
        <f t="shared" si="205"/>
        <v>590636.64333333331</v>
      </c>
      <c r="AO321" s="16"/>
      <c r="AP321" s="7"/>
      <c r="AQ321" s="9">
        <v>7</v>
      </c>
      <c r="AR321" s="9">
        <f t="shared" si="194"/>
        <v>746</v>
      </c>
      <c r="AS321" s="7">
        <f t="shared" si="203"/>
        <v>259</v>
      </c>
      <c r="AT321" s="7"/>
      <c r="AU321" s="16"/>
      <c r="AV321" s="7"/>
      <c r="AW321" s="7"/>
      <c r="AX321" s="7"/>
      <c r="AZ321" s="7"/>
      <c r="BA321" s="9">
        <f t="shared" si="207"/>
        <v>428950.47999999905</v>
      </c>
      <c r="BC321" s="5">
        <f t="shared" si="195"/>
        <v>620</v>
      </c>
      <c r="BR321" s="5">
        <v>5302092</v>
      </c>
      <c r="BS321" s="18">
        <f>[1]monsters!$N321</f>
        <v>268.8</v>
      </c>
      <c r="BT321" s="18">
        <f>[1]monsters!$O321</f>
        <v>26.88</v>
      </c>
      <c r="BU321" s="18">
        <f>[1]monsters!$P321</f>
        <v>2240</v>
      </c>
      <c r="BV321" s="18">
        <f>[1]monsters!$Q321</f>
        <v>224</v>
      </c>
      <c r="BW321" s="18">
        <f>[1]monsters!$R321</f>
        <v>38.4</v>
      </c>
      <c r="BX321" s="18">
        <f>[1]monsters!$S321</f>
        <v>3.84</v>
      </c>
      <c r="BY321" s="18">
        <f>[1]monsters!$K321</f>
        <v>1.5</v>
      </c>
      <c r="BZ321" s="5">
        <f>[1]monsters!$D321</f>
        <v>4</v>
      </c>
      <c r="CA321" s="5">
        <f t="shared" si="196"/>
        <v>0.1</v>
      </c>
      <c r="CB321" s="5">
        <f t="shared" si="197"/>
        <v>329.43687542087542</v>
      </c>
      <c r="CC321" s="5">
        <f t="shared" si="198"/>
        <v>32.943687542087545</v>
      </c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>
        <v>0</v>
      </c>
      <c r="CR321" s="3" t="b">
        <f t="shared" si="170"/>
        <v>1</v>
      </c>
      <c r="CS321" s="3" t="b">
        <f t="shared" si="171"/>
        <v>1</v>
      </c>
      <c r="CT321" s="3" t="b">
        <f t="shared" si="172"/>
        <v>1</v>
      </c>
      <c r="CU321" s="3" t="b">
        <f t="shared" si="173"/>
        <v>1</v>
      </c>
      <c r="CV321" s="3" t="b">
        <f t="shared" si="174"/>
        <v>1</v>
      </c>
      <c r="CW321" s="3" t="b">
        <f t="shared" si="175"/>
        <v>1</v>
      </c>
      <c r="CX321" s="9" t="str">
        <f t="shared" si="176"/>
        <v>5201093</v>
      </c>
      <c r="CY321" s="9" t="str">
        <f t="shared" si="177"/>
        <v>5202095</v>
      </c>
      <c r="CZ321" s="9" t="str">
        <f t="shared" si="178"/>
        <v>5200091</v>
      </c>
      <c r="DA321" s="9" t="str">
        <f t="shared" si="179"/>
        <v>5501094</v>
      </c>
      <c r="DB321" s="9" t="str">
        <f t="shared" si="180"/>
        <v>5402092</v>
      </c>
      <c r="DC321" s="9" t="str">
        <f t="shared" si="181"/>
        <v>5400095</v>
      </c>
      <c r="DD321" s="9">
        <v>9</v>
      </c>
      <c r="DE321" s="9">
        <v>9</v>
      </c>
      <c r="DF321" s="9">
        <v>9</v>
      </c>
      <c r="DG321" s="9">
        <v>9</v>
      </c>
      <c r="DH321" s="9">
        <v>9</v>
      </c>
      <c r="DI321" s="9">
        <v>9</v>
      </c>
      <c r="DJ321" s="9">
        <v>5</v>
      </c>
      <c r="DK321" s="9">
        <v>5</v>
      </c>
      <c r="DL321" s="9">
        <v>5</v>
      </c>
      <c r="DM321" s="9">
        <v>5</v>
      </c>
      <c r="DN321" s="9">
        <v>5</v>
      </c>
      <c r="DO321" s="9">
        <v>5</v>
      </c>
      <c r="DP321" s="25" t="s">
        <v>205</v>
      </c>
      <c r="DQ321" s="25" t="s">
        <v>213</v>
      </c>
      <c r="DR321" s="25" t="s">
        <v>194</v>
      </c>
      <c r="DS321" s="25" t="s">
        <v>214</v>
      </c>
      <c r="DT321" s="25" t="s">
        <v>203</v>
      </c>
      <c r="DU321" s="25" t="s">
        <v>210</v>
      </c>
      <c r="DV321" s="25">
        <f t="shared" si="182"/>
        <v>1</v>
      </c>
      <c r="DW321" s="25">
        <f t="shared" si="183"/>
        <v>1</v>
      </c>
      <c r="DX321" s="25">
        <f t="shared" si="184"/>
        <v>1</v>
      </c>
      <c r="DY321" s="25">
        <f t="shared" si="185"/>
        <v>2</v>
      </c>
      <c r="DZ321" s="25">
        <f t="shared" si="186"/>
        <v>2</v>
      </c>
      <c r="EA321" s="3">
        <f t="shared" si="187"/>
        <v>2</v>
      </c>
      <c r="EB321" s="44"/>
      <c r="EC321" s="9">
        <v>5402111</v>
      </c>
      <c r="ED321" s="34" t="s">
        <v>196</v>
      </c>
      <c r="EE321" s="8">
        <v>2</v>
      </c>
    </row>
    <row r="322" spans="1:135" ht="13.5" customHeight="1">
      <c r="A322" s="9">
        <v>319</v>
      </c>
      <c r="B322" s="9">
        <v>1</v>
      </c>
      <c r="C322" s="9">
        <v>2001</v>
      </c>
      <c r="D322" s="9">
        <f t="shared" si="202"/>
        <v>4502067</v>
      </c>
      <c r="E322" s="9" t="str">
        <f t="shared" si="199"/>
        <v>5300095,5202095,5202093,5401093,5501095,5400095</v>
      </c>
      <c r="F322" s="9" t="str">
        <f t="shared" si="200"/>
        <v>9,9,9,9,9,9</v>
      </c>
      <c r="G322" s="9" t="str">
        <f t="shared" si="201"/>
        <v>665,719,719,719,719,719</v>
      </c>
      <c r="H322" s="9">
        <v>167</v>
      </c>
      <c r="I322" s="9" t="s">
        <v>278</v>
      </c>
      <c r="J322" s="9" t="s">
        <v>279</v>
      </c>
      <c r="K322" s="9" t="s">
        <v>279</v>
      </c>
      <c r="L322" s="9" t="s">
        <v>279</v>
      </c>
      <c r="M322" s="36" t="s">
        <v>301</v>
      </c>
      <c r="N322" s="40"/>
      <c r="O322" s="3">
        <f t="shared" si="206"/>
        <v>4502067</v>
      </c>
      <c r="P322" s="9">
        <v>3558945.85</v>
      </c>
      <c r="Q322" s="9">
        <v>5300095</v>
      </c>
      <c r="R322" s="9">
        <v>5202095</v>
      </c>
      <c r="S322" s="9">
        <v>5202093</v>
      </c>
      <c r="T322" s="9">
        <v>5401093</v>
      </c>
      <c r="U322" s="9">
        <v>5501095</v>
      </c>
      <c r="V322" s="9">
        <v>5400095</v>
      </c>
      <c r="W322" s="9">
        <v>9</v>
      </c>
      <c r="X322" s="9">
        <v>9</v>
      </c>
      <c r="Y322" s="9">
        <v>9</v>
      </c>
      <c r="Z322" s="9">
        <v>9</v>
      </c>
      <c r="AA322" s="9">
        <v>9</v>
      </c>
      <c r="AB322" s="9">
        <v>9</v>
      </c>
      <c r="AC322" s="9">
        <f t="shared" si="188"/>
        <v>665</v>
      </c>
      <c r="AD322" s="9">
        <f t="shared" si="189"/>
        <v>719</v>
      </c>
      <c r="AE322" s="9">
        <f t="shared" si="190"/>
        <v>719</v>
      </c>
      <c r="AF322" s="9">
        <f t="shared" si="191"/>
        <v>719</v>
      </c>
      <c r="AG322" s="9">
        <f t="shared" si="192"/>
        <v>719</v>
      </c>
      <c r="AH322" s="9">
        <f t="shared" si="193"/>
        <v>719</v>
      </c>
      <c r="AI322" s="7">
        <f t="shared" si="204"/>
        <v>593157.64166666672</v>
      </c>
      <c r="AJ322" s="7">
        <f t="shared" si="205"/>
        <v>593157.64166666672</v>
      </c>
      <c r="AK322" s="7">
        <f t="shared" si="205"/>
        <v>593157.64166666672</v>
      </c>
      <c r="AL322" s="7">
        <f t="shared" si="205"/>
        <v>593157.64166666672</v>
      </c>
      <c r="AM322" s="7">
        <f t="shared" si="205"/>
        <v>593157.64166666672</v>
      </c>
      <c r="AN322" s="7">
        <f t="shared" si="205"/>
        <v>593157.64166666672</v>
      </c>
      <c r="AO322" s="16"/>
      <c r="AP322" s="7"/>
      <c r="AQ322" s="9">
        <v>7</v>
      </c>
      <c r="AR322" s="9">
        <f t="shared" si="194"/>
        <v>748</v>
      </c>
      <c r="AS322" s="7">
        <f t="shared" si="203"/>
        <v>259</v>
      </c>
      <c r="AT322" s="7"/>
      <c r="AU322" s="16"/>
      <c r="AV322" s="7"/>
      <c r="AW322" s="7"/>
      <c r="AX322" s="7"/>
      <c r="AZ322" s="7"/>
      <c r="BA322" s="9">
        <f t="shared" si="207"/>
        <v>431340.83999999904</v>
      </c>
      <c r="BC322" s="5">
        <f t="shared" si="195"/>
        <v>621</v>
      </c>
      <c r="BR322" s="5">
        <v>5300092</v>
      </c>
      <c r="BS322" s="18">
        <f>[1]monsters!$N322</f>
        <v>313.60000000000002</v>
      </c>
      <c r="BT322" s="18">
        <f>[1]monsters!$O322</f>
        <v>31.36</v>
      </c>
      <c r="BU322" s="18">
        <f>[1]monsters!$P322</f>
        <v>1920</v>
      </c>
      <c r="BV322" s="18">
        <f>[1]monsters!$Q322</f>
        <v>192</v>
      </c>
      <c r="BW322" s="18">
        <f>[1]monsters!$R322</f>
        <v>39.200000000000003</v>
      </c>
      <c r="BX322" s="18">
        <f>[1]monsters!$S322</f>
        <v>3.92</v>
      </c>
      <c r="BY322" s="18">
        <f>[1]monsters!$K322</f>
        <v>1.5</v>
      </c>
      <c r="BZ322" s="5">
        <f>[1]monsters!$D322</f>
        <v>5</v>
      </c>
      <c r="CA322" s="5">
        <f t="shared" si="196"/>
        <v>0.1</v>
      </c>
      <c r="CB322" s="5">
        <f t="shared" si="197"/>
        <v>360.99846464646464</v>
      </c>
      <c r="CC322" s="5">
        <f t="shared" si="198"/>
        <v>36.099846464646468</v>
      </c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>
        <v>0</v>
      </c>
      <c r="CR322" s="3" t="b">
        <f t="shared" si="170"/>
        <v>1</v>
      </c>
      <c r="CS322" s="3" t="b">
        <f t="shared" si="171"/>
        <v>1</v>
      </c>
      <c r="CT322" s="3" t="b">
        <f t="shared" si="172"/>
        <v>1</v>
      </c>
      <c r="CU322" s="3" t="b">
        <f t="shared" si="173"/>
        <v>1</v>
      </c>
      <c r="CV322" s="3" t="b">
        <f t="shared" si="174"/>
        <v>1</v>
      </c>
      <c r="CW322" s="3" t="b">
        <f t="shared" si="175"/>
        <v>1</v>
      </c>
      <c r="CX322" s="9" t="str">
        <f t="shared" si="176"/>
        <v>5300095</v>
      </c>
      <c r="CY322" s="9" t="str">
        <f t="shared" si="177"/>
        <v>5202095</v>
      </c>
      <c r="CZ322" s="9" t="str">
        <f t="shared" si="178"/>
        <v>5202093</v>
      </c>
      <c r="DA322" s="9" t="str">
        <f t="shared" si="179"/>
        <v>5401093</v>
      </c>
      <c r="DB322" s="9" t="str">
        <f t="shared" si="180"/>
        <v>5501095</v>
      </c>
      <c r="DC322" s="9" t="str">
        <f t="shared" si="181"/>
        <v>5400095</v>
      </c>
      <c r="DD322" s="9">
        <v>9</v>
      </c>
      <c r="DE322" s="9">
        <v>9</v>
      </c>
      <c r="DF322" s="9">
        <v>9</v>
      </c>
      <c r="DG322" s="9">
        <v>9</v>
      </c>
      <c r="DH322" s="9">
        <v>9</v>
      </c>
      <c r="DI322" s="9">
        <v>9</v>
      </c>
      <c r="DJ322" s="9">
        <v>5</v>
      </c>
      <c r="DK322" s="9">
        <v>5</v>
      </c>
      <c r="DL322" s="9">
        <v>5</v>
      </c>
      <c r="DM322" s="9">
        <v>5</v>
      </c>
      <c r="DN322" s="9">
        <v>5</v>
      </c>
      <c r="DO322" s="9">
        <v>5</v>
      </c>
      <c r="DP322" s="25" t="s">
        <v>212</v>
      </c>
      <c r="DQ322" s="25" t="s">
        <v>213</v>
      </c>
      <c r="DR322" s="25" t="s">
        <v>208</v>
      </c>
      <c r="DS322" s="25" t="s">
        <v>211</v>
      </c>
      <c r="DT322" s="25" t="s">
        <v>209</v>
      </c>
      <c r="DU322" s="25" t="s">
        <v>210</v>
      </c>
      <c r="DV322" s="25">
        <f t="shared" si="182"/>
        <v>1</v>
      </c>
      <c r="DW322" s="25">
        <f t="shared" si="183"/>
        <v>1</v>
      </c>
      <c r="DX322" s="25">
        <f t="shared" si="184"/>
        <v>1</v>
      </c>
      <c r="DY322" s="25">
        <f t="shared" si="185"/>
        <v>2</v>
      </c>
      <c r="DZ322" s="25">
        <f t="shared" si="186"/>
        <v>2</v>
      </c>
      <c r="EA322" s="3">
        <f t="shared" si="187"/>
        <v>2</v>
      </c>
      <c r="EB322" s="44"/>
      <c r="EC322" s="9">
        <v>5500111</v>
      </c>
      <c r="ED322" s="34" t="s">
        <v>197</v>
      </c>
      <c r="EE322" s="8">
        <v>2</v>
      </c>
    </row>
    <row r="323" spans="1:135" ht="13.5" customHeight="1">
      <c r="A323" s="9">
        <v>320</v>
      </c>
      <c r="B323" s="9">
        <v>1</v>
      </c>
      <c r="C323" s="9">
        <v>2001</v>
      </c>
      <c r="D323" s="9">
        <f t="shared" si="202"/>
        <v>4521241</v>
      </c>
      <c r="E323" s="9" t="str">
        <f t="shared" si="199"/>
        <v>5202092,5202092,5301092,5502092,5500091,5502091</v>
      </c>
      <c r="F323" s="9" t="str">
        <f t="shared" si="200"/>
        <v>9,9,9,9,9,9</v>
      </c>
      <c r="G323" s="9" t="str">
        <f t="shared" si="201"/>
        <v>666,720,720,720,720,720</v>
      </c>
      <c r="H323" s="9">
        <v>168</v>
      </c>
      <c r="I323" s="9" t="s">
        <v>278</v>
      </c>
      <c r="J323" s="9" t="s">
        <v>279</v>
      </c>
      <c r="K323" s="9" t="s">
        <v>279</v>
      </c>
      <c r="L323" s="9" t="s">
        <v>279</v>
      </c>
      <c r="M323" s="36" t="s">
        <v>301</v>
      </c>
      <c r="O323" s="3">
        <f t="shared" si="206"/>
        <v>4521241</v>
      </c>
      <c r="P323" s="9">
        <v>3574103.68</v>
      </c>
      <c r="Q323" s="9">
        <v>5202092</v>
      </c>
      <c r="R323" s="9">
        <v>5202092</v>
      </c>
      <c r="S323" s="9">
        <v>5301092</v>
      </c>
      <c r="T323" s="9">
        <v>5502092</v>
      </c>
      <c r="U323" s="9">
        <v>5500091</v>
      </c>
      <c r="V323" s="9">
        <v>5502091</v>
      </c>
      <c r="W323" s="9">
        <v>9</v>
      </c>
      <c r="X323" s="9">
        <v>9</v>
      </c>
      <c r="Y323" s="9">
        <v>9</v>
      </c>
      <c r="Z323" s="9">
        <v>9</v>
      </c>
      <c r="AA323" s="9">
        <v>9</v>
      </c>
      <c r="AB323" s="9">
        <v>9</v>
      </c>
      <c r="AC323" s="9">
        <f t="shared" si="188"/>
        <v>666</v>
      </c>
      <c r="AD323" s="9">
        <f t="shared" si="189"/>
        <v>720</v>
      </c>
      <c r="AE323" s="9">
        <f t="shared" si="190"/>
        <v>720</v>
      </c>
      <c r="AF323" s="9">
        <f t="shared" si="191"/>
        <v>720</v>
      </c>
      <c r="AG323" s="9">
        <f t="shared" si="192"/>
        <v>720</v>
      </c>
      <c r="AH323" s="9">
        <f t="shared" si="193"/>
        <v>720</v>
      </c>
      <c r="AI323" s="7">
        <f t="shared" si="204"/>
        <v>595683.94666666666</v>
      </c>
      <c r="AJ323" s="7">
        <f t="shared" si="205"/>
        <v>595683.94666666666</v>
      </c>
      <c r="AK323" s="7">
        <f t="shared" si="205"/>
        <v>595683.94666666666</v>
      </c>
      <c r="AL323" s="7">
        <f t="shared" si="205"/>
        <v>595683.94666666666</v>
      </c>
      <c r="AM323" s="7">
        <f t="shared" si="205"/>
        <v>595683.94666666666</v>
      </c>
      <c r="AN323" s="7">
        <f t="shared" si="205"/>
        <v>595683.94666666666</v>
      </c>
      <c r="AO323" s="16"/>
      <c r="AP323" s="7"/>
      <c r="AQ323" s="9">
        <v>7</v>
      </c>
      <c r="AR323" s="9">
        <f t="shared" si="194"/>
        <v>749</v>
      </c>
      <c r="AS323" s="7">
        <f t="shared" si="203"/>
        <v>260</v>
      </c>
      <c r="AT323" s="7"/>
      <c r="AU323" s="16"/>
      <c r="AV323" s="7"/>
      <c r="AW323" s="7"/>
      <c r="AX323" s="7"/>
      <c r="AZ323" s="7"/>
      <c r="BA323" s="9">
        <f t="shared" si="207"/>
        <v>433731.19999999902</v>
      </c>
      <c r="BC323" s="5">
        <f t="shared" si="195"/>
        <v>623</v>
      </c>
      <c r="BR323" s="5">
        <v>5400092</v>
      </c>
      <c r="BS323" s="18">
        <f>[1]monsters!$N323</f>
        <v>292.69</v>
      </c>
      <c r="BT323" s="18">
        <f>[1]monsters!$O323</f>
        <v>29.27</v>
      </c>
      <c r="BU323" s="18">
        <f>[1]monsters!$P323</f>
        <v>1920</v>
      </c>
      <c r="BV323" s="18">
        <f>[1]monsters!$Q323</f>
        <v>192</v>
      </c>
      <c r="BW323" s="18">
        <f>[1]monsters!$R323</f>
        <v>36.590000000000003</v>
      </c>
      <c r="BX323" s="18">
        <f>[1]monsters!$S323</f>
        <v>3.66</v>
      </c>
      <c r="BY323" s="18">
        <f>[1]monsters!$K323</f>
        <v>1.4</v>
      </c>
      <c r="BZ323" s="5">
        <f>[1]monsters!$D323</f>
        <v>5</v>
      </c>
      <c r="CA323" s="5">
        <f t="shared" si="196"/>
        <v>0.1</v>
      </c>
      <c r="CB323" s="5">
        <f t="shared" si="197"/>
        <v>341.23851464646464</v>
      </c>
      <c r="CC323" s="5">
        <f t="shared" si="198"/>
        <v>34.123851464646464</v>
      </c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>
        <v>1</v>
      </c>
      <c r="CR323" s="3" t="b">
        <f t="shared" si="170"/>
        <v>1</v>
      </c>
      <c r="CS323" s="3" t="b">
        <f t="shared" si="171"/>
        <v>1</v>
      </c>
      <c r="CT323" s="3" t="b">
        <f t="shared" si="172"/>
        <v>1</v>
      </c>
      <c r="CU323" s="3" t="b">
        <f t="shared" si="173"/>
        <v>1</v>
      </c>
      <c r="CV323" s="3" t="b">
        <f t="shared" si="174"/>
        <v>1</v>
      </c>
      <c r="CW323" s="3" t="b">
        <f t="shared" si="175"/>
        <v>1</v>
      </c>
      <c r="CX323" s="9" t="str">
        <f t="shared" si="176"/>
        <v>5202092</v>
      </c>
      <c r="CY323" s="9" t="str">
        <f t="shared" si="177"/>
        <v>5202092</v>
      </c>
      <c r="CZ323" s="9" t="str">
        <f t="shared" si="178"/>
        <v>5301092</v>
      </c>
      <c r="DA323" s="9" t="str">
        <f t="shared" si="179"/>
        <v>5502092</v>
      </c>
      <c r="DB323" s="9" t="str">
        <f t="shared" si="180"/>
        <v>5500091</v>
      </c>
      <c r="DC323" s="9" t="str">
        <f t="shared" si="181"/>
        <v>5502091</v>
      </c>
      <c r="DD323" s="9">
        <v>9</v>
      </c>
      <c r="DE323" s="9">
        <v>9</v>
      </c>
      <c r="DF323" s="9">
        <v>9</v>
      </c>
      <c r="DG323" s="9">
        <v>9</v>
      </c>
      <c r="DH323" s="9">
        <v>9</v>
      </c>
      <c r="DI323" s="9">
        <v>9</v>
      </c>
      <c r="DJ323" s="9">
        <v>5</v>
      </c>
      <c r="DK323" s="9">
        <v>5</v>
      </c>
      <c r="DL323" s="9">
        <v>5</v>
      </c>
      <c r="DM323" s="9">
        <v>5</v>
      </c>
      <c r="DN323" s="9">
        <v>5</v>
      </c>
      <c r="DO323" s="9">
        <v>5</v>
      </c>
      <c r="DP323" s="25" t="s">
        <v>200</v>
      </c>
      <c r="DQ323" s="25" t="s">
        <v>200</v>
      </c>
      <c r="DR323" s="25" t="s">
        <v>201</v>
      </c>
      <c r="DS323" s="25" t="s">
        <v>204</v>
      </c>
      <c r="DT323" s="25" t="s">
        <v>197</v>
      </c>
      <c r="DU323" s="25" t="s">
        <v>119</v>
      </c>
      <c r="DV323" s="25">
        <f t="shared" si="182"/>
        <v>1</v>
      </c>
      <c r="DW323" s="25">
        <f t="shared" si="183"/>
        <v>1</v>
      </c>
      <c r="DX323" s="25">
        <f t="shared" si="184"/>
        <v>1</v>
      </c>
      <c r="DY323" s="25">
        <f t="shared" si="185"/>
        <v>2</v>
      </c>
      <c r="DZ323" s="25">
        <f t="shared" si="186"/>
        <v>2</v>
      </c>
      <c r="EA323" s="3">
        <f t="shared" si="187"/>
        <v>2</v>
      </c>
      <c r="EB323" s="44"/>
      <c r="EC323" s="9">
        <v>5502111</v>
      </c>
      <c r="ED323" s="34" t="s">
        <v>119</v>
      </c>
      <c r="EE323" s="8">
        <v>2</v>
      </c>
    </row>
    <row r="324" spans="1:135" ht="13.5" customHeight="1">
      <c r="A324" s="9">
        <v>321</v>
      </c>
      <c r="B324" s="9">
        <v>1</v>
      </c>
      <c r="C324" s="9">
        <v>2001</v>
      </c>
      <c r="D324" s="9">
        <f t="shared" si="202"/>
        <v>4540456</v>
      </c>
      <c r="E324" s="9" t="str">
        <f t="shared" si="199"/>
        <v>5202093,5201093,5302094,5400095,5601091,5400095</v>
      </c>
      <c r="F324" s="9" t="str">
        <f t="shared" si="200"/>
        <v>9,9,9,9,9,9</v>
      </c>
      <c r="G324" s="9" t="str">
        <f t="shared" si="201"/>
        <v>668,722,722,722,722,722</v>
      </c>
      <c r="H324" s="9">
        <v>168</v>
      </c>
      <c r="I324" s="9" t="s">
        <v>278</v>
      </c>
      <c r="J324" s="9" t="s">
        <v>279</v>
      </c>
      <c r="K324" s="9" t="s">
        <v>279</v>
      </c>
      <c r="L324" s="9" t="s">
        <v>279</v>
      </c>
      <c r="M324" s="36" t="s">
        <v>301</v>
      </c>
      <c r="N324" s="40"/>
      <c r="O324" s="3">
        <f t="shared" si="206"/>
        <v>4540456</v>
      </c>
      <c r="P324" s="9">
        <v>3589293.35</v>
      </c>
      <c r="Q324" s="9">
        <v>5202093</v>
      </c>
      <c r="R324" s="9">
        <v>5201093</v>
      </c>
      <c r="S324" s="9">
        <v>5302094</v>
      </c>
      <c r="T324" s="9">
        <v>5400095</v>
      </c>
      <c r="U324" s="9">
        <v>5601091</v>
      </c>
      <c r="V324" s="9">
        <v>5400095</v>
      </c>
      <c r="W324" s="9">
        <v>9</v>
      </c>
      <c r="X324" s="9">
        <v>9</v>
      </c>
      <c r="Y324" s="9">
        <v>9</v>
      </c>
      <c r="Z324" s="9">
        <v>9</v>
      </c>
      <c r="AA324" s="9">
        <v>9</v>
      </c>
      <c r="AB324" s="9">
        <v>9</v>
      </c>
      <c r="AC324" s="9">
        <f t="shared" si="188"/>
        <v>668</v>
      </c>
      <c r="AD324" s="9">
        <f t="shared" si="189"/>
        <v>722</v>
      </c>
      <c r="AE324" s="9">
        <f t="shared" si="190"/>
        <v>722</v>
      </c>
      <c r="AF324" s="9">
        <f t="shared" si="191"/>
        <v>722</v>
      </c>
      <c r="AG324" s="9">
        <f t="shared" si="192"/>
        <v>722</v>
      </c>
      <c r="AH324" s="9">
        <f t="shared" si="193"/>
        <v>722</v>
      </c>
      <c r="AI324" s="7">
        <f t="shared" si="204"/>
        <v>598215.55833333335</v>
      </c>
      <c r="AJ324" s="7">
        <f t="shared" si="205"/>
        <v>598215.55833333335</v>
      </c>
      <c r="AK324" s="7">
        <f t="shared" si="205"/>
        <v>598215.55833333335</v>
      </c>
      <c r="AL324" s="7">
        <f t="shared" si="205"/>
        <v>598215.55833333335</v>
      </c>
      <c r="AM324" s="7">
        <f t="shared" si="205"/>
        <v>598215.55833333335</v>
      </c>
      <c r="AN324" s="7">
        <f t="shared" si="205"/>
        <v>598215.55833333335</v>
      </c>
      <c r="AO324" s="16"/>
      <c r="AP324" s="7"/>
      <c r="AQ324" s="9">
        <v>7</v>
      </c>
      <c r="AR324" s="9">
        <f t="shared" si="194"/>
        <v>751</v>
      </c>
      <c r="AS324" s="7">
        <f t="shared" si="203"/>
        <v>260</v>
      </c>
      <c r="AT324" s="7"/>
      <c r="AU324" s="16"/>
      <c r="AV324" s="7"/>
      <c r="AW324" s="7"/>
      <c r="AX324" s="7"/>
      <c r="AZ324" s="7"/>
      <c r="BA324" s="9">
        <f t="shared" si="207"/>
        <v>436121.55999999901</v>
      </c>
      <c r="BC324" s="5">
        <f t="shared" si="195"/>
        <v>624</v>
      </c>
      <c r="BR324" s="5">
        <v>5402092</v>
      </c>
      <c r="BS324" s="18">
        <f>[1]monsters!$N324</f>
        <v>347.2</v>
      </c>
      <c r="BT324" s="18">
        <f>[1]monsters!$O324</f>
        <v>34.72</v>
      </c>
      <c r="BU324" s="18">
        <f>[1]monsters!$P324</f>
        <v>1734.19</v>
      </c>
      <c r="BV324" s="18">
        <f>[1]monsters!$Q324</f>
        <v>173.42</v>
      </c>
      <c r="BW324" s="18">
        <f>[1]monsters!$R324</f>
        <v>34.72</v>
      </c>
      <c r="BX324" s="18">
        <f>[1]monsters!$S324</f>
        <v>3.47</v>
      </c>
      <c r="BY324" s="18">
        <f>[1]monsters!$K324</f>
        <v>1.5</v>
      </c>
      <c r="BZ324" s="5">
        <f>[1]monsters!$D324</f>
        <v>6</v>
      </c>
      <c r="CA324" s="5">
        <f t="shared" si="196"/>
        <v>0.1</v>
      </c>
      <c r="CB324" s="5">
        <f t="shared" si="197"/>
        <v>386.49423569023566</v>
      </c>
      <c r="CC324" s="5">
        <f t="shared" si="198"/>
        <v>38.649423569023568</v>
      </c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>
        <v>0</v>
      </c>
      <c r="CR324" s="3" t="b">
        <f t="shared" ref="CR324:CR387" si="208">IF(ISERROR(MATCH(INT(CX324),$EC$4:$EC$426,0))=FALSE,TRUE)</f>
        <v>1</v>
      </c>
      <c r="CS324" s="3" t="b">
        <f t="shared" ref="CS324:CS387" si="209">IF(ISERROR(MATCH(INT(CY324),$EC$4:$EC$426,0))=FALSE,TRUE)</f>
        <v>1</v>
      </c>
      <c r="CT324" s="3" t="b">
        <f t="shared" ref="CT324:CT387" si="210">IF(ISERROR(MATCH(INT(CZ324),$EC$4:$EC$426,0))=FALSE,TRUE)</f>
        <v>1</v>
      </c>
      <c r="CU324" s="3" t="b">
        <f t="shared" ref="CU324:CU387" si="211">IF(ISERROR(MATCH(INT(DA324),$EC$4:$EC$426,0))=FALSE,TRUE)</f>
        <v>1</v>
      </c>
      <c r="CV324" s="3" t="b">
        <f t="shared" ref="CV324:CV387" si="212">IF(ISERROR(MATCH(INT(DB324),$EC$4:$EC$426,0))=FALSE,TRUE)</f>
        <v>1</v>
      </c>
      <c r="CW324" s="3" t="b">
        <f t="shared" ref="CW324:CW387" si="213">IF(ISERROR(MATCH(INT(DC324),$EC$4:$EC$426,0))=FALSE,TRUE)</f>
        <v>1</v>
      </c>
      <c r="CX324" s="9" t="str">
        <f t="shared" ref="CX324:CX387" si="214">REPLACE(REPLACE(INDEX($EC$4:$EC$426,MATCH(DP324,$ED$4:$ED$426,0)),IF(DD324&gt;9,5,6),IF(DD324&gt;9,2,1),DD324),1,1,DJ324)</f>
        <v>5202093</v>
      </c>
      <c r="CY324" s="9" t="str">
        <f t="shared" ref="CY324:CY387" si="215">REPLACE(REPLACE(INDEX($EC$4:$EC$426,MATCH(DQ324,$ED$4:$ED$426,0)),IF(DE324&gt;9,5,6),IF(DE324&gt;9,2,1),DE324),1,1,DK324)</f>
        <v>5201093</v>
      </c>
      <c r="CZ324" s="9" t="str">
        <f t="shared" ref="CZ324:CZ387" si="216">REPLACE(REPLACE(INDEX($EC$4:$EC$426,MATCH(DR324,$ED$4:$ED$426,0)),IF(DF324&gt;9,5,6),IF(DF324&gt;9,2,1),DF324),1,1,DL324)</f>
        <v>5302094</v>
      </c>
      <c r="DA324" s="9" t="str">
        <f t="shared" ref="DA324:DA387" si="217">REPLACE(REPLACE(INDEX($EC$4:$EC$426,MATCH(DS324,$ED$4:$ED$426,0)),IF(DG324&gt;9,5,6),IF(DG324&gt;9,2,1),DG324),1,1,DM324)</f>
        <v>5400095</v>
      </c>
      <c r="DB324" s="9" t="str">
        <f t="shared" ref="DB324:DB387" si="218">REPLACE(REPLACE(INDEX($EC$4:$EC$426,MATCH(DT324,$ED$4:$ED$426,0)),IF(DH324&gt;9,5,6),IF(DH324&gt;9,2,1),DH324),1,1,DN324)</f>
        <v>5601091</v>
      </c>
      <c r="DC324" s="9" t="str">
        <f t="shared" ref="DC324:DC387" si="219">REPLACE(REPLACE(INDEX($EC$4:$EC$426,MATCH(DU324,$ED$4:$ED$426,0)),IF(DI324&gt;9,5,6),IF(DI324&gt;9,2,1),DI324),1,1,DO324)</f>
        <v>5400095</v>
      </c>
      <c r="DD324" s="9">
        <v>9</v>
      </c>
      <c r="DE324" s="9">
        <v>9</v>
      </c>
      <c r="DF324" s="9">
        <v>9</v>
      </c>
      <c r="DG324" s="9">
        <v>9</v>
      </c>
      <c r="DH324" s="9">
        <v>9</v>
      </c>
      <c r="DI324" s="9">
        <v>9</v>
      </c>
      <c r="DJ324" s="9">
        <v>5</v>
      </c>
      <c r="DK324" s="9">
        <v>5</v>
      </c>
      <c r="DL324" s="9">
        <v>5</v>
      </c>
      <c r="DM324" s="9">
        <v>5</v>
      </c>
      <c r="DN324" s="9">
        <v>5</v>
      </c>
      <c r="DO324" s="9">
        <v>5</v>
      </c>
      <c r="DP324" s="25" t="s">
        <v>208</v>
      </c>
      <c r="DQ324" s="25" t="s">
        <v>205</v>
      </c>
      <c r="DR324" s="25" t="s">
        <v>218</v>
      </c>
      <c r="DS324" s="25" t="s">
        <v>210</v>
      </c>
      <c r="DT324" s="25" t="s">
        <v>198</v>
      </c>
      <c r="DU324" s="25" t="s">
        <v>210</v>
      </c>
      <c r="DV324" s="25">
        <f t="shared" ref="DV324:DV387" si="220">INDEX($EE$4:$EE$426,MATCH(DP324,$ED$4:$ED$426,0))</f>
        <v>1</v>
      </c>
      <c r="DW324" s="25">
        <f t="shared" ref="DW324:DW387" si="221">INDEX($EE$4:$EE$426,MATCH(DQ324,$ED$4:$ED$426,0))</f>
        <v>1</v>
      </c>
      <c r="DX324" s="25">
        <f t="shared" ref="DX324:DX387" si="222">INDEX($EE$4:$EE$426,MATCH(DR324,$ED$4:$ED$426,0))</f>
        <v>1</v>
      </c>
      <c r="DY324" s="25">
        <f t="shared" ref="DY324:DY387" si="223">INDEX($EE$4:$EE$426,MATCH(DS324,$ED$4:$ED$426,0))</f>
        <v>2</v>
      </c>
      <c r="DZ324" s="25">
        <f t="shared" ref="DZ324:DZ387" si="224">INDEX($EE$4:$EE$426,MATCH(DT324,$ED$4:$ED$426,0))</f>
        <v>2</v>
      </c>
      <c r="EA324" s="3">
        <f t="shared" ref="EA324:EA387" si="225">INDEX($EE$4:$EE$426,MATCH(DU324,$ED$4:$ED$426,0))</f>
        <v>2</v>
      </c>
      <c r="EB324" s="44"/>
      <c r="EC324" s="9">
        <v>5601111</v>
      </c>
      <c r="ED324" s="34" t="s">
        <v>198</v>
      </c>
      <c r="EE324" s="8">
        <v>2</v>
      </c>
    </row>
    <row r="325" spans="1:135" ht="13.5" customHeight="1">
      <c r="A325" s="9">
        <v>322</v>
      </c>
      <c r="B325" s="9">
        <v>1</v>
      </c>
      <c r="C325" s="9">
        <v>2001</v>
      </c>
      <c r="D325" s="9">
        <f t="shared" si="202"/>
        <v>4559714</v>
      </c>
      <c r="E325" s="9" t="str">
        <f t="shared" si="199"/>
        <v>5200093,5202095,5301093,5401093,5400095,5501095</v>
      </c>
      <c r="F325" s="9" t="str">
        <f t="shared" si="200"/>
        <v>9,9,9,9,9,9</v>
      </c>
      <c r="G325" s="9" t="str">
        <f t="shared" si="201"/>
        <v>669,724,724,724,724,724</v>
      </c>
      <c r="H325" s="9">
        <v>168</v>
      </c>
      <c r="I325" s="9" t="s">
        <v>278</v>
      </c>
      <c r="J325" s="9" t="s">
        <v>279</v>
      </c>
      <c r="K325" s="9" t="s">
        <v>279</v>
      </c>
      <c r="L325" s="9" t="s">
        <v>279</v>
      </c>
      <c r="M325" s="36" t="s">
        <v>301</v>
      </c>
      <c r="N325" s="40"/>
      <c r="O325" s="3">
        <f t="shared" si="206"/>
        <v>4559714</v>
      </c>
      <c r="P325" s="9">
        <v>3604516.85</v>
      </c>
      <c r="Q325" s="9">
        <v>5200093</v>
      </c>
      <c r="R325" s="9">
        <v>5202095</v>
      </c>
      <c r="S325" s="9">
        <v>5301093</v>
      </c>
      <c r="T325" s="9">
        <v>5401093</v>
      </c>
      <c r="U325" s="9">
        <v>5400095</v>
      </c>
      <c r="V325" s="9">
        <v>5501095</v>
      </c>
      <c r="W325" s="9">
        <v>9</v>
      </c>
      <c r="X325" s="9">
        <v>9</v>
      </c>
      <c r="Y325" s="9">
        <v>9</v>
      </c>
      <c r="Z325" s="9">
        <v>9</v>
      </c>
      <c r="AA325" s="9">
        <v>9</v>
      </c>
      <c r="AB325" s="9">
        <v>9</v>
      </c>
      <c r="AC325" s="9">
        <f t="shared" ref="AC325:AC388" si="226">IF(AI325&gt;0,FLOOR((POWER((AI325/IF(AND(W325&gt;=2,W325&lt;4),1.1,IF(AND(W325&gt;=4,W325&lt;6),1.2,IF(W325&gt;=6,1.4,1)))/$Z$1),0.5)/INDEX($BD$4:$BQ$4,MATCH(W325,$BD$3:$BQ$3,0))-1)*10,1),"")</f>
        <v>669</v>
      </c>
      <c r="AD325" s="9">
        <f t="shared" ref="AD325:AD388" si="227">IF(AJ325&gt;0,FLOOR((POWER((AJ325/IF(AND(X325&gt;=2,X325&lt;4),1.1,IF(AND(X325&gt;=4,X325&lt;6),1.15,IF(X325&gt;=6,1.2,1)))/$Z$1),0.5)/INDEX($BD$4:$BQ$4,MATCH(X325,$BD$3:$BQ$3,0))-1)*10,1),"")</f>
        <v>724</v>
      </c>
      <c r="AE325" s="9">
        <f t="shared" ref="AE325:AE388" si="228">IF(AK325&gt;0,FLOOR((POWER((AK325/IF(AND(Y325&gt;=2,Y325&lt;4),1.1,IF(AND(Y325&gt;=4,Y325&lt;6),1.15,IF(Y325&gt;=6,1.2,1)))/$Z$1),0.5)/INDEX($BD$4:$BQ$4,MATCH(Y325,$BD$3:$BQ$3,0))-1)*10,1),"")</f>
        <v>724</v>
      </c>
      <c r="AF325" s="9">
        <f t="shared" ref="AF325:AF388" si="229">IF(AL325&gt;0,FLOOR((POWER((AL325/IF(AND(Z325&gt;=2,Z325&lt;4),1.1,IF(AND(Z325&gt;=4,Z325&lt;6),1.15,IF(Z325&gt;=6,1.2,1)))/$Z$1),0.5)/INDEX($BD$4:$BQ$4,MATCH(Z325,$BD$3:$BQ$3,0))-1)*10,1),"")</f>
        <v>724</v>
      </c>
      <c r="AG325" s="9">
        <f t="shared" ref="AG325:AG388" si="230">IF(AM325&gt;0,FLOOR((POWER((AM325/IF(AND(AA325&gt;=2,AA325&lt;4),1.1,IF(AND(AA325&gt;=4,AA325&lt;6),1.15,IF(AA325&gt;=6,1.2,1)))/$Z$1),0.5)/INDEX($BD$4:$BQ$4,MATCH(AA325,$BD$3:$BQ$3,0))-1)*10,1),"")</f>
        <v>724</v>
      </c>
      <c r="AH325" s="9">
        <f t="shared" ref="AH325:AH388" si="231">IF(AN325&gt;0,FLOOR((POWER((AN325/IF(AND(AB325&gt;=2,AB325&lt;4),1.1,IF(AND(AB325&gt;=4,AB325&lt;6),1.15,IF(AB325&gt;=6,1.2,1)))/$Z$1),0.5)/INDEX($BD$4:$BQ$4,MATCH(AB325,$BD$3:$BQ$3,0))-1)*10,1),"")</f>
        <v>724</v>
      </c>
      <c r="AI325" s="7">
        <f t="shared" si="204"/>
        <v>600752.80833333335</v>
      </c>
      <c r="AJ325" s="7">
        <f t="shared" si="205"/>
        <v>600752.80833333335</v>
      </c>
      <c r="AK325" s="7">
        <f t="shared" si="205"/>
        <v>600752.80833333335</v>
      </c>
      <c r="AL325" s="7">
        <f t="shared" si="205"/>
        <v>600752.80833333335</v>
      </c>
      <c r="AM325" s="7">
        <f t="shared" si="205"/>
        <v>600752.80833333335</v>
      </c>
      <c r="AN325" s="7">
        <f t="shared" si="205"/>
        <v>600752.80833333335</v>
      </c>
      <c r="AO325" s="16"/>
      <c r="AP325" s="7"/>
      <c r="AQ325" s="9">
        <v>7</v>
      </c>
      <c r="AR325" s="9">
        <f t="shared" ref="AR325:AR388" si="232">IF(AI325&gt;0,FLOOR((POWER((AI325/IF(AND(AQ325&gt;=2,AQ325&lt;4),1.2,IF(AND(AQ325&gt;=4,AQ325&lt;6),1.4,IF(AQ325&gt;=6,1.6,1)))/$Z$1),0.5)/INDEX($BD$4:$BQ$4,MATCH(AQ325,$BD$3:$BQ$3,0))-1)*10,1),"")</f>
        <v>752</v>
      </c>
      <c r="AS325" s="7">
        <f t="shared" si="203"/>
        <v>261</v>
      </c>
      <c r="AT325" s="7"/>
      <c r="AU325" s="16"/>
      <c r="AV325" s="7"/>
      <c r="AW325" s="7"/>
      <c r="AX325" s="7"/>
      <c r="AZ325" s="7"/>
      <c r="BA325" s="9">
        <f t="shared" si="207"/>
        <v>438511.91999999899</v>
      </c>
      <c r="BC325" s="5">
        <f t="shared" ref="BC325:BC388" si="233">FLOOR(POWER(((3000*1.5/0.9/1.05)/(96*INDEX($BD$4:$BO$4,MATCH(W325,$BD$3:$BO$3,0))*8*INDEX($BD$4:$BO$4,MATCH(W325,$BD$3:$BO$3,0)))*AI325/IF(AND(W325&gt;=2,W325&lt;4),1.2,IF(AND(W325&gt;=4,W325&lt;6),1.4,IF(W325&gt;=6,1.6,1)))),1/2)-10,1)</f>
        <v>625</v>
      </c>
      <c r="BR325" s="5">
        <v>5500092</v>
      </c>
      <c r="BS325" s="18">
        <f>[1]monsters!$N325</f>
        <v>224</v>
      </c>
      <c r="BT325" s="18">
        <f>[1]monsters!$O325</f>
        <v>22.4</v>
      </c>
      <c r="BU325" s="18">
        <f>[1]monsters!$P325</f>
        <v>2688</v>
      </c>
      <c r="BV325" s="18">
        <f>[1]monsters!$Q325</f>
        <v>268.8</v>
      </c>
      <c r="BW325" s="18">
        <f>[1]monsters!$R325</f>
        <v>56</v>
      </c>
      <c r="BX325" s="18">
        <f>[1]monsters!$S325</f>
        <v>5.6</v>
      </c>
      <c r="BY325" s="18">
        <f>[1]monsters!$K325</f>
        <v>1.5</v>
      </c>
      <c r="BZ325" s="5">
        <f>[1]monsters!$D325</f>
        <v>2</v>
      </c>
      <c r="CA325" s="5">
        <f t="shared" ref="CA325:CA388" si="234">INDEX($CH$5:$CH$10,MATCH($BZ325,$CG$5:$CG$10))</f>
        <v>0.1</v>
      </c>
      <c r="CB325" s="5">
        <f t="shared" ref="CB325:CB388" si="235">(BU325/33/(1-CA325)/(1-0)+BS325*(1+0.5*0.1)*0.9)</f>
        <v>302.18505050505053</v>
      </c>
      <c r="CC325" s="5">
        <f t="shared" ref="CC325:CC388" si="236">(BU325/33/(1-CA325)/(1-0)+BS325*(1+0.5*0.1)*0.9)*0.1</f>
        <v>30.218505050505055</v>
      </c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>
        <v>0</v>
      </c>
      <c r="CR325" s="3" t="b">
        <f t="shared" si="208"/>
        <v>1</v>
      </c>
      <c r="CS325" s="3" t="b">
        <f t="shared" si="209"/>
        <v>1</v>
      </c>
      <c r="CT325" s="3" t="b">
        <f t="shared" si="210"/>
        <v>1</v>
      </c>
      <c r="CU325" s="3" t="b">
        <f t="shared" si="211"/>
        <v>1</v>
      </c>
      <c r="CV325" s="3" t="b">
        <f t="shared" si="212"/>
        <v>1</v>
      </c>
      <c r="CW325" s="3" t="b">
        <f t="shared" si="213"/>
        <v>1</v>
      </c>
      <c r="CX325" s="9" t="str">
        <f t="shared" si="214"/>
        <v>5200093</v>
      </c>
      <c r="CY325" s="9" t="str">
        <f t="shared" si="215"/>
        <v>5202095</v>
      </c>
      <c r="CZ325" s="9" t="str">
        <f t="shared" si="216"/>
        <v>5301093</v>
      </c>
      <c r="DA325" s="9" t="str">
        <f t="shared" si="217"/>
        <v>5401093</v>
      </c>
      <c r="DB325" s="9" t="str">
        <f t="shared" si="218"/>
        <v>5400095</v>
      </c>
      <c r="DC325" s="9" t="str">
        <f t="shared" si="219"/>
        <v>5501095</v>
      </c>
      <c r="DD325" s="9">
        <v>9</v>
      </c>
      <c r="DE325" s="9">
        <v>9</v>
      </c>
      <c r="DF325" s="9">
        <v>9</v>
      </c>
      <c r="DG325" s="9">
        <v>9</v>
      </c>
      <c r="DH325" s="9">
        <v>9</v>
      </c>
      <c r="DI325" s="9">
        <v>9</v>
      </c>
      <c r="DJ325" s="9">
        <v>5</v>
      </c>
      <c r="DK325" s="9">
        <v>5</v>
      </c>
      <c r="DL325" s="9">
        <v>5</v>
      </c>
      <c r="DM325" s="9">
        <v>5</v>
      </c>
      <c r="DN325" s="9">
        <v>5</v>
      </c>
      <c r="DO325" s="9">
        <v>5</v>
      </c>
      <c r="DP325" s="25" t="s">
        <v>113</v>
      </c>
      <c r="DQ325" s="25" t="s">
        <v>213</v>
      </c>
      <c r="DR325" s="25" t="s">
        <v>206</v>
      </c>
      <c r="DS325" s="25" t="s">
        <v>211</v>
      </c>
      <c r="DT325" s="25" t="s">
        <v>210</v>
      </c>
      <c r="DU325" s="25" t="s">
        <v>209</v>
      </c>
      <c r="DV325" s="25">
        <f t="shared" si="220"/>
        <v>1</v>
      </c>
      <c r="DW325" s="25">
        <f t="shared" si="221"/>
        <v>1</v>
      </c>
      <c r="DX325" s="25">
        <f t="shared" si="222"/>
        <v>1</v>
      </c>
      <c r="DY325" s="25">
        <f t="shared" si="223"/>
        <v>2</v>
      </c>
      <c r="DZ325" s="25">
        <f t="shared" si="224"/>
        <v>2</v>
      </c>
      <c r="EA325" s="3">
        <f t="shared" si="225"/>
        <v>2</v>
      </c>
      <c r="EB325" s="44"/>
      <c r="EC325" s="9">
        <v>5200112</v>
      </c>
      <c r="ED325" s="34" t="s">
        <v>199</v>
      </c>
      <c r="EE325" s="8">
        <v>1</v>
      </c>
    </row>
    <row r="326" spans="1:135" ht="13.5" customHeight="1">
      <c r="A326" s="9">
        <v>323</v>
      </c>
      <c r="B326" s="9">
        <v>1</v>
      </c>
      <c r="C326" s="9">
        <v>2001</v>
      </c>
      <c r="D326" s="9">
        <f t="shared" si="202"/>
        <v>4579009</v>
      </c>
      <c r="E326" s="9" t="str">
        <f t="shared" si="199"/>
        <v>5201093,5200093,5301091,5501094,5500093,5501094</v>
      </c>
      <c r="F326" s="9" t="str">
        <f t="shared" si="200"/>
        <v>9,9,9,9,9,9</v>
      </c>
      <c r="G326" s="9" t="str">
        <f t="shared" si="201"/>
        <v>671,725,725,725,725,725</v>
      </c>
      <c r="H326" s="9">
        <v>169</v>
      </c>
      <c r="I326" s="9" t="s">
        <v>278</v>
      </c>
      <c r="J326" s="9" t="s">
        <v>279</v>
      </c>
      <c r="K326" s="9" t="s">
        <v>279</v>
      </c>
      <c r="L326" s="9" t="s">
        <v>279</v>
      </c>
      <c r="M326" s="36" t="s">
        <v>301</v>
      </c>
      <c r="N326" s="40"/>
      <c r="O326" s="3">
        <f t="shared" si="206"/>
        <v>4579009</v>
      </c>
      <c r="P326" s="9">
        <v>3619770.2</v>
      </c>
      <c r="Q326" s="9">
        <v>5201093</v>
      </c>
      <c r="R326" s="9">
        <v>5200093</v>
      </c>
      <c r="S326" s="9">
        <v>5301091</v>
      </c>
      <c r="T326" s="9">
        <v>5501094</v>
      </c>
      <c r="U326" s="9">
        <v>5500093</v>
      </c>
      <c r="V326" s="9">
        <v>5501094</v>
      </c>
      <c r="W326" s="9">
        <v>9</v>
      </c>
      <c r="X326" s="9">
        <v>9</v>
      </c>
      <c r="Y326" s="9">
        <v>9</v>
      </c>
      <c r="Z326" s="9">
        <v>9</v>
      </c>
      <c r="AA326" s="9">
        <v>9</v>
      </c>
      <c r="AB326" s="9">
        <v>9</v>
      </c>
      <c r="AC326" s="9">
        <f t="shared" si="226"/>
        <v>671</v>
      </c>
      <c r="AD326" s="9">
        <f t="shared" si="227"/>
        <v>725</v>
      </c>
      <c r="AE326" s="9">
        <f t="shared" si="228"/>
        <v>725</v>
      </c>
      <c r="AF326" s="9">
        <f t="shared" si="229"/>
        <v>725</v>
      </c>
      <c r="AG326" s="9">
        <f t="shared" si="230"/>
        <v>725</v>
      </c>
      <c r="AH326" s="9">
        <f t="shared" si="231"/>
        <v>725</v>
      </c>
      <c r="AI326" s="7">
        <f t="shared" si="204"/>
        <v>603295.03333333333</v>
      </c>
      <c r="AJ326" s="7">
        <f t="shared" si="205"/>
        <v>603295.03333333333</v>
      </c>
      <c r="AK326" s="7">
        <f t="shared" si="205"/>
        <v>603295.03333333333</v>
      </c>
      <c r="AL326" s="7">
        <f t="shared" si="205"/>
        <v>603295.03333333333</v>
      </c>
      <c r="AM326" s="7">
        <f t="shared" si="205"/>
        <v>603295.03333333333</v>
      </c>
      <c r="AN326" s="7">
        <f t="shared" si="205"/>
        <v>603295.03333333333</v>
      </c>
      <c r="AO326" s="16"/>
      <c r="AP326" s="7"/>
      <c r="AQ326" s="9">
        <v>7</v>
      </c>
      <c r="AR326" s="9">
        <f t="shared" si="232"/>
        <v>754</v>
      </c>
      <c r="AS326" s="7">
        <f t="shared" si="203"/>
        <v>261</v>
      </c>
      <c r="AT326" s="7"/>
      <c r="AU326" s="16"/>
      <c r="AV326" s="7"/>
      <c r="AW326" s="7"/>
      <c r="AX326" s="7"/>
      <c r="AZ326" s="7"/>
      <c r="BA326" s="9">
        <f t="shared" si="207"/>
        <v>440902.27999999898</v>
      </c>
      <c r="BC326" s="5">
        <f t="shared" si="233"/>
        <v>627</v>
      </c>
      <c r="BR326" s="5">
        <v>5502092</v>
      </c>
      <c r="BS326" s="18">
        <f>[1]monsters!$N326</f>
        <v>215.04</v>
      </c>
      <c r="BT326" s="18">
        <f>[1]monsters!$O326</f>
        <v>21.5</v>
      </c>
      <c r="BU326" s="18">
        <f>[1]monsters!$P326</f>
        <v>3360</v>
      </c>
      <c r="BV326" s="18">
        <f>[1]monsters!$Q326</f>
        <v>336</v>
      </c>
      <c r="BW326" s="18">
        <f>[1]monsters!$R326</f>
        <v>71.680000000000007</v>
      </c>
      <c r="BX326" s="18">
        <f>[1]monsters!$S326</f>
        <v>7.17</v>
      </c>
      <c r="BY326" s="18">
        <f>[1]monsters!$K326</f>
        <v>1.8</v>
      </c>
      <c r="BZ326" s="5">
        <f>[1]monsters!$D326</f>
        <v>2</v>
      </c>
      <c r="CA326" s="5">
        <f t="shared" si="234"/>
        <v>0.1</v>
      </c>
      <c r="CB326" s="5">
        <f t="shared" si="235"/>
        <v>316.34411313131312</v>
      </c>
      <c r="CC326" s="5">
        <f t="shared" si="236"/>
        <v>31.634411313131313</v>
      </c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>
        <v>0</v>
      </c>
      <c r="CR326" s="3" t="b">
        <f t="shared" si="208"/>
        <v>1</v>
      </c>
      <c r="CS326" s="3" t="b">
        <f t="shared" si="209"/>
        <v>1</v>
      </c>
      <c r="CT326" s="3" t="b">
        <f t="shared" si="210"/>
        <v>1</v>
      </c>
      <c r="CU326" s="3" t="b">
        <f t="shared" si="211"/>
        <v>1</v>
      </c>
      <c r="CV326" s="3" t="b">
        <f t="shared" si="212"/>
        <v>1</v>
      </c>
      <c r="CW326" s="3" t="b">
        <f t="shared" si="213"/>
        <v>1</v>
      </c>
      <c r="CX326" s="9" t="str">
        <f t="shared" si="214"/>
        <v>5201093</v>
      </c>
      <c r="CY326" s="9" t="str">
        <f t="shared" si="215"/>
        <v>5200093</v>
      </c>
      <c r="CZ326" s="9" t="str">
        <f t="shared" si="216"/>
        <v>5301091</v>
      </c>
      <c r="DA326" s="9" t="str">
        <f t="shared" si="217"/>
        <v>5501094</v>
      </c>
      <c r="DB326" s="9" t="str">
        <f t="shared" si="218"/>
        <v>5500093</v>
      </c>
      <c r="DC326" s="9" t="str">
        <f t="shared" si="219"/>
        <v>5501094</v>
      </c>
      <c r="DD326" s="9">
        <v>9</v>
      </c>
      <c r="DE326" s="9">
        <v>9</v>
      </c>
      <c r="DF326" s="9">
        <v>9</v>
      </c>
      <c r="DG326" s="9">
        <v>9</v>
      </c>
      <c r="DH326" s="9">
        <v>9</v>
      </c>
      <c r="DI326" s="9">
        <v>9</v>
      </c>
      <c r="DJ326" s="9">
        <v>5</v>
      </c>
      <c r="DK326" s="9">
        <v>5</v>
      </c>
      <c r="DL326" s="9">
        <v>5</v>
      </c>
      <c r="DM326" s="9">
        <v>5</v>
      </c>
      <c r="DN326" s="9">
        <v>5</v>
      </c>
      <c r="DO326" s="9">
        <v>5</v>
      </c>
      <c r="DP326" s="25" t="s">
        <v>205</v>
      </c>
      <c r="DQ326" s="25" t="s">
        <v>113</v>
      </c>
      <c r="DR326" s="25" t="s">
        <v>107</v>
      </c>
      <c r="DS326" s="25" t="s">
        <v>214</v>
      </c>
      <c r="DT326" s="25" t="s">
        <v>207</v>
      </c>
      <c r="DU326" s="25" t="s">
        <v>214</v>
      </c>
      <c r="DV326" s="25">
        <f t="shared" si="220"/>
        <v>1</v>
      </c>
      <c r="DW326" s="25">
        <f t="shared" si="221"/>
        <v>1</v>
      </c>
      <c r="DX326" s="25">
        <f t="shared" si="222"/>
        <v>1</v>
      </c>
      <c r="DY326" s="25">
        <f t="shared" si="223"/>
        <v>2</v>
      </c>
      <c r="DZ326" s="25">
        <f t="shared" si="224"/>
        <v>2</v>
      </c>
      <c r="EA326" s="3">
        <f t="shared" si="225"/>
        <v>2</v>
      </c>
      <c r="EB326" s="44"/>
      <c r="EC326" s="9">
        <v>5201112</v>
      </c>
      <c r="ED326" s="34" t="s">
        <v>114</v>
      </c>
      <c r="EE326" s="8">
        <v>1</v>
      </c>
    </row>
    <row r="327" spans="1:135" ht="13.5" customHeight="1">
      <c r="A327" s="9">
        <v>324</v>
      </c>
      <c r="B327" s="9">
        <v>1</v>
      </c>
      <c r="C327" s="9">
        <v>2001</v>
      </c>
      <c r="D327" s="9">
        <f t="shared" si="202"/>
        <v>4598348</v>
      </c>
      <c r="E327" s="9" t="str">
        <f t="shared" si="199"/>
        <v>5200091,5301092,5201091,5401091,5401093,5400095</v>
      </c>
      <c r="F327" s="9" t="str">
        <f t="shared" si="200"/>
        <v>9,9,9,9,9,9</v>
      </c>
      <c r="G327" s="9" t="str">
        <f t="shared" si="201"/>
        <v>672,727,727,727,727,727</v>
      </c>
      <c r="H327" s="9">
        <v>169</v>
      </c>
      <c r="I327" s="9" t="s">
        <v>278</v>
      </c>
      <c r="J327" s="9" t="s">
        <v>279</v>
      </c>
      <c r="K327" s="9" t="s">
        <v>279</v>
      </c>
      <c r="L327" s="9" t="s">
        <v>279</v>
      </c>
      <c r="M327" s="36" t="s">
        <v>301</v>
      </c>
      <c r="N327" s="40"/>
      <c r="O327" s="3">
        <f t="shared" si="206"/>
        <v>4598348</v>
      </c>
      <c r="P327" s="9">
        <v>3635057.38</v>
      </c>
      <c r="Q327" s="9">
        <v>5200091</v>
      </c>
      <c r="R327" s="9">
        <v>5301092</v>
      </c>
      <c r="S327" s="9">
        <v>5201091</v>
      </c>
      <c r="T327" s="9">
        <v>5401091</v>
      </c>
      <c r="U327" s="9">
        <v>5401093</v>
      </c>
      <c r="V327" s="9">
        <v>5400095</v>
      </c>
      <c r="W327" s="9">
        <v>9</v>
      </c>
      <c r="X327" s="9">
        <v>9</v>
      </c>
      <c r="Y327" s="9">
        <v>9</v>
      </c>
      <c r="Z327" s="9">
        <v>9</v>
      </c>
      <c r="AA327" s="9">
        <v>9</v>
      </c>
      <c r="AB327" s="9">
        <v>9</v>
      </c>
      <c r="AC327" s="9">
        <f t="shared" si="226"/>
        <v>672</v>
      </c>
      <c r="AD327" s="9">
        <f t="shared" si="227"/>
        <v>727</v>
      </c>
      <c r="AE327" s="9">
        <f t="shared" si="228"/>
        <v>727</v>
      </c>
      <c r="AF327" s="9">
        <f t="shared" si="229"/>
        <v>727</v>
      </c>
      <c r="AG327" s="9">
        <f t="shared" si="230"/>
        <v>727</v>
      </c>
      <c r="AH327" s="9">
        <f t="shared" si="231"/>
        <v>727</v>
      </c>
      <c r="AI327" s="7">
        <f t="shared" si="204"/>
        <v>605842.89666666661</v>
      </c>
      <c r="AJ327" s="7">
        <f t="shared" si="205"/>
        <v>605842.89666666661</v>
      </c>
      <c r="AK327" s="7">
        <f t="shared" si="205"/>
        <v>605842.89666666661</v>
      </c>
      <c r="AL327" s="7">
        <f t="shared" si="205"/>
        <v>605842.89666666661</v>
      </c>
      <c r="AM327" s="7">
        <f t="shared" si="205"/>
        <v>605842.89666666661</v>
      </c>
      <c r="AN327" s="7">
        <f t="shared" si="205"/>
        <v>605842.89666666661</v>
      </c>
      <c r="AO327" s="16"/>
      <c r="AP327" s="7"/>
      <c r="AQ327" s="9">
        <v>7</v>
      </c>
      <c r="AR327" s="9">
        <f t="shared" si="232"/>
        <v>756</v>
      </c>
      <c r="AS327" s="7">
        <f t="shared" si="203"/>
        <v>262</v>
      </c>
      <c r="AT327" s="7"/>
      <c r="AU327" s="16"/>
      <c r="AV327" s="7"/>
      <c r="AW327" s="7"/>
      <c r="AX327" s="7"/>
      <c r="AZ327" s="7"/>
      <c r="BA327" s="9">
        <f t="shared" si="207"/>
        <v>443292.63999999897</v>
      </c>
      <c r="BC327" s="5">
        <f t="shared" si="233"/>
        <v>628</v>
      </c>
      <c r="BR327" s="5">
        <v>5600092</v>
      </c>
      <c r="BS327" s="18">
        <f>[1]monsters!$N327</f>
        <v>241.92</v>
      </c>
      <c r="BT327" s="18">
        <f>[1]monsters!$O327</f>
        <v>24.19</v>
      </c>
      <c r="BU327" s="18">
        <f>[1]monsters!$P327</f>
        <v>2986.67</v>
      </c>
      <c r="BV327" s="18">
        <f>[1]monsters!$Q327</f>
        <v>298.67</v>
      </c>
      <c r="BW327" s="18">
        <f>[1]monsters!$R327</f>
        <v>48.38</v>
      </c>
      <c r="BX327" s="18">
        <f>[1]monsters!$S327</f>
        <v>4.84</v>
      </c>
      <c r="BY327" s="18">
        <f>[1]monsters!$K327</f>
        <v>1.8</v>
      </c>
      <c r="BZ327" s="5">
        <f>[1]monsters!$D327</f>
        <v>2</v>
      </c>
      <c r="CA327" s="5">
        <f t="shared" si="234"/>
        <v>0.1</v>
      </c>
      <c r="CB327" s="5">
        <f t="shared" si="235"/>
        <v>329.17567946127946</v>
      </c>
      <c r="CC327" s="5">
        <f t="shared" si="236"/>
        <v>32.917567946127946</v>
      </c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>
        <v>0</v>
      </c>
      <c r="CR327" s="3" t="b">
        <f t="shared" si="208"/>
        <v>1</v>
      </c>
      <c r="CS327" s="3" t="b">
        <f t="shared" si="209"/>
        <v>1</v>
      </c>
      <c r="CT327" s="3" t="b">
        <f t="shared" si="210"/>
        <v>1</v>
      </c>
      <c r="CU327" s="3" t="b">
        <f t="shared" si="211"/>
        <v>1</v>
      </c>
      <c r="CV327" s="3" t="b">
        <f t="shared" si="212"/>
        <v>1</v>
      </c>
      <c r="CW327" s="3" t="b">
        <f t="shared" si="213"/>
        <v>1</v>
      </c>
      <c r="CX327" s="9" t="str">
        <f t="shared" si="214"/>
        <v>5200091</v>
      </c>
      <c r="CY327" s="9" t="str">
        <f t="shared" si="215"/>
        <v>5301092</v>
      </c>
      <c r="CZ327" s="9" t="str">
        <f t="shared" si="216"/>
        <v>5201091</v>
      </c>
      <c r="DA327" s="9" t="str">
        <f t="shared" si="217"/>
        <v>5401091</v>
      </c>
      <c r="DB327" s="9" t="str">
        <f t="shared" si="218"/>
        <v>5401093</v>
      </c>
      <c r="DC327" s="9" t="str">
        <f t="shared" si="219"/>
        <v>5400095</v>
      </c>
      <c r="DD327" s="9">
        <v>9</v>
      </c>
      <c r="DE327" s="9">
        <v>9</v>
      </c>
      <c r="DF327" s="9">
        <v>9</v>
      </c>
      <c r="DG327" s="9">
        <v>9</v>
      </c>
      <c r="DH327" s="9">
        <v>9</v>
      </c>
      <c r="DI327" s="9">
        <v>9</v>
      </c>
      <c r="DJ327" s="9">
        <v>5</v>
      </c>
      <c r="DK327" s="9">
        <v>5</v>
      </c>
      <c r="DL327" s="9">
        <v>5</v>
      </c>
      <c r="DM327" s="9">
        <v>5</v>
      </c>
      <c r="DN327" s="9">
        <v>5</v>
      </c>
      <c r="DO327" s="9">
        <v>5</v>
      </c>
      <c r="DP327" s="25" t="s">
        <v>194</v>
      </c>
      <c r="DQ327" s="25" t="s">
        <v>201</v>
      </c>
      <c r="DR327" s="25" t="s">
        <v>195</v>
      </c>
      <c r="DS327" s="25" t="s">
        <v>117</v>
      </c>
      <c r="DT327" s="25" t="s">
        <v>211</v>
      </c>
      <c r="DU327" s="25" t="s">
        <v>210</v>
      </c>
      <c r="DV327" s="25">
        <f t="shared" si="220"/>
        <v>1</v>
      </c>
      <c r="DW327" s="25">
        <f t="shared" si="221"/>
        <v>1</v>
      </c>
      <c r="DX327" s="25">
        <f t="shared" si="222"/>
        <v>1</v>
      </c>
      <c r="DY327" s="25">
        <f t="shared" si="223"/>
        <v>2</v>
      </c>
      <c r="DZ327" s="25">
        <f t="shared" si="224"/>
        <v>2</v>
      </c>
      <c r="EA327" s="3">
        <f t="shared" si="225"/>
        <v>2</v>
      </c>
      <c r="EB327" s="44"/>
      <c r="EC327" s="9">
        <v>5202112</v>
      </c>
      <c r="ED327" s="34" t="s">
        <v>200</v>
      </c>
      <c r="EE327" s="8">
        <v>1</v>
      </c>
    </row>
    <row r="328" spans="1:135" ht="13.5" customHeight="1">
      <c r="A328" s="9">
        <v>325</v>
      </c>
      <c r="B328" s="9">
        <v>1</v>
      </c>
      <c r="C328" s="9">
        <v>2001</v>
      </c>
      <c r="D328" s="9">
        <f t="shared" si="202"/>
        <v>4617726</v>
      </c>
      <c r="E328" s="9" t="str">
        <f t="shared" si="199"/>
        <v>5201092,5201092,5201092,5502092,5502092,5502092</v>
      </c>
      <c r="F328" s="9" t="str">
        <f t="shared" si="200"/>
        <v>9,9,9,9,9,9</v>
      </c>
      <c r="G328" s="9" t="str">
        <f t="shared" si="201"/>
        <v>673,728,728,728,728,728</v>
      </c>
      <c r="H328" s="9">
        <v>170</v>
      </c>
      <c r="I328" s="9" t="s">
        <v>278</v>
      </c>
      <c r="J328" s="9" t="s">
        <v>279</v>
      </c>
      <c r="K328" s="9" t="s">
        <v>279</v>
      </c>
      <c r="L328" s="9" t="s">
        <v>279</v>
      </c>
      <c r="M328" s="36" t="s">
        <v>301</v>
      </c>
      <c r="O328" s="3">
        <f t="shared" si="206"/>
        <v>4617726</v>
      </c>
      <c r="P328" s="9">
        <v>3650376.4</v>
      </c>
      <c r="Q328" s="9">
        <v>5201092</v>
      </c>
      <c r="R328" s="9">
        <v>5201092</v>
      </c>
      <c r="S328" s="9">
        <v>5201092</v>
      </c>
      <c r="T328" s="9">
        <v>5502092</v>
      </c>
      <c r="U328" s="9">
        <v>5502092</v>
      </c>
      <c r="V328" s="9">
        <v>5502092</v>
      </c>
      <c r="W328" s="9">
        <v>9</v>
      </c>
      <c r="X328" s="9">
        <v>9</v>
      </c>
      <c r="Y328" s="9">
        <v>9</v>
      </c>
      <c r="Z328" s="9">
        <v>9</v>
      </c>
      <c r="AA328" s="9">
        <v>9</v>
      </c>
      <c r="AB328" s="9">
        <v>9</v>
      </c>
      <c r="AC328" s="9">
        <f t="shared" si="226"/>
        <v>673</v>
      </c>
      <c r="AD328" s="9">
        <f t="shared" si="227"/>
        <v>728</v>
      </c>
      <c r="AE328" s="9">
        <f t="shared" si="228"/>
        <v>728</v>
      </c>
      <c r="AF328" s="9">
        <f t="shared" si="229"/>
        <v>728</v>
      </c>
      <c r="AG328" s="9">
        <f t="shared" si="230"/>
        <v>728</v>
      </c>
      <c r="AH328" s="9">
        <f t="shared" si="231"/>
        <v>728</v>
      </c>
      <c r="AI328" s="7">
        <f t="shared" si="204"/>
        <v>608396.06666666665</v>
      </c>
      <c r="AJ328" s="7">
        <f t="shared" si="205"/>
        <v>608396.06666666665</v>
      </c>
      <c r="AK328" s="7">
        <f t="shared" si="205"/>
        <v>608396.06666666665</v>
      </c>
      <c r="AL328" s="7">
        <f t="shared" si="205"/>
        <v>608396.06666666665</v>
      </c>
      <c r="AM328" s="7">
        <f t="shared" si="205"/>
        <v>608396.06666666665</v>
      </c>
      <c r="AN328" s="7">
        <f t="shared" si="205"/>
        <v>608396.06666666665</v>
      </c>
      <c r="AO328" s="16"/>
      <c r="AP328" s="7"/>
      <c r="AQ328" s="9">
        <v>7</v>
      </c>
      <c r="AR328" s="9">
        <f t="shared" si="232"/>
        <v>757</v>
      </c>
      <c r="AS328" s="7">
        <f t="shared" si="203"/>
        <v>262</v>
      </c>
      <c r="AT328" s="7"/>
      <c r="AU328" s="16"/>
      <c r="AV328" s="7"/>
      <c r="AW328" s="7"/>
      <c r="AX328" s="7"/>
      <c r="AZ328" s="7"/>
      <c r="BA328" s="9">
        <f t="shared" si="207"/>
        <v>445682.99999999895</v>
      </c>
      <c r="BC328" s="5">
        <f t="shared" si="233"/>
        <v>629</v>
      </c>
      <c r="BR328" s="5">
        <v>5602092</v>
      </c>
      <c r="BS328" s="18">
        <f>[1]monsters!$N328</f>
        <v>161.28</v>
      </c>
      <c r="BT328" s="18">
        <f>[1]monsters!$O328</f>
        <v>16.13</v>
      </c>
      <c r="BU328" s="18">
        <f>[1]monsters!$P328</f>
        <v>2986.67</v>
      </c>
      <c r="BV328" s="18">
        <f>[1]monsters!$Q328</f>
        <v>298.67</v>
      </c>
      <c r="BW328" s="18">
        <f>[1]monsters!$R328</f>
        <v>32.26</v>
      </c>
      <c r="BX328" s="18">
        <f>[1]monsters!$S328</f>
        <v>3.23</v>
      </c>
      <c r="BY328" s="18">
        <f>[1]monsters!$K328</f>
        <v>1.2</v>
      </c>
      <c r="BZ328" s="5">
        <f>[1]monsters!$D328</f>
        <v>3</v>
      </c>
      <c r="CA328" s="5">
        <f t="shared" si="234"/>
        <v>0.1</v>
      </c>
      <c r="CB328" s="5">
        <f t="shared" si="235"/>
        <v>252.97087946127948</v>
      </c>
      <c r="CC328" s="5">
        <f t="shared" si="236"/>
        <v>25.297087946127949</v>
      </c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>
        <v>1</v>
      </c>
      <c r="CR328" s="3" t="b">
        <f t="shared" si="208"/>
        <v>1</v>
      </c>
      <c r="CS328" s="3" t="b">
        <f t="shared" si="209"/>
        <v>1</v>
      </c>
      <c r="CT328" s="3" t="b">
        <f t="shared" si="210"/>
        <v>1</v>
      </c>
      <c r="CU328" s="3" t="b">
        <f t="shared" si="211"/>
        <v>1</v>
      </c>
      <c r="CV328" s="3" t="b">
        <f t="shared" si="212"/>
        <v>1</v>
      </c>
      <c r="CW328" s="3" t="b">
        <f t="shared" si="213"/>
        <v>1</v>
      </c>
      <c r="CX328" s="9" t="str">
        <f t="shared" si="214"/>
        <v>5201092</v>
      </c>
      <c r="CY328" s="9" t="str">
        <f t="shared" si="215"/>
        <v>5201092</v>
      </c>
      <c r="CZ328" s="9" t="str">
        <f t="shared" si="216"/>
        <v>5201092</v>
      </c>
      <c r="DA328" s="9" t="str">
        <f t="shared" si="217"/>
        <v>5502092</v>
      </c>
      <c r="DB328" s="9" t="str">
        <f t="shared" si="218"/>
        <v>5502092</v>
      </c>
      <c r="DC328" s="9" t="str">
        <f t="shared" si="219"/>
        <v>5502092</v>
      </c>
      <c r="DD328" s="9">
        <v>9</v>
      </c>
      <c r="DE328" s="9">
        <v>9</v>
      </c>
      <c r="DF328" s="9">
        <v>9</v>
      </c>
      <c r="DG328" s="9">
        <v>9</v>
      </c>
      <c r="DH328" s="9">
        <v>9</v>
      </c>
      <c r="DI328" s="9">
        <v>9</v>
      </c>
      <c r="DJ328" s="9">
        <v>5</v>
      </c>
      <c r="DK328" s="9">
        <v>5</v>
      </c>
      <c r="DL328" s="9">
        <v>5</v>
      </c>
      <c r="DM328" s="9">
        <v>5</v>
      </c>
      <c r="DN328" s="9">
        <v>5</v>
      </c>
      <c r="DO328" s="9">
        <v>5</v>
      </c>
      <c r="DP328" s="25" t="s">
        <v>114</v>
      </c>
      <c r="DQ328" s="25" t="s">
        <v>114</v>
      </c>
      <c r="DR328" s="25" t="s">
        <v>114</v>
      </c>
      <c r="DS328" s="25" t="s">
        <v>204</v>
      </c>
      <c r="DT328" s="25" t="s">
        <v>204</v>
      </c>
      <c r="DU328" s="25" t="s">
        <v>204</v>
      </c>
      <c r="DV328" s="25">
        <f t="shared" si="220"/>
        <v>1</v>
      </c>
      <c r="DW328" s="25">
        <f t="shared" si="221"/>
        <v>1</v>
      </c>
      <c r="DX328" s="25">
        <f t="shared" si="222"/>
        <v>1</v>
      </c>
      <c r="DY328" s="25">
        <f t="shared" si="223"/>
        <v>2</v>
      </c>
      <c r="DZ328" s="25">
        <f t="shared" si="224"/>
        <v>2</v>
      </c>
      <c r="EA328" s="3">
        <f t="shared" si="225"/>
        <v>2</v>
      </c>
      <c r="EB328" s="44"/>
      <c r="EC328" s="9">
        <v>5301112</v>
      </c>
      <c r="ED328" s="34" t="s">
        <v>201</v>
      </c>
      <c r="EE328" s="8">
        <v>1</v>
      </c>
    </row>
    <row r="329" spans="1:135" ht="13.5" customHeight="1">
      <c r="A329" s="9">
        <v>326</v>
      </c>
      <c r="B329" s="9">
        <v>1</v>
      </c>
      <c r="C329" s="9">
        <v>2001</v>
      </c>
      <c r="D329" s="9">
        <f t="shared" si="202"/>
        <v>4783126</v>
      </c>
      <c r="E329" s="9" t="str">
        <f t="shared" si="199"/>
        <v>5202103,5201103,5302104,5501104,5501105,5500102</v>
      </c>
      <c r="F329" s="9" t="str">
        <f t="shared" si="200"/>
        <v>10,10,10,10,10,10</v>
      </c>
      <c r="G329" s="9" t="str">
        <f t="shared" si="201"/>
        <v>632,684,684,684,684,684</v>
      </c>
      <c r="H329" s="9">
        <v>170</v>
      </c>
      <c r="I329" s="9" t="s">
        <v>278</v>
      </c>
      <c r="J329" s="9" t="s">
        <v>279</v>
      </c>
      <c r="K329" s="9" t="s">
        <v>279</v>
      </c>
      <c r="L329" s="9" t="s">
        <v>279</v>
      </c>
      <c r="M329" s="36" t="s">
        <v>301</v>
      </c>
      <c r="N329" s="40"/>
      <c r="O329" s="3">
        <f t="shared" si="206"/>
        <v>4783126</v>
      </c>
      <c r="P329" s="9">
        <v>3781127.36</v>
      </c>
      <c r="Q329" s="9">
        <v>5202103</v>
      </c>
      <c r="R329" s="9">
        <v>5201103</v>
      </c>
      <c r="S329" s="9">
        <v>5302104</v>
      </c>
      <c r="T329" s="9">
        <v>5501104</v>
      </c>
      <c r="U329" s="9">
        <v>5501105</v>
      </c>
      <c r="V329" s="9">
        <v>5500102</v>
      </c>
      <c r="W329" s="9">
        <v>10</v>
      </c>
      <c r="X329" s="9">
        <v>10</v>
      </c>
      <c r="Y329" s="9">
        <v>10</v>
      </c>
      <c r="Z329" s="9">
        <v>10</v>
      </c>
      <c r="AA329" s="9">
        <v>10</v>
      </c>
      <c r="AB329" s="9">
        <v>10</v>
      </c>
      <c r="AC329" s="9">
        <f t="shared" si="226"/>
        <v>632</v>
      </c>
      <c r="AD329" s="9">
        <f t="shared" si="227"/>
        <v>684</v>
      </c>
      <c r="AE329" s="9">
        <f t="shared" si="228"/>
        <v>684</v>
      </c>
      <c r="AF329" s="9">
        <f t="shared" si="229"/>
        <v>684</v>
      </c>
      <c r="AG329" s="9">
        <f t="shared" si="230"/>
        <v>684</v>
      </c>
      <c r="AH329" s="9">
        <f t="shared" si="231"/>
        <v>684</v>
      </c>
      <c r="AI329" s="7">
        <f t="shared" si="204"/>
        <v>630187.89333333331</v>
      </c>
      <c r="AJ329" s="7">
        <f t="shared" si="205"/>
        <v>630187.89333333331</v>
      </c>
      <c r="AK329" s="7">
        <f t="shared" si="205"/>
        <v>630187.89333333331</v>
      </c>
      <c r="AL329" s="7">
        <f t="shared" si="205"/>
        <v>630187.89333333331</v>
      </c>
      <c r="AM329" s="7">
        <f t="shared" si="205"/>
        <v>630187.89333333331</v>
      </c>
      <c r="AN329" s="7">
        <f t="shared" si="205"/>
        <v>630187.89333333331</v>
      </c>
      <c r="AO329" s="16"/>
      <c r="AP329" s="7"/>
      <c r="AQ329" s="9">
        <v>7</v>
      </c>
      <c r="AR329" s="9">
        <f t="shared" si="232"/>
        <v>771</v>
      </c>
      <c r="AS329" s="7">
        <f t="shared" si="203"/>
        <v>263</v>
      </c>
      <c r="AT329" s="7"/>
      <c r="AU329" s="16"/>
      <c r="AV329" s="7"/>
      <c r="AW329" s="7"/>
      <c r="AX329" s="7"/>
      <c r="AZ329" s="7"/>
      <c r="BA329" s="9">
        <f t="shared" si="207"/>
        <v>448073.35999999894</v>
      </c>
      <c r="BC329" s="5">
        <f t="shared" si="233"/>
        <v>591</v>
      </c>
      <c r="BR329" s="5">
        <v>5200093</v>
      </c>
      <c r="BS329" s="18">
        <f>[1]monsters!$N329</f>
        <v>286.72000000000003</v>
      </c>
      <c r="BT329" s="18">
        <f>[1]monsters!$O329</f>
        <v>28.67</v>
      </c>
      <c r="BU329" s="18">
        <f>[1]monsters!$P329</f>
        <v>2240</v>
      </c>
      <c r="BV329" s="18">
        <f>[1]monsters!$Q329</f>
        <v>224</v>
      </c>
      <c r="BW329" s="18">
        <f>[1]monsters!$R329</f>
        <v>40.96</v>
      </c>
      <c r="BX329" s="18">
        <f>[1]monsters!$S329</f>
        <v>4.0999999999999996</v>
      </c>
      <c r="BY329" s="18">
        <f>[1]monsters!$K329</f>
        <v>1.6</v>
      </c>
      <c r="BZ329" s="5">
        <f>[1]monsters!$D329</f>
        <v>4</v>
      </c>
      <c r="CA329" s="5">
        <f t="shared" si="234"/>
        <v>0.1</v>
      </c>
      <c r="CB329" s="5">
        <f t="shared" si="235"/>
        <v>346.37127542087546</v>
      </c>
      <c r="CC329" s="5">
        <f t="shared" si="236"/>
        <v>34.637127542087548</v>
      </c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>
        <v>0</v>
      </c>
      <c r="CR329" s="3" t="b">
        <f t="shared" si="208"/>
        <v>1</v>
      </c>
      <c r="CS329" s="3" t="b">
        <f t="shared" si="209"/>
        <v>1</v>
      </c>
      <c r="CT329" s="3" t="b">
        <f t="shared" si="210"/>
        <v>1</v>
      </c>
      <c r="CU329" s="3" t="b">
        <f t="shared" si="211"/>
        <v>1</v>
      </c>
      <c r="CV329" s="3" t="b">
        <f t="shared" si="212"/>
        <v>1</v>
      </c>
      <c r="CW329" s="3" t="b">
        <f t="shared" si="213"/>
        <v>1</v>
      </c>
      <c r="CX329" s="9" t="str">
        <f t="shared" si="214"/>
        <v>5202103</v>
      </c>
      <c r="CY329" s="9" t="str">
        <f t="shared" si="215"/>
        <v>5201103</v>
      </c>
      <c r="CZ329" s="9" t="str">
        <f t="shared" si="216"/>
        <v>5302104</v>
      </c>
      <c r="DA329" s="9" t="str">
        <f t="shared" si="217"/>
        <v>5501104</v>
      </c>
      <c r="DB329" s="9" t="str">
        <f t="shared" si="218"/>
        <v>5501105</v>
      </c>
      <c r="DC329" s="9" t="str">
        <f t="shared" si="219"/>
        <v>5500102</v>
      </c>
      <c r="DD329" s="9">
        <v>10</v>
      </c>
      <c r="DE329" s="9">
        <v>10</v>
      </c>
      <c r="DF329" s="9">
        <v>10</v>
      </c>
      <c r="DG329" s="9">
        <v>10</v>
      </c>
      <c r="DH329" s="9">
        <v>10</v>
      </c>
      <c r="DI329" s="9">
        <v>10</v>
      </c>
      <c r="DJ329" s="9">
        <v>5</v>
      </c>
      <c r="DK329" s="9">
        <v>5</v>
      </c>
      <c r="DL329" s="9">
        <v>5</v>
      </c>
      <c r="DM329" s="9">
        <v>5</v>
      </c>
      <c r="DN329" s="9">
        <v>5</v>
      </c>
      <c r="DO329" s="9">
        <v>5</v>
      </c>
      <c r="DP329" s="25" t="s">
        <v>208</v>
      </c>
      <c r="DQ329" s="25" t="s">
        <v>205</v>
      </c>
      <c r="DR329" s="25" t="s">
        <v>218</v>
      </c>
      <c r="DS329" s="25" t="s">
        <v>214</v>
      </c>
      <c r="DT329" s="25" t="s">
        <v>209</v>
      </c>
      <c r="DU329" s="25" t="s">
        <v>109</v>
      </c>
      <c r="DV329" s="25">
        <f t="shared" si="220"/>
        <v>1</v>
      </c>
      <c r="DW329" s="25">
        <f t="shared" si="221"/>
        <v>1</v>
      </c>
      <c r="DX329" s="25">
        <f t="shared" si="222"/>
        <v>1</v>
      </c>
      <c r="DY329" s="25">
        <f t="shared" si="223"/>
        <v>2</v>
      </c>
      <c r="DZ329" s="25">
        <f t="shared" si="224"/>
        <v>2</v>
      </c>
      <c r="EA329" s="3">
        <f t="shared" si="225"/>
        <v>2</v>
      </c>
      <c r="EB329" s="43"/>
      <c r="EC329" s="9">
        <v>5401112</v>
      </c>
      <c r="ED329" s="34" t="s">
        <v>202</v>
      </c>
      <c r="EE329" s="8">
        <v>2</v>
      </c>
    </row>
    <row r="330" spans="1:135" ht="13.5" customHeight="1">
      <c r="A330" s="9">
        <v>327</v>
      </c>
      <c r="B330" s="9">
        <v>1</v>
      </c>
      <c r="C330" s="9">
        <v>2001</v>
      </c>
      <c r="D330" s="9">
        <f t="shared" si="202"/>
        <v>4949958</v>
      </c>
      <c r="E330" s="9" t="str">
        <f t="shared" si="199"/>
        <v>5201103,5202105,5200101,5501104,5402102,5400105</v>
      </c>
      <c r="F330" s="9" t="str">
        <f t="shared" si="200"/>
        <v>10,10,10,10,10,10</v>
      </c>
      <c r="G330" s="9" t="str">
        <f t="shared" si="201"/>
        <v>643,696,696,696,696,696</v>
      </c>
      <c r="H330" s="9">
        <v>170</v>
      </c>
      <c r="I330" s="9" t="s">
        <v>278</v>
      </c>
      <c r="J330" s="9" t="s">
        <v>279</v>
      </c>
      <c r="K330" s="9" t="s">
        <v>279</v>
      </c>
      <c r="L330" s="9" t="s">
        <v>279</v>
      </c>
      <c r="M330" s="36" t="s">
        <v>301</v>
      </c>
      <c r="N330" s="40"/>
      <c r="O330" s="3">
        <f t="shared" si="206"/>
        <v>4949958</v>
      </c>
      <c r="P330" s="9">
        <v>3913010.63</v>
      </c>
      <c r="Q330" s="9">
        <v>5201103</v>
      </c>
      <c r="R330" s="9">
        <v>5202105</v>
      </c>
      <c r="S330" s="9">
        <v>5200101</v>
      </c>
      <c r="T330" s="9">
        <v>5501104</v>
      </c>
      <c r="U330" s="9">
        <v>5402102</v>
      </c>
      <c r="V330" s="9">
        <v>5400105</v>
      </c>
      <c r="W330" s="9">
        <v>10</v>
      </c>
      <c r="X330" s="9">
        <v>10</v>
      </c>
      <c r="Y330" s="9">
        <v>10</v>
      </c>
      <c r="Z330" s="9">
        <v>10</v>
      </c>
      <c r="AA330" s="9">
        <v>10</v>
      </c>
      <c r="AB330" s="9">
        <v>10</v>
      </c>
      <c r="AC330" s="9">
        <f t="shared" si="226"/>
        <v>643</v>
      </c>
      <c r="AD330" s="9">
        <f t="shared" si="227"/>
        <v>696</v>
      </c>
      <c r="AE330" s="9">
        <f t="shared" si="228"/>
        <v>696</v>
      </c>
      <c r="AF330" s="9">
        <f t="shared" si="229"/>
        <v>696</v>
      </c>
      <c r="AG330" s="9">
        <f t="shared" si="230"/>
        <v>696</v>
      </c>
      <c r="AH330" s="9">
        <f t="shared" si="231"/>
        <v>696</v>
      </c>
      <c r="AI330" s="7">
        <f t="shared" si="204"/>
        <v>652168.43833333335</v>
      </c>
      <c r="AJ330" s="7">
        <f t="shared" si="205"/>
        <v>652168.43833333335</v>
      </c>
      <c r="AK330" s="7">
        <f t="shared" si="205"/>
        <v>652168.43833333335</v>
      </c>
      <c r="AL330" s="7">
        <f t="shared" si="205"/>
        <v>652168.43833333335</v>
      </c>
      <c r="AM330" s="7">
        <f t="shared" si="205"/>
        <v>652168.43833333335</v>
      </c>
      <c r="AN330" s="7">
        <f t="shared" si="205"/>
        <v>652168.43833333335</v>
      </c>
      <c r="AO330" s="16"/>
      <c r="AP330" s="7"/>
      <c r="AQ330" s="9">
        <v>7</v>
      </c>
      <c r="AR330" s="9">
        <f t="shared" si="232"/>
        <v>784</v>
      </c>
      <c r="AS330" s="7">
        <f t="shared" si="203"/>
        <v>263</v>
      </c>
      <c r="AT330" s="7"/>
      <c r="AU330" s="16"/>
      <c r="AV330" s="7"/>
      <c r="AW330" s="7"/>
      <c r="AX330" s="7"/>
      <c r="AZ330" s="7"/>
      <c r="BA330" s="9">
        <f t="shared" si="207"/>
        <v>450463.71999999892</v>
      </c>
      <c r="BC330" s="5">
        <f t="shared" si="233"/>
        <v>601</v>
      </c>
      <c r="BR330" s="5">
        <v>5202093</v>
      </c>
      <c r="BS330" s="18">
        <f>[1]monsters!$N330</f>
        <v>268.8</v>
      </c>
      <c r="BT330" s="18">
        <f>[1]monsters!$O330</f>
        <v>26.88</v>
      </c>
      <c r="BU330" s="18">
        <f>[1]monsters!$P330</f>
        <v>2240</v>
      </c>
      <c r="BV330" s="18">
        <f>[1]monsters!$Q330</f>
        <v>224</v>
      </c>
      <c r="BW330" s="18">
        <f>[1]monsters!$R330</f>
        <v>38.4</v>
      </c>
      <c r="BX330" s="18">
        <f>[1]monsters!$S330</f>
        <v>3.84</v>
      </c>
      <c r="BY330" s="18">
        <f>[1]monsters!$K330</f>
        <v>1.5</v>
      </c>
      <c r="BZ330" s="5">
        <f>[1]monsters!$D330</f>
        <v>4</v>
      </c>
      <c r="CA330" s="5">
        <f t="shared" si="234"/>
        <v>0.1</v>
      </c>
      <c r="CB330" s="5">
        <f t="shared" si="235"/>
        <v>329.43687542087542</v>
      </c>
      <c r="CC330" s="5">
        <f t="shared" si="236"/>
        <v>32.943687542087545</v>
      </c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>
        <v>0</v>
      </c>
      <c r="CR330" s="3" t="b">
        <f t="shared" si="208"/>
        <v>1</v>
      </c>
      <c r="CS330" s="3" t="b">
        <f t="shared" si="209"/>
        <v>1</v>
      </c>
      <c r="CT330" s="3" t="b">
        <f t="shared" si="210"/>
        <v>1</v>
      </c>
      <c r="CU330" s="3" t="b">
        <f t="shared" si="211"/>
        <v>1</v>
      </c>
      <c r="CV330" s="3" t="b">
        <f t="shared" si="212"/>
        <v>1</v>
      </c>
      <c r="CW330" s="3" t="b">
        <f t="shared" si="213"/>
        <v>1</v>
      </c>
      <c r="CX330" s="9" t="str">
        <f t="shared" si="214"/>
        <v>5201103</v>
      </c>
      <c r="CY330" s="9" t="str">
        <f t="shared" si="215"/>
        <v>5202105</v>
      </c>
      <c r="CZ330" s="9" t="str">
        <f t="shared" si="216"/>
        <v>5200101</v>
      </c>
      <c r="DA330" s="9" t="str">
        <f t="shared" si="217"/>
        <v>5501104</v>
      </c>
      <c r="DB330" s="9" t="str">
        <f t="shared" si="218"/>
        <v>5402102</v>
      </c>
      <c r="DC330" s="9" t="str">
        <f t="shared" si="219"/>
        <v>5400105</v>
      </c>
      <c r="DD330" s="9">
        <v>10</v>
      </c>
      <c r="DE330" s="9">
        <v>10</v>
      </c>
      <c r="DF330" s="9">
        <v>10</v>
      </c>
      <c r="DG330" s="9">
        <v>10</v>
      </c>
      <c r="DH330" s="9">
        <v>10</v>
      </c>
      <c r="DI330" s="9">
        <v>10</v>
      </c>
      <c r="DJ330" s="9">
        <v>5</v>
      </c>
      <c r="DK330" s="9">
        <v>5</v>
      </c>
      <c r="DL330" s="9">
        <v>5</v>
      </c>
      <c r="DM330" s="9">
        <v>5</v>
      </c>
      <c r="DN330" s="9">
        <v>5</v>
      </c>
      <c r="DO330" s="9">
        <v>5</v>
      </c>
      <c r="DP330" s="25" t="s">
        <v>205</v>
      </c>
      <c r="DQ330" s="25" t="s">
        <v>213</v>
      </c>
      <c r="DR330" s="25" t="s">
        <v>194</v>
      </c>
      <c r="DS330" s="25" t="s">
        <v>214</v>
      </c>
      <c r="DT330" s="25" t="s">
        <v>203</v>
      </c>
      <c r="DU330" s="25" t="s">
        <v>210</v>
      </c>
      <c r="DV330" s="25">
        <f t="shared" si="220"/>
        <v>1</v>
      </c>
      <c r="DW330" s="25">
        <f t="shared" si="221"/>
        <v>1</v>
      </c>
      <c r="DX330" s="25">
        <f t="shared" si="222"/>
        <v>1</v>
      </c>
      <c r="DY330" s="25">
        <f t="shared" si="223"/>
        <v>2</v>
      </c>
      <c r="DZ330" s="25">
        <f t="shared" si="224"/>
        <v>2</v>
      </c>
      <c r="EA330" s="3">
        <f t="shared" si="225"/>
        <v>2</v>
      </c>
      <c r="EB330" s="44"/>
      <c r="EC330" s="9">
        <v>5402112</v>
      </c>
      <c r="ED330" s="34" t="s">
        <v>203</v>
      </c>
      <c r="EE330" s="8">
        <v>2</v>
      </c>
    </row>
    <row r="331" spans="1:135" ht="13.5" customHeight="1">
      <c r="A331" s="9">
        <v>328</v>
      </c>
      <c r="B331" s="9">
        <v>1</v>
      </c>
      <c r="C331" s="9">
        <v>2001</v>
      </c>
      <c r="D331" s="9">
        <f t="shared" si="202"/>
        <v>5118228</v>
      </c>
      <c r="E331" s="9" t="str">
        <f t="shared" si="199"/>
        <v>5302105,5202105,5202103,5401103,5400105,5400105</v>
      </c>
      <c r="F331" s="9" t="str">
        <f t="shared" si="200"/>
        <v>10,10,10,10,10,10</v>
      </c>
      <c r="G331" s="9" t="str">
        <f t="shared" si="201"/>
        <v>654,707,707,707,707,707</v>
      </c>
      <c r="H331" s="9">
        <v>171</v>
      </c>
      <c r="I331" s="9" t="s">
        <v>278</v>
      </c>
      <c r="J331" s="9" t="s">
        <v>279</v>
      </c>
      <c r="K331" s="9" t="s">
        <v>279</v>
      </c>
      <c r="L331" s="9" t="s">
        <v>279</v>
      </c>
      <c r="M331" s="36" t="s">
        <v>301</v>
      </c>
      <c r="N331" s="40"/>
      <c r="O331" s="3">
        <f t="shared" si="206"/>
        <v>5118228</v>
      </c>
      <c r="P331" s="9">
        <v>4046030.19</v>
      </c>
      <c r="Q331" s="9">
        <v>5302105</v>
      </c>
      <c r="R331" s="9">
        <v>5202105</v>
      </c>
      <c r="S331" s="9">
        <v>5202103</v>
      </c>
      <c r="T331" s="9">
        <v>5401103</v>
      </c>
      <c r="U331" s="9">
        <v>5400105</v>
      </c>
      <c r="V331" s="9">
        <v>5400105</v>
      </c>
      <c r="W331" s="9">
        <v>10</v>
      </c>
      <c r="X331" s="9">
        <v>10</v>
      </c>
      <c r="Y331" s="9">
        <v>10</v>
      </c>
      <c r="Z331" s="9">
        <v>10</v>
      </c>
      <c r="AA331" s="9">
        <v>10</v>
      </c>
      <c r="AB331" s="9">
        <v>10</v>
      </c>
      <c r="AC331" s="9">
        <f t="shared" si="226"/>
        <v>654</v>
      </c>
      <c r="AD331" s="9">
        <f t="shared" si="227"/>
        <v>707</v>
      </c>
      <c r="AE331" s="9">
        <f t="shared" si="228"/>
        <v>707</v>
      </c>
      <c r="AF331" s="9">
        <f t="shared" si="229"/>
        <v>707</v>
      </c>
      <c r="AG331" s="9">
        <f t="shared" si="230"/>
        <v>707</v>
      </c>
      <c r="AH331" s="9">
        <f t="shared" si="231"/>
        <v>707</v>
      </c>
      <c r="AI331" s="7">
        <f t="shared" si="204"/>
        <v>674338.36499999999</v>
      </c>
      <c r="AJ331" s="7">
        <f t="shared" si="205"/>
        <v>674338.36499999999</v>
      </c>
      <c r="AK331" s="7">
        <f t="shared" si="205"/>
        <v>674338.36499999999</v>
      </c>
      <c r="AL331" s="7">
        <f t="shared" si="205"/>
        <v>674338.36499999999</v>
      </c>
      <c r="AM331" s="7">
        <f t="shared" si="205"/>
        <v>674338.36499999999</v>
      </c>
      <c r="AN331" s="7">
        <f t="shared" si="205"/>
        <v>674338.36499999999</v>
      </c>
      <c r="AO331" s="16"/>
      <c r="AP331" s="7"/>
      <c r="AQ331" s="9">
        <v>7</v>
      </c>
      <c r="AR331" s="9">
        <f t="shared" si="232"/>
        <v>798</v>
      </c>
      <c r="AS331" s="7">
        <f t="shared" si="203"/>
        <v>264</v>
      </c>
      <c r="AT331" s="7"/>
      <c r="AU331" s="16"/>
      <c r="AV331" s="7"/>
      <c r="AW331" s="7"/>
      <c r="AX331" s="7"/>
      <c r="AZ331" s="7"/>
      <c r="BA331" s="9">
        <f t="shared" si="207"/>
        <v>452854.07999999891</v>
      </c>
      <c r="BC331" s="5">
        <f t="shared" si="233"/>
        <v>611</v>
      </c>
      <c r="BR331" s="5">
        <v>5302093</v>
      </c>
      <c r="BS331" s="18">
        <f>[1]monsters!$N331</f>
        <v>313.60000000000002</v>
      </c>
      <c r="BT331" s="18">
        <f>[1]monsters!$O331</f>
        <v>31.36</v>
      </c>
      <c r="BU331" s="18">
        <f>[1]monsters!$P331</f>
        <v>1920</v>
      </c>
      <c r="BV331" s="18">
        <f>[1]monsters!$Q331</f>
        <v>192</v>
      </c>
      <c r="BW331" s="18">
        <f>[1]monsters!$R331</f>
        <v>39.200000000000003</v>
      </c>
      <c r="BX331" s="18">
        <f>[1]monsters!$S331</f>
        <v>3.92</v>
      </c>
      <c r="BY331" s="18">
        <f>[1]monsters!$K331</f>
        <v>1.5</v>
      </c>
      <c r="BZ331" s="5">
        <f>[1]monsters!$D331</f>
        <v>5</v>
      </c>
      <c r="CA331" s="5">
        <f t="shared" si="234"/>
        <v>0.1</v>
      </c>
      <c r="CB331" s="5">
        <f t="shared" si="235"/>
        <v>360.99846464646464</v>
      </c>
      <c r="CC331" s="5">
        <f t="shared" si="236"/>
        <v>36.099846464646468</v>
      </c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>
        <v>0</v>
      </c>
      <c r="CR331" s="3" t="b">
        <f t="shared" si="208"/>
        <v>1</v>
      </c>
      <c r="CS331" s="3" t="b">
        <f t="shared" si="209"/>
        <v>1</v>
      </c>
      <c r="CT331" s="3" t="b">
        <f t="shared" si="210"/>
        <v>1</v>
      </c>
      <c r="CU331" s="3" t="b">
        <f t="shared" si="211"/>
        <v>1</v>
      </c>
      <c r="CV331" s="3" t="b">
        <f t="shared" si="212"/>
        <v>1</v>
      </c>
      <c r="CW331" s="3" t="b">
        <f t="shared" si="213"/>
        <v>1</v>
      </c>
      <c r="CX331" s="9" t="str">
        <f t="shared" si="214"/>
        <v>5302105</v>
      </c>
      <c r="CY331" s="9" t="str">
        <f t="shared" si="215"/>
        <v>5202105</v>
      </c>
      <c r="CZ331" s="9" t="str">
        <f t="shared" si="216"/>
        <v>5202103</v>
      </c>
      <c r="DA331" s="9" t="str">
        <f t="shared" si="217"/>
        <v>5401103</v>
      </c>
      <c r="DB331" s="9" t="str">
        <f t="shared" si="218"/>
        <v>5400105</v>
      </c>
      <c r="DC331" s="9" t="str">
        <f t="shared" si="219"/>
        <v>5400105</v>
      </c>
      <c r="DD331" s="9">
        <v>10</v>
      </c>
      <c r="DE331" s="9">
        <v>10</v>
      </c>
      <c r="DF331" s="9">
        <v>10</v>
      </c>
      <c r="DG331" s="9">
        <v>10</v>
      </c>
      <c r="DH331" s="9">
        <v>10</v>
      </c>
      <c r="DI331" s="9">
        <v>10</v>
      </c>
      <c r="DJ331" s="9">
        <v>5</v>
      </c>
      <c r="DK331" s="9">
        <v>5</v>
      </c>
      <c r="DL331" s="9">
        <v>5</v>
      </c>
      <c r="DM331" s="9">
        <v>5</v>
      </c>
      <c r="DN331" s="9">
        <v>5</v>
      </c>
      <c r="DO331" s="9">
        <v>5</v>
      </c>
      <c r="DP331" s="25" t="s">
        <v>221</v>
      </c>
      <c r="DQ331" s="25" t="s">
        <v>213</v>
      </c>
      <c r="DR331" s="25" t="s">
        <v>208</v>
      </c>
      <c r="DS331" s="25" t="s">
        <v>211</v>
      </c>
      <c r="DT331" s="25" t="s">
        <v>210</v>
      </c>
      <c r="DU331" s="25" t="s">
        <v>210</v>
      </c>
      <c r="DV331" s="25">
        <f t="shared" si="220"/>
        <v>1</v>
      </c>
      <c r="DW331" s="25">
        <f t="shared" si="221"/>
        <v>1</v>
      </c>
      <c r="DX331" s="25">
        <f t="shared" si="222"/>
        <v>1</v>
      </c>
      <c r="DY331" s="25">
        <f t="shared" si="223"/>
        <v>2</v>
      </c>
      <c r="DZ331" s="25">
        <f t="shared" si="224"/>
        <v>2</v>
      </c>
      <c r="EA331" s="3">
        <f t="shared" si="225"/>
        <v>2</v>
      </c>
      <c r="EB331" s="44"/>
      <c r="EC331" s="9">
        <v>5500112</v>
      </c>
      <c r="ED331" s="34" t="s">
        <v>109</v>
      </c>
      <c r="EE331" s="8">
        <v>2</v>
      </c>
    </row>
    <row r="332" spans="1:135" ht="13.5" customHeight="1">
      <c r="A332" s="9">
        <v>329</v>
      </c>
      <c r="B332" s="9">
        <v>1</v>
      </c>
      <c r="C332" s="9">
        <v>2001</v>
      </c>
      <c r="D332" s="9">
        <f t="shared" si="202"/>
        <v>5287918</v>
      </c>
      <c r="E332" s="9" t="str">
        <f t="shared" ref="E332:E395" si="237">Q332&amp;","&amp;R332&amp;","&amp;S332&amp;","&amp;T332&amp;","&amp;U332&amp;","&amp;V332</f>
        <v>5202102,5202102,5301102,5502102,5500101,5400105</v>
      </c>
      <c r="F332" s="9" t="str">
        <f t="shared" ref="F332:F395" si="238">W332&amp;","&amp;X332&amp;","&amp;Y332&amp;","&amp;Z332&amp;","&amp;AA332&amp;","&amp;AB332</f>
        <v>10,10,10,10,10,10</v>
      </c>
      <c r="G332" s="9" t="str">
        <f t="shared" ref="G332:G395" si="239">AC332&amp;","&amp;AD332&amp;","&amp;AE332&amp;","&amp;AF332&amp;","&amp;AG332&amp;","&amp;AH332</f>
        <v>665,719,719,719,719,719</v>
      </c>
      <c r="H332" s="9">
        <v>171</v>
      </c>
      <c r="I332" s="9" t="s">
        <v>278</v>
      </c>
      <c r="J332" s="9" t="s">
        <v>279</v>
      </c>
      <c r="K332" s="9" t="s">
        <v>279</v>
      </c>
      <c r="L332" s="9" t="s">
        <v>279</v>
      </c>
      <c r="M332" s="36" t="s">
        <v>301</v>
      </c>
      <c r="N332" s="40"/>
      <c r="O332" s="3">
        <f t="shared" si="206"/>
        <v>5287918</v>
      </c>
      <c r="P332" s="9">
        <v>4180172.11</v>
      </c>
      <c r="Q332" s="9">
        <v>5202102</v>
      </c>
      <c r="R332" s="9">
        <v>5202102</v>
      </c>
      <c r="S332" s="9">
        <v>5301102</v>
      </c>
      <c r="T332" s="9">
        <v>5502102</v>
      </c>
      <c r="U332" s="9">
        <v>5500101</v>
      </c>
      <c r="V332" s="9">
        <v>5400105</v>
      </c>
      <c r="W332" s="9">
        <v>10</v>
      </c>
      <c r="X332" s="9">
        <v>10</v>
      </c>
      <c r="Y332" s="9">
        <v>10</v>
      </c>
      <c r="Z332" s="9">
        <v>10</v>
      </c>
      <c r="AA332" s="9">
        <v>10</v>
      </c>
      <c r="AB332" s="9">
        <v>10</v>
      </c>
      <c r="AC332" s="9">
        <f t="shared" si="226"/>
        <v>665</v>
      </c>
      <c r="AD332" s="9">
        <f t="shared" si="227"/>
        <v>719</v>
      </c>
      <c r="AE332" s="9">
        <f t="shared" si="228"/>
        <v>719</v>
      </c>
      <c r="AF332" s="9">
        <f t="shared" si="229"/>
        <v>719</v>
      </c>
      <c r="AG332" s="9">
        <f t="shared" si="230"/>
        <v>719</v>
      </c>
      <c r="AH332" s="9">
        <f t="shared" si="231"/>
        <v>719</v>
      </c>
      <c r="AI332" s="7">
        <f t="shared" si="204"/>
        <v>696695.35166666668</v>
      </c>
      <c r="AJ332" s="7">
        <f t="shared" si="205"/>
        <v>696695.35166666668</v>
      </c>
      <c r="AK332" s="7">
        <f t="shared" si="205"/>
        <v>696695.35166666668</v>
      </c>
      <c r="AL332" s="7">
        <f t="shared" si="205"/>
        <v>696695.35166666668</v>
      </c>
      <c r="AM332" s="7">
        <f t="shared" si="205"/>
        <v>696695.35166666668</v>
      </c>
      <c r="AN332" s="7">
        <f t="shared" si="205"/>
        <v>696695.35166666668</v>
      </c>
      <c r="AO332" s="16"/>
      <c r="AP332" s="7"/>
      <c r="AQ332" s="9">
        <v>7</v>
      </c>
      <c r="AR332" s="9">
        <f t="shared" si="232"/>
        <v>811</v>
      </c>
      <c r="AS332" s="7">
        <f t="shared" si="203"/>
        <v>264</v>
      </c>
      <c r="AT332" s="7"/>
      <c r="AU332" s="16"/>
      <c r="AV332" s="7"/>
      <c r="AW332" s="7"/>
      <c r="AX332" s="7"/>
      <c r="AZ332" s="7"/>
      <c r="BA332" s="9">
        <f t="shared" si="207"/>
        <v>455244.4399999989</v>
      </c>
      <c r="BC332" s="5">
        <f t="shared" si="233"/>
        <v>621</v>
      </c>
      <c r="BR332" s="5">
        <v>5301093</v>
      </c>
      <c r="BS332" s="18">
        <f>[1]monsters!$N332</f>
        <v>292.69</v>
      </c>
      <c r="BT332" s="18">
        <f>[1]monsters!$O332</f>
        <v>29.27</v>
      </c>
      <c r="BU332" s="18">
        <f>[1]monsters!$P332</f>
        <v>1920</v>
      </c>
      <c r="BV332" s="18">
        <f>[1]monsters!$Q332</f>
        <v>192</v>
      </c>
      <c r="BW332" s="18">
        <f>[1]monsters!$R332</f>
        <v>36.590000000000003</v>
      </c>
      <c r="BX332" s="18">
        <f>[1]monsters!$S332</f>
        <v>3.66</v>
      </c>
      <c r="BY332" s="18">
        <f>[1]monsters!$K332</f>
        <v>1.4</v>
      </c>
      <c r="BZ332" s="5">
        <f>[1]monsters!$D332</f>
        <v>5</v>
      </c>
      <c r="CA332" s="5">
        <f t="shared" si="234"/>
        <v>0.1</v>
      </c>
      <c r="CB332" s="5">
        <f t="shared" si="235"/>
        <v>341.23851464646464</v>
      </c>
      <c r="CC332" s="5">
        <f t="shared" si="236"/>
        <v>34.123851464646464</v>
      </c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>
        <v>0</v>
      </c>
      <c r="CR332" s="3" t="b">
        <f t="shared" si="208"/>
        <v>1</v>
      </c>
      <c r="CS332" s="3" t="b">
        <f t="shared" si="209"/>
        <v>1</v>
      </c>
      <c r="CT332" s="3" t="b">
        <f t="shared" si="210"/>
        <v>1</v>
      </c>
      <c r="CU332" s="3" t="b">
        <f t="shared" si="211"/>
        <v>1</v>
      </c>
      <c r="CV332" s="3" t="b">
        <f t="shared" si="212"/>
        <v>1</v>
      </c>
      <c r="CW332" s="3" t="b">
        <f t="shared" si="213"/>
        <v>1</v>
      </c>
      <c r="CX332" s="9" t="str">
        <f t="shared" si="214"/>
        <v>5202102</v>
      </c>
      <c r="CY332" s="9" t="str">
        <f t="shared" si="215"/>
        <v>5202102</v>
      </c>
      <c r="CZ332" s="9" t="str">
        <f t="shared" si="216"/>
        <v>5301102</v>
      </c>
      <c r="DA332" s="9" t="str">
        <f t="shared" si="217"/>
        <v>5502102</v>
      </c>
      <c r="DB332" s="9" t="str">
        <f t="shared" si="218"/>
        <v>5500101</v>
      </c>
      <c r="DC332" s="9" t="str">
        <f t="shared" si="219"/>
        <v>5400105</v>
      </c>
      <c r="DD332" s="9">
        <v>10</v>
      </c>
      <c r="DE332" s="9">
        <v>10</v>
      </c>
      <c r="DF332" s="9">
        <v>10</v>
      </c>
      <c r="DG332" s="9">
        <v>10</v>
      </c>
      <c r="DH332" s="9">
        <v>10</v>
      </c>
      <c r="DI332" s="9">
        <v>10</v>
      </c>
      <c r="DJ332" s="9">
        <v>5</v>
      </c>
      <c r="DK332" s="9">
        <v>5</v>
      </c>
      <c r="DL332" s="9">
        <v>5</v>
      </c>
      <c r="DM332" s="9">
        <v>5</v>
      </c>
      <c r="DN332" s="9">
        <v>5</v>
      </c>
      <c r="DO332" s="9">
        <v>5</v>
      </c>
      <c r="DP332" s="25" t="s">
        <v>200</v>
      </c>
      <c r="DQ332" s="25" t="s">
        <v>200</v>
      </c>
      <c r="DR332" s="25" t="s">
        <v>201</v>
      </c>
      <c r="DS332" s="25" t="s">
        <v>204</v>
      </c>
      <c r="DT332" s="25" t="s">
        <v>197</v>
      </c>
      <c r="DU332" s="25" t="s">
        <v>210</v>
      </c>
      <c r="DV332" s="25">
        <f t="shared" si="220"/>
        <v>1</v>
      </c>
      <c r="DW332" s="25">
        <f t="shared" si="221"/>
        <v>1</v>
      </c>
      <c r="DX332" s="25">
        <f t="shared" si="222"/>
        <v>1</v>
      </c>
      <c r="DY332" s="25">
        <f t="shared" si="223"/>
        <v>2</v>
      </c>
      <c r="DZ332" s="25">
        <f t="shared" si="224"/>
        <v>2</v>
      </c>
      <c r="EA332" s="3">
        <f t="shared" si="225"/>
        <v>2</v>
      </c>
      <c r="EB332" s="44"/>
      <c r="EC332" s="9">
        <v>5502112</v>
      </c>
      <c r="ED332" s="34" t="s">
        <v>204</v>
      </c>
      <c r="EE332" s="8">
        <v>2</v>
      </c>
    </row>
    <row r="333" spans="1:135" ht="13.5" customHeight="1">
      <c r="A333" s="9">
        <v>330</v>
      </c>
      <c r="B333" s="9">
        <v>1</v>
      </c>
      <c r="C333" s="9">
        <v>2001</v>
      </c>
      <c r="D333" s="9">
        <f t="shared" si="202"/>
        <v>5459057</v>
      </c>
      <c r="E333" s="9" t="str">
        <f t="shared" si="237"/>
        <v>5202103,5201103,5302104,5400105,5601103,5400105</v>
      </c>
      <c r="F333" s="9" t="str">
        <f t="shared" si="238"/>
        <v>10,10,10,10,10,10</v>
      </c>
      <c r="G333" s="9" t="str">
        <f t="shared" si="239"/>
        <v>676,731,731,731,731,731</v>
      </c>
      <c r="H333" s="9">
        <v>172</v>
      </c>
      <c r="I333" s="9" t="s">
        <v>278</v>
      </c>
      <c r="J333" s="9" t="s">
        <v>279</v>
      </c>
      <c r="K333" s="9" t="s">
        <v>279</v>
      </c>
      <c r="L333" s="9" t="s">
        <v>279</v>
      </c>
      <c r="M333" s="36" t="s">
        <v>301</v>
      </c>
      <c r="O333" s="3">
        <f t="shared" si="206"/>
        <v>5459057</v>
      </c>
      <c r="P333" s="9">
        <v>4315460.2699999996</v>
      </c>
      <c r="Q333" s="9">
        <v>5202103</v>
      </c>
      <c r="R333" s="9">
        <v>5201103</v>
      </c>
      <c r="S333" s="9">
        <v>5302104</v>
      </c>
      <c r="T333" s="9">
        <v>5400105</v>
      </c>
      <c r="U333" s="9">
        <v>5601103</v>
      </c>
      <c r="V333" s="9">
        <v>5400105</v>
      </c>
      <c r="W333" s="9">
        <v>10</v>
      </c>
      <c r="X333" s="9">
        <v>10</v>
      </c>
      <c r="Y333" s="9">
        <v>10</v>
      </c>
      <c r="Z333" s="9">
        <v>10</v>
      </c>
      <c r="AA333" s="9">
        <v>10</v>
      </c>
      <c r="AB333" s="9">
        <v>10</v>
      </c>
      <c r="AC333" s="9">
        <f t="shared" si="226"/>
        <v>676</v>
      </c>
      <c r="AD333" s="9">
        <f t="shared" si="227"/>
        <v>731</v>
      </c>
      <c r="AE333" s="9">
        <f t="shared" si="228"/>
        <v>731</v>
      </c>
      <c r="AF333" s="9">
        <f t="shared" si="229"/>
        <v>731</v>
      </c>
      <c r="AG333" s="9">
        <f t="shared" si="230"/>
        <v>731</v>
      </c>
      <c r="AH333" s="9">
        <f t="shared" si="231"/>
        <v>731</v>
      </c>
      <c r="AI333" s="7">
        <f t="shared" si="204"/>
        <v>719243.3783333333</v>
      </c>
      <c r="AJ333" s="7">
        <f t="shared" si="205"/>
        <v>719243.3783333333</v>
      </c>
      <c r="AK333" s="7">
        <f t="shared" si="205"/>
        <v>719243.3783333333</v>
      </c>
      <c r="AL333" s="7">
        <f t="shared" si="205"/>
        <v>719243.3783333333</v>
      </c>
      <c r="AM333" s="7">
        <f t="shared" si="205"/>
        <v>719243.3783333333</v>
      </c>
      <c r="AN333" s="7">
        <f t="shared" si="205"/>
        <v>719243.3783333333</v>
      </c>
      <c r="AO333" s="16"/>
      <c r="AP333" s="7"/>
      <c r="AQ333" s="9">
        <v>7</v>
      </c>
      <c r="AR333" s="9">
        <f t="shared" si="232"/>
        <v>824</v>
      </c>
      <c r="AS333" s="7">
        <f t="shared" si="203"/>
        <v>265</v>
      </c>
      <c r="AT333" s="7"/>
      <c r="AU333" s="16"/>
      <c r="AV333" s="7"/>
      <c r="AW333" s="7"/>
      <c r="AX333" s="7"/>
      <c r="AZ333" s="7"/>
      <c r="BA333" s="9">
        <f t="shared" si="207"/>
        <v>457634.79999999888</v>
      </c>
      <c r="BC333" s="5">
        <f t="shared" si="233"/>
        <v>632</v>
      </c>
      <c r="BR333" s="5">
        <v>5400093</v>
      </c>
      <c r="BS333" s="18">
        <f>[1]monsters!$N333</f>
        <v>347.2</v>
      </c>
      <c r="BT333" s="18">
        <f>[1]monsters!$O333</f>
        <v>34.72</v>
      </c>
      <c r="BU333" s="18">
        <f>[1]monsters!$P333</f>
        <v>1734.19</v>
      </c>
      <c r="BV333" s="18">
        <f>[1]monsters!$Q333</f>
        <v>173.42</v>
      </c>
      <c r="BW333" s="18">
        <f>[1]monsters!$R333</f>
        <v>34.72</v>
      </c>
      <c r="BX333" s="18">
        <f>[1]monsters!$S333</f>
        <v>3.47</v>
      </c>
      <c r="BY333" s="18">
        <f>[1]monsters!$K333</f>
        <v>1.5</v>
      </c>
      <c r="BZ333" s="5">
        <f>[1]monsters!$D333</f>
        <v>6</v>
      </c>
      <c r="CA333" s="5">
        <f t="shared" si="234"/>
        <v>0.1</v>
      </c>
      <c r="CB333" s="5">
        <f t="shared" si="235"/>
        <v>386.49423569023566</v>
      </c>
      <c r="CC333" s="5">
        <f t="shared" si="236"/>
        <v>38.649423569023568</v>
      </c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>
        <v>1</v>
      </c>
      <c r="CR333" s="3" t="b">
        <f t="shared" si="208"/>
        <v>1</v>
      </c>
      <c r="CS333" s="3" t="b">
        <f t="shared" si="209"/>
        <v>1</v>
      </c>
      <c r="CT333" s="3" t="b">
        <f t="shared" si="210"/>
        <v>1</v>
      </c>
      <c r="CU333" s="3" t="b">
        <f t="shared" si="211"/>
        <v>1</v>
      </c>
      <c r="CV333" s="3" t="b">
        <f t="shared" si="212"/>
        <v>1</v>
      </c>
      <c r="CW333" s="3" t="b">
        <f t="shared" si="213"/>
        <v>1</v>
      </c>
      <c r="CX333" s="9" t="str">
        <f t="shared" si="214"/>
        <v>5202103</v>
      </c>
      <c r="CY333" s="9" t="str">
        <f t="shared" si="215"/>
        <v>5201103</v>
      </c>
      <c r="CZ333" s="9" t="str">
        <f t="shared" si="216"/>
        <v>5302104</v>
      </c>
      <c r="DA333" s="9" t="str">
        <f t="shared" si="217"/>
        <v>5400105</v>
      </c>
      <c r="DB333" s="9" t="str">
        <f t="shared" si="218"/>
        <v>5601103</v>
      </c>
      <c r="DC333" s="9" t="str">
        <f t="shared" si="219"/>
        <v>5400105</v>
      </c>
      <c r="DD333" s="9">
        <v>10</v>
      </c>
      <c r="DE333" s="9">
        <v>10</v>
      </c>
      <c r="DF333" s="9">
        <v>10</v>
      </c>
      <c r="DG333" s="9">
        <v>10</v>
      </c>
      <c r="DH333" s="9">
        <v>10</v>
      </c>
      <c r="DI333" s="9">
        <v>10</v>
      </c>
      <c r="DJ333" s="9">
        <v>5</v>
      </c>
      <c r="DK333" s="9">
        <v>5</v>
      </c>
      <c r="DL333" s="9">
        <v>5</v>
      </c>
      <c r="DM333" s="9">
        <v>5</v>
      </c>
      <c r="DN333" s="9">
        <v>5</v>
      </c>
      <c r="DO333" s="9">
        <v>5</v>
      </c>
      <c r="DP333" s="25" t="s">
        <v>208</v>
      </c>
      <c r="DQ333" s="25" t="s">
        <v>205</v>
      </c>
      <c r="DR333" s="25" t="s">
        <v>218</v>
      </c>
      <c r="DS333" s="25" t="s">
        <v>210</v>
      </c>
      <c r="DT333" s="25" t="s">
        <v>216</v>
      </c>
      <c r="DU333" s="25" t="s">
        <v>210</v>
      </c>
      <c r="DV333" s="25">
        <f t="shared" si="220"/>
        <v>1</v>
      </c>
      <c r="DW333" s="25">
        <f t="shared" si="221"/>
        <v>1</v>
      </c>
      <c r="DX333" s="25">
        <f t="shared" si="222"/>
        <v>1</v>
      </c>
      <c r="DY333" s="25">
        <f t="shared" si="223"/>
        <v>2</v>
      </c>
      <c r="DZ333" s="25">
        <f t="shared" si="224"/>
        <v>2</v>
      </c>
      <c r="EA333" s="3">
        <f t="shared" si="225"/>
        <v>2</v>
      </c>
      <c r="EB333" s="44"/>
      <c r="EC333" s="9">
        <v>5601112</v>
      </c>
      <c r="ED333" s="34" t="s">
        <v>124</v>
      </c>
      <c r="EE333" s="8">
        <v>2</v>
      </c>
    </row>
    <row r="334" spans="1:135" ht="13.5" customHeight="1">
      <c r="A334" s="9">
        <v>331</v>
      </c>
      <c r="B334" s="9">
        <v>1</v>
      </c>
      <c r="C334" s="9">
        <v>2001</v>
      </c>
      <c r="D334" s="9">
        <f t="shared" si="202"/>
        <v>5481754</v>
      </c>
      <c r="E334" s="9" t="str">
        <f t="shared" si="237"/>
        <v>5301101,5301102,5301103,5500101,5500102,5500103</v>
      </c>
      <c r="F334" s="9" t="str">
        <f t="shared" si="238"/>
        <v>10,10,10,10,10,10</v>
      </c>
      <c r="G334" s="9" t="str">
        <f t="shared" si="239"/>
        <v>677,732,732,732,732,732</v>
      </c>
      <c r="H334" s="9">
        <v>172</v>
      </c>
      <c r="I334" s="9" t="s">
        <v>278</v>
      </c>
      <c r="J334" s="9" t="s">
        <v>279</v>
      </c>
      <c r="K334" s="9" t="s">
        <v>279</v>
      </c>
      <c r="L334" s="9" t="s">
        <v>279</v>
      </c>
      <c r="M334" s="36" t="s">
        <v>302</v>
      </c>
      <c r="N334" s="40"/>
      <c r="O334" s="3">
        <f t="shared" si="206"/>
        <v>5481754</v>
      </c>
      <c r="P334" s="9">
        <v>4333402.1100000003</v>
      </c>
      <c r="Q334" s="9">
        <v>5301101</v>
      </c>
      <c r="R334" s="9">
        <v>5301102</v>
      </c>
      <c r="S334" s="9">
        <v>5301103</v>
      </c>
      <c r="T334" s="9">
        <v>5500101</v>
      </c>
      <c r="U334" s="9">
        <v>5500102</v>
      </c>
      <c r="V334" s="9">
        <v>5500103</v>
      </c>
      <c r="W334" s="9">
        <v>10</v>
      </c>
      <c r="X334" s="9">
        <v>10</v>
      </c>
      <c r="Y334" s="9">
        <v>10</v>
      </c>
      <c r="Z334" s="9">
        <v>10</v>
      </c>
      <c r="AA334" s="9">
        <v>10</v>
      </c>
      <c r="AB334" s="9">
        <v>10</v>
      </c>
      <c r="AC334" s="9">
        <f t="shared" si="226"/>
        <v>677</v>
      </c>
      <c r="AD334" s="9">
        <f t="shared" si="227"/>
        <v>732</v>
      </c>
      <c r="AE334" s="9">
        <f t="shared" si="228"/>
        <v>732</v>
      </c>
      <c r="AF334" s="9">
        <f t="shared" si="229"/>
        <v>732</v>
      </c>
      <c r="AG334" s="9">
        <f t="shared" si="230"/>
        <v>732</v>
      </c>
      <c r="AH334" s="9">
        <f t="shared" si="231"/>
        <v>732</v>
      </c>
      <c r="AI334" s="7">
        <f t="shared" si="204"/>
        <v>722233.68500000006</v>
      </c>
      <c r="AJ334" s="7">
        <f t="shared" si="205"/>
        <v>722233.68500000006</v>
      </c>
      <c r="AK334" s="7">
        <f t="shared" si="205"/>
        <v>722233.68500000006</v>
      </c>
      <c r="AL334" s="7">
        <f t="shared" si="205"/>
        <v>722233.68500000006</v>
      </c>
      <c r="AM334" s="7">
        <f t="shared" si="205"/>
        <v>722233.68500000006</v>
      </c>
      <c r="AN334" s="7">
        <f t="shared" si="205"/>
        <v>722233.68500000006</v>
      </c>
      <c r="AO334" s="16"/>
      <c r="AP334" s="7"/>
      <c r="AQ334" s="9">
        <v>7</v>
      </c>
      <c r="AR334" s="9">
        <f t="shared" si="232"/>
        <v>826</v>
      </c>
      <c r="AS334" s="7">
        <f t="shared" si="203"/>
        <v>265</v>
      </c>
      <c r="AT334" s="7"/>
      <c r="AU334" s="16"/>
      <c r="AV334" s="7"/>
      <c r="AW334" s="7"/>
      <c r="AX334" s="7"/>
      <c r="AZ334" s="7"/>
      <c r="BA334" s="9">
        <f t="shared" si="207"/>
        <v>460025.15999999887</v>
      </c>
      <c r="BC334" s="5">
        <f t="shared" si="233"/>
        <v>633</v>
      </c>
      <c r="BR334" s="5">
        <v>5401093</v>
      </c>
      <c r="BS334" s="18">
        <f>[1]monsters!$N334</f>
        <v>224</v>
      </c>
      <c r="BT334" s="18">
        <f>[1]monsters!$O334</f>
        <v>22.4</v>
      </c>
      <c r="BU334" s="18">
        <f>[1]monsters!$P334</f>
        <v>2688</v>
      </c>
      <c r="BV334" s="18">
        <f>[1]monsters!$Q334</f>
        <v>268.8</v>
      </c>
      <c r="BW334" s="18">
        <f>[1]monsters!$R334</f>
        <v>56</v>
      </c>
      <c r="BX334" s="18">
        <f>[1]monsters!$S334</f>
        <v>5.6</v>
      </c>
      <c r="BY334" s="18">
        <f>[1]monsters!$K334</f>
        <v>1.5</v>
      </c>
      <c r="BZ334" s="5">
        <f>[1]monsters!$D334</f>
        <v>2</v>
      </c>
      <c r="CA334" s="5">
        <f t="shared" si="234"/>
        <v>0.1</v>
      </c>
      <c r="CB334" s="5">
        <f t="shared" si="235"/>
        <v>302.18505050505053</v>
      </c>
      <c r="CC334" s="5">
        <f t="shared" si="236"/>
        <v>30.218505050505055</v>
      </c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>
        <v>0</v>
      </c>
      <c r="CR334" s="3" t="b">
        <f t="shared" si="208"/>
        <v>1</v>
      </c>
      <c r="CS334" s="3" t="b">
        <f t="shared" si="209"/>
        <v>1</v>
      </c>
      <c r="CT334" s="3" t="b">
        <f t="shared" si="210"/>
        <v>1</v>
      </c>
      <c r="CU334" s="3" t="b">
        <f t="shared" si="211"/>
        <v>1</v>
      </c>
      <c r="CV334" s="3" t="b">
        <f t="shared" si="212"/>
        <v>1</v>
      </c>
      <c r="CW334" s="3" t="b">
        <f t="shared" si="213"/>
        <v>1</v>
      </c>
      <c r="CX334" s="9" t="str">
        <f t="shared" si="214"/>
        <v>5301101</v>
      </c>
      <c r="CY334" s="9" t="str">
        <f t="shared" si="215"/>
        <v>5301102</v>
      </c>
      <c r="CZ334" s="9" t="str">
        <f t="shared" si="216"/>
        <v>5301103</v>
      </c>
      <c r="DA334" s="9" t="str">
        <f t="shared" si="217"/>
        <v>5500101</v>
      </c>
      <c r="DB334" s="9" t="str">
        <f t="shared" si="218"/>
        <v>5500102</v>
      </c>
      <c r="DC334" s="9" t="str">
        <f t="shared" si="219"/>
        <v>5500103</v>
      </c>
      <c r="DD334" s="9">
        <v>10</v>
      </c>
      <c r="DE334" s="9">
        <v>10</v>
      </c>
      <c r="DF334" s="9">
        <v>10</v>
      </c>
      <c r="DG334" s="9">
        <v>10</v>
      </c>
      <c r="DH334" s="9">
        <v>10</v>
      </c>
      <c r="DI334" s="9">
        <v>10</v>
      </c>
      <c r="DJ334" s="9">
        <v>5</v>
      </c>
      <c r="DK334" s="9">
        <v>5</v>
      </c>
      <c r="DL334" s="9">
        <v>5</v>
      </c>
      <c r="DM334" s="9">
        <v>5</v>
      </c>
      <c r="DN334" s="9">
        <v>5</v>
      </c>
      <c r="DO334" s="9">
        <v>5</v>
      </c>
      <c r="DP334" s="3" t="s">
        <v>107</v>
      </c>
      <c r="DQ334" s="3" t="s">
        <v>201</v>
      </c>
      <c r="DR334" s="3" t="s">
        <v>206</v>
      </c>
      <c r="DS334" s="3" t="s">
        <v>197</v>
      </c>
      <c r="DT334" s="3" t="s">
        <v>109</v>
      </c>
      <c r="DU334" s="3" t="s">
        <v>207</v>
      </c>
      <c r="DV334" s="3">
        <f t="shared" si="220"/>
        <v>1</v>
      </c>
      <c r="DW334" s="3">
        <f t="shared" si="221"/>
        <v>1</v>
      </c>
      <c r="DX334" s="3">
        <f t="shared" si="222"/>
        <v>1</v>
      </c>
      <c r="DY334" s="3">
        <f t="shared" si="223"/>
        <v>2</v>
      </c>
      <c r="DZ334" s="3">
        <f t="shared" si="224"/>
        <v>2</v>
      </c>
      <c r="EA334" s="3">
        <f t="shared" si="225"/>
        <v>2</v>
      </c>
      <c r="EB334" s="44"/>
      <c r="EC334" s="9">
        <v>5200113</v>
      </c>
      <c r="ED334" s="34" t="s">
        <v>113</v>
      </c>
      <c r="EE334" s="8">
        <v>1</v>
      </c>
    </row>
    <row r="335" spans="1:135" ht="13.5" customHeight="1">
      <c r="A335" s="9">
        <v>332</v>
      </c>
      <c r="B335" s="9">
        <v>1</v>
      </c>
      <c r="C335" s="9">
        <v>2001</v>
      </c>
      <c r="D335" s="9">
        <f t="shared" si="202"/>
        <v>5504498</v>
      </c>
      <c r="E335" s="9" t="str">
        <f t="shared" si="237"/>
        <v>5200102,5200103,5200102,5501105,5401101,5502101</v>
      </c>
      <c r="F335" s="9" t="str">
        <f t="shared" si="238"/>
        <v>10,10,10,10,10,10</v>
      </c>
      <c r="G335" s="9" t="str">
        <f t="shared" si="239"/>
        <v>679,734,734,734,734,734</v>
      </c>
      <c r="H335" s="9">
        <v>172</v>
      </c>
      <c r="I335" s="9" t="s">
        <v>278</v>
      </c>
      <c r="J335" s="9" t="s">
        <v>279</v>
      </c>
      <c r="K335" s="9" t="s">
        <v>279</v>
      </c>
      <c r="L335" s="9" t="s">
        <v>279</v>
      </c>
      <c r="M335" s="36" t="s">
        <v>302</v>
      </c>
      <c r="N335" s="40"/>
      <c r="O335" s="3">
        <f t="shared" si="206"/>
        <v>5504498</v>
      </c>
      <c r="P335" s="9">
        <v>4351381.76</v>
      </c>
      <c r="Q335" s="9">
        <v>5200102</v>
      </c>
      <c r="R335" s="9">
        <v>5200103</v>
      </c>
      <c r="S335" s="9">
        <v>5200102</v>
      </c>
      <c r="T335" s="9">
        <v>5501105</v>
      </c>
      <c r="U335" s="9">
        <v>5401101</v>
      </c>
      <c r="V335" s="9">
        <v>5502101</v>
      </c>
      <c r="W335" s="9">
        <v>10</v>
      </c>
      <c r="X335" s="9">
        <v>10</v>
      </c>
      <c r="Y335" s="9">
        <v>10</v>
      </c>
      <c r="Z335" s="9">
        <v>10</v>
      </c>
      <c r="AA335" s="9">
        <v>10</v>
      </c>
      <c r="AB335" s="9">
        <v>10</v>
      </c>
      <c r="AC335" s="9">
        <f t="shared" si="226"/>
        <v>679</v>
      </c>
      <c r="AD335" s="9">
        <f t="shared" si="227"/>
        <v>734</v>
      </c>
      <c r="AE335" s="9">
        <f t="shared" si="228"/>
        <v>734</v>
      </c>
      <c r="AF335" s="9">
        <f t="shared" si="229"/>
        <v>734</v>
      </c>
      <c r="AG335" s="9">
        <f t="shared" si="230"/>
        <v>734</v>
      </c>
      <c r="AH335" s="9">
        <f t="shared" si="231"/>
        <v>734</v>
      </c>
      <c r="AI335" s="7">
        <f t="shared" si="204"/>
        <v>725230.29333333333</v>
      </c>
      <c r="AJ335" s="7">
        <f t="shared" si="205"/>
        <v>725230.29333333333</v>
      </c>
      <c r="AK335" s="7">
        <f t="shared" si="205"/>
        <v>725230.29333333333</v>
      </c>
      <c r="AL335" s="7">
        <f t="shared" si="205"/>
        <v>725230.29333333333</v>
      </c>
      <c r="AM335" s="7">
        <f t="shared" si="205"/>
        <v>725230.29333333333</v>
      </c>
      <c r="AN335" s="7">
        <f t="shared" si="205"/>
        <v>725230.29333333333</v>
      </c>
      <c r="AO335" s="16"/>
      <c r="AP335" s="7"/>
      <c r="AQ335" s="9">
        <v>7</v>
      </c>
      <c r="AR335" s="9">
        <f t="shared" si="232"/>
        <v>828</v>
      </c>
      <c r="AS335" s="7">
        <f t="shared" si="203"/>
        <v>266</v>
      </c>
      <c r="AT335" s="7"/>
      <c r="AU335" s="16"/>
      <c r="AV335" s="7"/>
      <c r="AW335" s="7"/>
      <c r="AX335" s="7"/>
      <c r="AZ335" s="7"/>
      <c r="BA335" s="9">
        <f t="shared" si="207"/>
        <v>462415.51999999885</v>
      </c>
      <c r="BC335" s="5">
        <f t="shared" si="233"/>
        <v>634</v>
      </c>
      <c r="BR335" s="5">
        <v>5501093</v>
      </c>
      <c r="BS335" s="18">
        <f>[1]monsters!$N335</f>
        <v>215.04</v>
      </c>
      <c r="BT335" s="18">
        <f>[1]monsters!$O335</f>
        <v>21.5</v>
      </c>
      <c r="BU335" s="18">
        <f>[1]monsters!$P335</f>
        <v>3360</v>
      </c>
      <c r="BV335" s="18">
        <f>[1]monsters!$Q335</f>
        <v>336</v>
      </c>
      <c r="BW335" s="18">
        <f>[1]monsters!$R335</f>
        <v>71.680000000000007</v>
      </c>
      <c r="BX335" s="18">
        <f>[1]monsters!$S335</f>
        <v>7.17</v>
      </c>
      <c r="BY335" s="18">
        <f>[1]monsters!$K335</f>
        <v>1.8</v>
      </c>
      <c r="BZ335" s="5">
        <f>[1]monsters!$D335</f>
        <v>2</v>
      </c>
      <c r="CA335" s="5">
        <f t="shared" si="234"/>
        <v>0.1</v>
      </c>
      <c r="CB335" s="5">
        <f t="shared" si="235"/>
        <v>316.34411313131312</v>
      </c>
      <c r="CC335" s="5">
        <f t="shared" si="236"/>
        <v>31.634411313131313</v>
      </c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>
        <v>0</v>
      </c>
      <c r="CR335" s="3" t="b">
        <f t="shared" si="208"/>
        <v>1</v>
      </c>
      <c r="CS335" s="3" t="b">
        <f t="shared" si="209"/>
        <v>1</v>
      </c>
      <c r="CT335" s="3" t="b">
        <f t="shared" si="210"/>
        <v>1</v>
      </c>
      <c r="CU335" s="3" t="b">
        <f t="shared" si="211"/>
        <v>1</v>
      </c>
      <c r="CV335" s="3" t="b">
        <f t="shared" si="212"/>
        <v>1</v>
      </c>
      <c r="CW335" s="3" t="b">
        <f t="shared" si="213"/>
        <v>1</v>
      </c>
      <c r="CX335" s="9" t="str">
        <f t="shared" si="214"/>
        <v>5200102</v>
      </c>
      <c r="CY335" s="9" t="str">
        <f t="shared" si="215"/>
        <v>5200103</v>
      </c>
      <c r="CZ335" s="9" t="str">
        <f t="shared" si="216"/>
        <v>5200102</v>
      </c>
      <c r="DA335" s="9" t="str">
        <f t="shared" si="217"/>
        <v>5501105</v>
      </c>
      <c r="DB335" s="9" t="str">
        <f t="shared" si="218"/>
        <v>5401101</v>
      </c>
      <c r="DC335" s="9" t="str">
        <f t="shared" si="219"/>
        <v>5502101</v>
      </c>
      <c r="DD335" s="9">
        <v>10</v>
      </c>
      <c r="DE335" s="9">
        <v>10</v>
      </c>
      <c r="DF335" s="9">
        <v>10</v>
      </c>
      <c r="DG335" s="9">
        <v>10</v>
      </c>
      <c r="DH335" s="9">
        <v>10</v>
      </c>
      <c r="DI335" s="9">
        <v>10</v>
      </c>
      <c r="DJ335" s="9">
        <v>5</v>
      </c>
      <c r="DK335" s="9">
        <v>5</v>
      </c>
      <c r="DL335" s="9">
        <v>5</v>
      </c>
      <c r="DM335" s="9">
        <v>5</v>
      </c>
      <c r="DN335" s="9">
        <v>5</v>
      </c>
      <c r="DO335" s="9">
        <v>5</v>
      </c>
      <c r="DP335" s="3" t="s">
        <v>199</v>
      </c>
      <c r="DQ335" s="3" t="s">
        <v>113</v>
      </c>
      <c r="DR335" s="3" t="s">
        <v>199</v>
      </c>
      <c r="DS335" s="25" t="s">
        <v>209</v>
      </c>
      <c r="DT335" s="25" t="s">
        <v>117</v>
      </c>
      <c r="DU335" s="25" t="s">
        <v>119</v>
      </c>
      <c r="DV335" s="25">
        <f t="shared" si="220"/>
        <v>1</v>
      </c>
      <c r="DW335" s="25">
        <f t="shared" si="221"/>
        <v>1</v>
      </c>
      <c r="DX335" s="25">
        <f t="shared" si="222"/>
        <v>1</v>
      </c>
      <c r="DY335" s="25">
        <f t="shared" si="223"/>
        <v>2</v>
      </c>
      <c r="DZ335" s="25">
        <f t="shared" si="224"/>
        <v>2</v>
      </c>
      <c r="EA335" s="3">
        <f t="shared" si="225"/>
        <v>2</v>
      </c>
      <c r="EB335" s="44"/>
      <c r="EC335" s="9">
        <v>5201113</v>
      </c>
      <c r="ED335" s="34" t="s">
        <v>205</v>
      </c>
      <c r="EE335" s="8">
        <v>1</v>
      </c>
    </row>
    <row r="336" spans="1:135" ht="13.5" customHeight="1">
      <c r="A336" s="9">
        <v>333</v>
      </c>
      <c r="B336" s="9">
        <v>1</v>
      </c>
      <c r="C336" s="9">
        <v>2001</v>
      </c>
      <c r="D336" s="9">
        <f t="shared" si="202"/>
        <v>5527290</v>
      </c>
      <c r="E336" s="9" t="str">
        <f t="shared" si="237"/>
        <v>5201101,5201102,5202101,5401101,5401103,5401102</v>
      </c>
      <c r="F336" s="9" t="str">
        <f t="shared" si="238"/>
        <v>10,10,10,10,10,10</v>
      </c>
      <c r="G336" s="9" t="str">
        <f t="shared" si="239"/>
        <v>680,736,736,736,736,736</v>
      </c>
      <c r="H336" s="9">
        <v>173</v>
      </c>
      <c r="I336" s="9" t="s">
        <v>278</v>
      </c>
      <c r="J336" s="9" t="s">
        <v>279</v>
      </c>
      <c r="K336" s="9" t="s">
        <v>279</v>
      </c>
      <c r="L336" s="9" t="s">
        <v>279</v>
      </c>
      <c r="M336" s="36" t="s">
        <v>302</v>
      </c>
      <c r="N336" s="40"/>
      <c r="O336" s="3">
        <f t="shared" si="206"/>
        <v>5527290</v>
      </c>
      <c r="P336" s="9">
        <v>4369399.22</v>
      </c>
      <c r="Q336" s="9">
        <v>5201101</v>
      </c>
      <c r="R336" s="9">
        <v>5201102</v>
      </c>
      <c r="S336" s="9">
        <v>5202101</v>
      </c>
      <c r="T336" s="9">
        <v>5401101</v>
      </c>
      <c r="U336" s="9">
        <v>5401103</v>
      </c>
      <c r="V336" s="9">
        <v>5401102</v>
      </c>
      <c r="W336" s="9">
        <v>10</v>
      </c>
      <c r="X336" s="9">
        <v>10</v>
      </c>
      <c r="Y336" s="9">
        <v>10</v>
      </c>
      <c r="Z336" s="9">
        <v>10</v>
      </c>
      <c r="AA336" s="9">
        <v>10</v>
      </c>
      <c r="AB336" s="9">
        <v>10</v>
      </c>
      <c r="AC336" s="9">
        <f t="shared" si="226"/>
        <v>680</v>
      </c>
      <c r="AD336" s="9">
        <f t="shared" si="227"/>
        <v>736</v>
      </c>
      <c r="AE336" s="9">
        <f t="shared" si="228"/>
        <v>736</v>
      </c>
      <c r="AF336" s="9">
        <f t="shared" si="229"/>
        <v>736</v>
      </c>
      <c r="AG336" s="9">
        <f t="shared" si="230"/>
        <v>736</v>
      </c>
      <c r="AH336" s="9">
        <f t="shared" si="231"/>
        <v>736</v>
      </c>
      <c r="AI336" s="7">
        <f t="shared" si="204"/>
        <v>728233.20333333325</v>
      </c>
      <c r="AJ336" s="7">
        <f t="shared" si="205"/>
        <v>728233.20333333325</v>
      </c>
      <c r="AK336" s="7">
        <f t="shared" si="205"/>
        <v>728233.20333333325</v>
      </c>
      <c r="AL336" s="7">
        <f t="shared" si="205"/>
        <v>728233.20333333325</v>
      </c>
      <c r="AM336" s="7">
        <f t="shared" si="205"/>
        <v>728233.20333333325</v>
      </c>
      <c r="AN336" s="7">
        <f t="shared" si="205"/>
        <v>728233.20333333325</v>
      </c>
      <c r="AO336" s="16"/>
      <c r="AP336" s="7"/>
      <c r="AQ336" s="9">
        <v>7</v>
      </c>
      <c r="AR336" s="9">
        <f t="shared" si="232"/>
        <v>829</v>
      </c>
      <c r="AS336" s="7">
        <f t="shared" si="203"/>
        <v>266</v>
      </c>
      <c r="AT336" s="7"/>
      <c r="AU336" s="16"/>
      <c r="AV336" s="7"/>
      <c r="AW336" s="7"/>
      <c r="AX336" s="7"/>
      <c r="AZ336" s="7"/>
      <c r="BA336" s="9">
        <f t="shared" si="207"/>
        <v>464805.87999999884</v>
      </c>
      <c r="BC336" s="5">
        <f t="shared" si="233"/>
        <v>636</v>
      </c>
      <c r="BR336" s="5">
        <v>5502093</v>
      </c>
      <c r="BS336" s="18">
        <f>[1]monsters!$N336</f>
        <v>241.92</v>
      </c>
      <c r="BT336" s="18">
        <f>[1]monsters!$O336</f>
        <v>24.19</v>
      </c>
      <c r="BU336" s="18">
        <f>[1]monsters!$P336</f>
        <v>2986.67</v>
      </c>
      <c r="BV336" s="18">
        <f>[1]monsters!$Q336</f>
        <v>298.67</v>
      </c>
      <c r="BW336" s="18">
        <f>[1]monsters!$R336</f>
        <v>48.38</v>
      </c>
      <c r="BX336" s="18">
        <f>[1]monsters!$S336</f>
        <v>4.84</v>
      </c>
      <c r="BY336" s="18">
        <f>[1]monsters!$K336</f>
        <v>1.8</v>
      </c>
      <c r="BZ336" s="5">
        <f>[1]monsters!$D336</f>
        <v>2</v>
      </c>
      <c r="CA336" s="5">
        <f t="shared" si="234"/>
        <v>0.1</v>
      </c>
      <c r="CB336" s="5">
        <f t="shared" si="235"/>
        <v>329.17567946127946</v>
      </c>
      <c r="CC336" s="5">
        <f t="shared" si="236"/>
        <v>32.917567946127946</v>
      </c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>
        <v>0</v>
      </c>
      <c r="CR336" s="3" t="b">
        <f t="shared" si="208"/>
        <v>1</v>
      </c>
      <c r="CS336" s="3" t="b">
        <f t="shared" si="209"/>
        <v>1</v>
      </c>
      <c r="CT336" s="3" t="b">
        <f t="shared" si="210"/>
        <v>1</v>
      </c>
      <c r="CU336" s="3" t="b">
        <f t="shared" si="211"/>
        <v>1</v>
      </c>
      <c r="CV336" s="3" t="b">
        <f t="shared" si="212"/>
        <v>1</v>
      </c>
      <c r="CW336" s="3" t="b">
        <f t="shared" si="213"/>
        <v>1</v>
      </c>
      <c r="CX336" s="9" t="str">
        <f t="shared" si="214"/>
        <v>5201101</v>
      </c>
      <c r="CY336" s="9" t="str">
        <f t="shared" si="215"/>
        <v>5201102</v>
      </c>
      <c r="CZ336" s="9" t="str">
        <f t="shared" si="216"/>
        <v>5202101</v>
      </c>
      <c r="DA336" s="9" t="str">
        <f t="shared" si="217"/>
        <v>5401101</v>
      </c>
      <c r="DB336" s="9" t="str">
        <f t="shared" si="218"/>
        <v>5401103</v>
      </c>
      <c r="DC336" s="9" t="str">
        <f t="shared" si="219"/>
        <v>5401102</v>
      </c>
      <c r="DD336" s="9">
        <v>10</v>
      </c>
      <c r="DE336" s="9">
        <v>10</v>
      </c>
      <c r="DF336" s="9">
        <v>10</v>
      </c>
      <c r="DG336" s="9">
        <v>10</v>
      </c>
      <c r="DH336" s="9">
        <v>10</v>
      </c>
      <c r="DI336" s="9">
        <v>10</v>
      </c>
      <c r="DJ336" s="9">
        <v>5</v>
      </c>
      <c r="DK336" s="9">
        <v>5</v>
      </c>
      <c r="DL336" s="9">
        <v>5</v>
      </c>
      <c r="DM336" s="9">
        <v>5</v>
      </c>
      <c r="DN336" s="9">
        <v>5</v>
      </c>
      <c r="DO336" s="9">
        <v>5</v>
      </c>
      <c r="DP336" s="3" t="s">
        <v>195</v>
      </c>
      <c r="DQ336" s="3" t="s">
        <v>114</v>
      </c>
      <c r="DR336" s="3" t="s">
        <v>111</v>
      </c>
      <c r="DS336" s="3" t="s">
        <v>117</v>
      </c>
      <c r="DT336" s="3" t="s">
        <v>211</v>
      </c>
      <c r="DU336" s="3" t="s">
        <v>202</v>
      </c>
      <c r="DV336" s="3">
        <f t="shared" si="220"/>
        <v>1</v>
      </c>
      <c r="DW336" s="3">
        <f t="shared" si="221"/>
        <v>1</v>
      </c>
      <c r="DX336" s="3">
        <f t="shared" si="222"/>
        <v>1</v>
      </c>
      <c r="DY336" s="3">
        <f t="shared" si="223"/>
        <v>2</v>
      </c>
      <c r="DZ336" s="3">
        <f t="shared" si="224"/>
        <v>2</v>
      </c>
      <c r="EA336" s="3">
        <f t="shared" si="225"/>
        <v>2</v>
      </c>
      <c r="EB336" s="44"/>
      <c r="EC336" s="9">
        <v>5202113</v>
      </c>
      <c r="ED336" s="34" t="s">
        <v>208</v>
      </c>
      <c r="EE336" s="8">
        <v>1</v>
      </c>
    </row>
    <row r="337" spans="1:135" ht="13.5" customHeight="1">
      <c r="A337" s="9">
        <v>334</v>
      </c>
      <c r="B337" s="9">
        <v>1</v>
      </c>
      <c r="C337" s="9">
        <v>2001</v>
      </c>
      <c r="D337" s="9">
        <f t="shared" ref="D337:D400" si="240">O337</f>
        <v>5550127</v>
      </c>
      <c r="E337" s="9" t="str">
        <f t="shared" si="237"/>
        <v>5300105,5202105,5202105,5501104,5500103,5501104</v>
      </c>
      <c r="F337" s="9" t="str">
        <f t="shared" si="238"/>
        <v>10,10,10,10,10,10</v>
      </c>
      <c r="G337" s="9" t="str">
        <f t="shared" si="239"/>
        <v>682,737,737,737,737,737</v>
      </c>
      <c r="H337" s="9">
        <v>173</v>
      </c>
      <c r="I337" s="9" t="s">
        <v>278</v>
      </c>
      <c r="J337" s="9" t="s">
        <v>279</v>
      </c>
      <c r="K337" s="9" t="s">
        <v>279</v>
      </c>
      <c r="L337" s="9" t="s">
        <v>279</v>
      </c>
      <c r="M337" s="36" t="s">
        <v>302</v>
      </c>
      <c r="N337" s="40"/>
      <c r="O337" s="3">
        <f t="shared" si="206"/>
        <v>5550127</v>
      </c>
      <c r="P337" s="9">
        <v>4387452.5</v>
      </c>
      <c r="Q337" s="9">
        <v>5300105</v>
      </c>
      <c r="R337" s="9">
        <v>5202105</v>
      </c>
      <c r="S337" s="9">
        <v>5202105</v>
      </c>
      <c r="T337" s="9">
        <v>5501104</v>
      </c>
      <c r="U337" s="9">
        <v>5500103</v>
      </c>
      <c r="V337" s="9">
        <v>5501104</v>
      </c>
      <c r="W337" s="9">
        <v>10</v>
      </c>
      <c r="X337" s="9">
        <v>10</v>
      </c>
      <c r="Y337" s="9">
        <v>10</v>
      </c>
      <c r="Z337" s="9">
        <v>10</v>
      </c>
      <c r="AA337" s="9">
        <v>10</v>
      </c>
      <c r="AB337" s="9">
        <v>10</v>
      </c>
      <c r="AC337" s="9">
        <f t="shared" si="226"/>
        <v>682</v>
      </c>
      <c r="AD337" s="9">
        <f t="shared" si="227"/>
        <v>737</v>
      </c>
      <c r="AE337" s="9">
        <f t="shared" si="228"/>
        <v>737</v>
      </c>
      <c r="AF337" s="9">
        <f t="shared" si="229"/>
        <v>737</v>
      </c>
      <c r="AG337" s="9">
        <f t="shared" si="230"/>
        <v>737</v>
      </c>
      <c r="AH337" s="9">
        <f t="shared" si="231"/>
        <v>737</v>
      </c>
      <c r="AI337" s="7">
        <f t="shared" si="204"/>
        <v>731242.08333333337</v>
      </c>
      <c r="AJ337" s="7">
        <f t="shared" si="205"/>
        <v>731242.08333333337</v>
      </c>
      <c r="AK337" s="7">
        <f t="shared" si="205"/>
        <v>731242.08333333337</v>
      </c>
      <c r="AL337" s="7">
        <f t="shared" si="205"/>
        <v>731242.08333333337</v>
      </c>
      <c r="AM337" s="7">
        <f t="shared" si="205"/>
        <v>731242.08333333337</v>
      </c>
      <c r="AN337" s="7">
        <f t="shared" si="205"/>
        <v>731242.08333333337</v>
      </c>
      <c r="AO337" s="16"/>
      <c r="AP337" s="7"/>
      <c r="AQ337" s="9">
        <v>7</v>
      </c>
      <c r="AR337" s="9">
        <f t="shared" si="232"/>
        <v>831</v>
      </c>
      <c r="AS337" s="7">
        <f t="shared" si="203"/>
        <v>267</v>
      </c>
      <c r="AT337" s="7"/>
      <c r="AU337" s="16"/>
      <c r="AV337" s="7"/>
      <c r="AW337" s="7"/>
      <c r="AX337" s="7"/>
      <c r="AZ337" s="7"/>
      <c r="BA337" s="9">
        <f t="shared" si="207"/>
        <v>467196.23999999883</v>
      </c>
      <c r="BC337" s="5">
        <f t="shared" si="233"/>
        <v>637</v>
      </c>
      <c r="BR337" s="5">
        <v>5600093</v>
      </c>
      <c r="BS337" s="18">
        <f>[1]monsters!$N337</f>
        <v>161.28</v>
      </c>
      <c r="BT337" s="18">
        <f>[1]monsters!$O337</f>
        <v>16.13</v>
      </c>
      <c r="BU337" s="18">
        <f>[1]monsters!$P337</f>
        <v>2986.67</v>
      </c>
      <c r="BV337" s="18">
        <f>[1]monsters!$Q337</f>
        <v>298.67</v>
      </c>
      <c r="BW337" s="18">
        <f>[1]monsters!$R337</f>
        <v>32.26</v>
      </c>
      <c r="BX337" s="18">
        <f>[1]monsters!$S337</f>
        <v>3.23</v>
      </c>
      <c r="BY337" s="18">
        <f>[1]monsters!$K337</f>
        <v>1.2</v>
      </c>
      <c r="BZ337" s="5">
        <f>[1]monsters!$D337</f>
        <v>3</v>
      </c>
      <c r="CA337" s="5">
        <f t="shared" si="234"/>
        <v>0.1</v>
      </c>
      <c r="CB337" s="5">
        <f t="shared" si="235"/>
        <v>252.97087946127948</v>
      </c>
      <c r="CC337" s="5">
        <f t="shared" si="236"/>
        <v>25.297087946127949</v>
      </c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>
        <v>0</v>
      </c>
      <c r="CR337" s="3" t="b">
        <f t="shared" si="208"/>
        <v>1</v>
      </c>
      <c r="CS337" s="3" t="b">
        <f t="shared" si="209"/>
        <v>1</v>
      </c>
      <c r="CT337" s="3" t="b">
        <f t="shared" si="210"/>
        <v>1</v>
      </c>
      <c r="CU337" s="3" t="b">
        <f t="shared" si="211"/>
        <v>1</v>
      </c>
      <c r="CV337" s="3" t="b">
        <f t="shared" si="212"/>
        <v>1</v>
      </c>
      <c r="CW337" s="3" t="b">
        <f t="shared" si="213"/>
        <v>1</v>
      </c>
      <c r="CX337" s="9" t="str">
        <f t="shared" si="214"/>
        <v>5300105</v>
      </c>
      <c r="CY337" s="9" t="str">
        <f t="shared" si="215"/>
        <v>5202105</v>
      </c>
      <c r="CZ337" s="9" t="str">
        <f t="shared" si="216"/>
        <v>5202105</v>
      </c>
      <c r="DA337" s="9" t="str">
        <f t="shared" si="217"/>
        <v>5501104</v>
      </c>
      <c r="DB337" s="9" t="str">
        <f t="shared" si="218"/>
        <v>5500103</v>
      </c>
      <c r="DC337" s="9" t="str">
        <f t="shared" si="219"/>
        <v>5501104</v>
      </c>
      <c r="DD337" s="9">
        <v>10</v>
      </c>
      <c r="DE337" s="9">
        <v>10</v>
      </c>
      <c r="DF337" s="9">
        <v>10</v>
      </c>
      <c r="DG337" s="9">
        <v>10</v>
      </c>
      <c r="DH337" s="9">
        <v>10</v>
      </c>
      <c r="DI337" s="9">
        <v>10</v>
      </c>
      <c r="DJ337" s="9">
        <v>5</v>
      </c>
      <c r="DK337" s="9">
        <v>5</v>
      </c>
      <c r="DL337" s="9">
        <v>5</v>
      </c>
      <c r="DM337" s="9">
        <v>5</v>
      </c>
      <c r="DN337" s="9">
        <v>5</v>
      </c>
      <c r="DO337" s="9">
        <v>5</v>
      </c>
      <c r="DP337" s="3" t="s">
        <v>212</v>
      </c>
      <c r="DQ337" s="3" t="s">
        <v>213</v>
      </c>
      <c r="DR337" s="3" t="s">
        <v>213</v>
      </c>
      <c r="DS337" s="3" t="s">
        <v>214</v>
      </c>
      <c r="DT337" s="3" t="s">
        <v>207</v>
      </c>
      <c r="DU337" s="3" t="s">
        <v>214</v>
      </c>
      <c r="DV337" s="3">
        <f t="shared" si="220"/>
        <v>1</v>
      </c>
      <c r="DW337" s="3">
        <f t="shared" si="221"/>
        <v>1</v>
      </c>
      <c r="DX337" s="3">
        <f t="shared" si="222"/>
        <v>1</v>
      </c>
      <c r="DY337" s="3">
        <f t="shared" si="223"/>
        <v>2</v>
      </c>
      <c r="DZ337" s="3">
        <f t="shared" si="224"/>
        <v>2</v>
      </c>
      <c r="EA337" s="3">
        <f t="shared" si="225"/>
        <v>2</v>
      </c>
      <c r="EB337" s="44"/>
      <c r="EC337" s="9">
        <v>5301113</v>
      </c>
      <c r="ED337" s="34" t="s">
        <v>206</v>
      </c>
      <c r="EE337" s="8">
        <v>1</v>
      </c>
    </row>
    <row r="338" spans="1:135" ht="13.5" customHeight="1">
      <c r="A338" s="9">
        <v>335</v>
      </c>
      <c r="B338" s="9">
        <v>1</v>
      </c>
      <c r="C338" s="9">
        <v>2001</v>
      </c>
      <c r="D338" s="9">
        <f t="shared" si="240"/>
        <v>5573013</v>
      </c>
      <c r="E338" s="9" t="str">
        <f t="shared" si="237"/>
        <v>5201101,5201101,5200102,5502102,5501104,5501104</v>
      </c>
      <c r="F338" s="9" t="str">
        <f t="shared" si="238"/>
        <v>10,10,10,10,10,10</v>
      </c>
      <c r="G338" s="9" t="str">
        <f t="shared" si="239"/>
        <v>683,739,739,739,739,739</v>
      </c>
      <c r="H338" s="9">
        <v>174</v>
      </c>
      <c r="I338" s="9" t="s">
        <v>278</v>
      </c>
      <c r="J338" s="9" t="s">
        <v>279</v>
      </c>
      <c r="K338" s="9" t="s">
        <v>279</v>
      </c>
      <c r="L338" s="9" t="s">
        <v>279</v>
      </c>
      <c r="M338" s="36" t="s">
        <v>302</v>
      </c>
      <c r="O338" s="3">
        <f t="shared" si="206"/>
        <v>5573013</v>
      </c>
      <c r="P338" s="9">
        <v>4405543.59</v>
      </c>
      <c r="Q338" s="9">
        <v>5201101</v>
      </c>
      <c r="R338" s="9">
        <v>5201101</v>
      </c>
      <c r="S338" s="9">
        <v>5200102</v>
      </c>
      <c r="T338" s="9">
        <v>5502102</v>
      </c>
      <c r="U338" s="9">
        <v>5501104</v>
      </c>
      <c r="V338" s="9">
        <v>5501104</v>
      </c>
      <c r="W338" s="9">
        <v>10</v>
      </c>
      <c r="X338" s="9">
        <v>10</v>
      </c>
      <c r="Y338" s="9">
        <v>10</v>
      </c>
      <c r="Z338" s="9">
        <v>10</v>
      </c>
      <c r="AA338" s="9">
        <v>10</v>
      </c>
      <c r="AB338" s="9">
        <v>10</v>
      </c>
      <c r="AC338" s="9">
        <f t="shared" si="226"/>
        <v>683</v>
      </c>
      <c r="AD338" s="9">
        <f t="shared" si="227"/>
        <v>739</v>
      </c>
      <c r="AE338" s="9">
        <f t="shared" si="228"/>
        <v>739</v>
      </c>
      <c r="AF338" s="9">
        <f t="shared" si="229"/>
        <v>739</v>
      </c>
      <c r="AG338" s="9">
        <f t="shared" si="230"/>
        <v>739</v>
      </c>
      <c r="AH338" s="9">
        <f t="shared" si="231"/>
        <v>739</v>
      </c>
      <c r="AI338" s="7">
        <f t="shared" si="204"/>
        <v>734257.26500000001</v>
      </c>
      <c r="AJ338" s="7">
        <f t="shared" si="205"/>
        <v>734257.26500000001</v>
      </c>
      <c r="AK338" s="7">
        <f t="shared" si="205"/>
        <v>734257.26500000001</v>
      </c>
      <c r="AL338" s="7">
        <f t="shared" si="205"/>
        <v>734257.26500000001</v>
      </c>
      <c r="AM338" s="7">
        <f t="shared" si="205"/>
        <v>734257.26500000001</v>
      </c>
      <c r="AN338" s="7">
        <f t="shared" si="205"/>
        <v>734257.26500000001</v>
      </c>
      <c r="AO338" s="16"/>
      <c r="AP338" s="7"/>
      <c r="AQ338" s="9">
        <v>7</v>
      </c>
      <c r="AR338" s="9">
        <f t="shared" si="232"/>
        <v>833</v>
      </c>
      <c r="AS338" s="7">
        <f t="shared" si="203"/>
        <v>267</v>
      </c>
      <c r="AT338" s="7"/>
      <c r="AU338" s="16"/>
      <c r="AV338" s="7"/>
      <c r="AW338" s="7"/>
      <c r="AX338" s="7"/>
      <c r="AZ338" s="7"/>
      <c r="BA338" s="9">
        <f t="shared" si="207"/>
        <v>469586.59999999881</v>
      </c>
      <c r="BC338" s="5">
        <f t="shared" si="233"/>
        <v>638</v>
      </c>
      <c r="BR338" s="5">
        <v>5601093</v>
      </c>
      <c r="BS338" s="18">
        <f>[1]monsters!$N338</f>
        <v>286.72000000000003</v>
      </c>
      <c r="BT338" s="18">
        <f>[1]monsters!$O338</f>
        <v>28.67</v>
      </c>
      <c r="BU338" s="18">
        <f>[1]monsters!$P338</f>
        <v>2240</v>
      </c>
      <c r="BV338" s="18">
        <f>[1]monsters!$Q338</f>
        <v>224</v>
      </c>
      <c r="BW338" s="18">
        <f>[1]monsters!$R338</f>
        <v>40.96</v>
      </c>
      <c r="BX338" s="18">
        <f>[1]monsters!$S338</f>
        <v>4.0999999999999996</v>
      </c>
      <c r="BY338" s="18">
        <f>[1]monsters!$K338</f>
        <v>1.6</v>
      </c>
      <c r="BZ338" s="5">
        <f>[1]monsters!$D338</f>
        <v>4</v>
      </c>
      <c r="CA338" s="5">
        <f t="shared" si="234"/>
        <v>0.1</v>
      </c>
      <c r="CB338" s="5">
        <f t="shared" si="235"/>
        <v>346.37127542087546</v>
      </c>
      <c r="CC338" s="5">
        <f t="shared" si="236"/>
        <v>34.637127542087548</v>
      </c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>
        <v>1</v>
      </c>
      <c r="CR338" s="3" t="b">
        <f t="shared" si="208"/>
        <v>1</v>
      </c>
      <c r="CS338" s="3" t="b">
        <f t="shared" si="209"/>
        <v>1</v>
      </c>
      <c r="CT338" s="3" t="b">
        <f t="shared" si="210"/>
        <v>1</v>
      </c>
      <c r="CU338" s="3" t="b">
        <f t="shared" si="211"/>
        <v>1</v>
      </c>
      <c r="CV338" s="3" t="b">
        <f t="shared" si="212"/>
        <v>1</v>
      </c>
      <c r="CW338" s="3" t="b">
        <f t="shared" si="213"/>
        <v>1</v>
      </c>
      <c r="CX338" s="9" t="str">
        <f t="shared" si="214"/>
        <v>5201101</v>
      </c>
      <c r="CY338" s="9" t="str">
        <f t="shared" si="215"/>
        <v>5201101</v>
      </c>
      <c r="CZ338" s="9" t="str">
        <f t="shared" si="216"/>
        <v>5200102</v>
      </c>
      <c r="DA338" s="9" t="str">
        <f t="shared" si="217"/>
        <v>5502102</v>
      </c>
      <c r="DB338" s="9" t="str">
        <f t="shared" si="218"/>
        <v>5501104</v>
      </c>
      <c r="DC338" s="9" t="str">
        <f t="shared" si="219"/>
        <v>5501104</v>
      </c>
      <c r="DD338" s="9">
        <v>10</v>
      </c>
      <c r="DE338" s="9">
        <v>10</v>
      </c>
      <c r="DF338" s="9">
        <v>10</v>
      </c>
      <c r="DG338" s="9">
        <v>10</v>
      </c>
      <c r="DH338" s="9">
        <v>10</v>
      </c>
      <c r="DI338" s="9">
        <v>10</v>
      </c>
      <c r="DJ338" s="9">
        <v>5</v>
      </c>
      <c r="DK338" s="9">
        <v>5</v>
      </c>
      <c r="DL338" s="9">
        <v>5</v>
      </c>
      <c r="DM338" s="9">
        <v>5</v>
      </c>
      <c r="DN338" s="9">
        <v>5</v>
      </c>
      <c r="DO338" s="9">
        <v>5</v>
      </c>
      <c r="DP338" s="3" t="s">
        <v>195</v>
      </c>
      <c r="DQ338" s="3" t="s">
        <v>195</v>
      </c>
      <c r="DR338" s="3" t="s">
        <v>199</v>
      </c>
      <c r="DS338" s="3" t="s">
        <v>204</v>
      </c>
      <c r="DT338" s="3" t="s">
        <v>214</v>
      </c>
      <c r="DU338" s="3" t="s">
        <v>214</v>
      </c>
      <c r="DV338" s="3">
        <f t="shared" si="220"/>
        <v>1</v>
      </c>
      <c r="DW338" s="3">
        <f t="shared" si="221"/>
        <v>1</v>
      </c>
      <c r="DX338" s="3">
        <f t="shared" si="222"/>
        <v>1</v>
      </c>
      <c r="DY338" s="3">
        <f t="shared" si="223"/>
        <v>2</v>
      </c>
      <c r="DZ338" s="3">
        <f t="shared" si="224"/>
        <v>2</v>
      </c>
      <c r="EA338" s="3">
        <f t="shared" si="225"/>
        <v>2</v>
      </c>
      <c r="EB338" s="44"/>
      <c r="EC338" s="9">
        <v>5401113</v>
      </c>
      <c r="ED338" s="34" t="s">
        <v>211</v>
      </c>
      <c r="EE338" s="8">
        <v>2</v>
      </c>
    </row>
    <row r="339" spans="1:135" ht="13.5" customHeight="1">
      <c r="A339" s="9">
        <v>336</v>
      </c>
      <c r="B339" s="9">
        <v>1</v>
      </c>
      <c r="C339" s="9">
        <v>2001</v>
      </c>
      <c r="D339" s="9">
        <f t="shared" si="240"/>
        <v>5595943</v>
      </c>
      <c r="E339" s="9" t="str">
        <f t="shared" si="237"/>
        <v>5202103,5202102,5202103,5400105,5401101,5502101</v>
      </c>
      <c r="F339" s="9" t="str">
        <f t="shared" si="238"/>
        <v>10,10,10,10,10,10</v>
      </c>
      <c r="G339" s="9" t="str">
        <f t="shared" si="239"/>
        <v>685,740,740,740,740,740</v>
      </c>
      <c r="H339" s="9">
        <v>174</v>
      </c>
      <c r="I339" s="9" t="s">
        <v>278</v>
      </c>
      <c r="J339" s="9" t="s">
        <v>279</v>
      </c>
      <c r="K339" s="9" t="s">
        <v>279</v>
      </c>
      <c r="L339" s="9" t="s">
        <v>279</v>
      </c>
      <c r="M339" s="36" t="s">
        <v>302</v>
      </c>
      <c r="N339" s="40"/>
      <c r="O339" s="3">
        <f t="shared" si="206"/>
        <v>5595943</v>
      </c>
      <c r="P339" s="9">
        <v>4423670.5</v>
      </c>
      <c r="Q339" s="9">
        <v>5202103</v>
      </c>
      <c r="R339" s="9">
        <v>5202102</v>
      </c>
      <c r="S339" s="9">
        <v>5202103</v>
      </c>
      <c r="T339" s="9">
        <v>5400105</v>
      </c>
      <c r="U339" s="9">
        <v>5401101</v>
      </c>
      <c r="V339" s="9">
        <v>5502101</v>
      </c>
      <c r="W339" s="9">
        <v>10</v>
      </c>
      <c r="X339" s="9">
        <v>10</v>
      </c>
      <c r="Y339" s="9">
        <v>10</v>
      </c>
      <c r="Z339" s="9">
        <v>10</v>
      </c>
      <c r="AA339" s="9">
        <v>10</v>
      </c>
      <c r="AB339" s="9">
        <v>10</v>
      </c>
      <c r="AC339" s="9">
        <f t="shared" si="226"/>
        <v>685</v>
      </c>
      <c r="AD339" s="9">
        <f t="shared" si="227"/>
        <v>740</v>
      </c>
      <c r="AE339" s="9">
        <f t="shared" si="228"/>
        <v>740</v>
      </c>
      <c r="AF339" s="9">
        <f t="shared" si="229"/>
        <v>740</v>
      </c>
      <c r="AG339" s="9">
        <f t="shared" si="230"/>
        <v>740</v>
      </c>
      <c r="AH339" s="9">
        <f t="shared" si="231"/>
        <v>740</v>
      </c>
      <c r="AI339" s="7">
        <f t="shared" si="204"/>
        <v>737278.41666666663</v>
      </c>
      <c r="AJ339" s="7">
        <f t="shared" si="205"/>
        <v>737278.41666666663</v>
      </c>
      <c r="AK339" s="7">
        <f t="shared" si="205"/>
        <v>737278.41666666663</v>
      </c>
      <c r="AL339" s="7">
        <f t="shared" si="205"/>
        <v>737278.41666666663</v>
      </c>
      <c r="AM339" s="7">
        <f t="shared" si="205"/>
        <v>737278.41666666663</v>
      </c>
      <c r="AN339" s="7">
        <f t="shared" si="205"/>
        <v>737278.41666666663</v>
      </c>
      <c r="AO339" s="16"/>
      <c r="AP339" s="7"/>
      <c r="AQ339" s="9">
        <v>7</v>
      </c>
      <c r="AR339" s="9">
        <f t="shared" si="232"/>
        <v>835</v>
      </c>
      <c r="AS339" s="7">
        <f t="shared" si="203"/>
        <v>268</v>
      </c>
      <c r="AT339" s="7"/>
      <c r="AU339" s="16"/>
      <c r="AV339" s="7"/>
      <c r="AW339" s="7"/>
      <c r="AX339" s="7"/>
      <c r="AZ339" s="7"/>
      <c r="BA339" s="9">
        <f t="shared" si="207"/>
        <v>471976.9599999988</v>
      </c>
      <c r="BC339" s="5">
        <f t="shared" si="233"/>
        <v>640</v>
      </c>
      <c r="BR339" s="5">
        <v>5200094</v>
      </c>
      <c r="BS339" s="18">
        <f>[1]monsters!$N339</f>
        <v>268.8</v>
      </c>
      <c r="BT339" s="18">
        <f>[1]monsters!$O339</f>
        <v>26.88</v>
      </c>
      <c r="BU339" s="18">
        <f>[1]monsters!$P339</f>
        <v>2240</v>
      </c>
      <c r="BV339" s="18">
        <f>[1]monsters!$Q339</f>
        <v>224</v>
      </c>
      <c r="BW339" s="18">
        <f>[1]monsters!$R339</f>
        <v>38.4</v>
      </c>
      <c r="BX339" s="18">
        <f>[1]monsters!$S339</f>
        <v>3.84</v>
      </c>
      <c r="BY339" s="18">
        <f>[1]monsters!$K339</f>
        <v>1.5</v>
      </c>
      <c r="BZ339" s="5">
        <f>[1]monsters!$D339</f>
        <v>4</v>
      </c>
      <c r="CA339" s="5">
        <f t="shared" si="234"/>
        <v>0.1</v>
      </c>
      <c r="CB339" s="5">
        <f t="shared" si="235"/>
        <v>329.43687542087542</v>
      </c>
      <c r="CC339" s="5">
        <f t="shared" si="236"/>
        <v>32.943687542087545</v>
      </c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>
        <v>0</v>
      </c>
      <c r="CR339" s="3" t="b">
        <f t="shared" si="208"/>
        <v>1</v>
      </c>
      <c r="CS339" s="3" t="b">
        <f t="shared" si="209"/>
        <v>1</v>
      </c>
      <c r="CT339" s="3" t="b">
        <f t="shared" si="210"/>
        <v>1</v>
      </c>
      <c r="CU339" s="3" t="b">
        <f t="shared" si="211"/>
        <v>1</v>
      </c>
      <c r="CV339" s="3" t="b">
        <f t="shared" si="212"/>
        <v>1</v>
      </c>
      <c r="CW339" s="3" t="b">
        <f t="shared" si="213"/>
        <v>1</v>
      </c>
      <c r="CX339" s="9" t="str">
        <f t="shared" si="214"/>
        <v>5202103</v>
      </c>
      <c r="CY339" s="9" t="str">
        <f t="shared" si="215"/>
        <v>5202102</v>
      </c>
      <c r="CZ339" s="9" t="str">
        <f t="shared" si="216"/>
        <v>5202103</v>
      </c>
      <c r="DA339" s="9" t="str">
        <f t="shared" si="217"/>
        <v>5400105</v>
      </c>
      <c r="DB339" s="9" t="str">
        <f t="shared" si="218"/>
        <v>5401101</v>
      </c>
      <c r="DC339" s="9" t="str">
        <f t="shared" si="219"/>
        <v>5502101</v>
      </c>
      <c r="DD339" s="9">
        <v>10</v>
      </c>
      <c r="DE339" s="9">
        <v>10</v>
      </c>
      <c r="DF339" s="9">
        <v>10</v>
      </c>
      <c r="DG339" s="9">
        <v>10</v>
      </c>
      <c r="DH339" s="9">
        <v>10</v>
      </c>
      <c r="DI339" s="9">
        <v>10</v>
      </c>
      <c r="DJ339" s="9">
        <v>5</v>
      </c>
      <c r="DK339" s="9">
        <v>5</v>
      </c>
      <c r="DL339" s="9">
        <v>5</v>
      </c>
      <c r="DM339" s="9">
        <v>5</v>
      </c>
      <c r="DN339" s="9">
        <v>5</v>
      </c>
      <c r="DO339" s="9">
        <v>5</v>
      </c>
      <c r="DP339" s="25" t="s">
        <v>208</v>
      </c>
      <c r="DQ339" s="25" t="s">
        <v>200</v>
      </c>
      <c r="DR339" s="25" t="s">
        <v>208</v>
      </c>
      <c r="DS339" s="25" t="s">
        <v>210</v>
      </c>
      <c r="DT339" s="25" t="s">
        <v>117</v>
      </c>
      <c r="DU339" s="25" t="s">
        <v>119</v>
      </c>
      <c r="DV339" s="25">
        <f t="shared" si="220"/>
        <v>1</v>
      </c>
      <c r="DW339" s="25">
        <f t="shared" si="221"/>
        <v>1</v>
      </c>
      <c r="DX339" s="25">
        <f t="shared" si="222"/>
        <v>1</v>
      </c>
      <c r="DY339" s="25">
        <f t="shared" si="223"/>
        <v>2</v>
      </c>
      <c r="DZ339" s="25">
        <f t="shared" si="224"/>
        <v>2</v>
      </c>
      <c r="EA339" s="3">
        <f t="shared" si="225"/>
        <v>2</v>
      </c>
      <c r="EB339" s="43"/>
      <c r="EC339" s="9">
        <v>5402113</v>
      </c>
      <c r="ED339" s="34" t="s">
        <v>118</v>
      </c>
      <c r="EE339" s="8">
        <v>2</v>
      </c>
    </row>
    <row r="340" spans="1:135" ht="13.5" customHeight="1">
      <c r="A340" s="9">
        <v>337</v>
      </c>
      <c r="B340" s="9">
        <v>1</v>
      </c>
      <c r="C340" s="9">
        <v>2001</v>
      </c>
      <c r="D340" s="9">
        <f t="shared" si="240"/>
        <v>5618924</v>
      </c>
      <c r="E340" s="9" t="str">
        <f t="shared" si="237"/>
        <v>5301101,5301102,5301103,5501104,5501105,5502103</v>
      </c>
      <c r="F340" s="9" t="str">
        <f t="shared" si="238"/>
        <v>10,10,10,10,10,10</v>
      </c>
      <c r="G340" s="9" t="str">
        <f t="shared" si="239"/>
        <v>686,742,742,742,742,742</v>
      </c>
      <c r="H340" s="9">
        <v>174</v>
      </c>
      <c r="I340" s="9" t="s">
        <v>278</v>
      </c>
      <c r="J340" s="9" t="s">
        <v>279</v>
      </c>
      <c r="K340" s="9" t="s">
        <v>279</v>
      </c>
      <c r="L340" s="9" t="s">
        <v>279</v>
      </c>
      <c r="M340" s="36" t="s">
        <v>302</v>
      </c>
      <c r="N340" s="40"/>
      <c r="O340" s="3">
        <f t="shared" si="206"/>
        <v>5618924</v>
      </c>
      <c r="P340" s="9">
        <v>4441837.21</v>
      </c>
      <c r="Q340" s="9">
        <v>5301101</v>
      </c>
      <c r="R340" s="9">
        <v>5301102</v>
      </c>
      <c r="S340" s="9">
        <v>5301103</v>
      </c>
      <c r="T340" s="9">
        <v>5501104</v>
      </c>
      <c r="U340" s="9">
        <v>5501105</v>
      </c>
      <c r="V340" s="9">
        <v>5502103</v>
      </c>
      <c r="W340" s="9">
        <v>10</v>
      </c>
      <c r="X340" s="9">
        <v>10</v>
      </c>
      <c r="Y340" s="9">
        <v>10</v>
      </c>
      <c r="Z340" s="9">
        <v>10</v>
      </c>
      <c r="AA340" s="9">
        <v>10</v>
      </c>
      <c r="AB340" s="9">
        <v>10</v>
      </c>
      <c r="AC340" s="9">
        <f t="shared" si="226"/>
        <v>686</v>
      </c>
      <c r="AD340" s="9">
        <f t="shared" si="227"/>
        <v>742</v>
      </c>
      <c r="AE340" s="9">
        <f t="shared" si="228"/>
        <v>742</v>
      </c>
      <c r="AF340" s="9">
        <f t="shared" si="229"/>
        <v>742</v>
      </c>
      <c r="AG340" s="9">
        <f t="shared" si="230"/>
        <v>742</v>
      </c>
      <c r="AH340" s="9">
        <f t="shared" si="231"/>
        <v>742</v>
      </c>
      <c r="AI340" s="7">
        <f t="shared" si="204"/>
        <v>740306.20166666666</v>
      </c>
      <c r="AJ340" s="7">
        <f t="shared" si="205"/>
        <v>740306.20166666666</v>
      </c>
      <c r="AK340" s="7">
        <f t="shared" si="205"/>
        <v>740306.20166666666</v>
      </c>
      <c r="AL340" s="7">
        <f t="shared" si="205"/>
        <v>740306.20166666666</v>
      </c>
      <c r="AM340" s="7">
        <f t="shared" si="205"/>
        <v>740306.20166666666</v>
      </c>
      <c r="AN340" s="7">
        <f t="shared" si="205"/>
        <v>740306.20166666666</v>
      </c>
      <c r="AO340" s="16"/>
      <c r="AP340" s="7"/>
      <c r="AQ340" s="9">
        <v>7</v>
      </c>
      <c r="AR340" s="9">
        <f t="shared" si="232"/>
        <v>836</v>
      </c>
      <c r="AS340" s="7">
        <f t="shared" si="203"/>
        <v>268</v>
      </c>
      <c r="AT340" s="7"/>
      <c r="AU340" s="16"/>
      <c r="AV340" s="7"/>
      <c r="AW340" s="7"/>
      <c r="AX340" s="7"/>
      <c r="AZ340" s="7"/>
      <c r="BA340" s="9">
        <f t="shared" si="207"/>
        <v>474367.31999999878</v>
      </c>
      <c r="BC340" s="5">
        <f t="shared" si="233"/>
        <v>641</v>
      </c>
      <c r="BR340" s="5">
        <v>5201094</v>
      </c>
      <c r="BS340" s="18">
        <f>[1]monsters!$N340</f>
        <v>313.60000000000002</v>
      </c>
      <c r="BT340" s="18">
        <f>[1]monsters!$O340</f>
        <v>31.36</v>
      </c>
      <c r="BU340" s="18">
        <f>[1]monsters!$P340</f>
        <v>1920</v>
      </c>
      <c r="BV340" s="18">
        <f>[1]monsters!$Q340</f>
        <v>192</v>
      </c>
      <c r="BW340" s="18">
        <f>[1]monsters!$R340</f>
        <v>39.200000000000003</v>
      </c>
      <c r="BX340" s="18">
        <f>[1]monsters!$S340</f>
        <v>3.92</v>
      </c>
      <c r="BY340" s="18">
        <f>[1]monsters!$K340</f>
        <v>1.5</v>
      </c>
      <c r="BZ340" s="5">
        <f>[1]monsters!$D340</f>
        <v>5</v>
      </c>
      <c r="CA340" s="5">
        <f t="shared" si="234"/>
        <v>0.1</v>
      </c>
      <c r="CB340" s="5">
        <f t="shared" si="235"/>
        <v>360.99846464646464</v>
      </c>
      <c r="CC340" s="5">
        <f t="shared" si="236"/>
        <v>36.099846464646468</v>
      </c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>
        <v>0</v>
      </c>
      <c r="CR340" s="3" t="b">
        <f t="shared" si="208"/>
        <v>1</v>
      </c>
      <c r="CS340" s="3" t="b">
        <f t="shared" si="209"/>
        <v>1</v>
      </c>
      <c r="CT340" s="3" t="b">
        <f t="shared" si="210"/>
        <v>1</v>
      </c>
      <c r="CU340" s="3" t="b">
        <f t="shared" si="211"/>
        <v>1</v>
      </c>
      <c r="CV340" s="3" t="b">
        <f t="shared" si="212"/>
        <v>1</v>
      </c>
      <c r="CW340" s="3" t="b">
        <f t="shared" si="213"/>
        <v>1</v>
      </c>
      <c r="CX340" s="9" t="str">
        <f t="shared" si="214"/>
        <v>5301101</v>
      </c>
      <c r="CY340" s="9" t="str">
        <f t="shared" si="215"/>
        <v>5301102</v>
      </c>
      <c r="CZ340" s="9" t="str">
        <f t="shared" si="216"/>
        <v>5301103</v>
      </c>
      <c r="DA340" s="9" t="str">
        <f t="shared" si="217"/>
        <v>5501104</v>
      </c>
      <c r="DB340" s="9" t="str">
        <f t="shared" si="218"/>
        <v>5501105</v>
      </c>
      <c r="DC340" s="9" t="str">
        <f t="shared" si="219"/>
        <v>5502103</v>
      </c>
      <c r="DD340" s="9">
        <v>10</v>
      </c>
      <c r="DE340" s="9">
        <v>10</v>
      </c>
      <c r="DF340" s="9">
        <v>10</v>
      </c>
      <c r="DG340" s="9">
        <v>10</v>
      </c>
      <c r="DH340" s="9">
        <v>10</v>
      </c>
      <c r="DI340" s="9">
        <v>10</v>
      </c>
      <c r="DJ340" s="9">
        <v>5</v>
      </c>
      <c r="DK340" s="9">
        <v>5</v>
      </c>
      <c r="DL340" s="9">
        <v>5</v>
      </c>
      <c r="DM340" s="9">
        <v>5</v>
      </c>
      <c r="DN340" s="9">
        <v>5</v>
      </c>
      <c r="DO340" s="9">
        <v>5</v>
      </c>
      <c r="DP340" s="26" t="s">
        <v>107</v>
      </c>
      <c r="DQ340" s="26" t="s">
        <v>201</v>
      </c>
      <c r="DR340" s="26" t="s">
        <v>206</v>
      </c>
      <c r="DS340" s="26" t="s">
        <v>214</v>
      </c>
      <c r="DT340" s="26" t="s">
        <v>209</v>
      </c>
      <c r="DU340" s="26" t="s">
        <v>215</v>
      </c>
      <c r="DV340" s="26">
        <f t="shared" si="220"/>
        <v>1</v>
      </c>
      <c r="DW340" s="26">
        <f t="shared" si="221"/>
        <v>1</v>
      </c>
      <c r="DX340" s="26">
        <f t="shared" si="222"/>
        <v>1</v>
      </c>
      <c r="DY340" s="26">
        <f t="shared" si="223"/>
        <v>2</v>
      </c>
      <c r="DZ340" s="26">
        <f t="shared" si="224"/>
        <v>2</v>
      </c>
      <c r="EA340" s="3">
        <f t="shared" si="225"/>
        <v>2</v>
      </c>
      <c r="EB340" s="44"/>
      <c r="EC340" s="9">
        <v>5500113</v>
      </c>
      <c r="ED340" s="34" t="s">
        <v>207</v>
      </c>
      <c r="EE340" s="8">
        <v>2</v>
      </c>
    </row>
    <row r="341" spans="1:135" ht="13.5" customHeight="1">
      <c r="A341" s="9">
        <v>338</v>
      </c>
      <c r="B341" s="9">
        <v>1</v>
      </c>
      <c r="C341" s="9">
        <v>2001</v>
      </c>
      <c r="D341" s="9">
        <f t="shared" si="240"/>
        <v>5641950</v>
      </c>
      <c r="E341" s="9" t="str">
        <f t="shared" si="237"/>
        <v>5200102,5200103,5202102,5402102,5500103,5501104</v>
      </c>
      <c r="F341" s="9" t="str">
        <f t="shared" si="238"/>
        <v>10,10,10,10,10,10</v>
      </c>
      <c r="G341" s="9" t="str">
        <f t="shared" si="239"/>
        <v>687,743,743,743,743,743</v>
      </c>
      <c r="H341" s="9">
        <v>175</v>
      </c>
      <c r="I341" s="9" t="s">
        <v>278</v>
      </c>
      <c r="J341" s="9" t="s">
        <v>279</v>
      </c>
      <c r="K341" s="9" t="s">
        <v>279</v>
      </c>
      <c r="L341" s="9" t="s">
        <v>279</v>
      </c>
      <c r="M341" s="36" t="s">
        <v>302</v>
      </c>
      <c r="N341" s="40"/>
      <c r="O341" s="3">
        <f t="shared" si="206"/>
        <v>5641950</v>
      </c>
      <c r="P341" s="9">
        <v>4460039.74</v>
      </c>
      <c r="Q341" s="9">
        <v>5200102</v>
      </c>
      <c r="R341" s="9">
        <v>5200103</v>
      </c>
      <c r="S341" s="9">
        <v>5202102</v>
      </c>
      <c r="T341" s="9">
        <v>5402102</v>
      </c>
      <c r="U341" s="9">
        <v>5500103</v>
      </c>
      <c r="V341" s="9">
        <v>5501104</v>
      </c>
      <c r="W341" s="9">
        <v>10</v>
      </c>
      <c r="X341" s="9">
        <v>10</v>
      </c>
      <c r="Y341" s="9">
        <v>10</v>
      </c>
      <c r="Z341" s="9">
        <v>10</v>
      </c>
      <c r="AA341" s="9">
        <v>10</v>
      </c>
      <c r="AB341" s="9">
        <v>10</v>
      </c>
      <c r="AC341" s="9">
        <f t="shared" si="226"/>
        <v>687</v>
      </c>
      <c r="AD341" s="9">
        <f t="shared" si="227"/>
        <v>743</v>
      </c>
      <c r="AE341" s="9">
        <f t="shared" si="228"/>
        <v>743</v>
      </c>
      <c r="AF341" s="9">
        <f t="shared" si="229"/>
        <v>743</v>
      </c>
      <c r="AG341" s="9">
        <f t="shared" si="230"/>
        <v>743</v>
      </c>
      <c r="AH341" s="9">
        <f t="shared" si="231"/>
        <v>743</v>
      </c>
      <c r="AI341" s="7">
        <f t="shared" si="204"/>
        <v>743339.95666666667</v>
      </c>
      <c r="AJ341" s="7">
        <f t="shared" si="205"/>
        <v>743339.95666666667</v>
      </c>
      <c r="AK341" s="7">
        <f t="shared" si="205"/>
        <v>743339.95666666667</v>
      </c>
      <c r="AL341" s="7">
        <f t="shared" si="205"/>
        <v>743339.95666666667</v>
      </c>
      <c r="AM341" s="7">
        <f t="shared" si="205"/>
        <v>743339.95666666667</v>
      </c>
      <c r="AN341" s="7">
        <f t="shared" si="205"/>
        <v>743339.95666666667</v>
      </c>
      <c r="AO341" s="16"/>
      <c r="AP341" s="7"/>
      <c r="AQ341" s="9">
        <v>7</v>
      </c>
      <c r="AR341" s="9">
        <f t="shared" si="232"/>
        <v>838</v>
      </c>
      <c r="AS341" s="7">
        <f t="shared" si="203"/>
        <v>269</v>
      </c>
      <c r="AT341" s="7"/>
      <c r="AU341" s="16"/>
      <c r="AV341" s="7"/>
      <c r="AW341" s="7"/>
      <c r="AX341" s="7"/>
      <c r="AZ341" s="7"/>
      <c r="BA341" s="9">
        <f t="shared" si="207"/>
        <v>476757.67999999877</v>
      </c>
      <c r="BC341" s="5">
        <f t="shared" si="233"/>
        <v>642</v>
      </c>
      <c r="BR341" s="5">
        <v>5300094</v>
      </c>
      <c r="BS341" s="18">
        <f>[1]monsters!$N341</f>
        <v>292.69</v>
      </c>
      <c r="BT341" s="18">
        <f>[1]monsters!$O341</f>
        <v>29.27</v>
      </c>
      <c r="BU341" s="18">
        <f>[1]monsters!$P341</f>
        <v>1920</v>
      </c>
      <c r="BV341" s="18">
        <f>[1]monsters!$Q341</f>
        <v>192</v>
      </c>
      <c r="BW341" s="18">
        <f>[1]monsters!$R341</f>
        <v>36.590000000000003</v>
      </c>
      <c r="BX341" s="18">
        <f>[1]monsters!$S341</f>
        <v>3.66</v>
      </c>
      <c r="BY341" s="18">
        <f>[1]monsters!$K341</f>
        <v>1.4</v>
      </c>
      <c r="BZ341" s="5">
        <f>[1]monsters!$D341</f>
        <v>5</v>
      </c>
      <c r="CA341" s="5">
        <f t="shared" si="234"/>
        <v>0.1</v>
      </c>
      <c r="CB341" s="5">
        <f t="shared" si="235"/>
        <v>341.23851464646464</v>
      </c>
      <c r="CC341" s="5">
        <f t="shared" si="236"/>
        <v>34.123851464646464</v>
      </c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>
        <v>0</v>
      </c>
      <c r="CR341" s="3" t="b">
        <f t="shared" si="208"/>
        <v>1</v>
      </c>
      <c r="CS341" s="3" t="b">
        <f t="shared" si="209"/>
        <v>1</v>
      </c>
      <c r="CT341" s="3" t="b">
        <f t="shared" si="210"/>
        <v>1</v>
      </c>
      <c r="CU341" s="3" t="b">
        <f t="shared" si="211"/>
        <v>1</v>
      </c>
      <c r="CV341" s="3" t="b">
        <f t="shared" si="212"/>
        <v>1</v>
      </c>
      <c r="CW341" s="3" t="b">
        <f t="shared" si="213"/>
        <v>1</v>
      </c>
      <c r="CX341" s="9" t="str">
        <f t="shared" si="214"/>
        <v>5200102</v>
      </c>
      <c r="CY341" s="9" t="str">
        <f t="shared" si="215"/>
        <v>5200103</v>
      </c>
      <c r="CZ341" s="9" t="str">
        <f t="shared" si="216"/>
        <v>5202102</v>
      </c>
      <c r="DA341" s="9" t="str">
        <f t="shared" si="217"/>
        <v>5402102</v>
      </c>
      <c r="DB341" s="9" t="str">
        <f t="shared" si="218"/>
        <v>5500103</v>
      </c>
      <c r="DC341" s="9" t="str">
        <f t="shared" si="219"/>
        <v>5501104</v>
      </c>
      <c r="DD341" s="9">
        <v>10</v>
      </c>
      <c r="DE341" s="9">
        <v>10</v>
      </c>
      <c r="DF341" s="9">
        <v>10</v>
      </c>
      <c r="DG341" s="9">
        <v>10</v>
      </c>
      <c r="DH341" s="9">
        <v>10</v>
      </c>
      <c r="DI341" s="9">
        <v>10</v>
      </c>
      <c r="DJ341" s="9">
        <v>5</v>
      </c>
      <c r="DK341" s="9">
        <v>5</v>
      </c>
      <c r="DL341" s="9">
        <v>5</v>
      </c>
      <c r="DM341" s="9">
        <v>5</v>
      </c>
      <c r="DN341" s="9">
        <v>5</v>
      </c>
      <c r="DO341" s="9">
        <v>5</v>
      </c>
      <c r="DP341" s="25" t="s">
        <v>199</v>
      </c>
      <c r="DQ341" s="25" t="s">
        <v>113</v>
      </c>
      <c r="DR341" s="26" t="s">
        <v>200</v>
      </c>
      <c r="DS341" s="26" t="s">
        <v>203</v>
      </c>
      <c r="DT341" s="26" t="s">
        <v>207</v>
      </c>
      <c r="DU341" s="26" t="s">
        <v>214</v>
      </c>
      <c r="DV341" s="26">
        <f t="shared" si="220"/>
        <v>1</v>
      </c>
      <c r="DW341" s="26">
        <f t="shared" si="221"/>
        <v>1</v>
      </c>
      <c r="DX341" s="26">
        <f t="shared" si="222"/>
        <v>1</v>
      </c>
      <c r="DY341" s="26">
        <f t="shared" si="223"/>
        <v>2</v>
      </c>
      <c r="DZ341" s="26">
        <f t="shared" si="224"/>
        <v>2</v>
      </c>
      <c r="EA341" s="3">
        <f t="shared" si="225"/>
        <v>2</v>
      </c>
      <c r="EB341" s="44"/>
      <c r="EC341" s="9">
        <v>5502113</v>
      </c>
      <c r="ED341" s="34" t="s">
        <v>215</v>
      </c>
      <c r="EE341" s="8">
        <v>2</v>
      </c>
    </row>
    <row r="342" spans="1:135" ht="13.5" customHeight="1">
      <c r="A342" s="9">
        <v>339</v>
      </c>
      <c r="B342" s="9">
        <v>1</v>
      </c>
      <c r="C342" s="9">
        <v>2001</v>
      </c>
      <c r="D342" s="9">
        <f t="shared" si="240"/>
        <v>5665022</v>
      </c>
      <c r="E342" s="9" t="str">
        <f t="shared" si="237"/>
        <v>5302105,5202105,5202105,5400105,5400105,5400105</v>
      </c>
      <c r="F342" s="9" t="str">
        <f t="shared" si="238"/>
        <v>10,10,10,10,10,10</v>
      </c>
      <c r="G342" s="9" t="str">
        <f t="shared" si="239"/>
        <v>689,745,745,745,745,745</v>
      </c>
      <c r="H342" s="9">
        <v>175</v>
      </c>
      <c r="I342" s="9" t="s">
        <v>278</v>
      </c>
      <c r="J342" s="9" t="s">
        <v>279</v>
      </c>
      <c r="K342" s="9" t="s">
        <v>279</v>
      </c>
      <c r="L342" s="9" t="s">
        <v>279</v>
      </c>
      <c r="M342" s="36" t="s">
        <v>302</v>
      </c>
      <c r="N342" s="40"/>
      <c r="O342" s="3">
        <f t="shared" si="206"/>
        <v>5665022</v>
      </c>
      <c r="P342" s="9">
        <v>4478278.09</v>
      </c>
      <c r="Q342" s="9">
        <v>5302105</v>
      </c>
      <c r="R342" s="9">
        <v>5202105</v>
      </c>
      <c r="S342" s="9">
        <v>5202105</v>
      </c>
      <c r="T342" s="9">
        <v>5400105</v>
      </c>
      <c r="U342" s="9">
        <v>5400105</v>
      </c>
      <c r="V342" s="9">
        <v>5400105</v>
      </c>
      <c r="W342" s="9">
        <v>10</v>
      </c>
      <c r="X342" s="9">
        <v>10</v>
      </c>
      <c r="Y342" s="9">
        <v>10</v>
      </c>
      <c r="Z342" s="9">
        <v>10</v>
      </c>
      <c r="AA342" s="9">
        <v>10</v>
      </c>
      <c r="AB342" s="9">
        <v>10</v>
      </c>
      <c r="AC342" s="9">
        <f t="shared" si="226"/>
        <v>689</v>
      </c>
      <c r="AD342" s="9">
        <f t="shared" si="227"/>
        <v>745</v>
      </c>
      <c r="AE342" s="9">
        <f t="shared" si="228"/>
        <v>745</v>
      </c>
      <c r="AF342" s="9">
        <f t="shared" si="229"/>
        <v>745</v>
      </c>
      <c r="AG342" s="9">
        <f t="shared" si="230"/>
        <v>745</v>
      </c>
      <c r="AH342" s="9">
        <f t="shared" si="231"/>
        <v>745</v>
      </c>
      <c r="AI342" s="7">
        <f t="shared" si="204"/>
        <v>746379.68166666664</v>
      </c>
      <c r="AJ342" s="7">
        <f t="shared" si="205"/>
        <v>746379.68166666664</v>
      </c>
      <c r="AK342" s="7">
        <f t="shared" si="205"/>
        <v>746379.68166666664</v>
      </c>
      <c r="AL342" s="7">
        <f t="shared" si="205"/>
        <v>746379.68166666664</v>
      </c>
      <c r="AM342" s="7">
        <f t="shared" si="205"/>
        <v>746379.68166666664</v>
      </c>
      <c r="AN342" s="7">
        <f t="shared" si="205"/>
        <v>746379.68166666664</v>
      </c>
      <c r="AO342" s="16"/>
      <c r="AP342" s="7"/>
      <c r="AQ342" s="9">
        <v>7</v>
      </c>
      <c r="AR342" s="9">
        <f t="shared" si="232"/>
        <v>840</v>
      </c>
      <c r="AS342" s="7">
        <f t="shared" si="203"/>
        <v>269</v>
      </c>
      <c r="AT342" s="7"/>
      <c r="AU342" s="16"/>
      <c r="AV342" s="7"/>
      <c r="AW342" s="7"/>
      <c r="AX342" s="7"/>
      <c r="AZ342" s="7"/>
      <c r="BA342" s="9">
        <f t="shared" si="207"/>
        <v>479148.03999999876</v>
      </c>
      <c r="BC342" s="5">
        <f t="shared" si="233"/>
        <v>644</v>
      </c>
      <c r="BR342" s="5">
        <v>5301094</v>
      </c>
      <c r="BS342" s="18">
        <f>[1]monsters!$N342</f>
        <v>347.2</v>
      </c>
      <c r="BT342" s="18">
        <f>[1]monsters!$O342</f>
        <v>34.72</v>
      </c>
      <c r="BU342" s="18">
        <f>[1]monsters!$P342</f>
        <v>1734.19</v>
      </c>
      <c r="BV342" s="18">
        <f>[1]monsters!$Q342</f>
        <v>173.42</v>
      </c>
      <c r="BW342" s="18">
        <f>[1]monsters!$R342</f>
        <v>34.72</v>
      </c>
      <c r="BX342" s="18">
        <f>[1]monsters!$S342</f>
        <v>3.47</v>
      </c>
      <c r="BY342" s="18">
        <f>[1]monsters!$K342</f>
        <v>1.5</v>
      </c>
      <c r="BZ342" s="5">
        <f>[1]monsters!$D342</f>
        <v>6</v>
      </c>
      <c r="CA342" s="5">
        <f t="shared" si="234"/>
        <v>0.1</v>
      </c>
      <c r="CB342" s="5">
        <f t="shared" si="235"/>
        <v>386.49423569023566</v>
      </c>
      <c r="CC342" s="5">
        <f t="shared" si="236"/>
        <v>38.649423569023568</v>
      </c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>
        <v>0</v>
      </c>
      <c r="CR342" s="3" t="b">
        <f t="shared" si="208"/>
        <v>1</v>
      </c>
      <c r="CS342" s="3" t="b">
        <f t="shared" si="209"/>
        <v>1</v>
      </c>
      <c r="CT342" s="3" t="b">
        <f t="shared" si="210"/>
        <v>1</v>
      </c>
      <c r="CU342" s="3" t="b">
        <f t="shared" si="211"/>
        <v>1</v>
      </c>
      <c r="CV342" s="3" t="b">
        <f t="shared" si="212"/>
        <v>1</v>
      </c>
      <c r="CW342" s="3" t="b">
        <f t="shared" si="213"/>
        <v>1</v>
      </c>
      <c r="CX342" s="9" t="str">
        <f t="shared" si="214"/>
        <v>5302105</v>
      </c>
      <c r="CY342" s="9" t="str">
        <f t="shared" si="215"/>
        <v>5202105</v>
      </c>
      <c r="CZ342" s="9" t="str">
        <f t="shared" si="216"/>
        <v>5202105</v>
      </c>
      <c r="DA342" s="9" t="str">
        <f t="shared" si="217"/>
        <v>5400105</v>
      </c>
      <c r="DB342" s="9" t="str">
        <f t="shared" si="218"/>
        <v>5400105</v>
      </c>
      <c r="DC342" s="9" t="str">
        <f t="shared" si="219"/>
        <v>5400105</v>
      </c>
      <c r="DD342" s="9">
        <v>10</v>
      </c>
      <c r="DE342" s="9">
        <v>10</v>
      </c>
      <c r="DF342" s="9">
        <v>10</v>
      </c>
      <c r="DG342" s="9">
        <v>10</v>
      </c>
      <c r="DH342" s="9">
        <v>10</v>
      </c>
      <c r="DI342" s="9">
        <v>10</v>
      </c>
      <c r="DJ342" s="9">
        <v>5</v>
      </c>
      <c r="DK342" s="9">
        <v>5</v>
      </c>
      <c r="DL342" s="9">
        <v>5</v>
      </c>
      <c r="DM342" s="9">
        <v>5</v>
      </c>
      <c r="DN342" s="9">
        <v>5</v>
      </c>
      <c r="DO342" s="9">
        <v>5</v>
      </c>
      <c r="DP342" s="25" t="s">
        <v>221</v>
      </c>
      <c r="DQ342" s="25" t="s">
        <v>213</v>
      </c>
      <c r="DR342" s="25" t="s">
        <v>213</v>
      </c>
      <c r="DS342" s="26" t="s">
        <v>210</v>
      </c>
      <c r="DT342" s="26" t="s">
        <v>210</v>
      </c>
      <c r="DU342" s="26" t="s">
        <v>210</v>
      </c>
      <c r="DV342" s="26">
        <f t="shared" si="220"/>
        <v>1</v>
      </c>
      <c r="DW342" s="26">
        <f t="shared" si="221"/>
        <v>1</v>
      </c>
      <c r="DX342" s="26">
        <f t="shared" si="222"/>
        <v>1</v>
      </c>
      <c r="DY342" s="26">
        <f t="shared" si="223"/>
        <v>2</v>
      </c>
      <c r="DZ342" s="26">
        <f t="shared" si="224"/>
        <v>2</v>
      </c>
      <c r="EA342" s="3">
        <f t="shared" si="225"/>
        <v>2</v>
      </c>
      <c r="EB342" s="44"/>
      <c r="EC342" s="9">
        <v>5601113</v>
      </c>
      <c r="ED342" s="34" t="s">
        <v>216</v>
      </c>
      <c r="EE342" s="8">
        <v>2</v>
      </c>
    </row>
    <row r="343" spans="1:135" ht="13.5" customHeight="1">
      <c r="A343" s="9">
        <v>340</v>
      </c>
      <c r="B343" s="9">
        <v>1</v>
      </c>
      <c r="C343" s="9">
        <v>2001</v>
      </c>
      <c r="D343" s="9">
        <f t="shared" si="240"/>
        <v>5688144</v>
      </c>
      <c r="E343" s="9" t="str">
        <f t="shared" si="237"/>
        <v>5201101,5200102,5201101,5502102,5500101,5601102</v>
      </c>
      <c r="F343" s="9" t="str">
        <f t="shared" si="238"/>
        <v>10,10,10,10,10,10</v>
      </c>
      <c r="G343" s="9" t="str">
        <f t="shared" si="239"/>
        <v>690,746,746,746,746,746</v>
      </c>
      <c r="H343" s="9">
        <v>176</v>
      </c>
      <c r="I343" s="9" t="s">
        <v>278</v>
      </c>
      <c r="J343" s="9" t="s">
        <v>279</v>
      </c>
      <c r="K343" s="9" t="s">
        <v>279</v>
      </c>
      <c r="L343" s="9" t="s">
        <v>279</v>
      </c>
      <c r="M343" s="36" t="s">
        <v>302</v>
      </c>
      <c r="O343" s="3">
        <f t="shared" si="206"/>
        <v>5688144</v>
      </c>
      <c r="P343" s="9">
        <v>4496556.24</v>
      </c>
      <c r="Q343" s="9">
        <v>5201101</v>
      </c>
      <c r="R343" s="9">
        <v>5200102</v>
      </c>
      <c r="S343" s="9">
        <v>5201101</v>
      </c>
      <c r="T343" s="9">
        <v>5502102</v>
      </c>
      <c r="U343" s="9">
        <v>5500101</v>
      </c>
      <c r="V343" s="9">
        <v>5601102</v>
      </c>
      <c r="W343" s="9">
        <v>10</v>
      </c>
      <c r="X343" s="9">
        <v>10</v>
      </c>
      <c r="Y343" s="9">
        <v>10</v>
      </c>
      <c r="Z343" s="9">
        <v>10</v>
      </c>
      <c r="AA343" s="9">
        <v>10</v>
      </c>
      <c r="AB343" s="9">
        <v>10</v>
      </c>
      <c r="AC343" s="9">
        <f t="shared" si="226"/>
        <v>690</v>
      </c>
      <c r="AD343" s="9">
        <f t="shared" si="227"/>
        <v>746</v>
      </c>
      <c r="AE343" s="9">
        <f t="shared" si="228"/>
        <v>746</v>
      </c>
      <c r="AF343" s="9">
        <f t="shared" si="229"/>
        <v>746</v>
      </c>
      <c r="AG343" s="9">
        <f t="shared" si="230"/>
        <v>746</v>
      </c>
      <c r="AH343" s="9">
        <f t="shared" si="231"/>
        <v>746</v>
      </c>
      <c r="AI343" s="7">
        <f t="shared" si="204"/>
        <v>749426.04</v>
      </c>
      <c r="AJ343" s="7">
        <f t="shared" si="205"/>
        <v>749426.04</v>
      </c>
      <c r="AK343" s="7">
        <f t="shared" si="205"/>
        <v>749426.04</v>
      </c>
      <c r="AL343" s="7">
        <f t="shared" si="205"/>
        <v>749426.04</v>
      </c>
      <c r="AM343" s="7">
        <f t="shared" si="205"/>
        <v>749426.04</v>
      </c>
      <c r="AN343" s="7">
        <f t="shared" si="205"/>
        <v>749426.04</v>
      </c>
      <c r="AO343" s="16"/>
      <c r="AP343" s="7"/>
      <c r="AQ343" s="9">
        <v>7</v>
      </c>
      <c r="AR343" s="9">
        <f t="shared" si="232"/>
        <v>842</v>
      </c>
      <c r="AS343" s="7">
        <f t="shared" si="203"/>
        <v>270</v>
      </c>
      <c r="AT343" s="7"/>
      <c r="AU343" s="16"/>
      <c r="AV343" s="7"/>
      <c r="AW343" s="7"/>
      <c r="AX343" s="7"/>
      <c r="AZ343" s="7"/>
      <c r="BA343" s="9">
        <f t="shared" si="207"/>
        <v>481538.39999999874</v>
      </c>
      <c r="BC343" s="5">
        <f t="shared" si="233"/>
        <v>645</v>
      </c>
      <c r="BR343" s="5">
        <v>5401094</v>
      </c>
      <c r="BS343" s="18">
        <f>[1]monsters!$N343</f>
        <v>215.04</v>
      </c>
      <c r="BT343" s="18">
        <f>[1]monsters!$O343</f>
        <v>21.5</v>
      </c>
      <c r="BU343" s="18">
        <f>[1]monsters!$P343</f>
        <v>3360</v>
      </c>
      <c r="BV343" s="18">
        <f>[1]monsters!$Q343</f>
        <v>336</v>
      </c>
      <c r="BW343" s="18">
        <f>[1]monsters!$R343</f>
        <v>71.680000000000007</v>
      </c>
      <c r="BX343" s="18">
        <f>[1]monsters!$S343</f>
        <v>7.17</v>
      </c>
      <c r="BY343" s="18">
        <f>[1]monsters!$K343</f>
        <v>1.8</v>
      </c>
      <c r="BZ343" s="5">
        <f>[1]monsters!$D343</f>
        <v>2</v>
      </c>
      <c r="CA343" s="5">
        <f t="shared" si="234"/>
        <v>0.1</v>
      </c>
      <c r="CB343" s="5">
        <f t="shared" si="235"/>
        <v>316.34411313131312</v>
      </c>
      <c r="CC343" s="5">
        <f t="shared" si="236"/>
        <v>31.634411313131313</v>
      </c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>
        <v>1</v>
      </c>
      <c r="CR343" s="3" t="b">
        <f t="shared" si="208"/>
        <v>1</v>
      </c>
      <c r="CS343" s="3" t="b">
        <f t="shared" si="209"/>
        <v>1</v>
      </c>
      <c r="CT343" s="3" t="b">
        <f t="shared" si="210"/>
        <v>1</v>
      </c>
      <c r="CU343" s="3" t="b">
        <f t="shared" si="211"/>
        <v>1</v>
      </c>
      <c r="CV343" s="3" t="b">
        <f t="shared" si="212"/>
        <v>1</v>
      </c>
      <c r="CW343" s="3" t="b">
        <f t="shared" si="213"/>
        <v>1</v>
      </c>
      <c r="CX343" s="9" t="str">
        <f t="shared" si="214"/>
        <v>5201101</v>
      </c>
      <c r="CY343" s="9" t="str">
        <f t="shared" si="215"/>
        <v>5200102</v>
      </c>
      <c r="CZ343" s="9" t="str">
        <f t="shared" si="216"/>
        <v>5201101</v>
      </c>
      <c r="DA343" s="9" t="str">
        <f t="shared" si="217"/>
        <v>5502102</v>
      </c>
      <c r="DB343" s="9" t="str">
        <f t="shared" si="218"/>
        <v>5500101</v>
      </c>
      <c r="DC343" s="9" t="str">
        <f t="shared" si="219"/>
        <v>5601102</v>
      </c>
      <c r="DD343" s="9">
        <v>10</v>
      </c>
      <c r="DE343" s="9">
        <v>10</v>
      </c>
      <c r="DF343" s="9">
        <v>10</v>
      </c>
      <c r="DG343" s="9">
        <v>10</v>
      </c>
      <c r="DH343" s="9">
        <v>10</v>
      </c>
      <c r="DI343" s="9">
        <v>10</v>
      </c>
      <c r="DJ343" s="9">
        <v>5</v>
      </c>
      <c r="DK343" s="9">
        <v>5</v>
      </c>
      <c r="DL343" s="9">
        <v>5</v>
      </c>
      <c r="DM343" s="9">
        <v>5</v>
      </c>
      <c r="DN343" s="9">
        <v>5</v>
      </c>
      <c r="DO343" s="9">
        <v>5</v>
      </c>
      <c r="DP343" s="25" t="s">
        <v>195</v>
      </c>
      <c r="DQ343" s="25" t="s">
        <v>199</v>
      </c>
      <c r="DR343" s="26" t="s">
        <v>195</v>
      </c>
      <c r="DS343" s="28" t="s">
        <v>204</v>
      </c>
      <c r="DT343" s="26" t="s">
        <v>197</v>
      </c>
      <c r="DU343" s="26" t="s">
        <v>124</v>
      </c>
      <c r="DV343" s="26">
        <f t="shared" si="220"/>
        <v>1</v>
      </c>
      <c r="DW343" s="26">
        <f t="shared" si="221"/>
        <v>1</v>
      </c>
      <c r="DX343" s="26">
        <f t="shared" si="222"/>
        <v>1</v>
      </c>
      <c r="DY343" s="26">
        <f t="shared" si="223"/>
        <v>2</v>
      </c>
      <c r="DZ343" s="26">
        <f t="shared" si="224"/>
        <v>2</v>
      </c>
      <c r="EA343" s="3">
        <f t="shared" si="225"/>
        <v>2</v>
      </c>
      <c r="EB343" s="44"/>
      <c r="EC343" s="9">
        <v>5201114</v>
      </c>
      <c r="ED343" s="34" t="s">
        <v>217</v>
      </c>
      <c r="EE343" s="8">
        <v>1</v>
      </c>
    </row>
    <row r="344" spans="1:135" ht="13.5" customHeight="1">
      <c r="A344" s="9">
        <v>341</v>
      </c>
      <c r="B344" s="9">
        <v>1</v>
      </c>
      <c r="C344" s="9">
        <v>2001</v>
      </c>
      <c r="D344" s="9">
        <f t="shared" si="240"/>
        <v>5711311</v>
      </c>
      <c r="E344" s="9" t="str">
        <f t="shared" si="237"/>
        <v>5200102,5200103,5200102,5501104,5500103,5501104</v>
      </c>
      <c r="F344" s="9" t="str">
        <f t="shared" si="238"/>
        <v>10,10,10,10,10,10</v>
      </c>
      <c r="G344" s="9" t="str">
        <f t="shared" si="239"/>
        <v>692,748,748,748,748,748</v>
      </c>
      <c r="H344" s="9">
        <v>176</v>
      </c>
      <c r="I344" s="9" t="s">
        <v>278</v>
      </c>
      <c r="J344" s="9" t="s">
        <v>279</v>
      </c>
      <c r="K344" s="9" t="s">
        <v>279</v>
      </c>
      <c r="L344" s="9" t="s">
        <v>279</v>
      </c>
      <c r="M344" s="36" t="s">
        <v>302</v>
      </c>
      <c r="N344" s="40"/>
      <c r="O344" s="3">
        <f t="shared" si="206"/>
        <v>5711311</v>
      </c>
      <c r="P344" s="9">
        <v>4514870.21</v>
      </c>
      <c r="Q344" s="9">
        <v>5200102</v>
      </c>
      <c r="R344" s="9">
        <v>5200103</v>
      </c>
      <c r="S344" s="9">
        <v>5200102</v>
      </c>
      <c r="T344" s="9">
        <v>5501104</v>
      </c>
      <c r="U344" s="9">
        <v>5500103</v>
      </c>
      <c r="V344" s="9">
        <v>5501104</v>
      </c>
      <c r="W344" s="9">
        <v>10</v>
      </c>
      <c r="X344" s="9">
        <v>10</v>
      </c>
      <c r="Y344" s="9">
        <v>10</v>
      </c>
      <c r="Z344" s="9">
        <v>10</v>
      </c>
      <c r="AA344" s="9">
        <v>10</v>
      </c>
      <c r="AB344" s="9">
        <v>10</v>
      </c>
      <c r="AC344" s="9">
        <f t="shared" si="226"/>
        <v>692</v>
      </c>
      <c r="AD344" s="9">
        <f t="shared" si="227"/>
        <v>748</v>
      </c>
      <c r="AE344" s="9">
        <f t="shared" si="228"/>
        <v>748</v>
      </c>
      <c r="AF344" s="9">
        <f t="shared" si="229"/>
        <v>748</v>
      </c>
      <c r="AG344" s="9">
        <f t="shared" si="230"/>
        <v>748</v>
      </c>
      <c r="AH344" s="9">
        <f t="shared" si="231"/>
        <v>748</v>
      </c>
      <c r="AI344" s="7">
        <f t="shared" si="204"/>
        <v>752478.36833333329</v>
      </c>
      <c r="AJ344" s="7">
        <f t="shared" si="205"/>
        <v>752478.36833333329</v>
      </c>
      <c r="AK344" s="7">
        <f t="shared" si="205"/>
        <v>752478.36833333329</v>
      </c>
      <c r="AL344" s="7">
        <f t="shared" si="205"/>
        <v>752478.36833333329</v>
      </c>
      <c r="AM344" s="7">
        <f t="shared" si="205"/>
        <v>752478.36833333329</v>
      </c>
      <c r="AN344" s="7">
        <f t="shared" si="205"/>
        <v>752478.36833333329</v>
      </c>
      <c r="AO344" s="16"/>
      <c r="AP344" s="7"/>
      <c r="AQ344" s="9">
        <v>7</v>
      </c>
      <c r="AR344" s="9">
        <f t="shared" si="232"/>
        <v>843</v>
      </c>
      <c r="AS344" s="7">
        <f t="shared" si="203"/>
        <v>270</v>
      </c>
      <c r="AT344" s="7"/>
      <c r="AU344" s="16"/>
      <c r="AV344" s="7"/>
      <c r="AW344" s="7"/>
      <c r="AX344" s="7"/>
      <c r="AZ344" s="7"/>
      <c r="BA344" s="9">
        <f t="shared" si="207"/>
        <v>483928.75999999873</v>
      </c>
      <c r="BC344" s="5">
        <f t="shared" si="233"/>
        <v>646</v>
      </c>
      <c r="BR344" s="5">
        <v>5402094</v>
      </c>
      <c r="BS344" s="18">
        <f>[1]monsters!$N344</f>
        <v>188.16</v>
      </c>
      <c r="BT344" s="18">
        <f>[1]monsters!$O344</f>
        <v>18.82</v>
      </c>
      <c r="BU344" s="18">
        <f>[1]monsters!$P344</f>
        <v>2986.67</v>
      </c>
      <c r="BV344" s="18">
        <f>[1]monsters!$Q344</f>
        <v>298.67</v>
      </c>
      <c r="BW344" s="18">
        <f>[1]monsters!$R344</f>
        <v>37.630000000000003</v>
      </c>
      <c r="BX344" s="18">
        <f>[1]monsters!$S344</f>
        <v>3.76</v>
      </c>
      <c r="BY344" s="18">
        <f>[1]monsters!$K344</f>
        <v>1.4</v>
      </c>
      <c r="BZ344" s="5">
        <f>[1]monsters!$D344</f>
        <v>3</v>
      </c>
      <c r="CA344" s="5">
        <f t="shared" si="234"/>
        <v>0.1</v>
      </c>
      <c r="CB344" s="5">
        <f t="shared" si="235"/>
        <v>278.37247946127945</v>
      </c>
      <c r="CC344" s="5">
        <f t="shared" si="236"/>
        <v>27.837247946127945</v>
      </c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>
        <v>0</v>
      </c>
      <c r="CR344" s="3" t="b">
        <f t="shared" si="208"/>
        <v>1</v>
      </c>
      <c r="CS344" s="3" t="b">
        <f t="shared" si="209"/>
        <v>1</v>
      </c>
      <c r="CT344" s="3" t="b">
        <f t="shared" si="210"/>
        <v>1</v>
      </c>
      <c r="CU344" s="3" t="b">
        <f t="shared" si="211"/>
        <v>1</v>
      </c>
      <c r="CV344" s="3" t="b">
        <f t="shared" si="212"/>
        <v>1</v>
      </c>
      <c r="CW344" s="3" t="b">
        <f t="shared" si="213"/>
        <v>1</v>
      </c>
      <c r="CX344" s="9" t="str">
        <f t="shared" si="214"/>
        <v>5200102</v>
      </c>
      <c r="CY344" s="9" t="str">
        <f t="shared" si="215"/>
        <v>5200103</v>
      </c>
      <c r="CZ344" s="9" t="str">
        <f t="shared" si="216"/>
        <v>5200102</v>
      </c>
      <c r="DA344" s="9" t="str">
        <f t="shared" si="217"/>
        <v>5501104</v>
      </c>
      <c r="DB344" s="9" t="str">
        <f t="shared" si="218"/>
        <v>5500103</v>
      </c>
      <c r="DC344" s="9" t="str">
        <f t="shared" si="219"/>
        <v>5501104</v>
      </c>
      <c r="DD344" s="9">
        <v>10</v>
      </c>
      <c r="DE344" s="9">
        <v>10</v>
      </c>
      <c r="DF344" s="9">
        <v>10</v>
      </c>
      <c r="DG344" s="9">
        <v>10</v>
      </c>
      <c r="DH344" s="9">
        <v>10</v>
      </c>
      <c r="DI344" s="9">
        <v>10</v>
      </c>
      <c r="DJ344" s="9">
        <v>5</v>
      </c>
      <c r="DK344" s="9">
        <v>5</v>
      </c>
      <c r="DL344" s="9">
        <v>5</v>
      </c>
      <c r="DM344" s="9">
        <v>5</v>
      </c>
      <c r="DN344" s="9">
        <v>5</v>
      </c>
      <c r="DO344" s="9">
        <v>5</v>
      </c>
      <c r="DP344" s="25" t="s">
        <v>199</v>
      </c>
      <c r="DQ344" s="25" t="s">
        <v>113</v>
      </c>
      <c r="DR344" s="25" t="s">
        <v>199</v>
      </c>
      <c r="DS344" s="26" t="s">
        <v>214</v>
      </c>
      <c r="DT344" s="26" t="s">
        <v>207</v>
      </c>
      <c r="DU344" s="26" t="s">
        <v>214</v>
      </c>
      <c r="DV344" s="26">
        <f t="shared" si="220"/>
        <v>1</v>
      </c>
      <c r="DW344" s="26">
        <f t="shared" si="221"/>
        <v>1</v>
      </c>
      <c r="DX344" s="26">
        <f t="shared" si="222"/>
        <v>1</v>
      </c>
      <c r="DY344" s="26">
        <f t="shared" si="223"/>
        <v>2</v>
      </c>
      <c r="DZ344" s="26">
        <f t="shared" si="224"/>
        <v>2</v>
      </c>
      <c r="EA344" s="3">
        <f t="shared" si="225"/>
        <v>2</v>
      </c>
      <c r="EB344" s="44"/>
      <c r="EC344" s="9">
        <v>5302114</v>
      </c>
      <c r="ED344" s="34" t="s">
        <v>218</v>
      </c>
      <c r="EE344" s="8">
        <v>1</v>
      </c>
    </row>
    <row r="345" spans="1:135" ht="13.5" customHeight="1">
      <c r="A345" s="9">
        <v>342</v>
      </c>
      <c r="B345" s="9">
        <v>1</v>
      </c>
      <c r="C345" s="9">
        <v>2001</v>
      </c>
      <c r="D345" s="9">
        <f t="shared" si="240"/>
        <v>5734526</v>
      </c>
      <c r="E345" s="9" t="str">
        <f t="shared" si="237"/>
        <v>5202102,5201102,5301101,5501105,5401101,5502101</v>
      </c>
      <c r="F345" s="9" t="str">
        <f t="shared" si="238"/>
        <v>10,10,10,10,10,10</v>
      </c>
      <c r="G345" s="9" t="str">
        <f t="shared" si="239"/>
        <v>693,749,749,749,749,749</v>
      </c>
      <c r="H345" s="9">
        <v>176</v>
      </c>
      <c r="I345" s="9" t="s">
        <v>278</v>
      </c>
      <c r="J345" s="9" t="s">
        <v>279</v>
      </c>
      <c r="K345" s="9" t="s">
        <v>279</v>
      </c>
      <c r="L345" s="9" t="s">
        <v>279</v>
      </c>
      <c r="M345" s="36" t="s">
        <v>302</v>
      </c>
      <c r="N345" s="40"/>
      <c r="O345" s="3">
        <f t="shared" si="206"/>
        <v>5734526</v>
      </c>
      <c r="P345" s="9">
        <v>4533221.99</v>
      </c>
      <c r="Q345" s="9">
        <v>5202102</v>
      </c>
      <c r="R345" s="9">
        <v>5201102</v>
      </c>
      <c r="S345" s="9">
        <v>5301101</v>
      </c>
      <c r="T345" s="9">
        <v>5501105</v>
      </c>
      <c r="U345" s="9">
        <v>5401101</v>
      </c>
      <c r="V345" s="9">
        <v>5502101</v>
      </c>
      <c r="W345" s="9">
        <v>10</v>
      </c>
      <c r="X345" s="9">
        <v>10</v>
      </c>
      <c r="Y345" s="9">
        <v>10</v>
      </c>
      <c r="Z345" s="9">
        <v>10</v>
      </c>
      <c r="AA345" s="9">
        <v>10</v>
      </c>
      <c r="AB345" s="9">
        <v>10</v>
      </c>
      <c r="AC345" s="9">
        <f t="shared" si="226"/>
        <v>693</v>
      </c>
      <c r="AD345" s="9">
        <f t="shared" si="227"/>
        <v>749</v>
      </c>
      <c r="AE345" s="9">
        <f t="shared" si="228"/>
        <v>749</v>
      </c>
      <c r="AF345" s="9">
        <f t="shared" si="229"/>
        <v>749</v>
      </c>
      <c r="AG345" s="9">
        <f t="shared" si="230"/>
        <v>749</v>
      </c>
      <c r="AH345" s="9">
        <f t="shared" si="231"/>
        <v>749</v>
      </c>
      <c r="AI345" s="7">
        <f t="shared" si="204"/>
        <v>755536.99833333341</v>
      </c>
      <c r="AJ345" s="7">
        <f t="shared" si="205"/>
        <v>755536.99833333341</v>
      </c>
      <c r="AK345" s="7">
        <f t="shared" si="205"/>
        <v>755536.99833333341</v>
      </c>
      <c r="AL345" s="7">
        <f t="shared" si="205"/>
        <v>755536.99833333341</v>
      </c>
      <c r="AM345" s="7">
        <f t="shared" si="205"/>
        <v>755536.99833333341</v>
      </c>
      <c r="AN345" s="7">
        <f t="shared" si="205"/>
        <v>755536.99833333341</v>
      </c>
      <c r="AO345" s="16"/>
      <c r="AP345" s="7"/>
      <c r="AQ345" s="9">
        <v>7</v>
      </c>
      <c r="AR345" s="9">
        <f t="shared" si="232"/>
        <v>845</v>
      </c>
      <c r="AS345" s="7">
        <f t="shared" si="203"/>
        <v>271</v>
      </c>
      <c r="AT345" s="7"/>
      <c r="AU345" s="16"/>
      <c r="AV345" s="7"/>
      <c r="AW345" s="7"/>
      <c r="AX345" s="7"/>
      <c r="AZ345" s="7"/>
      <c r="BA345" s="9">
        <f t="shared" si="207"/>
        <v>486319.11999999871</v>
      </c>
      <c r="BC345" s="5">
        <f t="shared" si="233"/>
        <v>648</v>
      </c>
      <c r="BR345" s="5">
        <v>5501094</v>
      </c>
      <c r="BS345" s="18">
        <f>[1]monsters!$N345</f>
        <v>334.51</v>
      </c>
      <c r="BT345" s="18">
        <f>[1]monsters!$O345</f>
        <v>33.450000000000003</v>
      </c>
      <c r="BU345" s="18">
        <f>[1]monsters!$P345</f>
        <v>1920</v>
      </c>
      <c r="BV345" s="18">
        <f>[1]monsters!$Q345</f>
        <v>192</v>
      </c>
      <c r="BW345" s="18">
        <f>[1]monsters!$R345</f>
        <v>41.81</v>
      </c>
      <c r="BX345" s="18">
        <f>[1]monsters!$S345</f>
        <v>4.18</v>
      </c>
      <c r="BY345" s="18">
        <f>[1]monsters!$K345</f>
        <v>1.6</v>
      </c>
      <c r="BZ345" s="5">
        <f>[1]monsters!$D345</f>
        <v>5</v>
      </c>
      <c r="CA345" s="5">
        <f t="shared" si="234"/>
        <v>0.1</v>
      </c>
      <c r="CB345" s="5">
        <f t="shared" si="235"/>
        <v>380.75841464646464</v>
      </c>
      <c r="CC345" s="5">
        <f t="shared" si="236"/>
        <v>38.075841464646466</v>
      </c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>
        <v>0</v>
      </c>
      <c r="CR345" s="3" t="b">
        <f t="shared" si="208"/>
        <v>1</v>
      </c>
      <c r="CS345" s="3" t="b">
        <f t="shared" si="209"/>
        <v>1</v>
      </c>
      <c r="CT345" s="3" t="b">
        <f t="shared" si="210"/>
        <v>1</v>
      </c>
      <c r="CU345" s="3" t="b">
        <f t="shared" si="211"/>
        <v>1</v>
      </c>
      <c r="CV345" s="3" t="b">
        <f t="shared" si="212"/>
        <v>1</v>
      </c>
      <c r="CW345" s="3" t="b">
        <f t="shared" si="213"/>
        <v>1</v>
      </c>
      <c r="CX345" s="9" t="str">
        <f t="shared" si="214"/>
        <v>5202102</v>
      </c>
      <c r="CY345" s="9" t="str">
        <f t="shared" si="215"/>
        <v>5201102</v>
      </c>
      <c r="CZ345" s="9" t="str">
        <f t="shared" si="216"/>
        <v>5301101</v>
      </c>
      <c r="DA345" s="9" t="str">
        <f t="shared" si="217"/>
        <v>5501105</v>
      </c>
      <c r="DB345" s="9" t="str">
        <f t="shared" si="218"/>
        <v>5401101</v>
      </c>
      <c r="DC345" s="9" t="str">
        <f t="shared" si="219"/>
        <v>5502101</v>
      </c>
      <c r="DD345" s="9">
        <v>10</v>
      </c>
      <c r="DE345" s="9">
        <v>10</v>
      </c>
      <c r="DF345" s="9">
        <v>10</v>
      </c>
      <c r="DG345" s="9">
        <v>10</v>
      </c>
      <c r="DH345" s="9">
        <v>10</v>
      </c>
      <c r="DI345" s="9">
        <v>10</v>
      </c>
      <c r="DJ345" s="9">
        <v>5</v>
      </c>
      <c r="DK345" s="9">
        <v>5</v>
      </c>
      <c r="DL345" s="9">
        <v>5</v>
      </c>
      <c r="DM345" s="9">
        <v>5</v>
      </c>
      <c r="DN345" s="9">
        <v>5</v>
      </c>
      <c r="DO345" s="9">
        <v>5</v>
      </c>
      <c r="DP345" s="25" t="s">
        <v>200</v>
      </c>
      <c r="DQ345" s="25" t="s">
        <v>114</v>
      </c>
      <c r="DR345" s="25" t="s">
        <v>107</v>
      </c>
      <c r="DS345" s="25" t="s">
        <v>209</v>
      </c>
      <c r="DT345" s="25" t="s">
        <v>117</v>
      </c>
      <c r="DU345" s="25" t="s">
        <v>119</v>
      </c>
      <c r="DV345" s="25">
        <f t="shared" si="220"/>
        <v>1</v>
      </c>
      <c r="DW345" s="25">
        <f t="shared" si="221"/>
        <v>1</v>
      </c>
      <c r="DX345" s="25">
        <f t="shared" si="222"/>
        <v>1</v>
      </c>
      <c r="DY345" s="25">
        <f t="shared" si="223"/>
        <v>2</v>
      </c>
      <c r="DZ345" s="25">
        <f t="shared" si="224"/>
        <v>2</v>
      </c>
      <c r="EA345" s="3">
        <f t="shared" si="225"/>
        <v>2</v>
      </c>
      <c r="EB345" s="44"/>
      <c r="EC345" s="9">
        <v>5501114</v>
      </c>
      <c r="ED345" s="34" t="s">
        <v>214</v>
      </c>
      <c r="EE345" s="8">
        <v>2</v>
      </c>
    </row>
    <row r="346" spans="1:135" ht="13.5" customHeight="1">
      <c r="A346" s="9">
        <v>343</v>
      </c>
      <c r="B346" s="9">
        <v>1</v>
      </c>
      <c r="C346" s="9">
        <v>2001</v>
      </c>
      <c r="D346" s="9">
        <f t="shared" si="240"/>
        <v>5757786</v>
      </c>
      <c r="E346" s="9" t="str">
        <f t="shared" si="237"/>
        <v>5301101,5301102,5301103,5500102,5500101,5500102</v>
      </c>
      <c r="F346" s="9" t="str">
        <f t="shared" si="238"/>
        <v>10,10,10,10,10,10</v>
      </c>
      <c r="G346" s="9" t="str">
        <f t="shared" si="239"/>
        <v>694,751,751,751,751,751</v>
      </c>
      <c r="H346" s="9">
        <v>177</v>
      </c>
      <c r="I346" s="9" t="s">
        <v>278</v>
      </c>
      <c r="J346" s="9" t="s">
        <v>279</v>
      </c>
      <c r="K346" s="9" t="s">
        <v>279</v>
      </c>
      <c r="L346" s="9" t="s">
        <v>279</v>
      </c>
      <c r="M346" s="36" t="s">
        <v>302</v>
      </c>
      <c r="N346" s="40"/>
      <c r="O346" s="3">
        <f t="shared" si="206"/>
        <v>5757786</v>
      </c>
      <c r="P346" s="9">
        <v>4551609.59</v>
      </c>
      <c r="Q346" s="9">
        <v>5301101</v>
      </c>
      <c r="R346" s="9">
        <v>5301102</v>
      </c>
      <c r="S346" s="9">
        <v>5301103</v>
      </c>
      <c r="T346" s="9">
        <v>5500102</v>
      </c>
      <c r="U346" s="9">
        <v>5500101</v>
      </c>
      <c r="V346" s="9">
        <v>5500102</v>
      </c>
      <c r="W346" s="9">
        <v>10</v>
      </c>
      <c r="X346" s="9">
        <v>10</v>
      </c>
      <c r="Y346" s="9">
        <v>10</v>
      </c>
      <c r="Z346" s="9">
        <v>10</v>
      </c>
      <c r="AA346" s="9">
        <v>10</v>
      </c>
      <c r="AB346" s="9">
        <v>10</v>
      </c>
      <c r="AC346" s="9">
        <f t="shared" si="226"/>
        <v>694</v>
      </c>
      <c r="AD346" s="9">
        <f t="shared" si="227"/>
        <v>751</v>
      </c>
      <c r="AE346" s="9">
        <f t="shared" si="228"/>
        <v>751</v>
      </c>
      <c r="AF346" s="9">
        <f t="shared" si="229"/>
        <v>751</v>
      </c>
      <c r="AG346" s="9">
        <f t="shared" si="230"/>
        <v>751</v>
      </c>
      <c r="AH346" s="9">
        <f t="shared" si="231"/>
        <v>751</v>
      </c>
      <c r="AI346" s="7">
        <f t="shared" si="204"/>
        <v>758601.59833333327</v>
      </c>
      <c r="AJ346" s="7">
        <f t="shared" si="205"/>
        <v>758601.59833333327</v>
      </c>
      <c r="AK346" s="7">
        <f t="shared" si="205"/>
        <v>758601.59833333327</v>
      </c>
      <c r="AL346" s="7">
        <f t="shared" si="205"/>
        <v>758601.59833333327</v>
      </c>
      <c r="AM346" s="7">
        <f t="shared" si="205"/>
        <v>758601.59833333327</v>
      </c>
      <c r="AN346" s="7">
        <f t="shared" si="205"/>
        <v>758601.59833333327</v>
      </c>
      <c r="AO346" s="16"/>
      <c r="AP346" s="7"/>
      <c r="AQ346" s="9">
        <v>7</v>
      </c>
      <c r="AR346" s="9">
        <f t="shared" si="232"/>
        <v>847</v>
      </c>
      <c r="AS346" s="7">
        <f t="shared" si="203"/>
        <v>271</v>
      </c>
      <c r="AT346" s="7"/>
      <c r="AU346" s="16"/>
      <c r="AV346" s="7"/>
      <c r="AW346" s="7"/>
      <c r="AX346" s="7"/>
      <c r="AZ346" s="7"/>
      <c r="BA346" s="9">
        <f t="shared" si="207"/>
        <v>488709.4799999987</v>
      </c>
      <c r="BC346" s="5">
        <f t="shared" si="233"/>
        <v>649</v>
      </c>
      <c r="BR346" s="5">
        <v>5502094</v>
      </c>
      <c r="BS346" s="18">
        <f>[1]monsters!$N346</f>
        <v>324.05</v>
      </c>
      <c r="BT346" s="18">
        <f>[1]monsters!$O346</f>
        <v>32.409999999999997</v>
      </c>
      <c r="BU346" s="18">
        <f>[1]monsters!$P346</f>
        <v>1734.19</v>
      </c>
      <c r="BV346" s="18">
        <f>[1]monsters!$Q346</f>
        <v>173.42</v>
      </c>
      <c r="BW346" s="18">
        <f>[1]monsters!$R346</f>
        <v>32.409999999999997</v>
      </c>
      <c r="BX346" s="18">
        <f>[1]monsters!$S346</f>
        <v>3.24</v>
      </c>
      <c r="BY346" s="18">
        <f>[1]monsters!$K346</f>
        <v>1.4</v>
      </c>
      <c r="BZ346" s="5">
        <f>[1]monsters!$D346</f>
        <v>6</v>
      </c>
      <c r="CA346" s="5">
        <f t="shared" si="234"/>
        <v>0.1</v>
      </c>
      <c r="CB346" s="5">
        <f t="shared" si="235"/>
        <v>364.61748569023575</v>
      </c>
      <c r="CC346" s="5">
        <f t="shared" si="236"/>
        <v>36.461748569023577</v>
      </c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>
        <v>0</v>
      </c>
      <c r="CR346" s="3" t="b">
        <f t="shared" si="208"/>
        <v>1</v>
      </c>
      <c r="CS346" s="3" t="b">
        <f t="shared" si="209"/>
        <v>1</v>
      </c>
      <c r="CT346" s="3" t="b">
        <f t="shared" si="210"/>
        <v>1</v>
      </c>
      <c r="CU346" s="3" t="b">
        <f t="shared" si="211"/>
        <v>1</v>
      </c>
      <c r="CV346" s="3" t="b">
        <f t="shared" si="212"/>
        <v>1</v>
      </c>
      <c r="CW346" s="3" t="b">
        <f t="shared" si="213"/>
        <v>1</v>
      </c>
      <c r="CX346" s="9" t="str">
        <f t="shared" si="214"/>
        <v>5301101</v>
      </c>
      <c r="CY346" s="9" t="str">
        <f t="shared" si="215"/>
        <v>5301102</v>
      </c>
      <c r="CZ346" s="9" t="str">
        <f t="shared" si="216"/>
        <v>5301103</v>
      </c>
      <c r="DA346" s="9" t="str">
        <f t="shared" si="217"/>
        <v>5500102</v>
      </c>
      <c r="DB346" s="9" t="str">
        <f t="shared" si="218"/>
        <v>5500101</v>
      </c>
      <c r="DC346" s="9" t="str">
        <f t="shared" si="219"/>
        <v>5500102</v>
      </c>
      <c r="DD346" s="9">
        <v>10</v>
      </c>
      <c r="DE346" s="9">
        <v>10</v>
      </c>
      <c r="DF346" s="9">
        <v>10</v>
      </c>
      <c r="DG346" s="9">
        <v>10</v>
      </c>
      <c r="DH346" s="9">
        <v>10</v>
      </c>
      <c r="DI346" s="9">
        <v>10</v>
      </c>
      <c r="DJ346" s="9">
        <v>5</v>
      </c>
      <c r="DK346" s="9">
        <v>5</v>
      </c>
      <c r="DL346" s="9">
        <v>5</v>
      </c>
      <c r="DM346" s="9">
        <v>5</v>
      </c>
      <c r="DN346" s="9">
        <v>5</v>
      </c>
      <c r="DO346" s="9">
        <v>5</v>
      </c>
      <c r="DP346" s="26" t="s">
        <v>107</v>
      </c>
      <c r="DQ346" s="26" t="s">
        <v>201</v>
      </c>
      <c r="DR346" s="26" t="s">
        <v>206</v>
      </c>
      <c r="DS346" s="26" t="s">
        <v>109</v>
      </c>
      <c r="DT346" s="26" t="s">
        <v>197</v>
      </c>
      <c r="DU346" s="26" t="s">
        <v>109</v>
      </c>
      <c r="DV346" s="26">
        <f t="shared" si="220"/>
        <v>1</v>
      </c>
      <c r="DW346" s="26">
        <f t="shared" si="221"/>
        <v>1</v>
      </c>
      <c r="DX346" s="26">
        <f t="shared" si="222"/>
        <v>1</v>
      </c>
      <c r="DY346" s="26">
        <f t="shared" si="223"/>
        <v>2</v>
      </c>
      <c r="DZ346" s="26">
        <f t="shared" si="224"/>
        <v>2</v>
      </c>
      <c r="EA346" s="3">
        <f t="shared" si="225"/>
        <v>2</v>
      </c>
      <c r="EB346" s="44"/>
      <c r="EC346" s="9">
        <v>5600114</v>
      </c>
      <c r="ED346" s="34" t="s">
        <v>219</v>
      </c>
      <c r="EE346" s="8">
        <v>1</v>
      </c>
    </row>
    <row r="347" spans="1:135" ht="13.5" customHeight="1">
      <c r="A347" s="9">
        <v>344</v>
      </c>
      <c r="B347" s="9">
        <v>1</v>
      </c>
      <c r="C347" s="9">
        <v>2001</v>
      </c>
      <c r="D347" s="9">
        <f t="shared" si="240"/>
        <v>5781094</v>
      </c>
      <c r="E347" s="9" t="str">
        <f t="shared" si="237"/>
        <v>5201102,5301101,5201102,5400105,5401101,5502101</v>
      </c>
      <c r="F347" s="9" t="str">
        <f t="shared" si="238"/>
        <v>10,10,10,10,10,10</v>
      </c>
      <c r="G347" s="9" t="str">
        <f t="shared" si="239"/>
        <v>696,753,753,753,753,753</v>
      </c>
      <c r="H347" s="9">
        <v>177</v>
      </c>
      <c r="I347" s="9" t="s">
        <v>278</v>
      </c>
      <c r="J347" s="9" t="s">
        <v>279</v>
      </c>
      <c r="K347" s="9" t="s">
        <v>279</v>
      </c>
      <c r="L347" s="9" t="s">
        <v>279</v>
      </c>
      <c r="M347" s="36" t="s">
        <v>302</v>
      </c>
      <c r="N347" s="40"/>
      <c r="O347" s="3">
        <f t="shared" si="206"/>
        <v>5781094</v>
      </c>
      <c r="P347" s="9">
        <v>4570035</v>
      </c>
      <c r="Q347" s="9">
        <v>5201102</v>
      </c>
      <c r="R347" s="9">
        <v>5301101</v>
      </c>
      <c r="S347" s="9">
        <v>5201102</v>
      </c>
      <c r="T347" s="9">
        <v>5400105</v>
      </c>
      <c r="U347" s="9">
        <v>5401101</v>
      </c>
      <c r="V347" s="9">
        <v>5502101</v>
      </c>
      <c r="W347" s="9">
        <v>10</v>
      </c>
      <c r="X347" s="9">
        <v>10</v>
      </c>
      <c r="Y347" s="9">
        <v>10</v>
      </c>
      <c r="Z347" s="9">
        <v>10</v>
      </c>
      <c r="AA347" s="9">
        <v>10</v>
      </c>
      <c r="AB347" s="9">
        <v>10</v>
      </c>
      <c r="AC347" s="9">
        <f t="shared" si="226"/>
        <v>696</v>
      </c>
      <c r="AD347" s="9">
        <f t="shared" si="227"/>
        <v>753</v>
      </c>
      <c r="AE347" s="9">
        <f t="shared" si="228"/>
        <v>753</v>
      </c>
      <c r="AF347" s="9">
        <f t="shared" si="229"/>
        <v>753</v>
      </c>
      <c r="AG347" s="9">
        <f t="shared" si="230"/>
        <v>753</v>
      </c>
      <c r="AH347" s="9">
        <f t="shared" si="231"/>
        <v>753</v>
      </c>
      <c r="AI347" s="7">
        <f t="shared" si="204"/>
        <v>761672.5</v>
      </c>
      <c r="AJ347" s="7">
        <f t="shared" si="205"/>
        <v>761672.5</v>
      </c>
      <c r="AK347" s="7">
        <f t="shared" si="205"/>
        <v>761672.5</v>
      </c>
      <c r="AL347" s="7">
        <f t="shared" si="205"/>
        <v>761672.5</v>
      </c>
      <c r="AM347" s="7">
        <f t="shared" si="205"/>
        <v>761672.5</v>
      </c>
      <c r="AN347" s="7">
        <f t="shared" si="205"/>
        <v>761672.5</v>
      </c>
      <c r="AO347" s="16"/>
      <c r="AP347" s="7"/>
      <c r="AQ347" s="9">
        <v>7</v>
      </c>
      <c r="AR347" s="9">
        <f t="shared" si="232"/>
        <v>849</v>
      </c>
      <c r="AS347" s="7">
        <f t="shared" ref="AS347:AS410" si="241">FLOOR((A347-150)/2,1)+175</f>
        <v>272</v>
      </c>
      <c r="AT347" s="7"/>
      <c r="AU347" s="16"/>
      <c r="AV347" s="7"/>
      <c r="AW347" s="7"/>
      <c r="AX347" s="7"/>
      <c r="AZ347" s="7"/>
      <c r="BA347" s="9">
        <f t="shared" si="207"/>
        <v>491099.83999999869</v>
      </c>
      <c r="BC347" s="5">
        <f t="shared" si="233"/>
        <v>650</v>
      </c>
      <c r="BR347" s="5">
        <v>5600094</v>
      </c>
      <c r="BS347" s="18">
        <f>[1]monsters!$N347</f>
        <v>416.64</v>
      </c>
      <c r="BT347" s="18">
        <f>[1]monsters!$O347</f>
        <v>41.66</v>
      </c>
      <c r="BU347" s="18">
        <f>[1]monsters!$P347</f>
        <v>1734.19</v>
      </c>
      <c r="BV347" s="18">
        <f>[1]monsters!$Q347</f>
        <v>173.42</v>
      </c>
      <c r="BW347" s="18">
        <f>[1]monsters!$R347</f>
        <v>41.66</v>
      </c>
      <c r="BX347" s="18">
        <f>[1]monsters!$S347</f>
        <v>4.17</v>
      </c>
      <c r="BY347" s="18">
        <f>[1]monsters!$K347</f>
        <v>1.8</v>
      </c>
      <c r="BZ347" s="5">
        <f>[1]monsters!$D347</f>
        <v>6</v>
      </c>
      <c r="CA347" s="5">
        <f t="shared" si="234"/>
        <v>0.1</v>
      </c>
      <c r="CB347" s="5">
        <f t="shared" si="235"/>
        <v>452.11503569023569</v>
      </c>
      <c r="CC347" s="5">
        <f t="shared" si="236"/>
        <v>45.21150356902357</v>
      </c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>
        <v>0</v>
      </c>
      <c r="CR347" s="3" t="b">
        <f t="shared" si="208"/>
        <v>1</v>
      </c>
      <c r="CS347" s="3" t="b">
        <f t="shared" si="209"/>
        <v>1</v>
      </c>
      <c r="CT347" s="3" t="b">
        <f t="shared" si="210"/>
        <v>1</v>
      </c>
      <c r="CU347" s="3" t="b">
        <f t="shared" si="211"/>
        <v>1</v>
      </c>
      <c r="CV347" s="3" t="b">
        <f t="shared" si="212"/>
        <v>1</v>
      </c>
      <c r="CW347" s="3" t="b">
        <f t="shared" si="213"/>
        <v>1</v>
      </c>
      <c r="CX347" s="9" t="str">
        <f t="shared" si="214"/>
        <v>5201102</v>
      </c>
      <c r="CY347" s="9" t="str">
        <f t="shared" si="215"/>
        <v>5301101</v>
      </c>
      <c r="CZ347" s="9" t="str">
        <f t="shared" si="216"/>
        <v>5201102</v>
      </c>
      <c r="DA347" s="9" t="str">
        <f t="shared" si="217"/>
        <v>5400105</v>
      </c>
      <c r="DB347" s="9" t="str">
        <f t="shared" si="218"/>
        <v>5401101</v>
      </c>
      <c r="DC347" s="9" t="str">
        <f t="shared" si="219"/>
        <v>5502101</v>
      </c>
      <c r="DD347" s="9">
        <v>10</v>
      </c>
      <c r="DE347" s="9">
        <v>10</v>
      </c>
      <c r="DF347" s="9">
        <v>10</v>
      </c>
      <c r="DG347" s="9">
        <v>10</v>
      </c>
      <c r="DH347" s="9">
        <v>10</v>
      </c>
      <c r="DI347" s="9">
        <v>10</v>
      </c>
      <c r="DJ347" s="9">
        <v>5</v>
      </c>
      <c r="DK347" s="9">
        <v>5</v>
      </c>
      <c r="DL347" s="9">
        <v>5</v>
      </c>
      <c r="DM347" s="9">
        <v>5</v>
      </c>
      <c r="DN347" s="9">
        <v>5</v>
      </c>
      <c r="DO347" s="9">
        <v>5</v>
      </c>
      <c r="DP347" s="25" t="s">
        <v>114</v>
      </c>
      <c r="DQ347" s="27" t="s">
        <v>107</v>
      </c>
      <c r="DR347" s="25" t="s">
        <v>114</v>
      </c>
      <c r="DS347" s="25" t="s">
        <v>210</v>
      </c>
      <c r="DT347" s="25" t="s">
        <v>117</v>
      </c>
      <c r="DU347" s="25" t="s">
        <v>119</v>
      </c>
      <c r="DV347" s="25">
        <f t="shared" si="220"/>
        <v>1</v>
      </c>
      <c r="DW347" s="25">
        <f t="shared" si="221"/>
        <v>1</v>
      </c>
      <c r="DX347" s="25">
        <f t="shared" si="222"/>
        <v>1</v>
      </c>
      <c r="DY347" s="25">
        <f t="shared" si="223"/>
        <v>2</v>
      </c>
      <c r="DZ347" s="25">
        <f t="shared" si="224"/>
        <v>2</v>
      </c>
      <c r="EA347" s="3">
        <f t="shared" si="225"/>
        <v>2</v>
      </c>
      <c r="EB347" s="44"/>
      <c r="EC347" s="9">
        <v>5602114</v>
      </c>
      <c r="ED347" s="34" t="s">
        <v>220</v>
      </c>
      <c r="EE347" s="8">
        <v>2</v>
      </c>
    </row>
    <row r="348" spans="1:135" ht="13.5" customHeight="1">
      <c r="A348" s="9">
        <v>345</v>
      </c>
      <c r="B348" s="9">
        <v>1</v>
      </c>
      <c r="C348" s="9">
        <v>2001</v>
      </c>
      <c r="D348" s="9">
        <f t="shared" si="240"/>
        <v>5804450</v>
      </c>
      <c r="E348" s="9" t="str">
        <f t="shared" si="237"/>
        <v>5600104,5202103,5201104,5501104,5501104,5501104</v>
      </c>
      <c r="F348" s="9" t="str">
        <f t="shared" si="238"/>
        <v>10,10,10,10,10,10</v>
      </c>
      <c r="G348" s="9" t="str">
        <f t="shared" si="239"/>
        <v>697,754,754,754,754,754</v>
      </c>
      <c r="H348" s="9">
        <v>178</v>
      </c>
      <c r="I348" s="9" t="s">
        <v>278</v>
      </c>
      <c r="J348" s="9" t="s">
        <v>279</v>
      </c>
      <c r="K348" s="9" t="s">
        <v>279</v>
      </c>
      <c r="L348" s="9" t="s">
        <v>279</v>
      </c>
      <c r="M348" s="36" t="s">
        <v>302</v>
      </c>
      <c r="O348" s="3">
        <f t="shared" si="206"/>
        <v>5804450</v>
      </c>
      <c r="P348" s="9">
        <v>4588498.22</v>
      </c>
      <c r="Q348" s="9">
        <v>5600104</v>
      </c>
      <c r="R348" s="9">
        <v>5202103</v>
      </c>
      <c r="S348" s="9">
        <v>5201104</v>
      </c>
      <c r="T348" s="9">
        <v>5501104</v>
      </c>
      <c r="U348" s="9">
        <v>5501104</v>
      </c>
      <c r="V348" s="9">
        <v>5501104</v>
      </c>
      <c r="W348" s="9">
        <v>10</v>
      </c>
      <c r="X348" s="9">
        <v>10</v>
      </c>
      <c r="Y348" s="9">
        <v>10</v>
      </c>
      <c r="Z348" s="9">
        <v>10</v>
      </c>
      <c r="AA348" s="9">
        <v>10</v>
      </c>
      <c r="AB348" s="9">
        <v>10</v>
      </c>
      <c r="AC348" s="9">
        <f t="shared" si="226"/>
        <v>697</v>
      </c>
      <c r="AD348" s="9">
        <f t="shared" si="227"/>
        <v>754</v>
      </c>
      <c r="AE348" s="9">
        <f t="shared" si="228"/>
        <v>754</v>
      </c>
      <c r="AF348" s="9">
        <f t="shared" si="229"/>
        <v>754</v>
      </c>
      <c r="AG348" s="9">
        <f t="shared" si="230"/>
        <v>754</v>
      </c>
      <c r="AH348" s="9">
        <f t="shared" si="231"/>
        <v>754</v>
      </c>
      <c r="AI348" s="7">
        <f t="shared" si="204"/>
        <v>764749.70333333325</v>
      </c>
      <c r="AJ348" s="7">
        <f t="shared" si="205"/>
        <v>764749.70333333325</v>
      </c>
      <c r="AK348" s="7">
        <f t="shared" si="205"/>
        <v>764749.70333333325</v>
      </c>
      <c r="AL348" s="7">
        <f t="shared" si="205"/>
        <v>764749.70333333325</v>
      </c>
      <c r="AM348" s="7">
        <f t="shared" si="205"/>
        <v>764749.70333333325</v>
      </c>
      <c r="AN348" s="7">
        <f t="shared" si="205"/>
        <v>764749.70333333325</v>
      </c>
      <c r="AO348" s="16"/>
      <c r="AP348" s="7"/>
      <c r="AQ348" s="9">
        <v>7</v>
      </c>
      <c r="AR348" s="9">
        <f t="shared" si="232"/>
        <v>850</v>
      </c>
      <c r="AS348" s="7">
        <f t="shared" si="241"/>
        <v>272</v>
      </c>
      <c r="AT348" s="7"/>
      <c r="AU348" s="16"/>
      <c r="AV348" s="7"/>
      <c r="AW348" s="7"/>
      <c r="AX348" s="7"/>
      <c r="AZ348" s="7"/>
      <c r="BA348" s="9">
        <f t="shared" si="207"/>
        <v>493490.19999999867</v>
      </c>
      <c r="BC348" s="5">
        <f t="shared" si="233"/>
        <v>652</v>
      </c>
      <c r="BR348" s="5">
        <v>5601094</v>
      </c>
      <c r="BS348" s="18">
        <f>[1]monsters!$N348</f>
        <v>241.92</v>
      </c>
      <c r="BT348" s="18">
        <f>[1]monsters!$O348</f>
        <v>24.19</v>
      </c>
      <c r="BU348" s="18">
        <f>[1]monsters!$P348</f>
        <v>2986.67</v>
      </c>
      <c r="BV348" s="18">
        <f>[1]monsters!$Q348</f>
        <v>298.67</v>
      </c>
      <c r="BW348" s="18">
        <f>[1]monsters!$R348</f>
        <v>48.38</v>
      </c>
      <c r="BX348" s="18">
        <f>[1]monsters!$S348</f>
        <v>4.84</v>
      </c>
      <c r="BY348" s="18">
        <f>[1]monsters!$K348</f>
        <v>1.8</v>
      </c>
      <c r="BZ348" s="5">
        <f>[1]monsters!$D348</f>
        <v>2</v>
      </c>
      <c r="CA348" s="5">
        <f t="shared" si="234"/>
        <v>0.1</v>
      </c>
      <c r="CB348" s="5">
        <f t="shared" si="235"/>
        <v>329.17567946127946</v>
      </c>
      <c r="CC348" s="5">
        <f t="shared" si="236"/>
        <v>32.917567946127946</v>
      </c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>
        <v>1</v>
      </c>
      <c r="CR348" s="3" t="b">
        <f t="shared" si="208"/>
        <v>1</v>
      </c>
      <c r="CS348" s="3" t="b">
        <f t="shared" si="209"/>
        <v>1</v>
      </c>
      <c r="CT348" s="3" t="b">
        <f t="shared" si="210"/>
        <v>1</v>
      </c>
      <c r="CU348" s="3" t="b">
        <f t="shared" si="211"/>
        <v>1</v>
      </c>
      <c r="CV348" s="3" t="b">
        <f t="shared" si="212"/>
        <v>1</v>
      </c>
      <c r="CW348" s="3" t="b">
        <f t="shared" si="213"/>
        <v>1</v>
      </c>
      <c r="CX348" s="9" t="str">
        <f t="shared" si="214"/>
        <v>5600104</v>
      </c>
      <c r="CY348" s="9" t="str">
        <f t="shared" si="215"/>
        <v>5202103</v>
      </c>
      <c r="CZ348" s="9" t="str">
        <f t="shared" si="216"/>
        <v>5201104</v>
      </c>
      <c r="DA348" s="9" t="str">
        <f t="shared" si="217"/>
        <v>5501104</v>
      </c>
      <c r="DB348" s="9" t="str">
        <f t="shared" si="218"/>
        <v>5501104</v>
      </c>
      <c r="DC348" s="9" t="str">
        <f t="shared" si="219"/>
        <v>5501104</v>
      </c>
      <c r="DD348" s="9">
        <v>10</v>
      </c>
      <c r="DE348" s="9">
        <v>10</v>
      </c>
      <c r="DF348" s="9">
        <v>10</v>
      </c>
      <c r="DG348" s="9">
        <v>10</v>
      </c>
      <c r="DH348" s="9">
        <v>10</v>
      </c>
      <c r="DI348" s="9">
        <v>10</v>
      </c>
      <c r="DJ348" s="9">
        <v>5</v>
      </c>
      <c r="DK348" s="9">
        <v>5</v>
      </c>
      <c r="DL348" s="9">
        <v>5</v>
      </c>
      <c r="DM348" s="9">
        <v>5</v>
      </c>
      <c r="DN348" s="9">
        <v>5</v>
      </c>
      <c r="DO348" s="9">
        <v>5</v>
      </c>
      <c r="DP348" s="27" t="s">
        <v>219</v>
      </c>
      <c r="DQ348" s="25" t="s">
        <v>208</v>
      </c>
      <c r="DR348" s="25" t="s">
        <v>217</v>
      </c>
      <c r="DS348" s="25" t="s">
        <v>214</v>
      </c>
      <c r="DT348" s="25" t="s">
        <v>214</v>
      </c>
      <c r="DU348" s="25" t="s">
        <v>214</v>
      </c>
      <c r="DV348" s="25">
        <f t="shared" si="220"/>
        <v>1</v>
      </c>
      <c r="DW348" s="25">
        <f t="shared" si="221"/>
        <v>1</v>
      </c>
      <c r="DX348" s="25">
        <f t="shared" si="222"/>
        <v>1</v>
      </c>
      <c r="DY348" s="25">
        <f t="shared" si="223"/>
        <v>2</v>
      </c>
      <c r="DZ348" s="25">
        <f t="shared" si="224"/>
        <v>2</v>
      </c>
      <c r="EA348" s="3">
        <f t="shared" si="225"/>
        <v>2</v>
      </c>
      <c r="EB348" s="44"/>
      <c r="EC348" s="9">
        <v>5202115</v>
      </c>
      <c r="ED348" s="34" t="s">
        <v>213</v>
      </c>
      <c r="EE348" s="8">
        <v>1</v>
      </c>
    </row>
    <row r="349" spans="1:135" ht="13.5" customHeight="1">
      <c r="A349" s="9">
        <v>346</v>
      </c>
      <c r="B349" s="9">
        <v>1</v>
      </c>
      <c r="C349" s="9">
        <v>2001</v>
      </c>
      <c r="D349" s="9">
        <f t="shared" si="240"/>
        <v>5827854</v>
      </c>
      <c r="E349" s="9" t="str">
        <f t="shared" si="237"/>
        <v>5200101,5301102,5202102,5402102,5501105,5400105</v>
      </c>
      <c r="F349" s="9" t="str">
        <f t="shared" si="238"/>
        <v>10,10,10,10,10,10</v>
      </c>
      <c r="G349" s="9" t="str">
        <f t="shared" si="239"/>
        <v>699,756,756,756,756,756</v>
      </c>
      <c r="H349" s="9">
        <v>178</v>
      </c>
      <c r="I349" s="9" t="s">
        <v>278</v>
      </c>
      <c r="J349" s="9" t="s">
        <v>279</v>
      </c>
      <c r="K349" s="9" t="s">
        <v>279</v>
      </c>
      <c r="L349" s="9" t="s">
        <v>279</v>
      </c>
      <c r="M349" s="36" t="s">
        <v>303</v>
      </c>
      <c r="N349" s="40"/>
      <c r="O349" s="3">
        <f t="shared" si="206"/>
        <v>5827854</v>
      </c>
      <c r="P349" s="9">
        <v>4606999.25</v>
      </c>
      <c r="Q349" s="9">
        <v>5200101</v>
      </c>
      <c r="R349" s="9">
        <v>5301102</v>
      </c>
      <c r="S349" s="9">
        <v>5202102</v>
      </c>
      <c r="T349" s="9">
        <v>5402102</v>
      </c>
      <c r="U349" s="9">
        <v>5501105</v>
      </c>
      <c r="V349" s="9">
        <v>5400105</v>
      </c>
      <c r="W349" s="9">
        <v>10</v>
      </c>
      <c r="X349" s="9">
        <v>10</v>
      </c>
      <c r="Y349" s="9">
        <v>10</v>
      </c>
      <c r="Z349" s="9">
        <v>10</v>
      </c>
      <c r="AA349" s="9">
        <v>10</v>
      </c>
      <c r="AB349" s="9">
        <v>10</v>
      </c>
      <c r="AC349" s="9">
        <f t="shared" si="226"/>
        <v>699</v>
      </c>
      <c r="AD349" s="9">
        <f t="shared" si="227"/>
        <v>756</v>
      </c>
      <c r="AE349" s="9">
        <f t="shared" si="228"/>
        <v>756</v>
      </c>
      <c r="AF349" s="9">
        <f t="shared" si="229"/>
        <v>756</v>
      </c>
      <c r="AG349" s="9">
        <f t="shared" si="230"/>
        <v>756</v>
      </c>
      <c r="AH349" s="9">
        <f t="shared" si="231"/>
        <v>756</v>
      </c>
      <c r="AI349" s="7">
        <f t="shared" si="204"/>
        <v>767833.20833333337</v>
      </c>
      <c r="AJ349" s="7">
        <f t="shared" si="205"/>
        <v>767833.20833333337</v>
      </c>
      <c r="AK349" s="7">
        <f t="shared" si="205"/>
        <v>767833.20833333337</v>
      </c>
      <c r="AL349" s="7">
        <f t="shared" si="205"/>
        <v>767833.20833333337</v>
      </c>
      <c r="AM349" s="7">
        <f t="shared" si="205"/>
        <v>767833.20833333337</v>
      </c>
      <c r="AN349" s="7">
        <f t="shared" si="205"/>
        <v>767833.20833333337</v>
      </c>
      <c r="AO349" s="16"/>
      <c r="AP349" s="7"/>
      <c r="AQ349" s="9">
        <v>7</v>
      </c>
      <c r="AR349" s="9">
        <f t="shared" si="232"/>
        <v>852</v>
      </c>
      <c r="AS349" s="7">
        <f t="shared" si="241"/>
        <v>273</v>
      </c>
      <c r="AT349" s="7"/>
      <c r="AU349" s="16"/>
      <c r="AV349" s="7"/>
      <c r="AW349" s="7"/>
      <c r="AX349" s="7"/>
      <c r="AZ349" s="7"/>
      <c r="BA349" s="9">
        <f t="shared" si="207"/>
        <v>495880.55999999866</v>
      </c>
      <c r="BC349" s="5">
        <f t="shared" si="233"/>
        <v>653</v>
      </c>
      <c r="BR349" s="5">
        <v>5201095</v>
      </c>
      <c r="BS349" s="18">
        <f>[1]monsters!$N349</f>
        <v>174.72</v>
      </c>
      <c r="BT349" s="18">
        <f>[1]monsters!$O349</f>
        <v>17.47</v>
      </c>
      <c r="BU349" s="18">
        <f>[1]monsters!$P349</f>
        <v>2986.67</v>
      </c>
      <c r="BV349" s="18">
        <f>[1]monsters!$Q349</f>
        <v>298.67</v>
      </c>
      <c r="BW349" s="18">
        <f>[1]monsters!$R349</f>
        <v>34.94</v>
      </c>
      <c r="BX349" s="18">
        <f>[1]monsters!$S349</f>
        <v>3.49</v>
      </c>
      <c r="BY349" s="18">
        <f>[1]monsters!$K349</f>
        <v>1.3</v>
      </c>
      <c r="BZ349" s="5">
        <f>[1]monsters!$D349</f>
        <v>3</v>
      </c>
      <c r="CA349" s="5">
        <f t="shared" si="234"/>
        <v>0.1</v>
      </c>
      <c r="CB349" s="5">
        <f t="shared" si="235"/>
        <v>265.6716794612795</v>
      </c>
      <c r="CC349" s="5">
        <f t="shared" si="236"/>
        <v>26.567167946127952</v>
      </c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>
        <v>0</v>
      </c>
      <c r="CR349" s="3" t="b">
        <f t="shared" si="208"/>
        <v>1</v>
      </c>
      <c r="CS349" s="3" t="b">
        <f t="shared" si="209"/>
        <v>1</v>
      </c>
      <c r="CT349" s="3" t="b">
        <f t="shared" si="210"/>
        <v>1</v>
      </c>
      <c r="CU349" s="3" t="b">
        <f t="shared" si="211"/>
        <v>1</v>
      </c>
      <c r="CV349" s="3" t="b">
        <f t="shared" si="212"/>
        <v>1</v>
      </c>
      <c r="CW349" s="3" t="b">
        <f t="shared" si="213"/>
        <v>1</v>
      </c>
      <c r="CX349" s="9" t="str">
        <f t="shared" si="214"/>
        <v>5200101</v>
      </c>
      <c r="CY349" s="9" t="str">
        <f t="shared" si="215"/>
        <v>5301102</v>
      </c>
      <c r="CZ349" s="9" t="str">
        <f t="shared" si="216"/>
        <v>5202102</v>
      </c>
      <c r="DA349" s="9" t="str">
        <f t="shared" si="217"/>
        <v>5402102</v>
      </c>
      <c r="DB349" s="9" t="str">
        <f t="shared" si="218"/>
        <v>5501105</v>
      </c>
      <c r="DC349" s="9" t="str">
        <f t="shared" si="219"/>
        <v>5400105</v>
      </c>
      <c r="DD349" s="9">
        <v>10</v>
      </c>
      <c r="DE349" s="9">
        <v>10</v>
      </c>
      <c r="DF349" s="9">
        <v>10</v>
      </c>
      <c r="DG349" s="9">
        <v>10</v>
      </c>
      <c r="DH349" s="9">
        <v>10</v>
      </c>
      <c r="DI349" s="9">
        <v>10</v>
      </c>
      <c r="DJ349" s="9">
        <v>5</v>
      </c>
      <c r="DK349" s="9">
        <v>5</v>
      </c>
      <c r="DL349" s="9">
        <v>5</v>
      </c>
      <c r="DM349" s="9">
        <v>5</v>
      </c>
      <c r="DN349" s="9">
        <v>5</v>
      </c>
      <c r="DO349" s="9">
        <v>5</v>
      </c>
      <c r="DP349" s="26" t="s">
        <v>194</v>
      </c>
      <c r="DQ349" s="26" t="s">
        <v>201</v>
      </c>
      <c r="DR349" s="26" t="s">
        <v>200</v>
      </c>
      <c r="DS349" s="26" t="s">
        <v>203</v>
      </c>
      <c r="DT349" s="26" t="s">
        <v>209</v>
      </c>
      <c r="DU349" s="26" t="s">
        <v>210</v>
      </c>
      <c r="DV349" s="26">
        <f t="shared" si="220"/>
        <v>1</v>
      </c>
      <c r="DW349" s="26">
        <f t="shared" si="221"/>
        <v>1</v>
      </c>
      <c r="DX349" s="26">
        <f t="shared" si="222"/>
        <v>1</v>
      </c>
      <c r="DY349" s="26">
        <f t="shared" si="223"/>
        <v>2</v>
      </c>
      <c r="DZ349" s="26">
        <f t="shared" si="224"/>
        <v>2</v>
      </c>
      <c r="EA349" s="3">
        <f t="shared" si="225"/>
        <v>2</v>
      </c>
      <c r="EB349" s="44"/>
      <c r="EC349" s="9">
        <v>5300115</v>
      </c>
      <c r="ED349" s="34" t="s">
        <v>212</v>
      </c>
      <c r="EE349" s="8">
        <v>1</v>
      </c>
    </row>
    <row r="350" spans="1:135" ht="13.5" customHeight="1">
      <c r="A350" s="9">
        <v>347</v>
      </c>
      <c r="B350" s="9">
        <v>1</v>
      </c>
      <c r="C350" s="9">
        <v>2001</v>
      </c>
      <c r="D350" s="9">
        <f t="shared" si="240"/>
        <v>5851303</v>
      </c>
      <c r="E350" s="9" t="str">
        <f t="shared" si="237"/>
        <v>5300105,5202105,5301102,5500102,5400105,5501105</v>
      </c>
      <c r="F350" s="9" t="str">
        <f t="shared" si="238"/>
        <v>10,10,10,10,10,10</v>
      </c>
      <c r="G350" s="9" t="str">
        <f t="shared" si="239"/>
        <v>700,757,757,757,757,757</v>
      </c>
      <c r="H350" s="9">
        <v>178</v>
      </c>
      <c r="I350" s="9" t="s">
        <v>278</v>
      </c>
      <c r="J350" s="9" t="s">
        <v>279</v>
      </c>
      <c r="K350" s="9" t="s">
        <v>279</v>
      </c>
      <c r="L350" s="9" t="s">
        <v>279</v>
      </c>
      <c r="M350" s="36" t="s">
        <v>303</v>
      </c>
      <c r="N350" s="40"/>
      <c r="O350" s="3">
        <f t="shared" si="206"/>
        <v>5851303</v>
      </c>
      <c r="P350" s="9">
        <v>4625536.0999999996</v>
      </c>
      <c r="Q350" s="9">
        <v>5300105</v>
      </c>
      <c r="R350" s="9">
        <v>5202105</v>
      </c>
      <c r="S350" s="9">
        <v>5301102</v>
      </c>
      <c r="T350" s="9">
        <v>5500102</v>
      </c>
      <c r="U350" s="9">
        <v>5400105</v>
      </c>
      <c r="V350" s="9">
        <v>5501105</v>
      </c>
      <c r="W350" s="9">
        <v>10</v>
      </c>
      <c r="X350" s="9">
        <v>10</v>
      </c>
      <c r="Y350" s="9">
        <v>10</v>
      </c>
      <c r="Z350" s="9">
        <v>10</v>
      </c>
      <c r="AA350" s="9">
        <v>10</v>
      </c>
      <c r="AB350" s="9">
        <v>10</v>
      </c>
      <c r="AC350" s="9">
        <f t="shared" si="226"/>
        <v>700</v>
      </c>
      <c r="AD350" s="9">
        <f t="shared" si="227"/>
        <v>757</v>
      </c>
      <c r="AE350" s="9">
        <f t="shared" si="228"/>
        <v>757</v>
      </c>
      <c r="AF350" s="9">
        <f t="shared" si="229"/>
        <v>757</v>
      </c>
      <c r="AG350" s="9">
        <f t="shared" si="230"/>
        <v>757</v>
      </c>
      <c r="AH350" s="9">
        <f t="shared" si="231"/>
        <v>757</v>
      </c>
      <c r="AI350" s="7">
        <f t="shared" si="204"/>
        <v>770922.68333333323</v>
      </c>
      <c r="AJ350" s="7">
        <f t="shared" si="205"/>
        <v>770922.68333333323</v>
      </c>
      <c r="AK350" s="7">
        <f t="shared" si="205"/>
        <v>770922.68333333323</v>
      </c>
      <c r="AL350" s="7">
        <f t="shared" si="205"/>
        <v>770922.68333333323</v>
      </c>
      <c r="AM350" s="7">
        <f t="shared" si="205"/>
        <v>770922.68333333323</v>
      </c>
      <c r="AN350" s="7">
        <f t="shared" si="205"/>
        <v>770922.68333333323</v>
      </c>
      <c r="AO350" s="16"/>
      <c r="AP350" s="7"/>
      <c r="AQ350" s="9">
        <v>7</v>
      </c>
      <c r="AR350" s="9">
        <f t="shared" si="232"/>
        <v>854</v>
      </c>
      <c r="AS350" s="7">
        <f t="shared" si="241"/>
        <v>273</v>
      </c>
      <c r="AT350" s="7"/>
      <c r="AU350" s="16"/>
      <c r="AV350" s="7"/>
      <c r="AW350" s="7"/>
      <c r="AX350" s="7"/>
      <c r="AZ350" s="7"/>
      <c r="BA350" s="9">
        <f t="shared" si="207"/>
        <v>498270.91999999864</v>
      </c>
      <c r="BC350" s="5">
        <f t="shared" si="233"/>
        <v>654</v>
      </c>
      <c r="BR350" s="5">
        <v>5202095</v>
      </c>
      <c r="BS350" s="18">
        <f>[1]monsters!$N350</f>
        <v>188.16</v>
      </c>
      <c r="BT350" s="18">
        <f>[1]monsters!$O350</f>
        <v>18.82</v>
      </c>
      <c r="BU350" s="18">
        <f>[1]monsters!$P350</f>
        <v>2986.67</v>
      </c>
      <c r="BV350" s="18">
        <f>[1]monsters!$Q350</f>
        <v>298.67</v>
      </c>
      <c r="BW350" s="18">
        <f>[1]monsters!$R350</f>
        <v>37.630000000000003</v>
      </c>
      <c r="BX350" s="18">
        <f>[1]monsters!$S350</f>
        <v>3.76</v>
      </c>
      <c r="BY350" s="18">
        <f>[1]monsters!$K350</f>
        <v>1.4</v>
      </c>
      <c r="BZ350" s="5">
        <f>[1]monsters!$D350</f>
        <v>3</v>
      </c>
      <c r="CA350" s="5">
        <f t="shared" si="234"/>
        <v>0.1</v>
      </c>
      <c r="CB350" s="5">
        <f t="shared" si="235"/>
        <v>278.37247946127945</v>
      </c>
      <c r="CC350" s="5">
        <f t="shared" si="236"/>
        <v>27.837247946127945</v>
      </c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>
        <v>0</v>
      </c>
      <c r="CR350" s="3" t="b">
        <f t="shared" si="208"/>
        <v>1</v>
      </c>
      <c r="CS350" s="3" t="b">
        <f t="shared" si="209"/>
        <v>1</v>
      </c>
      <c r="CT350" s="3" t="b">
        <f t="shared" si="210"/>
        <v>1</v>
      </c>
      <c r="CU350" s="3" t="b">
        <f t="shared" si="211"/>
        <v>1</v>
      </c>
      <c r="CV350" s="3" t="b">
        <f t="shared" si="212"/>
        <v>1</v>
      </c>
      <c r="CW350" s="3" t="b">
        <f t="shared" si="213"/>
        <v>1</v>
      </c>
      <c r="CX350" s="9" t="str">
        <f t="shared" si="214"/>
        <v>5300105</v>
      </c>
      <c r="CY350" s="9" t="str">
        <f t="shared" si="215"/>
        <v>5202105</v>
      </c>
      <c r="CZ350" s="9" t="str">
        <f t="shared" si="216"/>
        <v>5301102</v>
      </c>
      <c r="DA350" s="9" t="str">
        <f t="shared" si="217"/>
        <v>5500102</v>
      </c>
      <c r="DB350" s="9" t="str">
        <f t="shared" si="218"/>
        <v>5400105</v>
      </c>
      <c r="DC350" s="9" t="str">
        <f t="shared" si="219"/>
        <v>5501105</v>
      </c>
      <c r="DD350" s="9">
        <v>10</v>
      </c>
      <c r="DE350" s="9">
        <v>10</v>
      </c>
      <c r="DF350" s="9">
        <v>10</v>
      </c>
      <c r="DG350" s="9">
        <v>10</v>
      </c>
      <c r="DH350" s="9">
        <v>10</v>
      </c>
      <c r="DI350" s="9">
        <v>10</v>
      </c>
      <c r="DJ350" s="9">
        <v>5</v>
      </c>
      <c r="DK350" s="9">
        <v>5</v>
      </c>
      <c r="DL350" s="9">
        <v>5</v>
      </c>
      <c r="DM350" s="9">
        <v>5</v>
      </c>
      <c r="DN350" s="9">
        <v>5</v>
      </c>
      <c r="DO350" s="9">
        <v>5</v>
      </c>
      <c r="DP350" s="25" t="s">
        <v>212</v>
      </c>
      <c r="DQ350" s="25" t="s">
        <v>213</v>
      </c>
      <c r="DR350" s="26" t="s">
        <v>201</v>
      </c>
      <c r="DS350" s="26" t="s">
        <v>109</v>
      </c>
      <c r="DT350" s="25" t="s">
        <v>210</v>
      </c>
      <c r="DU350" s="25" t="s">
        <v>209</v>
      </c>
      <c r="DV350" s="25">
        <f t="shared" si="220"/>
        <v>1</v>
      </c>
      <c r="DW350" s="25">
        <f t="shared" si="221"/>
        <v>1</v>
      </c>
      <c r="DX350" s="25">
        <f t="shared" si="222"/>
        <v>1</v>
      </c>
      <c r="DY350" s="25">
        <f t="shared" si="223"/>
        <v>2</v>
      </c>
      <c r="DZ350" s="25">
        <f t="shared" si="224"/>
        <v>2</v>
      </c>
      <c r="EA350" s="3">
        <f t="shared" si="225"/>
        <v>2</v>
      </c>
      <c r="EB350" s="44"/>
      <c r="EC350" s="9">
        <v>5302115</v>
      </c>
      <c r="ED350" s="34" t="s">
        <v>221</v>
      </c>
      <c r="EE350" s="8">
        <v>1</v>
      </c>
    </row>
    <row r="351" spans="1:135" ht="13.5" customHeight="1">
      <c r="A351" s="9">
        <v>348</v>
      </c>
      <c r="B351" s="9">
        <v>1</v>
      </c>
      <c r="C351" s="9">
        <v>2001</v>
      </c>
      <c r="D351" s="9">
        <f t="shared" si="240"/>
        <v>5874800</v>
      </c>
      <c r="E351" s="9" t="str">
        <f t="shared" si="237"/>
        <v>5202103,5202102,5201104,5501104,5500103,5501104</v>
      </c>
      <c r="F351" s="9" t="str">
        <f t="shared" si="238"/>
        <v>10,10,10,10,10,10</v>
      </c>
      <c r="G351" s="9" t="str">
        <f t="shared" si="239"/>
        <v>702,759,759,759,759,759</v>
      </c>
      <c r="H351" s="9">
        <v>179</v>
      </c>
      <c r="I351" s="9" t="s">
        <v>278</v>
      </c>
      <c r="J351" s="9" t="s">
        <v>279</v>
      </c>
      <c r="K351" s="9" t="s">
        <v>279</v>
      </c>
      <c r="L351" s="9" t="s">
        <v>279</v>
      </c>
      <c r="M351" s="36" t="s">
        <v>303</v>
      </c>
      <c r="N351" s="40"/>
      <c r="O351" s="3">
        <f t="shared" si="206"/>
        <v>5874800</v>
      </c>
      <c r="P351" s="9">
        <v>4644110.76</v>
      </c>
      <c r="Q351" s="9">
        <v>5202103</v>
      </c>
      <c r="R351" s="9">
        <v>5202102</v>
      </c>
      <c r="S351" s="9">
        <v>5201104</v>
      </c>
      <c r="T351" s="9">
        <v>5501104</v>
      </c>
      <c r="U351" s="9">
        <v>5500103</v>
      </c>
      <c r="V351" s="9">
        <v>5501104</v>
      </c>
      <c r="W351" s="9">
        <v>10</v>
      </c>
      <c r="X351" s="9">
        <v>10</v>
      </c>
      <c r="Y351" s="9">
        <v>10</v>
      </c>
      <c r="Z351" s="9">
        <v>10</v>
      </c>
      <c r="AA351" s="9">
        <v>10</v>
      </c>
      <c r="AB351" s="9">
        <v>10</v>
      </c>
      <c r="AC351" s="9">
        <f t="shared" si="226"/>
        <v>702</v>
      </c>
      <c r="AD351" s="9">
        <f t="shared" si="227"/>
        <v>759</v>
      </c>
      <c r="AE351" s="9">
        <f t="shared" si="228"/>
        <v>759</v>
      </c>
      <c r="AF351" s="9">
        <f t="shared" si="229"/>
        <v>759</v>
      </c>
      <c r="AG351" s="9">
        <f t="shared" si="230"/>
        <v>759</v>
      </c>
      <c r="AH351" s="9">
        <f t="shared" si="231"/>
        <v>759</v>
      </c>
      <c r="AI351" s="7">
        <f t="shared" si="204"/>
        <v>774018.46</v>
      </c>
      <c r="AJ351" s="7">
        <f t="shared" si="205"/>
        <v>774018.46</v>
      </c>
      <c r="AK351" s="7">
        <f t="shared" si="205"/>
        <v>774018.46</v>
      </c>
      <c r="AL351" s="7">
        <f t="shared" si="205"/>
        <v>774018.46</v>
      </c>
      <c r="AM351" s="7">
        <f t="shared" si="205"/>
        <v>774018.46</v>
      </c>
      <c r="AN351" s="7">
        <f t="shared" si="205"/>
        <v>774018.46</v>
      </c>
      <c r="AO351" s="16"/>
      <c r="AP351" s="7"/>
      <c r="AQ351" s="9">
        <v>7</v>
      </c>
      <c r="AR351" s="9">
        <f t="shared" si="232"/>
        <v>855</v>
      </c>
      <c r="AS351" s="7">
        <f t="shared" si="241"/>
        <v>274</v>
      </c>
      <c r="AT351" s="7"/>
      <c r="AU351" s="16"/>
      <c r="AV351" s="7"/>
      <c r="AW351" s="7"/>
      <c r="AX351" s="7"/>
      <c r="AZ351" s="7"/>
      <c r="BA351" s="9">
        <f t="shared" si="207"/>
        <v>500661.27999999863</v>
      </c>
      <c r="BC351" s="5">
        <f t="shared" si="233"/>
        <v>656</v>
      </c>
      <c r="BR351" s="5">
        <v>5302095</v>
      </c>
      <c r="BS351" s="18">
        <f>[1]monsters!$N351</f>
        <v>250.88</v>
      </c>
      <c r="BT351" s="18">
        <f>[1]monsters!$O351</f>
        <v>25.09</v>
      </c>
      <c r="BU351" s="18">
        <f>[1]monsters!$P351</f>
        <v>2240</v>
      </c>
      <c r="BV351" s="18">
        <f>[1]monsters!$Q351</f>
        <v>224</v>
      </c>
      <c r="BW351" s="18">
        <f>[1]monsters!$R351</f>
        <v>35.840000000000003</v>
      </c>
      <c r="BX351" s="18">
        <f>[1]monsters!$S351</f>
        <v>3.58</v>
      </c>
      <c r="BY351" s="18">
        <f>[1]monsters!$K351</f>
        <v>1.4</v>
      </c>
      <c r="BZ351" s="5">
        <f>[1]monsters!$D351</f>
        <v>4</v>
      </c>
      <c r="CA351" s="5">
        <f t="shared" si="234"/>
        <v>0.1</v>
      </c>
      <c r="CB351" s="5">
        <f t="shared" si="235"/>
        <v>312.50247542087538</v>
      </c>
      <c r="CC351" s="5">
        <f t="shared" si="236"/>
        <v>31.250247542087539</v>
      </c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>
        <v>0</v>
      </c>
      <c r="CR351" s="3" t="b">
        <f t="shared" si="208"/>
        <v>1</v>
      </c>
      <c r="CS351" s="3" t="b">
        <f t="shared" si="209"/>
        <v>1</v>
      </c>
      <c r="CT351" s="3" t="b">
        <f t="shared" si="210"/>
        <v>1</v>
      </c>
      <c r="CU351" s="3" t="b">
        <f t="shared" si="211"/>
        <v>1</v>
      </c>
      <c r="CV351" s="3" t="b">
        <f t="shared" si="212"/>
        <v>1</v>
      </c>
      <c r="CW351" s="3" t="b">
        <f t="shared" si="213"/>
        <v>1</v>
      </c>
      <c r="CX351" s="9" t="str">
        <f t="shared" si="214"/>
        <v>5202103</v>
      </c>
      <c r="CY351" s="9" t="str">
        <f t="shared" si="215"/>
        <v>5202102</v>
      </c>
      <c r="CZ351" s="9" t="str">
        <f t="shared" si="216"/>
        <v>5201104</v>
      </c>
      <c r="DA351" s="9" t="str">
        <f t="shared" si="217"/>
        <v>5501104</v>
      </c>
      <c r="DB351" s="9" t="str">
        <f t="shared" si="218"/>
        <v>5500103</v>
      </c>
      <c r="DC351" s="9" t="str">
        <f t="shared" si="219"/>
        <v>5501104</v>
      </c>
      <c r="DD351" s="9">
        <v>10</v>
      </c>
      <c r="DE351" s="9">
        <v>10</v>
      </c>
      <c r="DF351" s="9">
        <v>10</v>
      </c>
      <c r="DG351" s="9">
        <v>10</v>
      </c>
      <c r="DH351" s="9">
        <v>10</v>
      </c>
      <c r="DI351" s="9">
        <v>10</v>
      </c>
      <c r="DJ351" s="9">
        <v>5</v>
      </c>
      <c r="DK351" s="9">
        <v>5</v>
      </c>
      <c r="DL351" s="9">
        <v>5</v>
      </c>
      <c r="DM351" s="9">
        <v>5</v>
      </c>
      <c r="DN351" s="9">
        <v>5</v>
      </c>
      <c r="DO351" s="9">
        <v>5</v>
      </c>
      <c r="DP351" s="25" t="s">
        <v>208</v>
      </c>
      <c r="DQ351" s="25" t="s">
        <v>200</v>
      </c>
      <c r="DR351" s="26" t="s">
        <v>217</v>
      </c>
      <c r="DS351" s="26" t="s">
        <v>214</v>
      </c>
      <c r="DT351" s="26" t="s">
        <v>207</v>
      </c>
      <c r="DU351" s="26" t="s">
        <v>214</v>
      </c>
      <c r="DV351" s="26">
        <f t="shared" si="220"/>
        <v>1</v>
      </c>
      <c r="DW351" s="26">
        <f t="shared" si="221"/>
        <v>1</v>
      </c>
      <c r="DX351" s="26">
        <f t="shared" si="222"/>
        <v>1</v>
      </c>
      <c r="DY351" s="26">
        <f t="shared" si="223"/>
        <v>2</v>
      </c>
      <c r="DZ351" s="26">
        <f t="shared" si="224"/>
        <v>2</v>
      </c>
      <c r="EA351" s="3">
        <f t="shared" si="225"/>
        <v>2</v>
      </c>
      <c r="EB351" s="44"/>
      <c r="EC351" s="9">
        <v>5400115</v>
      </c>
      <c r="ED351" s="34" t="s">
        <v>210</v>
      </c>
      <c r="EE351" s="8">
        <v>2</v>
      </c>
    </row>
    <row r="352" spans="1:135" ht="13.5" customHeight="1">
      <c r="A352" s="9">
        <v>349</v>
      </c>
      <c r="B352" s="9">
        <v>1</v>
      </c>
      <c r="C352" s="9">
        <v>2001</v>
      </c>
      <c r="D352" s="9">
        <f t="shared" si="240"/>
        <v>5898345</v>
      </c>
      <c r="E352" s="9" t="str">
        <f t="shared" si="237"/>
        <v>5202103,5202102,5301103,5601103,5500103,5502103</v>
      </c>
      <c r="F352" s="9" t="str">
        <f t="shared" si="238"/>
        <v>10,10,10,10,10,10</v>
      </c>
      <c r="G352" s="9" t="str">
        <f t="shared" si="239"/>
        <v>703,760,760,760,760,760</v>
      </c>
      <c r="H352" s="9">
        <v>179</v>
      </c>
      <c r="I352" s="9" t="s">
        <v>278</v>
      </c>
      <c r="J352" s="9" t="s">
        <v>279</v>
      </c>
      <c r="K352" s="9" t="s">
        <v>279</v>
      </c>
      <c r="L352" s="9" t="s">
        <v>279</v>
      </c>
      <c r="M352" s="36" t="s">
        <v>303</v>
      </c>
      <c r="N352" s="40"/>
      <c r="O352" s="3">
        <f t="shared" si="206"/>
        <v>5898345</v>
      </c>
      <c r="P352" s="9">
        <v>4662723.2300000004</v>
      </c>
      <c r="Q352" s="9">
        <v>5202103</v>
      </c>
      <c r="R352" s="9">
        <v>5202102</v>
      </c>
      <c r="S352" s="9">
        <v>5301103</v>
      </c>
      <c r="T352" s="9">
        <v>5601103</v>
      </c>
      <c r="U352" s="9">
        <v>5500103</v>
      </c>
      <c r="V352" s="9">
        <v>5502103</v>
      </c>
      <c r="W352" s="9">
        <v>10</v>
      </c>
      <c r="X352" s="9">
        <v>10</v>
      </c>
      <c r="Y352" s="9">
        <v>10</v>
      </c>
      <c r="Z352" s="9">
        <v>10</v>
      </c>
      <c r="AA352" s="9">
        <v>10</v>
      </c>
      <c r="AB352" s="9">
        <v>10</v>
      </c>
      <c r="AC352" s="9">
        <f t="shared" si="226"/>
        <v>703</v>
      </c>
      <c r="AD352" s="9">
        <f t="shared" si="227"/>
        <v>760</v>
      </c>
      <c r="AE352" s="9">
        <f t="shared" si="228"/>
        <v>760</v>
      </c>
      <c r="AF352" s="9">
        <f t="shared" si="229"/>
        <v>760</v>
      </c>
      <c r="AG352" s="9">
        <f t="shared" si="230"/>
        <v>760</v>
      </c>
      <c r="AH352" s="9">
        <f t="shared" si="231"/>
        <v>760</v>
      </c>
      <c r="AI352" s="7">
        <f t="shared" si="204"/>
        <v>777120.53833333345</v>
      </c>
      <c r="AJ352" s="7">
        <f t="shared" si="205"/>
        <v>777120.53833333345</v>
      </c>
      <c r="AK352" s="7">
        <f t="shared" si="205"/>
        <v>777120.53833333345</v>
      </c>
      <c r="AL352" s="7">
        <f t="shared" si="205"/>
        <v>777120.53833333345</v>
      </c>
      <c r="AM352" s="7">
        <f t="shared" si="205"/>
        <v>777120.53833333345</v>
      </c>
      <c r="AN352" s="7">
        <f t="shared" si="205"/>
        <v>777120.53833333345</v>
      </c>
      <c r="AO352" s="16"/>
      <c r="AP352" s="7"/>
      <c r="AQ352" s="9">
        <v>7</v>
      </c>
      <c r="AR352" s="9">
        <f t="shared" si="232"/>
        <v>857</v>
      </c>
      <c r="AS352" s="7">
        <f t="shared" si="241"/>
        <v>274</v>
      </c>
      <c r="AT352" s="7"/>
      <c r="AU352" s="16"/>
      <c r="AV352" s="7"/>
      <c r="AW352" s="7"/>
      <c r="AX352" s="7"/>
      <c r="AZ352" s="7"/>
      <c r="BA352" s="9">
        <f t="shared" si="207"/>
        <v>503051.63999999862</v>
      </c>
      <c r="BC352" s="5">
        <f t="shared" si="233"/>
        <v>657</v>
      </c>
      <c r="BR352" s="5">
        <v>5301095</v>
      </c>
      <c r="BS352" s="18">
        <f>[1]monsters!$N352</f>
        <v>334.51</v>
      </c>
      <c r="BT352" s="18">
        <f>[1]monsters!$O352</f>
        <v>33.450000000000003</v>
      </c>
      <c r="BU352" s="18">
        <f>[1]monsters!$P352</f>
        <v>1920</v>
      </c>
      <c r="BV352" s="18">
        <f>[1]monsters!$Q352</f>
        <v>192</v>
      </c>
      <c r="BW352" s="18">
        <f>[1]monsters!$R352</f>
        <v>41.81</v>
      </c>
      <c r="BX352" s="18">
        <f>[1]monsters!$S352</f>
        <v>4.18</v>
      </c>
      <c r="BY352" s="18">
        <f>[1]monsters!$K352</f>
        <v>1.6</v>
      </c>
      <c r="BZ352" s="5">
        <f>[1]monsters!$D352</f>
        <v>5</v>
      </c>
      <c r="CA352" s="5">
        <f t="shared" si="234"/>
        <v>0.1</v>
      </c>
      <c r="CB352" s="5">
        <f t="shared" si="235"/>
        <v>380.75841464646464</v>
      </c>
      <c r="CC352" s="5">
        <f t="shared" si="236"/>
        <v>38.075841464646466</v>
      </c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>
        <v>0</v>
      </c>
      <c r="CR352" s="3" t="b">
        <f t="shared" si="208"/>
        <v>1</v>
      </c>
      <c r="CS352" s="3" t="b">
        <f t="shared" si="209"/>
        <v>1</v>
      </c>
      <c r="CT352" s="3" t="b">
        <f t="shared" si="210"/>
        <v>1</v>
      </c>
      <c r="CU352" s="3" t="b">
        <f t="shared" si="211"/>
        <v>1</v>
      </c>
      <c r="CV352" s="3" t="b">
        <f t="shared" si="212"/>
        <v>1</v>
      </c>
      <c r="CW352" s="3" t="b">
        <f t="shared" si="213"/>
        <v>1</v>
      </c>
      <c r="CX352" s="9" t="str">
        <f t="shared" si="214"/>
        <v>5202103</v>
      </c>
      <c r="CY352" s="9" t="str">
        <f t="shared" si="215"/>
        <v>5202102</v>
      </c>
      <c r="CZ352" s="9" t="str">
        <f t="shared" si="216"/>
        <v>5301103</v>
      </c>
      <c r="DA352" s="9" t="str">
        <f t="shared" si="217"/>
        <v>5601103</v>
      </c>
      <c r="DB352" s="9" t="str">
        <f t="shared" si="218"/>
        <v>5500103</v>
      </c>
      <c r="DC352" s="9" t="str">
        <f t="shared" si="219"/>
        <v>5502103</v>
      </c>
      <c r="DD352" s="9">
        <v>10</v>
      </c>
      <c r="DE352" s="9">
        <v>10</v>
      </c>
      <c r="DF352" s="9">
        <v>10</v>
      </c>
      <c r="DG352" s="9">
        <v>10</v>
      </c>
      <c r="DH352" s="9">
        <v>10</v>
      </c>
      <c r="DI352" s="9">
        <v>10</v>
      </c>
      <c r="DJ352" s="9">
        <v>5</v>
      </c>
      <c r="DK352" s="9">
        <v>5</v>
      </c>
      <c r="DL352" s="9">
        <v>5</v>
      </c>
      <c r="DM352" s="9">
        <v>5</v>
      </c>
      <c r="DN352" s="9">
        <v>5</v>
      </c>
      <c r="DO352" s="9">
        <v>5</v>
      </c>
      <c r="DP352" s="25" t="s">
        <v>208</v>
      </c>
      <c r="DQ352" s="25" t="s">
        <v>200</v>
      </c>
      <c r="DR352" s="25" t="s">
        <v>206</v>
      </c>
      <c r="DS352" s="25" t="s">
        <v>216</v>
      </c>
      <c r="DT352" s="26" t="s">
        <v>207</v>
      </c>
      <c r="DU352" s="26" t="s">
        <v>215</v>
      </c>
      <c r="DV352" s="26">
        <f t="shared" si="220"/>
        <v>1</v>
      </c>
      <c r="DW352" s="26">
        <f t="shared" si="221"/>
        <v>1</v>
      </c>
      <c r="DX352" s="26">
        <f t="shared" si="222"/>
        <v>1</v>
      </c>
      <c r="DY352" s="26">
        <f t="shared" si="223"/>
        <v>2</v>
      </c>
      <c r="DZ352" s="26">
        <f t="shared" si="224"/>
        <v>2</v>
      </c>
      <c r="EA352" s="3">
        <f t="shared" si="225"/>
        <v>2</v>
      </c>
      <c r="EB352" s="44"/>
      <c r="EC352" s="9">
        <v>5501115</v>
      </c>
      <c r="ED352" s="37" t="s">
        <v>209</v>
      </c>
      <c r="EE352" s="8">
        <v>2</v>
      </c>
    </row>
    <row r="353" spans="1:135" ht="13.5" customHeight="1">
      <c r="A353" s="9">
        <v>350</v>
      </c>
      <c r="B353" s="9">
        <v>1</v>
      </c>
      <c r="C353" s="9">
        <v>2001</v>
      </c>
      <c r="D353" s="9">
        <f t="shared" si="240"/>
        <v>5921935</v>
      </c>
      <c r="E353" s="9" t="str">
        <f t="shared" si="237"/>
        <v>5201103,5201103,5201103,5402103,5402103,5402103</v>
      </c>
      <c r="F353" s="9" t="str">
        <f t="shared" si="238"/>
        <v>10,10,10,10,10,10</v>
      </c>
      <c r="G353" s="9" t="str">
        <f t="shared" si="239"/>
        <v>704,762,762,762,762,762</v>
      </c>
      <c r="H353" s="9">
        <v>180</v>
      </c>
      <c r="I353" s="9" t="s">
        <v>278</v>
      </c>
      <c r="J353" s="9" t="s">
        <v>279</v>
      </c>
      <c r="K353" s="9" t="s">
        <v>279</v>
      </c>
      <c r="L353" s="9" t="s">
        <v>279</v>
      </c>
      <c r="M353" s="36" t="s">
        <v>303</v>
      </c>
      <c r="O353" s="3">
        <f t="shared" si="206"/>
        <v>5921935</v>
      </c>
      <c r="P353" s="9">
        <v>4681371.5199999996</v>
      </c>
      <c r="Q353" s="9">
        <v>5201103</v>
      </c>
      <c r="R353" s="9">
        <v>5201103</v>
      </c>
      <c r="S353" s="9">
        <v>5201103</v>
      </c>
      <c r="T353" s="9">
        <v>5402103</v>
      </c>
      <c r="U353" s="9">
        <v>5402103</v>
      </c>
      <c r="V353" s="9">
        <v>5402103</v>
      </c>
      <c r="W353" s="9">
        <v>10</v>
      </c>
      <c r="X353" s="9">
        <v>10</v>
      </c>
      <c r="Y353" s="9">
        <v>10</v>
      </c>
      <c r="Z353" s="9">
        <v>10</v>
      </c>
      <c r="AA353" s="9">
        <v>10</v>
      </c>
      <c r="AB353" s="9">
        <v>10</v>
      </c>
      <c r="AC353" s="9">
        <f t="shared" si="226"/>
        <v>704</v>
      </c>
      <c r="AD353" s="9">
        <f t="shared" si="227"/>
        <v>762</v>
      </c>
      <c r="AE353" s="9">
        <f t="shared" si="228"/>
        <v>762</v>
      </c>
      <c r="AF353" s="9">
        <f t="shared" si="229"/>
        <v>762</v>
      </c>
      <c r="AG353" s="9">
        <f t="shared" si="230"/>
        <v>762</v>
      </c>
      <c r="AH353" s="9">
        <f t="shared" si="231"/>
        <v>762</v>
      </c>
      <c r="AI353" s="7">
        <f t="shared" si="204"/>
        <v>780228.58666666655</v>
      </c>
      <c r="AJ353" s="7">
        <f t="shared" si="205"/>
        <v>780228.58666666655</v>
      </c>
      <c r="AK353" s="7">
        <f t="shared" si="205"/>
        <v>780228.58666666655</v>
      </c>
      <c r="AL353" s="7">
        <f t="shared" si="205"/>
        <v>780228.58666666655</v>
      </c>
      <c r="AM353" s="7">
        <f t="shared" si="205"/>
        <v>780228.58666666655</v>
      </c>
      <c r="AN353" s="7">
        <f t="shared" si="205"/>
        <v>780228.58666666655</v>
      </c>
      <c r="AO353" s="16"/>
      <c r="AP353" s="7"/>
      <c r="AQ353" s="9">
        <v>7</v>
      </c>
      <c r="AR353" s="9">
        <f t="shared" si="232"/>
        <v>859</v>
      </c>
      <c r="AS353" s="7">
        <f t="shared" si="241"/>
        <v>275</v>
      </c>
      <c r="AT353" s="7"/>
      <c r="AU353" s="16"/>
      <c r="AV353" s="7"/>
      <c r="AW353" s="7"/>
      <c r="AX353" s="7"/>
      <c r="AY353" s="9">
        <v>7</v>
      </c>
      <c r="AZ353" s="7">
        <v>160</v>
      </c>
      <c r="BA353" s="9">
        <v>505442</v>
      </c>
      <c r="BC353" s="5">
        <f t="shared" si="233"/>
        <v>658</v>
      </c>
      <c r="BR353" s="5">
        <v>5400095</v>
      </c>
      <c r="BS353" s="18">
        <f>[1]monsters!$N353</f>
        <v>240</v>
      </c>
      <c r="BT353" s="18">
        <f>[1]monsters!$O353</f>
        <v>24</v>
      </c>
      <c r="BU353" s="18">
        <f>[1]monsters!$P353</f>
        <v>2880</v>
      </c>
      <c r="BV353" s="18">
        <f>[1]monsters!$Q353</f>
        <v>288</v>
      </c>
      <c r="BW353" s="18">
        <f>[1]monsters!$R353</f>
        <v>60</v>
      </c>
      <c r="BX353" s="18">
        <f>[1]monsters!$S353</f>
        <v>6</v>
      </c>
      <c r="BY353" s="18">
        <f>[1]monsters!$K353</f>
        <v>1.5</v>
      </c>
      <c r="BZ353" s="5">
        <f>[1]monsters!$D353</f>
        <v>2</v>
      </c>
      <c r="CA353" s="5">
        <f t="shared" si="234"/>
        <v>0.1</v>
      </c>
      <c r="CB353" s="5">
        <f t="shared" si="235"/>
        <v>323.76969696969695</v>
      </c>
      <c r="CC353" s="5">
        <f t="shared" si="236"/>
        <v>32.376969696969695</v>
      </c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>
        <v>1</v>
      </c>
      <c r="CR353" s="3" t="b">
        <f t="shared" si="208"/>
        <v>1</v>
      </c>
      <c r="CS353" s="3" t="b">
        <f t="shared" si="209"/>
        <v>1</v>
      </c>
      <c r="CT353" s="3" t="b">
        <f t="shared" si="210"/>
        <v>1</v>
      </c>
      <c r="CU353" s="3" t="b">
        <f t="shared" si="211"/>
        <v>1</v>
      </c>
      <c r="CV353" s="3" t="b">
        <f t="shared" si="212"/>
        <v>1</v>
      </c>
      <c r="CW353" s="3" t="b">
        <f t="shared" si="213"/>
        <v>1</v>
      </c>
      <c r="CX353" s="9" t="str">
        <f t="shared" si="214"/>
        <v>5201103</v>
      </c>
      <c r="CY353" s="9" t="str">
        <f t="shared" si="215"/>
        <v>5201103</v>
      </c>
      <c r="CZ353" s="9" t="str">
        <f t="shared" si="216"/>
        <v>5201103</v>
      </c>
      <c r="DA353" s="9" t="str">
        <f t="shared" si="217"/>
        <v>5402103</v>
      </c>
      <c r="DB353" s="9" t="str">
        <f t="shared" si="218"/>
        <v>5402103</v>
      </c>
      <c r="DC353" s="9" t="str">
        <f t="shared" si="219"/>
        <v>5402103</v>
      </c>
      <c r="DD353" s="9">
        <v>10</v>
      </c>
      <c r="DE353" s="9">
        <v>10</v>
      </c>
      <c r="DF353" s="9">
        <v>10</v>
      </c>
      <c r="DG353" s="9">
        <v>10</v>
      </c>
      <c r="DH353" s="9">
        <v>10</v>
      </c>
      <c r="DI353" s="9">
        <v>10</v>
      </c>
      <c r="DJ353" s="9">
        <v>5</v>
      </c>
      <c r="DK353" s="9">
        <v>5</v>
      </c>
      <c r="DL353" s="9">
        <v>5</v>
      </c>
      <c r="DM353" s="9">
        <v>5</v>
      </c>
      <c r="DN353" s="9">
        <v>5</v>
      </c>
      <c r="DO353" s="9">
        <v>5</v>
      </c>
      <c r="DP353" s="25" t="s">
        <v>205</v>
      </c>
      <c r="DQ353" s="25" t="s">
        <v>205</v>
      </c>
      <c r="DR353" s="25" t="s">
        <v>205</v>
      </c>
      <c r="DS353" s="26" t="s">
        <v>118</v>
      </c>
      <c r="DT353" s="26" t="s">
        <v>118</v>
      </c>
      <c r="DU353" s="26" t="s">
        <v>118</v>
      </c>
      <c r="DV353" s="26">
        <f t="shared" si="220"/>
        <v>1</v>
      </c>
      <c r="DW353" s="26">
        <f t="shared" si="221"/>
        <v>1</v>
      </c>
      <c r="DX353" s="26">
        <f t="shared" si="222"/>
        <v>1</v>
      </c>
      <c r="DY353" s="26">
        <f t="shared" si="223"/>
        <v>2</v>
      </c>
      <c r="DZ353" s="26">
        <f t="shared" si="224"/>
        <v>2</v>
      </c>
      <c r="EA353" s="3">
        <f t="shared" si="225"/>
        <v>2</v>
      </c>
      <c r="EB353" s="44"/>
      <c r="EC353" s="9">
        <v>5200121</v>
      </c>
      <c r="ED353" s="34" t="s">
        <v>194</v>
      </c>
      <c r="EE353" s="8">
        <v>1</v>
      </c>
    </row>
    <row r="354" spans="1:135" ht="13.5" customHeight="1">
      <c r="A354" s="9">
        <v>351</v>
      </c>
      <c r="B354" s="9">
        <v>1</v>
      </c>
      <c r="C354" s="9">
        <v>2001</v>
      </c>
      <c r="D354" s="9">
        <f t="shared" si="240"/>
        <v>5986450</v>
      </c>
      <c r="E354" s="9" t="str">
        <f t="shared" si="237"/>
        <v>5302105,5202105,5202105,5502102,5500102,5502103</v>
      </c>
      <c r="F354" s="9" t="str">
        <f t="shared" si="238"/>
        <v>10,10,10,10,10,10</v>
      </c>
      <c r="G354" s="9" t="str">
        <f t="shared" si="239"/>
        <v>708,766,766,766,766,766</v>
      </c>
      <c r="H354" s="9">
        <v>180</v>
      </c>
      <c r="I354" s="9" t="s">
        <v>278</v>
      </c>
      <c r="J354" s="9" t="s">
        <v>279</v>
      </c>
      <c r="K354" s="9" t="s">
        <v>279</v>
      </c>
      <c r="L354" s="9" t="s">
        <v>279</v>
      </c>
      <c r="M354" s="36" t="s">
        <v>303</v>
      </c>
      <c r="N354" s="40"/>
      <c r="O354" s="3">
        <f t="shared" si="206"/>
        <v>5986450</v>
      </c>
      <c r="P354" s="9">
        <v>4732371.24</v>
      </c>
      <c r="Q354" s="9">
        <v>5302105</v>
      </c>
      <c r="R354" s="9">
        <v>5202105</v>
      </c>
      <c r="S354" s="9">
        <v>5202105</v>
      </c>
      <c r="T354" s="9">
        <v>5502102</v>
      </c>
      <c r="U354" s="9">
        <v>5500102</v>
      </c>
      <c r="V354" s="9">
        <v>5502103</v>
      </c>
      <c r="W354" s="9">
        <v>10</v>
      </c>
      <c r="X354" s="9">
        <v>10</v>
      </c>
      <c r="Y354" s="9">
        <v>10</v>
      </c>
      <c r="Z354" s="9">
        <v>10</v>
      </c>
      <c r="AA354" s="9">
        <v>10</v>
      </c>
      <c r="AB354" s="9">
        <v>10</v>
      </c>
      <c r="AC354" s="9">
        <f t="shared" si="226"/>
        <v>708</v>
      </c>
      <c r="AD354" s="9">
        <f t="shared" si="227"/>
        <v>766</v>
      </c>
      <c r="AE354" s="9">
        <f t="shared" si="228"/>
        <v>766</v>
      </c>
      <c r="AF354" s="9">
        <f t="shared" si="229"/>
        <v>766</v>
      </c>
      <c r="AG354" s="9">
        <f t="shared" si="230"/>
        <v>766</v>
      </c>
      <c r="AH354" s="9">
        <f t="shared" si="231"/>
        <v>766</v>
      </c>
      <c r="AI354" s="7">
        <f t="shared" si="204"/>
        <v>788728.54</v>
      </c>
      <c r="AJ354" s="7">
        <f t="shared" si="205"/>
        <v>788728.54</v>
      </c>
      <c r="AK354" s="7">
        <f t="shared" si="205"/>
        <v>788728.54</v>
      </c>
      <c r="AL354" s="7">
        <f t="shared" si="205"/>
        <v>788728.54</v>
      </c>
      <c r="AM354" s="7">
        <f t="shared" si="205"/>
        <v>788728.54</v>
      </c>
      <c r="AN354" s="7">
        <f t="shared" si="205"/>
        <v>788728.54</v>
      </c>
      <c r="AO354" s="16"/>
      <c r="AP354" s="7"/>
      <c r="AQ354" s="9">
        <v>7</v>
      </c>
      <c r="AR354" s="9">
        <f t="shared" si="232"/>
        <v>864</v>
      </c>
      <c r="AS354" s="7">
        <f t="shared" si="241"/>
        <v>275</v>
      </c>
      <c r="AT354" s="7"/>
      <c r="AU354" s="16"/>
      <c r="AV354" s="7"/>
      <c r="AW354" s="7"/>
      <c r="AX354" s="7"/>
      <c r="AZ354" s="7"/>
      <c r="BA354" s="9">
        <f>BA353+($BA$453-$BA$353)/($A$453-$A$353)</f>
        <v>510334.53</v>
      </c>
      <c r="BC354" s="5">
        <f t="shared" si="233"/>
        <v>662</v>
      </c>
      <c r="BR354" s="5">
        <v>5402095</v>
      </c>
      <c r="BS354" s="18">
        <f>[1]monsters!$N354</f>
        <v>230.4</v>
      </c>
      <c r="BT354" s="18">
        <f>[1]monsters!$O354</f>
        <v>23.04</v>
      </c>
      <c r="BU354" s="18">
        <f>[1]monsters!$P354</f>
        <v>3600</v>
      </c>
      <c r="BV354" s="18">
        <f>[1]monsters!$Q354</f>
        <v>360</v>
      </c>
      <c r="BW354" s="18">
        <f>[1]monsters!$R354</f>
        <v>76.8</v>
      </c>
      <c r="BX354" s="18">
        <f>[1]monsters!$S354</f>
        <v>7.68</v>
      </c>
      <c r="BY354" s="18">
        <f>[1]monsters!$K354</f>
        <v>1.8</v>
      </c>
      <c r="BZ354" s="5">
        <f>[1]monsters!$D354</f>
        <v>2</v>
      </c>
      <c r="CA354" s="5">
        <f t="shared" si="234"/>
        <v>0.1</v>
      </c>
      <c r="CB354" s="5">
        <f t="shared" si="235"/>
        <v>338.9401212121212</v>
      </c>
      <c r="CC354" s="5">
        <f t="shared" si="236"/>
        <v>33.894012121212121</v>
      </c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>
        <v>0</v>
      </c>
      <c r="CR354" s="3" t="b">
        <f t="shared" si="208"/>
        <v>1</v>
      </c>
      <c r="CS354" s="3" t="b">
        <f t="shared" si="209"/>
        <v>1</v>
      </c>
      <c r="CT354" s="3" t="b">
        <f t="shared" si="210"/>
        <v>1</v>
      </c>
      <c r="CU354" s="3" t="b">
        <f t="shared" si="211"/>
        <v>1</v>
      </c>
      <c r="CV354" s="3" t="b">
        <f t="shared" si="212"/>
        <v>1</v>
      </c>
      <c r="CW354" s="3" t="b">
        <f t="shared" si="213"/>
        <v>1</v>
      </c>
      <c r="CX354" s="9" t="str">
        <f t="shared" si="214"/>
        <v>5302105</v>
      </c>
      <c r="CY354" s="9" t="str">
        <f t="shared" si="215"/>
        <v>5202105</v>
      </c>
      <c r="CZ354" s="9" t="str">
        <f t="shared" si="216"/>
        <v>5202105</v>
      </c>
      <c r="DA354" s="9" t="str">
        <f t="shared" si="217"/>
        <v>5502102</v>
      </c>
      <c r="DB354" s="9" t="str">
        <f t="shared" si="218"/>
        <v>5500102</v>
      </c>
      <c r="DC354" s="9" t="str">
        <f t="shared" si="219"/>
        <v>5502103</v>
      </c>
      <c r="DD354" s="9">
        <v>10</v>
      </c>
      <c r="DE354" s="9">
        <v>10</v>
      </c>
      <c r="DF354" s="9">
        <v>10</v>
      </c>
      <c r="DG354" s="9">
        <v>10</v>
      </c>
      <c r="DH354" s="9">
        <v>10</v>
      </c>
      <c r="DI354" s="9">
        <v>10</v>
      </c>
      <c r="DJ354" s="9">
        <v>5</v>
      </c>
      <c r="DK354" s="9">
        <v>5</v>
      </c>
      <c r="DL354" s="9">
        <v>5</v>
      </c>
      <c r="DM354" s="9">
        <v>5</v>
      </c>
      <c r="DN354" s="9">
        <v>5</v>
      </c>
      <c r="DO354" s="9">
        <v>5</v>
      </c>
      <c r="DP354" s="25" t="s">
        <v>221</v>
      </c>
      <c r="DQ354" s="25" t="s">
        <v>213</v>
      </c>
      <c r="DR354" s="25" t="s">
        <v>213</v>
      </c>
      <c r="DS354" s="26" t="s">
        <v>204</v>
      </c>
      <c r="DT354" s="26" t="s">
        <v>109</v>
      </c>
      <c r="DU354" s="26" t="s">
        <v>215</v>
      </c>
      <c r="DV354" s="26">
        <f t="shared" si="220"/>
        <v>1</v>
      </c>
      <c r="DW354" s="26">
        <f t="shared" si="221"/>
        <v>1</v>
      </c>
      <c r="DX354" s="26">
        <f t="shared" si="222"/>
        <v>1</v>
      </c>
      <c r="DY354" s="26">
        <f t="shared" si="223"/>
        <v>2</v>
      </c>
      <c r="DZ354" s="26">
        <f t="shared" si="224"/>
        <v>2</v>
      </c>
      <c r="EA354" s="3">
        <f t="shared" si="225"/>
        <v>2</v>
      </c>
      <c r="EB354" s="44"/>
      <c r="EC354" s="9">
        <v>5201121</v>
      </c>
      <c r="ED354" s="34" t="s">
        <v>195</v>
      </c>
      <c r="EE354" s="8">
        <v>1</v>
      </c>
    </row>
    <row r="355" spans="1:135" ht="13.5" customHeight="1">
      <c r="A355" s="9">
        <v>352</v>
      </c>
      <c r="B355" s="9">
        <v>1</v>
      </c>
      <c r="C355" s="9">
        <v>2001</v>
      </c>
      <c r="D355" s="9">
        <f t="shared" si="240"/>
        <v>6051349</v>
      </c>
      <c r="E355" s="9" t="str">
        <f t="shared" si="237"/>
        <v>5200102,5200103,5200102,5401101,5401103,5401102</v>
      </c>
      <c r="F355" s="9" t="str">
        <f t="shared" si="238"/>
        <v>10,10,10,10,10,10</v>
      </c>
      <c r="G355" s="9" t="str">
        <f t="shared" si="239"/>
        <v>712,770,770,770,770,770</v>
      </c>
      <c r="H355" s="9">
        <v>180</v>
      </c>
      <c r="I355" s="9" t="s">
        <v>278</v>
      </c>
      <c r="J355" s="9" t="s">
        <v>279</v>
      </c>
      <c r="K355" s="9" t="s">
        <v>279</v>
      </c>
      <c r="L355" s="9" t="s">
        <v>279</v>
      </c>
      <c r="M355" s="36" t="s">
        <v>303</v>
      </c>
      <c r="N355" s="40"/>
      <c r="O355" s="3">
        <f t="shared" si="206"/>
        <v>6051349</v>
      </c>
      <c r="P355" s="9">
        <v>4783675.43</v>
      </c>
      <c r="Q355" s="9">
        <v>5200102</v>
      </c>
      <c r="R355" s="9">
        <v>5200103</v>
      </c>
      <c r="S355" s="9">
        <v>5200102</v>
      </c>
      <c r="T355" s="9">
        <v>5401101</v>
      </c>
      <c r="U355" s="9">
        <v>5401103</v>
      </c>
      <c r="V355" s="9">
        <v>5401102</v>
      </c>
      <c r="W355" s="9">
        <v>10</v>
      </c>
      <c r="X355" s="9">
        <v>10</v>
      </c>
      <c r="Y355" s="9">
        <v>10</v>
      </c>
      <c r="Z355" s="9">
        <v>10</v>
      </c>
      <c r="AA355" s="9">
        <v>10</v>
      </c>
      <c r="AB355" s="9">
        <v>10</v>
      </c>
      <c r="AC355" s="9">
        <f t="shared" si="226"/>
        <v>712</v>
      </c>
      <c r="AD355" s="9">
        <f t="shared" si="227"/>
        <v>770</v>
      </c>
      <c r="AE355" s="9">
        <f t="shared" si="228"/>
        <v>770</v>
      </c>
      <c r="AF355" s="9">
        <f t="shared" si="229"/>
        <v>770</v>
      </c>
      <c r="AG355" s="9">
        <f t="shared" si="230"/>
        <v>770</v>
      </c>
      <c r="AH355" s="9">
        <f t="shared" si="231"/>
        <v>770</v>
      </c>
      <c r="AI355" s="7">
        <f t="shared" si="204"/>
        <v>797279.23833333328</v>
      </c>
      <c r="AJ355" s="7">
        <f t="shared" si="205"/>
        <v>797279.23833333328</v>
      </c>
      <c r="AK355" s="7">
        <f t="shared" si="205"/>
        <v>797279.23833333328</v>
      </c>
      <c r="AL355" s="7">
        <f t="shared" si="205"/>
        <v>797279.23833333328</v>
      </c>
      <c r="AM355" s="7">
        <f t="shared" si="205"/>
        <v>797279.23833333328</v>
      </c>
      <c r="AN355" s="7">
        <f t="shared" si="205"/>
        <v>797279.23833333328</v>
      </c>
      <c r="AO355" s="16"/>
      <c r="AP355" s="7"/>
      <c r="AQ355" s="9">
        <v>7</v>
      </c>
      <c r="AR355" s="9">
        <f t="shared" si="232"/>
        <v>868</v>
      </c>
      <c r="AS355" s="7">
        <f t="shared" si="241"/>
        <v>276</v>
      </c>
      <c r="AT355" s="7"/>
      <c r="AU355" s="16"/>
      <c r="AV355" s="7"/>
      <c r="AW355" s="7"/>
      <c r="AX355" s="7"/>
      <c r="AZ355" s="7"/>
      <c r="BA355" s="9">
        <f t="shared" ref="BA355:BA418" si="242">BA354+($BA$453-$BA$353)/($A$453-$A$353)</f>
        <v>515227.06000000006</v>
      </c>
      <c r="BC355" s="5">
        <f t="shared" si="233"/>
        <v>666</v>
      </c>
      <c r="BR355" s="5">
        <v>5500095</v>
      </c>
      <c r="BS355" s="18">
        <f>[1]monsters!$N355</f>
        <v>259.2</v>
      </c>
      <c r="BT355" s="18">
        <f>[1]monsters!$O355</f>
        <v>25.92</v>
      </c>
      <c r="BU355" s="18">
        <f>[1]monsters!$P355</f>
        <v>3200</v>
      </c>
      <c r="BV355" s="18">
        <f>[1]monsters!$Q355</f>
        <v>320</v>
      </c>
      <c r="BW355" s="18">
        <f>[1]monsters!$R355</f>
        <v>51.84</v>
      </c>
      <c r="BX355" s="18">
        <f>[1]monsters!$S355</f>
        <v>5.18</v>
      </c>
      <c r="BY355" s="18">
        <f>[1]monsters!$K355</f>
        <v>1.8</v>
      </c>
      <c r="BZ355" s="5">
        <f>[1]monsters!$D355</f>
        <v>2</v>
      </c>
      <c r="CA355" s="5">
        <f t="shared" si="234"/>
        <v>0.1</v>
      </c>
      <c r="CB355" s="5">
        <f t="shared" si="235"/>
        <v>352.68810774410775</v>
      </c>
      <c r="CC355" s="5">
        <f t="shared" si="236"/>
        <v>35.268810774410774</v>
      </c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>
        <v>0</v>
      </c>
      <c r="CR355" s="3" t="b">
        <f t="shared" si="208"/>
        <v>1</v>
      </c>
      <c r="CS355" s="3" t="b">
        <f t="shared" si="209"/>
        <v>1</v>
      </c>
      <c r="CT355" s="3" t="b">
        <f t="shared" si="210"/>
        <v>1</v>
      </c>
      <c r="CU355" s="3" t="b">
        <f t="shared" si="211"/>
        <v>1</v>
      </c>
      <c r="CV355" s="3" t="b">
        <f t="shared" si="212"/>
        <v>1</v>
      </c>
      <c r="CW355" s="3" t="b">
        <f t="shared" si="213"/>
        <v>1</v>
      </c>
      <c r="CX355" s="9" t="str">
        <f t="shared" si="214"/>
        <v>5200102</v>
      </c>
      <c r="CY355" s="9" t="str">
        <f t="shared" si="215"/>
        <v>5200103</v>
      </c>
      <c r="CZ355" s="9" t="str">
        <f t="shared" si="216"/>
        <v>5200102</v>
      </c>
      <c r="DA355" s="9" t="str">
        <f t="shared" si="217"/>
        <v>5401101</v>
      </c>
      <c r="DB355" s="9" t="str">
        <f t="shared" si="218"/>
        <v>5401103</v>
      </c>
      <c r="DC355" s="9" t="str">
        <f t="shared" si="219"/>
        <v>5401102</v>
      </c>
      <c r="DD355" s="9">
        <v>10</v>
      </c>
      <c r="DE355" s="9">
        <v>10</v>
      </c>
      <c r="DF355" s="9">
        <v>10</v>
      </c>
      <c r="DG355" s="9">
        <v>10</v>
      </c>
      <c r="DH355" s="9">
        <v>10</v>
      </c>
      <c r="DI355" s="9">
        <v>10</v>
      </c>
      <c r="DJ355" s="9">
        <v>5</v>
      </c>
      <c r="DK355" s="9">
        <v>5</v>
      </c>
      <c r="DL355" s="9">
        <v>5</v>
      </c>
      <c r="DM355" s="9">
        <v>5</v>
      </c>
      <c r="DN355" s="9">
        <v>5</v>
      </c>
      <c r="DO355" s="9">
        <v>5</v>
      </c>
      <c r="DP355" s="25" t="s">
        <v>199</v>
      </c>
      <c r="DQ355" s="25" t="s">
        <v>113</v>
      </c>
      <c r="DR355" s="25" t="s">
        <v>199</v>
      </c>
      <c r="DS355" s="26" t="s">
        <v>117</v>
      </c>
      <c r="DT355" s="26" t="s">
        <v>211</v>
      </c>
      <c r="DU355" s="26" t="s">
        <v>202</v>
      </c>
      <c r="DV355" s="26">
        <f t="shared" si="220"/>
        <v>1</v>
      </c>
      <c r="DW355" s="26">
        <f t="shared" si="221"/>
        <v>1</v>
      </c>
      <c r="DX355" s="26">
        <f t="shared" si="222"/>
        <v>1</v>
      </c>
      <c r="DY355" s="26">
        <f t="shared" si="223"/>
        <v>2</v>
      </c>
      <c r="DZ355" s="26">
        <f t="shared" si="224"/>
        <v>2</v>
      </c>
      <c r="EA355" s="3">
        <f t="shared" si="225"/>
        <v>2</v>
      </c>
      <c r="EB355" s="44"/>
      <c r="EC355" s="9">
        <v>5202121</v>
      </c>
      <c r="ED355" s="34" t="s">
        <v>111</v>
      </c>
      <c r="EE355" s="8">
        <v>1</v>
      </c>
    </row>
    <row r="356" spans="1:135" ht="13.5" customHeight="1">
      <c r="A356" s="9">
        <v>353</v>
      </c>
      <c r="B356" s="9">
        <v>1</v>
      </c>
      <c r="C356" s="9">
        <v>2001</v>
      </c>
      <c r="D356" s="9">
        <f t="shared" si="240"/>
        <v>6116632</v>
      </c>
      <c r="E356" s="9" t="str">
        <f t="shared" si="237"/>
        <v>5202101,5202102,5301102,5502101,5500101,5502101</v>
      </c>
      <c r="F356" s="9" t="str">
        <f t="shared" si="238"/>
        <v>10,10,10,10,10,10</v>
      </c>
      <c r="G356" s="9" t="str">
        <f t="shared" si="239"/>
        <v>716,774,774,774,774,774</v>
      </c>
      <c r="H356" s="9">
        <v>181</v>
      </c>
      <c r="I356" s="9" t="s">
        <v>278</v>
      </c>
      <c r="J356" s="9" t="s">
        <v>279</v>
      </c>
      <c r="K356" s="9" t="s">
        <v>279</v>
      </c>
      <c r="L356" s="9" t="s">
        <v>279</v>
      </c>
      <c r="M356" s="36" t="s">
        <v>303</v>
      </c>
      <c r="N356" s="40"/>
      <c r="O356" s="3">
        <f t="shared" si="206"/>
        <v>6116632</v>
      </c>
      <c r="P356" s="9">
        <v>4835282.0999999996</v>
      </c>
      <c r="Q356" s="9">
        <v>5202101</v>
      </c>
      <c r="R356" s="9">
        <v>5202102</v>
      </c>
      <c r="S356" s="9">
        <v>5301102</v>
      </c>
      <c r="T356" s="9">
        <v>5502101</v>
      </c>
      <c r="U356" s="9">
        <v>5500101</v>
      </c>
      <c r="V356" s="9">
        <v>5502101</v>
      </c>
      <c r="W356" s="9">
        <v>10</v>
      </c>
      <c r="X356" s="9">
        <v>10</v>
      </c>
      <c r="Y356" s="9">
        <v>10</v>
      </c>
      <c r="Z356" s="9">
        <v>10</v>
      </c>
      <c r="AA356" s="9">
        <v>10</v>
      </c>
      <c r="AB356" s="9">
        <v>10</v>
      </c>
      <c r="AC356" s="9">
        <f t="shared" si="226"/>
        <v>716</v>
      </c>
      <c r="AD356" s="9">
        <f t="shared" si="227"/>
        <v>774</v>
      </c>
      <c r="AE356" s="9">
        <f t="shared" si="228"/>
        <v>774</v>
      </c>
      <c r="AF356" s="9">
        <f t="shared" si="229"/>
        <v>774</v>
      </c>
      <c r="AG356" s="9">
        <f t="shared" si="230"/>
        <v>774</v>
      </c>
      <c r="AH356" s="9">
        <f t="shared" si="231"/>
        <v>774</v>
      </c>
      <c r="AI356" s="7">
        <f t="shared" si="204"/>
        <v>805880.35</v>
      </c>
      <c r="AJ356" s="7">
        <f t="shared" si="205"/>
        <v>805880.35</v>
      </c>
      <c r="AK356" s="7">
        <f t="shared" si="205"/>
        <v>805880.35</v>
      </c>
      <c r="AL356" s="7">
        <f t="shared" si="205"/>
        <v>805880.35</v>
      </c>
      <c r="AM356" s="7">
        <f t="shared" si="205"/>
        <v>805880.35</v>
      </c>
      <c r="AN356" s="7">
        <f t="shared" si="205"/>
        <v>805880.35</v>
      </c>
      <c r="AO356" s="16"/>
      <c r="AP356" s="7"/>
      <c r="AQ356" s="9">
        <v>7</v>
      </c>
      <c r="AR356" s="9">
        <f t="shared" si="232"/>
        <v>873</v>
      </c>
      <c r="AS356" s="7">
        <f t="shared" si="241"/>
        <v>276</v>
      </c>
      <c r="AT356" s="7"/>
      <c r="AU356" s="16"/>
      <c r="AV356" s="7"/>
      <c r="AW356" s="7"/>
      <c r="AX356" s="7"/>
      <c r="AZ356" s="7"/>
      <c r="BA356" s="9">
        <f t="shared" si="242"/>
        <v>520119.59000000008</v>
      </c>
      <c r="BC356" s="5">
        <f t="shared" si="233"/>
        <v>669</v>
      </c>
      <c r="BR356" s="5">
        <v>5502095</v>
      </c>
      <c r="BS356" s="18">
        <f>[1]monsters!$N356</f>
        <v>172.8</v>
      </c>
      <c r="BT356" s="18">
        <f>[1]monsters!$O356</f>
        <v>17.28</v>
      </c>
      <c r="BU356" s="18">
        <f>[1]monsters!$P356</f>
        <v>3200</v>
      </c>
      <c r="BV356" s="18">
        <f>[1]monsters!$Q356</f>
        <v>320</v>
      </c>
      <c r="BW356" s="18">
        <f>[1]monsters!$R356</f>
        <v>34.56</v>
      </c>
      <c r="BX356" s="18">
        <f>[1]monsters!$S356</f>
        <v>3.46</v>
      </c>
      <c r="BY356" s="18">
        <f>[1]monsters!$K356</f>
        <v>1.2</v>
      </c>
      <c r="BZ356" s="5">
        <f>[1]monsters!$D356</f>
        <v>3</v>
      </c>
      <c r="CA356" s="5">
        <f t="shared" si="234"/>
        <v>0.1</v>
      </c>
      <c r="CB356" s="5">
        <f t="shared" si="235"/>
        <v>271.04010774410779</v>
      </c>
      <c r="CC356" s="5">
        <f t="shared" si="236"/>
        <v>27.104010774410781</v>
      </c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>
        <v>0</v>
      </c>
      <c r="CR356" s="3" t="b">
        <f t="shared" si="208"/>
        <v>1</v>
      </c>
      <c r="CS356" s="3" t="b">
        <f t="shared" si="209"/>
        <v>1</v>
      </c>
      <c r="CT356" s="3" t="b">
        <f t="shared" si="210"/>
        <v>1</v>
      </c>
      <c r="CU356" s="3" t="b">
        <f t="shared" si="211"/>
        <v>1</v>
      </c>
      <c r="CV356" s="3" t="b">
        <f t="shared" si="212"/>
        <v>1</v>
      </c>
      <c r="CW356" s="3" t="b">
        <f t="shared" si="213"/>
        <v>1</v>
      </c>
      <c r="CX356" s="9" t="str">
        <f t="shared" si="214"/>
        <v>5202101</v>
      </c>
      <c r="CY356" s="9" t="str">
        <f t="shared" si="215"/>
        <v>5202102</v>
      </c>
      <c r="CZ356" s="9" t="str">
        <f t="shared" si="216"/>
        <v>5301102</v>
      </c>
      <c r="DA356" s="9" t="str">
        <f t="shared" si="217"/>
        <v>5502101</v>
      </c>
      <c r="DB356" s="9" t="str">
        <f t="shared" si="218"/>
        <v>5500101</v>
      </c>
      <c r="DC356" s="9" t="str">
        <f t="shared" si="219"/>
        <v>5502101</v>
      </c>
      <c r="DD356" s="9">
        <v>10</v>
      </c>
      <c r="DE356" s="9">
        <v>10</v>
      </c>
      <c r="DF356" s="9">
        <v>10</v>
      </c>
      <c r="DG356" s="9">
        <v>10</v>
      </c>
      <c r="DH356" s="9">
        <v>10</v>
      </c>
      <c r="DI356" s="9">
        <v>10</v>
      </c>
      <c r="DJ356" s="9">
        <v>5</v>
      </c>
      <c r="DK356" s="9">
        <v>5</v>
      </c>
      <c r="DL356" s="9">
        <v>5</v>
      </c>
      <c r="DM356" s="9">
        <v>5</v>
      </c>
      <c r="DN356" s="9">
        <v>5</v>
      </c>
      <c r="DO356" s="9">
        <v>5</v>
      </c>
      <c r="DP356" s="25" t="s">
        <v>111</v>
      </c>
      <c r="DQ356" s="25" t="s">
        <v>200</v>
      </c>
      <c r="DR356" s="25" t="s">
        <v>201</v>
      </c>
      <c r="DS356" s="26" t="s">
        <v>119</v>
      </c>
      <c r="DT356" s="26" t="s">
        <v>197</v>
      </c>
      <c r="DU356" s="26" t="s">
        <v>119</v>
      </c>
      <c r="DV356" s="26">
        <f t="shared" si="220"/>
        <v>1</v>
      </c>
      <c r="DW356" s="26">
        <f t="shared" si="221"/>
        <v>1</v>
      </c>
      <c r="DX356" s="26">
        <f t="shared" si="222"/>
        <v>1</v>
      </c>
      <c r="DY356" s="26">
        <f t="shared" si="223"/>
        <v>2</v>
      </c>
      <c r="DZ356" s="26">
        <f t="shared" si="224"/>
        <v>2</v>
      </c>
      <c r="EA356" s="3">
        <f t="shared" si="225"/>
        <v>2</v>
      </c>
      <c r="EB356" s="44"/>
      <c r="EC356" s="9">
        <v>5301121</v>
      </c>
      <c r="ED356" s="34" t="s">
        <v>107</v>
      </c>
      <c r="EE356" s="8">
        <v>1</v>
      </c>
    </row>
    <row r="357" spans="1:135" ht="13.5" customHeight="1">
      <c r="A357" s="9">
        <v>354</v>
      </c>
      <c r="B357" s="9">
        <v>1</v>
      </c>
      <c r="C357" s="9">
        <v>2001</v>
      </c>
      <c r="D357" s="9">
        <f t="shared" si="240"/>
        <v>6182302</v>
      </c>
      <c r="E357" s="9" t="str">
        <f t="shared" si="237"/>
        <v>5201104,5202105,5201104,5501105,5502102,5502102</v>
      </c>
      <c r="F357" s="9" t="str">
        <f t="shared" si="238"/>
        <v>10,10,10,10,10,10</v>
      </c>
      <c r="G357" s="9" t="str">
        <f t="shared" si="239"/>
        <v>720,779,779,779,779,779</v>
      </c>
      <c r="H357" s="9">
        <v>181</v>
      </c>
      <c r="I357" s="9" t="s">
        <v>278</v>
      </c>
      <c r="J357" s="9" t="s">
        <v>279</v>
      </c>
      <c r="K357" s="9" t="s">
        <v>279</v>
      </c>
      <c r="L357" s="9" t="s">
        <v>279</v>
      </c>
      <c r="M357" s="36" t="s">
        <v>303</v>
      </c>
      <c r="N357" s="40"/>
      <c r="O357" s="3">
        <f t="shared" si="206"/>
        <v>6182302</v>
      </c>
      <c r="P357" s="9">
        <v>4887195.2300000004</v>
      </c>
      <c r="Q357" s="9">
        <v>5201104</v>
      </c>
      <c r="R357" s="9">
        <v>5202105</v>
      </c>
      <c r="S357" s="9">
        <v>5201104</v>
      </c>
      <c r="T357" s="9">
        <v>5501105</v>
      </c>
      <c r="U357" s="9">
        <v>5502102</v>
      </c>
      <c r="V357" s="9">
        <v>5502102</v>
      </c>
      <c r="W357" s="9">
        <v>10</v>
      </c>
      <c r="X357" s="9">
        <v>10</v>
      </c>
      <c r="Y357" s="9">
        <v>10</v>
      </c>
      <c r="Z357" s="9">
        <v>10</v>
      </c>
      <c r="AA357" s="9">
        <v>10</v>
      </c>
      <c r="AB357" s="9">
        <v>10</v>
      </c>
      <c r="AC357" s="9">
        <f t="shared" si="226"/>
        <v>720</v>
      </c>
      <c r="AD357" s="9">
        <f t="shared" si="227"/>
        <v>779</v>
      </c>
      <c r="AE357" s="9">
        <f t="shared" si="228"/>
        <v>779</v>
      </c>
      <c r="AF357" s="9">
        <f t="shared" si="229"/>
        <v>779</v>
      </c>
      <c r="AG357" s="9">
        <f t="shared" si="230"/>
        <v>779</v>
      </c>
      <c r="AH357" s="9">
        <f t="shared" si="231"/>
        <v>779</v>
      </c>
      <c r="AI357" s="7">
        <f t="shared" si="204"/>
        <v>814532.53833333345</v>
      </c>
      <c r="AJ357" s="7">
        <f t="shared" si="205"/>
        <v>814532.53833333345</v>
      </c>
      <c r="AK357" s="7">
        <f t="shared" si="205"/>
        <v>814532.53833333345</v>
      </c>
      <c r="AL357" s="7">
        <f t="shared" ref="AJ357:AN408" si="243">$P357/6</f>
        <v>814532.53833333345</v>
      </c>
      <c r="AM357" s="7">
        <f t="shared" si="243"/>
        <v>814532.53833333345</v>
      </c>
      <c r="AN357" s="7">
        <f t="shared" si="243"/>
        <v>814532.53833333345</v>
      </c>
      <c r="AO357" s="16"/>
      <c r="AP357" s="7"/>
      <c r="AQ357" s="9">
        <v>7</v>
      </c>
      <c r="AR357" s="9">
        <f t="shared" si="232"/>
        <v>878</v>
      </c>
      <c r="AS357" s="7">
        <f t="shared" si="241"/>
        <v>277</v>
      </c>
      <c r="AT357" s="7"/>
      <c r="AU357" s="16"/>
      <c r="AV357" s="7"/>
      <c r="AW357" s="7"/>
      <c r="AX357" s="7"/>
      <c r="AZ357" s="7"/>
      <c r="BA357" s="9">
        <f t="shared" si="242"/>
        <v>525012.12000000011</v>
      </c>
      <c r="BC357" s="5">
        <f t="shared" si="233"/>
        <v>673</v>
      </c>
      <c r="BR357" s="5">
        <v>5600095</v>
      </c>
      <c r="BS357" s="18">
        <f>[1]monsters!$N357</f>
        <v>307.2</v>
      </c>
      <c r="BT357" s="18">
        <f>[1]monsters!$O357</f>
        <v>30.72</v>
      </c>
      <c r="BU357" s="18">
        <f>[1]monsters!$P357</f>
        <v>2400</v>
      </c>
      <c r="BV357" s="18">
        <f>[1]monsters!$Q357</f>
        <v>240</v>
      </c>
      <c r="BW357" s="18">
        <f>[1]monsters!$R357</f>
        <v>43.89</v>
      </c>
      <c r="BX357" s="18">
        <f>[1]monsters!$S357</f>
        <v>4.3899999999999997</v>
      </c>
      <c r="BY357" s="18">
        <f>[1]monsters!$K357</f>
        <v>1.6</v>
      </c>
      <c r="BZ357" s="5">
        <f>[1]monsters!$D357</f>
        <v>4</v>
      </c>
      <c r="CA357" s="5">
        <f t="shared" si="234"/>
        <v>0.1</v>
      </c>
      <c r="CB357" s="5">
        <f t="shared" si="235"/>
        <v>371.11208080808086</v>
      </c>
      <c r="CC357" s="5">
        <f t="shared" si="236"/>
        <v>37.11120808080809</v>
      </c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>
        <v>0</v>
      </c>
      <c r="CR357" s="3" t="b">
        <f t="shared" si="208"/>
        <v>1</v>
      </c>
      <c r="CS357" s="3" t="b">
        <f t="shared" si="209"/>
        <v>1</v>
      </c>
      <c r="CT357" s="3" t="b">
        <f t="shared" si="210"/>
        <v>1</v>
      </c>
      <c r="CU357" s="3" t="b">
        <f t="shared" si="211"/>
        <v>1</v>
      </c>
      <c r="CV357" s="3" t="b">
        <f t="shared" si="212"/>
        <v>1</v>
      </c>
      <c r="CW357" s="3" t="b">
        <f t="shared" si="213"/>
        <v>1</v>
      </c>
      <c r="CX357" s="9" t="str">
        <f t="shared" si="214"/>
        <v>5201104</v>
      </c>
      <c r="CY357" s="9" t="str">
        <f t="shared" si="215"/>
        <v>5202105</v>
      </c>
      <c r="CZ357" s="9" t="str">
        <f t="shared" si="216"/>
        <v>5201104</v>
      </c>
      <c r="DA357" s="9" t="str">
        <f t="shared" si="217"/>
        <v>5501105</v>
      </c>
      <c r="DB357" s="9" t="str">
        <f t="shared" si="218"/>
        <v>5502102</v>
      </c>
      <c r="DC357" s="9" t="str">
        <f t="shared" si="219"/>
        <v>5502102</v>
      </c>
      <c r="DD357" s="9">
        <v>10</v>
      </c>
      <c r="DE357" s="9">
        <v>10</v>
      </c>
      <c r="DF357" s="9">
        <v>10</v>
      </c>
      <c r="DG357" s="9">
        <v>10</v>
      </c>
      <c r="DH357" s="9">
        <v>10</v>
      </c>
      <c r="DI357" s="9">
        <v>10</v>
      </c>
      <c r="DJ357" s="9">
        <v>5</v>
      </c>
      <c r="DK357" s="9">
        <v>5</v>
      </c>
      <c r="DL357" s="9">
        <v>5</v>
      </c>
      <c r="DM357" s="9">
        <v>5</v>
      </c>
      <c r="DN357" s="9">
        <v>5</v>
      </c>
      <c r="DO357" s="9">
        <v>5</v>
      </c>
      <c r="DP357" s="27" t="s">
        <v>217</v>
      </c>
      <c r="DQ357" s="27" t="s">
        <v>213</v>
      </c>
      <c r="DR357" s="27" t="s">
        <v>217</v>
      </c>
      <c r="DS357" s="25" t="s">
        <v>209</v>
      </c>
      <c r="DT357" s="28" t="s">
        <v>204</v>
      </c>
      <c r="DU357" s="28" t="s">
        <v>204</v>
      </c>
      <c r="DV357" s="28">
        <f t="shared" si="220"/>
        <v>1</v>
      </c>
      <c r="DW357" s="28">
        <f t="shared" si="221"/>
        <v>1</v>
      </c>
      <c r="DX357" s="28">
        <f t="shared" si="222"/>
        <v>1</v>
      </c>
      <c r="DY357" s="28">
        <f t="shared" si="223"/>
        <v>2</v>
      </c>
      <c r="DZ357" s="28">
        <f t="shared" si="224"/>
        <v>2</v>
      </c>
      <c r="EA357" s="3">
        <f t="shared" si="225"/>
        <v>2</v>
      </c>
      <c r="EB357" s="44"/>
      <c r="EC357" s="9">
        <v>5401121</v>
      </c>
      <c r="ED357" s="34" t="s">
        <v>117</v>
      </c>
      <c r="EE357" s="8">
        <v>2</v>
      </c>
    </row>
    <row r="358" spans="1:135" ht="13.5" customHeight="1">
      <c r="A358" s="9">
        <v>355</v>
      </c>
      <c r="B358" s="9">
        <v>1</v>
      </c>
      <c r="C358" s="9">
        <v>2001</v>
      </c>
      <c r="D358" s="9">
        <f t="shared" si="240"/>
        <v>6248360</v>
      </c>
      <c r="E358" s="9" t="str">
        <f t="shared" si="237"/>
        <v>5201102,5201102,5200102,5402102,5601102,5500102</v>
      </c>
      <c r="F358" s="9" t="str">
        <f t="shared" si="238"/>
        <v>10,10,10,10,10,10</v>
      </c>
      <c r="G358" s="9" t="str">
        <f t="shared" si="239"/>
        <v>724,783,783,783,783,783</v>
      </c>
      <c r="H358" s="9">
        <v>182</v>
      </c>
      <c r="I358" s="9" t="s">
        <v>278</v>
      </c>
      <c r="J358" s="9" t="s">
        <v>279</v>
      </c>
      <c r="K358" s="9" t="s">
        <v>279</v>
      </c>
      <c r="L358" s="9" t="s">
        <v>279</v>
      </c>
      <c r="M358" s="36" t="s">
        <v>303</v>
      </c>
      <c r="O358" s="3">
        <f t="shared" si="206"/>
        <v>6248360</v>
      </c>
      <c r="P358" s="9">
        <v>4939414.82</v>
      </c>
      <c r="Q358" s="9">
        <v>5201102</v>
      </c>
      <c r="R358" s="9">
        <v>5201102</v>
      </c>
      <c r="S358" s="9">
        <v>5200102</v>
      </c>
      <c r="T358" s="9">
        <v>5402102</v>
      </c>
      <c r="U358" s="9">
        <v>5601102</v>
      </c>
      <c r="V358" s="9">
        <v>5500102</v>
      </c>
      <c r="W358" s="9">
        <v>10</v>
      </c>
      <c r="X358" s="9">
        <v>10</v>
      </c>
      <c r="Y358" s="9">
        <v>10</v>
      </c>
      <c r="Z358" s="9">
        <v>10</v>
      </c>
      <c r="AA358" s="9">
        <v>10</v>
      </c>
      <c r="AB358" s="9">
        <v>10</v>
      </c>
      <c r="AC358" s="9">
        <f t="shared" si="226"/>
        <v>724</v>
      </c>
      <c r="AD358" s="9">
        <f t="shared" si="227"/>
        <v>783</v>
      </c>
      <c r="AE358" s="9">
        <f t="shared" si="228"/>
        <v>783</v>
      </c>
      <c r="AF358" s="9">
        <f t="shared" si="229"/>
        <v>783</v>
      </c>
      <c r="AG358" s="9">
        <f t="shared" si="230"/>
        <v>783</v>
      </c>
      <c r="AH358" s="9">
        <f t="shared" si="231"/>
        <v>783</v>
      </c>
      <c r="AI358" s="7">
        <f t="shared" si="204"/>
        <v>823235.80333333334</v>
      </c>
      <c r="AJ358" s="7">
        <f t="shared" si="243"/>
        <v>823235.80333333334</v>
      </c>
      <c r="AK358" s="7">
        <f t="shared" si="243"/>
        <v>823235.80333333334</v>
      </c>
      <c r="AL358" s="7">
        <f t="shared" si="243"/>
        <v>823235.80333333334</v>
      </c>
      <c r="AM358" s="7">
        <f t="shared" si="243"/>
        <v>823235.80333333334</v>
      </c>
      <c r="AN358" s="7">
        <f t="shared" si="243"/>
        <v>823235.80333333334</v>
      </c>
      <c r="AO358" s="16"/>
      <c r="AP358" s="7"/>
      <c r="AQ358" s="9">
        <v>7</v>
      </c>
      <c r="AR358" s="9">
        <f t="shared" si="232"/>
        <v>883</v>
      </c>
      <c r="AS358" s="7">
        <f t="shared" si="241"/>
        <v>277</v>
      </c>
      <c r="AT358" s="7"/>
      <c r="AU358" s="16"/>
      <c r="AV358" s="7"/>
      <c r="AW358" s="7"/>
      <c r="AX358" s="7"/>
      <c r="AZ358" s="7"/>
      <c r="BA358" s="9">
        <f t="shared" si="242"/>
        <v>529904.65000000014</v>
      </c>
      <c r="BC358" s="5">
        <f t="shared" si="233"/>
        <v>676</v>
      </c>
      <c r="BR358" s="5">
        <v>5602095</v>
      </c>
      <c r="BS358" s="18">
        <f>[1]monsters!$N358</f>
        <v>288</v>
      </c>
      <c r="BT358" s="18">
        <f>[1]monsters!$O358</f>
        <v>28.8</v>
      </c>
      <c r="BU358" s="18">
        <f>[1]monsters!$P358</f>
        <v>2400</v>
      </c>
      <c r="BV358" s="18">
        <f>[1]monsters!$Q358</f>
        <v>240</v>
      </c>
      <c r="BW358" s="18">
        <f>[1]monsters!$R358</f>
        <v>41.14</v>
      </c>
      <c r="BX358" s="18">
        <f>[1]monsters!$S358</f>
        <v>4.1100000000000003</v>
      </c>
      <c r="BY358" s="18">
        <f>[1]monsters!$K358</f>
        <v>1.5</v>
      </c>
      <c r="BZ358" s="5">
        <f>[1]monsters!$D358</f>
        <v>4</v>
      </c>
      <c r="CA358" s="5">
        <f t="shared" si="234"/>
        <v>0.1</v>
      </c>
      <c r="CB358" s="5">
        <f t="shared" si="235"/>
        <v>352.96808080808086</v>
      </c>
      <c r="CC358" s="5">
        <f t="shared" si="236"/>
        <v>35.296808080808084</v>
      </c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>
        <v>1</v>
      </c>
      <c r="CR358" s="3" t="b">
        <f t="shared" si="208"/>
        <v>1</v>
      </c>
      <c r="CS358" s="3" t="b">
        <f t="shared" si="209"/>
        <v>1</v>
      </c>
      <c r="CT358" s="3" t="b">
        <f t="shared" si="210"/>
        <v>1</v>
      </c>
      <c r="CU358" s="3" t="b">
        <f t="shared" si="211"/>
        <v>1</v>
      </c>
      <c r="CV358" s="3" t="b">
        <f t="shared" si="212"/>
        <v>1</v>
      </c>
      <c r="CW358" s="3" t="b">
        <f t="shared" si="213"/>
        <v>1</v>
      </c>
      <c r="CX358" s="9" t="str">
        <f t="shared" si="214"/>
        <v>5201102</v>
      </c>
      <c r="CY358" s="9" t="str">
        <f t="shared" si="215"/>
        <v>5201102</v>
      </c>
      <c r="CZ358" s="9" t="str">
        <f t="shared" si="216"/>
        <v>5200102</v>
      </c>
      <c r="DA358" s="9" t="str">
        <f t="shared" si="217"/>
        <v>5402102</v>
      </c>
      <c r="DB358" s="9" t="str">
        <f t="shared" si="218"/>
        <v>5601102</v>
      </c>
      <c r="DC358" s="9" t="str">
        <f t="shared" si="219"/>
        <v>5500102</v>
      </c>
      <c r="DD358" s="9">
        <v>10</v>
      </c>
      <c r="DE358" s="9">
        <v>10</v>
      </c>
      <c r="DF358" s="9">
        <v>10</v>
      </c>
      <c r="DG358" s="9">
        <v>10</v>
      </c>
      <c r="DH358" s="9">
        <v>10</v>
      </c>
      <c r="DI358" s="9">
        <v>10</v>
      </c>
      <c r="DJ358" s="9">
        <v>5</v>
      </c>
      <c r="DK358" s="9">
        <v>5</v>
      </c>
      <c r="DL358" s="9">
        <v>5</v>
      </c>
      <c r="DM358" s="9">
        <v>5</v>
      </c>
      <c r="DN358" s="9">
        <v>5</v>
      </c>
      <c r="DO358" s="9">
        <v>5</v>
      </c>
      <c r="DP358" s="25" t="s">
        <v>114</v>
      </c>
      <c r="DQ358" s="25" t="s">
        <v>114</v>
      </c>
      <c r="DR358" s="26" t="s">
        <v>199</v>
      </c>
      <c r="DS358" s="26" t="s">
        <v>203</v>
      </c>
      <c r="DT358" s="25" t="s">
        <v>124</v>
      </c>
      <c r="DU358" s="25" t="s">
        <v>109</v>
      </c>
      <c r="DV358" s="25">
        <f t="shared" si="220"/>
        <v>1</v>
      </c>
      <c r="DW358" s="25">
        <f t="shared" si="221"/>
        <v>1</v>
      </c>
      <c r="DX358" s="25">
        <f t="shared" si="222"/>
        <v>1</v>
      </c>
      <c r="DY358" s="25">
        <f t="shared" si="223"/>
        <v>2</v>
      </c>
      <c r="DZ358" s="25">
        <f t="shared" si="224"/>
        <v>2</v>
      </c>
      <c r="EA358" s="3">
        <f t="shared" si="225"/>
        <v>2</v>
      </c>
      <c r="EB358" s="44"/>
      <c r="EC358" s="9">
        <v>5402121</v>
      </c>
      <c r="ED358" s="34" t="s">
        <v>196</v>
      </c>
      <c r="EE358" s="8">
        <v>2</v>
      </c>
    </row>
    <row r="359" spans="1:135" ht="13.5" customHeight="1">
      <c r="A359" s="9">
        <v>356</v>
      </c>
      <c r="B359" s="9">
        <v>1</v>
      </c>
      <c r="C359" s="9">
        <v>2001</v>
      </c>
      <c r="D359" s="9">
        <f t="shared" si="240"/>
        <v>6273057</v>
      </c>
      <c r="E359" s="9" t="str">
        <f t="shared" si="237"/>
        <v>5200102,5200103,5200102,5502102,5500102,5502103</v>
      </c>
      <c r="F359" s="9" t="str">
        <f t="shared" si="238"/>
        <v>10,10,10,10,10,10</v>
      </c>
      <c r="G359" s="9" t="str">
        <f t="shared" si="239"/>
        <v>725,784,784,784,784,784</v>
      </c>
      <c r="H359" s="9">
        <v>182</v>
      </c>
      <c r="I359" s="9" t="s">
        <v>278</v>
      </c>
      <c r="J359" s="9" t="s">
        <v>279</v>
      </c>
      <c r="K359" s="9" t="s">
        <v>279</v>
      </c>
      <c r="L359" s="9" t="s">
        <v>279</v>
      </c>
      <c r="M359" s="36" t="s">
        <v>303</v>
      </c>
      <c r="N359" s="40"/>
      <c r="O359" s="3">
        <f t="shared" si="206"/>
        <v>6273057</v>
      </c>
      <c r="P359" s="9">
        <v>4958938.71</v>
      </c>
      <c r="Q359" s="9">
        <v>5200102</v>
      </c>
      <c r="R359" s="9">
        <v>5200103</v>
      </c>
      <c r="S359" s="9">
        <v>5200102</v>
      </c>
      <c r="T359" s="9">
        <v>5502102</v>
      </c>
      <c r="U359" s="9">
        <v>5500102</v>
      </c>
      <c r="V359" s="9">
        <v>5502103</v>
      </c>
      <c r="W359" s="9">
        <v>10</v>
      </c>
      <c r="X359" s="9">
        <v>10</v>
      </c>
      <c r="Y359" s="9">
        <v>10</v>
      </c>
      <c r="Z359" s="9">
        <v>10</v>
      </c>
      <c r="AA359" s="9">
        <v>10</v>
      </c>
      <c r="AB359" s="9">
        <v>10</v>
      </c>
      <c r="AC359" s="9">
        <f t="shared" si="226"/>
        <v>725</v>
      </c>
      <c r="AD359" s="9">
        <f t="shared" si="227"/>
        <v>784</v>
      </c>
      <c r="AE359" s="9">
        <f t="shared" si="228"/>
        <v>784</v>
      </c>
      <c r="AF359" s="9">
        <f t="shared" si="229"/>
        <v>784</v>
      </c>
      <c r="AG359" s="9">
        <f t="shared" si="230"/>
        <v>784</v>
      </c>
      <c r="AH359" s="9">
        <f t="shared" si="231"/>
        <v>784</v>
      </c>
      <c r="AI359" s="7">
        <f t="shared" ref="AI359:AI422" si="244">$P359/6</f>
        <v>826489.78500000003</v>
      </c>
      <c r="AJ359" s="7">
        <f t="shared" si="243"/>
        <v>826489.78500000003</v>
      </c>
      <c r="AK359" s="7">
        <f t="shared" si="243"/>
        <v>826489.78500000003</v>
      </c>
      <c r="AL359" s="7">
        <f t="shared" si="243"/>
        <v>826489.78500000003</v>
      </c>
      <c r="AM359" s="7">
        <f t="shared" si="243"/>
        <v>826489.78500000003</v>
      </c>
      <c r="AN359" s="7">
        <f t="shared" si="243"/>
        <v>826489.78500000003</v>
      </c>
      <c r="AO359" s="16"/>
      <c r="AP359" s="7"/>
      <c r="AQ359" s="9">
        <v>7</v>
      </c>
      <c r="AR359" s="9">
        <f t="shared" si="232"/>
        <v>884</v>
      </c>
      <c r="AS359" s="7">
        <f t="shared" si="241"/>
        <v>278</v>
      </c>
      <c r="AT359" s="7"/>
      <c r="AU359" s="16"/>
      <c r="AV359" s="7"/>
      <c r="AW359" s="7"/>
      <c r="AX359" s="7"/>
      <c r="AZ359" s="7"/>
      <c r="BA359" s="9">
        <f t="shared" si="242"/>
        <v>534797.18000000017</v>
      </c>
      <c r="BC359" s="5">
        <f t="shared" si="233"/>
        <v>678</v>
      </c>
      <c r="BR359" s="5">
        <v>1206011</v>
      </c>
      <c r="BS359" s="18">
        <f>[1]monsters!$N359</f>
        <v>336</v>
      </c>
      <c r="BT359" s="18">
        <f>[1]monsters!$O359</f>
        <v>33.6</v>
      </c>
      <c r="BU359" s="18">
        <f>[1]monsters!$P359</f>
        <v>2057.14</v>
      </c>
      <c r="BV359" s="18">
        <f>[1]monsters!$Q359</f>
        <v>205.71</v>
      </c>
      <c r="BW359" s="18">
        <f>[1]monsters!$R359</f>
        <v>42</v>
      </c>
      <c r="BX359" s="18">
        <f>[1]monsters!$S359</f>
        <v>4.2</v>
      </c>
      <c r="BY359" s="18">
        <f>[1]monsters!$K359</f>
        <v>1.5</v>
      </c>
      <c r="BZ359" s="5">
        <f>[1]monsters!$D359</f>
        <v>5</v>
      </c>
      <c r="CA359" s="5">
        <f t="shared" si="234"/>
        <v>0.1</v>
      </c>
      <c r="CB359" s="5">
        <f t="shared" si="235"/>
        <v>386.78397306397312</v>
      </c>
      <c r="CC359" s="5">
        <f t="shared" si="236"/>
        <v>38.678397306397315</v>
      </c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>
        <v>0</v>
      </c>
      <c r="CR359" s="3" t="b">
        <f t="shared" si="208"/>
        <v>1</v>
      </c>
      <c r="CS359" s="3" t="b">
        <f t="shared" si="209"/>
        <v>1</v>
      </c>
      <c r="CT359" s="3" t="b">
        <f t="shared" si="210"/>
        <v>1</v>
      </c>
      <c r="CU359" s="3" t="b">
        <f t="shared" si="211"/>
        <v>1</v>
      </c>
      <c r="CV359" s="3" t="b">
        <f t="shared" si="212"/>
        <v>1</v>
      </c>
      <c r="CW359" s="3" t="b">
        <f t="shared" si="213"/>
        <v>1</v>
      </c>
      <c r="CX359" s="9" t="str">
        <f t="shared" si="214"/>
        <v>5200102</v>
      </c>
      <c r="CY359" s="9" t="str">
        <f t="shared" si="215"/>
        <v>5200103</v>
      </c>
      <c r="CZ359" s="9" t="str">
        <f t="shared" si="216"/>
        <v>5200102</v>
      </c>
      <c r="DA359" s="9" t="str">
        <f t="shared" si="217"/>
        <v>5502102</v>
      </c>
      <c r="DB359" s="9" t="str">
        <f t="shared" si="218"/>
        <v>5500102</v>
      </c>
      <c r="DC359" s="9" t="str">
        <f t="shared" si="219"/>
        <v>5502103</v>
      </c>
      <c r="DD359" s="9">
        <v>10</v>
      </c>
      <c r="DE359" s="9">
        <v>10</v>
      </c>
      <c r="DF359" s="9">
        <v>10</v>
      </c>
      <c r="DG359" s="9">
        <v>10</v>
      </c>
      <c r="DH359" s="9">
        <v>10</v>
      </c>
      <c r="DI359" s="9">
        <v>10</v>
      </c>
      <c r="DJ359" s="9">
        <v>5</v>
      </c>
      <c r="DK359" s="9">
        <v>5</v>
      </c>
      <c r="DL359" s="9">
        <v>5</v>
      </c>
      <c r="DM359" s="9">
        <v>5</v>
      </c>
      <c r="DN359" s="9">
        <v>5</v>
      </c>
      <c r="DO359" s="9">
        <v>5</v>
      </c>
      <c r="DP359" s="25" t="s">
        <v>199</v>
      </c>
      <c r="DQ359" s="25" t="s">
        <v>113</v>
      </c>
      <c r="DR359" s="25" t="s">
        <v>199</v>
      </c>
      <c r="DS359" s="28" t="s">
        <v>204</v>
      </c>
      <c r="DT359" s="28" t="s">
        <v>109</v>
      </c>
      <c r="DU359" s="28" t="s">
        <v>215</v>
      </c>
      <c r="DV359" s="28">
        <f t="shared" si="220"/>
        <v>1</v>
      </c>
      <c r="DW359" s="28">
        <f t="shared" si="221"/>
        <v>1</v>
      </c>
      <c r="DX359" s="28">
        <f t="shared" si="222"/>
        <v>1</v>
      </c>
      <c r="DY359" s="28">
        <f t="shared" si="223"/>
        <v>2</v>
      </c>
      <c r="DZ359" s="28">
        <f t="shared" si="224"/>
        <v>2</v>
      </c>
      <c r="EA359" s="3">
        <f t="shared" si="225"/>
        <v>2</v>
      </c>
      <c r="EB359" s="45"/>
      <c r="EC359" s="9">
        <v>5500121</v>
      </c>
      <c r="ED359" s="34" t="s">
        <v>197</v>
      </c>
      <c r="EE359" s="8">
        <v>2</v>
      </c>
    </row>
    <row r="360" spans="1:135" ht="13.5" customHeight="1">
      <c r="A360" s="9">
        <v>357</v>
      </c>
      <c r="B360" s="9">
        <v>1</v>
      </c>
      <c r="C360" s="9">
        <v>2001</v>
      </c>
      <c r="D360" s="9">
        <f t="shared" si="240"/>
        <v>6297801</v>
      </c>
      <c r="E360" s="9" t="str">
        <f t="shared" si="237"/>
        <v>5202103,5202102,5202103,5401103,5501105,5400105</v>
      </c>
      <c r="F360" s="9" t="str">
        <f t="shared" si="238"/>
        <v>10,10,10,10,10,10</v>
      </c>
      <c r="G360" s="9" t="str">
        <f t="shared" si="239"/>
        <v>727,786,786,786,786,786</v>
      </c>
      <c r="H360" s="9">
        <v>182</v>
      </c>
      <c r="I360" s="9" t="s">
        <v>278</v>
      </c>
      <c r="J360" s="9" t="s">
        <v>279</v>
      </c>
      <c r="K360" s="9" t="s">
        <v>279</v>
      </c>
      <c r="L360" s="9" t="s">
        <v>279</v>
      </c>
      <c r="M360" s="36" t="s">
        <v>303</v>
      </c>
      <c r="N360" s="40"/>
      <c r="O360" s="3">
        <f t="shared" si="206"/>
        <v>6297801</v>
      </c>
      <c r="P360" s="9">
        <v>4978498.42</v>
      </c>
      <c r="Q360" s="9">
        <v>5202103</v>
      </c>
      <c r="R360" s="9">
        <v>5202102</v>
      </c>
      <c r="S360" s="9">
        <v>5202103</v>
      </c>
      <c r="T360" s="9">
        <v>5401103</v>
      </c>
      <c r="U360" s="9">
        <v>5501105</v>
      </c>
      <c r="V360" s="9">
        <v>5400105</v>
      </c>
      <c r="W360" s="9">
        <v>10</v>
      </c>
      <c r="X360" s="9">
        <v>10</v>
      </c>
      <c r="Y360" s="9">
        <v>10</v>
      </c>
      <c r="Z360" s="9">
        <v>10</v>
      </c>
      <c r="AA360" s="9">
        <v>10</v>
      </c>
      <c r="AB360" s="9">
        <v>10</v>
      </c>
      <c r="AC360" s="9">
        <f t="shared" si="226"/>
        <v>727</v>
      </c>
      <c r="AD360" s="9">
        <f t="shared" si="227"/>
        <v>786</v>
      </c>
      <c r="AE360" s="9">
        <f t="shared" si="228"/>
        <v>786</v>
      </c>
      <c r="AF360" s="9">
        <f t="shared" si="229"/>
        <v>786</v>
      </c>
      <c r="AG360" s="9">
        <f t="shared" si="230"/>
        <v>786</v>
      </c>
      <c r="AH360" s="9">
        <f t="shared" si="231"/>
        <v>786</v>
      </c>
      <c r="AI360" s="7">
        <f t="shared" si="244"/>
        <v>829749.73666666669</v>
      </c>
      <c r="AJ360" s="7">
        <f t="shared" si="243"/>
        <v>829749.73666666669</v>
      </c>
      <c r="AK360" s="7">
        <f t="shared" si="243"/>
        <v>829749.73666666669</v>
      </c>
      <c r="AL360" s="7">
        <f t="shared" si="243"/>
        <v>829749.73666666669</v>
      </c>
      <c r="AM360" s="7">
        <f t="shared" si="243"/>
        <v>829749.73666666669</v>
      </c>
      <c r="AN360" s="7">
        <f t="shared" si="243"/>
        <v>829749.73666666669</v>
      </c>
      <c r="AO360" s="16"/>
      <c r="AP360" s="7"/>
      <c r="AQ360" s="9">
        <v>7</v>
      </c>
      <c r="AR360" s="9">
        <f t="shared" si="232"/>
        <v>886</v>
      </c>
      <c r="AS360" s="7">
        <f t="shared" si="241"/>
        <v>278</v>
      </c>
      <c r="AT360" s="7"/>
      <c r="AU360" s="16"/>
      <c r="AV360" s="7"/>
      <c r="AW360" s="7"/>
      <c r="AX360" s="7"/>
      <c r="AZ360" s="7"/>
      <c r="BA360" s="9">
        <f t="shared" si="242"/>
        <v>539689.7100000002</v>
      </c>
      <c r="BC360" s="5">
        <f t="shared" si="233"/>
        <v>679</v>
      </c>
      <c r="BR360" s="5">
        <v>1406011</v>
      </c>
      <c r="BS360" s="18">
        <f>[1]monsters!$N360</f>
        <v>313.60000000000002</v>
      </c>
      <c r="BT360" s="18">
        <f>[1]monsters!$O360</f>
        <v>31.36</v>
      </c>
      <c r="BU360" s="18">
        <f>[1]monsters!$P360</f>
        <v>2057.14</v>
      </c>
      <c r="BV360" s="18">
        <f>[1]monsters!$Q360</f>
        <v>205.71</v>
      </c>
      <c r="BW360" s="18">
        <f>[1]monsters!$R360</f>
        <v>39.200000000000003</v>
      </c>
      <c r="BX360" s="18">
        <f>[1]monsters!$S360</f>
        <v>3.92</v>
      </c>
      <c r="BY360" s="18">
        <f>[1]monsters!$K360</f>
        <v>1.4</v>
      </c>
      <c r="BZ360" s="5">
        <f>[1]monsters!$D360</f>
        <v>5</v>
      </c>
      <c r="CA360" s="5">
        <f t="shared" si="234"/>
        <v>0.1</v>
      </c>
      <c r="CB360" s="5">
        <f t="shared" si="235"/>
        <v>365.61597306397312</v>
      </c>
      <c r="CC360" s="5">
        <f t="shared" si="236"/>
        <v>36.56159730639731</v>
      </c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>
        <v>0</v>
      </c>
      <c r="CR360" s="3" t="b">
        <f t="shared" si="208"/>
        <v>1</v>
      </c>
      <c r="CS360" s="3" t="b">
        <f t="shared" si="209"/>
        <v>1</v>
      </c>
      <c r="CT360" s="3" t="b">
        <f t="shared" si="210"/>
        <v>1</v>
      </c>
      <c r="CU360" s="3" t="b">
        <f t="shared" si="211"/>
        <v>1</v>
      </c>
      <c r="CV360" s="3" t="b">
        <f t="shared" si="212"/>
        <v>1</v>
      </c>
      <c r="CW360" s="3" t="b">
        <f t="shared" si="213"/>
        <v>1</v>
      </c>
      <c r="CX360" s="9" t="str">
        <f t="shared" si="214"/>
        <v>5202103</v>
      </c>
      <c r="CY360" s="9" t="str">
        <f t="shared" si="215"/>
        <v>5202102</v>
      </c>
      <c r="CZ360" s="9" t="str">
        <f t="shared" si="216"/>
        <v>5202103</v>
      </c>
      <c r="DA360" s="9" t="str">
        <f t="shared" si="217"/>
        <v>5401103</v>
      </c>
      <c r="DB360" s="9" t="str">
        <f t="shared" si="218"/>
        <v>5501105</v>
      </c>
      <c r="DC360" s="9" t="str">
        <f t="shared" si="219"/>
        <v>5400105</v>
      </c>
      <c r="DD360" s="9">
        <v>10</v>
      </c>
      <c r="DE360" s="9">
        <v>10</v>
      </c>
      <c r="DF360" s="9">
        <v>10</v>
      </c>
      <c r="DG360" s="9">
        <v>10</v>
      </c>
      <c r="DH360" s="9">
        <v>10</v>
      </c>
      <c r="DI360" s="9">
        <v>10</v>
      </c>
      <c r="DJ360" s="9">
        <v>5</v>
      </c>
      <c r="DK360" s="9">
        <v>5</v>
      </c>
      <c r="DL360" s="9">
        <v>5</v>
      </c>
      <c r="DM360" s="9">
        <v>5</v>
      </c>
      <c r="DN360" s="9">
        <v>5</v>
      </c>
      <c r="DO360" s="9">
        <v>5</v>
      </c>
      <c r="DP360" s="25" t="s">
        <v>208</v>
      </c>
      <c r="DQ360" s="25" t="s">
        <v>200</v>
      </c>
      <c r="DR360" s="26" t="s">
        <v>208</v>
      </c>
      <c r="DS360" s="26" t="s">
        <v>211</v>
      </c>
      <c r="DT360" s="25" t="s">
        <v>209</v>
      </c>
      <c r="DU360" s="25" t="s">
        <v>210</v>
      </c>
      <c r="DV360" s="25">
        <f t="shared" si="220"/>
        <v>1</v>
      </c>
      <c r="DW360" s="25">
        <f t="shared" si="221"/>
        <v>1</v>
      </c>
      <c r="DX360" s="25">
        <f t="shared" si="222"/>
        <v>1</v>
      </c>
      <c r="DY360" s="25">
        <f t="shared" si="223"/>
        <v>2</v>
      </c>
      <c r="DZ360" s="25">
        <f t="shared" si="224"/>
        <v>2</v>
      </c>
      <c r="EA360" s="3">
        <f t="shared" si="225"/>
        <v>2</v>
      </c>
      <c r="EB360" s="45"/>
      <c r="EC360" s="9">
        <v>5502121</v>
      </c>
      <c r="ED360" s="34" t="s">
        <v>119</v>
      </c>
      <c r="EE360" s="8">
        <v>2</v>
      </c>
    </row>
    <row r="361" spans="1:135" ht="13.5" customHeight="1">
      <c r="A361" s="9">
        <v>358</v>
      </c>
      <c r="B361" s="9">
        <v>1</v>
      </c>
      <c r="C361" s="9">
        <v>2001</v>
      </c>
      <c r="D361" s="9">
        <f t="shared" si="240"/>
        <v>6322594</v>
      </c>
      <c r="E361" s="9" t="str">
        <f t="shared" si="237"/>
        <v>5201101,5201102,5201104,5501104,5500103,5602104</v>
      </c>
      <c r="F361" s="9" t="str">
        <f t="shared" si="238"/>
        <v>10,10,10,10,10,10</v>
      </c>
      <c r="G361" s="9" t="str">
        <f t="shared" si="239"/>
        <v>728,787,787,787,787,787</v>
      </c>
      <c r="H361" s="9">
        <v>183</v>
      </c>
      <c r="I361" s="9" t="s">
        <v>278</v>
      </c>
      <c r="J361" s="9" t="s">
        <v>279</v>
      </c>
      <c r="K361" s="9" t="s">
        <v>279</v>
      </c>
      <c r="L361" s="9" t="s">
        <v>279</v>
      </c>
      <c r="M361" s="36" t="s">
        <v>303</v>
      </c>
      <c r="N361" s="40"/>
      <c r="O361" s="3">
        <f t="shared" si="206"/>
        <v>6322594</v>
      </c>
      <c r="P361" s="9">
        <v>4998097.93</v>
      </c>
      <c r="Q361" s="9">
        <v>5201101</v>
      </c>
      <c r="R361" s="9">
        <v>5201102</v>
      </c>
      <c r="S361" s="9">
        <v>5201104</v>
      </c>
      <c r="T361" s="9">
        <v>5501104</v>
      </c>
      <c r="U361" s="9">
        <v>5500103</v>
      </c>
      <c r="V361" s="9">
        <v>5602104</v>
      </c>
      <c r="W361" s="9">
        <v>10</v>
      </c>
      <c r="X361" s="9">
        <v>10</v>
      </c>
      <c r="Y361" s="9">
        <v>10</v>
      </c>
      <c r="Z361" s="9">
        <v>10</v>
      </c>
      <c r="AA361" s="9">
        <v>10</v>
      </c>
      <c r="AB361" s="9">
        <v>10</v>
      </c>
      <c r="AC361" s="9">
        <f t="shared" si="226"/>
        <v>728</v>
      </c>
      <c r="AD361" s="9">
        <f t="shared" si="227"/>
        <v>787</v>
      </c>
      <c r="AE361" s="9">
        <f t="shared" si="228"/>
        <v>787</v>
      </c>
      <c r="AF361" s="9">
        <f t="shared" si="229"/>
        <v>787</v>
      </c>
      <c r="AG361" s="9">
        <f t="shared" si="230"/>
        <v>787</v>
      </c>
      <c r="AH361" s="9">
        <f t="shared" si="231"/>
        <v>787</v>
      </c>
      <c r="AI361" s="7">
        <f t="shared" si="244"/>
        <v>833016.32166666666</v>
      </c>
      <c r="AJ361" s="7">
        <f t="shared" si="243"/>
        <v>833016.32166666666</v>
      </c>
      <c r="AK361" s="7">
        <f t="shared" si="243"/>
        <v>833016.32166666666</v>
      </c>
      <c r="AL361" s="7">
        <f t="shared" si="243"/>
        <v>833016.32166666666</v>
      </c>
      <c r="AM361" s="7">
        <f t="shared" si="243"/>
        <v>833016.32166666666</v>
      </c>
      <c r="AN361" s="7">
        <f t="shared" si="243"/>
        <v>833016.32166666666</v>
      </c>
      <c r="AO361" s="16"/>
      <c r="AP361" s="7"/>
      <c r="AQ361" s="9">
        <v>7</v>
      </c>
      <c r="AR361" s="9">
        <f t="shared" si="232"/>
        <v>888</v>
      </c>
      <c r="AS361" s="7">
        <f t="shared" si="241"/>
        <v>279</v>
      </c>
      <c r="AT361" s="7"/>
      <c r="AU361" s="16"/>
      <c r="AV361" s="7"/>
      <c r="AW361" s="7"/>
      <c r="AX361" s="7"/>
      <c r="AZ361" s="7"/>
      <c r="BA361" s="9">
        <f t="shared" si="242"/>
        <v>544582.24000000022</v>
      </c>
      <c r="BC361" s="5">
        <f t="shared" si="233"/>
        <v>681</v>
      </c>
      <c r="BR361" s="5">
        <v>1205011</v>
      </c>
      <c r="BS361" s="18">
        <f>[1]monsters!$N361</f>
        <v>372</v>
      </c>
      <c r="BT361" s="18">
        <f>[1]monsters!$O361</f>
        <v>37.200000000000003</v>
      </c>
      <c r="BU361" s="18">
        <f>[1]monsters!$P361</f>
        <v>1858.06</v>
      </c>
      <c r="BV361" s="18">
        <f>[1]monsters!$Q361</f>
        <v>185.81</v>
      </c>
      <c r="BW361" s="18">
        <f>[1]monsters!$R361</f>
        <v>37.200000000000003</v>
      </c>
      <c r="BX361" s="18">
        <f>[1]monsters!$S361</f>
        <v>3.72</v>
      </c>
      <c r="BY361" s="18">
        <f>[1]monsters!$K361</f>
        <v>1.5</v>
      </c>
      <c r="BZ361" s="5">
        <f>[1]monsters!$D361</f>
        <v>6</v>
      </c>
      <c r="CA361" s="5">
        <f t="shared" si="234"/>
        <v>0.1</v>
      </c>
      <c r="CB361" s="5">
        <f t="shared" si="235"/>
        <v>414.10094276094276</v>
      </c>
      <c r="CC361" s="5">
        <f t="shared" si="236"/>
        <v>41.410094276094277</v>
      </c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>
        <v>0</v>
      </c>
      <c r="CR361" s="3" t="b">
        <f t="shared" si="208"/>
        <v>1</v>
      </c>
      <c r="CS361" s="3" t="b">
        <f t="shared" si="209"/>
        <v>1</v>
      </c>
      <c r="CT361" s="3" t="b">
        <f t="shared" si="210"/>
        <v>1</v>
      </c>
      <c r="CU361" s="3" t="b">
        <f t="shared" si="211"/>
        <v>1</v>
      </c>
      <c r="CV361" s="3" t="b">
        <f t="shared" si="212"/>
        <v>1</v>
      </c>
      <c r="CW361" s="3" t="b">
        <f t="shared" si="213"/>
        <v>1</v>
      </c>
      <c r="CX361" s="9" t="str">
        <f t="shared" si="214"/>
        <v>5201101</v>
      </c>
      <c r="CY361" s="9" t="str">
        <f t="shared" si="215"/>
        <v>5201102</v>
      </c>
      <c r="CZ361" s="9" t="str">
        <f t="shared" si="216"/>
        <v>5201104</v>
      </c>
      <c r="DA361" s="9" t="str">
        <f t="shared" si="217"/>
        <v>5501104</v>
      </c>
      <c r="DB361" s="9" t="str">
        <f t="shared" si="218"/>
        <v>5500103</v>
      </c>
      <c r="DC361" s="9" t="str">
        <f t="shared" si="219"/>
        <v>5602104</v>
      </c>
      <c r="DD361" s="9">
        <v>10</v>
      </c>
      <c r="DE361" s="9">
        <v>10</v>
      </c>
      <c r="DF361" s="9">
        <v>10</v>
      </c>
      <c r="DG361" s="9">
        <v>10</v>
      </c>
      <c r="DH361" s="9">
        <v>10</v>
      </c>
      <c r="DI361" s="9">
        <v>10</v>
      </c>
      <c r="DJ361" s="9">
        <v>5</v>
      </c>
      <c r="DK361" s="9">
        <v>5</v>
      </c>
      <c r="DL361" s="9">
        <v>5</v>
      </c>
      <c r="DM361" s="9">
        <v>5</v>
      </c>
      <c r="DN361" s="9">
        <v>5</v>
      </c>
      <c r="DO361" s="9">
        <v>5</v>
      </c>
      <c r="DP361" s="25" t="s">
        <v>195</v>
      </c>
      <c r="DQ361" s="25" t="s">
        <v>114</v>
      </c>
      <c r="DR361" s="26" t="s">
        <v>217</v>
      </c>
      <c r="DS361" s="26" t="s">
        <v>214</v>
      </c>
      <c r="DT361" s="26" t="s">
        <v>207</v>
      </c>
      <c r="DU361" s="26" t="s">
        <v>220</v>
      </c>
      <c r="DV361" s="26">
        <f t="shared" si="220"/>
        <v>1</v>
      </c>
      <c r="DW361" s="26">
        <f t="shared" si="221"/>
        <v>1</v>
      </c>
      <c r="DX361" s="26">
        <f t="shared" si="222"/>
        <v>1</v>
      </c>
      <c r="DY361" s="26">
        <f t="shared" si="223"/>
        <v>2</v>
      </c>
      <c r="DZ361" s="26">
        <f t="shared" si="224"/>
        <v>2</v>
      </c>
      <c r="EA361" s="3">
        <f t="shared" si="225"/>
        <v>2</v>
      </c>
      <c r="EB361" s="45"/>
      <c r="EC361" s="9">
        <v>5601121</v>
      </c>
      <c r="ED361" s="34" t="s">
        <v>198</v>
      </c>
      <c r="EE361" s="8">
        <v>2</v>
      </c>
    </row>
    <row r="362" spans="1:135" ht="13.5" customHeight="1">
      <c r="A362" s="9">
        <v>359</v>
      </c>
      <c r="B362" s="9">
        <v>1</v>
      </c>
      <c r="C362" s="9">
        <v>2001</v>
      </c>
      <c r="D362" s="9">
        <f t="shared" si="240"/>
        <v>6347438</v>
      </c>
      <c r="E362" s="9" t="str">
        <f t="shared" si="237"/>
        <v>5200102,5301102,5202103,5402101,5400105,5500101</v>
      </c>
      <c r="F362" s="9" t="str">
        <f t="shared" si="238"/>
        <v>10,10,10,10,10,10</v>
      </c>
      <c r="G362" s="9" t="str">
        <f t="shared" si="239"/>
        <v>730,789,789,789,789,789</v>
      </c>
      <c r="H362" s="9">
        <v>183</v>
      </c>
      <c r="I362" s="9" t="s">
        <v>278</v>
      </c>
      <c r="J362" s="9" t="s">
        <v>279</v>
      </c>
      <c r="K362" s="9" t="s">
        <v>279</v>
      </c>
      <c r="L362" s="9" t="s">
        <v>279</v>
      </c>
      <c r="M362" s="36" t="s">
        <v>303</v>
      </c>
      <c r="N362" s="40"/>
      <c r="O362" s="3">
        <f t="shared" si="206"/>
        <v>6347438</v>
      </c>
      <c r="P362" s="9">
        <v>5017737.24</v>
      </c>
      <c r="Q362" s="9">
        <v>5200102</v>
      </c>
      <c r="R362" s="9">
        <v>5301102</v>
      </c>
      <c r="S362" s="9">
        <v>5202103</v>
      </c>
      <c r="T362" s="9">
        <v>5402101</v>
      </c>
      <c r="U362" s="9">
        <v>5400105</v>
      </c>
      <c r="V362" s="9">
        <v>5500101</v>
      </c>
      <c r="W362" s="9">
        <v>10</v>
      </c>
      <c r="X362" s="9">
        <v>10</v>
      </c>
      <c r="Y362" s="9">
        <v>10</v>
      </c>
      <c r="Z362" s="9">
        <v>10</v>
      </c>
      <c r="AA362" s="9">
        <v>10</v>
      </c>
      <c r="AB362" s="9">
        <v>10</v>
      </c>
      <c r="AC362" s="9">
        <f t="shared" si="226"/>
        <v>730</v>
      </c>
      <c r="AD362" s="9">
        <f t="shared" si="227"/>
        <v>789</v>
      </c>
      <c r="AE362" s="9">
        <f t="shared" si="228"/>
        <v>789</v>
      </c>
      <c r="AF362" s="9">
        <f t="shared" si="229"/>
        <v>789</v>
      </c>
      <c r="AG362" s="9">
        <f t="shared" si="230"/>
        <v>789</v>
      </c>
      <c r="AH362" s="9">
        <f t="shared" si="231"/>
        <v>789</v>
      </c>
      <c r="AI362" s="7">
        <f t="shared" si="244"/>
        <v>836289.54</v>
      </c>
      <c r="AJ362" s="7">
        <f t="shared" si="243"/>
        <v>836289.54</v>
      </c>
      <c r="AK362" s="7">
        <f t="shared" si="243"/>
        <v>836289.54</v>
      </c>
      <c r="AL362" s="7">
        <f t="shared" si="243"/>
        <v>836289.54</v>
      </c>
      <c r="AM362" s="7">
        <f t="shared" si="243"/>
        <v>836289.54</v>
      </c>
      <c r="AN362" s="7">
        <f t="shared" si="243"/>
        <v>836289.54</v>
      </c>
      <c r="AO362" s="16"/>
      <c r="AP362" s="7"/>
      <c r="AQ362" s="9">
        <v>7</v>
      </c>
      <c r="AR362" s="9">
        <f t="shared" si="232"/>
        <v>890</v>
      </c>
      <c r="AS362" s="7">
        <f t="shared" si="241"/>
        <v>279</v>
      </c>
      <c r="AT362" s="7"/>
      <c r="AU362" s="16"/>
      <c r="AV362" s="7"/>
      <c r="AW362" s="7"/>
      <c r="AX362" s="7"/>
      <c r="AZ362" s="7"/>
      <c r="BA362" s="9">
        <f t="shared" si="242"/>
        <v>549474.77000000025</v>
      </c>
      <c r="BC362" s="5">
        <f t="shared" si="233"/>
        <v>682</v>
      </c>
      <c r="BR362" s="5">
        <v>1405011</v>
      </c>
      <c r="BS362" s="18">
        <f>[1]monsters!$N362</f>
        <v>240</v>
      </c>
      <c r="BT362" s="18">
        <f>[1]monsters!$O362</f>
        <v>24</v>
      </c>
      <c r="BU362" s="18">
        <f>[1]monsters!$P362</f>
        <v>2880</v>
      </c>
      <c r="BV362" s="18">
        <f>[1]monsters!$Q362</f>
        <v>288</v>
      </c>
      <c r="BW362" s="18">
        <f>[1]monsters!$R362</f>
        <v>60</v>
      </c>
      <c r="BX362" s="18">
        <f>[1]monsters!$S362</f>
        <v>6</v>
      </c>
      <c r="BY362" s="18">
        <f>[1]monsters!$K362</f>
        <v>1.5</v>
      </c>
      <c r="BZ362" s="5">
        <f>[1]monsters!$D362</f>
        <v>2</v>
      </c>
      <c r="CA362" s="5">
        <f t="shared" si="234"/>
        <v>0.1</v>
      </c>
      <c r="CB362" s="5">
        <f t="shared" si="235"/>
        <v>323.76969696969695</v>
      </c>
      <c r="CC362" s="5">
        <f t="shared" si="236"/>
        <v>32.376969696969695</v>
      </c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>
        <v>0</v>
      </c>
      <c r="CR362" s="3" t="b">
        <f t="shared" si="208"/>
        <v>1</v>
      </c>
      <c r="CS362" s="3" t="b">
        <f t="shared" si="209"/>
        <v>1</v>
      </c>
      <c r="CT362" s="3" t="b">
        <f t="shared" si="210"/>
        <v>1</v>
      </c>
      <c r="CU362" s="3" t="b">
        <f t="shared" si="211"/>
        <v>1</v>
      </c>
      <c r="CV362" s="3" t="b">
        <f t="shared" si="212"/>
        <v>1</v>
      </c>
      <c r="CW362" s="3" t="b">
        <f t="shared" si="213"/>
        <v>1</v>
      </c>
      <c r="CX362" s="9" t="str">
        <f t="shared" si="214"/>
        <v>5200102</v>
      </c>
      <c r="CY362" s="9" t="str">
        <f t="shared" si="215"/>
        <v>5301102</v>
      </c>
      <c r="CZ362" s="9" t="str">
        <f t="shared" si="216"/>
        <v>5202103</v>
      </c>
      <c r="DA362" s="9" t="str">
        <f t="shared" si="217"/>
        <v>5402101</v>
      </c>
      <c r="DB362" s="9" t="str">
        <f t="shared" si="218"/>
        <v>5400105</v>
      </c>
      <c r="DC362" s="9" t="str">
        <f t="shared" si="219"/>
        <v>5500101</v>
      </c>
      <c r="DD362" s="9">
        <v>10</v>
      </c>
      <c r="DE362" s="9">
        <v>10</v>
      </c>
      <c r="DF362" s="9">
        <v>10</v>
      </c>
      <c r="DG362" s="9">
        <v>10</v>
      </c>
      <c r="DH362" s="9">
        <v>10</v>
      </c>
      <c r="DI362" s="9">
        <v>10</v>
      </c>
      <c r="DJ362" s="9">
        <v>5</v>
      </c>
      <c r="DK362" s="9">
        <v>5</v>
      </c>
      <c r="DL362" s="9">
        <v>5</v>
      </c>
      <c r="DM362" s="9">
        <v>5</v>
      </c>
      <c r="DN362" s="9">
        <v>5</v>
      </c>
      <c r="DO362" s="9">
        <v>5</v>
      </c>
      <c r="DP362" s="25" t="s">
        <v>199</v>
      </c>
      <c r="DQ362" s="26" t="s">
        <v>201</v>
      </c>
      <c r="DR362" s="25" t="s">
        <v>208</v>
      </c>
      <c r="DS362" s="26" t="s">
        <v>196</v>
      </c>
      <c r="DT362" s="26" t="s">
        <v>210</v>
      </c>
      <c r="DU362" s="28" t="s">
        <v>197</v>
      </c>
      <c r="DV362" s="28">
        <f t="shared" si="220"/>
        <v>1</v>
      </c>
      <c r="DW362" s="28">
        <f t="shared" si="221"/>
        <v>1</v>
      </c>
      <c r="DX362" s="28">
        <f t="shared" si="222"/>
        <v>1</v>
      </c>
      <c r="DY362" s="28">
        <f t="shared" si="223"/>
        <v>2</v>
      </c>
      <c r="DZ362" s="28">
        <f t="shared" si="224"/>
        <v>2</v>
      </c>
      <c r="EA362" s="3">
        <f t="shared" si="225"/>
        <v>2</v>
      </c>
      <c r="EB362" s="46"/>
      <c r="EC362" s="9">
        <v>5200122</v>
      </c>
      <c r="ED362" s="34" t="s">
        <v>199</v>
      </c>
      <c r="EE362" s="8">
        <v>1</v>
      </c>
    </row>
    <row r="363" spans="1:135" ht="13.5" customHeight="1">
      <c r="A363" s="9">
        <v>360</v>
      </c>
      <c r="B363" s="9">
        <v>1</v>
      </c>
      <c r="C363" s="9">
        <v>2001</v>
      </c>
      <c r="D363" s="9">
        <f t="shared" si="240"/>
        <v>6372329</v>
      </c>
      <c r="E363" s="9" t="str">
        <f t="shared" si="237"/>
        <v>5201103,5201103,5201103,5402103,5402103,5402103</v>
      </c>
      <c r="F363" s="9" t="str">
        <f t="shared" si="238"/>
        <v>10,10,10,10,10,10</v>
      </c>
      <c r="G363" s="9" t="str">
        <f t="shared" si="239"/>
        <v>731,791,791,791,791,791</v>
      </c>
      <c r="H363" s="9">
        <v>184</v>
      </c>
      <c r="I363" s="9" t="s">
        <v>278</v>
      </c>
      <c r="J363" s="9" t="s">
        <v>279</v>
      </c>
      <c r="K363" s="9" t="s">
        <v>279</v>
      </c>
      <c r="L363" s="9" t="s">
        <v>279</v>
      </c>
      <c r="M363" s="36" t="s">
        <v>303</v>
      </c>
      <c r="O363" s="3">
        <f t="shared" si="206"/>
        <v>6372329</v>
      </c>
      <c r="P363" s="9">
        <v>5037414.3600000003</v>
      </c>
      <c r="Q363" s="9">
        <v>5201103</v>
      </c>
      <c r="R363" s="9">
        <v>5201103</v>
      </c>
      <c r="S363" s="9">
        <v>5201103</v>
      </c>
      <c r="T363" s="9">
        <v>5402103</v>
      </c>
      <c r="U363" s="9">
        <v>5402103</v>
      </c>
      <c r="V363" s="9">
        <v>5402103</v>
      </c>
      <c r="W363" s="9">
        <v>10</v>
      </c>
      <c r="X363" s="9">
        <v>10</v>
      </c>
      <c r="Y363" s="9">
        <v>10</v>
      </c>
      <c r="Z363" s="9">
        <v>10</v>
      </c>
      <c r="AA363" s="9">
        <v>10</v>
      </c>
      <c r="AB363" s="9">
        <v>10</v>
      </c>
      <c r="AC363" s="9">
        <f t="shared" si="226"/>
        <v>731</v>
      </c>
      <c r="AD363" s="9">
        <f t="shared" si="227"/>
        <v>791</v>
      </c>
      <c r="AE363" s="9">
        <f t="shared" si="228"/>
        <v>791</v>
      </c>
      <c r="AF363" s="9">
        <f t="shared" si="229"/>
        <v>791</v>
      </c>
      <c r="AG363" s="9">
        <f t="shared" si="230"/>
        <v>791</v>
      </c>
      <c r="AH363" s="9">
        <f t="shared" si="231"/>
        <v>791</v>
      </c>
      <c r="AI363" s="7">
        <f t="shared" si="244"/>
        <v>839569.06</v>
      </c>
      <c r="AJ363" s="7">
        <f t="shared" si="243"/>
        <v>839569.06</v>
      </c>
      <c r="AK363" s="7">
        <f t="shared" si="243"/>
        <v>839569.06</v>
      </c>
      <c r="AL363" s="7">
        <f t="shared" si="243"/>
        <v>839569.06</v>
      </c>
      <c r="AM363" s="7">
        <f t="shared" si="243"/>
        <v>839569.06</v>
      </c>
      <c r="AN363" s="7">
        <f t="shared" si="243"/>
        <v>839569.06</v>
      </c>
      <c r="AO363" s="16"/>
      <c r="AP363" s="7"/>
      <c r="AQ363" s="9">
        <v>7</v>
      </c>
      <c r="AR363" s="9">
        <f t="shared" si="232"/>
        <v>891</v>
      </c>
      <c r="AS363" s="7">
        <f t="shared" si="241"/>
        <v>280</v>
      </c>
      <c r="AT363" s="7"/>
      <c r="AU363" s="16"/>
      <c r="AV363" s="7"/>
      <c r="AW363" s="7"/>
      <c r="AX363" s="7"/>
      <c r="AZ363" s="7"/>
      <c r="BA363" s="9">
        <f t="shared" si="242"/>
        <v>554367.30000000028</v>
      </c>
      <c r="BC363" s="5">
        <f t="shared" si="233"/>
        <v>683</v>
      </c>
      <c r="BR363" s="5">
        <v>1203011</v>
      </c>
      <c r="BS363" s="18">
        <f>[1]monsters!$N363</f>
        <v>230.4</v>
      </c>
      <c r="BT363" s="18">
        <f>[1]monsters!$O363</f>
        <v>23.04</v>
      </c>
      <c r="BU363" s="18">
        <f>[1]monsters!$P363</f>
        <v>3600</v>
      </c>
      <c r="BV363" s="18">
        <f>[1]monsters!$Q363</f>
        <v>360</v>
      </c>
      <c r="BW363" s="18">
        <f>[1]monsters!$R363</f>
        <v>76.8</v>
      </c>
      <c r="BX363" s="18">
        <f>[1]monsters!$S363</f>
        <v>7.68</v>
      </c>
      <c r="BY363" s="18">
        <f>[1]monsters!$K363</f>
        <v>1.8</v>
      </c>
      <c r="BZ363" s="5">
        <f>[1]monsters!$D363</f>
        <v>2</v>
      </c>
      <c r="CA363" s="5">
        <f t="shared" si="234"/>
        <v>0.1</v>
      </c>
      <c r="CB363" s="5">
        <f t="shared" si="235"/>
        <v>338.9401212121212</v>
      </c>
      <c r="CC363" s="5">
        <f t="shared" si="236"/>
        <v>33.894012121212121</v>
      </c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>
        <v>1</v>
      </c>
      <c r="CR363" s="3" t="b">
        <f t="shared" si="208"/>
        <v>1</v>
      </c>
      <c r="CS363" s="3" t="b">
        <f t="shared" si="209"/>
        <v>1</v>
      </c>
      <c r="CT363" s="3" t="b">
        <f t="shared" si="210"/>
        <v>1</v>
      </c>
      <c r="CU363" s="3" t="b">
        <f t="shared" si="211"/>
        <v>1</v>
      </c>
      <c r="CV363" s="3" t="b">
        <f t="shared" si="212"/>
        <v>1</v>
      </c>
      <c r="CW363" s="3" t="b">
        <f t="shared" si="213"/>
        <v>1</v>
      </c>
      <c r="CX363" s="9" t="str">
        <f t="shared" si="214"/>
        <v>5201103</v>
      </c>
      <c r="CY363" s="9" t="str">
        <f t="shared" si="215"/>
        <v>5201103</v>
      </c>
      <c r="CZ363" s="9" t="str">
        <f t="shared" si="216"/>
        <v>5201103</v>
      </c>
      <c r="DA363" s="9" t="str">
        <f t="shared" si="217"/>
        <v>5402103</v>
      </c>
      <c r="DB363" s="9" t="str">
        <f t="shared" si="218"/>
        <v>5402103</v>
      </c>
      <c r="DC363" s="9" t="str">
        <f t="shared" si="219"/>
        <v>5402103</v>
      </c>
      <c r="DD363" s="9">
        <v>10</v>
      </c>
      <c r="DE363" s="9">
        <v>10</v>
      </c>
      <c r="DF363" s="9">
        <v>10</v>
      </c>
      <c r="DG363" s="9">
        <v>10</v>
      </c>
      <c r="DH363" s="9">
        <v>10</v>
      </c>
      <c r="DI363" s="9">
        <v>10</v>
      </c>
      <c r="DJ363" s="9">
        <v>5</v>
      </c>
      <c r="DK363" s="9">
        <v>5</v>
      </c>
      <c r="DL363" s="9">
        <v>5</v>
      </c>
      <c r="DM363" s="9">
        <v>5</v>
      </c>
      <c r="DN363" s="9">
        <v>5</v>
      </c>
      <c r="DO363" s="9">
        <v>5</v>
      </c>
      <c r="DP363" s="25" t="s">
        <v>205</v>
      </c>
      <c r="DQ363" s="25" t="s">
        <v>205</v>
      </c>
      <c r="DR363" s="25" t="s">
        <v>205</v>
      </c>
      <c r="DS363" s="26" t="s">
        <v>118</v>
      </c>
      <c r="DT363" s="26" t="s">
        <v>118</v>
      </c>
      <c r="DU363" s="26" t="s">
        <v>118</v>
      </c>
      <c r="DV363" s="26">
        <f t="shared" si="220"/>
        <v>1</v>
      </c>
      <c r="DW363" s="26">
        <f t="shared" si="221"/>
        <v>1</v>
      </c>
      <c r="DX363" s="26">
        <f t="shared" si="222"/>
        <v>1</v>
      </c>
      <c r="DY363" s="26">
        <f t="shared" si="223"/>
        <v>2</v>
      </c>
      <c r="DZ363" s="26">
        <f t="shared" si="224"/>
        <v>2</v>
      </c>
      <c r="EA363" s="3">
        <f t="shared" si="225"/>
        <v>2</v>
      </c>
      <c r="EB363" s="45"/>
      <c r="EC363" s="9">
        <v>5201122</v>
      </c>
      <c r="ED363" s="34" t="s">
        <v>114</v>
      </c>
      <c r="EE363" s="8">
        <v>1</v>
      </c>
    </row>
    <row r="364" spans="1:135" ht="13.5" customHeight="1">
      <c r="A364" s="9">
        <v>361</v>
      </c>
      <c r="B364" s="9">
        <v>1</v>
      </c>
      <c r="C364" s="9">
        <v>2001</v>
      </c>
      <c r="D364" s="9">
        <f t="shared" si="240"/>
        <v>6397269</v>
      </c>
      <c r="E364" s="9" t="str">
        <f t="shared" si="237"/>
        <v>5201101,5201102,5200101,5502101,5601101,5401101</v>
      </c>
      <c r="F364" s="9" t="str">
        <f t="shared" si="238"/>
        <v>10,10,10,10,10,10</v>
      </c>
      <c r="G364" s="9" t="str">
        <f t="shared" si="239"/>
        <v>733,792,792,792,792,792</v>
      </c>
      <c r="H364" s="9">
        <v>184</v>
      </c>
      <c r="I364" s="9" t="s">
        <v>278</v>
      </c>
      <c r="J364" s="9" t="s">
        <v>279</v>
      </c>
      <c r="K364" s="9" t="s">
        <v>279</v>
      </c>
      <c r="L364" s="9" t="s">
        <v>279</v>
      </c>
      <c r="M364" s="36" t="s">
        <v>304</v>
      </c>
      <c r="N364" s="40"/>
      <c r="O364" s="3">
        <f t="shared" si="206"/>
        <v>6397269</v>
      </c>
      <c r="P364" s="9">
        <v>5057129.29</v>
      </c>
      <c r="Q364" s="9">
        <v>5201101</v>
      </c>
      <c r="R364" s="9">
        <v>5201102</v>
      </c>
      <c r="S364" s="9">
        <v>5200101</v>
      </c>
      <c r="T364" s="9">
        <v>5502101</v>
      </c>
      <c r="U364" s="9">
        <v>5601101</v>
      </c>
      <c r="V364" s="9">
        <v>5401101</v>
      </c>
      <c r="W364" s="9">
        <v>10</v>
      </c>
      <c r="X364" s="9">
        <v>10</v>
      </c>
      <c r="Y364" s="9">
        <v>10</v>
      </c>
      <c r="Z364" s="9">
        <v>10</v>
      </c>
      <c r="AA364" s="9">
        <v>10</v>
      </c>
      <c r="AB364" s="9">
        <v>10</v>
      </c>
      <c r="AC364" s="9">
        <f t="shared" si="226"/>
        <v>733</v>
      </c>
      <c r="AD364" s="9">
        <f t="shared" si="227"/>
        <v>792</v>
      </c>
      <c r="AE364" s="9">
        <f t="shared" si="228"/>
        <v>792</v>
      </c>
      <c r="AF364" s="9">
        <f t="shared" si="229"/>
        <v>792</v>
      </c>
      <c r="AG364" s="9">
        <f t="shared" si="230"/>
        <v>792</v>
      </c>
      <c r="AH364" s="9">
        <f t="shared" si="231"/>
        <v>792</v>
      </c>
      <c r="AI364" s="7">
        <f t="shared" si="244"/>
        <v>842854.88166666671</v>
      </c>
      <c r="AJ364" s="7">
        <f t="shared" si="243"/>
        <v>842854.88166666671</v>
      </c>
      <c r="AK364" s="7">
        <f t="shared" si="243"/>
        <v>842854.88166666671</v>
      </c>
      <c r="AL364" s="7">
        <f t="shared" si="243"/>
        <v>842854.88166666671</v>
      </c>
      <c r="AM364" s="7">
        <f t="shared" si="243"/>
        <v>842854.88166666671</v>
      </c>
      <c r="AN364" s="7">
        <f t="shared" si="243"/>
        <v>842854.88166666671</v>
      </c>
      <c r="AO364" s="16"/>
      <c r="AP364" s="7"/>
      <c r="AQ364" s="9">
        <v>7</v>
      </c>
      <c r="AR364" s="9">
        <f t="shared" si="232"/>
        <v>893</v>
      </c>
      <c r="AS364" s="7">
        <f t="shared" si="241"/>
        <v>280</v>
      </c>
      <c r="AT364" s="7"/>
      <c r="AU364" s="16"/>
      <c r="AV364" s="7"/>
      <c r="AW364" s="7"/>
      <c r="AX364" s="7"/>
      <c r="AZ364" s="7"/>
      <c r="BA364" s="9">
        <f t="shared" si="242"/>
        <v>559259.83000000031</v>
      </c>
      <c r="BC364" s="5">
        <f t="shared" si="233"/>
        <v>685</v>
      </c>
      <c r="BR364" s="5">
        <v>1403011</v>
      </c>
      <c r="BS364" s="18">
        <f>[1]monsters!$N364</f>
        <v>259.2</v>
      </c>
      <c r="BT364" s="18">
        <f>[1]monsters!$O364</f>
        <v>25.92</v>
      </c>
      <c r="BU364" s="18">
        <f>[1]monsters!$P364</f>
        <v>3200</v>
      </c>
      <c r="BV364" s="18">
        <f>[1]monsters!$Q364</f>
        <v>320</v>
      </c>
      <c r="BW364" s="18">
        <f>[1]monsters!$R364</f>
        <v>51.84</v>
      </c>
      <c r="BX364" s="18">
        <f>[1]monsters!$S364</f>
        <v>5.18</v>
      </c>
      <c r="BY364" s="18">
        <f>[1]monsters!$K364</f>
        <v>1.8</v>
      </c>
      <c r="BZ364" s="5">
        <f>[1]monsters!$D364</f>
        <v>2</v>
      </c>
      <c r="CA364" s="5">
        <f t="shared" si="234"/>
        <v>0.1</v>
      </c>
      <c r="CB364" s="5">
        <f t="shared" si="235"/>
        <v>352.68810774410775</v>
      </c>
      <c r="CC364" s="5">
        <f t="shared" si="236"/>
        <v>35.268810774410774</v>
      </c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>
        <v>0</v>
      </c>
      <c r="CR364" s="3" t="b">
        <f t="shared" si="208"/>
        <v>1</v>
      </c>
      <c r="CS364" s="3" t="b">
        <f t="shared" si="209"/>
        <v>1</v>
      </c>
      <c r="CT364" s="3" t="b">
        <f t="shared" si="210"/>
        <v>1</v>
      </c>
      <c r="CU364" s="3" t="b">
        <f t="shared" si="211"/>
        <v>1</v>
      </c>
      <c r="CV364" s="3" t="b">
        <f t="shared" si="212"/>
        <v>1</v>
      </c>
      <c r="CW364" s="3" t="b">
        <f t="shared" si="213"/>
        <v>1</v>
      </c>
      <c r="CX364" s="9" t="str">
        <f t="shared" si="214"/>
        <v>5201101</v>
      </c>
      <c r="CY364" s="9" t="str">
        <f t="shared" si="215"/>
        <v>5201102</v>
      </c>
      <c r="CZ364" s="9" t="str">
        <f t="shared" si="216"/>
        <v>5200101</v>
      </c>
      <c r="DA364" s="9" t="str">
        <f t="shared" si="217"/>
        <v>5502101</v>
      </c>
      <c r="DB364" s="9" t="str">
        <f t="shared" si="218"/>
        <v>5601101</v>
      </c>
      <c r="DC364" s="9" t="str">
        <f t="shared" si="219"/>
        <v>5401101</v>
      </c>
      <c r="DD364" s="9">
        <v>10</v>
      </c>
      <c r="DE364" s="9">
        <v>10</v>
      </c>
      <c r="DF364" s="9">
        <v>10</v>
      </c>
      <c r="DG364" s="9">
        <v>10</v>
      </c>
      <c r="DH364" s="9">
        <v>10</v>
      </c>
      <c r="DI364" s="9">
        <v>10</v>
      </c>
      <c r="DJ364" s="9">
        <v>5</v>
      </c>
      <c r="DK364" s="9">
        <v>5</v>
      </c>
      <c r="DL364" s="9">
        <v>5</v>
      </c>
      <c r="DM364" s="9">
        <v>5</v>
      </c>
      <c r="DN364" s="9">
        <v>5</v>
      </c>
      <c r="DO364" s="9">
        <v>5</v>
      </c>
      <c r="DP364" s="25" t="s">
        <v>195</v>
      </c>
      <c r="DQ364" s="25" t="s">
        <v>114</v>
      </c>
      <c r="DR364" s="25" t="s">
        <v>194</v>
      </c>
      <c r="DS364" s="25" t="s">
        <v>119</v>
      </c>
      <c r="DT364" s="25" t="s">
        <v>198</v>
      </c>
      <c r="DU364" s="25" t="s">
        <v>117</v>
      </c>
      <c r="DV364" s="25">
        <f t="shared" si="220"/>
        <v>1</v>
      </c>
      <c r="DW364" s="25">
        <f t="shared" si="221"/>
        <v>1</v>
      </c>
      <c r="DX364" s="25">
        <f t="shared" si="222"/>
        <v>1</v>
      </c>
      <c r="DY364" s="25">
        <f t="shared" si="223"/>
        <v>2</v>
      </c>
      <c r="DZ364" s="25">
        <f t="shared" si="224"/>
        <v>2</v>
      </c>
      <c r="EA364" s="3">
        <f t="shared" si="225"/>
        <v>2</v>
      </c>
      <c r="EB364" s="45"/>
      <c r="EC364" s="9">
        <v>5202122</v>
      </c>
      <c r="ED364" s="34" t="s">
        <v>200</v>
      </c>
      <c r="EE364" s="8">
        <v>1</v>
      </c>
    </row>
    <row r="365" spans="1:135" ht="13.5" customHeight="1">
      <c r="A365" s="9">
        <v>362</v>
      </c>
      <c r="B365" s="9">
        <v>1</v>
      </c>
      <c r="C365" s="9">
        <v>2001</v>
      </c>
      <c r="D365" s="9">
        <f t="shared" si="240"/>
        <v>6422256</v>
      </c>
      <c r="E365" s="9" t="str">
        <f t="shared" si="237"/>
        <v>5200102,5200103,5200102,5502102,5500102,5502103</v>
      </c>
      <c r="F365" s="9" t="str">
        <f t="shared" si="238"/>
        <v>10,10,10,10,10,10</v>
      </c>
      <c r="G365" s="9" t="str">
        <f t="shared" si="239"/>
        <v>734,794,794,794,794,794</v>
      </c>
      <c r="H365" s="9">
        <v>184</v>
      </c>
      <c r="I365" s="9" t="s">
        <v>278</v>
      </c>
      <c r="J365" s="9" t="s">
        <v>279</v>
      </c>
      <c r="K365" s="9" t="s">
        <v>279</v>
      </c>
      <c r="L365" s="9" t="s">
        <v>279</v>
      </c>
      <c r="M365" s="36" t="s">
        <v>304</v>
      </c>
      <c r="N365" s="40"/>
      <c r="O365" s="3">
        <f t="shared" si="206"/>
        <v>6422256</v>
      </c>
      <c r="P365" s="9">
        <v>5076882.03</v>
      </c>
      <c r="Q365" s="9">
        <v>5200102</v>
      </c>
      <c r="R365" s="9">
        <v>5200103</v>
      </c>
      <c r="S365" s="9">
        <v>5200102</v>
      </c>
      <c r="T365" s="9">
        <v>5502102</v>
      </c>
      <c r="U365" s="9">
        <v>5500102</v>
      </c>
      <c r="V365" s="9">
        <v>5502103</v>
      </c>
      <c r="W365" s="9">
        <v>10</v>
      </c>
      <c r="X365" s="9">
        <v>10</v>
      </c>
      <c r="Y365" s="9">
        <v>10</v>
      </c>
      <c r="Z365" s="9">
        <v>10</v>
      </c>
      <c r="AA365" s="9">
        <v>10</v>
      </c>
      <c r="AB365" s="9">
        <v>10</v>
      </c>
      <c r="AC365" s="9">
        <f t="shared" si="226"/>
        <v>734</v>
      </c>
      <c r="AD365" s="9">
        <f t="shared" si="227"/>
        <v>794</v>
      </c>
      <c r="AE365" s="9">
        <f t="shared" si="228"/>
        <v>794</v>
      </c>
      <c r="AF365" s="9">
        <f t="shared" si="229"/>
        <v>794</v>
      </c>
      <c r="AG365" s="9">
        <f t="shared" si="230"/>
        <v>794</v>
      </c>
      <c r="AH365" s="9">
        <f t="shared" si="231"/>
        <v>794</v>
      </c>
      <c r="AI365" s="7">
        <f t="shared" si="244"/>
        <v>846147.005</v>
      </c>
      <c r="AJ365" s="7">
        <f t="shared" si="243"/>
        <v>846147.005</v>
      </c>
      <c r="AK365" s="7">
        <f t="shared" si="243"/>
        <v>846147.005</v>
      </c>
      <c r="AL365" s="7">
        <f t="shared" si="243"/>
        <v>846147.005</v>
      </c>
      <c r="AM365" s="7">
        <f t="shared" si="243"/>
        <v>846147.005</v>
      </c>
      <c r="AN365" s="7">
        <f t="shared" si="243"/>
        <v>846147.005</v>
      </c>
      <c r="AO365" s="16"/>
      <c r="AP365" s="7"/>
      <c r="AQ365" s="9">
        <v>7</v>
      </c>
      <c r="AR365" s="9">
        <f t="shared" si="232"/>
        <v>895</v>
      </c>
      <c r="AS365" s="7">
        <f t="shared" si="241"/>
        <v>281</v>
      </c>
      <c r="AT365" s="7"/>
      <c r="AU365" s="16"/>
      <c r="AV365" s="7"/>
      <c r="AW365" s="7"/>
      <c r="AX365" s="7"/>
      <c r="AZ365" s="7"/>
      <c r="BA365" s="9">
        <f t="shared" si="242"/>
        <v>564152.36000000034</v>
      </c>
      <c r="BC365" s="5">
        <f t="shared" si="233"/>
        <v>686</v>
      </c>
      <c r="BR365" s="5">
        <v>1204011</v>
      </c>
      <c r="BS365" s="18">
        <f>[1]monsters!$N365</f>
        <v>172.8</v>
      </c>
      <c r="BT365" s="18">
        <f>[1]monsters!$O365</f>
        <v>17.28</v>
      </c>
      <c r="BU365" s="18">
        <f>[1]monsters!$P365</f>
        <v>3200</v>
      </c>
      <c r="BV365" s="18">
        <f>[1]monsters!$Q365</f>
        <v>320</v>
      </c>
      <c r="BW365" s="18">
        <f>[1]monsters!$R365</f>
        <v>34.56</v>
      </c>
      <c r="BX365" s="18">
        <f>[1]monsters!$S365</f>
        <v>3.46</v>
      </c>
      <c r="BY365" s="18">
        <f>[1]monsters!$K365</f>
        <v>1.2</v>
      </c>
      <c r="BZ365" s="5">
        <f>[1]monsters!$D365</f>
        <v>3</v>
      </c>
      <c r="CA365" s="5">
        <f t="shared" si="234"/>
        <v>0.1</v>
      </c>
      <c r="CB365" s="5">
        <f t="shared" si="235"/>
        <v>271.04010774410779</v>
      </c>
      <c r="CC365" s="5">
        <f t="shared" si="236"/>
        <v>27.104010774410781</v>
      </c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>
        <v>0</v>
      </c>
      <c r="CR365" s="3" t="b">
        <f t="shared" si="208"/>
        <v>1</v>
      </c>
      <c r="CS365" s="3" t="b">
        <f t="shared" si="209"/>
        <v>1</v>
      </c>
      <c r="CT365" s="3" t="b">
        <f t="shared" si="210"/>
        <v>1</v>
      </c>
      <c r="CU365" s="3" t="b">
        <f t="shared" si="211"/>
        <v>1</v>
      </c>
      <c r="CV365" s="3" t="b">
        <f t="shared" si="212"/>
        <v>1</v>
      </c>
      <c r="CW365" s="3" t="b">
        <f t="shared" si="213"/>
        <v>1</v>
      </c>
      <c r="CX365" s="9" t="str">
        <f t="shared" si="214"/>
        <v>5200102</v>
      </c>
      <c r="CY365" s="9" t="str">
        <f t="shared" si="215"/>
        <v>5200103</v>
      </c>
      <c r="CZ365" s="9" t="str">
        <f t="shared" si="216"/>
        <v>5200102</v>
      </c>
      <c r="DA365" s="9" t="str">
        <f t="shared" si="217"/>
        <v>5502102</v>
      </c>
      <c r="DB365" s="9" t="str">
        <f t="shared" si="218"/>
        <v>5500102</v>
      </c>
      <c r="DC365" s="9" t="str">
        <f t="shared" si="219"/>
        <v>5502103</v>
      </c>
      <c r="DD365" s="9">
        <v>10</v>
      </c>
      <c r="DE365" s="9">
        <v>10</v>
      </c>
      <c r="DF365" s="9">
        <v>10</v>
      </c>
      <c r="DG365" s="9">
        <v>10</v>
      </c>
      <c r="DH365" s="9">
        <v>10</v>
      </c>
      <c r="DI365" s="9">
        <v>10</v>
      </c>
      <c r="DJ365" s="9">
        <v>5</v>
      </c>
      <c r="DK365" s="9">
        <v>5</v>
      </c>
      <c r="DL365" s="9">
        <v>5</v>
      </c>
      <c r="DM365" s="9">
        <v>5</v>
      </c>
      <c r="DN365" s="9">
        <v>5</v>
      </c>
      <c r="DO365" s="9">
        <v>5</v>
      </c>
      <c r="DP365" s="25" t="s">
        <v>199</v>
      </c>
      <c r="DQ365" s="25" t="s">
        <v>113</v>
      </c>
      <c r="DR365" s="25" t="s">
        <v>199</v>
      </c>
      <c r="DS365" s="25" t="s">
        <v>204</v>
      </c>
      <c r="DT365" s="25" t="s">
        <v>109</v>
      </c>
      <c r="DU365" s="25" t="s">
        <v>215</v>
      </c>
      <c r="DV365" s="25">
        <f t="shared" si="220"/>
        <v>1</v>
      </c>
      <c r="DW365" s="25">
        <f t="shared" si="221"/>
        <v>1</v>
      </c>
      <c r="DX365" s="25">
        <f t="shared" si="222"/>
        <v>1</v>
      </c>
      <c r="DY365" s="25">
        <f t="shared" si="223"/>
        <v>2</v>
      </c>
      <c r="DZ365" s="25">
        <f t="shared" si="224"/>
        <v>2</v>
      </c>
      <c r="EA365" s="3">
        <f t="shared" si="225"/>
        <v>2</v>
      </c>
      <c r="EB365" s="45"/>
      <c r="EC365" s="9">
        <v>5301122</v>
      </c>
      <c r="ED365" s="34" t="s">
        <v>201</v>
      </c>
      <c r="EE365" s="8">
        <v>1</v>
      </c>
    </row>
    <row r="366" spans="1:135" ht="13.5" customHeight="1">
      <c r="A366" s="9">
        <v>363</v>
      </c>
      <c r="B366" s="9">
        <v>1</v>
      </c>
      <c r="C366" s="9">
        <v>2001</v>
      </c>
      <c r="D366" s="9">
        <f t="shared" si="240"/>
        <v>6447293</v>
      </c>
      <c r="E366" s="9" t="str">
        <f t="shared" si="237"/>
        <v>5202103,5202102,5202103,5401103,5402102,5401103</v>
      </c>
      <c r="F366" s="9" t="str">
        <f t="shared" si="238"/>
        <v>10,10,10,10,10,10</v>
      </c>
      <c r="G366" s="9" t="str">
        <f t="shared" si="239"/>
        <v>736,795,795,795,795,795</v>
      </c>
      <c r="H366" s="9">
        <v>185</v>
      </c>
      <c r="I366" s="9" t="s">
        <v>278</v>
      </c>
      <c r="J366" s="9" t="s">
        <v>279</v>
      </c>
      <c r="K366" s="9" t="s">
        <v>279</v>
      </c>
      <c r="L366" s="9" t="s">
        <v>279</v>
      </c>
      <c r="M366" s="36" t="s">
        <v>304</v>
      </c>
      <c r="N366" s="40"/>
      <c r="O366" s="3">
        <f t="shared" si="206"/>
        <v>6447293</v>
      </c>
      <c r="P366" s="9">
        <v>5096674.57</v>
      </c>
      <c r="Q366" s="9">
        <v>5202103</v>
      </c>
      <c r="R366" s="9">
        <v>5202102</v>
      </c>
      <c r="S366" s="9">
        <v>5202103</v>
      </c>
      <c r="T366" s="9">
        <v>5401103</v>
      </c>
      <c r="U366" s="9">
        <v>5402102</v>
      </c>
      <c r="V366" s="9">
        <v>5401103</v>
      </c>
      <c r="W366" s="9">
        <v>10</v>
      </c>
      <c r="X366" s="9">
        <v>10</v>
      </c>
      <c r="Y366" s="9">
        <v>10</v>
      </c>
      <c r="Z366" s="9">
        <v>10</v>
      </c>
      <c r="AA366" s="9">
        <v>10</v>
      </c>
      <c r="AB366" s="9">
        <v>10</v>
      </c>
      <c r="AC366" s="9">
        <f t="shared" si="226"/>
        <v>736</v>
      </c>
      <c r="AD366" s="9">
        <f t="shared" si="227"/>
        <v>795</v>
      </c>
      <c r="AE366" s="9">
        <f t="shared" si="228"/>
        <v>795</v>
      </c>
      <c r="AF366" s="9">
        <f t="shared" si="229"/>
        <v>795</v>
      </c>
      <c r="AG366" s="9">
        <f t="shared" si="230"/>
        <v>795</v>
      </c>
      <c r="AH366" s="9">
        <f t="shared" si="231"/>
        <v>795</v>
      </c>
      <c r="AI366" s="7">
        <f t="shared" si="244"/>
        <v>849445.76166666672</v>
      </c>
      <c r="AJ366" s="7">
        <f t="shared" si="243"/>
        <v>849445.76166666672</v>
      </c>
      <c r="AK366" s="7">
        <f t="shared" si="243"/>
        <v>849445.76166666672</v>
      </c>
      <c r="AL366" s="7">
        <f t="shared" si="243"/>
        <v>849445.76166666672</v>
      </c>
      <c r="AM366" s="7">
        <f t="shared" si="243"/>
        <v>849445.76166666672</v>
      </c>
      <c r="AN366" s="7">
        <f t="shared" si="243"/>
        <v>849445.76166666672</v>
      </c>
      <c r="AO366" s="16"/>
      <c r="AP366" s="7"/>
      <c r="AQ366" s="9">
        <v>7</v>
      </c>
      <c r="AR366" s="9">
        <f t="shared" si="232"/>
        <v>897</v>
      </c>
      <c r="AS366" s="7">
        <f t="shared" si="241"/>
        <v>281</v>
      </c>
      <c r="AT366" s="7"/>
      <c r="AU366" s="16"/>
      <c r="AV366" s="7"/>
      <c r="AW366" s="7"/>
      <c r="AX366" s="7"/>
      <c r="AZ366" s="7"/>
      <c r="BA366" s="9">
        <f t="shared" si="242"/>
        <v>569044.89000000036</v>
      </c>
      <c r="BC366" s="5">
        <f t="shared" si="233"/>
        <v>687</v>
      </c>
      <c r="BR366" s="5">
        <v>1404011</v>
      </c>
      <c r="BS366" s="18">
        <f>[1]monsters!$N366</f>
        <v>307.2</v>
      </c>
      <c r="BT366" s="18">
        <f>[1]monsters!$O366</f>
        <v>30.72</v>
      </c>
      <c r="BU366" s="18">
        <f>[1]monsters!$P366</f>
        <v>2400</v>
      </c>
      <c r="BV366" s="18">
        <f>[1]monsters!$Q366</f>
        <v>240</v>
      </c>
      <c r="BW366" s="18">
        <f>[1]monsters!$R366</f>
        <v>43.89</v>
      </c>
      <c r="BX366" s="18">
        <f>[1]monsters!$S366</f>
        <v>4.3899999999999997</v>
      </c>
      <c r="BY366" s="18">
        <f>[1]monsters!$K366</f>
        <v>1.6</v>
      </c>
      <c r="BZ366" s="5">
        <f>[1]monsters!$D366</f>
        <v>4</v>
      </c>
      <c r="CA366" s="5">
        <f t="shared" si="234"/>
        <v>0.1</v>
      </c>
      <c r="CB366" s="5">
        <f t="shared" si="235"/>
        <v>371.11208080808086</v>
      </c>
      <c r="CC366" s="5">
        <f t="shared" si="236"/>
        <v>37.11120808080809</v>
      </c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>
        <v>0</v>
      </c>
      <c r="CR366" s="3" t="b">
        <f t="shared" si="208"/>
        <v>1</v>
      </c>
      <c r="CS366" s="3" t="b">
        <f t="shared" si="209"/>
        <v>1</v>
      </c>
      <c r="CT366" s="3" t="b">
        <f t="shared" si="210"/>
        <v>1</v>
      </c>
      <c r="CU366" s="3" t="b">
        <f t="shared" si="211"/>
        <v>1</v>
      </c>
      <c r="CV366" s="3" t="b">
        <f t="shared" si="212"/>
        <v>1</v>
      </c>
      <c r="CW366" s="3" t="b">
        <f t="shared" si="213"/>
        <v>1</v>
      </c>
      <c r="CX366" s="9" t="str">
        <f t="shared" si="214"/>
        <v>5202103</v>
      </c>
      <c r="CY366" s="9" t="str">
        <f t="shared" si="215"/>
        <v>5202102</v>
      </c>
      <c r="CZ366" s="9" t="str">
        <f t="shared" si="216"/>
        <v>5202103</v>
      </c>
      <c r="DA366" s="9" t="str">
        <f t="shared" si="217"/>
        <v>5401103</v>
      </c>
      <c r="DB366" s="9" t="str">
        <f t="shared" si="218"/>
        <v>5402102</v>
      </c>
      <c r="DC366" s="9" t="str">
        <f t="shared" si="219"/>
        <v>5401103</v>
      </c>
      <c r="DD366" s="9">
        <v>10</v>
      </c>
      <c r="DE366" s="9">
        <v>10</v>
      </c>
      <c r="DF366" s="9">
        <v>10</v>
      </c>
      <c r="DG366" s="9">
        <v>10</v>
      </c>
      <c r="DH366" s="9">
        <v>10</v>
      </c>
      <c r="DI366" s="9">
        <v>10</v>
      </c>
      <c r="DJ366" s="9">
        <v>5</v>
      </c>
      <c r="DK366" s="9">
        <v>5</v>
      </c>
      <c r="DL366" s="9">
        <v>5</v>
      </c>
      <c r="DM366" s="9">
        <v>5</v>
      </c>
      <c r="DN366" s="9">
        <v>5</v>
      </c>
      <c r="DO366" s="9">
        <v>5</v>
      </c>
      <c r="DP366" s="25" t="s">
        <v>208</v>
      </c>
      <c r="DQ366" s="25" t="s">
        <v>200</v>
      </c>
      <c r="DR366" s="25" t="s">
        <v>208</v>
      </c>
      <c r="DS366" s="25" t="s">
        <v>211</v>
      </c>
      <c r="DT366" s="25" t="s">
        <v>203</v>
      </c>
      <c r="DU366" s="25" t="s">
        <v>211</v>
      </c>
      <c r="DV366" s="25">
        <f t="shared" si="220"/>
        <v>1</v>
      </c>
      <c r="DW366" s="25">
        <f t="shared" si="221"/>
        <v>1</v>
      </c>
      <c r="DX366" s="25">
        <f t="shared" si="222"/>
        <v>1</v>
      </c>
      <c r="DY366" s="25">
        <f t="shared" si="223"/>
        <v>2</v>
      </c>
      <c r="DZ366" s="25">
        <f t="shared" si="224"/>
        <v>2</v>
      </c>
      <c r="EA366" s="3">
        <f t="shared" si="225"/>
        <v>2</v>
      </c>
      <c r="EB366" s="46"/>
      <c r="EC366" s="9">
        <v>5401122</v>
      </c>
      <c r="ED366" s="34" t="s">
        <v>202</v>
      </c>
      <c r="EE366" s="8">
        <v>2</v>
      </c>
    </row>
    <row r="367" spans="1:135" ht="13.5" customHeight="1">
      <c r="A367" s="9">
        <v>364</v>
      </c>
      <c r="B367" s="9">
        <v>1</v>
      </c>
      <c r="C367" s="9">
        <v>2001</v>
      </c>
      <c r="D367" s="9">
        <f t="shared" si="240"/>
        <v>6472381</v>
      </c>
      <c r="E367" s="9" t="str">
        <f t="shared" si="237"/>
        <v>5202103,5202102,5202103,5500102,5500101,5500102</v>
      </c>
      <c r="F367" s="9" t="str">
        <f t="shared" si="238"/>
        <v>10,10,10,10,10,10</v>
      </c>
      <c r="G367" s="9" t="str">
        <f t="shared" si="239"/>
        <v>737,797,797,797,797,797</v>
      </c>
      <c r="H367" s="9">
        <v>185</v>
      </c>
      <c r="I367" s="9" t="s">
        <v>278</v>
      </c>
      <c r="J367" s="9" t="s">
        <v>279</v>
      </c>
      <c r="K367" s="9" t="s">
        <v>279</v>
      </c>
      <c r="L367" s="9" t="s">
        <v>279</v>
      </c>
      <c r="M367" s="36" t="s">
        <v>304</v>
      </c>
      <c r="N367" s="40"/>
      <c r="O367" s="3">
        <f t="shared" si="206"/>
        <v>6472381</v>
      </c>
      <c r="P367" s="9">
        <v>5116506.91</v>
      </c>
      <c r="Q367" s="9">
        <v>5202103</v>
      </c>
      <c r="R367" s="9">
        <v>5202102</v>
      </c>
      <c r="S367" s="9">
        <v>5202103</v>
      </c>
      <c r="T367" s="9">
        <v>5500102</v>
      </c>
      <c r="U367" s="9">
        <v>5500101</v>
      </c>
      <c r="V367" s="9">
        <v>5500102</v>
      </c>
      <c r="W367" s="9">
        <v>10</v>
      </c>
      <c r="X367" s="9">
        <v>10</v>
      </c>
      <c r="Y367" s="9">
        <v>10</v>
      </c>
      <c r="Z367" s="9">
        <v>10</v>
      </c>
      <c r="AA367" s="9">
        <v>10</v>
      </c>
      <c r="AB367" s="9">
        <v>10</v>
      </c>
      <c r="AC367" s="9">
        <f t="shared" si="226"/>
        <v>737</v>
      </c>
      <c r="AD367" s="9">
        <f t="shared" si="227"/>
        <v>797</v>
      </c>
      <c r="AE367" s="9">
        <f t="shared" si="228"/>
        <v>797</v>
      </c>
      <c r="AF367" s="9">
        <f t="shared" si="229"/>
        <v>797</v>
      </c>
      <c r="AG367" s="9">
        <f t="shared" si="230"/>
        <v>797</v>
      </c>
      <c r="AH367" s="9">
        <f t="shared" si="231"/>
        <v>797</v>
      </c>
      <c r="AI367" s="7">
        <f t="shared" si="244"/>
        <v>852751.15166666673</v>
      </c>
      <c r="AJ367" s="7">
        <f t="shared" si="243"/>
        <v>852751.15166666673</v>
      </c>
      <c r="AK367" s="7">
        <f t="shared" si="243"/>
        <v>852751.15166666673</v>
      </c>
      <c r="AL367" s="7">
        <f t="shared" si="243"/>
        <v>852751.15166666673</v>
      </c>
      <c r="AM367" s="7">
        <f t="shared" si="243"/>
        <v>852751.15166666673</v>
      </c>
      <c r="AN367" s="7">
        <f t="shared" si="243"/>
        <v>852751.15166666673</v>
      </c>
      <c r="AO367" s="16"/>
      <c r="AP367" s="7"/>
      <c r="AQ367" s="9">
        <v>7</v>
      </c>
      <c r="AR367" s="9">
        <f t="shared" si="232"/>
        <v>898</v>
      </c>
      <c r="AS367" s="7">
        <f t="shared" si="241"/>
        <v>282</v>
      </c>
      <c r="AT367" s="7"/>
      <c r="AU367" s="16"/>
      <c r="AV367" s="7"/>
      <c r="AW367" s="7"/>
      <c r="AX367" s="7"/>
      <c r="AZ367" s="7"/>
      <c r="BA367" s="9">
        <f t="shared" si="242"/>
        <v>573937.42000000039</v>
      </c>
      <c r="BC367" s="5">
        <f t="shared" si="233"/>
        <v>689</v>
      </c>
      <c r="BR367" s="5">
        <v>1303011</v>
      </c>
      <c r="BS367" s="18">
        <f>[1]monsters!$N367</f>
        <v>288</v>
      </c>
      <c r="BT367" s="18">
        <f>[1]monsters!$O367</f>
        <v>28.8</v>
      </c>
      <c r="BU367" s="18">
        <f>[1]monsters!$P367</f>
        <v>2400</v>
      </c>
      <c r="BV367" s="18">
        <f>[1]monsters!$Q367</f>
        <v>240</v>
      </c>
      <c r="BW367" s="18">
        <f>[1]monsters!$R367</f>
        <v>41.14</v>
      </c>
      <c r="BX367" s="18">
        <f>[1]monsters!$S367</f>
        <v>4.1100000000000003</v>
      </c>
      <c r="BY367" s="18">
        <f>[1]monsters!$K367</f>
        <v>1.5</v>
      </c>
      <c r="BZ367" s="5">
        <f>[1]monsters!$D367</f>
        <v>4</v>
      </c>
      <c r="CA367" s="5">
        <f t="shared" si="234"/>
        <v>0.1</v>
      </c>
      <c r="CB367" s="5">
        <f t="shared" si="235"/>
        <v>352.96808080808086</v>
      </c>
      <c r="CC367" s="5">
        <f t="shared" si="236"/>
        <v>35.296808080808084</v>
      </c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>
        <v>0</v>
      </c>
      <c r="CR367" s="3" t="b">
        <f t="shared" si="208"/>
        <v>1</v>
      </c>
      <c r="CS367" s="3" t="b">
        <f t="shared" si="209"/>
        <v>1</v>
      </c>
      <c r="CT367" s="3" t="b">
        <f t="shared" si="210"/>
        <v>1</v>
      </c>
      <c r="CU367" s="3" t="b">
        <f t="shared" si="211"/>
        <v>1</v>
      </c>
      <c r="CV367" s="3" t="b">
        <f t="shared" si="212"/>
        <v>1</v>
      </c>
      <c r="CW367" s="3" t="b">
        <f t="shared" si="213"/>
        <v>1</v>
      </c>
      <c r="CX367" s="9" t="str">
        <f t="shared" si="214"/>
        <v>5202103</v>
      </c>
      <c r="CY367" s="9" t="str">
        <f t="shared" si="215"/>
        <v>5202102</v>
      </c>
      <c r="CZ367" s="9" t="str">
        <f t="shared" si="216"/>
        <v>5202103</v>
      </c>
      <c r="DA367" s="9" t="str">
        <f t="shared" si="217"/>
        <v>5500102</v>
      </c>
      <c r="DB367" s="9" t="str">
        <f t="shared" si="218"/>
        <v>5500101</v>
      </c>
      <c r="DC367" s="9" t="str">
        <f t="shared" si="219"/>
        <v>5500102</v>
      </c>
      <c r="DD367" s="9">
        <v>10</v>
      </c>
      <c r="DE367" s="9">
        <v>10</v>
      </c>
      <c r="DF367" s="9">
        <v>10</v>
      </c>
      <c r="DG367" s="9">
        <v>10</v>
      </c>
      <c r="DH367" s="9">
        <v>10</v>
      </c>
      <c r="DI367" s="9">
        <v>10</v>
      </c>
      <c r="DJ367" s="9">
        <v>5</v>
      </c>
      <c r="DK367" s="9">
        <v>5</v>
      </c>
      <c r="DL367" s="9">
        <v>5</v>
      </c>
      <c r="DM367" s="9">
        <v>5</v>
      </c>
      <c r="DN367" s="9">
        <v>5</v>
      </c>
      <c r="DO367" s="9">
        <v>5</v>
      </c>
      <c r="DP367" s="25" t="s">
        <v>208</v>
      </c>
      <c r="DQ367" s="25" t="s">
        <v>200</v>
      </c>
      <c r="DR367" s="25" t="s">
        <v>208</v>
      </c>
      <c r="DS367" s="25" t="s">
        <v>109</v>
      </c>
      <c r="DT367" s="25" t="s">
        <v>197</v>
      </c>
      <c r="DU367" s="25" t="s">
        <v>109</v>
      </c>
      <c r="DV367" s="25">
        <f t="shared" si="220"/>
        <v>1</v>
      </c>
      <c r="DW367" s="25">
        <f t="shared" si="221"/>
        <v>1</v>
      </c>
      <c r="DX367" s="25">
        <f t="shared" si="222"/>
        <v>1</v>
      </c>
      <c r="DY367" s="25">
        <f t="shared" si="223"/>
        <v>2</v>
      </c>
      <c r="DZ367" s="25">
        <f t="shared" si="224"/>
        <v>2</v>
      </c>
      <c r="EA367" s="3">
        <f t="shared" si="225"/>
        <v>2</v>
      </c>
      <c r="EB367" s="45"/>
      <c r="EC367" s="9">
        <v>5402122</v>
      </c>
      <c r="ED367" s="34" t="s">
        <v>203</v>
      </c>
      <c r="EE367" s="8">
        <v>2</v>
      </c>
    </row>
    <row r="368" spans="1:135" ht="13.5" customHeight="1">
      <c r="A368" s="9">
        <v>365</v>
      </c>
      <c r="B368" s="9">
        <v>1</v>
      </c>
      <c r="C368" s="9">
        <v>2001</v>
      </c>
      <c r="D368" s="9">
        <f t="shared" si="240"/>
        <v>6497514</v>
      </c>
      <c r="E368" s="9" t="str">
        <f t="shared" si="237"/>
        <v>5202101,5202101,5200101,5400105,5602104,5400105</v>
      </c>
      <c r="F368" s="9" t="str">
        <f t="shared" si="238"/>
        <v>10,10,10,10,10,10</v>
      </c>
      <c r="G368" s="9" t="str">
        <f t="shared" si="239"/>
        <v>738,798,798,798,798,798</v>
      </c>
      <c r="H368" s="9">
        <v>186</v>
      </c>
      <c r="I368" s="9" t="s">
        <v>278</v>
      </c>
      <c r="J368" s="9" t="s">
        <v>279</v>
      </c>
      <c r="K368" s="9" t="s">
        <v>279</v>
      </c>
      <c r="L368" s="9" t="s">
        <v>279</v>
      </c>
      <c r="M368" s="36" t="s">
        <v>304</v>
      </c>
      <c r="O368" s="3">
        <f t="shared" si="206"/>
        <v>6497514</v>
      </c>
      <c r="P368" s="9">
        <v>5136375.07</v>
      </c>
      <c r="Q368" s="9">
        <v>5202101</v>
      </c>
      <c r="R368" s="9">
        <v>5202101</v>
      </c>
      <c r="S368" s="9">
        <v>5200101</v>
      </c>
      <c r="T368" s="9">
        <v>5400105</v>
      </c>
      <c r="U368" s="9">
        <v>5602104</v>
      </c>
      <c r="V368" s="9">
        <v>5400105</v>
      </c>
      <c r="W368" s="9">
        <v>10</v>
      </c>
      <c r="X368" s="9">
        <v>10</v>
      </c>
      <c r="Y368" s="9">
        <v>10</v>
      </c>
      <c r="Z368" s="9">
        <v>10</v>
      </c>
      <c r="AA368" s="9">
        <v>10</v>
      </c>
      <c r="AB368" s="9">
        <v>10</v>
      </c>
      <c r="AC368" s="9">
        <f t="shared" si="226"/>
        <v>738</v>
      </c>
      <c r="AD368" s="9">
        <f t="shared" si="227"/>
        <v>798</v>
      </c>
      <c r="AE368" s="9">
        <f t="shared" si="228"/>
        <v>798</v>
      </c>
      <c r="AF368" s="9">
        <f t="shared" si="229"/>
        <v>798</v>
      </c>
      <c r="AG368" s="9">
        <f t="shared" si="230"/>
        <v>798</v>
      </c>
      <c r="AH368" s="9">
        <f t="shared" si="231"/>
        <v>798</v>
      </c>
      <c r="AI368" s="7">
        <f t="shared" si="244"/>
        <v>856062.51166666672</v>
      </c>
      <c r="AJ368" s="7">
        <f t="shared" si="243"/>
        <v>856062.51166666672</v>
      </c>
      <c r="AK368" s="7">
        <f t="shared" si="243"/>
        <v>856062.51166666672</v>
      </c>
      <c r="AL368" s="7">
        <f t="shared" si="243"/>
        <v>856062.51166666672</v>
      </c>
      <c r="AM368" s="7">
        <f t="shared" si="243"/>
        <v>856062.51166666672</v>
      </c>
      <c r="AN368" s="7">
        <f t="shared" si="243"/>
        <v>856062.51166666672</v>
      </c>
      <c r="AO368" s="16"/>
      <c r="AP368" s="7"/>
      <c r="AQ368" s="9">
        <v>7</v>
      </c>
      <c r="AR368" s="9">
        <f t="shared" si="232"/>
        <v>900</v>
      </c>
      <c r="AS368" s="7">
        <f t="shared" si="241"/>
        <v>282</v>
      </c>
      <c r="AT368" s="7"/>
      <c r="AU368" s="16"/>
      <c r="AV368" s="7"/>
      <c r="AW368" s="7"/>
      <c r="AX368" s="7"/>
      <c r="AZ368" s="7"/>
      <c r="BA368" s="9">
        <f t="shared" si="242"/>
        <v>578829.95000000042</v>
      </c>
      <c r="BC368" s="5">
        <f t="shared" si="233"/>
        <v>690</v>
      </c>
      <c r="BR368" s="5">
        <v>1304011</v>
      </c>
      <c r="BS368" s="18">
        <f>[1]monsters!$N368</f>
        <v>336</v>
      </c>
      <c r="BT368" s="18">
        <f>[1]monsters!$O368</f>
        <v>33.6</v>
      </c>
      <c r="BU368" s="18">
        <f>[1]monsters!$P368</f>
        <v>2057.14</v>
      </c>
      <c r="BV368" s="18">
        <f>[1]monsters!$Q368</f>
        <v>205.71</v>
      </c>
      <c r="BW368" s="18">
        <f>[1]monsters!$R368</f>
        <v>42</v>
      </c>
      <c r="BX368" s="18">
        <f>[1]monsters!$S368</f>
        <v>4.2</v>
      </c>
      <c r="BY368" s="18">
        <f>[1]monsters!$K368</f>
        <v>1.5</v>
      </c>
      <c r="BZ368" s="5">
        <f>[1]monsters!$D368</f>
        <v>5</v>
      </c>
      <c r="CA368" s="5">
        <f t="shared" si="234"/>
        <v>0.1</v>
      </c>
      <c r="CB368" s="5">
        <f t="shared" si="235"/>
        <v>386.78397306397312</v>
      </c>
      <c r="CC368" s="5">
        <f t="shared" si="236"/>
        <v>38.678397306397315</v>
      </c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>
        <v>1</v>
      </c>
      <c r="CR368" s="3" t="b">
        <f t="shared" si="208"/>
        <v>1</v>
      </c>
      <c r="CS368" s="3" t="b">
        <f t="shared" si="209"/>
        <v>1</v>
      </c>
      <c r="CT368" s="3" t="b">
        <f t="shared" si="210"/>
        <v>1</v>
      </c>
      <c r="CU368" s="3" t="b">
        <f t="shared" si="211"/>
        <v>1</v>
      </c>
      <c r="CV368" s="3" t="b">
        <f t="shared" si="212"/>
        <v>1</v>
      </c>
      <c r="CW368" s="3" t="b">
        <f t="shared" si="213"/>
        <v>1</v>
      </c>
      <c r="CX368" s="9" t="str">
        <f t="shared" si="214"/>
        <v>5202101</v>
      </c>
      <c r="CY368" s="9" t="str">
        <f t="shared" si="215"/>
        <v>5202101</v>
      </c>
      <c r="CZ368" s="9" t="str">
        <f t="shared" si="216"/>
        <v>5200101</v>
      </c>
      <c r="DA368" s="9" t="str">
        <f t="shared" si="217"/>
        <v>5400105</v>
      </c>
      <c r="DB368" s="9" t="str">
        <f t="shared" si="218"/>
        <v>5602104</v>
      </c>
      <c r="DC368" s="9" t="str">
        <f t="shared" si="219"/>
        <v>5400105</v>
      </c>
      <c r="DD368" s="9">
        <v>10</v>
      </c>
      <c r="DE368" s="9">
        <v>10</v>
      </c>
      <c r="DF368" s="9">
        <v>10</v>
      </c>
      <c r="DG368" s="9">
        <v>10</v>
      </c>
      <c r="DH368" s="9">
        <v>10</v>
      </c>
      <c r="DI368" s="9">
        <v>10</v>
      </c>
      <c r="DJ368" s="9">
        <v>5</v>
      </c>
      <c r="DK368" s="9">
        <v>5</v>
      </c>
      <c r="DL368" s="9">
        <v>5</v>
      </c>
      <c r="DM368" s="9">
        <v>5</v>
      </c>
      <c r="DN368" s="9">
        <v>5</v>
      </c>
      <c r="DO368" s="9">
        <v>5</v>
      </c>
      <c r="DP368" s="25" t="s">
        <v>111</v>
      </c>
      <c r="DQ368" s="25" t="s">
        <v>111</v>
      </c>
      <c r="DR368" s="25" t="s">
        <v>194</v>
      </c>
      <c r="DS368" s="25" t="s">
        <v>210</v>
      </c>
      <c r="DT368" s="25" t="s">
        <v>220</v>
      </c>
      <c r="DU368" s="25" t="s">
        <v>210</v>
      </c>
      <c r="DV368" s="25">
        <f t="shared" si="220"/>
        <v>1</v>
      </c>
      <c r="DW368" s="25">
        <f t="shared" si="221"/>
        <v>1</v>
      </c>
      <c r="DX368" s="25">
        <f t="shared" si="222"/>
        <v>1</v>
      </c>
      <c r="DY368" s="25">
        <f t="shared" si="223"/>
        <v>2</v>
      </c>
      <c r="DZ368" s="25">
        <f t="shared" si="224"/>
        <v>2</v>
      </c>
      <c r="EA368" s="3">
        <f t="shared" si="225"/>
        <v>2</v>
      </c>
      <c r="EB368" s="45"/>
      <c r="EC368" s="9">
        <v>5500122</v>
      </c>
      <c r="ED368" s="34" t="s">
        <v>109</v>
      </c>
      <c r="EE368" s="8">
        <v>2</v>
      </c>
    </row>
    <row r="369" spans="1:135" ht="13.5" customHeight="1">
      <c r="A369" s="9">
        <v>366</v>
      </c>
      <c r="B369" s="9">
        <v>1</v>
      </c>
      <c r="C369" s="9">
        <v>2001</v>
      </c>
      <c r="D369" s="9">
        <f t="shared" si="240"/>
        <v>6522698</v>
      </c>
      <c r="E369" s="9" t="str">
        <f t="shared" si="237"/>
        <v>5202102,5201102,5301101,5501104,5500103,5501104</v>
      </c>
      <c r="F369" s="9" t="str">
        <f t="shared" si="238"/>
        <v>10,10,10,10,10,10</v>
      </c>
      <c r="G369" s="9" t="str">
        <f t="shared" si="239"/>
        <v>740,800,800,800,800,800</v>
      </c>
      <c r="H369" s="9">
        <v>186</v>
      </c>
      <c r="I369" s="9" t="s">
        <v>278</v>
      </c>
      <c r="J369" s="9" t="s">
        <v>279</v>
      </c>
      <c r="K369" s="9" t="s">
        <v>279</v>
      </c>
      <c r="L369" s="9" t="s">
        <v>279</v>
      </c>
      <c r="M369" s="36" t="s">
        <v>304</v>
      </c>
      <c r="N369" s="40"/>
      <c r="O369" s="3">
        <f t="shared" si="206"/>
        <v>6522698</v>
      </c>
      <c r="P369" s="9">
        <v>5156283.03</v>
      </c>
      <c r="Q369" s="9">
        <v>5202102</v>
      </c>
      <c r="R369" s="9">
        <v>5201102</v>
      </c>
      <c r="S369" s="9">
        <v>5301101</v>
      </c>
      <c r="T369" s="9">
        <v>5501104</v>
      </c>
      <c r="U369" s="9">
        <v>5500103</v>
      </c>
      <c r="V369" s="9">
        <v>5501104</v>
      </c>
      <c r="W369" s="9">
        <v>10</v>
      </c>
      <c r="X369" s="9">
        <v>10</v>
      </c>
      <c r="Y369" s="9">
        <v>10</v>
      </c>
      <c r="Z369" s="9">
        <v>10</v>
      </c>
      <c r="AA369" s="9">
        <v>10</v>
      </c>
      <c r="AB369" s="9">
        <v>10</v>
      </c>
      <c r="AC369" s="9">
        <f t="shared" si="226"/>
        <v>740</v>
      </c>
      <c r="AD369" s="9">
        <f t="shared" si="227"/>
        <v>800</v>
      </c>
      <c r="AE369" s="9">
        <f t="shared" si="228"/>
        <v>800</v>
      </c>
      <c r="AF369" s="9">
        <f t="shared" si="229"/>
        <v>800</v>
      </c>
      <c r="AG369" s="9">
        <f t="shared" si="230"/>
        <v>800</v>
      </c>
      <c r="AH369" s="9">
        <f t="shared" si="231"/>
        <v>800</v>
      </c>
      <c r="AI369" s="7">
        <f t="shared" si="244"/>
        <v>859380.505</v>
      </c>
      <c r="AJ369" s="7">
        <f t="shared" si="243"/>
        <v>859380.505</v>
      </c>
      <c r="AK369" s="7">
        <f t="shared" si="243"/>
        <v>859380.505</v>
      </c>
      <c r="AL369" s="7">
        <f t="shared" si="243"/>
        <v>859380.505</v>
      </c>
      <c r="AM369" s="7">
        <f t="shared" si="243"/>
        <v>859380.505</v>
      </c>
      <c r="AN369" s="7">
        <f t="shared" si="243"/>
        <v>859380.505</v>
      </c>
      <c r="AO369" s="16"/>
      <c r="AP369" s="7"/>
      <c r="AQ369" s="9">
        <v>7</v>
      </c>
      <c r="AR369" s="9">
        <f t="shared" si="232"/>
        <v>902</v>
      </c>
      <c r="AS369" s="7">
        <f t="shared" si="241"/>
        <v>283</v>
      </c>
      <c r="AT369" s="7"/>
      <c r="AU369" s="16"/>
      <c r="AV369" s="7"/>
      <c r="AW369" s="7"/>
      <c r="AX369" s="7"/>
      <c r="AZ369" s="7"/>
      <c r="BA369" s="9">
        <f t="shared" si="242"/>
        <v>583722.48000000045</v>
      </c>
      <c r="BC369" s="5">
        <f t="shared" si="233"/>
        <v>691</v>
      </c>
      <c r="BR369" s="5">
        <v>1503011</v>
      </c>
      <c r="BS369" s="18">
        <f>[1]monsters!$N369</f>
        <v>313.60000000000002</v>
      </c>
      <c r="BT369" s="18">
        <f>[1]monsters!$O369</f>
        <v>31.36</v>
      </c>
      <c r="BU369" s="18">
        <f>[1]monsters!$P369</f>
        <v>2057.14</v>
      </c>
      <c r="BV369" s="18">
        <f>[1]monsters!$Q369</f>
        <v>205.71</v>
      </c>
      <c r="BW369" s="18">
        <f>[1]monsters!$R369</f>
        <v>39.200000000000003</v>
      </c>
      <c r="BX369" s="18">
        <f>[1]monsters!$S369</f>
        <v>3.92</v>
      </c>
      <c r="BY369" s="18">
        <f>[1]monsters!$K369</f>
        <v>1.4</v>
      </c>
      <c r="BZ369" s="5">
        <f>[1]monsters!$D369</f>
        <v>5</v>
      </c>
      <c r="CA369" s="5">
        <f t="shared" si="234"/>
        <v>0.1</v>
      </c>
      <c r="CB369" s="5">
        <f t="shared" si="235"/>
        <v>365.61597306397312</v>
      </c>
      <c r="CC369" s="5">
        <f t="shared" si="236"/>
        <v>36.56159730639731</v>
      </c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>
        <v>0</v>
      </c>
      <c r="CR369" s="3" t="b">
        <f t="shared" si="208"/>
        <v>1</v>
      </c>
      <c r="CS369" s="3" t="b">
        <f t="shared" si="209"/>
        <v>1</v>
      </c>
      <c r="CT369" s="3" t="b">
        <f t="shared" si="210"/>
        <v>1</v>
      </c>
      <c r="CU369" s="3" t="b">
        <f t="shared" si="211"/>
        <v>1</v>
      </c>
      <c r="CV369" s="3" t="b">
        <f t="shared" si="212"/>
        <v>1</v>
      </c>
      <c r="CW369" s="3" t="b">
        <f t="shared" si="213"/>
        <v>1</v>
      </c>
      <c r="CX369" s="9" t="str">
        <f t="shared" si="214"/>
        <v>5202102</v>
      </c>
      <c r="CY369" s="9" t="str">
        <f t="shared" si="215"/>
        <v>5201102</v>
      </c>
      <c r="CZ369" s="9" t="str">
        <f t="shared" si="216"/>
        <v>5301101</v>
      </c>
      <c r="DA369" s="9" t="str">
        <f t="shared" si="217"/>
        <v>5501104</v>
      </c>
      <c r="DB369" s="9" t="str">
        <f t="shared" si="218"/>
        <v>5500103</v>
      </c>
      <c r="DC369" s="9" t="str">
        <f t="shared" si="219"/>
        <v>5501104</v>
      </c>
      <c r="DD369" s="9">
        <v>10</v>
      </c>
      <c r="DE369" s="9">
        <v>10</v>
      </c>
      <c r="DF369" s="9">
        <v>10</v>
      </c>
      <c r="DG369" s="9">
        <v>10</v>
      </c>
      <c r="DH369" s="9">
        <v>10</v>
      </c>
      <c r="DI369" s="9">
        <v>10</v>
      </c>
      <c r="DJ369" s="9">
        <v>5</v>
      </c>
      <c r="DK369" s="9">
        <v>5</v>
      </c>
      <c r="DL369" s="9">
        <v>5</v>
      </c>
      <c r="DM369" s="9">
        <v>5</v>
      </c>
      <c r="DN369" s="9">
        <v>5</v>
      </c>
      <c r="DO369" s="9">
        <v>5</v>
      </c>
      <c r="DP369" s="25" t="s">
        <v>200</v>
      </c>
      <c r="DQ369" s="25" t="s">
        <v>114</v>
      </c>
      <c r="DR369" s="25" t="s">
        <v>107</v>
      </c>
      <c r="DS369" s="25" t="s">
        <v>214</v>
      </c>
      <c r="DT369" s="25" t="s">
        <v>207</v>
      </c>
      <c r="DU369" s="25" t="s">
        <v>214</v>
      </c>
      <c r="DV369" s="25">
        <f t="shared" si="220"/>
        <v>1</v>
      </c>
      <c r="DW369" s="25">
        <f t="shared" si="221"/>
        <v>1</v>
      </c>
      <c r="DX369" s="25">
        <f t="shared" si="222"/>
        <v>1</v>
      </c>
      <c r="DY369" s="25">
        <f t="shared" si="223"/>
        <v>2</v>
      </c>
      <c r="DZ369" s="25">
        <f t="shared" si="224"/>
        <v>2</v>
      </c>
      <c r="EA369" s="3">
        <f t="shared" si="225"/>
        <v>2</v>
      </c>
      <c r="EB369" s="46"/>
      <c r="EC369" s="9">
        <v>5502122</v>
      </c>
      <c r="ED369" s="34" t="s">
        <v>204</v>
      </c>
      <c r="EE369" s="8">
        <v>2</v>
      </c>
    </row>
    <row r="370" spans="1:135" ht="13.5" customHeight="1">
      <c r="A370" s="9">
        <v>367</v>
      </c>
      <c r="B370" s="9">
        <v>1</v>
      </c>
      <c r="C370" s="9">
        <v>2001</v>
      </c>
      <c r="D370" s="9">
        <f t="shared" si="240"/>
        <v>6547929</v>
      </c>
      <c r="E370" s="9" t="str">
        <f t="shared" si="237"/>
        <v>5200101,5301102,5201101,5500103,5500101,5400105</v>
      </c>
      <c r="F370" s="9" t="str">
        <f t="shared" si="238"/>
        <v>10,10,10,10,10,10</v>
      </c>
      <c r="G370" s="9" t="str">
        <f t="shared" si="239"/>
        <v>741,802,802,802,802,802</v>
      </c>
      <c r="H370" s="9">
        <v>186</v>
      </c>
      <c r="I370" s="9" t="s">
        <v>278</v>
      </c>
      <c r="J370" s="9" t="s">
        <v>279</v>
      </c>
      <c r="K370" s="9" t="s">
        <v>279</v>
      </c>
      <c r="L370" s="9" t="s">
        <v>279</v>
      </c>
      <c r="M370" s="36" t="s">
        <v>304</v>
      </c>
      <c r="N370" s="40"/>
      <c r="O370" s="3">
        <f t="shared" si="206"/>
        <v>6547929</v>
      </c>
      <c r="P370" s="9">
        <v>5176228.8</v>
      </c>
      <c r="Q370" s="9">
        <v>5200101</v>
      </c>
      <c r="R370" s="9">
        <v>5301102</v>
      </c>
      <c r="S370" s="9">
        <v>5201101</v>
      </c>
      <c r="T370" s="9">
        <v>5500103</v>
      </c>
      <c r="U370" s="9">
        <v>5500101</v>
      </c>
      <c r="V370" s="9">
        <v>5400105</v>
      </c>
      <c r="W370" s="9">
        <v>10</v>
      </c>
      <c r="X370" s="9">
        <v>10</v>
      </c>
      <c r="Y370" s="9">
        <v>10</v>
      </c>
      <c r="Z370" s="9">
        <v>10</v>
      </c>
      <c r="AA370" s="9">
        <v>10</v>
      </c>
      <c r="AB370" s="9">
        <v>10</v>
      </c>
      <c r="AC370" s="9">
        <f t="shared" si="226"/>
        <v>741</v>
      </c>
      <c r="AD370" s="9">
        <f t="shared" si="227"/>
        <v>802</v>
      </c>
      <c r="AE370" s="9">
        <f t="shared" si="228"/>
        <v>802</v>
      </c>
      <c r="AF370" s="9">
        <f t="shared" si="229"/>
        <v>802</v>
      </c>
      <c r="AG370" s="9">
        <f t="shared" si="230"/>
        <v>802</v>
      </c>
      <c r="AH370" s="9">
        <f t="shared" si="231"/>
        <v>802</v>
      </c>
      <c r="AI370" s="7">
        <f t="shared" si="244"/>
        <v>862704.79999999993</v>
      </c>
      <c r="AJ370" s="7">
        <f t="shared" si="243"/>
        <v>862704.79999999993</v>
      </c>
      <c r="AK370" s="7">
        <f t="shared" si="243"/>
        <v>862704.79999999993</v>
      </c>
      <c r="AL370" s="7">
        <f t="shared" si="243"/>
        <v>862704.79999999993</v>
      </c>
      <c r="AM370" s="7">
        <f t="shared" si="243"/>
        <v>862704.79999999993</v>
      </c>
      <c r="AN370" s="7">
        <f t="shared" si="243"/>
        <v>862704.79999999993</v>
      </c>
      <c r="AO370" s="16"/>
      <c r="AP370" s="7"/>
      <c r="AQ370" s="9">
        <v>7</v>
      </c>
      <c r="AR370" s="9">
        <f t="shared" si="232"/>
        <v>904</v>
      </c>
      <c r="AS370" s="7">
        <f t="shared" si="241"/>
        <v>283</v>
      </c>
      <c r="AT370" s="7"/>
      <c r="AU370" s="16"/>
      <c r="AV370" s="7"/>
      <c r="AW370" s="7"/>
      <c r="AX370" s="7"/>
      <c r="AZ370" s="7"/>
      <c r="BA370" s="9">
        <f t="shared" si="242"/>
        <v>588615.01000000047</v>
      </c>
      <c r="BC370" s="5">
        <f t="shared" si="233"/>
        <v>693</v>
      </c>
      <c r="BR370" s="5">
        <v>1504011</v>
      </c>
      <c r="BS370" s="18">
        <f>[1]monsters!$N370</f>
        <v>372</v>
      </c>
      <c r="BT370" s="18">
        <f>[1]monsters!$O370</f>
        <v>37.200000000000003</v>
      </c>
      <c r="BU370" s="18">
        <f>[1]monsters!$P370</f>
        <v>1858.06</v>
      </c>
      <c r="BV370" s="18">
        <f>[1]monsters!$Q370</f>
        <v>185.81</v>
      </c>
      <c r="BW370" s="18">
        <f>[1]monsters!$R370</f>
        <v>37.200000000000003</v>
      </c>
      <c r="BX370" s="18">
        <f>[1]monsters!$S370</f>
        <v>3.72</v>
      </c>
      <c r="BY370" s="18">
        <f>[1]monsters!$K370</f>
        <v>1.5</v>
      </c>
      <c r="BZ370" s="5">
        <f>[1]monsters!$D370</f>
        <v>6</v>
      </c>
      <c r="CA370" s="5">
        <f t="shared" si="234"/>
        <v>0.1</v>
      </c>
      <c r="CB370" s="5">
        <f t="shared" si="235"/>
        <v>414.10094276094276</v>
      </c>
      <c r="CC370" s="5">
        <f t="shared" si="236"/>
        <v>41.410094276094277</v>
      </c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>
        <v>0</v>
      </c>
      <c r="CR370" s="3" t="b">
        <f t="shared" si="208"/>
        <v>1</v>
      </c>
      <c r="CS370" s="3" t="b">
        <f t="shared" si="209"/>
        <v>1</v>
      </c>
      <c r="CT370" s="3" t="b">
        <f t="shared" si="210"/>
        <v>1</v>
      </c>
      <c r="CU370" s="3" t="b">
        <f t="shared" si="211"/>
        <v>1</v>
      </c>
      <c r="CV370" s="3" t="b">
        <f t="shared" si="212"/>
        <v>1</v>
      </c>
      <c r="CW370" s="3" t="b">
        <f t="shared" si="213"/>
        <v>1</v>
      </c>
      <c r="CX370" s="9" t="str">
        <f t="shared" si="214"/>
        <v>5200101</v>
      </c>
      <c r="CY370" s="9" t="str">
        <f t="shared" si="215"/>
        <v>5301102</v>
      </c>
      <c r="CZ370" s="9" t="str">
        <f t="shared" si="216"/>
        <v>5201101</v>
      </c>
      <c r="DA370" s="9" t="str">
        <f t="shared" si="217"/>
        <v>5500103</v>
      </c>
      <c r="DB370" s="9" t="str">
        <f t="shared" si="218"/>
        <v>5500101</v>
      </c>
      <c r="DC370" s="9" t="str">
        <f t="shared" si="219"/>
        <v>5400105</v>
      </c>
      <c r="DD370" s="9">
        <v>10</v>
      </c>
      <c r="DE370" s="9">
        <v>10</v>
      </c>
      <c r="DF370" s="9">
        <v>10</v>
      </c>
      <c r="DG370" s="9">
        <v>10</v>
      </c>
      <c r="DH370" s="9">
        <v>10</v>
      </c>
      <c r="DI370" s="9">
        <v>10</v>
      </c>
      <c r="DJ370" s="9">
        <v>5</v>
      </c>
      <c r="DK370" s="9">
        <v>5</v>
      </c>
      <c r="DL370" s="9">
        <v>5</v>
      </c>
      <c r="DM370" s="9">
        <v>5</v>
      </c>
      <c r="DN370" s="9">
        <v>5</v>
      </c>
      <c r="DO370" s="9">
        <v>5</v>
      </c>
      <c r="DP370" s="27" t="s">
        <v>194</v>
      </c>
      <c r="DQ370" s="27" t="s">
        <v>201</v>
      </c>
      <c r="DR370" s="27" t="s">
        <v>195</v>
      </c>
      <c r="DS370" s="25" t="s">
        <v>207</v>
      </c>
      <c r="DT370" s="25" t="s">
        <v>197</v>
      </c>
      <c r="DU370" s="25" t="s">
        <v>210</v>
      </c>
      <c r="DV370" s="25">
        <f t="shared" si="220"/>
        <v>1</v>
      </c>
      <c r="DW370" s="25">
        <f t="shared" si="221"/>
        <v>1</v>
      </c>
      <c r="DX370" s="25">
        <f t="shared" si="222"/>
        <v>1</v>
      </c>
      <c r="DY370" s="25">
        <f t="shared" si="223"/>
        <v>2</v>
      </c>
      <c r="DZ370" s="25">
        <f t="shared" si="224"/>
        <v>2</v>
      </c>
      <c r="EA370" s="3">
        <f t="shared" si="225"/>
        <v>2</v>
      </c>
      <c r="EB370" s="45"/>
      <c r="EC370" s="9">
        <v>5601122</v>
      </c>
      <c r="ED370" s="34" t="s">
        <v>124</v>
      </c>
      <c r="EE370" s="8">
        <v>2</v>
      </c>
    </row>
    <row r="371" spans="1:135" ht="13.5" customHeight="1">
      <c r="A371" s="9">
        <v>368</v>
      </c>
      <c r="B371" s="9">
        <v>1</v>
      </c>
      <c r="C371" s="9">
        <v>2001</v>
      </c>
      <c r="D371" s="9">
        <f t="shared" si="240"/>
        <v>6573211</v>
      </c>
      <c r="E371" s="9" t="str">
        <f t="shared" si="237"/>
        <v>5302105,5202105,5202105,5401103,5402102,5401103</v>
      </c>
      <c r="F371" s="9" t="str">
        <f t="shared" si="238"/>
        <v>10,10,10,10,10,10</v>
      </c>
      <c r="G371" s="9" t="str">
        <f t="shared" si="239"/>
        <v>743,803,803,803,803,803</v>
      </c>
      <c r="H371" s="9">
        <v>187</v>
      </c>
      <c r="I371" s="9" t="s">
        <v>278</v>
      </c>
      <c r="J371" s="9" t="s">
        <v>279</v>
      </c>
      <c r="K371" s="9" t="s">
        <v>279</v>
      </c>
      <c r="L371" s="9" t="s">
        <v>279</v>
      </c>
      <c r="M371" s="36" t="s">
        <v>304</v>
      </c>
      <c r="N371" s="40"/>
      <c r="O371" s="3">
        <f t="shared" si="206"/>
        <v>6573211</v>
      </c>
      <c r="P371" s="9">
        <v>5196214.37</v>
      </c>
      <c r="Q371" s="9">
        <v>5302105</v>
      </c>
      <c r="R371" s="9">
        <v>5202105</v>
      </c>
      <c r="S371" s="9">
        <v>5202105</v>
      </c>
      <c r="T371" s="9">
        <v>5401103</v>
      </c>
      <c r="U371" s="9">
        <v>5402102</v>
      </c>
      <c r="V371" s="9">
        <v>5401103</v>
      </c>
      <c r="W371" s="9">
        <v>10</v>
      </c>
      <c r="X371" s="9">
        <v>10</v>
      </c>
      <c r="Y371" s="9">
        <v>10</v>
      </c>
      <c r="Z371" s="9">
        <v>10</v>
      </c>
      <c r="AA371" s="9">
        <v>10</v>
      </c>
      <c r="AB371" s="9">
        <v>10</v>
      </c>
      <c r="AC371" s="9">
        <f t="shared" si="226"/>
        <v>743</v>
      </c>
      <c r="AD371" s="9">
        <f t="shared" si="227"/>
        <v>803</v>
      </c>
      <c r="AE371" s="9">
        <f t="shared" si="228"/>
        <v>803</v>
      </c>
      <c r="AF371" s="9">
        <f t="shared" si="229"/>
        <v>803</v>
      </c>
      <c r="AG371" s="9">
        <f t="shared" si="230"/>
        <v>803</v>
      </c>
      <c r="AH371" s="9">
        <f t="shared" si="231"/>
        <v>803</v>
      </c>
      <c r="AI371" s="7">
        <f t="shared" si="244"/>
        <v>866035.72833333339</v>
      </c>
      <c r="AJ371" s="7">
        <f t="shared" si="243"/>
        <v>866035.72833333339</v>
      </c>
      <c r="AK371" s="7">
        <f t="shared" si="243"/>
        <v>866035.72833333339</v>
      </c>
      <c r="AL371" s="7">
        <f t="shared" si="243"/>
        <v>866035.72833333339</v>
      </c>
      <c r="AM371" s="7">
        <f t="shared" si="243"/>
        <v>866035.72833333339</v>
      </c>
      <c r="AN371" s="7">
        <f t="shared" si="243"/>
        <v>866035.72833333339</v>
      </c>
      <c r="AO371" s="16"/>
      <c r="AP371" s="7"/>
      <c r="AQ371" s="9">
        <v>7</v>
      </c>
      <c r="AR371" s="9">
        <f t="shared" si="232"/>
        <v>905</v>
      </c>
      <c r="AS371" s="7">
        <f t="shared" si="241"/>
        <v>284</v>
      </c>
      <c r="AT371" s="7"/>
      <c r="AU371" s="16"/>
      <c r="AV371" s="7"/>
      <c r="AW371" s="7"/>
      <c r="AX371" s="7"/>
      <c r="AZ371" s="7"/>
      <c r="BA371" s="9">
        <f t="shared" si="242"/>
        <v>593507.5400000005</v>
      </c>
      <c r="BC371" s="5">
        <f t="shared" si="233"/>
        <v>694</v>
      </c>
      <c r="BR371" s="5">
        <v>1101011</v>
      </c>
      <c r="BS371" s="18">
        <f>[1]monsters!$N371</f>
        <v>240</v>
      </c>
      <c r="BT371" s="18">
        <f>[1]monsters!$O371</f>
        <v>24</v>
      </c>
      <c r="BU371" s="18">
        <f>[1]monsters!$P371</f>
        <v>2880</v>
      </c>
      <c r="BV371" s="18">
        <f>[1]monsters!$Q371</f>
        <v>288</v>
      </c>
      <c r="BW371" s="18">
        <f>[1]monsters!$R371</f>
        <v>60</v>
      </c>
      <c r="BX371" s="18">
        <f>[1]monsters!$S371</f>
        <v>6</v>
      </c>
      <c r="BY371" s="18">
        <f>[1]monsters!$K371</f>
        <v>1.5</v>
      </c>
      <c r="BZ371" s="5">
        <f>[1]monsters!$D371</f>
        <v>2</v>
      </c>
      <c r="CA371" s="5">
        <f t="shared" si="234"/>
        <v>0.1</v>
      </c>
      <c r="CB371" s="5">
        <f t="shared" si="235"/>
        <v>323.76969696969695</v>
      </c>
      <c r="CC371" s="5">
        <f t="shared" si="236"/>
        <v>32.376969696969695</v>
      </c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>
        <v>0</v>
      </c>
      <c r="CR371" s="3" t="b">
        <f t="shared" si="208"/>
        <v>1</v>
      </c>
      <c r="CS371" s="3" t="b">
        <f t="shared" si="209"/>
        <v>1</v>
      </c>
      <c r="CT371" s="3" t="b">
        <f t="shared" si="210"/>
        <v>1</v>
      </c>
      <c r="CU371" s="3" t="b">
        <f t="shared" si="211"/>
        <v>1</v>
      </c>
      <c r="CV371" s="3" t="b">
        <f t="shared" si="212"/>
        <v>1</v>
      </c>
      <c r="CW371" s="3" t="b">
        <f t="shared" si="213"/>
        <v>1</v>
      </c>
      <c r="CX371" s="9" t="str">
        <f t="shared" si="214"/>
        <v>5302105</v>
      </c>
      <c r="CY371" s="9" t="str">
        <f t="shared" si="215"/>
        <v>5202105</v>
      </c>
      <c r="CZ371" s="9" t="str">
        <f t="shared" si="216"/>
        <v>5202105</v>
      </c>
      <c r="DA371" s="9" t="str">
        <f t="shared" si="217"/>
        <v>5401103</v>
      </c>
      <c r="DB371" s="9" t="str">
        <f t="shared" si="218"/>
        <v>5402102</v>
      </c>
      <c r="DC371" s="9" t="str">
        <f t="shared" si="219"/>
        <v>5401103</v>
      </c>
      <c r="DD371" s="9">
        <v>10</v>
      </c>
      <c r="DE371" s="9">
        <v>10</v>
      </c>
      <c r="DF371" s="9">
        <v>10</v>
      </c>
      <c r="DG371" s="9">
        <v>10</v>
      </c>
      <c r="DH371" s="9">
        <v>10</v>
      </c>
      <c r="DI371" s="9">
        <v>10</v>
      </c>
      <c r="DJ371" s="9">
        <v>5</v>
      </c>
      <c r="DK371" s="9">
        <v>5</v>
      </c>
      <c r="DL371" s="9">
        <v>5</v>
      </c>
      <c r="DM371" s="9">
        <v>5</v>
      </c>
      <c r="DN371" s="9">
        <v>5</v>
      </c>
      <c r="DO371" s="9">
        <v>5</v>
      </c>
      <c r="DP371" s="25" t="s">
        <v>221</v>
      </c>
      <c r="DQ371" s="25" t="s">
        <v>213</v>
      </c>
      <c r="DR371" s="25" t="s">
        <v>213</v>
      </c>
      <c r="DS371" s="25" t="s">
        <v>211</v>
      </c>
      <c r="DT371" s="25" t="s">
        <v>203</v>
      </c>
      <c r="DU371" s="25" t="s">
        <v>211</v>
      </c>
      <c r="DV371" s="25">
        <f t="shared" si="220"/>
        <v>1</v>
      </c>
      <c r="DW371" s="25">
        <f t="shared" si="221"/>
        <v>1</v>
      </c>
      <c r="DX371" s="25">
        <f t="shared" si="222"/>
        <v>1</v>
      </c>
      <c r="DY371" s="25">
        <f t="shared" si="223"/>
        <v>2</v>
      </c>
      <c r="DZ371" s="25">
        <f t="shared" si="224"/>
        <v>2</v>
      </c>
      <c r="EA371" s="3">
        <f t="shared" si="225"/>
        <v>2</v>
      </c>
      <c r="EB371" s="45"/>
      <c r="EC371" s="9">
        <v>5200123</v>
      </c>
      <c r="ED371" s="34" t="s">
        <v>113</v>
      </c>
      <c r="EE371" s="8">
        <v>1</v>
      </c>
    </row>
    <row r="372" spans="1:135" ht="13.5" customHeight="1">
      <c r="A372" s="9">
        <v>369</v>
      </c>
      <c r="B372" s="9">
        <v>1</v>
      </c>
      <c r="C372" s="9">
        <v>2001</v>
      </c>
      <c r="D372" s="9">
        <f t="shared" si="240"/>
        <v>6598541</v>
      </c>
      <c r="E372" s="9" t="str">
        <f t="shared" si="237"/>
        <v>5202103,5202102,5202103,5400105,5401101,5502101</v>
      </c>
      <c r="F372" s="9" t="str">
        <f t="shared" si="238"/>
        <v>10,10,10,10,10,10</v>
      </c>
      <c r="G372" s="9" t="str">
        <f t="shared" si="239"/>
        <v>744,805,805,805,805,805</v>
      </c>
      <c r="H372" s="9">
        <v>187</v>
      </c>
      <c r="I372" s="9" t="s">
        <v>278</v>
      </c>
      <c r="J372" s="9" t="s">
        <v>279</v>
      </c>
      <c r="K372" s="9" t="s">
        <v>279</v>
      </c>
      <c r="L372" s="9" t="s">
        <v>279</v>
      </c>
      <c r="M372" s="36" t="s">
        <v>304</v>
      </c>
      <c r="N372" s="40"/>
      <c r="O372" s="3">
        <f t="shared" si="206"/>
        <v>6598541</v>
      </c>
      <c r="P372" s="9">
        <v>5216237.75</v>
      </c>
      <c r="Q372" s="9">
        <v>5202103</v>
      </c>
      <c r="R372" s="9">
        <v>5202102</v>
      </c>
      <c r="S372" s="9">
        <v>5202103</v>
      </c>
      <c r="T372" s="9">
        <v>5400105</v>
      </c>
      <c r="U372" s="9">
        <v>5401101</v>
      </c>
      <c r="V372" s="9">
        <v>5502101</v>
      </c>
      <c r="W372" s="9">
        <v>10</v>
      </c>
      <c r="X372" s="9">
        <v>10</v>
      </c>
      <c r="Y372" s="9">
        <v>10</v>
      </c>
      <c r="Z372" s="9">
        <v>10</v>
      </c>
      <c r="AA372" s="9">
        <v>10</v>
      </c>
      <c r="AB372" s="9">
        <v>10</v>
      </c>
      <c r="AC372" s="9">
        <f t="shared" si="226"/>
        <v>744</v>
      </c>
      <c r="AD372" s="9">
        <f t="shared" si="227"/>
        <v>805</v>
      </c>
      <c r="AE372" s="9">
        <f t="shared" si="228"/>
        <v>805</v>
      </c>
      <c r="AF372" s="9">
        <f t="shared" si="229"/>
        <v>805</v>
      </c>
      <c r="AG372" s="9">
        <f t="shared" si="230"/>
        <v>805</v>
      </c>
      <c r="AH372" s="9">
        <f t="shared" si="231"/>
        <v>805</v>
      </c>
      <c r="AI372" s="7">
        <f t="shared" si="244"/>
        <v>869372.95833333337</v>
      </c>
      <c r="AJ372" s="7">
        <f t="shared" si="243"/>
        <v>869372.95833333337</v>
      </c>
      <c r="AK372" s="7">
        <f t="shared" si="243"/>
        <v>869372.95833333337</v>
      </c>
      <c r="AL372" s="7">
        <f t="shared" si="243"/>
        <v>869372.95833333337</v>
      </c>
      <c r="AM372" s="7">
        <f t="shared" si="243"/>
        <v>869372.95833333337</v>
      </c>
      <c r="AN372" s="7">
        <f t="shared" si="243"/>
        <v>869372.95833333337</v>
      </c>
      <c r="AO372" s="16"/>
      <c r="AP372" s="7"/>
      <c r="AQ372" s="9">
        <v>7</v>
      </c>
      <c r="AR372" s="9">
        <f t="shared" si="232"/>
        <v>907</v>
      </c>
      <c r="AS372" s="7">
        <f t="shared" si="241"/>
        <v>284</v>
      </c>
      <c r="AT372" s="7"/>
      <c r="AU372" s="16"/>
      <c r="AV372" s="7"/>
      <c r="AW372" s="7"/>
      <c r="AX372" s="7"/>
      <c r="AZ372" s="7"/>
      <c r="BA372" s="9">
        <f t="shared" si="242"/>
        <v>598400.07000000053</v>
      </c>
      <c r="BC372" s="5">
        <f t="shared" si="233"/>
        <v>695</v>
      </c>
      <c r="BR372" s="5">
        <v>1102011</v>
      </c>
      <c r="BS372" s="18">
        <f>[1]monsters!$N372</f>
        <v>230.4</v>
      </c>
      <c r="BT372" s="18">
        <f>[1]monsters!$O372</f>
        <v>23.04</v>
      </c>
      <c r="BU372" s="18">
        <f>[1]monsters!$P372</f>
        <v>3600</v>
      </c>
      <c r="BV372" s="18">
        <f>[1]monsters!$Q372</f>
        <v>360</v>
      </c>
      <c r="BW372" s="18">
        <f>[1]monsters!$R372</f>
        <v>76.8</v>
      </c>
      <c r="BX372" s="18">
        <f>[1]monsters!$S372</f>
        <v>7.68</v>
      </c>
      <c r="BY372" s="18">
        <f>[1]monsters!$K372</f>
        <v>1.8</v>
      </c>
      <c r="BZ372" s="5">
        <f>[1]monsters!$D372</f>
        <v>2</v>
      </c>
      <c r="CA372" s="5">
        <f t="shared" si="234"/>
        <v>0.1</v>
      </c>
      <c r="CB372" s="5">
        <f t="shared" si="235"/>
        <v>338.9401212121212</v>
      </c>
      <c r="CC372" s="5">
        <f t="shared" si="236"/>
        <v>33.894012121212121</v>
      </c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>
        <v>0</v>
      </c>
      <c r="CR372" s="3" t="b">
        <f t="shared" si="208"/>
        <v>1</v>
      </c>
      <c r="CS372" s="3" t="b">
        <f t="shared" si="209"/>
        <v>1</v>
      </c>
      <c r="CT372" s="3" t="b">
        <f t="shared" si="210"/>
        <v>1</v>
      </c>
      <c r="CU372" s="3" t="b">
        <f t="shared" si="211"/>
        <v>1</v>
      </c>
      <c r="CV372" s="3" t="b">
        <f t="shared" si="212"/>
        <v>1</v>
      </c>
      <c r="CW372" s="3" t="b">
        <f t="shared" si="213"/>
        <v>1</v>
      </c>
      <c r="CX372" s="9" t="str">
        <f t="shared" si="214"/>
        <v>5202103</v>
      </c>
      <c r="CY372" s="9" t="str">
        <f t="shared" si="215"/>
        <v>5202102</v>
      </c>
      <c r="CZ372" s="9" t="str">
        <f t="shared" si="216"/>
        <v>5202103</v>
      </c>
      <c r="DA372" s="9" t="str">
        <f t="shared" si="217"/>
        <v>5400105</v>
      </c>
      <c r="DB372" s="9" t="str">
        <f t="shared" si="218"/>
        <v>5401101</v>
      </c>
      <c r="DC372" s="9" t="str">
        <f t="shared" si="219"/>
        <v>5502101</v>
      </c>
      <c r="DD372" s="9">
        <v>10</v>
      </c>
      <c r="DE372" s="9">
        <v>10</v>
      </c>
      <c r="DF372" s="9">
        <v>10</v>
      </c>
      <c r="DG372" s="9">
        <v>10</v>
      </c>
      <c r="DH372" s="9">
        <v>10</v>
      </c>
      <c r="DI372" s="9">
        <v>10</v>
      </c>
      <c r="DJ372" s="9">
        <v>5</v>
      </c>
      <c r="DK372" s="9">
        <v>5</v>
      </c>
      <c r="DL372" s="9">
        <v>5</v>
      </c>
      <c r="DM372" s="9">
        <v>5</v>
      </c>
      <c r="DN372" s="9">
        <v>5</v>
      </c>
      <c r="DO372" s="9">
        <v>5</v>
      </c>
      <c r="DP372" s="25" t="s">
        <v>208</v>
      </c>
      <c r="DQ372" s="25" t="s">
        <v>200</v>
      </c>
      <c r="DR372" s="25" t="s">
        <v>208</v>
      </c>
      <c r="DS372" s="25" t="s">
        <v>210</v>
      </c>
      <c r="DT372" s="25" t="s">
        <v>117</v>
      </c>
      <c r="DU372" s="25" t="s">
        <v>119</v>
      </c>
      <c r="DV372" s="25">
        <f t="shared" si="220"/>
        <v>1</v>
      </c>
      <c r="DW372" s="25">
        <f t="shared" si="221"/>
        <v>1</v>
      </c>
      <c r="DX372" s="25">
        <f t="shared" si="222"/>
        <v>1</v>
      </c>
      <c r="DY372" s="25">
        <f t="shared" si="223"/>
        <v>2</v>
      </c>
      <c r="DZ372" s="25">
        <f t="shared" si="224"/>
        <v>2</v>
      </c>
      <c r="EA372" s="3">
        <f t="shared" si="225"/>
        <v>2</v>
      </c>
      <c r="EB372" s="45"/>
      <c r="EC372" s="9">
        <v>5201123</v>
      </c>
      <c r="ED372" s="34" t="s">
        <v>205</v>
      </c>
      <c r="EE372" s="8">
        <v>1</v>
      </c>
    </row>
    <row r="373" spans="1:135" ht="13.5" customHeight="1">
      <c r="A373" s="9">
        <v>370</v>
      </c>
      <c r="B373" s="9">
        <v>1</v>
      </c>
      <c r="C373" s="9">
        <v>2001</v>
      </c>
      <c r="D373" s="9">
        <f t="shared" si="240"/>
        <v>6623918</v>
      </c>
      <c r="E373" s="9" t="str">
        <f t="shared" si="237"/>
        <v>5201101,5201101,5200101,5601101,5501104,5501104</v>
      </c>
      <c r="F373" s="9" t="str">
        <f t="shared" si="238"/>
        <v>10,10,10,10,10,10</v>
      </c>
      <c r="G373" s="9" t="str">
        <f t="shared" si="239"/>
        <v>746,806,806,806,806,806</v>
      </c>
      <c r="H373" s="9">
        <v>188</v>
      </c>
      <c r="I373" s="9" t="s">
        <v>278</v>
      </c>
      <c r="J373" s="9" t="s">
        <v>279</v>
      </c>
      <c r="K373" s="9" t="s">
        <v>279</v>
      </c>
      <c r="L373" s="9" t="s">
        <v>279</v>
      </c>
      <c r="M373" s="36" t="s">
        <v>304</v>
      </c>
      <c r="O373" s="3">
        <f t="shared" si="206"/>
        <v>6623918</v>
      </c>
      <c r="P373" s="9">
        <v>5236298.9400000004</v>
      </c>
      <c r="Q373" s="9">
        <v>5201101</v>
      </c>
      <c r="R373" s="9">
        <v>5201101</v>
      </c>
      <c r="S373" s="9">
        <v>5200101</v>
      </c>
      <c r="T373" s="9">
        <v>5601101</v>
      </c>
      <c r="U373" s="9">
        <v>5501104</v>
      </c>
      <c r="V373" s="9">
        <v>5501104</v>
      </c>
      <c r="W373" s="9">
        <v>10</v>
      </c>
      <c r="X373" s="9">
        <v>10</v>
      </c>
      <c r="Y373" s="9">
        <v>10</v>
      </c>
      <c r="Z373" s="9">
        <v>10</v>
      </c>
      <c r="AA373" s="9">
        <v>10</v>
      </c>
      <c r="AB373" s="9">
        <v>10</v>
      </c>
      <c r="AC373" s="9">
        <f t="shared" si="226"/>
        <v>746</v>
      </c>
      <c r="AD373" s="9">
        <f t="shared" si="227"/>
        <v>806</v>
      </c>
      <c r="AE373" s="9">
        <f t="shared" si="228"/>
        <v>806</v>
      </c>
      <c r="AF373" s="9">
        <f t="shared" si="229"/>
        <v>806</v>
      </c>
      <c r="AG373" s="9">
        <f t="shared" si="230"/>
        <v>806</v>
      </c>
      <c r="AH373" s="9">
        <f t="shared" si="231"/>
        <v>806</v>
      </c>
      <c r="AI373" s="7">
        <f t="shared" si="244"/>
        <v>872716.49000000011</v>
      </c>
      <c r="AJ373" s="7">
        <f t="shared" si="243"/>
        <v>872716.49000000011</v>
      </c>
      <c r="AK373" s="7">
        <f t="shared" si="243"/>
        <v>872716.49000000011</v>
      </c>
      <c r="AL373" s="7">
        <f t="shared" si="243"/>
        <v>872716.49000000011</v>
      </c>
      <c r="AM373" s="7">
        <f t="shared" si="243"/>
        <v>872716.49000000011</v>
      </c>
      <c r="AN373" s="7">
        <f t="shared" si="243"/>
        <v>872716.49000000011</v>
      </c>
      <c r="AO373" s="16"/>
      <c r="AP373" s="7"/>
      <c r="AQ373" s="9">
        <v>7</v>
      </c>
      <c r="AR373" s="9">
        <f t="shared" si="232"/>
        <v>909</v>
      </c>
      <c r="AS373" s="7">
        <f t="shared" si="241"/>
        <v>285</v>
      </c>
      <c r="AT373" s="7"/>
      <c r="AU373" s="16"/>
      <c r="AV373" s="7"/>
      <c r="AW373" s="7"/>
      <c r="AX373" s="7"/>
      <c r="AZ373" s="7"/>
      <c r="BA373" s="9">
        <f t="shared" si="242"/>
        <v>603292.60000000056</v>
      </c>
      <c r="BC373" s="5">
        <f t="shared" si="233"/>
        <v>697</v>
      </c>
      <c r="BR373" s="5">
        <v>1206012</v>
      </c>
      <c r="BS373" s="18">
        <f>[1]monsters!$N373</f>
        <v>259.2</v>
      </c>
      <c r="BT373" s="18">
        <f>[1]monsters!$O373</f>
        <v>25.92</v>
      </c>
      <c r="BU373" s="18">
        <f>[1]monsters!$P373</f>
        <v>3200</v>
      </c>
      <c r="BV373" s="18">
        <f>[1]monsters!$Q373</f>
        <v>320</v>
      </c>
      <c r="BW373" s="18">
        <f>[1]monsters!$R373</f>
        <v>51.84</v>
      </c>
      <c r="BX373" s="18">
        <f>[1]monsters!$S373</f>
        <v>5.18</v>
      </c>
      <c r="BY373" s="18">
        <f>[1]monsters!$K373</f>
        <v>1.8</v>
      </c>
      <c r="BZ373" s="5">
        <f>[1]monsters!$D373</f>
        <v>2</v>
      </c>
      <c r="CA373" s="5">
        <f t="shared" si="234"/>
        <v>0.1</v>
      </c>
      <c r="CB373" s="5">
        <f t="shared" si="235"/>
        <v>352.68810774410775</v>
      </c>
      <c r="CC373" s="5">
        <f t="shared" si="236"/>
        <v>35.268810774410774</v>
      </c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>
        <v>1</v>
      </c>
      <c r="CR373" s="3" t="b">
        <f t="shared" si="208"/>
        <v>1</v>
      </c>
      <c r="CS373" s="3" t="b">
        <f t="shared" si="209"/>
        <v>1</v>
      </c>
      <c r="CT373" s="3" t="b">
        <f t="shared" si="210"/>
        <v>1</v>
      </c>
      <c r="CU373" s="3" t="b">
        <f t="shared" si="211"/>
        <v>1</v>
      </c>
      <c r="CV373" s="3" t="b">
        <f t="shared" si="212"/>
        <v>1</v>
      </c>
      <c r="CW373" s="3" t="b">
        <f t="shared" si="213"/>
        <v>1</v>
      </c>
      <c r="CX373" s="9" t="str">
        <f t="shared" si="214"/>
        <v>5201101</v>
      </c>
      <c r="CY373" s="9" t="str">
        <f t="shared" si="215"/>
        <v>5201101</v>
      </c>
      <c r="CZ373" s="9" t="str">
        <f t="shared" si="216"/>
        <v>5200101</v>
      </c>
      <c r="DA373" s="9" t="str">
        <f t="shared" si="217"/>
        <v>5601101</v>
      </c>
      <c r="DB373" s="9" t="str">
        <f t="shared" si="218"/>
        <v>5501104</v>
      </c>
      <c r="DC373" s="9" t="str">
        <f t="shared" si="219"/>
        <v>5501104</v>
      </c>
      <c r="DD373" s="9">
        <v>10</v>
      </c>
      <c r="DE373" s="9">
        <v>10</v>
      </c>
      <c r="DF373" s="9">
        <v>10</v>
      </c>
      <c r="DG373" s="9">
        <v>10</v>
      </c>
      <c r="DH373" s="9">
        <v>10</v>
      </c>
      <c r="DI373" s="9">
        <v>10</v>
      </c>
      <c r="DJ373" s="9">
        <v>5</v>
      </c>
      <c r="DK373" s="9">
        <v>5</v>
      </c>
      <c r="DL373" s="9">
        <v>5</v>
      </c>
      <c r="DM373" s="9">
        <v>5</v>
      </c>
      <c r="DN373" s="9">
        <v>5</v>
      </c>
      <c r="DO373" s="9">
        <v>5</v>
      </c>
      <c r="DP373" s="25" t="s">
        <v>195</v>
      </c>
      <c r="DQ373" s="25" t="s">
        <v>195</v>
      </c>
      <c r="DR373" s="25" t="s">
        <v>194</v>
      </c>
      <c r="DS373" s="25" t="s">
        <v>198</v>
      </c>
      <c r="DT373" s="25" t="s">
        <v>214</v>
      </c>
      <c r="DU373" s="25" t="s">
        <v>214</v>
      </c>
      <c r="DV373" s="25">
        <f t="shared" si="220"/>
        <v>1</v>
      </c>
      <c r="DW373" s="25">
        <f t="shared" si="221"/>
        <v>1</v>
      </c>
      <c r="DX373" s="25">
        <f t="shared" si="222"/>
        <v>1</v>
      </c>
      <c r="DY373" s="25">
        <f t="shared" si="223"/>
        <v>2</v>
      </c>
      <c r="DZ373" s="25">
        <f t="shared" si="224"/>
        <v>2</v>
      </c>
      <c r="EA373" s="3">
        <f t="shared" si="225"/>
        <v>2</v>
      </c>
      <c r="EB373" s="47"/>
      <c r="EC373" s="9">
        <v>5202123</v>
      </c>
      <c r="ED373" s="34" t="s">
        <v>208</v>
      </c>
      <c r="EE373" s="8">
        <v>1</v>
      </c>
    </row>
    <row r="374" spans="1:135" ht="13.5" customHeight="1">
      <c r="A374" s="9">
        <v>371</v>
      </c>
      <c r="B374" s="9">
        <v>1</v>
      </c>
      <c r="C374" s="9">
        <v>2001</v>
      </c>
      <c r="D374" s="9">
        <f t="shared" si="240"/>
        <v>6649346</v>
      </c>
      <c r="E374" s="9" t="str">
        <f t="shared" si="237"/>
        <v>5300105,5202105,5202105,5400105,5501105,5400105</v>
      </c>
      <c r="F374" s="9" t="str">
        <f t="shared" si="238"/>
        <v>10,10,10,10,10,10</v>
      </c>
      <c r="G374" s="9" t="str">
        <f t="shared" si="239"/>
        <v>747,808,808,808,808,808</v>
      </c>
      <c r="H374" s="9">
        <v>188</v>
      </c>
      <c r="I374" s="9" t="s">
        <v>278</v>
      </c>
      <c r="J374" s="9" t="s">
        <v>279</v>
      </c>
      <c r="K374" s="9" t="s">
        <v>279</v>
      </c>
      <c r="L374" s="9" t="s">
        <v>279</v>
      </c>
      <c r="M374" s="36" t="s">
        <v>304</v>
      </c>
      <c r="N374" s="40"/>
      <c r="O374" s="3">
        <f t="shared" si="206"/>
        <v>6649346</v>
      </c>
      <c r="P374" s="9">
        <v>5256399.93</v>
      </c>
      <c r="Q374" s="9">
        <v>5300105</v>
      </c>
      <c r="R374" s="9">
        <v>5202105</v>
      </c>
      <c r="S374" s="9">
        <v>5202105</v>
      </c>
      <c r="T374" s="9">
        <v>5400105</v>
      </c>
      <c r="U374" s="9">
        <v>5501105</v>
      </c>
      <c r="V374" s="9">
        <v>5400105</v>
      </c>
      <c r="W374" s="9">
        <v>10</v>
      </c>
      <c r="X374" s="9">
        <v>10</v>
      </c>
      <c r="Y374" s="9">
        <v>10</v>
      </c>
      <c r="Z374" s="9">
        <v>10</v>
      </c>
      <c r="AA374" s="9">
        <v>10</v>
      </c>
      <c r="AB374" s="9">
        <v>10</v>
      </c>
      <c r="AC374" s="9">
        <f t="shared" si="226"/>
        <v>747</v>
      </c>
      <c r="AD374" s="9">
        <f t="shared" si="227"/>
        <v>808</v>
      </c>
      <c r="AE374" s="9">
        <f t="shared" si="228"/>
        <v>808</v>
      </c>
      <c r="AF374" s="9">
        <f t="shared" si="229"/>
        <v>808</v>
      </c>
      <c r="AG374" s="9">
        <f t="shared" si="230"/>
        <v>808</v>
      </c>
      <c r="AH374" s="9">
        <f t="shared" si="231"/>
        <v>808</v>
      </c>
      <c r="AI374" s="7">
        <f t="shared" si="244"/>
        <v>876066.65499999991</v>
      </c>
      <c r="AJ374" s="7">
        <f t="shared" si="243"/>
        <v>876066.65499999991</v>
      </c>
      <c r="AK374" s="7">
        <f t="shared" si="243"/>
        <v>876066.65499999991</v>
      </c>
      <c r="AL374" s="7">
        <f t="shared" si="243"/>
        <v>876066.65499999991</v>
      </c>
      <c r="AM374" s="7">
        <f t="shared" si="243"/>
        <v>876066.65499999991</v>
      </c>
      <c r="AN374" s="7">
        <f t="shared" si="243"/>
        <v>876066.65499999991</v>
      </c>
      <c r="AO374" s="16"/>
      <c r="AP374" s="7"/>
      <c r="AQ374" s="9">
        <v>7</v>
      </c>
      <c r="AR374" s="9">
        <f t="shared" si="232"/>
        <v>911</v>
      </c>
      <c r="AS374" s="7">
        <f t="shared" si="241"/>
        <v>285</v>
      </c>
      <c r="AT374" s="7"/>
      <c r="AU374" s="16"/>
      <c r="AV374" s="7"/>
      <c r="AW374" s="7"/>
      <c r="AX374" s="7"/>
      <c r="AZ374" s="7"/>
      <c r="BA374" s="9">
        <f t="shared" si="242"/>
        <v>608185.13000000059</v>
      </c>
      <c r="BC374" s="5">
        <f t="shared" si="233"/>
        <v>698</v>
      </c>
      <c r="BR374" s="5">
        <v>1406012</v>
      </c>
      <c r="BS374" s="18">
        <f>[1]monsters!$N374</f>
        <v>172.8</v>
      </c>
      <c r="BT374" s="18">
        <f>[1]monsters!$O374</f>
        <v>17.28</v>
      </c>
      <c r="BU374" s="18">
        <f>[1]monsters!$P374</f>
        <v>3200</v>
      </c>
      <c r="BV374" s="18">
        <f>[1]monsters!$Q374</f>
        <v>320</v>
      </c>
      <c r="BW374" s="18">
        <f>[1]monsters!$R374</f>
        <v>34.56</v>
      </c>
      <c r="BX374" s="18">
        <f>[1]monsters!$S374</f>
        <v>3.46</v>
      </c>
      <c r="BY374" s="18">
        <f>[1]monsters!$K374</f>
        <v>1.2</v>
      </c>
      <c r="BZ374" s="5">
        <f>[1]monsters!$D374</f>
        <v>3</v>
      </c>
      <c r="CA374" s="5">
        <f t="shared" si="234"/>
        <v>0.1</v>
      </c>
      <c r="CB374" s="5">
        <f t="shared" si="235"/>
        <v>271.04010774410779</v>
      </c>
      <c r="CC374" s="5">
        <f t="shared" si="236"/>
        <v>27.104010774410781</v>
      </c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>
        <v>0</v>
      </c>
      <c r="CR374" s="3" t="b">
        <f t="shared" si="208"/>
        <v>1</v>
      </c>
      <c r="CS374" s="3" t="b">
        <f t="shared" si="209"/>
        <v>1</v>
      </c>
      <c r="CT374" s="3" t="b">
        <f t="shared" si="210"/>
        <v>1</v>
      </c>
      <c r="CU374" s="3" t="b">
        <f t="shared" si="211"/>
        <v>1</v>
      </c>
      <c r="CV374" s="3" t="b">
        <f t="shared" si="212"/>
        <v>1</v>
      </c>
      <c r="CW374" s="3" t="b">
        <f t="shared" si="213"/>
        <v>1</v>
      </c>
      <c r="CX374" s="9" t="str">
        <f t="shared" si="214"/>
        <v>5300105</v>
      </c>
      <c r="CY374" s="9" t="str">
        <f t="shared" si="215"/>
        <v>5202105</v>
      </c>
      <c r="CZ374" s="9" t="str">
        <f t="shared" si="216"/>
        <v>5202105</v>
      </c>
      <c r="DA374" s="9" t="str">
        <f t="shared" si="217"/>
        <v>5400105</v>
      </c>
      <c r="DB374" s="9" t="str">
        <f t="shared" si="218"/>
        <v>5501105</v>
      </c>
      <c r="DC374" s="9" t="str">
        <f t="shared" si="219"/>
        <v>5400105</v>
      </c>
      <c r="DD374" s="9">
        <v>10</v>
      </c>
      <c r="DE374" s="9">
        <v>10</v>
      </c>
      <c r="DF374" s="9">
        <v>10</v>
      </c>
      <c r="DG374" s="9">
        <v>10</v>
      </c>
      <c r="DH374" s="9">
        <v>10</v>
      </c>
      <c r="DI374" s="9">
        <v>10</v>
      </c>
      <c r="DJ374" s="9">
        <v>5</v>
      </c>
      <c r="DK374" s="9">
        <v>5</v>
      </c>
      <c r="DL374" s="9">
        <v>5</v>
      </c>
      <c r="DM374" s="9">
        <v>5</v>
      </c>
      <c r="DN374" s="9">
        <v>5</v>
      </c>
      <c r="DO374" s="9">
        <v>5</v>
      </c>
      <c r="DP374" s="25" t="s">
        <v>212</v>
      </c>
      <c r="DQ374" s="25" t="s">
        <v>213</v>
      </c>
      <c r="DR374" s="25" t="s">
        <v>213</v>
      </c>
      <c r="DS374" s="25" t="s">
        <v>210</v>
      </c>
      <c r="DT374" s="25" t="s">
        <v>209</v>
      </c>
      <c r="DU374" s="25" t="s">
        <v>210</v>
      </c>
      <c r="DV374" s="25">
        <f t="shared" si="220"/>
        <v>1</v>
      </c>
      <c r="DW374" s="25">
        <f t="shared" si="221"/>
        <v>1</v>
      </c>
      <c r="DX374" s="25">
        <f t="shared" si="222"/>
        <v>1</v>
      </c>
      <c r="DY374" s="25">
        <f t="shared" si="223"/>
        <v>2</v>
      </c>
      <c r="DZ374" s="25">
        <f t="shared" si="224"/>
        <v>2</v>
      </c>
      <c r="EA374" s="3">
        <f t="shared" si="225"/>
        <v>2</v>
      </c>
      <c r="EB374" s="47"/>
      <c r="EC374" s="9">
        <v>5301123</v>
      </c>
      <c r="ED374" s="34" t="s">
        <v>206</v>
      </c>
      <c r="EE374" s="8">
        <v>1</v>
      </c>
    </row>
    <row r="375" spans="1:135" ht="13.5" customHeight="1">
      <c r="A375" s="9">
        <v>372</v>
      </c>
      <c r="B375" s="9">
        <v>1</v>
      </c>
      <c r="C375" s="9">
        <v>2001</v>
      </c>
      <c r="D375" s="9">
        <f t="shared" si="240"/>
        <v>6674821</v>
      </c>
      <c r="E375" s="9" t="str">
        <f t="shared" si="237"/>
        <v>5301101,5301102,5301102,5500102,5400105,5502103</v>
      </c>
      <c r="F375" s="9" t="str">
        <f t="shared" si="238"/>
        <v>10,10,10,10,10,10</v>
      </c>
      <c r="G375" s="9" t="str">
        <f t="shared" si="239"/>
        <v>749,809,809,809,809,809</v>
      </c>
      <c r="H375" s="9">
        <v>188</v>
      </c>
      <c r="I375" s="9" t="s">
        <v>278</v>
      </c>
      <c r="J375" s="9" t="s">
        <v>279</v>
      </c>
      <c r="K375" s="9" t="s">
        <v>279</v>
      </c>
      <c r="L375" s="9" t="s">
        <v>279</v>
      </c>
      <c r="M375" s="36" t="s">
        <v>304</v>
      </c>
      <c r="N375" s="40"/>
      <c r="O375" s="3">
        <f t="shared" si="206"/>
        <v>6674821</v>
      </c>
      <c r="P375" s="9">
        <v>5276538.7300000004</v>
      </c>
      <c r="Q375" s="9">
        <v>5301101</v>
      </c>
      <c r="R375" s="9">
        <v>5301102</v>
      </c>
      <c r="S375" s="9">
        <v>5301102</v>
      </c>
      <c r="T375" s="9">
        <v>5500102</v>
      </c>
      <c r="U375" s="9">
        <v>5400105</v>
      </c>
      <c r="V375" s="9">
        <v>5502103</v>
      </c>
      <c r="W375" s="9">
        <v>10</v>
      </c>
      <c r="X375" s="9">
        <v>10</v>
      </c>
      <c r="Y375" s="9">
        <v>10</v>
      </c>
      <c r="Z375" s="9">
        <v>10</v>
      </c>
      <c r="AA375" s="9">
        <v>10</v>
      </c>
      <c r="AB375" s="9">
        <v>10</v>
      </c>
      <c r="AC375" s="9">
        <f t="shared" si="226"/>
        <v>749</v>
      </c>
      <c r="AD375" s="9">
        <f t="shared" si="227"/>
        <v>809</v>
      </c>
      <c r="AE375" s="9">
        <f t="shared" si="228"/>
        <v>809</v>
      </c>
      <c r="AF375" s="9">
        <f t="shared" si="229"/>
        <v>809</v>
      </c>
      <c r="AG375" s="9">
        <f t="shared" si="230"/>
        <v>809</v>
      </c>
      <c r="AH375" s="9">
        <f t="shared" si="231"/>
        <v>809</v>
      </c>
      <c r="AI375" s="7">
        <f t="shared" si="244"/>
        <v>879423.1216666667</v>
      </c>
      <c r="AJ375" s="7">
        <f t="shared" si="243"/>
        <v>879423.1216666667</v>
      </c>
      <c r="AK375" s="7">
        <f t="shared" si="243"/>
        <v>879423.1216666667</v>
      </c>
      <c r="AL375" s="7">
        <f t="shared" si="243"/>
        <v>879423.1216666667</v>
      </c>
      <c r="AM375" s="7">
        <f t="shared" si="243"/>
        <v>879423.1216666667</v>
      </c>
      <c r="AN375" s="7">
        <f t="shared" si="243"/>
        <v>879423.1216666667</v>
      </c>
      <c r="AO375" s="16"/>
      <c r="AP375" s="7"/>
      <c r="AQ375" s="9">
        <v>7</v>
      </c>
      <c r="AR375" s="9">
        <f t="shared" si="232"/>
        <v>913</v>
      </c>
      <c r="AS375" s="7">
        <f t="shared" si="241"/>
        <v>286</v>
      </c>
      <c r="AT375" s="7"/>
      <c r="AU375" s="16"/>
      <c r="AV375" s="7"/>
      <c r="AW375" s="7"/>
      <c r="AX375" s="7"/>
      <c r="AZ375" s="7"/>
      <c r="BA375" s="9">
        <f t="shared" si="242"/>
        <v>613077.66000000061</v>
      </c>
      <c r="BC375" s="5">
        <f t="shared" si="233"/>
        <v>700</v>
      </c>
      <c r="BR375" s="5">
        <v>1205012</v>
      </c>
      <c r="BS375" s="18">
        <f>[1]monsters!$N375</f>
        <v>307.2</v>
      </c>
      <c r="BT375" s="18">
        <f>[1]monsters!$O375</f>
        <v>30.72</v>
      </c>
      <c r="BU375" s="18">
        <f>[1]monsters!$P375</f>
        <v>2400</v>
      </c>
      <c r="BV375" s="18">
        <f>[1]monsters!$Q375</f>
        <v>240</v>
      </c>
      <c r="BW375" s="18">
        <f>[1]monsters!$R375</f>
        <v>43.89</v>
      </c>
      <c r="BX375" s="18">
        <f>[1]monsters!$S375</f>
        <v>4.3899999999999997</v>
      </c>
      <c r="BY375" s="18">
        <f>[1]monsters!$K375</f>
        <v>1.6</v>
      </c>
      <c r="BZ375" s="5">
        <f>[1]monsters!$D375</f>
        <v>4</v>
      </c>
      <c r="CA375" s="5">
        <f t="shared" si="234"/>
        <v>0.1</v>
      </c>
      <c r="CB375" s="5">
        <f t="shared" si="235"/>
        <v>371.11208080808086</v>
      </c>
      <c r="CC375" s="5">
        <f t="shared" si="236"/>
        <v>37.11120808080809</v>
      </c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>
        <v>0</v>
      </c>
      <c r="CR375" s="3" t="b">
        <f t="shared" si="208"/>
        <v>1</v>
      </c>
      <c r="CS375" s="3" t="b">
        <f t="shared" si="209"/>
        <v>1</v>
      </c>
      <c r="CT375" s="3" t="b">
        <f t="shared" si="210"/>
        <v>1</v>
      </c>
      <c r="CU375" s="3" t="b">
        <f t="shared" si="211"/>
        <v>1</v>
      </c>
      <c r="CV375" s="3" t="b">
        <f t="shared" si="212"/>
        <v>1</v>
      </c>
      <c r="CW375" s="3" t="b">
        <f t="shared" si="213"/>
        <v>1</v>
      </c>
      <c r="CX375" s="9" t="str">
        <f t="shared" si="214"/>
        <v>5301101</v>
      </c>
      <c r="CY375" s="9" t="str">
        <f t="shared" si="215"/>
        <v>5301102</v>
      </c>
      <c r="CZ375" s="9" t="str">
        <f t="shared" si="216"/>
        <v>5301102</v>
      </c>
      <c r="DA375" s="9" t="str">
        <f t="shared" si="217"/>
        <v>5500102</v>
      </c>
      <c r="DB375" s="9" t="str">
        <f t="shared" si="218"/>
        <v>5400105</v>
      </c>
      <c r="DC375" s="9" t="str">
        <f t="shared" si="219"/>
        <v>5502103</v>
      </c>
      <c r="DD375" s="9">
        <v>10</v>
      </c>
      <c r="DE375" s="9">
        <v>10</v>
      </c>
      <c r="DF375" s="9">
        <v>10</v>
      </c>
      <c r="DG375" s="9">
        <v>10</v>
      </c>
      <c r="DH375" s="9">
        <v>10</v>
      </c>
      <c r="DI375" s="9">
        <v>10</v>
      </c>
      <c r="DJ375" s="9">
        <v>5</v>
      </c>
      <c r="DK375" s="9">
        <v>5</v>
      </c>
      <c r="DL375" s="9">
        <v>5</v>
      </c>
      <c r="DM375" s="9">
        <v>5</v>
      </c>
      <c r="DN375" s="9">
        <v>5</v>
      </c>
      <c r="DO375" s="9">
        <v>5</v>
      </c>
      <c r="DP375" s="25" t="s">
        <v>107</v>
      </c>
      <c r="DQ375" s="25" t="s">
        <v>201</v>
      </c>
      <c r="DR375" s="25" t="s">
        <v>201</v>
      </c>
      <c r="DS375" s="25" t="s">
        <v>109</v>
      </c>
      <c r="DT375" s="25" t="s">
        <v>210</v>
      </c>
      <c r="DU375" s="25" t="s">
        <v>215</v>
      </c>
      <c r="DV375" s="25">
        <f t="shared" si="220"/>
        <v>1</v>
      </c>
      <c r="DW375" s="25">
        <f t="shared" si="221"/>
        <v>1</v>
      </c>
      <c r="DX375" s="25">
        <f t="shared" si="222"/>
        <v>1</v>
      </c>
      <c r="DY375" s="25">
        <f t="shared" si="223"/>
        <v>2</v>
      </c>
      <c r="DZ375" s="25">
        <f t="shared" si="224"/>
        <v>2</v>
      </c>
      <c r="EA375" s="3">
        <f t="shared" si="225"/>
        <v>2</v>
      </c>
      <c r="EB375" s="47"/>
      <c r="EC375" s="9">
        <v>5401123</v>
      </c>
      <c r="ED375" s="34" t="s">
        <v>211</v>
      </c>
      <c r="EE375" s="8">
        <v>2</v>
      </c>
    </row>
    <row r="376" spans="1:135" ht="13.5" customHeight="1">
      <c r="A376" s="9">
        <v>373</v>
      </c>
      <c r="B376" s="9">
        <v>1</v>
      </c>
      <c r="C376" s="9">
        <v>2001</v>
      </c>
      <c r="D376" s="9">
        <f t="shared" si="240"/>
        <v>6700345</v>
      </c>
      <c r="E376" s="9" t="str">
        <f t="shared" si="237"/>
        <v>5201103,5200103,5301102,5501104,5500103,5501104</v>
      </c>
      <c r="F376" s="9" t="str">
        <f t="shared" si="238"/>
        <v>10,10,10,10,10,10</v>
      </c>
      <c r="G376" s="9" t="str">
        <f t="shared" si="239"/>
        <v>750,811,811,811,811,811</v>
      </c>
      <c r="H376" s="9">
        <v>189</v>
      </c>
      <c r="I376" s="9" t="s">
        <v>278</v>
      </c>
      <c r="J376" s="9" t="s">
        <v>279</v>
      </c>
      <c r="K376" s="9" t="s">
        <v>279</v>
      </c>
      <c r="L376" s="9" t="s">
        <v>279</v>
      </c>
      <c r="M376" s="36" t="s">
        <v>304</v>
      </c>
      <c r="N376" s="40"/>
      <c r="O376" s="3">
        <f t="shared" si="206"/>
        <v>6700345</v>
      </c>
      <c r="P376" s="9">
        <v>5296715.34</v>
      </c>
      <c r="Q376" s="9">
        <v>5201103</v>
      </c>
      <c r="R376" s="9">
        <v>5200103</v>
      </c>
      <c r="S376" s="9">
        <v>5301102</v>
      </c>
      <c r="T376" s="9">
        <v>5501104</v>
      </c>
      <c r="U376" s="9">
        <v>5500103</v>
      </c>
      <c r="V376" s="9">
        <v>5501104</v>
      </c>
      <c r="W376" s="9">
        <v>10</v>
      </c>
      <c r="X376" s="9">
        <v>10</v>
      </c>
      <c r="Y376" s="9">
        <v>10</v>
      </c>
      <c r="Z376" s="9">
        <v>10</v>
      </c>
      <c r="AA376" s="9">
        <v>10</v>
      </c>
      <c r="AB376" s="9">
        <v>10</v>
      </c>
      <c r="AC376" s="9">
        <f t="shared" si="226"/>
        <v>750</v>
      </c>
      <c r="AD376" s="9">
        <f t="shared" si="227"/>
        <v>811</v>
      </c>
      <c r="AE376" s="9">
        <f t="shared" si="228"/>
        <v>811</v>
      </c>
      <c r="AF376" s="9">
        <f t="shared" si="229"/>
        <v>811</v>
      </c>
      <c r="AG376" s="9">
        <f t="shared" si="230"/>
        <v>811</v>
      </c>
      <c r="AH376" s="9">
        <f t="shared" si="231"/>
        <v>811</v>
      </c>
      <c r="AI376" s="7">
        <f t="shared" si="244"/>
        <v>882785.89</v>
      </c>
      <c r="AJ376" s="7">
        <f t="shared" si="243"/>
        <v>882785.89</v>
      </c>
      <c r="AK376" s="7">
        <f t="shared" si="243"/>
        <v>882785.89</v>
      </c>
      <c r="AL376" s="7">
        <f t="shared" si="243"/>
        <v>882785.89</v>
      </c>
      <c r="AM376" s="7">
        <f t="shared" si="243"/>
        <v>882785.89</v>
      </c>
      <c r="AN376" s="7">
        <f t="shared" si="243"/>
        <v>882785.89</v>
      </c>
      <c r="AO376" s="16"/>
      <c r="AP376" s="7"/>
      <c r="AQ376" s="9">
        <v>7</v>
      </c>
      <c r="AR376" s="9">
        <f t="shared" si="232"/>
        <v>914</v>
      </c>
      <c r="AS376" s="7">
        <f t="shared" si="241"/>
        <v>286</v>
      </c>
      <c r="AT376" s="7"/>
      <c r="AU376" s="16"/>
      <c r="AV376" s="7"/>
      <c r="AW376" s="7"/>
      <c r="AX376" s="7"/>
      <c r="AZ376" s="7"/>
      <c r="BA376" s="9">
        <f t="shared" si="242"/>
        <v>617970.19000000064</v>
      </c>
      <c r="BC376" s="5">
        <f t="shared" si="233"/>
        <v>701</v>
      </c>
      <c r="BR376" s="5">
        <v>1405012</v>
      </c>
      <c r="BS376" s="18">
        <f>[1]monsters!$N376</f>
        <v>288</v>
      </c>
      <c r="BT376" s="18">
        <f>[1]monsters!$O376</f>
        <v>28.8</v>
      </c>
      <c r="BU376" s="18">
        <f>[1]monsters!$P376</f>
        <v>2400</v>
      </c>
      <c r="BV376" s="18">
        <f>[1]monsters!$Q376</f>
        <v>240</v>
      </c>
      <c r="BW376" s="18">
        <f>[1]monsters!$R376</f>
        <v>41.14</v>
      </c>
      <c r="BX376" s="18">
        <f>[1]monsters!$S376</f>
        <v>4.1100000000000003</v>
      </c>
      <c r="BY376" s="18">
        <f>[1]monsters!$K376</f>
        <v>1.5</v>
      </c>
      <c r="BZ376" s="5">
        <f>[1]monsters!$D376</f>
        <v>4</v>
      </c>
      <c r="CA376" s="5">
        <f t="shared" si="234"/>
        <v>0.1</v>
      </c>
      <c r="CB376" s="5">
        <f t="shared" si="235"/>
        <v>352.96808080808086</v>
      </c>
      <c r="CC376" s="5">
        <f t="shared" si="236"/>
        <v>35.296808080808084</v>
      </c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>
        <v>0</v>
      </c>
      <c r="CR376" s="3" t="b">
        <f t="shared" si="208"/>
        <v>1</v>
      </c>
      <c r="CS376" s="3" t="b">
        <f t="shared" si="209"/>
        <v>1</v>
      </c>
      <c r="CT376" s="3" t="b">
        <f t="shared" si="210"/>
        <v>1</v>
      </c>
      <c r="CU376" s="3" t="b">
        <f t="shared" si="211"/>
        <v>1</v>
      </c>
      <c r="CV376" s="3" t="b">
        <f t="shared" si="212"/>
        <v>1</v>
      </c>
      <c r="CW376" s="3" t="b">
        <f t="shared" si="213"/>
        <v>1</v>
      </c>
      <c r="CX376" s="9" t="str">
        <f t="shared" si="214"/>
        <v>5201103</v>
      </c>
      <c r="CY376" s="9" t="str">
        <f t="shared" si="215"/>
        <v>5200103</v>
      </c>
      <c r="CZ376" s="9" t="str">
        <f t="shared" si="216"/>
        <v>5301102</v>
      </c>
      <c r="DA376" s="9" t="str">
        <f t="shared" si="217"/>
        <v>5501104</v>
      </c>
      <c r="DB376" s="9" t="str">
        <f t="shared" si="218"/>
        <v>5500103</v>
      </c>
      <c r="DC376" s="9" t="str">
        <f t="shared" si="219"/>
        <v>5501104</v>
      </c>
      <c r="DD376" s="9">
        <v>10</v>
      </c>
      <c r="DE376" s="9">
        <v>10</v>
      </c>
      <c r="DF376" s="9">
        <v>10</v>
      </c>
      <c r="DG376" s="9">
        <v>10</v>
      </c>
      <c r="DH376" s="9">
        <v>10</v>
      </c>
      <c r="DI376" s="9">
        <v>10</v>
      </c>
      <c r="DJ376" s="9">
        <v>5</v>
      </c>
      <c r="DK376" s="9">
        <v>5</v>
      </c>
      <c r="DL376" s="9">
        <v>5</v>
      </c>
      <c r="DM376" s="9">
        <v>5</v>
      </c>
      <c r="DN376" s="9">
        <v>5</v>
      </c>
      <c r="DO376" s="9">
        <v>5</v>
      </c>
      <c r="DP376" s="25" t="s">
        <v>205</v>
      </c>
      <c r="DQ376" s="25" t="s">
        <v>113</v>
      </c>
      <c r="DR376" s="25" t="s">
        <v>201</v>
      </c>
      <c r="DS376" s="25" t="s">
        <v>214</v>
      </c>
      <c r="DT376" s="25" t="s">
        <v>207</v>
      </c>
      <c r="DU376" s="25" t="s">
        <v>214</v>
      </c>
      <c r="DV376" s="25">
        <f t="shared" si="220"/>
        <v>1</v>
      </c>
      <c r="DW376" s="25">
        <f t="shared" si="221"/>
        <v>1</v>
      </c>
      <c r="DX376" s="25">
        <f t="shared" si="222"/>
        <v>1</v>
      </c>
      <c r="DY376" s="25">
        <f t="shared" si="223"/>
        <v>2</v>
      </c>
      <c r="DZ376" s="25">
        <f t="shared" si="224"/>
        <v>2</v>
      </c>
      <c r="EA376" s="3">
        <f t="shared" si="225"/>
        <v>2</v>
      </c>
      <c r="EB376" s="48"/>
      <c r="EC376" s="9">
        <v>5402123</v>
      </c>
      <c r="ED376" s="34" t="s">
        <v>118</v>
      </c>
      <c r="EE376" s="8">
        <v>2</v>
      </c>
    </row>
    <row r="377" spans="1:135" ht="13.5" customHeight="1">
      <c r="A377" s="9">
        <v>374</v>
      </c>
      <c r="B377" s="9">
        <v>1</v>
      </c>
      <c r="C377" s="9">
        <v>2001</v>
      </c>
      <c r="D377" s="9">
        <f t="shared" si="240"/>
        <v>6725919</v>
      </c>
      <c r="E377" s="9" t="str">
        <f t="shared" si="237"/>
        <v>5200103,5200103,5201102,5401103,5402102,5401103</v>
      </c>
      <c r="F377" s="9" t="str">
        <f t="shared" si="238"/>
        <v>10,10,10,10,10,10</v>
      </c>
      <c r="G377" s="9" t="str">
        <f t="shared" si="239"/>
        <v>751,813,813,813,813,813</v>
      </c>
      <c r="H377" s="9">
        <v>189</v>
      </c>
      <c r="I377" s="9" t="s">
        <v>278</v>
      </c>
      <c r="J377" s="9" t="s">
        <v>279</v>
      </c>
      <c r="K377" s="9" t="s">
        <v>279</v>
      </c>
      <c r="L377" s="9" t="s">
        <v>279</v>
      </c>
      <c r="M377" s="36" t="s">
        <v>304</v>
      </c>
      <c r="N377" s="40"/>
      <c r="O377" s="3">
        <f t="shared" si="206"/>
        <v>6725919</v>
      </c>
      <c r="P377" s="9">
        <v>5316931.75</v>
      </c>
      <c r="Q377" s="9">
        <v>5200103</v>
      </c>
      <c r="R377" s="9">
        <v>5200103</v>
      </c>
      <c r="S377" s="9">
        <v>5201102</v>
      </c>
      <c r="T377" s="9">
        <v>5401103</v>
      </c>
      <c r="U377" s="9">
        <v>5402102</v>
      </c>
      <c r="V377" s="9">
        <v>5401103</v>
      </c>
      <c r="W377" s="9">
        <v>10</v>
      </c>
      <c r="X377" s="9">
        <v>10</v>
      </c>
      <c r="Y377" s="9">
        <v>10</v>
      </c>
      <c r="Z377" s="9">
        <v>10</v>
      </c>
      <c r="AA377" s="9">
        <v>10</v>
      </c>
      <c r="AB377" s="9">
        <v>10</v>
      </c>
      <c r="AC377" s="9">
        <f t="shared" si="226"/>
        <v>751</v>
      </c>
      <c r="AD377" s="9">
        <f t="shared" si="227"/>
        <v>813</v>
      </c>
      <c r="AE377" s="9">
        <f t="shared" si="228"/>
        <v>813</v>
      </c>
      <c r="AF377" s="9">
        <f t="shared" si="229"/>
        <v>813</v>
      </c>
      <c r="AG377" s="9">
        <f t="shared" si="230"/>
        <v>813</v>
      </c>
      <c r="AH377" s="9">
        <f t="shared" si="231"/>
        <v>813</v>
      </c>
      <c r="AI377" s="7">
        <f t="shared" si="244"/>
        <v>886155.29166666663</v>
      </c>
      <c r="AJ377" s="7">
        <f t="shared" si="243"/>
        <v>886155.29166666663</v>
      </c>
      <c r="AK377" s="7">
        <f t="shared" si="243"/>
        <v>886155.29166666663</v>
      </c>
      <c r="AL377" s="7">
        <f t="shared" si="243"/>
        <v>886155.29166666663</v>
      </c>
      <c r="AM377" s="7">
        <f t="shared" si="243"/>
        <v>886155.29166666663</v>
      </c>
      <c r="AN377" s="7">
        <f t="shared" si="243"/>
        <v>886155.29166666663</v>
      </c>
      <c r="AO377" s="16"/>
      <c r="AP377" s="7"/>
      <c r="AQ377" s="9">
        <v>7</v>
      </c>
      <c r="AR377" s="9">
        <f t="shared" si="232"/>
        <v>916</v>
      </c>
      <c r="AS377" s="7">
        <f t="shared" si="241"/>
        <v>287</v>
      </c>
      <c r="AT377" s="7"/>
      <c r="AU377" s="16"/>
      <c r="AV377" s="7"/>
      <c r="AW377" s="7"/>
      <c r="AX377" s="7"/>
      <c r="AZ377" s="7"/>
      <c r="BA377" s="9">
        <f t="shared" si="242"/>
        <v>622862.72000000067</v>
      </c>
      <c r="BC377" s="5">
        <f t="shared" si="233"/>
        <v>702</v>
      </c>
      <c r="BR377" s="5">
        <v>1203012</v>
      </c>
      <c r="BS377" s="18">
        <f>[1]monsters!$N377</f>
        <v>336</v>
      </c>
      <c r="BT377" s="18">
        <f>[1]monsters!$O377</f>
        <v>33.6</v>
      </c>
      <c r="BU377" s="18">
        <f>[1]monsters!$P377</f>
        <v>2057.14</v>
      </c>
      <c r="BV377" s="18">
        <f>[1]monsters!$Q377</f>
        <v>205.71</v>
      </c>
      <c r="BW377" s="18">
        <f>[1]monsters!$R377</f>
        <v>42</v>
      </c>
      <c r="BX377" s="18">
        <f>[1]monsters!$S377</f>
        <v>4.2</v>
      </c>
      <c r="BY377" s="18">
        <f>[1]monsters!$K377</f>
        <v>1.5</v>
      </c>
      <c r="BZ377" s="5">
        <f>[1]monsters!$D377</f>
        <v>5</v>
      </c>
      <c r="CA377" s="5">
        <f t="shared" si="234"/>
        <v>0.1</v>
      </c>
      <c r="CB377" s="5">
        <f t="shared" si="235"/>
        <v>386.78397306397312</v>
      </c>
      <c r="CC377" s="5">
        <f t="shared" si="236"/>
        <v>38.678397306397315</v>
      </c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>
        <v>0</v>
      </c>
      <c r="CR377" s="3" t="b">
        <f t="shared" si="208"/>
        <v>1</v>
      </c>
      <c r="CS377" s="3" t="b">
        <f t="shared" si="209"/>
        <v>1</v>
      </c>
      <c r="CT377" s="3" t="b">
        <f t="shared" si="210"/>
        <v>1</v>
      </c>
      <c r="CU377" s="3" t="b">
        <f t="shared" si="211"/>
        <v>1</v>
      </c>
      <c r="CV377" s="3" t="b">
        <f t="shared" si="212"/>
        <v>1</v>
      </c>
      <c r="CW377" s="3" t="b">
        <f t="shared" si="213"/>
        <v>1</v>
      </c>
      <c r="CX377" s="9" t="str">
        <f t="shared" si="214"/>
        <v>5200103</v>
      </c>
      <c r="CY377" s="9" t="str">
        <f t="shared" si="215"/>
        <v>5200103</v>
      </c>
      <c r="CZ377" s="9" t="str">
        <f t="shared" si="216"/>
        <v>5201102</v>
      </c>
      <c r="DA377" s="9" t="str">
        <f t="shared" si="217"/>
        <v>5401103</v>
      </c>
      <c r="DB377" s="9" t="str">
        <f t="shared" si="218"/>
        <v>5402102</v>
      </c>
      <c r="DC377" s="9" t="str">
        <f t="shared" si="219"/>
        <v>5401103</v>
      </c>
      <c r="DD377" s="9">
        <v>10</v>
      </c>
      <c r="DE377" s="9">
        <v>10</v>
      </c>
      <c r="DF377" s="9">
        <v>10</v>
      </c>
      <c r="DG377" s="9">
        <v>10</v>
      </c>
      <c r="DH377" s="9">
        <v>10</v>
      </c>
      <c r="DI377" s="9">
        <v>10</v>
      </c>
      <c r="DJ377" s="9">
        <v>5</v>
      </c>
      <c r="DK377" s="9">
        <v>5</v>
      </c>
      <c r="DL377" s="9">
        <v>5</v>
      </c>
      <c r="DM377" s="9">
        <v>5</v>
      </c>
      <c r="DN377" s="9">
        <v>5</v>
      </c>
      <c r="DO377" s="9">
        <v>5</v>
      </c>
      <c r="DP377" s="25" t="s">
        <v>113</v>
      </c>
      <c r="DQ377" s="25" t="s">
        <v>113</v>
      </c>
      <c r="DR377" s="25" t="s">
        <v>114</v>
      </c>
      <c r="DS377" s="25" t="s">
        <v>211</v>
      </c>
      <c r="DT377" s="25" t="s">
        <v>203</v>
      </c>
      <c r="DU377" s="25" t="s">
        <v>211</v>
      </c>
      <c r="DV377" s="25">
        <f t="shared" si="220"/>
        <v>1</v>
      </c>
      <c r="DW377" s="25">
        <f t="shared" si="221"/>
        <v>1</v>
      </c>
      <c r="DX377" s="25">
        <f t="shared" si="222"/>
        <v>1</v>
      </c>
      <c r="DY377" s="25">
        <f t="shared" si="223"/>
        <v>2</v>
      </c>
      <c r="DZ377" s="25">
        <f t="shared" si="224"/>
        <v>2</v>
      </c>
      <c r="EA377" s="3">
        <f t="shared" si="225"/>
        <v>2</v>
      </c>
      <c r="EB377" s="47"/>
      <c r="EC377" s="9">
        <v>5500123</v>
      </c>
      <c r="ED377" s="34" t="s">
        <v>207</v>
      </c>
      <c r="EE377" s="8">
        <v>2</v>
      </c>
    </row>
    <row r="378" spans="1:135" ht="13.5" customHeight="1">
      <c r="A378" s="9">
        <v>375</v>
      </c>
      <c r="B378" s="9">
        <v>1</v>
      </c>
      <c r="C378" s="9">
        <v>2001</v>
      </c>
      <c r="D378" s="9">
        <f t="shared" si="240"/>
        <v>6751540</v>
      </c>
      <c r="E378" s="9" t="str">
        <f t="shared" si="237"/>
        <v>5201101,5201101,5201101,5502101,5502101,5502101</v>
      </c>
      <c r="F378" s="9" t="str">
        <f t="shared" si="238"/>
        <v>10,10,10,10,10,10</v>
      </c>
      <c r="G378" s="9" t="str">
        <f t="shared" si="239"/>
        <v>753,814,814,814,814,814</v>
      </c>
      <c r="H378" s="9">
        <v>190</v>
      </c>
      <c r="I378" s="9" t="s">
        <v>278</v>
      </c>
      <c r="J378" s="9" t="s">
        <v>279</v>
      </c>
      <c r="K378" s="9" t="s">
        <v>279</v>
      </c>
      <c r="L378" s="9" t="s">
        <v>279</v>
      </c>
      <c r="M378" s="36" t="s">
        <v>304</v>
      </c>
      <c r="O378" s="3">
        <f t="shared" si="206"/>
        <v>6751540</v>
      </c>
      <c r="P378" s="9">
        <v>5337185.97</v>
      </c>
      <c r="Q378" s="9">
        <v>5201101</v>
      </c>
      <c r="R378" s="9">
        <v>5201101</v>
      </c>
      <c r="S378" s="9">
        <v>5201101</v>
      </c>
      <c r="T378" s="9">
        <v>5502101</v>
      </c>
      <c r="U378" s="9">
        <v>5502101</v>
      </c>
      <c r="V378" s="9">
        <v>5502101</v>
      </c>
      <c r="W378" s="9">
        <v>10</v>
      </c>
      <c r="X378" s="9">
        <v>10</v>
      </c>
      <c r="Y378" s="9">
        <v>10</v>
      </c>
      <c r="Z378" s="9">
        <v>10</v>
      </c>
      <c r="AA378" s="9">
        <v>10</v>
      </c>
      <c r="AB378" s="9">
        <v>10</v>
      </c>
      <c r="AC378" s="9">
        <f t="shared" si="226"/>
        <v>753</v>
      </c>
      <c r="AD378" s="9">
        <f t="shared" si="227"/>
        <v>814</v>
      </c>
      <c r="AE378" s="9">
        <f t="shared" si="228"/>
        <v>814</v>
      </c>
      <c r="AF378" s="9">
        <f t="shared" si="229"/>
        <v>814</v>
      </c>
      <c r="AG378" s="9">
        <f t="shared" si="230"/>
        <v>814</v>
      </c>
      <c r="AH378" s="9">
        <f t="shared" si="231"/>
        <v>814</v>
      </c>
      <c r="AI378" s="7">
        <f t="shared" si="244"/>
        <v>889530.995</v>
      </c>
      <c r="AJ378" s="7">
        <f t="shared" si="243"/>
        <v>889530.995</v>
      </c>
      <c r="AK378" s="7">
        <f t="shared" si="243"/>
        <v>889530.995</v>
      </c>
      <c r="AL378" s="7">
        <f t="shared" si="243"/>
        <v>889530.995</v>
      </c>
      <c r="AM378" s="7">
        <f t="shared" si="243"/>
        <v>889530.995</v>
      </c>
      <c r="AN378" s="7">
        <f t="shared" si="243"/>
        <v>889530.995</v>
      </c>
      <c r="AO378" s="16"/>
      <c r="AP378" s="7"/>
      <c r="AQ378" s="9">
        <v>7</v>
      </c>
      <c r="AR378" s="9">
        <f t="shared" si="232"/>
        <v>918</v>
      </c>
      <c r="AS378" s="7">
        <f t="shared" si="241"/>
        <v>287</v>
      </c>
      <c r="AT378" s="7"/>
      <c r="AU378" s="16"/>
      <c r="AV378" s="7"/>
      <c r="AW378" s="7"/>
      <c r="AX378" s="7"/>
      <c r="AZ378" s="7"/>
      <c r="BA378" s="9">
        <f t="shared" si="242"/>
        <v>627755.2500000007</v>
      </c>
      <c r="BC378" s="5">
        <f t="shared" si="233"/>
        <v>704</v>
      </c>
      <c r="BR378" s="5">
        <v>1403012</v>
      </c>
      <c r="BS378" s="18">
        <f>[1]monsters!$N378</f>
        <v>313.60000000000002</v>
      </c>
      <c r="BT378" s="18">
        <f>[1]monsters!$O378</f>
        <v>31.36</v>
      </c>
      <c r="BU378" s="18">
        <f>[1]monsters!$P378</f>
        <v>2057.14</v>
      </c>
      <c r="BV378" s="18">
        <f>[1]monsters!$Q378</f>
        <v>205.71</v>
      </c>
      <c r="BW378" s="18">
        <f>[1]monsters!$R378</f>
        <v>39.200000000000003</v>
      </c>
      <c r="BX378" s="18">
        <f>[1]monsters!$S378</f>
        <v>3.92</v>
      </c>
      <c r="BY378" s="18">
        <f>[1]monsters!$K378</f>
        <v>1.4</v>
      </c>
      <c r="BZ378" s="5">
        <f>[1]monsters!$D378</f>
        <v>5</v>
      </c>
      <c r="CA378" s="5">
        <f t="shared" si="234"/>
        <v>0.1</v>
      </c>
      <c r="CB378" s="5">
        <f t="shared" si="235"/>
        <v>365.61597306397312</v>
      </c>
      <c r="CC378" s="5">
        <f t="shared" si="236"/>
        <v>36.56159730639731</v>
      </c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>
        <v>1</v>
      </c>
      <c r="CR378" s="3" t="b">
        <f t="shared" si="208"/>
        <v>1</v>
      </c>
      <c r="CS378" s="3" t="b">
        <f t="shared" si="209"/>
        <v>1</v>
      </c>
      <c r="CT378" s="3" t="b">
        <f t="shared" si="210"/>
        <v>1</v>
      </c>
      <c r="CU378" s="3" t="b">
        <f t="shared" si="211"/>
        <v>1</v>
      </c>
      <c r="CV378" s="3" t="b">
        <f t="shared" si="212"/>
        <v>1</v>
      </c>
      <c r="CW378" s="3" t="b">
        <f t="shared" si="213"/>
        <v>1</v>
      </c>
      <c r="CX378" s="9" t="str">
        <f t="shared" si="214"/>
        <v>5201101</v>
      </c>
      <c r="CY378" s="9" t="str">
        <f t="shared" si="215"/>
        <v>5201101</v>
      </c>
      <c r="CZ378" s="9" t="str">
        <f t="shared" si="216"/>
        <v>5201101</v>
      </c>
      <c r="DA378" s="9" t="str">
        <f t="shared" si="217"/>
        <v>5502101</v>
      </c>
      <c r="DB378" s="9" t="str">
        <f t="shared" si="218"/>
        <v>5502101</v>
      </c>
      <c r="DC378" s="9" t="str">
        <f t="shared" si="219"/>
        <v>5502101</v>
      </c>
      <c r="DD378" s="9">
        <v>10</v>
      </c>
      <c r="DE378" s="9">
        <v>10</v>
      </c>
      <c r="DF378" s="9">
        <v>10</v>
      </c>
      <c r="DG378" s="9">
        <v>10</v>
      </c>
      <c r="DH378" s="9">
        <v>10</v>
      </c>
      <c r="DI378" s="9">
        <v>10</v>
      </c>
      <c r="DJ378" s="9">
        <v>5</v>
      </c>
      <c r="DK378" s="9">
        <v>5</v>
      </c>
      <c r="DL378" s="9">
        <v>5</v>
      </c>
      <c r="DM378" s="9">
        <v>5</v>
      </c>
      <c r="DN378" s="9">
        <v>5</v>
      </c>
      <c r="DO378" s="9">
        <v>5</v>
      </c>
      <c r="DP378" s="25" t="s">
        <v>195</v>
      </c>
      <c r="DQ378" s="25" t="s">
        <v>195</v>
      </c>
      <c r="DR378" s="25" t="s">
        <v>195</v>
      </c>
      <c r="DS378" s="25" t="s">
        <v>119</v>
      </c>
      <c r="DT378" s="25" t="s">
        <v>119</v>
      </c>
      <c r="DU378" s="25" t="s">
        <v>119</v>
      </c>
      <c r="DV378" s="25">
        <f t="shared" si="220"/>
        <v>1</v>
      </c>
      <c r="DW378" s="25">
        <f t="shared" si="221"/>
        <v>1</v>
      </c>
      <c r="DX378" s="25">
        <f t="shared" si="222"/>
        <v>1</v>
      </c>
      <c r="DY378" s="25">
        <f t="shared" si="223"/>
        <v>2</v>
      </c>
      <c r="DZ378" s="25">
        <f t="shared" si="224"/>
        <v>2</v>
      </c>
      <c r="EA378" s="3">
        <f t="shared" si="225"/>
        <v>2</v>
      </c>
      <c r="EB378" s="47"/>
      <c r="EC378" s="9">
        <v>5502123</v>
      </c>
      <c r="ED378" s="34" t="s">
        <v>215</v>
      </c>
      <c r="EE378" s="8">
        <v>2</v>
      </c>
    </row>
    <row r="379" spans="1:135" ht="13.5" customHeight="1">
      <c r="A379" s="9">
        <v>376</v>
      </c>
      <c r="B379" s="9">
        <v>1</v>
      </c>
      <c r="C379" s="9">
        <v>2001</v>
      </c>
      <c r="D379" s="9">
        <f t="shared" si="240"/>
        <v>6975139</v>
      </c>
      <c r="E379" s="9" t="str">
        <f t="shared" si="237"/>
        <v>5202113,5201113,5302114,5501114,5501115,5500112</v>
      </c>
      <c r="F379" s="9" t="str">
        <f t="shared" si="238"/>
        <v>11,11,11,11,11,11</v>
      </c>
      <c r="G379" s="9" t="str">
        <f t="shared" si="239"/>
        <v>710,768,768,768,768,768</v>
      </c>
      <c r="H379" s="9">
        <v>190</v>
      </c>
      <c r="I379" s="9" t="s">
        <v>278</v>
      </c>
      <c r="J379" s="9" t="s">
        <v>279</v>
      </c>
      <c r="K379" s="9" t="s">
        <v>279</v>
      </c>
      <c r="L379" s="9" t="s">
        <v>279</v>
      </c>
      <c r="M379" s="36" t="s">
        <v>305</v>
      </c>
      <c r="N379" s="40"/>
      <c r="O379" s="3">
        <f t="shared" si="206"/>
        <v>6975139</v>
      </c>
      <c r="P379" s="9">
        <v>5513943.7400000002</v>
      </c>
      <c r="Q379" s="9">
        <v>5202113</v>
      </c>
      <c r="R379" s="9">
        <v>5201113</v>
      </c>
      <c r="S379" s="9">
        <v>5302114</v>
      </c>
      <c r="T379" s="9">
        <v>5501114</v>
      </c>
      <c r="U379" s="9">
        <v>5501115</v>
      </c>
      <c r="V379" s="9">
        <v>5500112</v>
      </c>
      <c r="W379" s="9">
        <v>11</v>
      </c>
      <c r="X379" s="9">
        <v>11</v>
      </c>
      <c r="Y379" s="9">
        <v>11</v>
      </c>
      <c r="Z379" s="9">
        <v>11</v>
      </c>
      <c r="AA379" s="9">
        <v>11</v>
      </c>
      <c r="AB379" s="9">
        <v>11</v>
      </c>
      <c r="AC379" s="9">
        <f t="shared" si="226"/>
        <v>710</v>
      </c>
      <c r="AD379" s="9">
        <f t="shared" si="227"/>
        <v>768</v>
      </c>
      <c r="AE379" s="9">
        <f t="shared" si="228"/>
        <v>768</v>
      </c>
      <c r="AF379" s="9">
        <f t="shared" si="229"/>
        <v>768</v>
      </c>
      <c r="AG379" s="9">
        <f t="shared" si="230"/>
        <v>768</v>
      </c>
      <c r="AH379" s="9">
        <f t="shared" si="231"/>
        <v>768</v>
      </c>
      <c r="AI379" s="7">
        <f t="shared" si="244"/>
        <v>918990.62333333341</v>
      </c>
      <c r="AJ379" s="7">
        <f t="shared" si="243"/>
        <v>918990.62333333341</v>
      </c>
      <c r="AK379" s="7">
        <f t="shared" si="243"/>
        <v>918990.62333333341</v>
      </c>
      <c r="AL379" s="7">
        <f t="shared" si="243"/>
        <v>918990.62333333341</v>
      </c>
      <c r="AM379" s="7">
        <f t="shared" si="243"/>
        <v>918990.62333333341</v>
      </c>
      <c r="AN379" s="7">
        <f t="shared" si="243"/>
        <v>918990.62333333341</v>
      </c>
      <c r="AO379" s="16"/>
      <c r="AP379" s="7"/>
      <c r="AQ379" s="9">
        <v>7</v>
      </c>
      <c r="AR379" s="9">
        <f t="shared" si="232"/>
        <v>933</v>
      </c>
      <c r="AS379" s="7">
        <f t="shared" si="241"/>
        <v>288</v>
      </c>
      <c r="AT379" s="7"/>
      <c r="AU379" s="16"/>
      <c r="AV379" s="7"/>
      <c r="AW379" s="7"/>
      <c r="AX379" s="7"/>
      <c r="AZ379" s="7"/>
      <c r="BA379" s="9">
        <f t="shared" si="242"/>
        <v>632647.78000000073</v>
      </c>
      <c r="BC379" s="5">
        <f t="shared" si="233"/>
        <v>663</v>
      </c>
      <c r="BR379" s="5">
        <v>1204012</v>
      </c>
      <c r="BS379" s="18">
        <f>[1]monsters!$N379</f>
        <v>372</v>
      </c>
      <c r="BT379" s="18">
        <f>[1]monsters!$O379</f>
        <v>37.200000000000003</v>
      </c>
      <c r="BU379" s="18">
        <f>[1]monsters!$P379</f>
        <v>1858.06</v>
      </c>
      <c r="BV379" s="18">
        <f>[1]monsters!$Q379</f>
        <v>185.81</v>
      </c>
      <c r="BW379" s="18">
        <f>[1]monsters!$R379</f>
        <v>37.200000000000003</v>
      </c>
      <c r="BX379" s="18">
        <f>[1]monsters!$S379</f>
        <v>3.72</v>
      </c>
      <c r="BY379" s="18">
        <f>[1]monsters!$K379</f>
        <v>1.5</v>
      </c>
      <c r="BZ379" s="5">
        <f>[1]monsters!$D379</f>
        <v>6</v>
      </c>
      <c r="CA379" s="5">
        <f t="shared" si="234"/>
        <v>0.1</v>
      </c>
      <c r="CB379" s="5">
        <f t="shared" si="235"/>
        <v>414.10094276094276</v>
      </c>
      <c r="CC379" s="5">
        <f t="shared" si="236"/>
        <v>41.410094276094277</v>
      </c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>
        <v>0</v>
      </c>
      <c r="CR379" s="3" t="b">
        <f t="shared" si="208"/>
        <v>1</v>
      </c>
      <c r="CS379" s="3" t="b">
        <f t="shared" si="209"/>
        <v>1</v>
      </c>
      <c r="CT379" s="3" t="b">
        <f t="shared" si="210"/>
        <v>1</v>
      </c>
      <c r="CU379" s="3" t="b">
        <f t="shared" si="211"/>
        <v>1</v>
      </c>
      <c r="CV379" s="3" t="b">
        <f t="shared" si="212"/>
        <v>1</v>
      </c>
      <c r="CW379" s="3" t="b">
        <f t="shared" si="213"/>
        <v>1</v>
      </c>
      <c r="CX379" s="9" t="str">
        <f t="shared" si="214"/>
        <v>5202113</v>
      </c>
      <c r="CY379" s="9" t="str">
        <f t="shared" si="215"/>
        <v>5201113</v>
      </c>
      <c r="CZ379" s="9" t="str">
        <f t="shared" si="216"/>
        <v>5302114</v>
      </c>
      <c r="DA379" s="9" t="str">
        <f t="shared" si="217"/>
        <v>5501114</v>
      </c>
      <c r="DB379" s="9" t="str">
        <f t="shared" si="218"/>
        <v>5501115</v>
      </c>
      <c r="DC379" s="9" t="str">
        <f t="shared" si="219"/>
        <v>5500112</v>
      </c>
      <c r="DD379" s="9">
        <v>11</v>
      </c>
      <c r="DE379" s="9">
        <v>11</v>
      </c>
      <c r="DF379" s="9">
        <v>11</v>
      </c>
      <c r="DG379" s="9">
        <v>11</v>
      </c>
      <c r="DH379" s="9">
        <v>11</v>
      </c>
      <c r="DI379" s="9">
        <v>11</v>
      </c>
      <c r="DJ379" s="9">
        <v>5</v>
      </c>
      <c r="DK379" s="9">
        <v>5</v>
      </c>
      <c r="DL379" s="9">
        <v>5</v>
      </c>
      <c r="DM379" s="9">
        <v>5</v>
      </c>
      <c r="DN379" s="9">
        <v>5</v>
      </c>
      <c r="DO379" s="9">
        <v>5</v>
      </c>
      <c r="DP379" s="25" t="s">
        <v>208</v>
      </c>
      <c r="DQ379" s="25" t="s">
        <v>205</v>
      </c>
      <c r="DR379" s="25" t="s">
        <v>218</v>
      </c>
      <c r="DS379" s="25" t="s">
        <v>214</v>
      </c>
      <c r="DT379" s="25" t="s">
        <v>209</v>
      </c>
      <c r="DU379" s="25" t="s">
        <v>109</v>
      </c>
      <c r="DV379" s="25">
        <f t="shared" si="220"/>
        <v>1</v>
      </c>
      <c r="DW379" s="25">
        <f t="shared" si="221"/>
        <v>1</v>
      </c>
      <c r="DX379" s="25">
        <f t="shared" si="222"/>
        <v>1</v>
      </c>
      <c r="DY379" s="25">
        <f t="shared" si="223"/>
        <v>2</v>
      </c>
      <c r="DZ379" s="25">
        <f t="shared" si="224"/>
        <v>2</v>
      </c>
      <c r="EA379" s="3">
        <f t="shared" si="225"/>
        <v>2</v>
      </c>
      <c r="EB379" s="47"/>
      <c r="EC379" s="9">
        <v>5601123</v>
      </c>
      <c r="ED379" s="34" t="s">
        <v>216</v>
      </c>
      <c r="EE379" s="8">
        <v>2</v>
      </c>
    </row>
    <row r="380" spans="1:135" ht="13.5" customHeight="1">
      <c r="A380" s="9">
        <v>377</v>
      </c>
      <c r="B380" s="9">
        <v>1</v>
      </c>
      <c r="C380" s="9">
        <v>2001</v>
      </c>
      <c r="D380" s="9">
        <f t="shared" si="240"/>
        <v>7200500</v>
      </c>
      <c r="E380" s="9" t="str">
        <f t="shared" si="237"/>
        <v>5201113,5202115,5200111,5501114,5402112,5400115</v>
      </c>
      <c r="F380" s="9" t="str">
        <f t="shared" si="238"/>
        <v>11,11,11,11,11,11</v>
      </c>
      <c r="G380" s="9" t="str">
        <f t="shared" si="239"/>
        <v>722,780,780,780,780,780</v>
      </c>
      <c r="H380" s="9">
        <v>190</v>
      </c>
      <c r="I380" s="9" t="s">
        <v>278</v>
      </c>
      <c r="J380" s="9" t="s">
        <v>279</v>
      </c>
      <c r="K380" s="9" t="s">
        <v>279</v>
      </c>
      <c r="L380" s="9" t="s">
        <v>279</v>
      </c>
      <c r="M380" s="36" t="s">
        <v>305</v>
      </c>
      <c r="N380" s="40"/>
      <c r="O380" s="3">
        <f t="shared" ref="O380:O403" si="245">ROUND(P380*1.1*1.15,0)</f>
        <v>7200500</v>
      </c>
      <c r="P380" s="9">
        <v>5692094.5099999998</v>
      </c>
      <c r="Q380" s="9">
        <v>5201113</v>
      </c>
      <c r="R380" s="9">
        <v>5202115</v>
      </c>
      <c r="S380" s="9">
        <v>5200111</v>
      </c>
      <c r="T380" s="9">
        <v>5501114</v>
      </c>
      <c r="U380" s="9">
        <v>5402112</v>
      </c>
      <c r="V380" s="9">
        <v>5400115</v>
      </c>
      <c r="W380" s="9">
        <v>11</v>
      </c>
      <c r="X380" s="9">
        <v>11</v>
      </c>
      <c r="Y380" s="9">
        <v>11</v>
      </c>
      <c r="Z380" s="9">
        <v>11</v>
      </c>
      <c r="AA380" s="9">
        <v>11</v>
      </c>
      <c r="AB380" s="9">
        <v>11</v>
      </c>
      <c r="AC380" s="9">
        <f t="shared" si="226"/>
        <v>722</v>
      </c>
      <c r="AD380" s="9">
        <f t="shared" si="227"/>
        <v>780</v>
      </c>
      <c r="AE380" s="9">
        <f t="shared" si="228"/>
        <v>780</v>
      </c>
      <c r="AF380" s="9">
        <f t="shared" si="229"/>
        <v>780</v>
      </c>
      <c r="AG380" s="9">
        <f t="shared" si="230"/>
        <v>780</v>
      </c>
      <c r="AH380" s="9">
        <f t="shared" si="231"/>
        <v>780</v>
      </c>
      <c r="AI380" s="7">
        <f t="shared" si="244"/>
        <v>948682.41833333333</v>
      </c>
      <c r="AJ380" s="7">
        <f t="shared" si="243"/>
        <v>948682.41833333333</v>
      </c>
      <c r="AK380" s="7">
        <f t="shared" si="243"/>
        <v>948682.41833333333</v>
      </c>
      <c r="AL380" s="7">
        <f t="shared" si="243"/>
        <v>948682.41833333333</v>
      </c>
      <c r="AM380" s="7">
        <f t="shared" si="243"/>
        <v>948682.41833333333</v>
      </c>
      <c r="AN380" s="7">
        <f t="shared" si="243"/>
        <v>948682.41833333333</v>
      </c>
      <c r="AO380" s="16"/>
      <c r="AP380" s="7"/>
      <c r="AQ380" s="9">
        <v>7</v>
      </c>
      <c r="AR380" s="9">
        <f t="shared" si="232"/>
        <v>948</v>
      </c>
      <c r="AS380" s="7">
        <f t="shared" si="241"/>
        <v>288</v>
      </c>
      <c r="AT380" s="7"/>
      <c r="AU380" s="16"/>
      <c r="AV380" s="7"/>
      <c r="AW380" s="7"/>
      <c r="AX380" s="7"/>
      <c r="AZ380" s="7"/>
      <c r="BA380" s="9">
        <f t="shared" si="242"/>
        <v>637540.31000000075</v>
      </c>
      <c r="BC380" s="5">
        <f t="shared" si="233"/>
        <v>674</v>
      </c>
      <c r="BR380" s="5">
        <v>1404012</v>
      </c>
      <c r="BS380" s="18">
        <f>[1]monsters!$N380</f>
        <v>230.4</v>
      </c>
      <c r="BT380" s="18">
        <f>[1]monsters!$O380</f>
        <v>23.04</v>
      </c>
      <c r="BU380" s="18">
        <f>[1]monsters!$P380</f>
        <v>3600</v>
      </c>
      <c r="BV380" s="18">
        <f>[1]monsters!$Q380</f>
        <v>360</v>
      </c>
      <c r="BW380" s="18">
        <f>[1]monsters!$R380</f>
        <v>76.8</v>
      </c>
      <c r="BX380" s="18">
        <f>[1]monsters!$S380</f>
        <v>7.68</v>
      </c>
      <c r="BY380" s="18">
        <f>[1]monsters!$K380</f>
        <v>1.8</v>
      </c>
      <c r="BZ380" s="5">
        <f>[1]monsters!$D380</f>
        <v>2</v>
      </c>
      <c r="CA380" s="5">
        <f t="shared" si="234"/>
        <v>0.1</v>
      </c>
      <c r="CB380" s="5">
        <f t="shared" si="235"/>
        <v>338.9401212121212</v>
      </c>
      <c r="CC380" s="5">
        <f t="shared" si="236"/>
        <v>33.894012121212121</v>
      </c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>
        <v>0</v>
      </c>
      <c r="CR380" s="3" t="b">
        <f t="shared" si="208"/>
        <v>1</v>
      </c>
      <c r="CS380" s="3" t="b">
        <f t="shared" si="209"/>
        <v>1</v>
      </c>
      <c r="CT380" s="3" t="b">
        <f t="shared" si="210"/>
        <v>1</v>
      </c>
      <c r="CU380" s="3" t="b">
        <f t="shared" si="211"/>
        <v>1</v>
      </c>
      <c r="CV380" s="3" t="b">
        <f t="shared" si="212"/>
        <v>1</v>
      </c>
      <c r="CW380" s="3" t="b">
        <f t="shared" si="213"/>
        <v>1</v>
      </c>
      <c r="CX380" s="9" t="str">
        <f t="shared" si="214"/>
        <v>5201113</v>
      </c>
      <c r="CY380" s="9" t="str">
        <f t="shared" si="215"/>
        <v>5202115</v>
      </c>
      <c r="CZ380" s="9" t="str">
        <f t="shared" si="216"/>
        <v>5200111</v>
      </c>
      <c r="DA380" s="9" t="str">
        <f t="shared" si="217"/>
        <v>5501114</v>
      </c>
      <c r="DB380" s="9" t="str">
        <f t="shared" si="218"/>
        <v>5402112</v>
      </c>
      <c r="DC380" s="9" t="str">
        <f t="shared" si="219"/>
        <v>5400115</v>
      </c>
      <c r="DD380" s="9">
        <v>11</v>
      </c>
      <c r="DE380" s="9">
        <v>11</v>
      </c>
      <c r="DF380" s="9">
        <v>11</v>
      </c>
      <c r="DG380" s="9">
        <v>11</v>
      </c>
      <c r="DH380" s="9">
        <v>11</v>
      </c>
      <c r="DI380" s="9">
        <v>11</v>
      </c>
      <c r="DJ380" s="9">
        <v>5</v>
      </c>
      <c r="DK380" s="9">
        <v>5</v>
      </c>
      <c r="DL380" s="9">
        <v>5</v>
      </c>
      <c r="DM380" s="9">
        <v>5</v>
      </c>
      <c r="DN380" s="9">
        <v>5</v>
      </c>
      <c r="DO380" s="9">
        <v>5</v>
      </c>
      <c r="DP380" s="25" t="s">
        <v>205</v>
      </c>
      <c r="DQ380" s="25" t="s">
        <v>213</v>
      </c>
      <c r="DR380" s="25" t="s">
        <v>194</v>
      </c>
      <c r="DS380" s="25" t="s">
        <v>214</v>
      </c>
      <c r="DT380" s="25" t="s">
        <v>203</v>
      </c>
      <c r="DU380" s="25" t="s">
        <v>210</v>
      </c>
      <c r="DV380" s="25">
        <f t="shared" si="220"/>
        <v>1</v>
      </c>
      <c r="DW380" s="25">
        <f t="shared" si="221"/>
        <v>1</v>
      </c>
      <c r="DX380" s="25">
        <f t="shared" si="222"/>
        <v>1</v>
      </c>
      <c r="DY380" s="25">
        <f t="shared" si="223"/>
        <v>2</v>
      </c>
      <c r="DZ380" s="25">
        <f t="shared" si="224"/>
        <v>2</v>
      </c>
      <c r="EA380" s="3">
        <f t="shared" si="225"/>
        <v>2</v>
      </c>
      <c r="EB380" s="48"/>
      <c r="EC380" s="9">
        <v>5201124</v>
      </c>
      <c r="ED380" s="34" t="s">
        <v>217</v>
      </c>
      <c r="EE380" s="8">
        <v>1</v>
      </c>
    </row>
    <row r="381" spans="1:135" ht="13.5" customHeight="1">
      <c r="A381" s="9">
        <v>378</v>
      </c>
      <c r="B381" s="9">
        <v>1</v>
      </c>
      <c r="C381" s="9">
        <v>2001</v>
      </c>
      <c r="D381" s="9">
        <f t="shared" si="240"/>
        <v>7427627</v>
      </c>
      <c r="E381" s="9" t="str">
        <f t="shared" si="237"/>
        <v>5302115,5202115,5202113,5401113,5400115,5400115</v>
      </c>
      <c r="F381" s="9" t="str">
        <f t="shared" si="238"/>
        <v>11,11,11,11,11,11</v>
      </c>
      <c r="G381" s="9" t="str">
        <f t="shared" si="239"/>
        <v>733,793,793,793,793,793</v>
      </c>
      <c r="H381" s="9">
        <v>191</v>
      </c>
      <c r="I381" s="9" t="s">
        <v>278</v>
      </c>
      <c r="J381" s="9" t="s">
        <v>279</v>
      </c>
      <c r="K381" s="9" t="s">
        <v>279</v>
      </c>
      <c r="L381" s="9" t="s">
        <v>279</v>
      </c>
      <c r="M381" s="36" t="s">
        <v>305</v>
      </c>
      <c r="N381" s="40"/>
      <c r="O381" s="3">
        <f t="shared" si="245"/>
        <v>7427627</v>
      </c>
      <c r="P381" s="9">
        <v>5871642.2599999998</v>
      </c>
      <c r="Q381" s="9">
        <v>5302115</v>
      </c>
      <c r="R381" s="9">
        <v>5202115</v>
      </c>
      <c r="S381" s="9">
        <v>5202113</v>
      </c>
      <c r="T381" s="9">
        <v>5401113</v>
      </c>
      <c r="U381" s="9">
        <v>5400115</v>
      </c>
      <c r="V381" s="9">
        <v>5400115</v>
      </c>
      <c r="W381" s="9">
        <v>11</v>
      </c>
      <c r="X381" s="9">
        <v>11</v>
      </c>
      <c r="Y381" s="9">
        <v>11</v>
      </c>
      <c r="Z381" s="9">
        <v>11</v>
      </c>
      <c r="AA381" s="9">
        <v>11</v>
      </c>
      <c r="AB381" s="9">
        <v>11</v>
      </c>
      <c r="AC381" s="9">
        <f t="shared" si="226"/>
        <v>733</v>
      </c>
      <c r="AD381" s="9">
        <f t="shared" si="227"/>
        <v>793</v>
      </c>
      <c r="AE381" s="9">
        <f t="shared" si="228"/>
        <v>793</v>
      </c>
      <c r="AF381" s="9">
        <f t="shared" si="229"/>
        <v>793</v>
      </c>
      <c r="AG381" s="9">
        <f t="shared" si="230"/>
        <v>793</v>
      </c>
      <c r="AH381" s="9">
        <f t="shared" si="231"/>
        <v>793</v>
      </c>
      <c r="AI381" s="7">
        <f t="shared" si="244"/>
        <v>978607.04333333333</v>
      </c>
      <c r="AJ381" s="7">
        <f t="shared" si="243"/>
        <v>978607.04333333333</v>
      </c>
      <c r="AK381" s="7">
        <f t="shared" si="243"/>
        <v>978607.04333333333</v>
      </c>
      <c r="AL381" s="7">
        <f t="shared" si="243"/>
        <v>978607.04333333333</v>
      </c>
      <c r="AM381" s="7">
        <f t="shared" si="243"/>
        <v>978607.04333333333</v>
      </c>
      <c r="AN381" s="7">
        <f t="shared" si="243"/>
        <v>978607.04333333333</v>
      </c>
      <c r="AO381" s="16"/>
      <c r="AP381" s="7"/>
      <c r="AQ381" s="9">
        <v>7</v>
      </c>
      <c r="AR381" s="9">
        <f t="shared" si="232"/>
        <v>963</v>
      </c>
      <c r="AS381" s="7">
        <f t="shared" si="241"/>
        <v>289</v>
      </c>
      <c r="AT381" s="7"/>
      <c r="AU381" s="16"/>
      <c r="AV381" s="7"/>
      <c r="AW381" s="7"/>
      <c r="AX381" s="7"/>
      <c r="AZ381" s="7"/>
      <c r="BA381" s="9">
        <f t="shared" si="242"/>
        <v>642432.84000000078</v>
      </c>
      <c r="BC381" s="5">
        <f t="shared" si="233"/>
        <v>685</v>
      </c>
      <c r="BR381" s="5">
        <v>1303012</v>
      </c>
      <c r="BS381" s="18">
        <f>[1]monsters!$N381</f>
        <v>201.6</v>
      </c>
      <c r="BT381" s="18">
        <f>[1]monsters!$O381</f>
        <v>20.16</v>
      </c>
      <c r="BU381" s="18">
        <f>[1]monsters!$P381</f>
        <v>3200</v>
      </c>
      <c r="BV381" s="18">
        <f>[1]monsters!$Q381</f>
        <v>320</v>
      </c>
      <c r="BW381" s="18">
        <f>[1]monsters!$R381</f>
        <v>40.32</v>
      </c>
      <c r="BX381" s="18">
        <f>[1]monsters!$S381</f>
        <v>4.03</v>
      </c>
      <c r="BY381" s="18">
        <f>[1]monsters!$K381</f>
        <v>1.4</v>
      </c>
      <c r="BZ381" s="5">
        <f>[1]monsters!$D381</f>
        <v>3</v>
      </c>
      <c r="CA381" s="5">
        <f t="shared" si="234"/>
        <v>0.1</v>
      </c>
      <c r="CB381" s="5">
        <f t="shared" si="235"/>
        <v>298.25610774410774</v>
      </c>
      <c r="CC381" s="5">
        <f t="shared" si="236"/>
        <v>29.825610774410777</v>
      </c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>
        <v>0</v>
      </c>
      <c r="CR381" s="3" t="b">
        <f t="shared" si="208"/>
        <v>1</v>
      </c>
      <c r="CS381" s="3" t="b">
        <f t="shared" si="209"/>
        <v>1</v>
      </c>
      <c r="CT381" s="3" t="b">
        <f t="shared" si="210"/>
        <v>1</v>
      </c>
      <c r="CU381" s="3" t="b">
        <f t="shared" si="211"/>
        <v>1</v>
      </c>
      <c r="CV381" s="3" t="b">
        <f t="shared" si="212"/>
        <v>1</v>
      </c>
      <c r="CW381" s="3" t="b">
        <f t="shared" si="213"/>
        <v>1</v>
      </c>
      <c r="CX381" s="9" t="str">
        <f t="shared" si="214"/>
        <v>5302115</v>
      </c>
      <c r="CY381" s="9" t="str">
        <f t="shared" si="215"/>
        <v>5202115</v>
      </c>
      <c r="CZ381" s="9" t="str">
        <f t="shared" si="216"/>
        <v>5202113</v>
      </c>
      <c r="DA381" s="9" t="str">
        <f t="shared" si="217"/>
        <v>5401113</v>
      </c>
      <c r="DB381" s="9" t="str">
        <f t="shared" si="218"/>
        <v>5400115</v>
      </c>
      <c r="DC381" s="9" t="str">
        <f t="shared" si="219"/>
        <v>5400115</v>
      </c>
      <c r="DD381" s="9">
        <v>11</v>
      </c>
      <c r="DE381" s="9">
        <v>11</v>
      </c>
      <c r="DF381" s="9">
        <v>11</v>
      </c>
      <c r="DG381" s="9">
        <v>11</v>
      </c>
      <c r="DH381" s="9">
        <v>11</v>
      </c>
      <c r="DI381" s="9">
        <v>11</v>
      </c>
      <c r="DJ381" s="9">
        <v>5</v>
      </c>
      <c r="DK381" s="9">
        <v>5</v>
      </c>
      <c r="DL381" s="9">
        <v>5</v>
      </c>
      <c r="DM381" s="9">
        <v>5</v>
      </c>
      <c r="DN381" s="9">
        <v>5</v>
      </c>
      <c r="DO381" s="9">
        <v>5</v>
      </c>
      <c r="DP381" s="25" t="s">
        <v>221</v>
      </c>
      <c r="DQ381" s="25" t="s">
        <v>213</v>
      </c>
      <c r="DR381" s="25" t="s">
        <v>208</v>
      </c>
      <c r="DS381" s="25" t="s">
        <v>211</v>
      </c>
      <c r="DT381" s="25" t="s">
        <v>210</v>
      </c>
      <c r="DU381" s="25" t="s">
        <v>210</v>
      </c>
      <c r="DV381" s="25">
        <f t="shared" si="220"/>
        <v>1</v>
      </c>
      <c r="DW381" s="25">
        <f t="shared" si="221"/>
        <v>1</v>
      </c>
      <c r="DX381" s="25">
        <f t="shared" si="222"/>
        <v>1</v>
      </c>
      <c r="DY381" s="25">
        <f t="shared" si="223"/>
        <v>2</v>
      </c>
      <c r="DZ381" s="25">
        <f t="shared" si="224"/>
        <v>2</v>
      </c>
      <c r="EA381" s="3">
        <f t="shared" si="225"/>
        <v>2</v>
      </c>
      <c r="EB381" s="47"/>
      <c r="EC381" s="9">
        <v>5302124</v>
      </c>
      <c r="ED381" s="34" t="s">
        <v>218</v>
      </c>
      <c r="EE381" s="8">
        <v>1</v>
      </c>
    </row>
    <row r="382" spans="1:135" ht="13.5" customHeight="1">
      <c r="A382" s="9">
        <v>379</v>
      </c>
      <c r="B382" s="9">
        <v>1</v>
      </c>
      <c r="C382" s="9">
        <v>2001</v>
      </c>
      <c r="D382" s="9">
        <f t="shared" si="240"/>
        <v>7656563</v>
      </c>
      <c r="E382" s="9" t="str">
        <f t="shared" si="237"/>
        <v>5202112,5202112,5301112,5502112,5500111,5502111</v>
      </c>
      <c r="F382" s="9" t="str">
        <f t="shared" si="238"/>
        <v>11,11,11,11,11,11</v>
      </c>
      <c r="G382" s="9" t="str">
        <f t="shared" si="239"/>
        <v>744,805,805,805,805,805</v>
      </c>
      <c r="H382" s="9">
        <v>191</v>
      </c>
      <c r="I382" s="9" t="s">
        <v>278</v>
      </c>
      <c r="J382" s="9" t="s">
        <v>279</v>
      </c>
      <c r="K382" s="9" t="s">
        <v>279</v>
      </c>
      <c r="L382" s="9" t="s">
        <v>279</v>
      </c>
      <c r="M382" s="36" t="s">
        <v>305</v>
      </c>
      <c r="N382" s="40"/>
      <c r="O382" s="3">
        <f t="shared" si="245"/>
        <v>7656563</v>
      </c>
      <c r="P382" s="9">
        <v>6052618.8300000001</v>
      </c>
      <c r="Q382" s="9">
        <v>5202112</v>
      </c>
      <c r="R382" s="9">
        <v>5202112</v>
      </c>
      <c r="S382" s="9">
        <v>5301112</v>
      </c>
      <c r="T382" s="9">
        <v>5502112</v>
      </c>
      <c r="U382" s="9">
        <v>5500111</v>
      </c>
      <c r="V382" s="9">
        <v>5502111</v>
      </c>
      <c r="W382" s="9">
        <v>11</v>
      </c>
      <c r="X382" s="9">
        <v>11</v>
      </c>
      <c r="Y382" s="9">
        <v>11</v>
      </c>
      <c r="Z382" s="9">
        <v>11</v>
      </c>
      <c r="AA382" s="9">
        <v>11</v>
      </c>
      <c r="AB382" s="9">
        <v>11</v>
      </c>
      <c r="AC382" s="9">
        <f t="shared" si="226"/>
        <v>744</v>
      </c>
      <c r="AD382" s="9">
        <f t="shared" si="227"/>
        <v>805</v>
      </c>
      <c r="AE382" s="9">
        <f t="shared" si="228"/>
        <v>805</v>
      </c>
      <c r="AF382" s="9">
        <f t="shared" si="229"/>
        <v>805</v>
      </c>
      <c r="AG382" s="9">
        <f t="shared" si="230"/>
        <v>805</v>
      </c>
      <c r="AH382" s="9">
        <f t="shared" si="231"/>
        <v>805</v>
      </c>
      <c r="AI382" s="7">
        <f t="shared" si="244"/>
        <v>1008769.8050000001</v>
      </c>
      <c r="AJ382" s="7">
        <f t="shared" si="243"/>
        <v>1008769.8050000001</v>
      </c>
      <c r="AK382" s="7">
        <f t="shared" si="243"/>
        <v>1008769.8050000001</v>
      </c>
      <c r="AL382" s="7">
        <f t="shared" si="243"/>
        <v>1008769.8050000001</v>
      </c>
      <c r="AM382" s="7">
        <f t="shared" si="243"/>
        <v>1008769.8050000001</v>
      </c>
      <c r="AN382" s="7">
        <f t="shared" si="243"/>
        <v>1008769.8050000001</v>
      </c>
      <c r="AO382" s="16"/>
      <c r="AP382" s="7"/>
      <c r="AQ382" s="9">
        <v>7</v>
      </c>
      <c r="AR382" s="9">
        <f t="shared" si="232"/>
        <v>978</v>
      </c>
      <c r="AS382" s="7">
        <f t="shared" si="241"/>
        <v>289</v>
      </c>
      <c r="AT382" s="7"/>
      <c r="AU382" s="16"/>
      <c r="AV382" s="7"/>
      <c r="AW382" s="7"/>
      <c r="AX382" s="7"/>
      <c r="AZ382" s="7"/>
      <c r="BA382" s="9">
        <f t="shared" si="242"/>
        <v>647325.37000000081</v>
      </c>
      <c r="BC382" s="5">
        <f t="shared" si="233"/>
        <v>696</v>
      </c>
      <c r="BR382" s="5">
        <v>1304012</v>
      </c>
      <c r="BS382" s="18">
        <f>[1]monsters!$N382</f>
        <v>358.4</v>
      </c>
      <c r="BT382" s="18">
        <f>[1]monsters!$O382</f>
        <v>35.840000000000003</v>
      </c>
      <c r="BU382" s="18">
        <f>[1]monsters!$P382</f>
        <v>2057.14</v>
      </c>
      <c r="BV382" s="18">
        <f>[1]monsters!$Q382</f>
        <v>205.71</v>
      </c>
      <c r="BW382" s="18">
        <f>[1]monsters!$R382</f>
        <v>44.8</v>
      </c>
      <c r="BX382" s="18">
        <f>[1]monsters!$S382</f>
        <v>4.4800000000000004</v>
      </c>
      <c r="BY382" s="18">
        <f>[1]monsters!$K382</f>
        <v>1.6</v>
      </c>
      <c r="BZ382" s="5">
        <f>[1]monsters!$D382</f>
        <v>5</v>
      </c>
      <c r="CA382" s="5">
        <f t="shared" si="234"/>
        <v>0.1</v>
      </c>
      <c r="CB382" s="5">
        <f t="shared" si="235"/>
        <v>407.95197306397301</v>
      </c>
      <c r="CC382" s="5">
        <f t="shared" si="236"/>
        <v>40.795197306397306</v>
      </c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>
        <v>0</v>
      </c>
      <c r="CR382" s="3" t="b">
        <f t="shared" si="208"/>
        <v>1</v>
      </c>
      <c r="CS382" s="3" t="b">
        <f t="shared" si="209"/>
        <v>1</v>
      </c>
      <c r="CT382" s="3" t="b">
        <f t="shared" si="210"/>
        <v>1</v>
      </c>
      <c r="CU382" s="3" t="b">
        <f t="shared" si="211"/>
        <v>1</v>
      </c>
      <c r="CV382" s="3" t="b">
        <f t="shared" si="212"/>
        <v>1</v>
      </c>
      <c r="CW382" s="3" t="b">
        <f t="shared" si="213"/>
        <v>1</v>
      </c>
      <c r="CX382" s="9" t="str">
        <f t="shared" si="214"/>
        <v>5202112</v>
      </c>
      <c r="CY382" s="9" t="str">
        <f t="shared" si="215"/>
        <v>5202112</v>
      </c>
      <c r="CZ382" s="9" t="str">
        <f t="shared" si="216"/>
        <v>5301112</v>
      </c>
      <c r="DA382" s="9" t="str">
        <f t="shared" si="217"/>
        <v>5502112</v>
      </c>
      <c r="DB382" s="9" t="str">
        <f t="shared" si="218"/>
        <v>5500111</v>
      </c>
      <c r="DC382" s="9" t="str">
        <f t="shared" si="219"/>
        <v>5502111</v>
      </c>
      <c r="DD382" s="9">
        <v>11</v>
      </c>
      <c r="DE382" s="9">
        <v>11</v>
      </c>
      <c r="DF382" s="9">
        <v>11</v>
      </c>
      <c r="DG382" s="9">
        <v>11</v>
      </c>
      <c r="DH382" s="9">
        <v>11</v>
      </c>
      <c r="DI382" s="9">
        <v>11</v>
      </c>
      <c r="DJ382" s="9">
        <v>5</v>
      </c>
      <c r="DK382" s="9">
        <v>5</v>
      </c>
      <c r="DL382" s="9">
        <v>5</v>
      </c>
      <c r="DM382" s="9">
        <v>5</v>
      </c>
      <c r="DN382" s="9">
        <v>5</v>
      </c>
      <c r="DO382" s="9">
        <v>5</v>
      </c>
      <c r="DP382" s="25" t="s">
        <v>200</v>
      </c>
      <c r="DQ382" s="25" t="s">
        <v>200</v>
      </c>
      <c r="DR382" s="25" t="s">
        <v>201</v>
      </c>
      <c r="DS382" s="25" t="s">
        <v>204</v>
      </c>
      <c r="DT382" s="25" t="s">
        <v>197</v>
      </c>
      <c r="DU382" s="25" t="s">
        <v>119</v>
      </c>
      <c r="DV382" s="25">
        <f t="shared" si="220"/>
        <v>1</v>
      </c>
      <c r="DW382" s="25">
        <f t="shared" si="221"/>
        <v>1</v>
      </c>
      <c r="DX382" s="25">
        <f t="shared" si="222"/>
        <v>1</v>
      </c>
      <c r="DY382" s="25">
        <f t="shared" si="223"/>
        <v>2</v>
      </c>
      <c r="DZ382" s="25">
        <f t="shared" si="224"/>
        <v>2</v>
      </c>
      <c r="EA382" s="3">
        <f t="shared" si="225"/>
        <v>2</v>
      </c>
      <c r="EB382" s="47"/>
      <c r="EC382" s="9">
        <v>5501124</v>
      </c>
      <c r="ED382" s="34" t="s">
        <v>214</v>
      </c>
      <c r="EE382" s="8">
        <v>2</v>
      </c>
    </row>
    <row r="383" spans="1:135" ht="13.5" customHeight="1">
      <c r="A383" s="9">
        <v>380</v>
      </c>
      <c r="B383" s="9">
        <v>1</v>
      </c>
      <c r="C383" s="9">
        <v>2001</v>
      </c>
      <c r="D383" s="9">
        <f t="shared" si="240"/>
        <v>7887280</v>
      </c>
      <c r="E383" s="9" t="str">
        <f t="shared" si="237"/>
        <v>5202113,5201113,5302114,5400115,5601111,5400115</v>
      </c>
      <c r="F383" s="9" t="str">
        <f t="shared" si="238"/>
        <v>11,11,11,11,11,11</v>
      </c>
      <c r="G383" s="9" t="str">
        <f t="shared" si="239"/>
        <v>756,817,817,817,817,817</v>
      </c>
      <c r="H383" s="9">
        <v>192</v>
      </c>
      <c r="I383" s="9" t="s">
        <v>278</v>
      </c>
      <c r="J383" s="9" t="s">
        <v>279</v>
      </c>
      <c r="K383" s="9" t="s">
        <v>279</v>
      </c>
      <c r="L383" s="9" t="s">
        <v>279</v>
      </c>
      <c r="M383" s="36" t="s">
        <v>305</v>
      </c>
      <c r="O383" s="3">
        <f t="shared" si="245"/>
        <v>7887280</v>
      </c>
      <c r="P383" s="9">
        <v>6235004.3200000003</v>
      </c>
      <c r="Q383" s="9">
        <v>5202113</v>
      </c>
      <c r="R383" s="9">
        <v>5201113</v>
      </c>
      <c r="S383" s="9">
        <v>5302114</v>
      </c>
      <c r="T383" s="9">
        <v>5400115</v>
      </c>
      <c r="U383" s="9">
        <v>5601111</v>
      </c>
      <c r="V383" s="9">
        <v>5400115</v>
      </c>
      <c r="W383" s="9">
        <v>11</v>
      </c>
      <c r="X383" s="9">
        <v>11</v>
      </c>
      <c r="Y383" s="9">
        <v>11</v>
      </c>
      <c r="Z383" s="9">
        <v>11</v>
      </c>
      <c r="AA383" s="9">
        <v>11</v>
      </c>
      <c r="AB383" s="9">
        <v>11</v>
      </c>
      <c r="AC383" s="9">
        <f t="shared" si="226"/>
        <v>756</v>
      </c>
      <c r="AD383" s="9">
        <f t="shared" si="227"/>
        <v>817</v>
      </c>
      <c r="AE383" s="9">
        <f t="shared" si="228"/>
        <v>817</v>
      </c>
      <c r="AF383" s="9">
        <f t="shared" si="229"/>
        <v>817</v>
      </c>
      <c r="AG383" s="9">
        <f t="shared" si="230"/>
        <v>817</v>
      </c>
      <c r="AH383" s="9">
        <f t="shared" si="231"/>
        <v>817</v>
      </c>
      <c r="AI383" s="7">
        <f t="shared" si="244"/>
        <v>1039167.3866666667</v>
      </c>
      <c r="AJ383" s="7">
        <f t="shared" si="243"/>
        <v>1039167.3866666667</v>
      </c>
      <c r="AK383" s="7">
        <f t="shared" si="243"/>
        <v>1039167.3866666667</v>
      </c>
      <c r="AL383" s="7">
        <f t="shared" si="243"/>
        <v>1039167.3866666667</v>
      </c>
      <c r="AM383" s="7">
        <f t="shared" si="243"/>
        <v>1039167.3866666667</v>
      </c>
      <c r="AN383" s="7">
        <f t="shared" si="243"/>
        <v>1039167.3866666667</v>
      </c>
      <c r="AO383" s="16"/>
      <c r="AP383" s="7"/>
      <c r="AQ383" s="9">
        <v>7</v>
      </c>
      <c r="AR383" s="9">
        <f t="shared" si="232"/>
        <v>993</v>
      </c>
      <c r="AS383" s="7">
        <f t="shared" si="241"/>
        <v>290</v>
      </c>
      <c r="AT383" s="7"/>
      <c r="AU383" s="16"/>
      <c r="AV383" s="7"/>
      <c r="AW383" s="7"/>
      <c r="AX383" s="7"/>
      <c r="AZ383" s="7"/>
      <c r="BA383" s="9">
        <f t="shared" si="242"/>
        <v>652217.90000000084</v>
      </c>
      <c r="BC383" s="5">
        <f t="shared" si="233"/>
        <v>706</v>
      </c>
      <c r="BR383" s="5">
        <v>1503012</v>
      </c>
      <c r="BS383" s="18">
        <f>[1]monsters!$N383</f>
        <v>347.2</v>
      </c>
      <c r="BT383" s="18">
        <f>[1]monsters!$O383</f>
        <v>34.72</v>
      </c>
      <c r="BU383" s="18">
        <f>[1]monsters!$P383</f>
        <v>1858.06</v>
      </c>
      <c r="BV383" s="18">
        <f>[1]monsters!$Q383</f>
        <v>185.81</v>
      </c>
      <c r="BW383" s="18">
        <f>[1]monsters!$R383</f>
        <v>34.72</v>
      </c>
      <c r="BX383" s="18">
        <f>[1]monsters!$S383</f>
        <v>3.47</v>
      </c>
      <c r="BY383" s="18">
        <f>[1]monsters!$K383</f>
        <v>1.4</v>
      </c>
      <c r="BZ383" s="5">
        <f>[1]monsters!$D383</f>
        <v>6</v>
      </c>
      <c r="CA383" s="5">
        <f t="shared" si="234"/>
        <v>0.1</v>
      </c>
      <c r="CB383" s="5">
        <f t="shared" si="235"/>
        <v>390.66494276094272</v>
      </c>
      <c r="CC383" s="5">
        <f t="shared" si="236"/>
        <v>39.066494276094275</v>
      </c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>
        <v>1</v>
      </c>
      <c r="CR383" s="3" t="b">
        <f t="shared" si="208"/>
        <v>1</v>
      </c>
      <c r="CS383" s="3" t="b">
        <f t="shared" si="209"/>
        <v>1</v>
      </c>
      <c r="CT383" s="3" t="b">
        <f t="shared" si="210"/>
        <v>1</v>
      </c>
      <c r="CU383" s="3" t="b">
        <f t="shared" si="211"/>
        <v>1</v>
      </c>
      <c r="CV383" s="3" t="b">
        <f t="shared" si="212"/>
        <v>1</v>
      </c>
      <c r="CW383" s="3" t="b">
        <f t="shared" si="213"/>
        <v>1</v>
      </c>
      <c r="CX383" s="9" t="str">
        <f t="shared" si="214"/>
        <v>5202113</v>
      </c>
      <c r="CY383" s="9" t="str">
        <f t="shared" si="215"/>
        <v>5201113</v>
      </c>
      <c r="CZ383" s="9" t="str">
        <f t="shared" si="216"/>
        <v>5302114</v>
      </c>
      <c r="DA383" s="9" t="str">
        <f t="shared" si="217"/>
        <v>5400115</v>
      </c>
      <c r="DB383" s="9" t="str">
        <f t="shared" si="218"/>
        <v>5601111</v>
      </c>
      <c r="DC383" s="9" t="str">
        <f t="shared" si="219"/>
        <v>5400115</v>
      </c>
      <c r="DD383" s="9">
        <v>11</v>
      </c>
      <c r="DE383" s="9">
        <v>11</v>
      </c>
      <c r="DF383" s="9">
        <v>11</v>
      </c>
      <c r="DG383" s="9">
        <v>11</v>
      </c>
      <c r="DH383" s="9">
        <v>11</v>
      </c>
      <c r="DI383" s="9">
        <v>11</v>
      </c>
      <c r="DJ383" s="9">
        <v>5</v>
      </c>
      <c r="DK383" s="9">
        <v>5</v>
      </c>
      <c r="DL383" s="9">
        <v>5</v>
      </c>
      <c r="DM383" s="9">
        <v>5</v>
      </c>
      <c r="DN383" s="9">
        <v>5</v>
      </c>
      <c r="DO383" s="9">
        <v>5</v>
      </c>
      <c r="DP383" s="25" t="s">
        <v>208</v>
      </c>
      <c r="DQ383" s="25" t="s">
        <v>205</v>
      </c>
      <c r="DR383" s="25" t="s">
        <v>218</v>
      </c>
      <c r="DS383" s="25" t="s">
        <v>210</v>
      </c>
      <c r="DT383" s="25" t="s">
        <v>198</v>
      </c>
      <c r="DU383" s="25" t="s">
        <v>210</v>
      </c>
      <c r="DV383" s="25">
        <f t="shared" si="220"/>
        <v>1</v>
      </c>
      <c r="DW383" s="25">
        <f t="shared" si="221"/>
        <v>1</v>
      </c>
      <c r="DX383" s="25">
        <f t="shared" si="222"/>
        <v>1</v>
      </c>
      <c r="DY383" s="25">
        <f t="shared" si="223"/>
        <v>2</v>
      </c>
      <c r="DZ383" s="25">
        <f t="shared" si="224"/>
        <v>2</v>
      </c>
      <c r="EA383" s="3">
        <f t="shared" si="225"/>
        <v>2</v>
      </c>
      <c r="EB383" s="48"/>
      <c r="EC383" s="9">
        <v>5600124</v>
      </c>
      <c r="ED383" s="34" t="s">
        <v>219</v>
      </c>
      <c r="EE383" s="8">
        <v>1</v>
      </c>
    </row>
    <row r="384" spans="1:135" ht="13.5" customHeight="1">
      <c r="A384" s="9">
        <v>381</v>
      </c>
      <c r="B384" s="9">
        <v>1</v>
      </c>
      <c r="C384" s="9">
        <v>2001</v>
      </c>
      <c r="D384" s="9">
        <f t="shared" si="240"/>
        <v>7917023</v>
      </c>
      <c r="E384" s="9" t="str">
        <f t="shared" si="237"/>
        <v>5200113,5202115,5301113,5401113,5501115,5501115</v>
      </c>
      <c r="F384" s="9" t="str">
        <f t="shared" si="238"/>
        <v>11,11,11,11,11,11</v>
      </c>
      <c r="G384" s="9" t="str">
        <f t="shared" si="239"/>
        <v>757,819,819,819,819,819</v>
      </c>
      <c r="H384" s="9">
        <v>192</v>
      </c>
      <c r="I384" s="9" t="s">
        <v>278</v>
      </c>
      <c r="J384" s="9" t="s">
        <v>279</v>
      </c>
      <c r="K384" s="9" t="s">
        <v>279</v>
      </c>
      <c r="L384" s="9" t="s">
        <v>279</v>
      </c>
      <c r="M384" s="36" t="s">
        <v>305</v>
      </c>
      <c r="N384" s="40"/>
      <c r="O384" s="3">
        <f t="shared" si="245"/>
        <v>7917023</v>
      </c>
      <c r="P384" s="9">
        <v>6258516.1699999999</v>
      </c>
      <c r="Q384" s="9">
        <v>5200113</v>
      </c>
      <c r="R384" s="9">
        <v>5202115</v>
      </c>
      <c r="S384" s="9">
        <v>5301113</v>
      </c>
      <c r="T384" s="9">
        <v>5401113</v>
      </c>
      <c r="U384" s="9">
        <v>5501115</v>
      </c>
      <c r="V384" s="9">
        <v>5501115</v>
      </c>
      <c r="W384" s="9">
        <v>11</v>
      </c>
      <c r="X384" s="9">
        <v>11</v>
      </c>
      <c r="Y384" s="9">
        <v>11</v>
      </c>
      <c r="Z384" s="9">
        <v>11</v>
      </c>
      <c r="AA384" s="9">
        <v>11</v>
      </c>
      <c r="AB384" s="9">
        <v>11</v>
      </c>
      <c r="AC384" s="9">
        <f t="shared" si="226"/>
        <v>757</v>
      </c>
      <c r="AD384" s="9">
        <f t="shared" si="227"/>
        <v>819</v>
      </c>
      <c r="AE384" s="9">
        <f t="shared" si="228"/>
        <v>819</v>
      </c>
      <c r="AF384" s="9">
        <f t="shared" si="229"/>
        <v>819</v>
      </c>
      <c r="AG384" s="9">
        <f t="shared" si="230"/>
        <v>819</v>
      </c>
      <c r="AH384" s="9">
        <f t="shared" si="231"/>
        <v>819</v>
      </c>
      <c r="AI384" s="7">
        <f t="shared" si="244"/>
        <v>1043086.0283333333</v>
      </c>
      <c r="AJ384" s="7">
        <f t="shared" si="243"/>
        <v>1043086.0283333333</v>
      </c>
      <c r="AK384" s="7">
        <f t="shared" si="243"/>
        <v>1043086.0283333333</v>
      </c>
      <c r="AL384" s="7">
        <f t="shared" si="243"/>
        <v>1043086.0283333333</v>
      </c>
      <c r="AM384" s="7">
        <f t="shared" si="243"/>
        <v>1043086.0283333333</v>
      </c>
      <c r="AN384" s="7">
        <f t="shared" si="243"/>
        <v>1043086.0283333333</v>
      </c>
      <c r="AO384" s="16"/>
      <c r="AP384" s="7"/>
      <c r="AQ384" s="9">
        <v>7</v>
      </c>
      <c r="AR384" s="9">
        <f t="shared" si="232"/>
        <v>995</v>
      </c>
      <c r="AS384" s="7">
        <f t="shared" si="241"/>
        <v>290</v>
      </c>
      <c r="AT384" s="7"/>
      <c r="AU384" s="16"/>
      <c r="AV384" s="7"/>
      <c r="AW384" s="7"/>
      <c r="AX384" s="7"/>
      <c r="AZ384" s="7"/>
      <c r="BA384" s="9">
        <f t="shared" si="242"/>
        <v>657110.43000000087</v>
      </c>
      <c r="BC384" s="5">
        <f t="shared" si="233"/>
        <v>708</v>
      </c>
      <c r="BR384" s="5">
        <v>1504012</v>
      </c>
      <c r="BS384" s="18">
        <f>[1]monsters!$N384</f>
        <v>446.4</v>
      </c>
      <c r="BT384" s="18">
        <f>[1]monsters!$O384</f>
        <v>44.64</v>
      </c>
      <c r="BU384" s="18">
        <f>[1]monsters!$P384</f>
        <v>1858.06</v>
      </c>
      <c r="BV384" s="18">
        <f>[1]monsters!$Q384</f>
        <v>185.81</v>
      </c>
      <c r="BW384" s="18">
        <f>[1]monsters!$R384</f>
        <v>44.64</v>
      </c>
      <c r="BX384" s="18">
        <f>[1]monsters!$S384</f>
        <v>4.46</v>
      </c>
      <c r="BY384" s="18">
        <f>[1]monsters!$K384</f>
        <v>1.8</v>
      </c>
      <c r="BZ384" s="5">
        <f>[1]monsters!$D384</f>
        <v>6</v>
      </c>
      <c r="CA384" s="5">
        <f t="shared" si="234"/>
        <v>0.1</v>
      </c>
      <c r="CB384" s="5">
        <f t="shared" si="235"/>
        <v>484.40894276094269</v>
      </c>
      <c r="CC384" s="5">
        <f t="shared" si="236"/>
        <v>48.440894276094269</v>
      </c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>
        <v>0</v>
      </c>
      <c r="CR384" s="3" t="b">
        <f t="shared" si="208"/>
        <v>1</v>
      </c>
      <c r="CS384" s="3" t="b">
        <f t="shared" si="209"/>
        <v>1</v>
      </c>
      <c r="CT384" s="3" t="b">
        <f t="shared" si="210"/>
        <v>1</v>
      </c>
      <c r="CU384" s="3" t="b">
        <f t="shared" si="211"/>
        <v>1</v>
      </c>
      <c r="CV384" s="3" t="b">
        <f t="shared" si="212"/>
        <v>1</v>
      </c>
      <c r="CW384" s="3" t="b">
        <f t="shared" si="213"/>
        <v>1</v>
      </c>
      <c r="CX384" s="9" t="str">
        <f t="shared" si="214"/>
        <v>5200113</v>
      </c>
      <c r="CY384" s="9" t="str">
        <f t="shared" si="215"/>
        <v>5202115</v>
      </c>
      <c r="CZ384" s="9" t="str">
        <f t="shared" si="216"/>
        <v>5301113</v>
      </c>
      <c r="DA384" s="9" t="str">
        <f t="shared" si="217"/>
        <v>5401113</v>
      </c>
      <c r="DB384" s="9" t="str">
        <f t="shared" si="218"/>
        <v>5501115</v>
      </c>
      <c r="DC384" s="9" t="str">
        <f t="shared" si="219"/>
        <v>5501115</v>
      </c>
      <c r="DD384" s="9">
        <v>11</v>
      </c>
      <c r="DE384" s="9">
        <v>11</v>
      </c>
      <c r="DF384" s="9">
        <v>11</v>
      </c>
      <c r="DG384" s="9">
        <v>11</v>
      </c>
      <c r="DH384" s="9">
        <v>11</v>
      </c>
      <c r="DI384" s="9">
        <v>11</v>
      </c>
      <c r="DJ384" s="9">
        <v>5</v>
      </c>
      <c r="DK384" s="9">
        <v>5</v>
      </c>
      <c r="DL384" s="9">
        <v>5</v>
      </c>
      <c r="DM384" s="9">
        <v>5</v>
      </c>
      <c r="DN384" s="9">
        <v>5</v>
      </c>
      <c r="DO384" s="9">
        <v>5</v>
      </c>
      <c r="DP384" s="25" t="s">
        <v>113</v>
      </c>
      <c r="DQ384" s="25" t="s">
        <v>213</v>
      </c>
      <c r="DR384" s="25" t="s">
        <v>206</v>
      </c>
      <c r="DS384" s="25" t="s">
        <v>211</v>
      </c>
      <c r="DT384" s="25" t="s">
        <v>209</v>
      </c>
      <c r="DU384" s="25" t="s">
        <v>209</v>
      </c>
      <c r="DV384" s="25">
        <f t="shared" si="220"/>
        <v>1</v>
      </c>
      <c r="DW384" s="25">
        <f t="shared" si="221"/>
        <v>1</v>
      </c>
      <c r="DX384" s="25">
        <f t="shared" si="222"/>
        <v>1</v>
      </c>
      <c r="DY384" s="25">
        <f t="shared" si="223"/>
        <v>2</v>
      </c>
      <c r="DZ384" s="25">
        <f t="shared" si="224"/>
        <v>2</v>
      </c>
      <c r="EA384" s="3">
        <f t="shared" si="225"/>
        <v>2</v>
      </c>
      <c r="EB384" s="47"/>
      <c r="EC384" s="9">
        <v>5602124</v>
      </c>
      <c r="ED384" s="34" t="s">
        <v>220</v>
      </c>
      <c r="EE384" s="8">
        <v>2</v>
      </c>
    </row>
    <row r="385" spans="1:135" ht="13.5" customHeight="1">
      <c r="A385" s="9">
        <v>382</v>
      </c>
      <c r="B385" s="9">
        <v>1</v>
      </c>
      <c r="C385" s="9">
        <v>2001</v>
      </c>
      <c r="D385" s="9">
        <f t="shared" si="240"/>
        <v>7946823</v>
      </c>
      <c r="E385" s="9" t="str">
        <f t="shared" si="237"/>
        <v>5301111,5301112,5301113,5500111,5500112,5500113</v>
      </c>
      <c r="F385" s="9" t="str">
        <f t="shared" si="238"/>
        <v>11,11,11,11,11,11</v>
      </c>
      <c r="G385" s="9" t="str">
        <f t="shared" si="239"/>
        <v>759,820,820,820,820,820</v>
      </c>
      <c r="H385" s="9">
        <v>192</v>
      </c>
      <c r="I385" s="9" t="s">
        <v>278</v>
      </c>
      <c r="J385" s="9" t="s">
        <v>279</v>
      </c>
      <c r="K385" s="9" t="s">
        <v>279</v>
      </c>
      <c r="L385" s="9" t="s">
        <v>279</v>
      </c>
      <c r="M385" s="36" t="s">
        <v>305</v>
      </c>
      <c r="N385" s="40"/>
      <c r="O385" s="3">
        <f t="shared" si="245"/>
        <v>7946823</v>
      </c>
      <c r="P385" s="9">
        <v>6282073.79</v>
      </c>
      <c r="Q385" s="9">
        <v>5301111</v>
      </c>
      <c r="R385" s="9">
        <v>5301112</v>
      </c>
      <c r="S385" s="9">
        <v>5301113</v>
      </c>
      <c r="T385" s="9">
        <v>5500111</v>
      </c>
      <c r="U385" s="9">
        <v>5500112</v>
      </c>
      <c r="V385" s="9">
        <v>5500113</v>
      </c>
      <c r="W385" s="9">
        <v>11</v>
      </c>
      <c r="X385" s="9">
        <v>11</v>
      </c>
      <c r="Y385" s="9">
        <v>11</v>
      </c>
      <c r="Z385" s="9">
        <v>11</v>
      </c>
      <c r="AA385" s="9">
        <v>11</v>
      </c>
      <c r="AB385" s="9">
        <v>11</v>
      </c>
      <c r="AC385" s="9">
        <f t="shared" si="226"/>
        <v>759</v>
      </c>
      <c r="AD385" s="9">
        <f t="shared" si="227"/>
        <v>820</v>
      </c>
      <c r="AE385" s="9">
        <f t="shared" si="228"/>
        <v>820</v>
      </c>
      <c r="AF385" s="9">
        <f t="shared" si="229"/>
        <v>820</v>
      </c>
      <c r="AG385" s="9">
        <f t="shared" si="230"/>
        <v>820</v>
      </c>
      <c r="AH385" s="9">
        <f t="shared" si="231"/>
        <v>820</v>
      </c>
      <c r="AI385" s="7">
        <f t="shared" si="244"/>
        <v>1047012.2983333333</v>
      </c>
      <c r="AJ385" s="7">
        <f t="shared" si="243"/>
        <v>1047012.2983333333</v>
      </c>
      <c r="AK385" s="7">
        <f t="shared" si="243"/>
        <v>1047012.2983333333</v>
      </c>
      <c r="AL385" s="7">
        <f t="shared" si="243"/>
        <v>1047012.2983333333</v>
      </c>
      <c r="AM385" s="7">
        <f t="shared" si="243"/>
        <v>1047012.2983333333</v>
      </c>
      <c r="AN385" s="7">
        <f t="shared" si="243"/>
        <v>1047012.2983333333</v>
      </c>
      <c r="AO385" s="16"/>
      <c r="AP385" s="7"/>
      <c r="AQ385" s="9">
        <v>7</v>
      </c>
      <c r="AR385" s="9">
        <f t="shared" si="232"/>
        <v>997</v>
      </c>
      <c r="AS385" s="7">
        <f t="shared" si="241"/>
        <v>291</v>
      </c>
      <c r="AT385" s="7"/>
      <c r="AU385" s="16"/>
      <c r="AV385" s="7"/>
      <c r="AW385" s="7"/>
      <c r="AX385" s="7"/>
      <c r="AZ385" s="7"/>
      <c r="BA385" s="9">
        <f t="shared" si="242"/>
        <v>662002.96000000089</v>
      </c>
      <c r="BC385" s="5">
        <f t="shared" si="233"/>
        <v>709</v>
      </c>
      <c r="BR385" s="5">
        <v>1101012</v>
      </c>
      <c r="BS385" s="18">
        <f>[1]monsters!$N385</f>
        <v>259.2</v>
      </c>
      <c r="BT385" s="18">
        <f>[1]monsters!$O385</f>
        <v>25.92</v>
      </c>
      <c r="BU385" s="18">
        <f>[1]monsters!$P385</f>
        <v>3200</v>
      </c>
      <c r="BV385" s="18">
        <f>[1]monsters!$Q385</f>
        <v>320</v>
      </c>
      <c r="BW385" s="18">
        <f>[1]monsters!$R385</f>
        <v>51.84</v>
      </c>
      <c r="BX385" s="18">
        <f>[1]monsters!$S385</f>
        <v>5.18</v>
      </c>
      <c r="BY385" s="18">
        <f>[1]monsters!$K385</f>
        <v>1.8</v>
      </c>
      <c r="BZ385" s="5">
        <f>[1]monsters!$D385</f>
        <v>2</v>
      </c>
      <c r="CA385" s="5">
        <f t="shared" si="234"/>
        <v>0.1</v>
      </c>
      <c r="CB385" s="5">
        <f t="shared" si="235"/>
        <v>352.68810774410775</v>
      </c>
      <c r="CC385" s="5">
        <f t="shared" si="236"/>
        <v>35.268810774410774</v>
      </c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>
        <v>0</v>
      </c>
      <c r="CR385" s="3" t="b">
        <f t="shared" si="208"/>
        <v>1</v>
      </c>
      <c r="CS385" s="3" t="b">
        <f t="shared" si="209"/>
        <v>1</v>
      </c>
      <c r="CT385" s="3" t="b">
        <f t="shared" si="210"/>
        <v>1</v>
      </c>
      <c r="CU385" s="3" t="b">
        <f t="shared" si="211"/>
        <v>1</v>
      </c>
      <c r="CV385" s="3" t="b">
        <f t="shared" si="212"/>
        <v>1</v>
      </c>
      <c r="CW385" s="3" t="b">
        <f t="shared" si="213"/>
        <v>1</v>
      </c>
      <c r="CX385" s="9" t="str">
        <f t="shared" si="214"/>
        <v>5301111</v>
      </c>
      <c r="CY385" s="9" t="str">
        <f t="shared" si="215"/>
        <v>5301112</v>
      </c>
      <c r="CZ385" s="9" t="str">
        <f t="shared" si="216"/>
        <v>5301113</v>
      </c>
      <c r="DA385" s="9" t="str">
        <f t="shared" si="217"/>
        <v>5500111</v>
      </c>
      <c r="DB385" s="9" t="str">
        <f t="shared" si="218"/>
        <v>5500112</v>
      </c>
      <c r="DC385" s="9" t="str">
        <f t="shared" si="219"/>
        <v>5500113</v>
      </c>
      <c r="DD385" s="9">
        <v>11</v>
      </c>
      <c r="DE385" s="9">
        <v>11</v>
      </c>
      <c r="DF385" s="9">
        <v>11</v>
      </c>
      <c r="DG385" s="9">
        <v>11</v>
      </c>
      <c r="DH385" s="9">
        <v>11</v>
      </c>
      <c r="DI385" s="9">
        <v>11</v>
      </c>
      <c r="DJ385" s="9">
        <v>5</v>
      </c>
      <c r="DK385" s="9">
        <v>5</v>
      </c>
      <c r="DL385" s="9">
        <v>5</v>
      </c>
      <c r="DM385" s="9">
        <v>5</v>
      </c>
      <c r="DN385" s="9">
        <v>5</v>
      </c>
      <c r="DO385" s="9">
        <v>5</v>
      </c>
      <c r="DP385" s="3" t="s">
        <v>107</v>
      </c>
      <c r="DQ385" s="3" t="s">
        <v>201</v>
      </c>
      <c r="DR385" s="3" t="s">
        <v>206</v>
      </c>
      <c r="DS385" s="3" t="s">
        <v>197</v>
      </c>
      <c r="DT385" s="3" t="s">
        <v>109</v>
      </c>
      <c r="DU385" s="3" t="s">
        <v>207</v>
      </c>
      <c r="DV385" s="3">
        <f t="shared" si="220"/>
        <v>1</v>
      </c>
      <c r="DW385" s="3">
        <f t="shared" si="221"/>
        <v>1</v>
      </c>
      <c r="DX385" s="3">
        <f t="shared" si="222"/>
        <v>1</v>
      </c>
      <c r="DY385" s="3">
        <f t="shared" si="223"/>
        <v>2</v>
      </c>
      <c r="DZ385" s="3">
        <f t="shared" si="224"/>
        <v>2</v>
      </c>
      <c r="EA385" s="3">
        <f t="shared" si="225"/>
        <v>2</v>
      </c>
      <c r="EB385" s="47"/>
      <c r="EC385" s="9">
        <v>5202125</v>
      </c>
      <c r="ED385" s="34" t="s">
        <v>213</v>
      </c>
      <c r="EE385" s="8">
        <v>1</v>
      </c>
    </row>
    <row r="386" spans="1:135" ht="13.5" customHeight="1">
      <c r="A386" s="9">
        <v>383</v>
      </c>
      <c r="B386" s="9">
        <v>1</v>
      </c>
      <c r="C386" s="9">
        <v>2001</v>
      </c>
      <c r="D386" s="9">
        <f t="shared" si="240"/>
        <v>7976679</v>
      </c>
      <c r="E386" s="9" t="str">
        <f t="shared" si="237"/>
        <v>5200112,5200113,5200112,5501115,5401111,5502111</v>
      </c>
      <c r="F386" s="9" t="str">
        <f t="shared" si="238"/>
        <v>11,11,11,11,11,11</v>
      </c>
      <c r="G386" s="9" t="str">
        <f t="shared" si="239"/>
        <v>760,822,822,822,822,822</v>
      </c>
      <c r="H386" s="9">
        <v>193</v>
      </c>
      <c r="I386" s="9" t="s">
        <v>278</v>
      </c>
      <c r="J386" s="9" t="s">
        <v>279</v>
      </c>
      <c r="K386" s="9" t="s">
        <v>279</v>
      </c>
      <c r="L386" s="9" t="s">
        <v>279</v>
      </c>
      <c r="M386" s="36" t="s">
        <v>305</v>
      </c>
      <c r="N386" s="40"/>
      <c r="O386" s="3">
        <f t="shared" si="245"/>
        <v>7976679</v>
      </c>
      <c r="P386" s="9">
        <v>6305675.1900000004</v>
      </c>
      <c r="Q386" s="9">
        <v>5200112</v>
      </c>
      <c r="R386" s="9">
        <v>5200113</v>
      </c>
      <c r="S386" s="9">
        <v>5200112</v>
      </c>
      <c r="T386" s="9">
        <v>5501115</v>
      </c>
      <c r="U386" s="9">
        <v>5401111</v>
      </c>
      <c r="V386" s="9">
        <v>5502111</v>
      </c>
      <c r="W386" s="9">
        <v>11</v>
      </c>
      <c r="X386" s="9">
        <v>11</v>
      </c>
      <c r="Y386" s="9">
        <v>11</v>
      </c>
      <c r="Z386" s="9">
        <v>11</v>
      </c>
      <c r="AA386" s="9">
        <v>11</v>
      </c>
      <c r="AB386" s="9">
        <v>11</v>
      </c>
      <c r="AC386" s="9">
        <f t="shared" si="226"/>
        <v>760</v>
      </c>
      <c r="AD386" s="9">
        <f t="shared" si="227"/>
        <v>822</v>
      </c>
      <c r="AE386" s="9">
        <f t="shared" si="228"/>
        <v>822</v>
      </c>
      <c r="AF386" s="9">
        <f t="shared" si="229"/>
        <v>822</v>
      </c>
      <c r="AG386" s="9">
        <f t="shared" si="230"/>
        <v>822</v>
      </c>
      <c r="AH386" s="9">
        <f t="shared" si="231"/>
        <v>822</v>
      </c>
      <c r="AI386" s="7">
        <f t="shared" si="244"/>
        <v>1050945.865</v>
      </c>
      <c r="AJ386" s="7">
        <f t="shared" si="243"/>
        <v>1050945.865</v>
      </c>
      <c r="AK386" s="7">
        <f t="shared" si="243"/>
        <v>1050945.865</v>
      </c>
      <c r="AL386" s="7">
        <f t="shared" si="243"/>
        <v>1050945.865</v>
      </c>
      <c r="AM386" s="7">
        <f t="shared" si="243"/>
        <v>1050945.865</v>
      </c>
      <c r="AN386" s="7">
        <f t="shared" si="243"/>
        <v>1050945.865</v>
      </c>
      <c r="AO386" s="16"/>
      <c r="AP386" s="7"/>
      <c r="AQ386" s="9">
        <v>7</v>
      </c>
      <c r="AR386" s="9">
        <f t="shared" si="232"/>
        <v>999</v>
      </c>
      <c r="AS386" s="7">
        <f t="shared" si="241"/>
        <v>291</v>
      </c>
      <c r="AT386" s="7"/>
      <c r="AU386" s="16"/>
      <c r="AV386" s="7"/>
      <c r="AW386" s="7"/>
      <c r="AX386" s="7"/>
      <c r="AZ386" s="7"/>
      <c r="BA386" s="9">
        <f t="shared" si="242"/>
        <v>666895.49000000092</v>
      </c>
      <c r="BC386" s="5">
        <f t="shared" si="233"/>
        <v>710</v>
      </c>
      <c r="BR386" s="5">
        <v>1102012</v>
      </c>
      <c r="BS386" s="18">
        <f>[1]monsters!$N386</f>
        <v>187.2</v>
      </c>
      <c r="BT386" s="18">
        <f>[1]monsters!$O386</f>
        <v>18.72</v>
      </c>
      <c r="BU386" s="18">
        <f>[1]monsters!$P386</f>
        <v>3200</v>
      </c>
      <c r="BV386" s="18">
        <f>[1]monsters!$Q386</f>
        <v>320</v>
      </c>
      <c r="BW386" s="18">
        <f>[1]monsters!$R386</f>
        <v>37.44</v>
      </c>
      <c r="BX386" s="18">
        <f>[1]monsters!$S386</f>
        <v>3.74</v>
      </c>
      <c r="BY386" s="18">
        <f>[1]monsters!$K386</f>
        <v>1.3</v>
      </c>
      <c r="BZ386" s="5">
        <f>[1]monsters!$D386</f>
        <v>3</v>
      </c>
      <c r="CA386" s="5">
        <f t="shared" si="234"/>
        <v>0.1</v>
      </c>
      <c r="CB386" s="5">
        <f t="shared" si="235"/>
        <v>284.64810774410773</v>
      </c>
      <c r="CC386" s="5">
        <f t="shared" si="236"/>
        <v>28.464810774410775</v>
      </c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>
        <v>0</v>
      </c>
      <c r="CR386" s="3" t="b">
        <f t="shared" si="208"/>
        <v>1</v>
      </c>
      <c r="CS386" s="3" t="b">
        <f t="shared" si="209"/>
        <v>1</v>
      </c>
      <c r="CT386" s="3" t="b">
        <f t="shared" si="210"/>
        <v>1</v>
      </c>
      <c r="CU386" s="3" t="b">
        <f t="shared" si="211"/>
        <v>1</v>
      </c>
      <c r="CV386" s="3" t="b">
        <f t="shared" si="212"/>
        <v>1</v>
      </c>
      <c r="CW386" s="3" t="b">
        <f t="shared" si="213"/>
        <v>1</v>
      </c>
      <c r="CX386" s="9" t="str">
        <f t="shared" si="214"/>
        <v>5200112</v>
      </c>
      <c r="CY386" s="9" t="str">
        <f t="shared" si="215"/>
        <v>5200113</v>
      </c>
      <c r="CZ386" s="9" t="str">
        <f t="shared" si="216"/>
        <v>5200112</v>
      </c>
      <c r="DA386" s="9" t="str">
        <f t="shared" si="217"/>
        <v>5501115</v>
      </c>
      <c r="DB386" s="9" t="str">
        <f t="shared" si="218"/>
        <v>5401111</v>
      </c>
      <c r="DC386" s="9" t="str">
        <f t="shared" si="219"/>
        <v>5502111</v>
      </c>
      <c r="DD386" s="9">
        <v>11</v>
      </c>
      <c r="DE386" s="9">
        <v>11</v>
      </c>
      <c r="DF386" s="9">
        <v>11</v>
      </c>
      <c r="DG386" s="9">
        <v>11</v>
      </c>
      <c r="DH386" s="9">
        <v>11</v>
      </c>
      <c r="DI386" s="9">
        <v>11</v>
      </c>
      <c r="DJ386" s="9">
        <v>5</v>
      </c>
      <c r="DK386" s="9">
        <v>5</v>
      </c>
      <c r="DL386" s="9">
        <v>5</v>
      </c>
      <c r="DM386" s="9">
        <v>5</v>
      </c>
      <c r="DN386" s="9">
        <v>5</v>
      </c>
      <c r="DO386" s="9">
        <v>5</v>
      </c>
      <c r="DP386" s="3" t="s">
        <v>199</v>
      </c>
      <c r="DQ386" s="3" t="s">
        <v>113</v>
      </c>
      <c r="DR386" s="3" t="s">
        <v>199</v>
      </c>
      <c r="DS386" s="25" t="s">
        <v>209</v>
      </c>
      <c r="DT386" s="25" t="s">
        <v>117</v>
      </c>
      <c r="DU386" s="25" t="s">
        <v>119</v>
      </c>
      <c r="DV386" s="25">
        <f t="shared" si="220"/>
        <v>1</v>
      </c>
      <c r="DW386" s="25">
        <f t="shared" si="221"/>
        <v>1</v>
      </c>
      <c r="DX386" s="25">
        <f t="shared" si="222"/>
        <v>1</v>
      </c>
      <c r="DY386" s="25">
        <f t="shared" si="223"/>
        <v>2</v>
      </c>
      <c r="DZ386" s="25">
        <f t="shared" si="224"/>
        <v>2</v>
      </c>
      <c r="EA386" s="3">
        <f t="shared" si="225"/>
        <v>2</v>
      </c>
      <c r="EB386" s="47"/>
      <c r="EC386" s="9">
        <v>5300125</v>
      </c>
      <c r="ED386" s="34" t="s">
        <v>212</v>
      </c>
      <c r="EE386" s="8">
        <v>1</v>
      </c>
    </row>
    <row r="387" spans="1:135" ht="13.5" customHeight="1">
      <c r="A387" s="9">
        <v>384</v>
      </c>
      <c r="B387" s="9">
        <v>1</v>
      </c>
      <c r="C387" s="9">
        <v>2001</v>
      </c>
      <c r="D387" s="9">
        <f t="shared" si="240"/>
        <v>8006590</v>
      </c>
      <c r="E387" s="9" t="str">
        <f t="shared" si="237"/>
        <v>5201111,5201112,5202111,5401111,5501115,5401112</v>
      </c>
      <c r="F387" s="9" t="str">
        <f t="shared" si="238"/>
        <v>11,11,11,11,11,11</v>
      </c>
      <c r="G387" s="9" t="str">
        <f t="shared" si="239"/>
        <v>761,823,823,823,823,823</v>
      </c>
      <c r="H387" s="9">
        <v>193</v>
      </c>
      <c r="I387" s="9" t="s">
        <v>278</v>
      </c>
      <c r="J387" s="9" t="s">
        <v>279</v>
      </c>
      <c r="K387" s="9" t="s">
        <v>279</v>
      </c>
      <c r="L387" s="9" t="s">
        <v>279</v>
      </c>
      <c r="M387" s="36" t="s">
        <v>305</v>
      </c>
      <c r="N387" s="40"/>
      <c r="O387" s="3">
        <f t="shared" si="245"/>
        <v>8006590</v>
      </c>
      <c r="P387" s="9">
        <v>6329320.3700000001</v>
      </c>
      <c r="Q387" s="9">
        <v>5201111</v>
      </c>
      <c r="R387" s="9">
        <v>5201112</v>
      </c>
      <c r="S387" s="9">
        <v>5202111</v>
      </c>
      <c r="T387" s="9">
        <v>5401111</v>
      </c>
      <c r="U387" s="9">
        <v>5501115</v>
      </c>
      <c r="V387" s="9">
        <v>5401112</v>
      </c>
      <c r="W387" s="9">
        <v>11</v>
      </c>
      <c r="X387" s="9">
        <v>11</v>
      </c>
      <c r="Y387" s="9">
        <v>11</v>
      </c>
      <c r="Z387" s="9">
        <v>11</v>
      </c>
      <c r="AA387" s="9">
        <v>11</v>
      </c>
      <c r="AB387" s="9">
        <v>11</v>
      </c>
      <c r="AC387" s="9">
        <f t="shared" si="226"/>
        <v>761</v>
      </c>
      <c r="AD387" s="9">
        <f t="shared" si="227"/>
        <v>823</v>
      </c>
      <c r="AE387" s="9">
        <f t="shared" si="228"/>
        <v>823</v>
      </c>
      <c r="AF387" s="9">
        <f t="shared" si="229"/>
        <v>823</v>
      </c>
      <c r="AG387" s="9">
        <f t="shared" si="230"/>
        <v>823</v>
      </c>
      <c r="AH387" s="9">
        <f t="shared" si="231"/>
        <v>823</v>
      </c>
      <c r="AI387" s="7">
        <f t="shared" si="244"/>
        <v>1054886.7283333333</v>
      </c>
      <c r="AJ387" s="7">
        <f t="shared" si="243"/>
        <v>1054886.7283333333</v>
      </c>
      <c r="AK387" s="7">
        <f t="shared" si="243"/>
        <v>1054886.7283333333</v>
      </c>
      <c r="AL387" s="7">
        <f t="shared" si="243"/>
        <v>1054886.7283333333</v>
      </c>
      <c r="AM387" s="7">
        <f t="shared" si="243"/>
        <v>1054886.7283333333</v>
      </c>
      <c r="AN387" s="7">
        <f t="shared" si="243"/>
        <v>1054886.7283333333</v>
      </c>
      <c r="AO387" s="16"/>
      <c r="AP387" s="7"/>
      <c r="AQ387" s="9">
        <v>7</v>
      </c>
      <c r="AR387" s="9">
        <f t="shared" si="232"/>
        <v>1000</v>
      </c>
      <c r="AS387" s="7">
        <f t="shared" si="241"/>
        <v>292</v>
      </c>
      <c r="AT387" s="7"/>
      <c r="AU387" s="16"/>
      <c r="AV387" s="7"/>
      <c r="AW387" s="7"/>
      <c r="AX387" s="7"/>
      <c r="AZ387" s="7"/>
      <c r="BA387" s="9">
        <f t="shared" si="242"/>
        <v>671788.02000000095</v>
      </c>
      <c r="BC387" s="5">
        <f t="shared" si="233"/>
        <v>712</v>
      </c>
      <c r="BR387" s="5">
        <v>1206013</v>
      </c>
      <c r="BS387" s="18">
        <f>[1]monsters!$N387</f>
        <v>201.6</v>
      </c>
      <c r="BT387" s="18">
        <f>[1]monsters!$O387</f>
        <v>20.16</v>
      </c>
      <c r="BU387" s="18">
        <f>[1]monsters!$P387</f>
        <v>3200</v>
      </c>
      <c r="BV387" s="18">
        <f>[1]monsters!$Q387</f>
        <v>320</v>
      </c>
      <c r="BW387" s="18">
        <f>[1]monsters!$R387</f>
        <v>40.32</v>
      </c>
      <c r="BX387" s="18">
        <f>[1]monsters!$S387</f>
        <v>4.03</v>
      </c>
      <c r="BY387" s="18">
        <f>[1]monsters!$K387</f>
        <v>1.4</v>
      </c>
      <c r="BZ387" s="5">
        <f>[1]monsters!$D387</f>
        <v>3</v>
      </c>
      <c r="CA387" s="5">
        <f t="shared" si="234"/>
        <v>0.1</v>
      </c>
      <c r="CB387" s="5">
        <f t="shared" si="235"/>
        <v>298.25610774410774</v>
      </c>
      <c r="CC387" s="5">
        <f t="shared" si="236"/>
        <v>29.825610774410777</v>
      </c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>
        <v>0</v>
      </c>
      <c r="CR387" s="3" t="b">
        <f t="shared" si="208"/>
        <v>1</v>
      </c>
      <c r="CS387" s="3" t="b">
        <f t="shared" si="209"/>
        <v>1</v>
      </c>
      <c r="CT387" s="3" t="b">
        <f t="shared" si="210"/>
        <v>1</v>
      </c>
      <c r="CU387" s="3" t="b">
        <f t="shared" si="211"/>
        <v>1</v>
      </c>
      <c r="CV387" s="3" t="b">
        <f t="shared" si="212"/>
        <v>1</v>
      </c>
      <c r="CW387" s="3" t="b">
        <f t="shared" si="213"/>
        <v>1</v>
      </c>
      <c r="CX387" s="9" t="str">
        <f t="shared" si="214"/>
        <v>5201111</v>
      </c>
      <c r="CY387" s="9" t="str">
        <f t="shared" si="215"/>
        <v>5201112</v>
      </c>
      <c r="CZ387" s="9" t="str">
        <f t="shared" si="216"/>
        <v>5202111</v>
      </c>
      <c r="DA387" s="9" t="str">
        <f t="shared" si="217"/>
        <v>5401111</v>
      </c>
      <c r="DB387" s="9" t="str">
        <f t="shared" si="218"/>
        <v>5501115</v>
      </c>
      <c r="DC387" s="9" t="str">
        <f t="shared" si="219"/>
        <v>5401112</v>
      </c>
      <c r="DD387" s="9">
        <v>11</v>
      </c>
      <c r="DE387" s="9">
        <v>11</v>
      </c>
      <c r="DF387" s="9">
        <v>11</v>
      </c>
      <c r="DG387" s="9">
        <v>11</v>
      </c>
      <c r="DH387" s="9">
        <v>11</v>
      </c>
      <c r="DI387" s="9">
        <v>11</v>
      </c>
      <c r="DJ387" s="9">
        <v>5</v>
      </c>
      <c r="DK387" s="9">
        <v>5</v>
      </c>
      <c r="DL387" s="9">
        <v>5</v>
      </c>
      <c r="DM387" s="9">
        <v>5</v>
      </c>
      <c r="DN387" s="9">
        <v>5</v>
      </c>
      <c r="DO387" s="9">
        <v>5</v>
      </c>
      <c r="DP387" s="3" t="s">
        <v>195</v>
      </c>
      <c r="DQ387" s="3" t="s">
        <v>114</v>
      </c>
      <c r="DR387" s="3" t="s">
        <v>111</v>
      </c>
      <c r="DS387" s="3" t="s">
        <v>117</v>
      </c>
      <c r="DT387" s="3" t="s">
        <v>209</v>
      </c>
      <c r="DU387" s="3" t="s">
        <v>202</v>
      </c>
      <c r="DV387" s="3">
        <f t="shared" si="220"/>
        <v>1</v>
      </c>
      <c r="DW387" s="3">
        <f t="shared" si="221"/>
        <v>1</v>
      </c>
      <c r="DX387" s="3">
        <f t="shared" si="222"/>
        <v>1</v>
      </c>
      <c r="DY387" s="3">
        <f t="shared" si="223"/>
        <v>2</v>
      </c>
      <c r="DZ387" s="3">
        <f t="shared" si="224"/>
        <v>2</v>
      </c>
      <c r="EA387" s="3">
        <f t="shared" si="225"/>
        <v>2</v>
      </c>
      <c r="EB387" s="29"/>
      <c r="EC387" s="9">
        <v>5302125</v>
      </c>
      <c r="ED387" s="34" t="s">
        <v>221</v>
      </c>
      <c r="EE387" s="8">
        <v>1</v>
      </c>
    </row>
    <row r="388" spans="1:135" ht="13.5" customHeight="1">
      <c r="A388" s="9">
        <v>385</v>
      </c>
      <c r="B388" s="9">
        <v>1</v>
      </c>
      <c r="C388" s="9">
        <v>2001</v>
      </c>
      <c r="D388" s="9">
        <f t="shared" si="240"/>
        <v>8036557</v>
      </c>
      <c r="E388" s="9" t="str">
        <f t="shared" si="237"/>
        <v>5302115,5201112,5301111,5501114,5500113,5501114</v>
      </c>
      <c r="F388" s="9" t="str">
        <f t="shared" si="238"/>
        <v>11,11,11,11,11,11</v>
      </c>
      <c r="G388" s="9" t="str">
        <f t="shared" si="239"/>
        <v>763,825,825,825,825,825</v>
      </c>
      <c r="H388" s="9">
        <v>194</v>
      </c>
      <c r="I388" s="9" t="s">
        <v>278</v>
      </c>
      <c r="J388" s="9" t="s">
        <v>279</v>
      </c>
      <c r="K388" s="9" t="s">
        <v>279</v>
      </c>
      <c r="L388" s="9" t="s">
        <v>279</v>
      </c>
      <c r="M388" s="36" t="s">
        <v>305</v>
      </c>
      <c r="O388" s="3">
        <f t="shared" si="245"/>
        <v>8036557</v>
      </c>
      <c r="P388" s="9">
        <v>6353009.3300000001</v>
      </c>
      <c r="Q388" s="9">
        <v>5302115</v>
      </c>
      <c r="R388" s="9">
        <v>5201112</v>
      </c>
      <c r="S388" s="9">
        <v>5301111</v>
      </c>
      <c r="T388" s="9">
        <v>5501114</v>
      </c>
      <c r="U388" s="9">
        <v>5500113</v>
      </c>
      <c r="V388" s="9">
        <v>5501114</v>
      </c>
      <c r="W388" s="9">
        <v>11</v>
      </c>
      <c r="X388" s="9">
        <v>11</v>
      </c>
      <c r="Y388" s="9">
        <v>11</v>
      </c>
      <c r="Z388" s="9">
        <v>11</v>
      </c>
      <c r="AA388" s="9">
        <v>11</v>
      </c>
      <c r="AB388" s="9">
        <v>11</v>
      </c>
      <c r="AC388" s="9">
        <f t="shared" si="226"/>
        <v>763</v>
      </c>
      <c r="AD388" s="9">
        <f t="shared" si="227"/>
        <v>825</v>
      </c>
      <c r="AE388" s="9">
        <f t="shared" si="228"/>
        <v>825</v>
      </c>
      <c r="AF388" s="9">
        <f t="shared" si="229"/>
        <v>825</v>
      </c>
      <c r="AG388" s="9">
        <f t="shared" si="230"/>
        <v>825</v>
      </c>
      <c r="AH388" s="9">
        <f t="shared" si="231"/>
        <v>825</v>
      </c>
      <c r="AI388" s="7">
        <f t="shared" si="244"/>
        <v>1058834.8883333334</v>
      </c>
      <c r="AJ388" s="7">
        <f t="shared" si="243"/>
        <v>1058834.8883333334</v>
      </c>
      <c r="AK388" s="7">
        <f t="shared" si="243"/>
        <v>1058834.8883333334</v>
      </c>
      <c r="AL388" s="7">
        <f t="shared" si="243"/>
        <v>1058834.8883333334</v>
      </c>
      <c r="AM388" s="7">
        <f t="shared" si="243"/>
        <v>1058834.8883333334</v>
      </c>
      <c r="AN388" s="7">
        <f t="shared" si="243"/>
        <v>1058834.8883333334</v>
      </c>
      <c r="AO388" s="16"/>
      <c r="AP388" s="7"/>
      <c r="AQ388" s="9">
        <v>7</v>
      </c>
      <c r="AR388" s="9">
        <f t="shared" si="232"/>
        <v>1002</v>
      </c>
      <c r="AS388" s="7">
        <f t="shared" si="241"/>
        <v>292</v>
      </c>
      <c r="AT388" s="7"/>
      <c r="AU388" s="16"/>
      <c r="AV388" s="7"/>
      <c r="AW388" s="7"/>
      <c r="AX388" s="7"/>
      <c r="AZ388" s="7"/>
      <c r="BA388" s="9">
        <f t="shared" si="242"/>
        <v>676680.55000000098</v>
      </c>
      <c r="BC388" s="5">
        <f t="shared" si="233"/>
        <v>713</v>
      </c>
      <c r="BR388" s="5">
        <v>1406013</v>
      </c>
      <c r="BS388" s="18">
        <f>[1]monsters!$N388</f>
        <v>268.8</v>
      </c>
      <c r="BT388" s="18">
        <f>[1]monsters!$O388</f>
        <v>26.88</v>
      </c>
      <c r="BU388" s="18">
        <f>[1]monsters!$P388</f>
        <v>2400</v>
      </c>
      <c r="BV388" s="18">
        <f>[1]monsters!$Q388</f>
        <v>240</v>
      </c>
      <c r="BW388" s="18">
        <f>[1]monsters!$R388</f>
        <v>38.4</v>
      </c>
      <c r="BX388" s="18">
        <f>[1]monsters!$S388</f>
        <v>3.84</v>
      </c>
      <c r="BY388" s="18">
        <f>[1]monsters!$K388</f>
        <v>1.4</v>
      </c>
      <c r="BZ388" s="5">
        <f>[1]monsters!$D388</f>
        <v>4</v>
      </c>
      <c r="CA388" s="5">
        <f t="shared" si="234"/>
        <v>0.1</v>
      </c>
      <c r="CB388" s="5">
        <f t="shared" si="235"/>
        <v>334.82408080808085</v>
      </c>
      <c r="CC388" s="5">
        <f t="shared" si="236"/>
        <v>33.482408080808085</v>
      </c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>
        <v>1</v>
      </c>
      <c r="CR388" s="3" t="b">
        <f t="shared" ref="CR388:CR451" si="246">IF(ISERROR(MATCH(INT(CX388),$EC$4:$EC$426,0))=FALSE,TRUE)</f>
        <v>1</v>
      </c>
      <c r="CS388" s="3" t="b">
        <f t="shared" ref="CS388:CS451" si="247">IF(ISERROR(MATCH(INT(CY388),$EC$4:$EC$426,0))=FALSE,TRUE)</f>
        <v>1</v>
      </c>
      <c r="CT388" s="3" t="b">
        <f t="shared" ref="CT388:CT451" si="248">IF(ISERROR(MATCH(INT(CZ388),$EC$4:$EC$426,0))=FALSE,TRUE)</f>
        <v>1</v>
      </c>
      <c r="CU388" s="3" t="b">
        <f t="shared" ref="CU388:CU451" si="249">IF(ISERROR(MATCH(INT(DA388),$EC$4:$EC$426,0))=FALSE,TRUE)</f>
        <v>1</v>
      </c>
      <c r="CV388" s="3" t="b">
        <f t="shared" ref="CV388:CV451" si="250">IF(ISERROR(MATCH(INT(DB388),$EC$4:$EC$426,0))=FALSE,TRUE)</f>
        <v>1</v>
      </c>
      <c r="CW388" s="3" t="b">
        <f t="shared" ref="CW388:CW451" si="251">IF(ISERROR(MATCH(INT(DC388),$EC$4:$EC$426,0))=FALSE,TRUE)</f>
        <v>1</v>
      </c>
      <c r="CX388" s="9" t="str">
        <f t="shared" ref="CX388:CX451" si="252">REPLACE(REPLACE(INDEX($EC$4:$EC$426,MATCH(DP388,$ED$4:$ED$426,0)),IF(DD388&gt;9,5,6),IF(DD388&gt;9,2,1),DD388),1,1,DJ388)</f>
        <v>5302115</v>
      </c>
      <c r="CY388" s="9" t="str">
        <f t="shared" ref="CY388:CY451" si="253">REPLACE(REPLACE(INDEX($EC$4:$EC$426,MATCH(DQ388,$ED$4:$ED$426,0)),IF(DE388&gt;9,5,6),IF(DE388&gt;9,2,1),DE388),1,1,DK388)</f>
        <v>5201112</v>
      </c>
      <c r="CZ388" s="9" t="str">
        <f t="shared" ref="CZ388:CZ451" si="254">REPLACE(REPLACE(INDEX($EC$4:$EC$426,MATCH(DR388,$ED$4:$ED$426,0)),IF(DF388&gt;9,5,6),IF(DF388&gt;9,2,1),DF388),1,1,DL388)</f>
        <v>5301111</v>
      </c>
      <c r="DA388" s="9" t="str">
        <f t="shared" ref="DA388:DA451" si="255">REPLACE(REPLACE(INDEX($EC$4:$EC$426,MATCH(DS388,$ED$4:$ED$426,0)),IF(DG388&gt;9,5,6),IF(DG388&gt;9,2,1),DG388),1,1,DM388)</f>
        <v>5501114</v>
      </c>
      <c r="DB388" s="9" t="str">
        <f t="shared" ref="DB388:DB451" si="256">REPLACE(REPLACE(INDEX($EC$4:$EC$426,MATCH(DT388,$ED$4:$ED$426,0)),IF(DH388&gt;9,5,6),IF(DH388&gt;9,2,1),DH388),1,1,DN388)</f>
        <v>5500113</v>
      </c>
      <c r="DC388" s="9" t="str">
        <f t="shared" ref="DC388:DC451" si="257">REPLACE(REPLACE(INDEX($EC$4:$EC$426,MATCH(DU388,$ED$4:$ED$426,0)),IF(DI388&gt;9,5,6),IF(DI388&gt;9,2,1),DI388),1,1,DO388)</f>
        <v>5501114</v>
      </c>
      <c r="DD388" s="9">
        <v>11</v>
      </c>
      <c r="DE388" s="9">
        <v>11</v>
      </c>
      <c r="DF388" s="9">
        <v>11</v>
      </c>
      <c r="DG388" s="9">
        <v>11</v>
      </c>
      <c r="DH388" s="9">
        <v>11</v>
      </c>
      <c r="DI388" s="9">
        <v>11</v>
      </c>
      <c r="DJ388" s="9">
        <v>5</v>
      </c>
      <c r="DK388" s="9">
        <v>5</v>
      </c>
      <c r="DL388" s="9">
        <v>5</v>
      </c>
      <c r="DM388" s="9">
        <v>5</v>
      </c>
      <c r="DN388" s="9">
        <v>5</v>
      </c>
      <c r="DO388" s="9">
        <v>5</v>
      </c>
      <c r="DP388" s="3" t="s">
        <v>221</v>
      </c>
      <c r="DQ388" s="3" t="s">
        <v>114</v>
      </c>
      <c r="DR388" s="3" t="s">
        <v>107</v>
      </c>
      <c r="DS388" s="3" t="s">
        <v>214</v>
      </c>
      <c r="DT388" s="3" t="s">
        <v>207</v>
      </c>
      <c r="DU388" s="3" t="s">
        <v>214</v>
      </c>
      <c r="DV388" s="3">
        <f t="shared" ref="DV388:DV451" si="258">INDEX($EE$4:$EE$426,MATCH(DP388,$ED$4:$ED$426,0))</f>
        <v>1</v>
      </c>
      <c r="DW388" s="3">
        <f t="shared" ref="DW388:DW451" si="259">INDEX($EE$4:$EE$426,MATCH(DQ388,$ED$4:$ED$426,0))</f>
        <v>1</v>
      </c>
      <c r="DX388" s="3">
        <f t="shared" ref="DX388:DX451" si="260">INDEX($EE$4:$EE$426,MATCH(DR388,$ED$4:$ED$426,0))</f>
        <v>1</v>
      </c>
      <c r="DY388" s="3">
        <f t="shared" ref="DY388:DY451" si="261">INDEX($EE$4:$EE$426,MATCH(DS388,$ED$4:$ED$426,0))</f>
        <v>2</v>
      </c>
      <c r="DZ388" s="3">
        <f t="shared" ref="DZ388:DZ451" si="262">INDEX($EE$4:$EE$426,MATCH(DT388,$ED$4:$ED$426,0))</f>
        <v>2</v>
      </c>
      <c r="EA388" s="3">
        <f t="shared" ref="EA388:EA451" si="263">INDEX($EE$4:$EE$426,MATCH(DU388,$ED$4:$ED$426,0))</f>
        <v>2</v>
      </c>
      <c r="EB388" s="29"/>
      <c r="EC388" s="9">
        <v>5400125</v>
      </c>
      <c r="ED388" s="34" t="s">
        <v>210</v>
      </c>
      <c r="EE388" s="8">
        <v>2</v>
      </c>
    </row>
    <row r="389" spans="1:135" ht="13.5" customHeight="1">
      <c r="A389" s="9">
        <v>386</v>
      </c>
      <c r="B389" s="9">
        <v>1</v>
      </c>
      <c r="C389" s="9">
        <v>2001</v>
      </c>
      <c r="D389" s="9">
        <f t="shared" si="240"/>
        <v>8066581</v>
      </c>
      <c r="E389" s="9" t="str">
        <f t="shared" si="237"/>
        <v>5201111,5201112,5200112,5502112,5500113,5501114</v>
      </c>
      <c r="F389" s="9" t="str">
        <f t="shared" si="238"/>
        <v>11,11,11,11,11,11</v>
      </c>
      <c r="G389" s="9" t="str">
        <f t="shared" si="239"/>
        <v>764,826,826,826,826,826</v>
      </c>
      <c r="H389" s="9">
        <v>194</v>
      </c>
      <c r="I389" s="9" t="s">
        <v>278</v>
      </c>
      <c r="J389" s="9" t="s">
        <v>279</v>
      </c>
      <c r="K389" s="9" t="s">
        <v>279</v>
      </c>
      <c r="L389" s="9" t="s">
        <v>279</v>
      </c>
      <c r="M389" s="36" t="s">
        <v>305</v>
      </c>
      <c r="N389" s="40"/>
      <c r="O389" s="3">
        <f t="shared" si="245"/>
        <v>8066581</v>
      </c>
      <c r="P389" s="9">
        <v>6376744.0599999996</v>
      </c>
      <c r="Q389" s="9">
        <v>5201111</v>
      </c>
      <c r="R389" s="9">
        <v>5201112</v>
      </c>
      <c r="S389" s="9">
        <v>5200112</v>
      </c>
      <c r="T389" s="9">
        <v>5502112</v>
      </c>
      <c r="U389" s="9">
        <v>5500113</v>
      </c>
      <c r="V389" s="9">
        <v>5501114</v>
      </c>
      <c r="W389" s="9">
        <v>11</v>
      </c>
      <c r="X389" s="9">
        <v>11</v>
      </c>
      <c r="Y389" s="9">
        <v>11</v>
      </c>
      <c r="Z389" s="9">
        <v>11</v>
      </c>
      <c r="AA389" s="9">
        <v>11</v>
      </c>
      <c r="AB389" s="9">
        <v>11</v>
      </c>
      <c r="AC389" s="9">
        <f t="shared" ref="AC389:AC452" si="264">IF(AI389&gt;0,FLOOR((POWER((AI389/IF(AND(W389&gt;=2,W389&lt;4),1.1,IF(AND(W389&gt;=4,W389&lt;6),1.2,IF(W389&gt;=6,1.4,1)))/$Z$1),0.5)/INDEX($BD$4:$BQ$4,MATCH(W389,$BD$3:$BQ$3,0))-1)*10,1),"")</f>
        <v>764</v>
      </c>
      <c r="AD389" s="9">
        <f t="shared" ref="AD389:AD452" si="265">IF(AJ389&gt;0,FLOOR((POWER((AJ389/IF(AND(X389&gt;=2,X389&lt;4),1.1,IF(AND(X389&gt;=4,X389&lt;6),1.15,IF(X389&gt;=6,1.2,1)))/$Z$1),0.5)/INDEX($BD$4:$BQ$4,MATCH(X389,$BD$3:$BQ$3,0))-1)*10,1),"")</f>
        <v>826</v>
      </c>
      <c r="AE389" s="9">
        <f t="shared" ref="AE389:AE452" si="266">IF(AK389&gt;0,FLOOR((POWER((AK389/IF(AND(Y389&gt;=2,Y389&lt;4),1.1,IF(AND(Y389&gt;=4,Y389&lt;6),1.15,IF(Y389&gt;=6,1.2,1)))/$Z$1),0.5)/INDEX($BD$4:$BQ$4,MATCH(Y389,$BD$3:$BQ$3,0))-1)*10,1),"")</f>
        <v>826</v>
      </c>
      <c r="AF389" s="9">
        <f t="shared" ref="AF389:AF452" si="267">IF(AL389&gt;0,FLOOR((POWER((AL389/IF(AND(Z389&gt;=2,Z389&lt;4),1.1,IF(AND(Z389&gt;=4,Z389&lt;6),1.15,IF(Z389&gt;=6,1.2,1)))/$Z$1),0.5)/INDEX($BD$4:$BQ$4,MATCH(Z389,$BD$3:$BQ$3,0))-1)*10,1),"")</f>
        <v>826</v>
      </c>
      <c r="AG389" s="9">
        <f t="shared" ref="AG389:AG452" si="268">IF(AM389&gt;0,FLOOR((POWER((AM389/IF(AND(AA389&gt;=2,AA389&lt;4),1.1,IF(AND(AA389&gt;=4,AA389&lt;6),1.15,IF(AA389&gt;=6,1.2,1)))/$Z$1),0.5)/INDEX($BD$4:$BQ$4,MATCH(AA389,$BD$3:$BQ$3,0))-1)*10,1),"")</f>
        <v>826</v>
      </c>
      <c r="AH389" s="9">
        <f t="shared" ref="AH389:AH452" si="269">IF(AN389&gt;0,FLOOR((POWER((AN389/IF(AND(AB389&gt;=2,AB389&lt;4),1.1,IF(AND(AB389&gt;=4,AB389&lt;6),1.15,IF(AB389&gt;=6,1.2,1)))/$Z$1),0.5)/INDEX($BD$4:$BQ$4,MATCH(AB389,$BD$3:$BQ$3,0))-1)*10,1),"")</f>
        <v>826</v>
      </c>
      <c r="AI389" s="7">
        <f t="shared" si="244"/>
        <v>1062790.6766666665</v>
      </c>
      <c r="AJ389" s="7">
        <f t="shared" si="243"/>
        <v>1062790.6766666665</v>
      </c>
      <c r="AK389" s="7">
        <f t="shared" si="243"/>
        <v>1062790.6766666665</v>
      </c>
      <c r="AL389" s="7">
        <f t="shared" si="243"/>
        <v>1062790.6766666665</v>
      </c>
      <c r="AM389" s="7">
        <f t="shared" si="243"/>
        <v>1062790.6766666665</v>
      </c>
      <c r="AN389" s="7">
        <f t="shared" si="243"/>
        <v>1062790.6766666665</v>
      </c>
      <c r="AO389" s="16"/>
      <c r="AP389" s="7"/>
      <c r="AQ389" s="9">
        <v>7</v>
      </c>
      <c r="AR389" s="9">
        <f t="shared" ref="AR389:AR452" si="270">IF(AI389&gt;0,FLOOR((POWER((AI389/IF(AND(AQ389&gt;=2,AQ389&lt;4),1.2,IF(AND(AQ389&gt;=4,AQ389&lt;6),1.4,IF(AQ389&gt;=6,1.6,1)))/$Z$1),0.5)/INDEX($BD$4:$BQ$4,MATCH(AQ389,$BD$3:$BQ$3,0))-1)*10,1),"")</f>
        <v>1004</v>
      </c>
      <c r="AS389" s="7">
        <f t="shared" si="241"/>
        <v>293</v>
      </c>
      <c r="AT389" s="7"/>
      <c r="AU389" s="16"/>
      <c r="AV389" s="7"/>
      <c r="AW389" s="7"/>
      <c r="AX389" s="7"/>
      <c r="AZ389" s="7"/>
      <c r="BA389" s="9">
        <f t="shared" si="242"/>
        <v>681573.08000000101</v>
      </c>
      <c r="BC389" s="5">
        <f t="shared" ref="BC389:BC452" si="271">FLOOR(POWER(((3000*1.5/0.9/1.05)/(96*INDEX($BD$4:$BO$4,MATCH(W389,$BD$3:$BO$3,0))*8*INDEX($BD$4:$BO$4,MATCH(W389,$BD$3:$BO$3,0)))*AI389/IF(AND(W389&gt;=2,W389&lt;4),1.2,IF(AND(W389&gt;=4,W389&lt;6),1.4,IF(W389&gt;=6,1.6,1)))),1/2)-10,1)</f>
        <v>714</v>
      </c>
      <c r="BR389" s="5">
        <v>1205013</v>
      </c>
      <c r="BS389" s="18">
        <f>[1]monsters!$N389</f>
        <v>358.4</v>
      </c>
      <c r="BT389" s="18">
        <f>[1]monsters!$O389</f>
        <v>35.840000000000003</v>
      </c>
      <c r="BU389" s="18">
        <f>[1]monsters!$P389</f>
        <v>2057.14</v>
      </c>
      <c r="BV389" s="18">
        <f>[1]monsters!$Q389</f>
        <v>205.71</v>
      </c>
      <c r="BW389" s="18">
        <f>[1]monsters!$R389</f>
        <v>44.8</v>
      </c>
      <c r="BX389" s="18">
        <f>[1]monsters!$S389</f>
        <v>4.4800000000000004</v>
      </c>
      <c r="BY389" s="18">
        <f>[1]monsters!$K389</f>
        <v>1.6</v>
      </c>
      <c r="BZ389" s="5">
        <f>[1]monsters!$D389</f>
        <v>5</v>
      </c>
      <c r="CA389" s="5">
        <f t="shared" ref="CA389:CA452" si="272">INDEX($CH$5:$CH$10,MATCH($BZ389,$CG$5:$CG$10))</f>
        <v>0.1</v>
      </c>
      <c r="CB389" s="5">
        <f t="shared" ref="CB389:CB452" si="273">(BU389/33/(1-CA389)/(1-0)+BS389*(1+0.5*0.1)*0.9)</f>
        <v>407.95197306397301</v>
      </c>
      <c r="CC389" s="5">
        <f t="shared" ref="CC389:CC452" si="274">(BU389/33/(1-CA389)/(1-0)+BS389*(1+0.5*0.1)*0.9)*0.1</f>
        <v>40.795197306397306</v>
      </c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>
        <v>0</v>
      </c>
      <c r="CR389" s="3" t="b">
        <f t="shared" si="246"/>
        <v>1</v>
      </c>
      <c r="CS389" s="3" t="b">
        <f t="shared" si="247"/>
        <v>1</v>
      </c>
      <c r="CT389" s="3" t="b">
        <f t="shared" si="248"/>
        <v>1</v>
      </c>
      <c r="CU389" s="3" t="b">
        <f t="shared" si="249"/>
        <v>1</v>
      </c>
      <c r="CV389" s="3" t="b">
        <f t="shared" si="250"/>
        <v>1</v>
      </c>
      <c r="CW389" s="3" t="b">
        <f t="shared" si="251"/>
        <v>1</v>
      </c>
      <c r="CX389" s="9" t="str">
        <f t="shared" si="252"/>
        <v>5201111</v>
      </c>
      <c r="CY389" s="9" t="str">
        <f t="shared" si="253"/>
        <v>5201112</v>
      </c>
      <c r="CZ389" s="9" t="str">
        <f t="shared" si="254"/>
        <v>5200112</v>
      </c>
      <c r="DA389" s="9" t="str">
        <f t="shared" si="255"/>
        <v>5502112</v>
      </c>
      <c r="DB389" s="9" t="str">
        <f t="shared" si="256"/>
        <v>5500113</v>
      </c>
      <c r="DC389" s="9" t="str">
        <f t="shared" si="257"/>
        <v>5501114</v>
      </c>
      <c r="DD389" s="9">
        <v>11</v>
      </c>
      <c r="DE389" s="9">
        <v>11</v>
      </c>
      <c r="DF389" s="9">
        <v>11</v>
      </c>
      <c r="DG389" s="9">
        <v>11</v>
      </c>
      <c r="DH389" s="9">
        <v>11</v>
      </c>
      <c r="DI389" s="9">
        <v>11</v>
      </c>
      <c r="DJ389" s="9">
        <v>5</v>
      </c>
      <c r="DK389" s="9">
        <v>5</v>
      </c>
      <c r="DL389" s="9">
        <v>5</v>
      </c>
      <c r="DM389" s="9">
        <v>5</v>
      </c>
      <c r="DN389" s="9">
        <v>5</v>
      </c>
      <c r="DO389" s="9">
        <v>5</v>
      </c>
      <c r="DP389" s="3" t="s">
        <v>195</v>
      </c>
      <c r="DQ389" s="3" t="s">
        <v>114</v>
      </c>
      <c r="DR389" s="3" t="s">
        <v>199</v>
      </c>
      <c r="DS389" s="3" t="s">
        <v>204</v>
      </c>
      <c r="DT389" s="3" t="s">
        <v>207</v>
      </c>
      <c r="DU389" s="3" t="s">
        <v>214</v>
      </c>
      <c r="DV389" s="3">
        <f t="shared" si="258"/>
        <v>1</v>
      </c>
      <c r="DW389" s="3">
        <f t="shared" si="259"/>
        <v>1</v>
      </c>
      <c r="DX389" s="3">
        <f t="shared" si="260"/>
        <v>1</v>
      </c>
      <c r="DY389" s="3">
        <f t="shared" si="261"/>
        <v>2</v>
      </c>
      <c r="DZ389" s="3">
        <f t="shared" si="262"/>
        <v>2</v>
      </c>
      <c r="EA389" s="3">
        <f t="shared" si="263"/>
        <v>2</v>
      </c>
      <c r="EB389" s="29"/>
      <c r="EC389" s="9">
        <v>5501125</v>
      </c>
      <c r="ED389" s="37" t="s">
        <v>209</v>
      </c>
      <c r="EE389" s="8">
        <v>2</v>
      </c>
    </row>
    <row r="390" spans="1:135" ht="13.5" customHeight="1">
      <c r="A390" s="9">
        <v>387</v>
      </c>
      <c r="B390" s="9">
        <v>1</v>
      </c>
      <c r="C390" s="9">
        <v>2001</v>
      </c>
      <c r="D390" s="9">
        <f t="shared" si="240"/>
        <v>8096659</v>
      </c>
      <c r="E390" s="9" t="str">
        <f t="shared" si="237"/>
        <v>5202113,5202112,5202113,5501115,5401111,5502111</v>
      </c>
      <c r="F390" s="9" t="str">
        <f t="shared" si="238"/>
        <v>11,11,11,11,11,11</v>
      </c>
      <c r="G390" s="9" t="str">
        <f t="shared" si="239"/>
        <v>766,828,828,828,828,828</v>
      </c>
      <c r="H390" s="9">
        <v>194</v>
      </c>
      <c r="I390" s="9" t="s">
        <v>278</v>
      </c>
      <c r="J390" s="9" t="s">
        <v>279</v>
      </c>
      <c r="K390" s="9" t="s">
        <v>279</v>
      </c>
      <c r="L390" s="9" t="s">
        <v>279</v>
      </c>
      <c r="M390" s="36" t="s">
        <v>305</v>
      </c>
      <c r="N390" s="40"/>
      <c r="O390" s="3">
        <f t="shared" si="245"/>
        <v>8096659</v>
      </c>
      <c r="P390" s="9">
        <v>6400520.5800000001</v>
      </c>
      <c r="Q390" s="9">
        <v>5202113</v>
      </c>
      <c r="R390" s="9">
        <v>5202112</v>
      </c>
      <c r="S390" s="9">
        <v>5202113</v>
      </c>
      <c r="T390" s="9">
        <v>5501115</v>
      </c>
      <c r="U390" s="9">
        <v>5401111</v>
      </c>
      <c r="V390" s="9">
        <v>5502111</v>
      </c>
      <c r="W390" s="9">
        <v>11</v>
      </c>
      <c r="X390" s="9">
        <v>11</v>
      </c>
      <c r="Y390" s="9">
        <v>11</v>
      </c>
      <c r="Z390" s="9">
        <v>11</v>
      </c>
      <c r="AA390" s="9">
        <v>11</v>
      </c>
      <c r="AB390" s="9">
        <v>11</v>
      </c>
      <c r="AC390" s="9">
        <f t="shared" si="264"/>
        <v>766</v>
      </c>
      <c r="AD390" s="9">
        <f t="shared" si="265"/>
        <v>828</v>
      </c>
      <c r="AE390" s="9">
        <f t="shared" si="266"/>
        <v>828</v>
      </c>
      <c r="AF390" s="9">
        <f t="shared" si="267"/>
        <v>828</v>
      </c>
      <c r="AG390" s="9">
        <f t="shared" si="268"/>
        <v>828</v>
      </c>
      <c r="AH390" s="9">
        <f t="shared" si="269"/>
        <v>828</v>
      </c>
      <c r="AI390" s="7">
        <f t="shared" si="244"/>
        <v>1066753.43</v>
      </c>
      <c r="AJ390" s="7">
        <f t="shared" si="243"/>
        <v>1066753.43</v>
      </c>
      <c r="AK390" s="7">
        <f t="shared" si="243"/>
        <v>1066753.43</v>
      </c>
      <c r="AL390" s="7">
        <f t="shared" si="243"/>
        <v>1066753.43</v>
      </c>
      <c r="AM390" s="7">
        <f t="shared" si="243"/>
        <v>1066753.43</v>
      </c>
      <c r="AN390" s="7">
        <f t="shared" si="243"/>
        <v>1066753.43</v>
      </c>
      <c r="AO390" s="16"/>
      <c r="AP390" s="7"/>
      <c r="AQ390" s="9">
        <v>7</v>
      </c>
      <c r="AR390" s="9">
        <f t="shared" si="270"/>
        <v>1006</v>
      </c>
      <c r="AS390" s="7">
        <f t="shared" si="241"/>
        <v>293</v>
      </c>
      <c r="AT390" s="7"/>
      <c r="AU390" s="16"/>
      <c r="AV390" s="7"/>
      <c r="AW390" s="7"/>
      <c r="AX390" s="7"/>
      <c r="AZ390" s="7"/>
      <c r="BA390" s="9">
        <f t="shared" si="242"/>
        <v>686465.61000000103</v>
      </c>
      <c r="BC390" s="5">
        <f t="shared" si="271"/>
        <v>716</v>
      </c>
      <c r="BR390" s="5">
        <v>1405013</v>
      </c>
      <c r="BS390" s="18">
        <f>[1]monsters!$N390</f>
        <v>256</v>
      </c>
      <c r="BT390" s="18">
        <f>[1]monsters!$O390</f>
        <v>25.6</v>
      </c>
      <c r="BU390" s="18">
        <f>[1]monsters!$P390</f>
        <v>3072</v>
      </c>
      <c r="BV390" s="18">
        <f>[1]monsters!$Q390</f>
        <v>307.2</v>
      </c>
      <c r="BW390" s="18">
        <f>[1]monsters!$R390</f>
        <v>64</v>
      </c>
      <c r="BX390" s="18">
        <f>[1]monsters!$S390</f>
        <v>6.4</v>
      </c>
      <c r="BY390" s="18">
        <f>[1]monsters!$K390</f>
        <v>1.5</v>
      </c>
      <c r="BZ390" s="5">
        <f>[1]monsters!$D390</f>
        <v>2</v>
      </c>
      <c r="CA390" s="5">
        <f t="shared" si="272"/>
        <v>0.1</v>
      </c>
      <c r="CB390" s="5">
        <f t="shared" si="273"/>
        <v>345.35434343434343</v>
      </c>
      <c r="CC390" s="5">
        <f t="shared" si="274"/>
        <v>34.535434343434346</v>
      </c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>
        <v>0</v>
      </c>
      <c r="CR390" s="3" t="b">
        <f t="shared" si="246"/>
        <v>1</v>
      </c>
      <c r="CS390" s="3" t="b">
        <f t="shared" si="247"/>
        <v>1</v>
      </c>
      <c r="CT390" s="3" t="b">
        <f t="shared" si="248"/>
        <v>1</v>
      </c>
      <c r="CU390" s="3" t="b">
        <f t="shared" si="249"/>
        <v>1</v>
      </c>
      <c r="CV390" s="3" t="b">
        <f t="shared" si="250"/>
        <v>1</v>
      </c>
      <c r="CW390" s="3" t="b">
        <f t="shared" si="251"/>
        <v>1</v>
      </c>
      <c r="CX390" s="9" t="str">
        <f t="shared" si="252"/>
        <v>5202113</v>
      </c>
      <c r="CY390" s="9" t="str">
        <f t="shared" si="253"/>
        <v>5202112</v>
      </c>
      <c r="CZ390" s="9" t="str">
        <f t="shared" si="254"/>
        <v>5202113</v>
      </c>
      <c r="DA390" s="9" t="str">
        <f t="shared" si="255"/>
        <v>5501115</v>
      </c>
      <c r="DB390" s="9" t="str">
        <f t="shared" si="256"/>
        <v>5401111</v>
      </c>
      <c r="DC390" s="9" t="str">
        <f t="shared" si="257"/>
        <v>5502111</v>
      </c>
      <c r="DD390" s="9">
        <v>11</v>
      </c>
      <c r="DE390" s="9">
        <v>11</v>
      </c>
      <c r="DF390" s="9">
        <v>11</v>
      </c>
      <c r="DG390" s="9">
        <v>11</v>
      </c>
      <c r="DH390" s="9">
        <v>11</v>
      </c>
      <c r="DI390" s="9">
        <v>11</v>
      </c>
      <c r="DJ390" s="9">
        <v>5</v>
      </c>
      <c r="DK390" s="9">
        <v>5</v>
      </c>
      <c r="DL390" s="9">
        <v>5</v>
      </c>
      <c r="DM390" s="9">
        <v>5</v>
      </c>
      <c r="DN390" s="9">
        <v>5</v>
      </c>
      <c r="DO390" s="9">
        <v>5</v>
      </c>
      <c r="DP390" s="25" t="s">
        <v>208</v>
      </c>
      <c r="DQ390" s="25" t="s">
        <v>200</v>
      </c>
      <c r="DR390" s="25" t="s">
        <v>208</v>
      </c>
      <c r="DS390" s="25" t="s">
        <v>209</v>
      </c>
      <c r="DT390" s="25" t="s">
        <v>117</v>
      </c>
      <c r="DU390" s="25" t="s">
        <v>119</v>
      </c>
      <c r="DV390" s="25">
        <f t="shared" si="258"/>
        <v>1</v>
      </c>
      <c r="DW390" s="25">
        <f t="shared" si="259"/>
        <v>1</v>
      </c>
      <c r="DX390" s="25">
        <f t="shared" si="260"/>
        <v>1</v>
      </c>
      <c r="DY390" s="25">
        <f t="shared" si="261"/>
        <v>2</v>
      </c>
      <c r="DZ390" s="25">
        <f t="shared" si="262"/>
        <v>2</v>
      </c>
      <c r="EA390" s="3">
        <f t="shared" si="263"/>
        <v>2</v>
      </c>
      <c r="EB390" s="30"/>
      <c r="EC390" s="9">
        <v>5200131</v>
      </c>
      <c r="ED390" s="34" t="s">
        <v>194</v>
      </c>
      <c r="EE390" s="8">
        <v>1</v>
      </c>
    </row>
    <row r="391" spans="1:135" ht="13.5" customHeight="1">
      <c r="A391" s="9">
        <v>388</v>
      </c>
      <c r="B391" s="9">
        <v>1</v>
      </c>
      <c r="C391" s="9">
        <v>2001</v>
      </c>
      <c r="D391" s="9">
        <f t="shared" si="240"/>
        <v>8126794</v>
      </c>
      <c r="E391" s="9" t="str">
        <f t="shared" si="237"/>
        <v>5301111,5301112,5301113,5501114,5501115,5502113</v>
      </c>
      <c r="F391" s="9" t="str">
        <f t="shared" si="238"/>
        <v>11,11,11,11,11,11</v>
      </c>
      <c r="G391" s="9" t="str">
        <f t="shared" si="239"/>
        <v>767,830,830,830,830,830</v>
      </c>
      <c r="H391" s="9">
        <v>195</v>
      </c>
      <c r="I391" s="9" t="s">
        <v>278</v>
      </c>
      <c r="J391" s="9" t="s">
        <v>279</v>
      </c>
      <c r="K391" s="9" t="s">
        <v>279</v>
      </c>
      <c r="L391" s="9" t="s">
        <v>279</v>
      </c>
      <c r="M391" s="36" t="s">
        <v>305</v>
      </c>
      <c r="N391" s="40"/>
      <c r="O391" s="3">
        <f t="shared" si="245"/>
        <v>8126794</v>
      </c>
      <c r="P391" s="9">
        <v>6424342.8700000001</v>
      </c>
      <c r="Q391" s="9">
        <v>5301111</v>
      </c>
      <c r="R391" s="9">
        <v>5301112</v>
      </c>
      <c r="S391" s="9">
        <v>5301113</v>
      </c>
      <c r="T391" s="9">
        <v>5501114</v>
      </c>
      <c r="U391" s="9">
        <v>5501115</v>
      </c>
      <c r="V391" s="9">
        <v>5502113</v>
      </c>
      <c r="W391" s="9">
        <v>11</v>
      </c>
      <c r="X391" s="9">
        <v>11</v>
      </c>
      <c r="Y391" s="9">
        <v>11</v>
      </c>
      <c r="Z391" s="9">
        <v>11</v>
      </c>
      <c r="AA391" s="9">
        <v>11</v>
      </c>
      <c r="AB391" s="9">
        <v>11</v>
      </c>
      <c r="AC391" s="9">
        <f t="shared" si="264"/>
        <v>767</v>
      </c>
      <c r="AD391" s="9">
        <f t="shared" si="265"/>
        <v>830</v>
      </c>
      <c r="AE391" s="9">
        <f t="shared" si="266"/>
        <v>830</v>
      </c>
      <c r="AF391" s="9">
        <f t="shared" si="267"/>
        <v>830</v>
      </c>
      <c r="AG391" s="9">
        <f t="shared" si="268"/>
        <v>830</v>
      </c>
      <c r="AH391" s="9">
        <f t="shared" si="269"/>
        <v>830</v>
      </c>
      <c r="AI391" s="7">
        <f t="shared" si="244"/>
        <v>1070723.8116666668</v>
      </c>
      <c r="AJ391" s="7">
        <f t="shared" si="243"/>
        <v>1070723.8116666668</v>
      </c>
      <c r="AK391" s="7">
        <f t="shared" si="243"/>
        <v>1070723.8116666668</v>
      </c>
      <c r="AL391" s="7">
        <f t="shared" si="243"/>
        <v>1070723.8116666668</v>
      </c>
      <c r="AM391" s="7">
        <f t="shared" si="243"/>
        <v>1070723.8116666668</v>
      </c>
      <c r="AN391" s="7">
        <f t="shared" si="243"/>
        <v>1070723.8116666668</v>
      </c>
      <c r="AO391" s="16"/>
      <c r="AP391" s="7"/>
      <c r="AQ391" s="9">
        <v>7</v>
      </c>
      <c r="AR391" s="9">
        <f t="shared" si="270"/>
        <v>1008</v>
      </c>
      <c r="AS391" s="7">
        <f t="shared" si="241"/>
        <v>294</v>
      </c>
      <c r="AT391" s="7"/>
      <c r="AU391" s="16"/>
      <c r="AV391" s="7"/>
      <c r="AW391" s="7"/>
      <c r="AX391" s="7"/>
      <c r="AZ391" s="7"/>
      <c r="BA391" s="9">
        <f t="shared" si="242"/>
        <v>691358.14000000106</v>
      </c>
      <c r="BC391" s="5">
        <f t="shared" si="271"/>
        <v>717</v>
      </c>
      <c r="BR391" s="5">
        <v>1203013</v>
      </c>
      <c r="BS391" s="18">
        <f>[1]monsters!$N391</f>
        <v>245.76</v>
      </c>
      <c r="BT391" s="18">
        <f>[1]monsters!$O391</f>
        <v>24.58</v>
      </c>
      <c r="BU391" s="18">
        <f>[1]monsters!$P391</f>
        <v>3840</v>
      </c>
      <c r="BV391" s="18">
        <f>[1]monsters!$Q391</f>
        <v>384</v>
      </c>
      <c r="BW391" s="18">
        <f>[1]monsters!$R391</f>
        <v>81.92</v>
      </c>
      <c r="BX391" s="18">
        <f>[1]monsters!$S391</f>
        <v>8.19</v>
      </c>
      <c r="BY391" s="18">
        <f>[1]monsters!$K391</f>
        <v>1.8</v>
      </c>
      <c r="BZ391" s="5">
        <f>[1]monsters!$D391</f>
        <v>2</v>
      </c>
      <c r="CA391" s="5">
        <f t="shared" si="272"/>
        <v>0.1</v>
      </c>
      <c r="CB391" s="5">
        <f t="shared" si="273"/>
        <v>361.53612929292927</v>
      </c>
      <c r="CC391" s="5">
        <f t="shared" si="274"/>
        <v>36.153612929292926</v>
      </c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>
        <v>0</v>
      </c>
      <c r="CR391" s="3" t="b">
        <f t="shared" si="246"/>
        <v>1</v>
      </c>
      <c r="CS391" s="3" t="b">
        <f t="shared" si="247"/>
        <v>1</v>
      </c>
      <c r="CT391" s="3" t="b">
        <f t="shared" si="248"/>
        <v>1</v>
      </c>
      <c r="CU391" s="3" t="b">
        <f t="shared" si="249"/>
        <v>1</v>
      </c>
      <c r="CV391" s="3" t="b">
        <f t="shared" si="250"/>
        <v>1</v>
      </c>
      <c r="CW391" s="3" t="b">
        <f t="shared" si="251"/>
        <v>1</v>
      </c>
      <c r="CX391" s="9" t="str">
        <f t="shared" si="252"/>
        <v>5301111</v>
      </c>
      <c r="CY391" s="9" t="str">
        <f t="shared" si="253"/>
        <v>5301112</v>
      </c>
      <c r="CZ391" s="9" t="str">
        <f t="shared" si="254"/>
        <v>5301113</v>
      </c>
      <c r="DA391" s="9" t="str">
        <f t="shared" si="255"/>
        <v>5501114</v>
      </c>
      <c r="DB391" s="9" t="str">
        <f t="shared" si="256"/>
        <v>5501115</v>
      </c>
      <c r="DC391" s="9" t="str">
        <f t="shared" si="257"/>
        <v>5502113</v>
      </c>
      <c r="DD391" s="9">
        <v>11</v>
      </c>
      <c r="DE391" s="9">
        <v>11</v>
      </c>
      <c r="DF391" s="9">
        <v>11</v>
      </c>
      <c r="DG391" s="9">
        <v>11</v>
      </c>
      <c r="DH391" s="9">
        <v>11</v>
      </c>
      <c r="DI391" s="9">
        <v>11</v>
      </c>
      <c r="DJ391" s="9">
        <v>5</v>
      </c>
      <c r="DK391" s="9">
        <v>5</v>
      </c>
      <c r="DL391" s="9">
        <v>5</v>
      </c>
      <c r="DM391" s="9">
        <v>5</v>
      </c>
      <c r="DN391" s="9">
        <v>5</v>
      </c>
      <c r="DO391" s="9">
        <v>5</v>
      </c>
      <c r="DP391" s="26" t="s">
        <v>107</v>
      </c>
      <c r="DQ391" s="26" t="s">
        <v>201</v>
      </c>
      <c r="DR391" s="26" t="s">
        <v>206</v>
      </c>
      <c r="DS391" s="26" t="s">
        <v>214</v>
      </c>
      <c r="DT391" s="26" t="s">
        <v>209</v>
      </c>
      <c r="DU391" s="26" t="s">
        <v>215</v>
      </c>
      <c r="DV391" s="26">
        <f t="shared" si="258"/>
        <v>1</v>
      </c>
      <c r="DW391" s="26">
        <f t="shared" si="259"/>
        <v>1</v>
      </c>
      <c r="DX391" s="26">
        <f t="shared" si="260"/>
        <v>1</v>
      </c>
      <c r="DY391" s="26">
        <f t="shared" si="261"/>
        <v>2</v>
      </c>
      <c r="DZ391" s="26">
        <f t="shared" si="262"/>
        <v>2</v>
      </c>
      <c r="EA391" s="3">
        <f t="shared" si="263"/>
        <v>2</v>
      </c>
      <c r="EB391" s="29"/>
      <c r="EC391" s="9">
        <v>5201131</v>
      </c>
      <c r="ED391" s="34" t="s">
        <v>195</v>
      </c>
      <c r="EE391" s="8">
        <v>1</v>
      </c>
    </row>
    <row r="392" spans="1:135" ht="13.5" customHeight="1">
      <c r="A392" s="9">
        <v>389</v>
      </c>
      <c r="B392" s="9">
        <v>1</v>
      </c>
      <c r="C392" s="9">
        <v>2001</v>
      </c>
      <c r="D392" s="9">
        <f t="shared" si="240"/>
        <v>8156987</v>
      </c>
      <c r="E392" s="9" t="str">
        <f t="shared" si="237"/>
        <v>5200112,5200113,5202112,5402112,5500113,5501114</v>
      </c>
      <c r="F392" s="9" t="str">
        <f t="shared" si="238"/>
        <v>11,11,11,11,11,11</v>
      </c>
      <c r="G392" s="9" t="str">
        <f t="shared" si="239"/>
        <v>769,831,831,831,831,831</v>
      </c>
      <c r="H392" s="9">
        <v>195</v>
      </c>
      <c r="I392" s="9" t="s">
        <v>278</v>
      </c>
      <c r="J392" s="9" t="s">
        <v>279</v>
      </c>
      <c r="K392" s="9" t="s">
        <v>279</v>
      </c>
      <c r="L392" s="9" t="s">
        <v>279</v>
      </c>
      <c r="M392" s="36" t="s">
        <v>305</v>
      </c>
      <c r="N392" s="40"/>
      <c r="O392" s="3">
        <f t="shared" si="245"/>
        <v>8156987</v>
      </c>
      <c r="P392" s="9">
        <v>6448210.9299999997</v>
      </c>
      <c r="Q392" s="9">
        <v>5200112</v>
      </c>
      <c r="R392" s="9">
        <v>5200113</v>
      </c>
      <c r="S392" s="9">
        <v>5202112</v>
      </c>
      <c r="T392" s="9">
        <v>5402112</v>
      </c>
      <c r="U392" s="9">
        <v>5500113</v>
      </c>
      <c r="V392" s="9">
        <v>5501114</v>
      </c>
      <c r="W392" s="9">
        <v>11</v>
      </c>
      <c r="X392" s="9">
        <v>11</v>
      </c>
      <c r="Y392" s="9">
        <v>11</v>
      </c>
      <c r="Z392" s="9">
        <v>11</v>
      </c>
      <c r="AA392" s="9">
        <v>11</v>
      </c>
      <c r="AB392" s="9">
        <v>11</v>
      </c>
      <c r="AC392" s="9">
        <f t="shared" si="264"/>
        <v>769</v>
      </c>
      <c r="AD392" s="9">
        <f t="shared" si="265"/>
        <v>831</v>
      </c>
      <c r="AE392" s="9">
        <f t="shared" si="266"/>
        <v>831</v>
      </c>
      <c r="AF392" s="9">
        <f t="shared" si="267"/>
        <v>831</v>
      </c>
      <c r="AG392" s="9">
        <f t="shared" si="268"/>
        <v>831</v>
      </c>
      <c r="AH392" s="9">
        <f t="shared" si="269"/>
        <v>831</v>
      </c>
      <c r="AI392" s="7">
        <f t="shared" si="244"/>
        <v>1074701.8216666665</v>
      </c>
      <c r="AJ392" s="7">
        <f t="shared" si="243"/>
        <v>1074701.8216666665</v>
      </c>
      <c r="AK392" s="7">
        <f t="shared" si="243"/>
        <v>1074701.8216666665</v>
      </c>
      <c r="AL392" s="7">
        <f t="shared" si="243"/>
        <v>1074701.8216666665</v>
      </c>
      <c r="AM392" s="7">
        <f t="shared" si="243"/>
        <v>1074701.8216666665</v>
      </c>
      <c r="AN392" s="7">
        <f t="shared" si="243"/>
        <v>1074701.8216666665</v>
      </c>
      <c r="AO392" s="16"/>
      <c r="AP392" s="7"/>
      <c r="AQ392" s="9">
        <v>7</v>
      </c>
      <c r="AR392" s="9">
        <f t="shared" si="270"/>
        <v>1010</v>
      </c>
      <c r="AS392" s="7">
        <f t="shared" si="241"/>
        <v>294</v>
      </c>
      <c r="AT392" s="7"/>
      <c r="AU392" s="16"/>
      <c r="AV392" s="7"/>
      <c r="AW392" s="7"/>
      <c r="AX392" s="7"/>
      <c r="AZ392" s="7"/>
      <c r="BA392" s="9">
        <f t="shared" si="242"/>
        <v>696250.67000000109</v>
      </c>
      <c r="BC392" s="5">
        <f t="shared" si="271"/>
        <v>718</v>
      </c>
      <c r="BR392" s="5">
        <v>1403013</v>
      </c>
      <c r="BS392" s="18">
        <f>[1]monsters!$N392</f>
        <v>276.48</v>
      </c>
      <c r="BT392" s="18">
        <f>[1]monsters!$O392</f>
        <v>27.65</v>
      </c>
      <c r="BU392" s="18">
        <f>[1]monsters!$P392</f>
        <v>3413.33</v>
      </c>
      <c r="BV392" s="18">
        <f>[1]monsters!$Q392</f>
        <v>341.33</v>
      </c>
      <c r="BW392" s="18">
        <f>[1]monsters!$R392</f>
        <v>55.3</v>
      </c>
      <c r="BX392" s="18">
        <f>[1]monsters!$S392</f>
        <v>5.53</v>
      </c>
      <c r="BY392" s="18">
        <f>[1]monsters!$K392</f>
        <v>1.8</v>
      </c>
      <c r="BZ392" s="5">
        <f>[1]monsters!$D392</f>
        <v>2</v>
      </c>
      <c r="CA392" s="5">
        <f t="shared" si="272"/>
        <v>0.1</v>
      </c>
      <c r="CB392" s="5">
        <f t="shared" si="273"/>
        <v>376.20053602693611</v>
      </c>
      <c r="CC392" s="5">
        <f t="shared" si="274"/>
        <v>37.620053602693609</v>
      </c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>
        <v>0</v>
      </c>
      <c r="CR392" s="3" t="b">
        <f t="shared" si="246"/>
        <v>1</v>
      </c>
      <c r="CS392" s="3" t="b">
        <f t="shared" si="247"/>
        <v>1</v>
      </c>
      <c r="CT392" s="3" t="b">
        <f t="shared" si="248"/>
        <v>1</v>
      </c>
      <c r="CU392" s="3" t="b">
        <f t="shared" si="249"/>
        <v>1</v>
      </c>
      <c r="CV392" s="3" t="b">
        <f t="shared" si="250"/>
        <v>1</v>
      </c>
      <c r="CW392" s="3" t="b">
        <f t="shared" si="251"/>
        <v>1</v>
      </c>
      <c r="CX392" s="9" t="str">
        <f t="shared" si="252"/>
        <v>5200112</v>
      </c>
      <c r="CY392" s="9" t="str">
        <f t="shared" si="253"/>
        <v>5200113</v>
      </c>
      <c r="CZ392" s="9" t="str">
        <f t="shared" si="254"/>
        <v>5202112</v>
      </c>
      <c r="DA392" s="9" t="str">
        <f t="shared" si="255"/>
        <v>5402112</v>
      </c>
      <c r="DB392" s="9" t="str">
        <f t="shared" si="256"/>
        <v>5500113</v>
      </c>
      <c r="DC392" s="9" t="str">
        <f t="shared" si="257"/>
        <v>5501114</v>
      </c>
      <c r="DD392" s="9">
        <v>11</v>
      </c>
      <c r="DE392" s="9">
        <v>11</v>
      </c>
      <c r="DF392" s="9">
        <v>11</v>
      </c>
      <c r="DG392" s="9">
        <v>11</v>
      </c>
      <c r="DH392" s="9">
        <v>11</v>
      </c>
      <c r="DI392" s="9">
        <v>11</v>
      </c>
      <c r="DJ392" s="9">
        <v>5</v>
      </c>
      <c r="DK392" s="9">
        <v>5</v>
      </c>
      <c r="DL392" s="9">
        <v>5</v>
      </c>
      <c r="DM392" s="9">
        <v>5</v>
      </c>
      <c r="DN392" s="9">
        <v>5</v>
      </c>
      <c r="DO392" s="9">
        <v>5</v>
      </c>
      <c r="DP392" s="25" t="s">
        <v>199</v>
      </c>
      <c r="DQ392" s="25" t="s">
        <v>113</v>
      </c>
      <c r="DR392" s="26" t="s">
        <v>200</v>
      </c>
      <c r="DS392" s="26" t="s">
        <v>203</v>
      </c>
      <c r="DT392" s="26" t="s">
        <v>207</v>
      </c>
      <c r="DU392" s="26" t="s">
        <v>214</v>
      </c>
      <c r="DV392" s="26">
        <f t="shared" si="258"/>
        <v>1</v>
      </c>
      <c r="DW392" s="26">
        <f t="shared" si="259"/>
        <v>1</v>
      </c>
      <c r="DX392" s="26">
        <f t="shared" si="260"/>
        <v>1</v>
      </c>
      <c r="DY392" s="26">
        <f t="shared" si="261"/>
        <v>2</v>
      </c>
      <c r="DZ392" s="26">
        <f t="shared" si="262"/>
        <v>2</v>
      </c>
      <c r="EA392" s="3">
        <f t="shared" si="263"/>
        <v>2</v>
      </c>
      <c r="EB392" s="29"/>
      <c r="EC392" s="9">
        <v>5202131</v>
      </c>
      <c r="ED392" s="34" t="s">
        <v>111</v>
      </c>
      <c r="EE392" s="8">
        <v>1</v>
      </c>
    </row>
    <row r="393" spans="1:135" ht="13.5" customHeight="1">
      <c r="A393" s="9">
        <v>390</v>
      </c>
      <c r="B393" s="9">
        <v>1</v>
      </c>
      <c r="C393" s="9">
        <v>2001</v>
      </c>
      <c r="D393" s="9">
        <f t="shared" si="240"/>
        <v>8187233</v>
      </c>
      <c r="E393" s="9" t="str">
        <f t="shared" si="237"/>
        <v>5300115,5201112,5301111,5400115,5501115,5400115</v>
      </c>
      <c r="F393" s="9" t="str">
        <f t="shared" si="238"/>
        <v>11,11,11,11,11,11</v>
      </c>
      <c r="G393" s="9" t="str">
        <f t="shared" si="239"/>
        <v>770,833,833,833,833,833</v>
      </c>
      <c r="H393" s="9">
        <v>196</v>
      </c>
      <c r="I393" s="9" t="s">
        <v>278</v>
      </c>
      <c r="J393" s="9" t="s">
        <v>279</v>
      </c>
      <c r="K393" s="9" t="s">
        <v>279</v>
      </c>
      <c r="L393" s="9" t="s">
        <v>279</v>
      </c>
      <c r="M393" s="36" t="s">
        <v>305</v>
      </c>
      <c r="O393" s="3">
        <f t="shared" si="245"/>
        <v>8187233</v>
      </c>
      <c r="P393" s="9">
        <v>6472120.7800000003</v>
      </c>
      <c r="Q393" s="9">
        <v>5300115</v>
      </c>
      <c r="R393" s="9">
        <v>5201112</v>
      </c>
      <c r="S393" s="9">
        <v>5301111</v>
      </c>
      <c r="T393" s="9">
        <v>5400115</v>
      </c>
      <c r="U393" s="9">
        <v>5501115</v>
      </c>
      <c r="V393" s="9">
        <v>5400115</v>
      </c>
      <c r="W393" s="9">
        <v>11</v>
      </c>
      <c r="X393" s="9">
        <v>11</v>
      </c>
      <c r="Y393" s="9">
        <v>11</v>
      </c>
      <c r="Z393" s="9">
        <v>11</v>
      </c>
      <c r="AA393" s="9">
        <v>11</v>
      </c>
      <c r="AB393" s="9">
        <v>11</v>
      </c>
      <c r="AC393" s="9">
        <f t="shared" si="264"/>
        <v>770</v>
      </c>
      <c r="AD393" s="9">
        <f t="shared" si="265"/>
        <v>833</v>
      </c>
      <c r="AE393" s="9">
        <f t="shared" si="266"/>
        <v>833</v>
      </c>
      <c r="AF393" s="9">
        <f t="shared" si="267"/>
        <v>833</v>
      </c>
      <c r="AG393" s="9">
        <f t="shared" si="268"/>
        <v>833</v>
      </c>
      <c r="AH393" s="9">
        <f t="shared" si="269"/>
        <v>833</v>
      </c>
      <c r="AI393" s="7">
        <f t="shared" si="244"/>
        <v>1078686.7966666666</v>
      </c>
      <c r="AJ393" s="7">
        <f t="shared" si="243"/>
        <v>1078686.7966666666</v>
      </c>
      <c r="AK393" s="7">
        <f t="shared" si="243"/>
        <v>1078686.7966666666</v>
      </c>
      <c r="AL393" s="7">
        <f t="shared" si="243"/>
        <v>1078686.7966666666</v>
      </c>
      <c r="AM393" s="7">
        <f t="shared" si="243"/>
        <v>1078686.7966666666</v>
      </c>
      <c r="AN393" s="7">
        <f t="shared" si="243"/>
        <v>1078686.7966666666</v>
      </c>
      <c r="AO393" s="16"/>
      <c r="AP393" s="7"/>
      <c r="AQ393" s="9">
        <v>7</v>
      </c>
      <c r="AR393" s="9">
        <f t="shared" si="270"/>
        <v>1012</v>
      </c>
      <c r="AS393" s="7">
        <f t="shared" si="241"/>
        <v>295</v>
      </c>
      <c r="AT393" s="7"/>
      <c r="AU393" s="16"/>
      <c r="AV393" s="7"/>
      <c r="AW393" s="7"/>
      <c r="AX393" s="7"/>
      <c r="AZ393" s="7"/>
      <c r="BA393" s="9">
        <f t="shared" si="242"/>
        <v>701143.20000000112</v>
      </c>
      <c r="BC393" s="5">
        <f t="shared" si="271"/>
        <v>720</v>
      </c>
      <c r="BR393" s="5">
        <v>1204013</v>
      </c>
      <c r="BS393" s="18">
        <f>[1]monsters!$N393</f>
        <v>184.32</v>
      </c>
      <c r="BT393" s="18">
        <f>[1]monsters!$O393</f>
        <v>18.43</v>
      </c>
      <c r="BU393" s="18">
        <f>[1]monsters!$P393</f>
        <v>3413.33</v>
      </c>
      <c r="BV393" s="18">
        <f>[1]monsters!$Q393</f>
        <v>341.33</v>
      </c>
      <c r="BW393" s="18">
        <f>[1]monsters!$R393</f>
        <v>36.86</v>
      </c>
      <c r="BX393" s="18">
        <f>[1]monsters!$S393</f>
        <v>3.69</v>
      </c>
      <c r="BY393" s="18">
        <f>[1]monsters!$K393</f>
        <v>1.2</v>
      </c>
      <c r="BZ393" s="5">
        <f>[1]monsters!$D393</f>
        <v>3</v>
      </c>
      <c r="CA393" s="5">
        <f t="shared" si="272"/>
        <v>0.1</v>
      </c>
      <c r="CB393" s="5">
        <f t="shared" si="273"/>
        <v>289.10933602693603</v>
      </c>
      <c r="CC393" s="5">
        <f t="shared" si="274"/>
        <v>28.910933602693603</v>
      </c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>
        <v>1</v>
      </c>
      <c r="CR393" s="3" t="b">
        <f t="shared" si="246"/>
        <v>1</v>
      </c>
      <c r="CS393" s="3" t="b">
        <f t="shared" si="247"/>
        <v>1</v>
      </c>
      <c r="CT393" s="3" t="b">
        <f t="shared" si="248"/>
        <v>1</v>
      </c>
      <c r="CU393" s="3" t="b">
        <f t="shared" si="249"/>
        <v>1</v>
      </c>
      <c r="CV393" s="3" t="b">
        <f t="shared" si="250"/>
        <v>1</v>
      </c>
      <c r="CW393" s="3" t="b">
        <f t="shared" si="251"/>
        <v>1</v>
      </c>
      <c r="CX393" s="9" t="str">
        <f t="shared" si="252"/>
        <v>5300115</v>
      </c>
      <c r="CY393" s="9" t="str">
        <f t="shared" si="253"/>
        <v>5201112</v>
      </c>
      <c r="CZ393" s="9" t="str">
        <f t="shared" si="254"/>
        <v>5301111</v>
      </c>
      <c r="DA393" s="9" t="str">
        <f t="shared" si="255"/>
        <v>5400115</v>
      </c>
      <c r="DB393" s="9" t="str">
        <f t="shared" si="256"/>
        <v>5501115</v>
      </c>
      <c r="DC393" s="9" t="str">
        <f t="shared" si="257"/>
        <v>5400115</v>
      </c>
      <c r="DD393" s="9">
        <v>11</v>
      </c>
      <c r="DE393" s="9">
        <v>11</v>
      </c>
      <c r="DF393" s="9">
        <v>11</v>
      </c>
      <c r="DG393" s="9">
        <v>11</v>
      </c>
      <c r="DH393" s="9">
        <v>11</v>
      </c>
      <c r="DI393" s="9">
        <v>11</v>
      </c>
      <c r="DJ393" s="9">
        <v>5</v>
      </c>
      <c r="DK393" s="9">
        <v>5</v>
      </c>
      <c r="DL393" s="9">
        <v>5</v>
      </c>
      <c r="DM393" s="9">
        <v>5</v>
      </c>
      <c r="DN393" s="9">
        <v>5</v>
      </c>
      <c r="DO393" s="9">
        <v>5</v>
      </c>
      <c r="DP393" s="25" t="s">
        <v>212</v>
      </c>
      <c r="DQ393" s="25" t="s">
        <v>114</v>
      </c>
      <c r="DR393" s="25" t="s">
        <v>107</v>
      </c>
      <c r="DS393" s="26" t="s">
        <v>210</v>
      </c>
      <c r="DT393" s="26" t="s">
        <v>209</v>
      </c>
      <c r="DU393" s="26" t="s">
        <v>210</v>
      </c>
      <c r="DV393" s="26">
        <f t="shared" si="258"/>
        <v>1</v>
      </c>
      <c r="DW393" s="26">
        <f t="shared" si="259"/>
        <v>1</v>
      </c>
      <c r="DX393" s="26">
        <f t="shared" si="260"/>
        <v>1</v>
      </c>
      <c r="DY393" s="26">
        <f t="shared" si="261"/>
        <v>2</v>
      </c>
      <c r="DZ393" s="26">
        <f t="shared" si="262"/>
        <v>2</v>
      </c>
      <c r="EA393" s="3">
        <f t="shared" si="263"/>
        <v>2</v>
      </c>
      <c r="EB393" s="29"/>
      <c r="EC393" s="9">
        <v>5301131</v>
      </c>
      <c r="ED393" s="34" t="s">
        <v>107</v>
      </c>
      <c r="EE393" s="8">
        <v>1</v>
      </c>
    </row>
    <row r="394" spans="1:135" ht="13.5" customHeight="1">
      <c r="A394" s="9">
        <v>391</v>
      </c>
      <c r="B394" s="9">
        <v>1</v>
      </c>
      <c r="C394" s="9">
        <v>2001</v>
      </c>
      <c r="D394" s="9">
        <f t="shared" si="240"/>
        <v>8217537</v>
      </c>
      <c r="E394" s="9" t="str">
        <f t="shared" si="237"/>
        <v>5201111,5200113,5202111,5502112,5500111,5601112</v>
      </c>
      <c r="F394" s="9" t="str">
        <f t="shared" si="238"/>
        <v>11,11,11,11,11,11</v>
      </c>
      <c r="G394" s="9" t="str">
        <f t="shared" si="239"/>
        <v>772,834,834,834,834,834</v>
      </c>
      <c r="H394" s="9">
        <v>196</v>
      </c>
      <c r="I394" s="9" t="s">
        <v>278</v>
      </c>
      <c r="J394" s="9" t="s">
        <v>279</v>
      </c>
      <c r="K394" s="9" t="s">
        <v>279</v>
      </c>
      <c r="L394" s="9" t="s">
        <v>279</v>
      </c>
      <c r="M394" s="36" t="s">
        <v>306</v>
      </c>
      <c r="N394" s="40"/>
      <c r="O394" s="3">
        <f t="shared" si="245"/>
        <v>8217537</v>
      </c>
      <c r="P394" s="9">
        <v>6496076.4000000004</v>
      </c>
      <c r="Q394" s="9">
        <v>5201111</v>
      </c>
      <c r="R394" s="9">
        <v>5200113</v>
      </c>
      <c r="S394" s="9">
        <v>5202111</v>
      </c>
      <c r="T394" s="9">
        <v>5502112</v>
      </c>
      <c r="U394" s="9">
        <v>5500111</v>
      </c>
      <c r="V394" s="9">
        <v>5601112</v>
      </c>
      <c r="W394" s="9">
        <v>11</v>
      </c>
      <c r="X394" s="9">
        <v>11</v>
      </c>
      <c r="Y394" s="9">
        <v>11</v>
      </c>
      <c r="Z394" s="9">
        <v>11</v>
      </c>
      <c r="AA394" s="9">
        <v>11</v>
      </c>
      <c r="AB394" s="9">
        <v>11</v>
      </c>
      <c r="AC394" s="9">
        <f t="shared" si="264"/>
        <v>772</v>
      </c>
      <c r="AD394" s="9">
        <f t="shared" si="265"/>
        <v>834</v>
      </c>
      <c r="AE394" s="9">
        <f t="shared" si="266"/>
        <v>834</v>
      </c>
      <c r="AF394" s="9">
        <f t="shared" si="267"/>
        <v>834</v>
      </c>
      <c r="AG394" s="9">
        <f t="shared" si="268"/>
        <v>834</v>
      </c>
      <c r="AH394" s="9">
        <f t="shared" si="269"/>
        <v>834</v>
      </c>
      <c r="AI394" s="7">
        <f t="shared" si="244"/>
        <v>1082679.4000000001</v>
      </c>
      <c r="AJ394" s="7">
        <f t="shared" si="243"/>
        <v>1082679.4000000001</v>
      </c>
      <c r="AK394" s="7">
        <f t="shared" si="243"/>
        <v>1082679.4000000001</v>
      </c>
      <c r="AL394" s="7">
        <f t="shared" si="243"/>
        <v>1082679.4000000001</v>
      </c>
      <c r="AM394" s="7">
        <f t="shared" si="243"/>
        <v>1082679.4000000001</v>
      </c>
      <c r="AN394" s="7">
        <f t="shared" si="243"/>
        <v>1082679.4000000001</v>
      </c>
      <c r="AO394" s="16"/>
      <c r="AP394" s="7"/>
      <c r="AQ394" s="9">
        <v>7</v>
      </c>
      <c r="AR394" s="9">
        <f t="shared" si="270"/>
        <v>1014</v>
      </c>
      <c r="AS394" s="7">
        <f t="shared" si="241"/>
        <v>295</v>
      </c>
      <c r="AT394" s="7"/>
      <c r="AU394" s="16"/>
      <c r="AV394" s="7"/>
      <c r="AW394" s="7"/>
      <c r="AX394" s="7"/>
      <c r="AZ394" s="7"/>
      <c r="BA394" s="9">
        <f t="shared" si="242"/>
        <v>706035.73000000115</v>
      </c>
      <c r="BC394" s="5">
        <f t="shared" si="271"/>
        <v>721</v>
      </c>
      <c r="BR394" s="5">
        <v>1404013</v>
      </c>
      <c r="BS394" s="18">
        <f>[1]monsters!$N394</f>
        <v>327.68</v>
      </c>
      <c r="BT394" s="18">
        <f>[1]monsters!$O394</f>
        <v>32.770000000000003</v>
      </c>
      <c r="BU394" s="18">
        <f>[1]monsters!$P394</f>
        <v>2560</v>
      </c>
      <c r="BV394" s="18">
        <f>[1]monsters!$Q394</f>
        <v>256</v>
      </c>
      <c r="BW394" s="18">
        <f>[1]monsters!$R394</f>
        <v>46.81</v>
      </c>
      <c r="BX394" s="18">
        <f>[1]monsters!$S394</f>
        <v>4.68</v>
      </c>
      <c r="BY394" s="18">
        <f>[1]monsters!$K394</f>
        <v>1.6</v>
      </c>
      <c r="BZ394" s="5">
        <f>[1]monsters!$D394</f>
        <v>4</v>
      </c>
      <c r="CA394" s="5">
        <f t="shared" si="272"/>
        <v>0.1</v>
      </c>
      <c r="CB394" s="5">
        <f t="shared" si="273"/>
        <v>395.8528861952862</v>
      </c>
      <c r="CC394" s="5">
        <f t="shared" si="274"/>
        <v>39.585288619528626</v>
      </c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>
        <v>0</v>
      </c>
      <c r="CR394" s="3" t="b">
        <f t="shared" si="246"/>
        <v>1</v>
      </c>
      <c r="CS394" s="3" t="b">
        <f t="shared" si="247"/>
        <v>1</v>
      </c>
      <c r="CT394" s="3" t="b">
        <f t="shared" si="248"/>
        <v>1</v>
      </c>
      <c r="CU394" s="3" t="b">
        <f t="shared" si="249"/>
        <v>1</v>
      </c>
      <c r="CV394" s="3" t="b">
        <f t="shared" si="250"/>
        <v>1</v>
      </c>
      <c r="CW394" s="3" t="b">
        <f t="shared" si="251"/>
        <v>1</v>
      </c>
      <c r="CX394" s="9" t="str">
        <f t="shared" si="252"/>
        <v>5201111</v>
      </c>
      <c r="CY394" s="9" t="str">
        <f t="shared" si="253"/>
        <v>5200113</v>
      </c>
      <c r="CZ394" s="9" t="str">
        <f t="shared" si="254"/>
        <v>5202111</v>
      </c>
      <c r="DA394" s="9" t="str">
        <f t="shared" si="255"/>
        <v>5502112</v>
      </c>
      <c r="DB394" s="9" t="str">
        <f t="shared" si="256"/>
        <v>5500111</v>
      </c>
      <c r="DC394" s="9" t="str">
        <f t="shared" si="257"/>
        <v>5601112</v>
      </c>
      <c r="DD394" s="9">
        <v>11</v>
      </c>
      <c r="DE394" s="9">
        <v>11</v>
      </c>
      <c r="DF394" s="9">
        <v>11</v>
      </c>
      <c r="DG394" s="9">
        <v>11</v>
      </c>
      <c r="DH394" s="9">
        <v>11</v>
      </c>
      <c r="DI394" s="9">
        <v>11</v>
      </c>
      <c r="DJ394" s="9">
        <v>5</v>
      </c>
      <c r="DK394" s="9">
        <v>5</v>
      </c>
      <c r="DL394" s="9">
        <v>5</v>
      </c>
      <c r="DM394" s="9">
        <v>5</v>
      </c>
      <c r="DN394" s="9">
        <v>5</v>
      </c>
      <c r="DO394" s="9">
        <v>5</v>
      </c>
      <c r="DP394" s="25" t="s">
        <v>195</v>
      </c>
      <c r="DQ394" s="25" t="s">
        <v>113</v>
      </c>
      <c r="DR394" s="26" t="s">
        <v>111</v>
      </c>
      <c r="DS394" s="28" t="s">
        <v>204</v>
      </c>
      <c r="DT394" s="26" t="s">
        <v>197</v>
      </c>
      <c r="DU394" s="26" t="s">
        <v>124</v>
      </c>
      <c r="DV394" s="26">
        <f t="shared" si="258"/>
        <v>1</v>
      </c>
      <c r="DW394" s="26">
        <f t="shared" si="259"/>
        <v>1</v>
      </c>
      <c r="DX394" s="26">
        <f t="shared" si="260"/>
        <v>1</v>
      </c>
      <c r="DY394" s="26">
        <f t="shared" si="261"/>
        <v>2</v>
      </c>
      <c r="DZ394" s="26">
        <f t="shared" si="262"/>
        <v>2</v>
      </c>
      <c r="EA394" s="3">
        <f t="shared" si="263"/>
        <v>2</v>
      </c>
      <c r="EB394" s="30"/>
      <c r="EC394" s="9">
        <v>5401131</v>
      </c>
      <c r="ED394" s="34" t="s">
        <v>117</v>
      </c>
      <c r="EE394" s="8">
        <v>2</v>
      </c>
    </row>
    <row r="395" spans="1:135" ht="13.5" customHeight="1">
      <c r="A395" s="9">
        <v>392</v>
      </c>
      <c r="B395" s="9">
        <v>1</v>
      </c>
      <c r="C395" s="9">
        <v>2001</v>
      </c>
      <c r="D395" s="9">
        <f t="shared" si="240"/>
        <v>8247896</v>
      </c>
      <c r="E395" s="9" t="str">
        <f t="shared" si="237"/>
        <v>5200112,5200113,5200112,5501114,5500113,5501114</v>
      </c>
      <c r="F395" s="9" t="str">
        <f t="shared" si="238"/>
        <v>11,11,11,11,11,11</v>
      </c>
      <c r="G395" s="9" t="str">
        <f t="shared" si="239"/>
        <v>773,836,836,836,836,836</v>
      </c>
      <c r="H395" s="9">
        <v>196</v>
      </c>
      <c r="I395" s="9" t="s">
        <v>278</v>
      </c>
      <c r="J395" s="9" t="s">
        <v>279</v>
      </c>
      <c r="K395" s="9" t="s">
        <v>279</v>
      </c>
      <c r="L395" s="9" t="s">
        <v>279</v>
      </c>
      <c r="M395" s="36" t="s">
        <v>306</v>
      </c>
      <c r="N395" s="40"/>
      <c r="O395" s="3">
        <f t="shared" si="245"/>
        <v>8247896</v>
      </c>
      <c r="P395" s="9">
        <v>6520075.7999999998</v>
      </c>
      <c r="Q395" s="9">
        <v>5200112</v>
      </c>
      <c r="R395" s="9">
        <v>5200113</v>
      </c>
      <c r="S395" s="9">
        <v>5200112</v>
      </c>
      <c r="T395" s="9">
        <v>5501114</v>
      </c>
      <c r="U395" s="9">
        <v>5500113</v>
      </c>
      <c r="V395" s="9">
        <v>5501114</v>
      </c>
      <c r="W395" s="9">
        <v>11</v>
      </c>
      <c r="X395" s="9">
        <v>11</v>
      </c>
      <c r="Y395" s="9">
        <v>11</v>
      </c>
      <c r="Z395" s="9">
        <v>11</v>
      </c>
      <c r="AA395" s="9">
        <v>11</v>
      </c>
      <c r="AB395" s="9">
        <v>11</v>
      </c>
      <c r="AC395" s="9">
        <f t="shared" si="264"/>
        <v>773</v>
      </c>
      <c r="AD395" s="9">
        <f t="shared" si="265"/>
        <v>836</v>
      </c>
      <c r="AE395" s="9">
        <f t="shared" si="266"/>
        <v>836</v>
      </c>
      <c r="AF395" s="9">
        <f t="shared" si="267"/>
        <v>836</v>
      </c>
      <c r="AG395" s="9">
        <f t="shared" si="268"/>
        <v>836</v>
      </c>
      <c r="AH395" s="9">
        <f t="shared" si="269"/>
        <v>836</v>
      </c>
      <c r="AI395" s="7">
        <f t="shared" si="244"/>
        <v>1086679.3</v>
      </c>
      <c r="AJ395" s="7">
        <f t="shared" si="243"/>
        <v>1086679.3</v>
      </c>
      <c r="AK395" s="7">
        <f t="shared" si="243"/>
        <v>1086679.3</v>
      </c>
      <c r="AL395" s="7">
        <f t="shared" si="243"/>
        <v>1086679.3</v>
      </c>
      <c r="AM395" s="7">
        <f t="shared" si="243"/>
        <v>1086679.3</v>
      </c>
      <c r="AN395" s="7">
        <f t="shared" si="243"/>
        <v>1086679.3</v>
      </c>
      <c r="AO395" s="16"/>
      <c r="AP395" s="7"/>
      <c r="AQ395" s="9">
        <v>7</v>
      </c>
      <c r="AR395" s="9">
        <f t="shared" si="270"/>
        <v>1016</v>
      </c>
      <c r="AS395" s="7">
        <f t="shared" si="241"/>
        <v>296</v>
      </c>
      <c r="AT395" s="7"/>
      <c r="AU395" s="16"/>
      <c r="AV395" s="7"/>
      <c r="AW395" s="7"/>
      <c r="AX395" s="7"/>
      <c r="AZ395" s="7"/>
      <c r="BA395" s="9">
        <f t="shared" si="242"/>
        <v>710928.26000000117</v>
      </c>
      <c r="BC395" s="5">
        <f t="shared" si="271"/>
        <v>722</v>
      </c>
      <c r="BR395" s="5">
        <v>1303013</v>
      </c>
      <c r="BS395" s="18">
        <f>[1]monsters!$N395</f>
        <v>307.2</v>
      </c>
      <c r="BT395" s="18">
        <f>[1]monsters!$O395</f>
        <v>30.72</v>
      </c>
      <c r="BU395" s="18">
        <f>[1]monsters!$P395</f>
        <v>2560</v>
      </c>
      <c r="BV395" s="18">
        <f>[1]monsters!$Q395</f>
        <v>256</v>
      </c>
      <c r="BW395" s="18">
        <f>[1]monsters!$R395</f>
        <v>43.89</v>
      </c>
      <c r="BX395" s="18">
        <f>[1]monsters!$S395</f>
        <v>4.3899999999999997</v>
      </c>
      <c r="BY395" s="18">
        <f>[1]monsters!$K395</f>
        <v>1.5</v>
      </c>
      <c r="BZ395" s="5">
        <f>[1]monsters!$D395</f>
        <v>4</v>
      </c>
      <c r="CA395" s="5">
        <f t="shared" si="272"/>
        <v>0.1</v>
      </c>
      <c r="CB395" s="5">
        <f t="shared" si="273"/>
        <v>376.49928619528623</v>
      </c>
      <c r="CC395" s="5">
        <f t="shared" si="274"/>
        <v>37.649928619528623</v>
      </c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>
        <v>0</v>
      </c>
      <c r="CR395" s="3" t="b">
        <f t="shared" si="246"/>
        <v>1</v>
      </c>
      <c r="CS395" s="3" t="b">
        <f t="shared" si="247"/>
        <v>1</v>
      </c>
      <c r="CT395" s="3" t="b">
        <f t="shared" si="248"/>
        <v>1</v>
      </c>
      <c r="CU395" s="3" t="b">
        <f t="shared" si="249"/>
        <v>1</v>
      </c>
      <c r="CV395" s="3" t="b">
        <f t="shared" si="250"/>
        <v>1</v>
      </c>
      <c r="CW395" s="3" t="b">
        <f t="shared" si="251"/>
        <v>1</v>
      </c>
      <c r="CX395" s="9" t="str">
        <f t="shared" si="252"/>
        <v>5200112</v>
      </c>
      <c r="CY395" s="9" t="str">
        <f t="shared" si="253"/>
        <v>5200113</v>
      </c>
      <c r="CZ395" s="9" t="str">
        <f t="shared" si="254"/>
        <v>5200112</v>
      </c>
      <c r="DA395" s="9" t="str">
        <f t="shared" si="255"/>
        <v>5501114</v>
      </c>
      <c r="DB395" s="9" t="str">
        <f t="shared" si="256"/>
        <v>5500113</v>
      </c>
      <c r="DC395" s="9" t="str">
        <f t="shared" si="257"/>
        <v>5501114</v>
      </c>
      <c r="DD395" s="9">
        <v>11</v>
      </c>
      <c r="DE395" s="9">
        <v>11</v>
      </c>
      <c r="DF395" s="9">
        <v>11</v>
      </c>
      <c r="DG395" s="9">
        <v>11</v>
      </c>
      <c r="DH395" s="9">
        <v>11</v>
      </c>
      <c r="DI395" s="9">
        <v>11</v>
      </c>
      <c r="DJ395" s="9">
        <v>5</v>
      </c>
      <c r="DK395" s="9">
        <v>5</v>
      </c>
      <c r="DL395" s="9">
        <v>5</v>
      </c>
      <c r="DM395" s="9">
        <v>5</v>
      </c>
      <c r="DN395" s="9">
        <v>5</v>
      </c>
      <c r="DO395" s="9">
        <v>5</v>
      </c>
      <c r="DP395" s="25" t="s">
        <v>199</v>
      </c>
      <c r="DQ395" s="25" t="s">
        <v>113</v>
      </c>
      <c r="DR395" s="25" t="s">
        <v>199</v>
      </c>
      <c r="DS395" s="26" t="s">
        <v>214</v>
      </c>
      <c r="DT395" s="26" t="s">
        <v>207</v>
      </c>
      <c r="DU395" s="26" t="s">
        <v>214</v>
      </c>
      <c r="DV395" s="26">
        <f t="shared" si="258"/>
        <v>1</v>
      </c>
      <c r="DW395" s="26">
        <f t="shared" si="259"/>
        <v>1</v>
      </c>
      <c r="DX395" s="26">
        <f t="shared" si="260"/>
        <v>1</v>
      </c>
      <c r="DY395" s="26">
        <f t="shared" si="261"/>
        <v>2</v>
      </c>
      <c r="DZ395" s="26">
        <f t="shared" si="262"/>
        <v>2</v>
      </c>
      <c r="EA395" s="3">
        <f t="shared" si="263"/>
        <v>2</v>
      </c>
      <c r="EB395" s="29"/>
      <c r="EC395" s="9">
        <v>5402131</v>
      </c>
      <c r="ED395" s="34" t="s">
        <v>196</v>
      </c>
      <c r="EE395" s="8">
        <v>2</v>
      </c>
    </row>
    <row r="396" spans="1:135" ht="13.5" customHeight="1">
      <c r="A396" s="9">
        <v>393</v>
      </c>
      <c r="B396" s="9">
        <v>1</v>
      </c>
      <c r="C396" s="9">
        <v>2001</v>
      </c>
      <c r="D396" s="9">
        <f t="shared" si="240"/>
        <v>8278311</v>
      </c>
      <c r="E396" s="9" t="str">
        <f t="shared" ref="E396:E459" si="275">Q396&amp;","&amp;R396&amp;","&amp;S396&amp;","&amp;T396&amp;","&amp;U396&amp;","&amp;V396</f>
        <v>5202112,5201112,5301111,5400115,5401111,5502111</v>
      </c>
      <c r="F396" s="9" t="str">
        <f t="shared" ref="F396:F459" si="276">W396&amp;","&amp;X396&amp;","&amp;Y396&amp;","&amp;Z396&amp;","&amp;AA396&amp;","&amp;AB396</f>
        <v>11,11,11,11,11,11</v>
      </c>
      <c r="G396" s="9" t="str">
        <f t="shared" ref="G396:G459" si="277">AC396&amp;","&amp;AD396&amp;","&amp;AE396&amp;","&amp;AF396&amp;","&amp;AG396&amp;","&amp;AH396</f>
        <v>774,837,837,837,837,837</v>
      </c>
      <c r="H396" s="9">
        <v>197</v>
      </c>
      <c r="I396" s="9" t="s">
        <v>278</v>
      </c>
      <c r="J396" s="9" t="s">
        <v>279</v>
      </c>
      <c r="K396" s="9" t="s">
        <v>279</v>
      </c>
      <c r="L396" s="9" t="s">
        <v>279</v>
      </c>
      <c r="M396" s="36" t="s">
        <v>306</v>
      </c>
      <c r="N396" s="40"/>
      <c r="O396" s="3">
        <f t="shared" si="245"/>
        <v>8278311</v>
      </c>
      <c r="P396" s="9">
        <v>6544118.9800000004</v>
      </c>
      <c r="Q396" s="9">
        <v>5202112</v>
      </c>
      <c r="R396" s="9">
        <v>5201112</v>
      </c>
      <c r="S396" s="9">
        <v>5301111</v>
      </c>
      <c r="T396" s="9">
        <v>5400115</v>
      </c>
      <c r="U396" s="9">
        <v>5401111</v>
      </c>
      <c r="V396" s="9">
        <v>5502111</v>
      </c>
      <c r="W396" s="9">
        <v>11</v>
      </c>
      <c r="X396" s="9">
        <v>11</v>
      </c>
      <c r="Y396" s="9">
        <v>11</v>
      </c>
      <c r="Z396" s="9">
        <v>11</v>
      </c>
      <c r="AA396" s="9">
        <v>11</v>
      </c>
      <c r="AB396" s="9">
        <v>11</v>
      </c>
      <c r="AC396" s="9">
        <f t="shared" si="264"/>
        <v>774</v>
      </c>
      <c r="AD396" s="9">
        <f t="shared" si="265"/>
        <v>837</v>
      </c>
      <c r="AE396" s="9">
        <f t="shared" si="266"/>
        <v>837</v>
      </c>
      <c r="AF396" s="9">
        <f t="shared" si="267"/>
        <v>837</v>
      </c>
      <c r="AG396" s="9">
        <f t="shared" si="268"/>
        <v>837</v>
      </c>
      <c r="AH396" s="9">
        <f t="shared" si="269"/>
        <v>837</v>
      </c>
      <c r="AI396" s="7">
        <f t="shared" si="244"/>
        <v>1090686.4966666668</v>
      </c>
      <c r="AJ396" s="7">
        <f t="shared" si="243"/>
        <v>1090686.4966666668</v>
      </c>
      <c r="AK396" s="7">
        <f t="shared" si="243"/>
        <v>1090686.4966666668</v>
      </c>
      <c r="AL396" s="7">
        <f t="shared" si="243"/>
        <v>1090686.4966666668</v>
      </c>
      <c r="AM396" s="7">
        <f t="shared" si="243"/>
        <v>1090686.4966666668</v>
      </c>
      <c r="AN396" s="7">
        <f t="shared" si="243"/>
        <v>1090686.4966666668</v>
      </c>
      <c r="AO396" s="16"/>
      <c r="AP396" s="7"/>
      <c r="AQ396" s="9">
        <v>7</v>
      </c>
      <c r="AR396" s="9">
        <f t="shared" si="270"/>
        <v>1017</v>
      </c>
      <c r="AS396" s="7">
        <f t="shared" si="241"/>
        <v>296</v>
      </c>
      <c r="AT396" s="7"/>
      <c r="AU396" s="16"/>
      <c r="AV396" s="7"/>
      <c r="AW396" s="7"/>
      <c r="AX396" s="7"/>
      <c r="AZ396" s="7"/>
      <c r="BA396" s="9">
        <f t="shared" si="242"/>
        <v>715820.7900000012</v>
      </c>
      <c r="BC396" s="5">
        <f t="shared" si="271"/>
        <v>724</v>
      </c>
      <c r="BR396" s="5">
        <v>1304013</v>
      </c>
      <c r="BS396" s="18">
        <f>[1]monsters!$N396</f>
        <v>358.4</v>
      </c>
      <c r="BT396" s="18">
        <f>[1]monsters!$O396</f>
        <v>35.840000000000003</v>
      </c>
      <c r="BU396" s="18">
        <f>[1]monsters!$P396</f>
        <v>2194.29</v>
      </c>
      <c r="BV396" s="18">
        <f>[1]monsters!$Q396</f>
        <v>219.43</v>
      </c>
      <c r="BW396" s="18">
        <f>[1]monsters!$R396</f>
        <v>44.8</v>
      </c>
      <c r="BX396" s="18">
        <f>[1]monsters!$S396</f>
        <v>4.4800000000000004</v>
      </c>
      <c r="BY396" s="18">
        <f>[1]monsters!$K396</f>
        <v>1.5</v>
      </c>
      <c r="BZ396" s="5">
        <f>[1]monsters!$D396</f>
        <v>5</v>
      </c>
      <c r="CA396" s="5">
        <f t="shared" si="272"/>
        <v>0.1</v>
      </c>
      <c r="CB396" s="5">
        <f t="shared" si="273"/>
        <v>412.56981818181816</v>
      </c>
      <c r="CC396" s="5">
        <f t="shared" si="274"/>
        <v>41.256981818181821</v>
      </c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>
        <v>0</v>
      </c>
      <c r="CR396" s="3" t="b">
        <f t="shared" si="246"/>
        <v>1</v>
      </c>
      <c r="CS396" s="3" t="b">
        <f t="shared" si="247"/>
        <v>1</v>
      </c>
      <c r="CT396" s="3" t="b">
        <f t="shared" si="248"/>
        <v>1</v>
      </c>
      <c r="CU396" s="3" t="b">
        <f t="shared" si="249"/>
        <v>1</v>
      </c>
      <c r="CV396" s="3" t="b">
        <f t="shared" si="250"/>
        <v>1</v>
      </c>
      <c r="CW396" s="3" t="b">
        <f t="shared" si="251"/>
        <v>1</v>
      </c>
      <c r="CX396" s="9" t="str">
        <f t="shared" si="252"/>
        <v>5202112</v>
      </c>
      <c r="CY396" s="9" t="str">
        <f t="shared" si="253"/>
        <v>5201112</v>
      </c>
      <c r="CZ396" s="9" t="str">
        <f t="shared" si="254"/>
        <v>5301111</v>
      </c>
      <c r="DA396" s="9" t="str">
        <f t="shared" si="255"/>
        <v>5400115</v>
      </c>
      <c r="DB396" s="9" t="str">
        <f t="shared" si="256"/>
        <v>5401111</v>
      </c>
      <c r="DC396" s="9" t="str">
        <f t="shared" si="257"/>
        <v>5502111</v>
      </c>
      <c r="DD396" s="9">
        <v>11</v>
      </c>
      <c r="DE396" s="9">
        <v>11</v>
      </c>
      <c r="DF396" s="9">
        <v>11</v>
      </c>
      <c r="DG396" s="9">
        <v>11</v>
      </c>
      <c r="DH396" s="9">
        <v>11</v>
      </c>
      <c r="DI396" s="9">
        <v>11</v>
      </c>
      <c r="DJ396" s="9">
        <v>5</v>
      </c>
      <c r="DK396" s="9">
        <v>5</v>
      </c>
      <c r="DL396" s="9">
        <v>5</v>
      </c>
      <c r="DM396" s="9">
        <v>5</v>
      </c>
      <c r="DN396" s="9">
        <v>5</v>
      </c>
      <c r="DO396" s="9">
        <v>5</v>
      </c>
      <c r="DP396" s="25" t="s">
        <v>200</v>
      </c>
      <c r="DQ396" s="25" t="s">
        <v>114</v>
      </c>
      <c r="DR396" s="25" t="s">
        <v>107</v>
      </c>
      <c r="DS396" s="25" t="s">
        <v>210</v>
      </c>
      <c r="DT396" s="25" t="s">
        <v>117</v>
      </c>
      <c r="DU396" s="25" t="s">
        <v>119</v>
      </c>
      <c r="DV396" s="25">
        <f t="shared" si="258"/>
        <v>1</v>
      </c>
      <c r="DW396" s="25">
        <f t="shared" si="259"/>
        <v>1</v>
      </c>
      <c r="DX396" s="25">
        <f t="shared" si="260"/>
        <v>1</v>
      </c>
      <c r="DY396" s="25">
        <f t="shared" si="261"/>
        <v>2</v>
      </c>
      <c r="DZ396" s="25">
        <f t="shared" si="262"/>
        <v>2</v>
      </c>
      <c r="EA396" s="3">
        <f t="shared" si="263"/>
        <v>2</v>
      </c>
      <c r="EB396" s="29"/>
      <c r="EC396" s="9">
        <v>5500131</v>
      </c>
      <c r="ED396" s="34" t="s">
        <v>197</v>
      </c>
      <c r="EE396" s="8">
        <v>2</v>
      </c>
    </row>
    <row r="397" spans="1:135" ht="13.5" customHeight="1">
      <c r="A397" s="9">
        <v>394</v>
      </c>
      <c r="B397" s="9">
        <v>1</v>
      </c>
      <c r="C397" s="9">
        <v>2001</v>
      </c>
      <c r="D397" s="9">
        <f t="shared" si="240"/>
        <v>8308781</v>
      </c>
      <c r="E397" s="9" t="str">
        <f t="shared" si="275"/>
        <v>5301111,5301112,5301113,5500112,5500111,5500112</v>
      </c>
      <c r="F397" s="9" t="str">
        <f t="shared" si="276"/>
        <v>11,11,11,11,11,11</v>
      </c>
      <c r="G397" s="9" t="str">
        <f t="shared" si="277"/>
        <v>776,839,839,839,839,839</v>
      </c>
      <c r="H397" s="9">
        <v>197</v>
      </c>
      <c r="I397" s="9" t="s">
        <v>278</v>
      </c>
      <c r="J397" s="9" t="s">
        <v>279</v>
      </c>
      <c r="K397" s="9" t="s">
        <v>279</v>
      </c>
      <c r="L397" s="9" t="s">
        <v>279</v>
      </c>
      <c r="M397" s="36" t="s">
        <v>306</v>
      </c>
      <c r="N397" s="40"/>
      <c r="O397" s="3">
        <f t="shared" si="245"/>
        <v>8308781</v>
      </c>
      <c r="P397" s="9">
        <v>6568205.9400000004</v>
      </c>
      <c r="Q397" s="9">
        <v>5301111</v>
      </c>
      <c r="R397" s="9">
        <v>5301112</v>
      </c>
      <c r="S397" s="9">
        <v>5301113</v>
      </c>
      <c r="T397" s="9">
        <v>5500112</v>
      </c>
      <c r="U397" s="9">
        <v>5500111</v>
      </c>
      <c r="V397" s="9">
        <v>5500112</v>
      </c>
      <c r="W397" s="9">
        <v>11</v>
      </c>
      <c r="X397" s="9">
        <v>11</v>
      </c>
      <c r="Y397" s="9">
        <v>11</v>
      </c>
      <c r="Z397" s="9">
        <v>11</v>
      </c>
      <c r="AA397" s="9">
        <v>11</v>
      </c>
      <c r="AB397" s="9">
        <v>11</v>
      </c>
      <c r="AC397" s="9">
        <f t="shared" si="264"/>
        <v>776</v>
      </c>
      <c r="AD397" s="9">
        <f t="shared" si="265"/>
        <v>839</v>
      </c>
      <c r="AE397" s="9">
        <f t="shared" si="266"/>
        <v>839</v>
      </c>
      <c r="AF397" s="9">
        <f t="shared" si="267"/>
        <v>839</v>
      </c>
      <c r="AG397" s="9">
        <f t="shared" si="268"/>
        <v>839</v>
      </c>
      <c r="AH397" s="9">
        <f t="shared" si="269"/>
        <v>839</v>
      </c>
      <c r="AI397" s="7">
        <f t="shared" si="244"/>
        <v>1094700.99</v>
      </c>
      <c r="AJ397" s="7">
        <f t="shared" si="243"/>
        <v>1094700.99</v>
      </c>
      <c r="AK397" s="7">
        <f t="shared" si="243"/>
        <v>1094700.99</v>
      </c>
      <c r="AL397" s="7">
        <f t="shared" si="243"/>
        <v>1094700.99</v>
      </c>
      <c r="AM397" s="7">
        <f t="shared" si="243"/>
        <v>1094700.99</v>
      </c>
      <c r="AN397" s="7">
        <f t="shared" si="243"/>
        <v>1094700.99</v>
      </c>
      <c r="AO397" s="16"/>
      <c r="AP397" s="7"/>
      <c r="AQ397" s="9">
        <v>7</v>
      </c>
      <c r="AR397" s="9">
        <f t="shared" si="270"/>
        <v>1019</v>
      </c>
      <c r="AS397" s="7">
        <f t="shared" si="241"/>
        <v>297</v>
      </c>
      <c r="AT397" s="7"/>
      <c r="AU397" s="16"/>
      <c r="AV397" s="7"/>
      <c r="AW397" s="7"/>
      <c r="AX397" s="7"/>
      <c r="AZ397" s="7"/>
      <c r="BA397" s="9">
        <f t="shared" si="242"/>
        <v>720713.32000000123</v>
      </c>
      <c r="BC397" s="5">
        <f t="shared" si="271"/>
        <v>725</v>
      </c>
      <c r="BR397" s="5">
        <v>1503013</v>
      </c>
      <c r="BS397" s="18">
        <f>[1]monsters!$N397</f>
        <v>334.51</v>
      </c>
      <c r="BT397" s="18">
        <f>[1]monsters!$O397</f>
        <v>33.450000000000003</v>
      </c>
      <c r="BU397" s="18">
        <f>[1]monsters!$P397</f>
        <v>2194.29</v>
      </c>
      <c r="BV397" s="18">
        <f>[1]monsters!$Q397</f>
        <v>219.43</v>
      </c>
      <c r="BW397" s="18">
        <f>[1]monsters!$R397</f>
        <v>41.81</v>
      </c>
      <c r="BX397" s="18">
        <f>[1]monsters!$S397</f>
        <v>4.18</v>
      </c>
      <c r="BY397" s="18">
        <f>[1]monsters!$K397</f>
        <v>1.4</v>
      </c>
      <c r="BZ397" s="5">
        <f>[1]monsters!$D397</f>
        <v>5</v>
      </c>
      <c r="CA397" s="5">
        <f t="shared" si="272"/>
        <v>0.1</v>
      </c>
      <c r="CB397" s="5">
        <f t="shared" si="273"/>
        <v>389.99376818181821</v>
      </c>
      <c r="CC397" s="5">
        <f t="shared" si="274"/>
        <v>38.999376818181823</v>
      </c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>
        <v>0</v>
      </c>
      <c r="CR397" s="3" t="b">
        <f t="shared" si="246"/>
        <v>1</v>
      </c>
      <c r="CS397" s="3" t="b">
        <f t="shared" si="247"/>
        <v>1</v>
      </c>
      <c r="CT397" s="3" t="b">
        <f t="shared" si="248"/>
        <v>1</v>
      </c>
      <c r="CU397" s="3" t="b">
        <f t="shared" si="249"/>
        <v>1</v>
      </c>
      <c r="CV397" s="3" t="b">
        <f t="shared" si="250"/>
        <v>1</v>
      </c>
      <c r="CW397" s="3" t="b">
        <f t="shared" si="251"/>
        <v>1</v>
      </c>
      <c r="CX397" s="9" t="str">
        <f t="shared" si="252"/>
        <v>5301111</v>
      </c>
      <c r="CY397" s="9" t="str">
        <f t="shared" si="253"/>
        <v>5301112</v>
      </c>
      <c r="CZ397" s="9" t="str">
        <f t="shared" si="254"/>
        <v>5301113</v>
      </c>
      <c r="DA397" s="9" t="str">
        <f t="shared" si="255"/>
        <v>5500112</v>
      </c>
      <c r="DB397" s="9" t="str">
        <f t="shared" si="256"/>
        <v>5500111</v>
      </c>
      <c r="DC397" s="9" t="str">
        <f t="shared" si="257"/>
        <v>5500112</v>
      </c>
      <c r="DD397" s="9">
        <v>11</v>
      </c>
      <c r="DE397" s="9">
        <v>11</v>
      </c>
      <c r="DF397" s="9">
        <v>11</v>
      </c>
      <c r="DG397" s="9">
        <v>11</v>
      </c>
      <c r="DH397" s="9">
        <v>11</v>
      </c>
      <c r="DI397" s="9">
        <v>11</v>
      </c>
      <c r="DJ397" s="9">
        <v>5</v>
      </c>
      <c r="DK397" s="9">
        <v>5</v>
      </c>
      <c r="DL397" s="9">
        <v>5</v>
      </c>
      <c r="DM397" s="9">
        <v>5</v>
      </c>
      <c r="DN397" s="9">
        <v>5</v>
      </c>
      <c r="DO397" s="9">
        <v>5</v>
      </c>
      <c r="DP397" s="26" t="s">
        <v>107</v>
      </c>
      <c r="DQ397" s="26" t="s">
        <v>201</v>
      </c>
      <c r="DR397" s="26" t="s">
        <v>206</v>
      </c>
      <c r="DS397" s="26" t="s">
        <v>109</v>
      </c>
      <c r="DT397" s="26" t="s">
        <v>197</v>
      </c>
      <c r="DU397" s="26" t="s">
        <v>109</v>
      </c>
      <c r="DV397" s="26">
        <f t="shared" si="258"/>
        <v>1</v>
      </c>
      <c r="DW397" s="26">
        <f t="shared" si="259"/>
        <v>1</v>
      </c>
      <c r="DX397" s="26">
        <f t="shared" si="260"/>
        <v>1</v>
      </c>
      <c r="DY397" s="26">
        <f t="shared" si="261"/>
        <v>2</v>
      </c>
      <c r="DZ397" s="26">
        <f t="shared" si="262"/>
        <v>2</v>
      </c>
      <c r="EA397" s="3">
        <f t="shared" si="263"/>
        <v>2</v>
      </c>
      <c r="EB397" s="30"/>
      <c r="EC397" s="9">
        <v>5502131</v>
      </c>
      <c r="ED397" s="34" t="s">
        <v>119</v>
      </c>
      <c r="EE397" s="8">
        <v>2</v>
      </c>
    </row>
    <row r="398" spans="1:135" ht="13.5" customHeight="1">
      <c r="A398" s="9">
        <v>395</v>
      </c>
      <c r="B398" s="9">
        <v>1</v>
      </c>
      <c r="C398" s="9">
        <v>2001</v>
      </c>
      <c r="D398" s="9">
        <f t="shared" si="240"/>
        <v>8339308</v>
      </c>
      <c r="E398" s="9" t="str">
        <f t="shared" si="275"/>
        <v>5201112,5201112,5201112,5400115,5400115,5400115</v>
      </c>
      <c r="F398" s="9" t="str">
        <f t="shared" si="276"/>
        <v>11,11,11,11,11,11</v>
      </c>
      <c r="G398" s="9" t="str">
        <f t="shared" si="277"/>
        <v>777,840,840,840,840,840</v>
      </c>
      <c r="H398" s="9">
        <v>198</v>
      </c>
      <c r="I398" s="9" t="s">
        <v>278</v>
      </c>
      <c r="J398" s="9" t="s">
        <v>279</v>
      </c>
      <c r="K398" s="9" t="s">
        <v>279</v>
      </c>
      <c r="L398" s="9" t="s">
        <v>279</v>
      </c>
      <c r="M398" s="36" t="s">
        <v>306</v>
      </c>
      <c r="O398" s="3">
        <f t="shared" si="245"/>
        <v>8339308</v>
      </c>
      <c r="P398" s="9">
        <v>6592338.6699999999</v>
      </c>
      <c r="Q398" s="9">
        <v>5201112</v>
      </c>
      <c r="R398" s="9">
        <v>5201112</v>
      </c>
      <c r="S398" s="9">
        <v>5201112</v>
      </c>
      <c r="T398" s="9">
        <v>5400115</v>
      </c>
      <c r="U398" s="9">
        <v>5400115</v>
      </c>
      <c r="V398" s="9">
        <v>5400115</v>
      </c>
      <c r="W398" s="9">
        <v>11</v>
      </c>
      <c r="X398" s="9">
        <v>11</v>
      </c>
      <c r="Y398" s="9">
        <v>11</v>
      </c>
      <c r="Z398" s="9">
        <v>11</v>
      </c>
      <c r="AA398" s="9">
        <v>11</v>
      </c>
      <c r="AB398" s="9">
        <v>11</v>
      </c>
      <c r="AC398" s="9">
        <f t="shared" si="264"/>
        <v>777</v>
      </c>
      <c r="AD398" s="9">
        <f t="shared" si="265"/>
        <v>840</v>
      </c>
      <c r="AE398" s="9">
        <f t="shared" si="266"/>
        <v>840</v>
      </c>
      <c r="AF398" s="9">
        <f t="shared" si="267"/>
        <v>840</v>
      </c>
      <c r="AG398" s="9">
        <f t="shared" si="268"/>
        <v>840</v>
      </c>
      <c r="AH398" s="9">
        <f t="shared" si="269"/>
        <v>840</v>
      </c>
      <c r="AI398" s="7">
        <f t="shared" si="244"/>
        <v>1098723.1116666666</v>
      </c>
      <c r="AJ398" s="7">
        <f t="shared" si="243"/>
        <v>1098723.1116666666</v>
      </c>
      <c r="AK398" s="7">
        <f t="shared" si="243"/>
        <v>1098723.1116666666</v>
      </c>
      <c r="AL398" s="7">
        <f t="shared" si="243"/>
        <v>1098723.1116666666</v>
      </c>
      <c r="AM398" s="7">
        <f t="shared" si="243"/>
        <v>1098723.1116666666</v>
      </c>
      <c r="AN398" s="7">
        <f t="shared" si="243"/>
        <v>1098723.1116666666</v>
      </c>
      <c r="AO398" s="16"/>
      <c r="AP398" s="7"/>
      <c r="AQ398" s="9">
        <v>7</v>
      </c>
      <c r="AR398" s="9">
        <f t="shared" si="270"/>
        <v>1021</v>
      </c>
      <c r="AS398" s="7">
        <f t="shared" si="241"/>
        <v>297</v>
      </c>
      <c r="AT398" s="7"/>
      <c r="AU398" s="16"/>
      <c r="AV398" s="7"/>
      <c r="AW398" s="7"/>
      <c r="AX398" s="7"/>
      <c r="AZ398" s="7"/>
      <c r="BA398" s="9">
        <f t="shared" si="242"/>
        <v>725605.85000000126</v>
      </c>
      <c r="BC398" s="5">
        <f t="shared" si="271"/>
        <v>726</v>
      </c>
      <c r="BR398" s="5">
        <v>1504013</v>
      </c>
      <c r="BS398" s="18">
        <f>[1]monsters!$N398</f>
        <v>396.8</v>
      </c>
      <c r="BT398" s="18">
        <f>[1]monsters!$O398</f>
        <v>39.68</v>
      </c>
      <c r="BU398" s="18">
        <f>[1]monsters!$P398</f>
        <v>1981.94</v>
      </c>
      <c r="BV398" s="18">
        <f>[1]monsters!$Q398</f>
        <v>198.19</v>
      </c>
      <c r="BW398" s="18">
        <f>[1]monsters!$R398</f>
        <v>39.68</v>
      </c>
      <c r="BX398" s="18">
        <f>[1]monsters!$S398</f>
        <v>3.97</v>
      </c>
      <c r="BY398" s="18">
        <f>[1]monsters!$K398</f>
        <v>1.5</v>
      </c>
      <c r="BZ398" s="5">
        <f>[1]monsters!$D398</f>
        <v>6</v>
      </c>
      <c r="CA398" s="5">
        <f t="shared" si="272"/>
        <v>0.1</v>
      </c>
      <c r="CB398" s="5">
        <f t="shared" si="273"/>
        <v>441.70798653198659</v>
      </c>
      <c r="CC398" s="5">
        <f t="shared" si="274"/>
        <v>44.170798653198659</v>
      </c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>
        <v>1</v>
      </c>
      <c r="CR398" s="3" t="b">
        <f t="shared" si="246"/>
        <v>1</v>
      </c>
      <c r="CS398" s="3" t="b">
        <f t="shared" si="247"/>
        <v>1</v>
      </c>
      <c r="CT398" s="3" t="b">
        <f t="shared" si="248"/>
        <v>1</v>
      </c>
      <c r="CU398" s="3" t="b">
        <f t="shared" si="249"/>
        <v>1</v>
      </c>
      <c r="CV398" s="3" t="b">
        <f t="shared" si="250"/>
        <v>1</v>
      </c>
      <c r="CW398" s="3" t="b">
        <f t="shared" si="251"/>
        <v>1</v>
      </c>
      <c r="CX398" s="9" t="str">
        <f t="shared" si="252"/>
        <v>5201112</v>
      </c>
      <c r="CY398" s="9" t="str">
        <f t="shared" si="253"/>
        <v>5201112</v>
      </c>
      <c r="CZ398" s="9" t="str">
        <f t="shared" si="254"/>
        <v>5201112</v>
      </c>
      <c r="DA398" s="9" t="str">
        <f t="shared" si="255"/>
        <v>5400115</v>
      </c>
      <c r="DB398" s="9" t="str">
        <f t="shared" si="256"/>
        <v>5400115</v>
      </c>
      <c r="DC398" s="9" t="str">
        <f t="shared" si="257"/>
        <v>5400115</v>
      </c>
      <c r="DD398" s="9">
        <v>11</v>
      </c>
      <c r="DE398" s="9">
        <v>11</v>
      </c>
      <c r="DF398" s="9">
        <v>11</v>
      </c>
      <c r="DG398" s="9">
        <v>11</v>
      </c>
      <c r="DH398" s="9">
        <v>11</v>
      </c>
      <c r="DI398" s="9">
        <v>11</v>
      </c>
      <c r="DJ398" s="9">
        <v>5</v>
      </c>
      <c r="DK398" s="9">
        <v>5</v>
      </c>
      <c r="DL398" s="9">
        <v>5</v>
      </c>
      <c r="DM398" s="9">
        <v>5</v>
      </c>
      <c r="DN398" s="9">
        <v>5</v>
      </c>
      <c r="DO398" s="9">
        <v>5</v>
      </c>
      <c r="DP398" s="25" t="s">
        <v>114</v>
      </c>
      <c r="DQ398" s="25" t="s">
        <v>114</v>
      </c>
      <c r="DR398" s="25" t="s">
        <v>114</v>
      </c>
      <c r="DS398" s="25" t="s">
        <v>210</v>
      </c>
      <c r="DT398" s="25" t="s">
        <v>210</v>
      </c>
      <c r="DU398" s="25" t="s">
        <v>210</v>
      </c>
      <c r="DV398" s="25">
        <f t="shared" si="258"/>
        <v>1</v>
      </c>
      <c r="DW398" s="25">
        <f t="shared" si="259"/>
        <v>1</v>
      </c>
      <c r="DX398" s="25">
        <f t="shared" si="260"/>
        <v>1</v>
      </c>
      <c r="DY398" s="25">
        <f t="shared" si="261"/>
        <v>2</v>
      </c>
      <c r="DZ398" s="25">
        <f t="shared" si="262"/>
        <v>2</v>
      </c>
      <c r="EA398" s="3">
        <f t="shared" si="263"/>
        <v>2</v>
      </c>
      <c r="EB398" s="29"/>
      <c r="EC398" s="9">
        <v>5601131</v>
      </c>
      <c r="ED398" s="34" t="s">
        <v>198</v>
      </c>
      <c r="EE398" s="8">
        <v>2</v>
      </c>
    </row>
    <row r="399" spans="1:135" ht="13.5" customHeight="1">
      <c r="A399" s="9">
        <v>396</v>
      </c>
      <c r="B399" s="9">
        <v>1</v>
      </c>
      <c r="C399" s="9">
        <v>2001</v>
      </c>
      <c r="D399" s="9">
        <f t="shared" si="240"/>
        <v>8369892</v>
      </c>
      <c r="E399" s="9" t="str">
        <f t="shared" si="275"/>
        <v>5600114,5202112,5302114,5501114,5500113,5501114</v>
      </c>
      <c r="F399" s="9" t="str">
        <f t="shared" si="276"/>
        <v>11,11,11,11,11,11</v>
      </c>
      <c r="G399" s="9" t="str">
        <f t="shared" si="277"/>
        <v>779,842,842,842,842,842</v>
      </c>
      <c r="H399" s="9">
        <v>198</v>
      </c>
      <c r="I399" s="9" t="s">
        <v>278</v>
      </c>
      <c r="J399" s="9" t="s">
        <v>279</v>
      </c>
      <c r="K399" s="9" t="s">
        <v>279</v>
      </c>
      <c r="L399" s="9" t="s">
        <v>279</v>
      </c>
      <c r="M399" s="36" t="s">
        <v>306</v>
      </c>
      <c r="N399" s="40"/>
      <c r="O399" s="3">
        <f t="shared" si="245"/>
        <v>8369892</v>
      </c>
      <c r="P399" s="9">
        <v>6616515.1799999997</v>
      </c>
      <c r="Q399" s="9">
        <v>5600114</v>
      </c>
      <c r="R399" s="9">
        <v>5202112</v>
      </c>
      <c r="S399" s="9">
        <v>5302114</v>
      </c>
      <c r="T399" s="9">
        <v>5501114</v>
      </c>
      <c r="U399" s="9">
        <v>5500113</v>
      </c>
      <c r="V399" s="9">
        <v>5501114</v>
      </c>
      <c r="W399" s="9">
        <v>11</v>
      </c>
      <c r="X399" s="9">
        <v>11</v>
      </c>
      <c r="Y399" s="9">
        <v>11</v>
      </c>
      <c r="Z399" s="9">
        <v>11</v>
      </c>
      <c r="AA399" s="9">
        <v>11</v>
      </c>
      <c r="AB399" s="9">
        <v>11</v>
      </c>
      <c r="AC399" s="9">
        <f t="shared" si="264"/>
        <v>779</v>
      </c>
      <c r="AD399" s="9">
        <f t="shared" si="265"/>
        <v>842</v>
      </c>
      <c r="AE399" s="9">
        <f t="shared" si="266"/>
        <v>842</v>
      </c>
      <c r="AF399" s="9">
        <f t="shared" si="267"/>
        <v>842</v>
      </c>
      <c r="AG399" s="9">
        <f t="shared" si="268"/>
        <v>842</v>
      </c>
      <c r="AH399" s="9">
        <f t="shared" si="269"/>
        <v>842</v>
      </c>
      <c r="AI399" s="7">
        <f t="shared" si="244"/>
        <v>1102752.53</v>
      </c>
      <c r="AJ399" s="7">
        <f t="shared" si="243"/>
        <v>1102752.53</v>
      </c>
      <c r="AK399" s="7">
        <f t="shared" si="243"/>
        <v>1102752.53</v>
      </c>
      <c r="AL399" s="7">
        <f t="shared" si="243"/>
        <v>1102752.53</v>
      </c>
      <c r="AM399" s="7">
        <f t="shared" si="243"/>
        <v>1102752.53</v>
      </c>
      <c r="AN399" s="7">
        <f t="shared" si="243"/>
        <v>1102752.53</v>
      </c>
      <c r="AO399" s="16"/>
      <c r="AP399" s="7"/>
      <c r="AQ399" s="9">
        <v>7</v>
      </c>
      <c r="AR399" s="9">
        <f t="shared" si="270"/>
        <v>1023</v>
      </c>
      <c r="AS399" s="7">
        <f t="shared" si="241"/>
        <v>298</v>
      </c>
      <c r="AT399" s="7"/>
      <c r="AU399" s="16"/>
      <c r="AV399" s="7"/>
      <c r="AW399" s="7"/>
      <c r="AX399" s="7"/>
      <c r="AZ399" s="7"/>
      <c r="BA399" s="9">
        <f t="shared" si="242"/>
        <v>730498.38000000129</v>
      </c>
      <c r="BC399" s="5">
        <f t="shared" si="271"/>
        <v>728</v>
      </c>
      <c r="BR399" s="5">
        <v>1101013</v>
      </c>
      <c r="BS399" s="18">
        <f>[1]monsters!$N399</f>
        <v>256</v>
      </c>
      <c r="BT399" s="18">
        <f>[1]monsters!$O399</f>
        <v>25.6</v>
      </c>
      <c r="BU399" s="18">
        <f>[1]monsters!$P399</f>
        <v>3072</v>
      </c>
      <c r="BV399" s="18">
        <f>[1]monsters!$Q399</f>
        <v>307.2</v>
      </c>
      <c r="BW399" s="18">
        <f>[1]monsters!$R399</f>
        <v>64</v>
      </c>
      <c r="BX399" s="18">
        <f>[1]monsters!$S399</f>
        <v>6.4</v>
      </c>
      <c r="BY399" s="18">
        <f>[1]monsters!$K399</f>
        <v>1.5</v>
      </c>
      <c r="BZ399" s="5">
        <f>[1]monsters!$D399</f>
        <v>2</v>
      </c>
      <c r="CA399" s="5">
        <f t="shared" si="272"/>
        <v>0.1</v>
      </c>
      <c r="CB399" s="5">
        <f t="shared" si="273"/>
        <v>345.35434343434343</v>
      </c>
      <c r="CC399" s="5">
        <f t="shared" si="274"/>
        <v>34.535434343434346</v>
      </c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>
        <v>0</v>
      </c>
      <c r="CR399" s="3" t="b">
        <f t="shared" si="246"/>
        <v>1</v>
      </c>
      <c r="CS399" s="3" t="b">
        <f t="shared" si="247"/>
        <v>1</v>
      </c>
      <c r="CT399" s="3" t="b">
        <f t="shared" si="248"/>
        <v>1</v>
      </c>
      <c r="CU399" s="3" t="b">
        <f t="shared" si="249"/>
        <v>1</v>
      </c>
      <c r="CV399" s="3" t="b">
        <f t="shared" si="250"/>
        <v>1</v>
      </c>
      <c r="CW399" s="3" t="b">
        <f t="shared" si="251"/>
        <v>1</v>
      </c>
      <c r="CX399" s="9" t="str">
        <f t="shared" si="252"/>
        <v>5600114</v>
      </c>
      <c r="CY399" s="9" t="str">
        <f t="shared" si="253"/>
        <v>5202112</v>
      </c>
      <c r="CZ399" s="9" t="str">
        <f t="shared" si="254"/>
        <v>5302114</v>
      </c>
      <c r="DA399" s="9" t="str">
        <f t="shared" si="255"/>
        <v>5501114</v>
      </c>
      <c r="DB399" s="9" t="str">
        <f t="shared" si="256"/>
        <v>5500113</v>
      </c>
      <c r="DC399" s="9" t="str">
        <f t="shared" si="257"/>
        <v>5501114</v>
      </c>
      <c r="DD399" s="9">
        <v>11</v>
      </c>
      <c r="DE399" s="9">
        <v>11</v>
      </c>
      <c r="DF399" s="9">
        <v>11</v>
      </c>
      <c r="DG399" s="9">
        <v>11</v>
      </c>
      <c r="DH399" s="9">
        <v>11</v>
      </c>
      <c r="DI399" s="9">
        <v>11</v>
      </c>
      <c r="DJ399" s="9">
        <v>5</v>
      </c>
      <c r="DK399" s="9">
        <v>5</v>
      </c>
      <c r="DL399" s="9">
        <v>5</v>
      </c>
      <c r="DM399" s="9">
        <v>5</v>
      </c>
      <c r="DN399" s="9">
        <v>5</v>
      </c>
      <c r="DO399" s="9">
        <v>5</v>
      </c>
      <c r="DP399" s="27" t="s">
        <v>219</v>
      </c>
      <c r="DQ399" s="25" t="s">
        <v>200</v>
      </c>
      <c r="DR399" s="27" t="s">
        <v>218</v>
      </c>
      <c r="DS399" s="25" t="s">
        <v>214</v>
      </c>
      <c r="DT399" s="25" t="s">
        <v>207</v>
      </c>
      <c r="DU399" s="25" t="s">
        <v>214</v>
      </c>
      <c r="DV399" s="25">
        <f t="shared" si="258"/>
        <v>1</v>
      </c>
      <c r="DW399" s="25">
        <f t="shared" si="259"/>
        <v>1</v>
      </c>
      <c r="DX399" s="25">
        <f t="shared" si="260"/>
        <v>1</v>
      </c>
      <c r="DY399" s="25">
        <f t="shared" si="261"/>
        <v>2</v>
      </c>
      <c r="DZ399" s="25">
        <f t="shared" si="262"/>
        <v>2</v>
      </c>
      <c r="EA399" s="3">
        <f t="shared" si="263"/>
        <v>2</v>
      </c>
      <c r="EB399" s="29"/>
      <c r="EC399" s="9">
        <v>5200132</v>
      </c>
      <c r="ED399" s="34" t="s">
        <v>199</v>
      </c>
      <c r="EE399" s="8">
        <v>1</v>
      </c>
    </row>
    <row r="400" spans="1:135" ht="13.5" customHeight="1">
      <c r="A400" s="9">
        <v>397</v>
      </c>
      <c r="B400" s="9">
        <v>1</v>
      </c>
      <c r="C400" s="9">
        <v>2001</v>
      </c>
      <c r="D400" s="9">
        <f t="shared" si="240"/>
        <v>8400530</v>
      </c>
      <c r="E400" s="9" t="str">
        <f t="shared" si="275"/>
        <v>5201113,5200113,5301112,5402112,5501115,5400115</v>
      </c>
      <c r="F400" s="9" t="str">
        <f t="shared" si="276"/>
        <v>11,11,11,11,11,11</v>
      </c>
      <c r="G400" s="9" t="str">
        <f t="shared" si="277"/>
        <v>780,844,844,844,844,844</v>
      </c>
      <c r="H400" s="9">
        <v>198</v>
      </c>
      <c r="I400" s="9" t="s">
        <v>278</v>
      </c>
      <c r="J400" s="9" t="s">
        <v>279</v>
      </c>
      <c r="K400" s="9" t="s">
        <v>279</v>
      </c>
      <c r="L400" s="9" t="s">
        <v>279</v>
      </c>
      <c r="M400" s="36" t="s">
        <v>306</v>
      </c>
      <c r="N400" s="40"/>
      <c r="O400" s="3">
        <f t="shared" si="245"/>
        <v>8400530</v>
      </c>
      <c r="P400" s="9">
        <v>6640735.4699999997</v>
      </c>
      <c r="Q400" s="9">
        <v>5201113</v>
      </c>
      <c r="R400" s="9">
        <v>5200113</v>
      </c>
      <c r="S400" s="9">
        <v>5301112</v>
      </c>
      <c r="T400" s="9">
        <v>5402112</v>
      </c>
      <c r="U400" s="9">
        <v>5501115</v>
      </c>
      <c r="V400" s="9">
        <v>5400115</v>
      </c>
      <c r="W400" s="9">
        <v>11</v>
      </c>
      <c r="X400" s="9">
        <v>11</v>
      </c>
      <c r="Y400" s="9">
        <v>11</v>
      </c>
      <c r="Z400" s="9">
        <v>11</v>
      </c>
      <c r="AA400" s="9">
        <v>11</v>
      </c>
      <c r="AB400" s="9">
        <v>11</v>
      </c>
      <c r="AC400" s="9">
        <f t="shared" si="264"/>
        <v>780</v>
      </c>
      <c r="AD400" s="9">
        <f t="shared" si="265"/>
        <v>844</v>
      </c>
      <c r="AE400" s="9">
        <f t="shared" si="266"/>
        <v>844</v>
      </c>
      <c r="AF400" s="9">
        <f t="shared" si="267"/>
        <v>844</v>
      </c>
      <c r="AG400" s="9">
        <f t="shared" si="268"/>
        <v>844</v>
      </c>
      <c r="AH400" s="9">
        <f t="shared" si="269"/>
        <v>844</v>
      </c>
      <c r="AI400" s="7">
        <f t="shared" si="244"/>
        <v>1106789.2449999999</v>
      </c>
      <c r="AJ400" s="7">
        <f t="shared" si="243"/>
        <v>1106789.2449999999</v>
      </c>
      <c r="AK400" s="7">
        <f t="shared" si="243"/>
        <v>1106789.2449999999</v>
      </c>
      <c r="AL400" s="7">
        <f t="shared" si="243"/>
        <v>1106789.2449999999</v>
      </c>
      <c r="AM400" s="7">
        <f t="shared" si="243"/>
        <v>1106789.2449999999</v>
      </c>
      <c r="AN400" s="7">
        <f t="shared" si="243"/>
        <v>1106789.2449999999</v>
      </c>
      <c r="AO400" s="16"/>
      <c r="AP400" s="7"/>
      <c r="AQ400" s="9">
        <v>7</v>
      </c>
      <c r="AR400" s="9">
        <f t="shared" si="270"/>
        <v>1025</v>
      </c>
      <c r="AS400" s="7">
        <f t="shared" si="241"/>
        <v>298</v>
      </c>
      <c r="AT400" s="7"/>
      <c r="AU400" s="16"/>
      <c r="AV400" s="7"/>
      <c r="AW400" s="7"/>
      <c r="AX400" s="7"/>
      <c r="AZ400" s="7"/>
      <c r="BA400" s="9">
        <f t="shared" si="242"/>
        <v>735390.91000000131</v>
      </c>
      <c r="BC400" s="5">
        <f t="shared" si="271"/>
        <v>729</v>
      </c>
      <c r="BR400" s="5">
        <v>1102013</v>
      </c>
      <c r="BS400" s="18">
        <f>[1]monsters!$N400</f>
        <v>245.76</v>
      </c>
      <c r="BT400" s="18">
        <f>[1]monsters!$O400</f>
        <v>24.58</v>
      </c>
      <c r="BU400" s="18">
        <f>[1]monsters!$P400</f>
        <v>3840</v>
      </c>
      <c r="BV400" s="18">
        <f>[1]monsters!$Q400</f>
        <v>384</v>
      </c>
      <c r="BW400" s="18">
        <f>[1]monsters!$R400</f>
        <v>81.92</v>
      </c>
      <c r="BX400" s="18">
        <f>[1]monsters!$S400</f>
        <v>8.19</v>
      </c>
      <c r="BY400" s="18">
        <f>[1]monsters!$K400</f>
        <v>1.8</v>
      </c>
      <c r="BZ400" s="5">
        <f>[1]monsters!$D400</f>
        <v>2</v>
      </c>
      <c r="CA400" s="5">
        <f t="shared" si="272"/>
        <v>0.1</v>
      </c>
      <c r="CB400" s="5">
        <f t="shared" si="273"/>
        <v>361.53612929292927</v>
      </c>
      <c r="CC400" s="5">
        <f t="shared" si="274"/>
        <v>36.153612929292926</v>
      </c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>
        <v>0</v>
      </c>
      <c r="CR400" s="3" t="b">
        <f t="shared" si="246"/>
        <v>1</v>
      </c>
      <c r="CS400" s="3" t="b">
        <f t="shared" si="247"/>
        <v>1</v>
      </c>
      <c r="CT400" s="3" t="b">
        <f t="shared" si="248"/>
        <v>1</v>
      </c>
      <c r="CU400" s="3" t="b">
        <f t="shared" si="249"/>
        <v>1</v>
      </c>
      <c r="CV400" s="3" t="b">
        <f t="shared" si="250"/>
        <v>1</v>
      </c>
      <c r="CW400" s="3" t="b">
        <f t="shared" si="251"/>
        <v>1</v>
      </c>
      <c r="CX400" s="9" t="str">
        <f t="shared" si="252"/>
        <v>5201113</v>
      </c>
      <c r="CY400" s="9" t="str">
        <f t="shared" si="253"/>
        <v>5200113</v>
      </c>
      <c r="CZ400" s="9" t="str">
        <f t="shared" si="254"/>
        <v>5301112</v>
      </c>
      <c r="DA400" s="9" t="str">
        <f t="shared" si="255"/>
        <v>5402112</v>
      </c>
      <c r="DB400" s="9" t="str">
        <f t="shared" si="256"/>
        <v>5501115</v>
      </c>
      <c r="DC400" s="9" t="str">
        <f t="shared" si="257"/>
        <v>5400115</v>
      </c>
      <c r="DD400" s="9">
        <v>11</v>
      </c>
      <c r="DE400" s="9">
        <v>11</v>
      </c>
      <c r="DF400" s="9">
        <v>11</v>
      </c>
      <c r="DG400" s="9">
        <v>11</v>
      </c>
      <c r="DH400" s="9">
        <v>11</v>
      </c>
      <c r="DI400" s="9">
        <v>11</v>
      </c>
      <c r="DJ400" s="9">
        <v>5</v>
      </c>
      <c r="DK400" s="9">
        <v>5</v>
      </c>
      <c r="DL400" s="9">
        <v>5</v>
      </c>
      <c r="DM400" s="9">
        <v>5</v>
      </c>
      <c r="DN400" s="9">
        <v>5</v>
      </c>
      <c r="DO400" s="9">
        <v>5</v>
      </c>
      <c r="DP400" s="26" t="s">
        <v>205</v>
      </c>
      <c r="DQ400" s="26" t="s">
        <v>113</v>
      </c>
      <c r="DR400" s="26" t="s">
        <v>201</v>
      </c>
      <c r="DS400" s="26" t="s">
        <v>203</v>
      </c>
      <c r="DT400" s="26" t="s">
        <v>209</v>
      </c>
      <c r="DU400" s="26" t="s">
        <v>210</v>
      </c>
      <c r="DV400" s="26">
        <f t="shared" si="258"/>
        <v>1</v>
      </c>
      <c r="DW400" s="26">
        <f t="shared" si="259"/>
        <v>1</v>
      </c>
      <c r="DX400" s="26">
        <f t="shared" si="260"/>
        <v>1</v>
      </c>
      <c r="DY400" s="26">
        <f t="shared" si="261"/>
        <v>2</v>
      </c>
      <c r="DZ400" s="26">
        <f t="shared" si="262"/>
        <v>2</v>
      </c>
      <c r="EA400" s="3">
        <f t="shared" si="263"/>
        <v>2</v>
      </c>
      <c r="EB400" s="29"/>
      <c r="EC400" s="9">
        <v>5201132</v>
      </c>
      <c r="ED400" s="34" t="s">
        <v>114</v>
      </c>
      <c r="EE400" s="8">
        <v>1</v>
      </c>
    </row>
    <row r="401" spans="1:135" ht="13.5" customHeight="1">
      <c r="A401" s="9">
        <v>398</v>
      </c>
      <c r="B401" s="9">
        <v>1</v>
      </c>
      <c r="C401" s="9">
        <v>2001</v>
      </c>
      <c r="D401" s="9">
        <f t="shared" ref="D401:D464" si="278">O401</f>
        <v>8431224</v>
      </c>
      <c r="E401" s="9" t="str">
        <f t="shared" si="275"/>
        <v>5302115,5202115,5301112,5500112,5501115,5501115</v>
      </c>
      <c r="F401" s="9" t="str">
        <f t="shared" si="276"/>
        <v>11,11,11,11,11,11</v>
      </c>
      <c r="G401" s="9" t="str">
        <f t="shared" si="277"/>
        <v>782,845,845,845,845,845</v>
      </c>
      <c r="H401" s="9">
        <v>199</v>
      </c>
      <c r="I401" s="9" t="s">
        <v>278</v>
      </c>
      <c r="J401" s="9" t="s">
        <v>279</v>
      </c>
      <c r="K401" s="9" t="s">
        <v>279</v>
      </c>
      <c r="L401" s="9" t="s">
        <v>279</v>
      </c>
      <c r="M401" s="36" t="s">
        <v>306</v>
      </c>
      <c r="N401" s="40"/>
      <c r="O401" s="3">
        <f t="shared" si="245"/>
        <v>8431224</v>
      </c>
      <c r="P401" s="9">
        <v>6664999.54</v>
      </c>
      <c r="Q401" s="9">
        <v>5302115</v>
      </c>
      <c r="R401" s="9">
        <v>5202115</v>
      </c>
      <c r="S401" s="9">
        <v>5301112</v>
      </c>
      <c r="T401" s="9">
        <v>5500112</v>
      </c>
      <c r="U401" s="9">
        <v>5501115</v>
      </c>
      <c r="V401" s="9">
        <v>5501115</v>
      </c>
      <c r="W401" s="9">
        <v>11</v>
      </c>
      <c r="X401" s="9">
        <v>11</v>
      </c>
      <c r="Y401" s="9">
        <v>11</v>
      </c>
      <c r="Z401" s="9">
        <v>11</v>
      </c>
      <c r="AA401" s="9">
        <v>11</v>
      </c>
      <c r="AB401" s="9">
        <v>11</v>
      </c>
      <c r="AC401" s="9">
        <f t="shared" si="264"/>
        <v>782</v>
      </c>
      <c r="AD401" s="9">
        <f t="shared" si="265"/>
        <v>845</v>
      </c>
      <c r="AE401" s="9">
        <f t="shared" si="266"/>
        <v>845</v>
      </c>
      <c r="AF401" s="9">
        <f t="shared" si="267"/>
        <v>845</v>
      </c>
      <c r="AG401" s="9">
        <f t="shared" si="268"/>
        <v>845</v>
      </c>
      <c r="AH401" s="9">
        <f t="shared" si="269"/>
        <v>845</v>
      </c>
      <c r="AI401" s="7">
        <f t="shared" si="244"/>
        <v>1110833.2566666666</v>
      </c>
      <c r="AJ401" s="7">
        <f t="shared" si="243"/>
        <v>1110833.2566666666</v>
      </c>
      <c r="AK401" s="7">
        <f t="shared" si="243"/>
        <v>1110833.2566666666</v>
      </c>
      <c r="AL401" s="7">
        <f t="shared" si="243"/>
        <v>1110833.2566666666</v>
      </c>
      <c r="AM401" s="7">
        <f t="shared" si="243"/>
        <v>1110833.2566666666</v>
      </c>
      <c r="AN401" s="7">
        <f t="shared" si="243"/>
        <v>1110833.2566666666</v>
      </c>
      <c r="AO401" s="16"/>
      <c r="AP401" s="7"/>
      <c r="AQ401" s="9">
        <v>7</v>
      </c>
      <c r="AR401" s="9">
        <f t="shared" si="270"/>
        <v>1027</v>
      </c>
      <c r="AS401" s="7">
        <f t="shared" si="241"/>
        <v>299</v>
      </c>
      <c r="AT401" s="7"/>
      <c r="AU401" s="16"/>
      <c r="AV401" s="7"/>
      <c r="AW401" s="7"/>
      <c r="AX401" s="7"/>
      <c r="AZ401" s="7"/>
      <c r="BA401" s="9">
        <f t="shared" si="242"/>
        <v>740283.44000000134</v>
      </c>
      <c r="BC401" s="5">
        <f t="shared" si="271"/>
        <v>730</v>
      </c>
      <c r="BR401" s="5">
        <v>1206014</v>
      </c>
      <c r="BS401" s="18">
        <f>[1]monsters!$N401</f>
        <v>276.48</v>
      </c>
      <c r="BT401" s="18">
        <f>[1]monsters!$O401</f>
        <v>27.65</v>
      </c>
      <c r="BU401" s="18">
        <f>[1]monsters!$P401</f>
        <v>3413.33</v>
      </c>
      <c r="BV401" s="18">
        <f>[1]monsters!$Q401</f>
        <v>341.33</v>
      </c>
      <c r="BW401" s="18">
        <f>[1]monsters!$R401</f>
        <v>55.3</v>
      </c>
      <c r="BX401" s="18">
        <f>[1]monsters!$S401</f>
        <v>5.53</v>
      </c>
      <c r="BY401" s="18">
        <f>[1]monsters!$K401</f>
        <v>1.8</v>
      </c>
      <c r="BZ401" s="5">
        <f>[1]monsters!$D401</f>
        <v>2</v>
      </c>
      <c r="CA401" s="5">
        <f t="shared" si="272"/>
        <v>0.1</v>
      </c>
      <c r="CB401" s="5">
        <f t="shared" si="273"/>
        <v>376.20053602693611</v>
      </c>
      <c r="CC401" s="5">
        <f t="shared" si="274"/>
        <v>37.620053602693609</v>
      </c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>
        <v>0</v>
      </c>
      <c r="CR401" s="3" t="b">
        <f t="shared" si="246"/>
        <v>1</v>
      </c>
      <c r="CS401" s="3" t="b">
        <f t="shared" si="247"/>
        <v>1</v>
      </c>
      <c r="CT401" s="3" t="b">
        <f t="shared" si="248"/>
        <v>1</v>
      </c>
      <c r="CU401" s="3" t="b">
        <f t="shared" si="249"/>
        <v>1</v>
      </c>
      <c r="CV401" s="3" t="b">
        <f t="shared" si="250"/>
        <v>1</v>
      </c>
      <c r="CW401" s="3" t="b">
        <f t="shared" si="251"/>
        <v>1</v>
      </c>
      <c r="CX401" s="9" t="str">
        <f t="shared" si="252"/>
        <v>5302115</v>
      </c>
      <c r="CY401" s="9" t="str">
        <f t="shared" si="253"/>
        <v>5202115</v>
      </c>
      <c r="CZ401" s="9" t="str">
        <f t="shared" si="254"/>
        <v>5301112</v>
      </c>
      <c r="DA401" s="9" t="str">
        <f t="shared" si="255"/>
        <v>5500112</v>
      </c>
      <c r="DB401" s="9" t="str">
        <f t="shared" si="256"/>
        <v>5501115</v>
      </c>
      <c r="DC401" s="9" t="str">
        <f t="shared" si="257"/>
        <v>5501115</v>
      </c>
      <c r="DD401" s="9">
        <v>11</v>
      </c>
      <c r="DE401" s="9">
        <v>11</v>
      </c>
      <c r="DF401" s="9">
        <v>11</v>
      </c>
      <c r="DG401" s="9">
        <v>11</v>
      </c>
      <c r="DH401" s="9">
        <v>11</v>
      </c>
      <c r="DI401" s="9">
        <v>11</v>
      </c>
      <c r="DJ401" s="9">
        <v>5</v>
      </c>
      <c r="DK401" s="9">
        <v>5</v>
      </c>
      <c r="DL401" s="9">
        <v>5</v>
      </c>
      <c r="DM401" s="9">
        <v>5</v>
      </c>
      <c r="DN401" s="9">
        <v>5</v>
      </c>
      <c r="DO401" s="9">
        <v>5</v>
      </c>
      <c r="DP401" s="25" t="s">
        <v>221</v>
      </c>
      <c r="DQ401" s="25" t="s">
        <v>213</v>
      </c>
      <c r="DR401" s="26" t="s">
        <v>201</v>
      </c>
      <c r="DS401" s="26" t="s">
        <v>109</v>
      </c>
      <c r="DT401" s="25" t="s">
        <v>209</v>
      </c>
      <c r="DU401" s="25" t="s">
        <v>209</v>
      </c>
      <c r="DV401" s="25">
        <f t="shared" si="258"/>
        <v>1</v>
      </c>
      <c r="DW401" s="25">
        <f t="shared" si="259"/>
        <v>1</v>
      </c>
      <c r="DX401" s="25">
        <f t="shared" si="260"/>
        <v>1</v>
      </c>
      <c r="DY401" s="25">
        <f t="shared" si="261"/>
        <v>2</v>
      </c>
      <c r="DZ401" s="25">
        <f t="shared" si="262"/>
        <v>2</v>
      </c>
      <c r="EA401" s="3">
        <f t="shared" si="263"/>
        <v>2</v>
      </c>
      <c r="EB401" s="38"/>
      <c r="EC401" s="9">
        <v>5202132</v>
      </c>
      <c r="ED401" s="34" t="s">
        <v>200</v>
      </c>
      <c r="EE401" s="8">
        <v>1</v>
      </c>
    </row>
    <row r="402" spans="1:135" ht="13.5" customHeight="1">
      <c r="A402" s="9">
        <v>399</v>
      </c>
      <c r="B402" s="9">
        <v>1</v>
      </c>
      <c r="C402" s="9">
        <v>2001</v>
      </c>
      <c r="D402" s="9">
        <f t="shared" si="278"/>
        <v>8461976</v>
      </c>
      <c r="E402" s="9" t="str">
        <f t="shared" si="275"/>
        <v>5202113,5202112,5201114,5501114,5500113,5501114</v>
      </c>
      <c r="F402" s="9" t="str">
        <f t="shared" si="276"/>
        <v>11,11,11,11,11,11</v>
      </c>
      <c r="G402" s="9" t="str">
        <f t="shared" si="277"/>
        <v>783,847,847,847,847,847</v>
      </c>
      <c r="H402" s="9">
        <v>199</v>
      </c>
      <c r="I402" s="9" t="s">
        <v>278</v>
      </c>
      <c r="J402" s="9" t="s">
        <v>279</v>
      </c>
      <c r="K402" s="9" t="s">
        <v>279</v>
      </c>
      <c r="L402" s="9" t="s">
        <v>279</v>
      </c>
      <c r="M402" s="36" t="s">
        <v>306</v>
      </c>
      <c r="N402" s="40"/>
      <c r="O402" s="3">
        <f t="shared" si="245"/>
        <v>8461976</v>
      </c>
      <c r="P402" s="9">
        <v>6689309.3799999999</v>
      </c>
      <c r="Q402" s="9">
        <v>5202113</v>
      </c>
      <c r="R402" s="9">
        <v>5202112</v>
      </c>
      <c r="S402" s="9">
        <v>5201114</v>
      </c>
      <c r="T402" s="9">
        <v>5501114</v>
      </c>
      <c r="U402" s="9">
        <v>5500113</v>
      </c>
      <c r="V402" s="9">
        <v>5501114</v>
      </c>
      <c r="W402" s="9">
        <v>11</v>
      </c>
      <c r="X402" s="9">
        <v>11</v>
      </c>
      <c r="Y402" s="9">
        <v>11</v>
      </c>
      <c r="Z402" s="9">
        <v>11</v>
      </c>
      <c r="AA402" s="9">
        <v>11</v>
      </c>
      <c r="AB402" s="9">
        <v>11</v>
      </c>
      <c r="AC402" s="9">
        <f t="shared" si="264"/>
        <v>783</v>
      </c>
      <c r="AD402" s="9">
        <f t="shared" si="265"/>
        <v>847</v>
      </c>
      <c r="AE402" s="9">
        <f t="shared" si="266"/>
        <v>847</v>
      </c>
      <c r="AF402" s="9">
        <f t="shared" si="267"/>
        <v>847</v>
      </c>
      <c r="AG402" s="9">
        <f t="shared" si="268"/>
        <v>847</v>
      </c>
      <c r="AH402" s="9">
        <f t="shared" si="269"/>
        <v>847</v>
      </c>
      <c r="AI402" s="7">
        <f t="shared" si="244"/>
        <v>1114884.8966666667</v>
      </c>
      <c r="AJ402" s="7">
        <f t="shared" si="243"/>
        <v>1114884.8966666667</v>
      </c>
      <c r="AK402" s="7">
        <f t="shared" si="243"/>
        <v>1114884.8966666667</v>
      </c>
      <c r="AL402" s="7">
        <f t="shared" si="243"/>
        <v>1114884.8966666667</v>
      </c>
      <c r="AM402" s="7">
        <f t="shared" si="243"/>
        <v>1114884.8966666667</v>
      </c>
      <c r="AN402" s="7">
        <f t="shared" si="243"/>
        <v>1114884.8966666667</v>
      </c>
      <c r="AO402" s="16"/>
      <c r="AP402" s="7"/>
      <c r="AQ402" s="9">
        <v>7</v>
      </c>
      <c r="AR402" s="9">
        <f t="shared" si="270"/>
        <v>1029</v>
      </c>
      <c r="AS402" s="7">
        <f t="shared" si="241"/>
        <v>299</v>
      </c>
      <c r="AT402" s="7"/>
      <c r="AU402" s="16"/>
      <c r="AV402" s="7"/>
      <c r="AW402" s="7"/>
      <c r="AX402" s="7"/>
      <c r="AZ402" s="7"/>
      <c r="BA402" s="9">
        <f t="shared" si="242"/>
        <v>745175.97000000137</v>
      </c>
      <c r="BC402" s="5">
        <f t="shared" si="271"/>
        <v>732</v>
      </c>
      <c r="BR402" s="5">
        <v>1406014</v>
      </c>
      <c r="BS402" s="18">
        <f>[1]monsters!$N402</f>
        <v>184.32</v>
      </c>
      <c r="BT402" s="18">
        <f>[1]monsters!$O402</f>
        <v>18.43</v>
      </c>
      <c r="BU402" s="18">
        <f>[1]monsters!$P402</f>
        <v>3413.33</v>
      </c>
      <c r="BV402" s="18">
        <f>[1]monsters!$Q402</f>
        <v>341.33</v>
      </c>
      <c r="BW402" s="18">
        <f>[1]monsters!$R402</f>
        <v>36.86</v>
      </c>
      <c r="BX402" s="18">
        <f>[1]monsters!$S402</f>
        <v>3.69</v>
      </c>
      <c r="BY402" s="18">
        <f>[1]monsters!$K402</f>
        <v>1.2</v>
      </c>
      <c r="BZ402" s="5">
        <f>[1]monsters!$D402</f>
        <v>3</v>
      </c>
      <c r="CA402" s="5">
        <f t="shared" si="272"/>
        <v>0.1</v>
      </c>
      <c r="CB402" s="5">
        <f t="shared" si="273"/>
        <v>289.10933602693603</v>
      </c>
      <c r="CC402" s="5">
        <f t="shared" si="274"/>
        <v>28.910933602693603</v>
      </c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>
        <v>0</v>
      </c>
      <c r="CR402" s="3" t="b">
        <f t="shared" si="246"/>
        <v>1</v>
      </c>
      <c r="CS402" s="3" t="b">
        <f t="shared" si="247"/>
        <v>1</v>
      </c>
      <c r="CT402" s="3" t="b">
        <f t="shared" si="248"/>
        <v>1</v>
      </c>
      <c r="CU402" s="3" t="b">
        <f t="shared" si="249"/>
        <v>1</v>
      </c>
      <c r="CV402" s="3" t="b">
        <f t="shared" si="250"/>
        <v>1</v>
      </c>
      <c r="CW402" s="3" t="b">
        <f t="shared" si="251"/>
        <v>1</v>
      </c>
      <c r="CX402" s="9" t="str">
        <f t="shared" si="252"/>
        <v>5202113</v>
      </c>
      <c r="CY402" s="9" t="str">
        <f t="shared" si="253"/>
        <v>5202112</v>
      </c>
      <c r="CZ402" s="9" t="str">
        <f t="shared" si="254"/>
        <v>5201114</v>
      </c>
      <c r="DA402" s="9" t="str">
        <f t="shared" si="255"/>
        <v>5501114</v>
      </c>
      <c r="DB402" s="9" t="str">
        <f t="shared" si="256"/>
        <v>5500113</v>
      </c>
      <c r="DC402" s="9" t="str">
        <f t="shared" si="257"/>
        <v>5501114</v>
      </c>
      <c r="DD402" s="9">
        <v>11</v>
      </c>
      <c r="DE402" s="9">
        <v>11</v>
      </c>
      <c r="DF402" s="9">
        <v>11</v>
      </c>
      <c r="DG402" s="9">
        <v>11</v>
      </c>
      <c r="DH402" s="9">
        <v>11</v>
      </c>
      <c r="DI402" s="9">
        <v>11</v>
      </c>
      <c r="DJ402" s="9">
        <v>5</v>
      </c>
      <c r="DK402" s="9">
        <v>5</v>
      </c>
      <c r="DL402" s="9">
        <v>5</v>
      </c>
      <c r="DM402" s="9">
        <v>5</v>
      </c>
      <c r="DN402" s="9">
        <v>5</v>
      </c>
      <c r="DO402" s="9">
        <v>5</v>
      </c>
      <c r="DP402" s="25" t="s">
        <v>208</v>
      </c>
      <c r="DQ402" s="25" t="s">
        <v>200</v>
      </c>
      <c r="DR402" s="26" t="s">
        <v>217</v>
      </c>
      <c r="DS402" s="26" t="s">
        <v>214</v>
      </c>
      <c r="DT402" s="26" t="s">
        <v>207</v>
      </c>
      <c r="DU402" s="26" t="s">
        <v>214</v>
      </c>
      <c r="DV402" s="26">
        <f t="shared" si="258"/>
        <v>1</v>
      </c>
      <c r="DW402" s="26">
        <f t="shared" si="259"/>
        <v>1</v>
      </c>
      <c r="DX402" s="26">
        <f t="shared" si="260"/>
        <v>1</v>
      </c>
      <c r="DY402" s="26">
        <f t="shared" si="261"/>
        <v>2</v>
      </c>
      <c r="DZ402" s="26">
        <f t="shared" si="262"/>
        <v>2</v>
      </c>
      <c r="EA402" s="3">
        <f t="shared" si="263"/>
        <v>2</v>
      </c>
      <c r="EB402" s="38"/>
      <c r="EC402" s="9">
        <v>5301132</v>
      </c>
      <c r="ED402" s="34" t="s">
        <v>201</v>
      </c>
      <c r="EE402" s="8">
        <v>1</v>
      </c>
    </row>
    <row r="403" spans="1:135" ht="13.5" customHeight="1">
      <c r="A403" s="9">
        <v>400</v>
      </c>
      <c r="B403" s="9">
        <v>1</v>
      </c>
      <c r="C403" s="9">
        <v>2001</v>
      </c>
      <c r="D403" s="9">
        <f t="shared" si="278"/>
        <v>8492784</v>
      </c>
      <c r="E403" s="9" t="str">
        <f t="shared" si="275"/>
        <v>5202113,5202113,5301113,5601113,5500113,5500113</v>
      </c>
      <c r="F403" s="9" t="str">
        <f t="shared" si="276"/>
        <v>11,11,11,11,11,11</v>
      </c>
      <c r="G403" s="9" t="str">
        <f t="shared" si="277"/>
        <v>785,848,848,848,848,848</v>
      </c>
      <c r="H403" s="9">
        <v>200</v>
      </c>
      <c r="I403" s="9" t="s">
        <v>278</v>
      </c>
      <c r="J403" s="9" t="s">
        <v>279</v>
      </c>
      <c r="K403" s="9" t="s">
        <v>279</v>
      </c>
      <c r="L403" s="9" t="s">
        <v>279</v>
      </c>
      <c r="M403" s="36" t="s">
        <v>306</v>
      </c>
      <c r="O403" s="3">
        <f t="shared" si="245"/>
        <v>8492784</v>
      </c>
      <c r="P403" s="9">
        <v>6713663</v>
      </c>
      <c r="Q403" s="9">
        <v>5202113</v>
      </c>
      <c r="R403" s="9">
        <v>5202113</v>
      </c>
      <c r="S403" s="9">
        <v>5301113</v>
      </c>
      <c r="T403" s="9">
        <v>5601113</v>
      </c>
      <c r="U403" s="9">
        <v>5500113</v>
      </c>
      <c r="V403" s="9">
        <v>5500113</v>
      </c>
      <c r="W403" s="9">
        <v>11</v>
      </c>
      <c r="X403" s="9">
        <v>11</v>
      </c>
      <c r="Y403" s="9">
        <v>11</v>
      </c>
      <c r="Z403" s="9">
        <v>11</v>
      </c>
      <c r="AA403" s="9">
        <v>11</v>
      </c>
      <c r="AB403" s="9">
        <v>11</v>
      </c>
      <c r="AC403" s="9">
        <f t="shared" si="264"/>
        <v>785</v>
      </c>
      <c r="AD403" s="9">
        <f t="shared" si="265"/>
        <v>848</v>
      </c>
      <c r="AE403" s="9">
        <f t="shared" si="266"/>
        <v>848</v>
      </c>
      <c r="AF403" s="9">
        <f t="shared" si="267"/>
        <v>848</v>
      </c>
      <c r="AG403" s="9">
        <f t="shared" si="268"/>
        <v>848</v>
      </c>
      <c r="AH403" s="9">
        <f t="shared" si="269"/>
        <v>848</v>
      </c>
      <c r="AI403" s="7">
        <f t="shared" si="244"/>
        <v>1118943.8333333333</v>
      </c>
      <c r="AJ403" s="7">
        <f t="shared" si="243"/>
        <v>1118943.8333333333</v>
      </c>
      <c r="AK403" s="7">
        <f t="shared" si="243"/>
        <v>1118943.8333333333</v>
      </c>
      <c r="AL403" s="7">
        <f t="shared" si="243"/>
        <v>1118943.8333333333</v>
      </c>
      <c r="AM403" s="7">
        <f t="shared" si="243"/>
        <v>1118943.8333333333</v>
      </c>
      <c r="AN403" s="7">
        <f t="shared" si="243"/>
        <v>1118943.8333333333</v>
      </c>
      <c r="AO403" s="16"/>
      <c r="AP403" s="7"/>
      <c r="AQ403" s="9">
        <v>7</v>
      </c>
      <c r="AR403" s="9">
        <f t="shared" si="270"/>
        <v>1031</v>
      </c>
      <c r="AS403" s="7">
        <f t="shared" si="241"/>
        <v>300</v>
      </c>
      <c r="AT403" s="7"/>
      <c r="AU403" s="16"/>
      <c r="AV403" s="7"/>
      <c r="AW403" s="7"/>
      <c r="AX403" s="7"/>
      <c r="AZ403" s="7"/>
      <c r="BA403" s="9">
        <f t="shared" si="242"/>
        <v>750068.5000000014</v>
      </c>
      <c r="BC403" s="5">
        <f t="shared" si="271"/>
        <v>733</v>
      </c>
      <c r="BR403" s="5">
        <v>1205014</v>
      </c>
      <c r="BS403" s="18">
        <f>[1]monsters!$N403</f>
        <v>327.68</v>
      </c>
      <c r="BT403" s="18">
        <f>[1]monsters!$O403</f>
        <v>32.770000000000003</v>
      </c>
      <c r="BU403" s="18">
        <f>[1]monsters!$P403</f>
        <v>2560</v>
      </c>
      <c r="BV403" s="18">
        <f>[1]monsters!$Q403</f>
        <v>256</v>
      </c>
      <c r="BW403" s="18">
        <f>[1]monsters!$R403</f>
        <v>46.81</v>
      </c>
      <c r="BX403" s="18">
        <f>[1]monsters!$S403</f>
        <v>4.68</v>
      </c>
      <c r="BY403" s="18">
        <f>[1]monsters!$K403</f>
        <v>1.6</v>
      </c>
      <c r="BZ403" s="5">
        <f>[1]monsters!$D403</f>
        <v>4</v>
      </c>
      <c r="CA403" s="5">
        <f t="shared" si="272"/>
        <v>0.1</v>
      </c>
      <c r="CB403" s="5">
        <f t="shared" si="273"/>
        <v>395.8528861952862</v>
      </c>
      <c r="CC403" s="5">
        <f t="shared" si="274"/>
        <v>39.585288619528626</v>
      </c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>
        <v>1</v>
      </c>
      <c r="CR403" s="3" t="b">
        <f t="shared" si="246"/>
        <v>1</v>
      </c>
      <c r="CS403" s="3" t="b">
        <f t="shared" si="247"/>
        <v>1</v>
      </c>
      <c r="CT403" s="3" t="b">
        <f t="shared" si="248"/>
        <v>1</v>
      </c>
      <c r="CU403" s="3" t="b">
        <f t="shared" si="249"/>
        <v>1</v>
      </c>
      <c r="CV403" s="3" t="b">
        <f t="shared" si="250"/>
        <v>1</v>
      </c>
      <c r="CW403" s="3" t="b">
        <f t="shared" si="251"/>
        <v>1</v>
      </c>
      <c r="CX403" s="9" t="str">
        <f t="shared" si="252"/>
        <v>5202113</v>
      </c>
      <c r="CY403" s="9" t="str">
        <f t="shared" si="253"/>
        <v>5202113</v>
      </c>
      <c r="CZ403" s="9" t="str">
        <f t="shared" si="254"/>
        <v>5301113</v>
      </c>
      <c r="DA403" s="9" t="str">
        <f t="shared" si="255"/>
        <v>5601113</v>
      </c>
      <c r="DB403" s="9" t="str">
        <f t="shared" si="256"/>
        <v>5500113</v>
      </c>
      <c r="DC403" s="9" t="str">
        <f t="shared" si="257"/>
        <v>5500113</v>
      </c>
      <c r="DD403" s="9">
        <v>11</v>
      </c>
      <c r="DE403" s="9">
        <v>11</v>
      </c>
      <c r="DF403" s="9">
        <v>11</v>
      </c>
      <c r="DG403" s="9">
        <v>11</v>
      </c>
      <c r="DH403" s="9">
        <v>11</v>
      </c>
      <c r="DI403" s="9">
        <v>11</v>
      </c>
      <c r="DJ403" s="9">
        <v>5</v>
      </c>
      <c r="DK403" s="9">
        <v>5</v>
      </c>
      <c r="DL403" s="9">
        <v>5</v>
      </c>
      <c r="DM403" s="9">
        <v>5</v>
      </c>
      <c r="DN403" s="9">
        <v>5</v>
      </c>
      <c r="DO403" s="9">
        <v>5</v>
      </c>
      <c r="DP403" s="25" t="s">
        <v>208</v>
      </c>
      <c r="DQ403" s="25" t="s">
        <v>208</v>
      </c>
      <c r="DR403" s="25" t="s">
        <v>206</v>
      </c>
      <c r="DS403" s="25" t="s">
        <v>216</v>
      </c>
      <c r="DT403" s="26" t="s">
        <v>207</v>
      </c>
      <c r="DU403" s="26" t="s">
        <v>207</v>
      </c>
      <c r="DV403" s="26">
        <f t="shared" si="258"/>
        <v>1</v>
      </c>
      <c r="DW403" s="26">
        <f t="shared" si="259"/>
        <v>1</v>
      </c>
      <c r="DX403" s="26">
        <f t="shared" si="260"/>
        <v>1</v>
      </c>
      <c r="DY403" s="26">
        <f t="shared" si="261"/>
        <v>2</v>
      </c>
      <c r="DZ403" s="26">
        <f t="shared" si="262"/>
        <v>2</v>
      </c>
      <c r="EA403" s="3">
        <f t="shared" si="263"/>
        <v>2</v>
      </c>
      <c r="EB403" s="38"/>
      <c r="EC403" s="9">
        <v>5401132</v>
      </c>
      <c r="ED403" s="34" t="s">
        <v>202</v>
      </c>
      <c r="EE403" s="8">
        <v>2</v>
      </c>
    </row>
    <row r="404" spans="1:135" ht="13.5" customHeight="1">
      <c r="A404" s="9">
        <v>401</v>
      </c>
      <c r="B404" s="9">
        <v>1</v>
      </c>
      <c r="C404" s="9">
        <v>2001</v>
      </c>
      <c r="D404" s="9">
        <f t="shared" si="278"/>
        <v>8699365</v>
      </c>
      <c r="E404" s="9" t="str">
        <f t="shared" si="275"/>
        <v>5201113,5202111,5200112,5402113,5500112,5402113</v>
      </c>
      <c r="F404" s="9" t="str">
        <f t="shared" si="276"/>
        <v>11,11,11,11,11,11</v>
      </c>
      <c r="G404" s="9" t="str">
        <f t="shared" si="277"/>
        <v>794,859,859,859,859,859</v>
      </c>
      <c r="H404" s="9">
        <v>200</v>
      </c>
      <c r="I404" s="9" t="s">
        <v>278</v>
      </c>
      <c r="J404" s="9" t="s">
        <v>279</v>
      </c>
      <c r="K404" s="9" t="s">
        <v>279</v>
      </c>
      <c r="L404" s="9" t="s">
        <v>279</v>
      </c>
      <c r="M404" s="36" t="s">
        <v>306</v>
      </c>
      <c r="N404" s="40"/>
      <c r="O404" s="3">
        <f t="shared" ref="O404:O467" si="279">ROUND(P404*1.1*1.15,0)</f>
        <v>8699365</v>
      </c>
      <c r="P404" s="9">
        <v>6876968.3700000001</v>
      </c>
      <c r="Q404" s="9">
        <v>5201113</v>
      </c>
      <c r="R404" s="9">
        <v>5202111</v>
      </c>
      <c r="S404" s="9">
        <v>5200112</v>
      </c>
      <c r="T404" s="9">
        <v>5402113</v>
      </c>
      <c r="U404" s="9">
        <v>5500112</v>
      </c>
      <c r="V404" s="9">
        <v>5402113</v>
      </c>
      <c r="W404" s="9">
        <v>11</v>
      </c>
      <c r="X404" s="9">
        <v>11</v>
      </c>
      <c r="Y404" s="9">
        <v>11</v>
      </c>
      <c r="Z404" s="9">
        <v>11</v>
      </c>
      <c r="AA404" s="9">
        <v>11</v>
      </c>
      <c r="AB404" s="9">
        <v>11</v>
      </c>
      <c r="AC404" s="9">
        <f t="shared" si="264"/>
        <v>794</v>
      </c>
      <c r="AD404" s="9">
        <f t="shared" si="265"/>
        <v>859</v>
      </c>
      <c r="AE404" s="9">
        <f t="shared" si="266"/>
        <v>859</v>
      </c>
      <c r="AF404" s="9">
        <f t="shared" si="267"/>
        <v>859</v>
      </c>
      <c r="AG404" s="9">
        <f t="shared" si="268"/>
        <v>859</v>
      </c>
      <c r="AH404" s="9">
        <f t="shared" si="269"/>
        <v>859</v>
      </c>
      <c r="AI404" s="7">
        <f t="shared" si="244"/>
        <v>1146161.395</v>
      </c>
      <c r="AJ404" s="7">
        <f t="shared" si="243"/>
        <v>1146161.395</v>
      </c>
      <c r="AK404" s="7">
        <f t="shared" si="243"/>
        <v>1146161.395</v>
      </c>
      <c r="AL404" s="7">
        <f t="shared" si="243"/>
        <v>1146161.395</v>
      </c>
      <c r="AM404" s="7">
        <f t="shared" si="243"/>
        <v>1146161.395</v>
      </c>
      <c r="AN404" s="7">
        <f t="shared" si="243"/>
        <v>1146161.395</v>
      </c>
      <c r="AO404" s="16"/>
      <c r="AP404" s="7"/>
      <c r="AQ404" s="9">
        <v>7</v>
      </c>
      <c r="AR404" s="9">
        <f t="shared" si="270"/>
        <v>1043</v>
      </c>
      <c r="AS404" s="7">
        <f t="shared" si="241"/>
        <v>300</v>
      </c>
      <c r="AT404" s="7"/>
      <c r="AU404" s="16"/>
      <c r="AV404" s="7"/>
      <c r="AW404" s="7"/>
      <c r="AX404" s="7"/>
      <c r="AZ404" s="7"/>
      <c r="BA404" s="9">
        <f t="shared" si="242"/>
        <v>754961.03000000142</v>
      </c>
      <c r="BC404" s="5">
        <f t="shared" si="271"/>
        <v>742</v>
      </c>
      <c r="BR404" s="5">
        <v>1405014</v>
      </c>
      <c r="BS404" s="18">
        <f>[1]monsters!$N404</f>
        <v>307.2</v>
      </c>
      <c r="BT404" s="18">
        <f>[1]monsters!$O404</f>
        <v>30.72</v>
      </c>
      <c r="BU404" s="18">
        <f>[1]monsters!$P404</f>
        <v>2560</v>
      </c>
      <c r="BV404" s="18">
        <f>[1]monsters!$Q404</f>
        <v>256</v>
      </c>
      <c r="BW404" s="18">
        <f>[1]monsters!$R404</f>
        <v>43.89</v>
      </c>
      <c r="BX404" s="18">
        <f>[1]monsters!$S404</f>
        <v>4.3899999999999997</v>
      </c>
      <c r="BY404" s="18">
        <f>[1]monsters!$K404</f>
        <v>1.5</v>
      </c>
      <c r="BZ404" s="5">
        <f>[1]monsters!$D404</f>
        <v>4</v>
      </c>
      <c r="CA404" s="5">
        <f t="shared" si="272"/>
        <v>0.1</v>
      </c>
      <c r="CB404" s="5">
        <f t="shared" si="273"/>
        <v>376.49928619528623</v>
      </c>
      <c r="CC404" s="5">
        <f t="shared" si="274"/>
        <v>37.649928619528623</v>
      </c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>
        <v>0</v>
      </c>
      <c r="CR404" s="3" t="b">
        <f t="shared" si="246"/>
        <v>1</v>
      </c>
      <c r="CS404" s="3" t="b">
        <f t="shared" si="247"/>
        <v>1</v>
      </c>
      <c r="CT404" s="3" t="b">
        <f t="shared" si="248"/>
        <v>1</v>
      </c>
      <c r="CU404" s="3" t="b">
        <f t="shared" si="249"/>
        <v>1</v>
      </c>
      <c r="CV404" s="3" t="b">
        <f t="shared" si="250"/>
        <v>1</v>
      </c>
      <c r="CW404" s="3" t="b">
        <f t="shared" si="251"/>
        <v>1</v>
      </c>
      <c r="CX404" s="9" t="str">
        <f t="shared" si="252"/>
        <v>5201113</v>
      </c>
      <c r="CY404" s="9" t="str">
        <f t="shared" si="253"/>
        <v>5202111</v>
      </c>
      <c r="CZ404" s="9" t="str">
        <f t="shared" si="254"/>
        <v>5200112</v>
      </c>
      <c r="DA404" s="9" t="str">
        <f t="shared" si="255"/>
        <v>5402113</v>
      </c>
      <c r="DB404" s="9" t="str">
        <f t="shared" si="256"/>
        <v>5500112</v>
      </c>
      <c r="DC404" s="9" t="str">
        <f t="shared" si="257"/>
        <v>5402113</v>
      </c>
      <c r="DD404" s="9">
        <v>11</v>
      </c>
      <c r="DE404" s="9">
        <v>11</v>
      </c>
      <c r="DF404" s="9">
        <v>11</v>
      </c>
      <c r="DG404" s="9">
        <v>11</v>
      </c>
      <c r="DH404" s="9">
        <v>11</v>
      </c>
      <c r="DI404" s="9">
        <v>11</v>
      </c>
      <c r="DJ404" s="9">
        <v>5</v>
      </c>
      <c r="DK404" s="9">
        <v>5</v>
      </c>
      <c r="DL404" s="9">
        <v>5</v>
      </c>
      <c r="DM404" s="9">
        <v>5</v>
      </c>
      <c r="DN404" s="9">
        <v>5</v>
      </c>
      <c r="DO404" s="9">
        <v>5</v>
      </c>
      <c r="DP404" s="25" t="s">
        <v>205</v>
      </c>
      <c r="DQ404" s="25" t="s">
        <v>111</v>
      </c>
      <c r="DR404" s="25" t="s">
        <v>199</v>
      </c>
      <c r="DS404" s="26" t="s">
        <v>118</v>
      </c>
      <c r="DT404" s="26" t="s">
        <v>109</v>
      </c>
      <c r="DU404" s="26" t="s">
        <v>118</v>
      </c>
      <c r="DV404" s="26">
        <f t="shared" si="258"/>
        <v>1</v>
      </c>
      <c r="DW404" s="26">
        <f t="shared" si="259"/>
        <v>1</v>
      </c>
      <c r="DX404" s="26">
        <f t="shared" si="260"/>
        <v>1</v>
      </c>
      <c r="DY404" s="26">
        <f t="shared" si="261"/>
        <v>2</v>
      </c>
      <c r="DZ404" s="26">
        <f t="shared" si="262"/>
        <v>2</v>
      </c>
      <c r="EA404" s="3">
        <f t="shared" si="263"/>
        <v>2</v>
      </c>
      <c r="EB404" s="49"/>
      <c r="EC404" s="9">
        <v>5402132</v>
      </c>
      <c r="ED404" s="34" t="s">
        <v>203</v>
      </c>
      <c r="EE404" s="8">
        <v>2</v>
      </c>
    </row>
    <row r="405" spans="1:135" ht="13.5" customHeight="1">
      <c r="A405" s="9">
        <v>402</v>
      </c>
      <c r="B405" s="9">
        <v>1</v>
      </c>
      <c r="C405" s="9">
        <v>2001</v>
      </c>
      <c r="D405" s="9">
        <f t="shared" si="278"/>
        <v>8907414</v>
      </c>
      <c r="E405" s="9" t="str">
        <f t="shared" si="275"/>
        <v>5302115,5202115,5202115,5502112,5500112,5502113</v>
      </c>
      <c r="F405" s="9" t="str">
        <f t="shared" si="276"/>
        <v>11,11,11,11,11,11</v>
      </c>
      <c r="G405" s="9" t="str">
        <f t="shared" si="277"/>
        <v>804,869,869,869,869,869</v>
      </c>
      <c r="H405" s="9">
        <v>200</v>
      </c>
      <c r="I405" s="9" t="s">
        <v>278</v>
      </c>
      <c r="J405" s="9" t="s">
        <v>279</v>
      </c>
      <c r="K405" s="9" t="s">
        <v>279</v>
      </c>
      <c r="L405" s="9" t="s">
        <v>279</v>
      </c>
      <c r="M405" s="36" t="s">
        <v>306</v>
      </c>
      <c r="N405" s="40"/>
      <c r="O405" s="3">
        <f t="shared" si="279"/>
        <v>8907414</v>
      </c>
      <c r="P405" s="9">
        <v>7041433.9100000001</v>
      </c>
      <c r="Q405" s="9">
        <v>5302115</v>
      </c>
      <c r="R405" s="9">
        <v>5202115</v>
      </c>
      <c r="S405" s="9">
        <v>5202115</v>
      </c>
      <c r="T405" s="9">
        <v>5502112</v>
      </c>
      <c r="U405" s="9">
        <v>5500112</v>
      </c>
      <c r="V405" s="9">
        <v>5502113</v>
      </c>
      <c r="W405" s="9">
        <v>11</v>
      </c>
      <c r="X405" s="9">
        <v>11</v>
      </c>
      <c r="Y405" s="9">
        <v>11</v>
      </c>
      <c r="Z405" s="9">
        <v>11</v>
      </c>
      <c r="AA405" s="9">
        <v>11</v>
      </c>
      <c r="AB405" s="9">
        <v>11</v>
      </c>
      <c r="AC405" s="9">
        <f t="shared" si="264"/>
        <v>804</v>
      </c>
      <c r="AD405" s="9">
        <f t="shared" si="265"/>
        <v>869</v>
      </c>
      <c r="AE405" s="9">
        <f t="shared" si="266"/>
        <v>869</v>
      </c>
      <c r="AF405" s="9">
        <f t="shared" si="267"/>
        <v>869</v>
      </c>
      <c r="AG405" s="9">
        <f t="shared" si="268"/>
        <v>869</v>
      </c>
      <c r="AH405" s="9">
        <f t="shared" si="269"/>
        <v>869</v>
      </c>
      <c r="AI405" s="7">
        <f t="shared" si="244"/>
        <v>1173572.3183333334</v>
      </c>
      <c r="AJ405" s="7">
        <f t="shared" si="243"/>
        <v>1173572.3183333334</v>
      </c>
      <c r="AK405" s="7">
        <f t="shared" si="243"/>
        <v>1173572.3183333334</v>
      </c>
      <c r="AL405" s="7">
        <f t="shared" si="243"/>
        <v>1173572.3183333334</v>
      </c>
      <c r="AM405" s="7">
        <f t="shared" si="243"/>
        <v>1173572.3183333334</v>
      </c>
      <c r="AN405" s="7">
        <f t="shared" si="243"/>
        <v>1173572.3183333334</v>
      </c>
      <c r="AO405" s="16"/>
      <c r="AP405" s="7"/>
      <c r="AQ405" s="9">
        <v>7</v>
      </c>
      <c r="AR405" s="9">
        <f t="shared" si="270"/>
        <v>1056</v>
      </c>
      <c r="AS405" s="7">
        <f t="shared" si="241"/>
        <v>301</v>
      </c>
      <c r="AT405" s="7"/>
      <c r="AU405" s="16"/>
      <c r="AV405" s="7"/>
      <c r="AW405" s="7"/>
      <c r="AX405" s="7"/>
      <c r="AZ405" s="7"/>
      <c r="BA405" s="9">
        <f t="shared" si="242"/>
        <v>759853.56000000145</v>
      </c>
      <c r="BC405" s="5">
        <f t="shared" si="271"/>
        <v>751</v>
      </c>
      <c r="BR405" s="5">
        <v>1203014</v>
      </c>
      <c r="BS405" s="18">
        <f>[1]monsters!$N405</f>
        <v>358.4</v>
      </c>
      <c r="BT405" s="18">
        <f>[1]monsters!$O405</f>
        <v>35.840000000000003</v>
      </c>
      <c r="BU405" s="18">
        <f>[1]monsters!$P405</f>
        <v>2194.29</v>
      </c>
      <c r="BV405" s="18">
        <f>[1]monsters!$Q405</f>
        <v>219.43</v>
      </c>
      <c r="BW405" s="18">
        <f>[1]monsters!$R405</f>
        <v>44.8</v>
      </c>
      <c r="BX405" s="18">
        <f>[1]monsters!$S405</f>
        <v>4.4800000000000004</v>
      </c>
      <c r="BY405" s="18">
        <f>[1]monsters!$K405</f>
        <v>1.5</v>
      </c>
      <c r="BZ405" s="5">
        <f>[1]monsters!$D405</f>
        <v>5</v>
      </c>
      <c r="CA405" s="5">
        <f t="shared" si="272"/>
        <v>0.1</v>
      </c>
      <c r="CB405" s="5">
        <f t="shared" si="273"/>
        <v>412.56981818181816</v>
      </c>
      <c r="CC405" s="5">
        <f t="shared" si="274"/>
        <v>41.256981818181821</v>
      </c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>
        <v>0</v>
      </c>
      <c r="CR405" s="3" t="b">
        <f t="shared" si="246"/>
        <v>1</v>
      </c>
      <c r="CS405" s="3" t="b">
        <f t="shared" si="247"/>
        <v>1</v>
      </c>
      <c r="CT405" s="3" t="b">
        <f t="shared" si="248"/>
        <v>1</v>
      </c>
      <c r="CU405" s="3" t="b">
        <f t="shared" si="249"/>
        <v>1</v>
      </c>
      <c r="CV405" s="3" t="b">
        <f t="shared" si="250"/>
        <v>1</v>
      </c>
      <c r="CW405" s="3" t="b">
        <f t="shared" si="251"/>
        <v>1</v>
      </c>
      <c r="CX405" s="9" t="str">
        <f t="shared" si="252"/>
        <v>5302115</v>
      </c>
      <c r="CY405" s="9" t="str">
        <f t="shared" si="253"/>
        <v>5202115</v>
      </c>
      <c r="CZ405" s="9" t="str">
        <f t="shared" si="254"/>
        <v>5202115</v>
      </c>
      <c r="DA405" s="9" t="str">
        <f t="shared" si="255"/>
        <v>5502112</v>
      </c>
      <c r="DB405" s="9" t="str">
        <f t="shared" si="256"/>
        <v>5500112</v>
      </c>
      <c r="DC405" s="9" t="str">
        <f t="shared" si="257"/>
        <v>5502113</v>
      </c>
      <c r="DD405" s="9">
        <v>11</v>
      </c>
      <c r="DE405" s="9">
        <v>11</v>
      </c>
      <c r="DF405" s="9">
        <v>11</v>
      </c>
      <c r="DG405" s="9">
        <v>11</v>
      </c>
      <c r="DH405" s="9">
        <v>11</v>
      </c>
      <c r="DI405" s="9">
        <v>11</v>
      </c>
      <c r="DJ405" s="9">
        <v>5</v>
      </c>
      <c r="DK405" s="9">
        <v>5</v>
      </c>
      <c r="DL405" s="9">
        <v>5</v>
      </c>
      <c r="DM405" s="9">
        <v>5</v>
      </c>
      <c r="DN405" s="9">
        <v>5</v>
      </c>
      <c r="DO405" s="9">
        <v>5</v>
      </c>
      <c r="DP405" s="25" t="s">
        <v>221</v>
      </c>
      <c r="DQ405" s="25" t="s">
        <v>213</v>
      </c>
      <c r="DR405" s="25" t="s">
        <v>213</v>
      </c>
      <c r="DS405" s="26" t="s">
        <v>204</v>
      </c>
      <c r="DT405" s="26" t="s">
        <v>109</v>
      </c>
      <c r="DU405" s="26" t="s">
        <v>215</v>
      </c>
      <c r="DV405" s="26">
        <f t="shared" si="258"/>
        <v>1</v>
      </c>
      <c r="DW405" s="26">
        <f t="shared" si="259"/>
        <v>1</v>
      </c>
      <c r="DX405" s="26">
        <f t="shared" si="260"/>
        <v>1</v>
      </c>
      <c r="DY405" s="26">
        <f t="shared" si="261"/>
        <v>2</v>
      </c>
      <c r="DZ405" s="26">
        <f t="shared" si="262"/>
        <v>2</v>
      </c>
      <c r="EA405" s="3">
        <f t="shared" si="263"/>
        <v>2</v>
      </c>
      <c r="EB405" s="38"/>
      <c r="EC405" s="9">
        <v>5500132</v>
      </c>
      <c r="ED405" s="34" t="s">
        <v>109</v>
      </c>
      <c r="EE405" s="8">
        <v>2</v>
      </c>
    </row>
    <row r="406" spans="1:135" ht="13.5" customHeight="1">
      <c r="A406" s="9">
        <v>403</v>
      </c>
      <c r="B406" s="9">
        <v>1</v>
      </c>
      <c r="C406" s="9">
        <v>2001</v>
      </c>
      <c r="D406" s="9">
        <f t="shared" si="278"/>
        <v>9116930</v>
      </c>
      <c r="E406" s="9" t="str">
        <f t="shared" si="275"/>
        <v>5200112,5200113,5200112,5401111,5501115,5401112</v>
      </c>
      <c r="F406" s="9" t="str">
        <f t="shared" si="276"/>
        <v>11,11,11,11,11,11</v>
      </c>
      <c r="G406" s="9" t="str">
        <f t="shared" si="277"/>
        <v>813,879,879,879,879,879</v>
      </c>
      <c r="H406" s="9">
        <v>201</v>
      </c>
      <c r="I406" s="9" t="s">
        <v>278</v>
      </c>
      <c r="J406" s="9" t="s">
        <v>279</v>
      </c>
      <c r="K406" s="9" t="s">
        <v>279</v>
      </c>
      <c r="L406" s="9" t="s">
        <v>279</v>
      </c>
      <c r="M406" s="36" t="s">
        <v>306</v>
      </c>
      <c r="N406" s="40"/>
      <c r="O406" s="3">
        <f t="shared" si="279"/>
        <v>9116930</v>
      </c>
      <c r="P406" s="9">
        <v>7207059.6200000001</v>
      </c>
      <c r="Q406" s="9">
        <v>5200112</v>
      </c>
      <c r="R406" s="9">
        <v>5200113</v>
      </c>
      <c r="S406" s="9">
        <v>5200112</v>
      </c>
      <c r="T406" s="9">
        <v>5401111</v>
      </c>
      <c r="U406" s="9">
        <v>5501115</v>
      </c>
      <c r="V406" s="9">
        <v>5401112</v>
      </c>
      <c r="W406" s="9">
        <v>11</v>
      </c>
      <c r="X406" s="9">
        <v>11</v>
      </c>
      <c r="Y406" s="9">
        <v>11</v>
      </c>
      <c r="Z406" s="9">
        <v>11</v>
      </c>
      <c r="AA406" s="9">
        <v>11</v>
      </c>
      <c r="AB406" s="9">
        <v>11</v>
      </c>
      <c r="AC406" s="9">
        <f t="shared" si="264"/>
        <v>813</v>
      </c>
      <c r="AD406" s="9">
        <f t="shared" si="265"/>
        <v>879</v>
      </c>
      <c r="AE406" s="9">
        <f t="shared" si="266"/>
        <v>879</v>
      </c>
      <c r="AF406" s="9">
        <f t="shared" si="267"/>
        <v>879</v>
      </c>
      <c r="AG406" s="9">
        <f t="shared" si="268"/>
        <v>879</v>
      </c>
      <c r="AH406" s="9">
        <f t="shared" si="269"/>
        <v>879</v>
      </c>
      <c r="AI406" s="7">
        <f t="shared" si="244"/>
        <v>1201176.6033333333</v>
      </c>
      <c r="AJ406" s="7">
        <f t="shared" si="243"/>
        <v>1201176.6033333333</v>
      </c>
      <c r="AK406" s="7">
        <f t="shared" si="243"/>
        <v>1201176.6033333333</v>
      </c>
      <c r="AL406" s="7">
        <f t="shared" si="243"/>
        <v>1201176.6033333333</v>
      </c>
      <c r="AM406" s="7">
        <f t="shared" si="243"/>
        <v>1201176.6033333333</v>
      </c>
      <c r="AN406" s="7">
        <f t="shared" si="243"/>
        <v>1201176.6033333333</v>
      </c>
      <c r="AO406" s="16"/>
      <c r="AP406" s="7"/>
      <c r="AQ406" s="9">
        <v>7</v>
      </c>
      <c r="AR406" s="9">
        <f t="shared" si="270"/>
        <v>1068</v>
      </c>
      <c r="AS406" s="7">
        <f t="shared" si="241"/>
        <v>301</v>
      </c>
      <c r="AT406" s="7"/>
      <c r="AU406" s="16"/>
      <c r="AV406" s="7"/>
      <c r="AW406" s="7"/>
      <c r="AX406" s="7"/>
      <c r="AZ406" s="7"/>
      <c r="BA406" s="9">
        <f t="shared" si="242"/>
        <v>764746.09000000148</v>
      </c>
      <c r="BC406" s="5">
        <f t="shared" si="271"/>
        <v>760</v>
      </c>
      <c r="BR406" s="5">
        <v>1403014</v>
      </c>
      <c r="BS406" s="18">
        <f>[1]monsters!$N406</f>
        <v>334.51</v>
      </c>
      <c r="BT406" s="18">
        <f>[1]monsters!$O406</f>
        <v>33.450000000000003</v>
      </c>
      <c r="BU406" s="18">
        <f>[1]monsters!$P406</f>
        <v>2194.29</v>
      </c>
      <c r="BV406" s="18">
        <f>[1]monsters!$Q406</f>
        <v>219.43</v>
      </c>
      <c r="BW406" s="18">
        <f>[1]monsters!$R406</f>
        <v>41.81</v>
      </c>
      <c r="BX406" s="18">
        <f>[1]monsters!$S406</f>
        <v>4.18</v>
      </c>
      <c r="BY406" s="18">
        <f>[1]monsters!$K406</f>
        <v>1.4</v>
      </c>
      <c r="BZ406" s="5">
        <f>[1]monsters!$D406</f>
        <v>5</v>
      </c>
      <c r="CA406" s="5">
        <f t="shared" si="272"/>
        <v>0.1</v>
      </c>
      <c r="CB406" s="5">
        <f t="shared" si="273"/>
        <v>389.99376818181821</v>
      </c>
      <c r="CC406" s="5">
        <f t="shared" si="274"/>
        <v>38.999376818181823</v>
      </c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>
        <v>0</v>
      </c>
      <c r="CR406" s="3" t="b">
        <f t="shared" si="246"/>
        <v>1</v>
      </c>
      <c r="CS406" s="3" t="b">
        <f t="shared" si="247"/>
        <v>1</v>
      </c>
      <c r="CT406" s="3" t="b">
        <f t="shared" si="248"/>
        <v>1</v>
      </c>
      <c r="CU406" s="3" t="b">
        <f t="shared" si="249"/>
        <v>1</v>
      </c>
      <c r="CV406" s="3" t="b">
        <f t="shared" si="250"/>
        <v>1</v>
      </c>
      <c r="CW406" s="3" t="b">
        <f t="shared" si="251"/>
        <v>1</v>
      </c>
      <c r="CX406" s="9" t="str">
        <f t="shared" si="252"/>
        <v>5200112</v>
      </c>
      <c r="CY406" s="9" t="str">
        <f t="shared" si="253"/>
        <v>5200113</v>
      </c>
      <c r="CZ406" s="9" t="str">
        <f t="shared" si="254"/>
        <v>5200112</v>
      </c>
      <c r="DA406" s="9" t="str">
        <f t="shared" si="255"/>
        <v>5401111</v>
      </c>
      <c r="DB406" s="9" t="str">
        <f t="shared" si="256"/>
        <v>5501115</v>
      </c>
      <c r="DC406" s="9" t="str">
        <f t="shared" si="257"/>
        <v>5401112</v>
      </c>
      <c r="DD406" s="9">
        <v>11</v>
      </c>
      <c r="DE406" s="9">
        <v>11</v>
      </c>
      <c r="DF406" s="9">
        <v>11</v>
      </c>
      <c r="DG406" s="9">
        <v>11</v>
      </c>
      <c r="DH406" s="9">
        <v>11</v>
      </c>
      <c r="DI406" s="9">
        <v>11</v>
      </c>
      <c r="DJ406" s="9">
        <v>5</v>
      </c>
      <c r="DK406" s="9">
        <v>5</v>
      </c>
      <c r="DL406" s="9">
        <v>5</v>
      </c>
      <c r="DM406" s="9">
        <v>5</v>
      </c>
      <c r="DN406" s="9">
        <v>5</v>
      </c>
      <c r="DO406" s="9">
        <v>5</v>
      </c>
      <c r="DP406" s="25" t="s">
        <v>199</v>
      </c>
      <c r="DQ406" s="25" t="s">
        <v>113</v>
      </c>
      <c r="DR406" s="25" t="s">
        <v>199</v>
      </c>
      <c r="DS406" s="26" t="s">
        <v>117</v>
      </c>
      <c r="DT406" s="26" t="s">
        <v>209</v>
      </c>
      <c r="DU406" s="26" t="s">
        <v>202</v>
      </c>
      <c r="DV406" s="26">
        <f t="shared" si="258"/>
        <v>1</v>
      </c>
      <c r="DW406" s="26">
        <f t="shared" si="259"/>
        <v>1</v>
      </c>
      <c r="DX406" s="26">
        <f t="shared" si="260"/>
        <v>1</v>
      </c>
      <c r="DY406" s="26">
        <f t="shared" si="261"/>
        <v>2</v>
      </c>
      <c r="DZ406" s="26">
        <f t="shared" si="262"/>
        <v>2</v>
      </c>
      <c r="EA406" s="3">
        <f t="shared" si="263"/>
        <v>2</v>
      </c>
      <c r="EB406" s="38"/>
      <c r="EC406" s="9">
        <v>5502132</v>
      </c>
      <c r="ED406" s="34" t="s">
        <v>204</v>
      </c>
      <c r="EE406" s="8">
        <v>2</v>
      </c>
    </row>
    <row r="407" spans="1:135" ht="13.5" customHeight="1">
      <c r="A407" s="9">
        <v>404</v>
      </c>
      <c r="B407" s="9">
        <v>1</v>
      </c>
      <c r="C407" s="9">
        <v>2001</v>
      </c>
      <c r="D407" s="9">
        <f t="shared" si="278"/>
        <v>9327925</v>
      </c>
      <c r="E407" s="9" t="str">
        <f t="shared" si="275"/>
        <v>5202111,5202112,5301112,5502111,5500111,5502111</v>
      </c>
      <c r="F407" s="9" t="str">
        <f t="shared" si="276"/>
        <v>11,11,11,11,11,11</v>
      </c>
      <c r="G407" s="9" t="str">
        <f t="shared" si="277"/>
        <v>823,889,889,889,889,889</v>
      </c>
      <c r="H407" s="9">
        <v>201</v>
      </c>
      <c r="I407" s="9" t="s">
        <v>278</v>
      </c>
      <c r="J407" s="9" t="s">
        <v>279</v>
      </c>
      <c r="K407" s="9" t="s">
        <v>279</v>
      </c>
      <c r="L407" s="9" t="s">
        <v>279</v>
      </c>
      <c r="M407" s="36" t="s">
        <v>306</v>
      </c>
      <c r="N407" s="40"/>
      <c r="O407" s="3">
        <f t="shared" si="279"/>
        <v>9327925</v>
      </c>
      <c r="P407" s="9">
        <v>7373853.46</v>
      </c>
      <c r="Q407" s="9">
        <v>5202111</v>
      </c>
      <c r="R407" s="9">
        <v>5202112</v>
      </c>
      <c r="S407" s="9">
        <v>5301112</v>
      </c>
      <c r="T407" s="9">
        <v>5502111</v>
      </c>
      <c r="U407" s="9">
        <v>5500111</v>
      </c>
      <c r="V407" s="9">
        <v>5502111</v>
      </c>
      <c r="W407" s="9">
        <v>11</v>
      </c>
      <c r="X407" s="9">
        <v>11</v>
      </c>
      <c r="Y407" s="9">
        <v>11</v>
      </c>
      <c r="Z407" s="9">
        <v>11</v>
      </c>
      <c r="AA407" s="9">
        <v>11</v>
      </c>
      <c r="AB407" s="9">
        <v>11</v>
      </c>
      <c r="AC407" s="9">
        <f t="shared" si="264"/>
        <v>823</v>
      </c>
      <c r="AD407" s="9">
        <f t="shared" si="265"/>
        <v>889</v>
      </c>
      <c r="AE407" s="9">
        <f t="shared" si="266"/>
        <v>889</v>
      </c>
      <c r="AF407" s="9">
        <f t="shared" si="267"/>
        <v>889</v>
      </c>
      <c r="AG407" s="9">
        <f t="shared" si="268"/>
        <v>889</v>
      </c>
      <c r="AH407" s="9">
        <f t="shared" si="269"/>
        <v>889</v>
      </c>
      <c r="AI407" s="7">
        <f t="shared" si="244"/>
        <v>1228975.5766666667</v>
      </c>
      <c r="AJ407" s="7">
        <f t="shared" si="243"/>
        <v>1228975.5766666667</v>
      </c>
      <c r="AK407" s="7">
        <f t="shared" si="243"/>
        <v>1228975.5766666667</v>
      </c>
      <c r="AL407" s="7">
        <f t="shared" si="243"/>
        <v>1228975.5766666667</v>
      </c>
      <c r="AM407" s="7">
        <f t="shared" si="243"/>
        <v>1228975.5766666667</v>
      </c>
      <c r="AN407" s="7">
        <f t="shared" si="243"/>
        <v>1228975.5766666667</v>
      </c>
      <c r="AO407" s="16"/>
      <c r="AP407" s="7"/>
      <c r="AQ407" s="9">
        <v>7</v>
      </c>
      <c r="AR407" s="9">
        <f t="shared" si="270"/>
        <v>1081</v>
      </c>
      <c r="AS407" s="7">
        <f t="shared" si="241"/>
        <v>302</v>
      </c>
      <c r="AT407" s="7"/>
      <c r="AU407" s="16"/>
      <c r="AV407" s="7"/>
      <c r="AW407" s="7"/>
      <c r="AX407" s="7"/>
      <c r="AZ407" s="7"/>
      <c r="BA407" s="9">
        <f t="shared" si="242"/>
        <v>769638.62000000151</v>
      </c>
      <c r="BC407" s="5">
        <f t="shared" si="271"/>
        <v>769</v>
      </c>
      <c r="BR407" s="5">
        <v>1204014</v>
      </c>
      <c r="BS407" s="18">
        <f>[1]monsters!$N407</f>
        <v>396.8</v>
      </c>
      <c r="BT407" s="18">
        <f>[1]monsters!$O407</f>
        <v>39.68</v>
      </c>
      <c r="BU407" s="18">
        <f>[1]monsters!$P407</f>
        <v>1981.94</v>
      </c>
      <c r="BV407" s="18">
        <f>[1]monsters!$Q407</f>
        <v>198.19</v>
      </c>
      <c r="BW407" s="18">
        <f>[1]monsters!$R407</f>
        <v>39.68</v>
      </c>
      <c r="BX407" s="18">
        <f>[1]monsters!$S407</f>
        <v>3.97</v>
      </c>
      <c r="BY407" s="18">
        <f>[1]monsters!$K407</f>
        <v>1.5</v>
      </c>
      <c r="BZ407" s="5">
        <f>[1]monsters!$D407</f>
        <v>6</v>
      </c>
      <c r="CA407" s="5">
        <f t="shared" si="272"/>
        <v>0.1</v>
      </c>
      <c r="CB407" s="5">
        <f t="shared" si="273"/>
        <v>441.70798653198659</v>
      </c>
      <c r="CC407" s="5">
        <f t="shared" si="274"/>
        <v>44.170798653198659</v>
      </c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>
        <v>0</v>
      </c>
      <c r="CR407" s="3" t="b">
        <f t="shared" si="246"/>
        <v>1</v>
      </c>
      <c r="CS407" s="3" t="b">
        <f t="shared" si="247"/>
        <v>1</v>
      </c>
      <c r="CT407" s="3" t="b">
        <f t="shared" si="248"/>
        <v>1</v>
      </c>
      <c r="CU407" s="3" t="b">
        <f t="shared" si="249"/>
        <v>1</v>
      </c>
      <c r="CV407" s="3" t="b">
        <f t="shared" si="250"/>
        <v>1</v>
      </c>
      <c r="CW407" s="3" t="b">
        <f t="shared" si="251"/>
        <v>1</v>
      </c>
      <c r="CX407" s="9" t="str">
        <f t="shared" si="252"/>
        <v>5202111</v>
      </c>
      <c r="CY407" s="9" t="str">
        <f t="shared" si="253"/>
        <v>5202112</v>
      </c>
      <c r="CZ407" s="9" t="str">
        <f t="shared" si="254"/>
        <v>5301112</v>
      </c>
      <c r="DA407" s="9" t="str">
        <f t="shared" si="255"/>
        <v>5502111</v>
      </c>
      <c r="DB407" s="9" t="str">
        <f t="shared" si="256"/>
        <v>5500111</v>
      </c>
      <c r="DC407" s="9" t="str">
        <f t="shared" si="257"/>
        <v>5502111</v>
      </c>
      <c r="DD407" s="9">
        <v>11</v>
      </c>
      <c r="DE407" s="9">
        <v>11</v>
      </c>
      <c r="DF407" s="9">
        <v>11</v>
      </c>
      <c r="DG407" s="9">
        <v>11</v>
      </c>
      <c r="DH407" s="9">
        <v>11</v>
      </c>
      <c r="DI407" s="9">
        <v>11</v>
      </c>
      <c r="DJ407" s="9">
        <v>5</v>
      </c>
      <c r="DK407" s="9">
        <v>5</v>
      </c>
      <c r="DL407" s="9">
        <v>5</v>
      </c>
      <c r="DM407" s="9">
        <v>5</v>
      </c>
      <c r="DN407" s="9">
        <v>5</v>
      </c>
      <c r="DO407" s="9">
        <v>5</v>
      </c>
      <c r="DP407" s="25" t="s">
        <v>111</v>
      </c>
      <c r="DQ407" s="25" t="s">
        <v>200</v>
      </c>
      <c r="DR407" s="25" t="s">
        <v>201</v>
      </c>
      <c r="DS407" s="26" t="s">
        <v>119</v>
      </c>
      <c r="DT407" s="26" t="s">
        <v>197</v>
      </c>
      <c r="DU407" s="26" t="s">
        <v>119</v>
      </c>
      <c r="DV407" s="26">
        <f t="shared" si="258"/>
        <v>1</v>
      </c>
      <c r="DW407" s="26">
        <f t="shared" si="259"/>
        <v>1</v>
      </c>
      <c r="DX407" s="26">
        <f t="shared" si="260"/>
        <v>1</v>
      </c>
      <c r="DY407" s="26">
        <f t="shared" si="261"/>
        <v>2</v>
      </c>
      <c r="DZ407" s="26">
        <f t="shared" si="262"/>
        <v>2</v>
      </c>
      <c r="EA407" s="3">
        <f t="shared" si="263"/>
        <v>2</v>
      </c>
      <c r="EB407" s="38"/>
      <c r="EC407" s="9">
        <v>5601132</v>
      </c>
      <c r="ED407" s="34" t="s">
        <v>124</v>
      </c>
      <c r="EE407" s="8">
        <v>2</v>
      </c>
    </row>
    <row r="408" spans="1:135" ht="13.5" customHeight="1">
      <c r="A408" s="9">
        <v>405</v>
      </c>
      <c r="B408" s="9">
        <v>1</v>
      </c>
      <c r="C408" s="9">
        <v>2001</v>
      </c>
      <c r="D408" s="9">
        <f t="shared" si="278"/>
        <v>9540397</v>
      </c>
      <c r="E408" s="9" t="str">
        <f t="shared" si="275"/>
        <v>5201112,5201112,5201112,5502112,5502112,5502112</v>
      </c>
      <c r="F408" s="9" t="str">
        <f t="shared" si="276"/>
        <v>11,11,11,11,11,11</v>
      </c>
      <c r="G408" s="9" t="str">
        <f t="shared" si="277"/>
        <v>832,900,900,900,900,900</v>
      </c>
      <c r="H408" s="9">
        <v>202</v>
      </c>
      <c r="I408" s="9" t="s">
        <v>278</v>
      </c>
      <c r="J408" s="9" t="s">
        <v>279</v>
      </c>
      <c r="K408" s="9" t="s">
        <v>279</v>
      </c>
      <c r="L408" s="9" t="s">
        <v>279</v>
      </c>
      <c r="M408" s="36" t="s">
        <v>306</v>
      </c>
      <c r="O408" s="3">
        <f t="shared" si="279"/>
        <v>9540397</v>
      </c>
      <c r="P408" s="9">
        <v>7541815.4299999997</v>
      </c>
      <c r="Q408" s="9">
        <v>5201112</v>
      </c>
      <c r="R408" s="9">
        <v>5201112</v>
      </c>
      <c r="S408" s="9">
        <v>5201112</v>
      </c>
      <c r="T408" s="9">
        <v>5502112</v>
      </c>
      <c r="U408" s="9">
        <v>5502112</v>
      </c>
      <c r="V408" s="9">
        <v>5502112</v>
      </c>
      <c r="W408" s="9">
        <v>11</v>
      </c>
      <c r="X408" s="9">
        <v>11</v>
      </c>
      <c r="Y408" s="9">
        <v>11</v>
      </c>
      <c r="Z408" s="9">
        <v>11</v>
      </c>
      <c r="AA408" s="9">
        <v>11</v>
      </c>
      <c r="AB408" s="9">
        <v>11</v>
      </c>
      <c r="AC408" s="9">
        <f t="shared" si="264"/>
        <v>832</v>
      </c>
      <c r="AD408" s="9">
        <f t="shared" si="265"/>
        <v>900</v>
      </c>
      <c r="AE408" s="9">
        <f t="shared" si="266"/>
        <v>900</v>
      </c>
      <c r="AF408" s="9">
        <f t="shared" si="267"/>
        <v>900</v>
      </c>
      <c r="AG408" s="9">
        <f t="shared" si="268"/>
        <v>900</v>
      </c>
      <c r="AH408" s="9">
        <f t="shared" si="269"/>
        <v>900</v>
      </c>
      <c r="AI408" s="7">
        <f t="shared" si="244"/>
        <v>1256969.2383333333</v>
      </c>
      <c r="AJ408" s="7">
        <f t="shared" si="243"/>
        <v>1256969.2383333333</v>
      </c>
      <c r="AK408" s="7">
        <f t="shared" si="243"/>
        <v>1256969.2383333333</v>
      </c>
      <c r="AL408" s="7">
        <f t="shared" ref="AJ408:AN459" si="280">$P408/6</f>
        <v>1256969.2383333333</v>
      </c>
      <c r="AM408" s="7">
        <f t="shared" si="280"/>
        <v>1256969.2383333333</v>
      </c>
      <c r="AN408" s="7">
        <f t="shared" si="280"/>
        <v>1256969.2383333333</v>
      </c>
      <c r="AO408" s="16"/>
      <c r="AP408" s="7"/>
      <c r="AQ408" s="9">
        <v>7</v>
      </c>
      <c r="AR408" s="9">
        <f t="shared" si="270"/>
        <v>1093</v>
      </c>
      <c r="AS408" s="7">
        <f t="shared" si="241"/>
        <v>302</v>
      </c>
      <c r="AT408" s="7"/>
      <c r="AU408" s="16"/>
      <c r="AV408" s="7"/>
      <c r="AW408" s="7"/>
      <c r="AX408" s="7"/>
      <c r="AZ408" s="7"/>
      <c r="BA408" s="9">
        <f t="shared" si="242"/>
        <v>774531.15000000154</v>
      </c>
      <c r="BC408" s="5">
        <f t="shared" si="271"/>
        <v>778</v>
      </c>
      <c r="BR408" s="5">
        <v>1404014</v>
      </c>
      <c r="BS408" s="18">
        <f>[1]monsters!$N408</f>
        <v>256</v>
      </c>
      <c r="BT408" s="18">
        <f>[1]monsters!$O408</f>
        <v>25.6</v>
      </c>
      <c r="BU408" s="18">
        <f>[1]monsters!$P408</f>
        <v>3072</v>
      </c>
      <c r="BV408" s="18">
        <f>[1]monsters!$Q408</f>
        <v>307.2</v>
      </c>
      <c r="BW408" s="18">
        <f>[1]monsters!$R408</f>
        <v>64</v>
      </c>
      <c r="BX408" s="18">
        <f>[1]monsters!$S408</f>
        <v>6.4</v>
      </c>
      <c r="BY408" s="18">
        <f>[1]monsters!$K408</f>
        <v>1.5</v>
      </c>
      <c r="BZ408" s="5">
        <f>[1]monsters!$D408</f>
        <v>2</v>
      </c>
      <c r="CA408" s="5">
        <f t="shared" si="272"/>
        <v>0.1</v>
      </c>
      <c r="CB408" s="5">
        <f t="shared" si="273"/>
        <v>345.35434343434343</v>
      </c>
      <c r="CC408" s="5">
        <f t="shared" si="274"/>
        <v>34.535434343434346</v>
      </c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>
        <v>1</v>
      </c>
      <c r="CR408" s="3" t="b">
        <f t="shared" si="246"/>
        <v>1</v>
      </c>
      <c r="CS408" s="3" t="b">
        <f t="shared" si="247"/>
        <v>1</v>
      </c>
      <c r="CT408" s="3" t="b">
        <f t="shared" si="248"/>
        <v>1</v>
      </c>
      <c r="CU408" s="3" t="b">
        <f t="shared" si="249"/>
        <v>1</v>
      </c>
      <c r="CV408" s="3" t="b">
        <f t="shared" si="250"/>
        <v>1</v>
      </c>
      <c r="CW408" s="3" t="b">
        <f t="shared" si="251"/>
        <v>1</v>
      </c>
      <c r="CX408" s="9" t="str">
        <f t="shared" si="252"/>
        <v>5201112</v>
      </c>
      <c r="CY408" s="9" t="str">
        <f t="shared" si="253"/>
        <v>5201112</v>
      </c>
      <c r="CZ408" s="9" t="str">
        <f t="shared" si="254"/>
        <v>5201112</v>
      </c>
      <c r="DA408" s="9" t="str">
        <f t="shared" si="255"/>
        <v>5502112</v>
      </c>
      <c r="DB408" s="9" t="str">
        <f t="shared" si="256"/>
        <v>5502112</v>
      </c>
      <c r="DC408" s="9" t="str">
        <f t="shared" si="257"/>
        <v>5502112</v>
      </c>
      <c r="DD408" s="9">
        <v>11</v>
      </c>
      <c r="DE408" s="9">
        <v>11</v>
      </c>
      <c r="DF408" s="9">
        <v>11</v>
      </c>
      <c r="DG408" s="9">
        <v>11</v>
      </c>
      <c r="DH408" s="9">
        <v>11</v>
      </c>
      <c r="DI408" s="9">
        <v>11</v>
      </c>
      <c r="DJ408" s="9">
        <v>5</v>
      </c>
      <c r="DK408" s="9">
        <v>5</v>
      </c>
      <c r="DL408" s="9">
        <v>5</v>
      </c>
      <c r="DM408" s="9">
        <v>5</v>
      </c>
      <c r="DN408" s="9">
        <v>5</v>
      </c>
      <c r="DO408" s="9">
        <v>5</v>
      </c>
      <c r="DP408" s="27" t="s">
        <v>114</v>
      </c>
      <c r="DQ408" s="27" t="s">
        <v>114</v>
      </c>
      <c r="DR408" s="27" t="s">
        <v>114</v>
      </c>
      <c r="DS408" s="28" t="s">
        <v>204</v>
      </c>
      <c r="DT408" s="28" t="s">
        <v>204</v>
      </c>
      <c r="DU408" s="28" t="s">
        <v>204</v>
      </c>
      <c r="DV408" s="28">
        <f t="shared" si="258"/>
        <v>1</v>
      </c>
      <c r="DW408" s="28">
        <f t="shared" si="259"/>
        <v>1</v>
      </c>
      <c r="DX408" s="28">
        <f t="shared" si="260"/>
        <v>1</v>
      </c>
      <c r="DY408" s="28">
        <f t="shared" si="261"/>
        <v>2</v>
      </c>
      <c r="DZ408" s="28">
        <f t="shared" si="262"/>
        <v>2</v>
      </c>
      <c r="EA408" s="3">
        <f t="shared" si="263"/>
        <v>2</v>
      </c>
      <c r="EB408" s="49"/>
      <c r="EC408" s="9">
        <v>5200133</v>
      </c>
      <c r="ED408" s="34" t="s">
        <v>113</v>
      </c>
      <c r="EE408" s="8">
        <v>1</v>
      </c>
    </row>
    <row r="409" spans="1:135" ht="13.5" customHeight="1">
      <c r="A409" s="9">
        <v>406</v>
      </c>
      <c r="B409" s="9">
        <v>1</v>
      </c>
      <c r="C409" s="9">
        <v>2001</v>
      </c>
      <c r="D409" s="9">
        <f t="shared" si="278"/>
        <v>9574756</v>
      </c>
      <c r="E409" s="9" t="str">
        <f t="shared" si="275"/>
        <v>5201112,5201112,5200112,5402112,5601112,5500112</v>
      </c>
      <c r="F409" s="9" t="str">
        <f t="shared" si="276"/>
        <v>11,11,11,11,11,11</v>
      </c>
      <c r="G409" s="9" t="str">
        <f t="shared" si="277"/>
        <v>834,901,901,901,901,901</v>
      </c>
      <c r="H409" s="9">
        <v>202</v>
      </c>
      <c r="I409" s="9" t="s">
        <v>278</v>
      </c>
      <c r="J409" s="9" t="s">
        <v>279</v>
      </c>
      <c r="K409" s="9" t="s">
        <v>279</v>
      </c>
      <c r="L409" s="9" t="s">
        <v>279</v>
      </c>
      <c r="M409" s="36" t="s">
        <v>307</v>
      </c>
      <c r="N409" s="40"/>
      <c r="O409" s="3">
        <f t="shared" si="279"/>
        <v>9574756</v>
      </c>
      <c r="P409" s="9">
        <v>7568976.9400000004</v>
      </c>
      <c r="Q409" s="9">
        <v>5201112</v>
      </c>
      <c r="R409" s="9">
        <v>5201112</v>
      </c>
      <c r="S409" s="9">
        <v>5200112</v>
      </c>
      <c r="T409" s="9">
        <v>5402112</v>
      </c>
      <c r="U409" s="9">
        <v>5601112</v>
      </c>
      <c r="V409" s="9">
        <v>5500112</v>
      </c>
      <c r="W409" s="9">
        <v>11</v>
      </c>
      <c r="X409" s="9">
        <v>11</v>
      </c>
      <c r="Y409" s="9">
        <v>11</v>
      </c>
      <c r="Z409" s="9">
        <v>11</v>
      </c>
      <c r="AA409" s="9">
        <v>11</v>
      </c>
      <c r="AB409" s="9">
        <v>11</v>
      </c>
      <c r="AC409" s="9">
        <f t="shared" si="264"/>
        <v>834</v>
      </c>
      <c r="AD409" s="9">
        <f t="shared" si="265"/>
        <v>901</v>
      </c>
      <c r="AE409" s="9">
        <f t="shared" si="266"/>
        <v>901</v>
      </c>
      <c r="AF409" s="9">
        <f t="shared" si="267"/>
        <v>901</v>
      </c>
      <c r="AG409" s="9">
        <f t="shared" si="268"/>
        <v>901</v>
      </c>
      <c r="AH409" s="9">
        <f t="shared" si="269"/>
        <v>901</v>
      </c>
      <c r="AI409" s="7">
        <f t="shared" si="244"/>
        <v>1261496.1566666667</v>
      </c>
      <c r="AJ409" s="7">
        <f t="shared" si="280"/>
        <v>1261496.1566666667</v>
      </c>
      <c r="AK409" s="7">
        <f t="shared" si="280"/>
        <v>1261496.1566666667</v>
      </c>
      <c r="AL409" s="7">
        <f t="shared" si="280"/>
        <v>1261496.1566666667</v>
      </c>
      <c r="AM409" s="7">
        <f t="shared" si="280"/>
        <v>1261496.1566666667</v>
      </c>
      <c r="AN409" s="7">
        <f t="shared" si="280"/>
        <v>1261496.1566666667</v>
      </c>
      <c r="AO409" s="16"/>
      <c r="AP409" s="7"/>
      <c r="AQ409" s="9">
        <v>7</v>
      </c>
      <c r="AR409" s="9">
        <f t="shared" si="270"/>
        <v>1095</v>
      </c>
      <c r="AS409" s="7">
        <f t="shared" si="241"/>
        <v>303</v>
      </c>
      <c r="AT409" s="7"/>
      <c r="AU409" s="16"/>
      <c r="AV409" s="7"/>
      <c r="AW409" s="7"/>
      <c r="AX409" s="7"/>
      <c r="AZ409" s="7"/>
      <c r="BA409" s="9">
        <f t="shared" si="242"/>
        <v>779423.68000000156</v>
      </c>
      <c r="BC409" s="5">
        <f t="shared" si="271"/>
        <v>779</v>
      </c>
      <c r="BR409" s="5">
        <v>1303014</v>
      </c>
      <c r="BS409" s="18">
        <f>[1]monsters!$N409</f>
        <v>245.76</v>
      </c>
      <c r="BT409" s="18">
        <f>[1]monsters!$O409</f>
        <v>24.58</v>
      </c>
      <c r="BU409" s="18">
        <f>[1]monsters!$P409</f>
        <v>3840</v>
      </c>
      <c r="BV409" s="18">
        <f>[1]monsters!$Q409</f>
        <v>384</v>
      </c>
      <c r="BW409" s="18">
        <f>[1]monsters!$R409</f>
        <v>81.92</v>
      </c>
      <c r="BX409" s="18">
        <f>[1]monsters!$S409</f>
        <v>8.19</v>
      </c>
      <c r="BY409" s="18">
        <f>[1]monsters!$K409</f>
        <v>1.8</v>
      </c>
      <c r="BZ409" s="5">
        <f>[1]monsters!$D409</f>
        <v>2</v>
      </c>
      <c r="CA409" s="5">
        <f t="shared" si="272"/>
        <v>0.1</v>
      </c>
      <c r="CB409" s="5">
        <f t="shared" si="273"/>
        <v>361.53612929292927</v>
      </c>
      <c r="CC409" s="5">
        <f t="shared" si="274"/>
        <v>36.153612929292926</v>
      </c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>
        <v>0</v>
      </c>
      <c r="CR409" s="3" t="b">
        <f t="shared" si="246"/>
        <v>1</v>
      </c>
      <c r="CS409" s="3" t="b">
        <f t="shared" si="247"/>
        <v>1</v>
      </c>
      <c r="CT409" s="3" t="b">
        <f t="shared" si="248"/>
        <v>1</v>
      </c>
      <c r="CU409" s="3" t="b">
        <f t="shared" si="249"/>
        <v>1</v>
      </c>
      <c r="CV409" s="3" t="b">
        <f t="shared" si="250"/>
        <v>1</v>
      </c>
      <c r="CW409" s="3" t="b">
        <f t="shared" si="251"/>
        <v>1</v>
      </c>
      <c r="CX409" s="9" t="str">
        <f t="shared" si="252"/>
        <v>5201112</v>
      </c>
      <c r="CY409" s="9" t="str">
        <f t="shared" si="253"/>
        <v>5201112</v>
      </c>
      <c r="CZ409" s="9" t="str">
        <f t="shared" si="254"/>
        <v>5200112</v>
      </c>
      <c r="DA409" s="9" t="str">
        <f t="shared" si="255"/>
        <v>5402112</v>
      </c>
      <c r="DB409" s="9" t="str">
        <f t="shared" si="256"/>
        <v>5601112</v>
      </c>
      <c r="DC409" s="9" t="str">
        <f t="shared" si="257"/>
        <v>5500112</v>
      </c>
      <c r="DD409" s="9">
        <v>11</v>
      </c>
      <c r="DE409" s="9">
        <v>11</v>
      </c>
      <c r="DF409" s="9">
        <v>11</v>
      </c>
      <c r="DG409" s="9">
        <v>11</v>
      </c>
      <c r="DH409" s="9">
        <v>11</v>
      </c>
      <c r="DI409" s="9">
        <v>11</v>
      </c>
      <c r="DJ409" s="9">
        <v>5</v>
      </c>
      <c r="DK409" s="9">
        <v>5</v>
      </c>
      <c r="DL409" s="9">
        <v>5</v>
      </c>
      <c r="DM409" s="9">
        <v>5</v>
      </c>
      <c r="DN409" s="9">
        <v>5</v>
      </c>
      <c r="DO409" s="9">
        <v>5</v>
      </c>
      <c r="DP409" s="25" t="s">
        <v>114</v>
      </c>
      <c r="DQ409" s="25" t="s">
        <v>114</v>
      </c>
      <c r="DR409" s="26" t="s">
        <v>199</v>
      </c>
      <c r="DS409" s="26" t="s">
        <v>203</v>
      </c>
      <c r="DT409" s="25" t="s">
        <v>124</v>
      </c>
      <c r="DU409" s="25" t="s">
        <v>109</v>
      </c>
      <c r="DV409" s="25">
        <f t="shared" si="258"/>
        <v>1</v>
      </c>
      <c r="DW409" s="25">
        <f t="shared" si="259"/>
        <v>1</v>
      </c>
      <c r="DX409" s="25">
        <f t="shared" si="260"/>
        <v>1</v>
      </c>
      <c r="DY409" s="25">
        <f t="shared" si="261"/>
        <v>2</v>
      </c>
      <c r="DZ409" s="25">
        <f t="shared" si="262"/>
        <v>2</v>
      </c>
      <c r="EA409" s="3">
        <f t="shared" si="263"/>
        <v>2</v>
      </c>
      <c r="EB409" s="38"/>
      <c r="EC409" s="9">
        <v>5201133</v>
      </c>
      <c r="ED409" s="34" t="s">
        <v>205</v>
      </c>
      <c r="EE409" s="8">
        <v>1</v>
      </c>
    </row>
    <row r="410" spans="1:135" ht="13.5" customHeight="1">
      <c r="A410" s="9">
        <v>407</v>
      </c>
      <c r="B410" s="9">
        <v>1</v>
      </c>
      <c r="C410" s="9">
        <v>2001</v>
      </c>
      <c r="D410" s="9">
        <f t="shared" si="278"/>
        <v>9609178</v>
      </c>
      <c r="E410" s="9" t="str">
        <f t="shared" si="275"/>
        <v>5200112,5200113,5200112,5502112,5500112,5502113</v>
      </c>
      <c r="F410" s="9" t="str">
        <f t="shared" si="276"/>
        <v>11,11,11,11,11,11</v>
      </c>
      <c r="G410" s="9" t="str">
        <f t="shared" si="277"/>
        <v>835,903,903,903,903,903</v>
      </c>
      <c r="H410" s="9">
        <v>202</v>
      </c>
      <c r="I410" s="9" t="s">
        <v>278</v>
      </c>
      <c r="J410" s="9" t="s">
        <v>279</v>
      </c>
      <c r="K410" s="9" t="s">
        <v>279</v>
      </c>
      <c r="L410" s="9" t="s">
        <v>279</v>
      </c>
      <c r="M410" s="36" t="s">
        <v>307</v>
      </c>
      <c r="N410" s="40"/>
      <c r="O410" s="3">
        <f t="shared" si="279"/>
        <v>9609178</v>
      </c>
      <c r="P410" s="9">
        <v>7596188.2000000002</v>
      </c>
      <c r="Q410" s="9">
        <v>5200112</v>
      </c>
      <c r="R410" s="9">
        <v>5200113</v>
      </c>
      <c r="S410" s="9">
        <v>5200112</v>
      </c>
      <c r="T410" s="9">
        <v>5502112</v>
      </c>
      <c r="U410" s="9">
        <v>5500112</v>
      </c>
      <c r="V410" s="9">
        <v>5502113</v>
      </c>
      <c r="W410" s="9">
        <v>11</v>
      </c>
      <c r="X410" s="9">
        <v>11</v>
      </c>
      <c r="Y410" s="9">
        <v>11</v>
      </c>
      <c r="Z410" s="9">
        <v>11</v>
      </c>
      <c r="AA410" s="9">
        <v>11</v>
      </c>
      <c r="AB410" s="9">
        <v>11</v>
      </c>
      <c r="AC410" s="9">
        <f t="shared" si="264"/>
        <v>835</v>
      </c>
      <c r="AD410" s="9">
        <f t="shared" si="265"/>
        <v>903</v>
      </c>
      <c r="AE410" s="9">
        <f t="shared" si="266"/>
        <v>903</v>
      </c>
      <c r="AF410" s="9">
        <f t="shared" si="267"/>
        <v>903</v>
      </c>
      <c r="AG410" s="9">
        <f t="shared" si="268"/>
        <v>903</v>
      </c>
      <c r="AH410" s="9">
        <f t="shared" si="269"/>
        <v>903</v>
      </c>
      <c r="AI410" s="7">
        <f t="shared" si="244"/>
        <v>1266031.3666666667</v>
      </c>
      <c r="AJ410" s="7">
        <f t="shared" si="280"/>
        <v>1266031.3666666667</v>
      </c>
      <c r="AK410" s="7">
        <f t="shared" si="280"/>
        <v>1266031.3666666667</v>
      </c>
      <c r="AL410" s="7">
        <f t="shared" si="280"/>
        <v>1266031.3666666667</v>
      </c>
      <c r="AM410" s="7">
        <f t="shared" si="280"/>
        <v>1266031.3666666667</v>
      </c>
      <c r="AN410" s="7">
        <f t="shared" si="280"/>
        <v>1266031.3666666667</v>
      </c>
      <c r="AO410" s="16"/>
      <c r="AP410" s="7"/>
      <c r="AQ410" s="9">
        <v>7</v>
      </c>
      <c r="AR410" s="9">
        <f t="shared" si="270"/>
        <v>1097</v>
      </c>
      <c r="AS410" s="7">
        <f t="shared" si="241"/>
        <v>303</v>
      </c>
      <c r="AT410" s="7"/>
      <c r="AU410" s="16"/>
      <c r="AV410" s="7"/>
      <c r="AW410" s="7"/>
      <c r="AX410" s="7"/>
      <c r="AZ410" s="7"/>
      <c r="BA410" s="9">
        <f t="shared" si="242"/>
        <v>784316.21000000159</v>
      </c>
      <c r="BC410" s="5">
        <f t="shared" si="271"/>
        <v>781</v>
      </c>
      <c r="BR410" s="5">
        <v>1304014</v>
      </c>
      <c r="BS410" s="18">
        <f>[1]monsters!$N410</f>
        <v>276.48</v>
      </c>
      <c r="BT410" s="18">
        <f>[1]monsters!$O410</f>
        <v>27.65</v>
      </c>
      <c r="BU410" s="18">
        <f>[1]monsters!$P410</f>
        <v>3413.33</v>
      </c>
      <c r="BV410" s="18">
        <f>[1]monsters!$Q410</f>
        <v>341.33</v>
      </c>
      <c r="BW410" s="18">
        <f>[1]monsters!$R410</f>
        <v>55.3</v>
      </c>
      <c r="BX410" s="18">
        <f>[1]monsters!$S410</f>
        <v>5.53</v>
      </c>
      <c r="BY410" s="18">
        <f>[1]monsters!$K410</f>
        <v>1.8</v>
      </c>
      <c r="BZ410" s="5">
        <f>[1]monsters!$D410</f>
        <v>2</v>
      </c>
      <c r="CA410" s="5">
        <f t="shared" si="272"/>
        <v>0.1</v>
      </c>
      <c r="CB410" s="5">
        <f t="shared" si="273"/>
        <v>376.20053602693611</v>
      </c>
      <c r="CC410" s="5">
        <f t="shared" si="274"/>
        <v>37.620053602693609</v>
      </c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>
        <v>0</v>
      </c>
      <c r="CR410" s="3" t="b">
        <f t="shared" si="246"/>
        <v>1</v>
      </c>
      <c r="CS410" s="3" t="b">
        <f t="shared" si="247"/>
        <v>1</v>
      </c>
      <c r="CT410" s="3" t="b">
        <f t="shared" si="248"/>
        <v>1</v>
      </c>
      <c r="CU410" s="3" t="b">
        <f t="shared" si="249"/>
        <v>1</v>
      </c>
      <c r="CV410" s="3" t="b">
        <f t="shared" si="250"/>
        <v>1</v>
      </c>
      <c r="CW410" s="3" t="b">
        <f t="shared" si="251"/>
        <v>1</v>
      </c>
      <c r="CX410" s="9" t="str">
        <f t="shared" si="252"/>
        <v>5200112</v>
      </c>
      <c r="CY410" s="9" t="str">
        <f t="shared" si="253"/>
        <v>5200113</v>
      </c>
      <c r="CZ410" s="9" t="str">
        <f t="shared" si="254"/>
        <v>5200112</v>
      </c>
      <c r="DA410" s="9" t="str">
        <f t="shared" si="255"/>
        <v>5502112</v>
      </c>
      <c r="DB410" s="9" t="str">
        <f t="shared" si="256"/>
        <v>5500112</v>
      </c>
      <c r="DC410" s="9" t="str">
        <f t="shared" si="257"/>
        <v>5502113</v>
      </c>
      <c r="DD410" s="9">
        <v>11</v>
      </c>
      <c r="DE410" s="9">
        <v>11</v>
      </c>
      <c r="DF410" s="9">
        <v>11</v>
      </c>
      <c r="DG410" s="9">
        <v>11</v>
      </c>
      <c r="DH410" s="9">
        <v>11</v>
      </c>
      <c r="DI410" s="9">
        <v>11</v>
      </c>
      <c r="DJ410" s="9">
        <v>5</v>
      </c>
      <c r="DK410" s="9">
        <v>5</v>
      </c>
      <c r="DL410" s="9">
        <v>5</v>
      </c>
      <c r="DM410" s="9">
        <v>5</v>
      </c>
      <c r="DN410" s="9">
        <v>5</v>
      </c>
      <c r="DO410" s="9">
        <v>5</v>
      </c>
      <c r="DP410" s="25" t="s">
        <v>199</v>
      </c>
      <c r="DQ410" s="25" t="s">
        <v>113</v>
      </c>
      <c r="DR410" s="25" t="s">
        <v>199</v>
      </c>
      <c r="DS410" s="28" t="s">
        <v>204</v>
      </c>
      <c r="DT410" s="28" t="s">
        <v>109</v>
      </c>
      <c r="DU410" s="28" t="s">
        <v>215</v>
      </c>
      <c r="DV410" s="28">
        <f t="shared" si="258"/>
        <v>1</v>
      </c>
      <c r="DW410" s="28">
        <f t="shared" si="259"/>
        <v>1</v>
      </c>
      <c r="DX410" s="28">
        <f t="shared" si="260"/>
        <v>1</v>
      </c>
      <c r="DY410" s="28">
        <f t="shared" si="261"/>
        <v>2</v>
      </c>
      <c r="DZ410" s="28">
        <f t="shared" si="262"/>
        <v>2</v>
      </c>
      <c r="EA410" s="3">
        <f t="shared" si="263"/>
        <v>2</v>
      </c>
      <c r="EB410" s="38"/>
      <c r="EC410" s="9">
        <v>5202133</v>
      </c>
      <c r="ED410" s="34" t="s">
        <v>208</v>
      </c>
      <c r="EE410" s="8">
        <v>1</v>
      </c>
    </row>
    <row r="411" spans="1:135" ht="13.5" customHeight="1">
      <c r="A411" s="9">
        <v>408</v>
      </c>
      <c r="B411" s="9">
        <v>1</v>
      </c>
      <c r="C411" s="9">
        <v>2001</v>
      </c>
      <c r="D411" s="9">
        <f t="shared" si="278"/>
        <v>9643663</v>
      </c>
      <c r="E411" s="9" t="str">
        <f t="shared" si="275"/>
        <v>5202113,5202112,5202113,5401113,5501115,5400115</v>
      </c>
      <c r="F411" s="9" t="str">
        <f t="shared" si="276"/>
        <v>11,11,11,11,11,11</v>
      </c>
      <c r="G411" s="9" t="str">
        <f t="shared" si="277"/>
        <v>837,905,905,905,905,905</v>
      </c>
      <c r="H411" s="9">
        <v>203</v>
      </c>
      <c r="I411" s="9" t="s">
        <v>278</v>
      </c>
      <c r="J411" s="9" t="s">
        <v>279</v>
      </c>
      <c r="K411" s="9" t="s">
        <v>279</v>
      </c>
      <c r="L411" s="9" t="s">
        <v>279</v>
      </c>
      <c r="M411" s="36" t="s">
        <v>307</v>
      </c>
      <c r="N411" s="40"/>
      <c r="O411" s="3">
        <f t="shared" si="279"/>
        <v>9643663</v>
      </c>
      <c r="P411" s="9">
        <v>7623449.21</v>
      </c>
      <c r="Q411" s="9">
        <v>5202113</v>
      </c>
      <c r="R411" s="9">
        <v>5202112</v>
      </c>
      <c r="S411" s="9">
        <v>5202113</v>
      </c>
      <c r="T411" s="9">
        <v>5401113</v>
      </c>
      <c r="U411" s="9">
        <v>5501115</v>
      </c>
      <c r="V411" s="9">
        <v>5400115</v>
      </c>
      <c r="W411" s="9">
        <v>11</v>
      </c>
      <c r="X411" s="9">
        <v>11</v>
      </c>
      <c r="Y411" s="9">
        <v>11</v>
      </c>
      <c r="Z411" s="9">
        <v>11</v>
      </c>
      <c r="AA411" s="9">
        <v>11</v>
      </c>
      <c r="AB411" s="9">
        <v>11</v>
      </c>
      <c r="AC411" s="9">
        <f t="shared" si="264"/>
        <v>837</v>
      </c>
      <c r="AD411" s="9">
        <f t="shared" si="265"/>
        <v>905</v>
      </c>
      <c r="AE411" s="9">
        <f t="shared" si="266"/>
        <v>905</v>
      </c>
      <c r="AF411" s="9">
        <f t="shared" si="267"/>
        <v>905</v>
      </c>
      <c r="AG411" s="9">
        <f t="shared" si="268"/>
        <v>905</v>
      </c>
      <c r="AH411" s="9">
        <f t="shared" si="269"/>
        <v>905</v>
      </c>
      <c r="AI411" s="7">
        <f t="shared" si="244"/>
        <v>1270574.8683333334</v>
      </c>
      <c r="AJ411" s="7">
        <f t="shared" si="280"/>
        <v>1270574.8683333334</v>
      </c>
      <c r="AK411" s="7">
        <f t="shared" si="280"/>
        <v>1270574.8683333334</v>
      </c>
      <c r="AL411" s="7">
        <f t="shared" si="280"/>
        <v>1270574.8683333334</v>
      </c>
      <c r="AM411" s="7">
        <f t="shared" si="280"/>
        <v>1270574.8683333334</v>
      </c>
      <c r="AN411" s="7">
        <f t="shared" si="280"/>
        <v>1270574.8683333334</v>
      </c>
      <c r="AO411" s="16"/>
      <c r="AP411" s="7"/>
      <c r="AQ411" s="9">
        <v>7</v>
      </c>
      <c r="AR411" s="9">
        <f t="shared" si="270"/>
        <v>1099</v>
      </c>
      <c r="AS411" s="7">
        <f t="shared" ref="AS411:AS474" si="281">FLOOR((A411-150)/2,1)+175</f>
        <v>304</v>
      </c>
      <c r="AT411" s="7"/>
      <c r="AU411" s="16"/>
      <c r="AV411" s="7"/>
      <c r="AW411" s="7"/>
      <c r="AX411" s="7"/>
      <c r="AZ411" s="7"/>
      <c r="BA411" s="9">
        <f t="shared" si="242"/>
        <v>789208.74000000162</v>
      </c>
      <c r="BC411" s="5">
        <f t="shared" si="271"/>
        <v>782</v>
      </c>
      <c r="BR411" s="5">
        <v>1503014</v>
      </c>
      <c r="BS411" s="18">
        <f>[1]monsters!$N411</f>
        <v>184.32</v>
      </c>
      <c r="BT411" s="18">
        <f>[1]monsters!$O411</f>
        <v>18.43</v>
      </c>
      <c r="BU411" s="18">
        <f>[1]monsters!$P411</f>
        <v>3413.33</v>
      </c>
      <c r="BV411" s="18">
        <f>[1]monsters!$Q411</f>
        <v>341.33</v>
      </c>
      <c r="BW411" s="18">
        <f>[1]monsters!$R411</f>
        <v>36.86</v>
      </c>
      <c r="BX411" s="18">
        <f>[1]monsters!$S411</f>
        <v>3.69</v>
      </c>
      <c r="BY411" s="18">
        <f>[1]monsters!$K411</f>
        <v>1.2</v>
      </c>
      <c r="BZ411" s="5">
        <f>[1]monsters!$D411</f>
        <v>3</v>
      </c>
      <c r="CA411" s="5">
        <f t="shared" si="272"/>
        <v>0.1</v>
      </c>
      <c r="CB411" s="5">
        <f t="shared" si="273"/>
        <v>289.10933602693603</v>
      </c>
      <c r="CC411" s="5">
        <f t="shared" si="274"/>
        <v>28.910933602693603</v>
      </c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>
        <v>0</v>
      </c>
      <c r="CR411" s="3" t="b">
        <f t="shared" si="246"/>
        <v>1</v>
      </c>
      <c r="CS411" s="3" t="b">
        <f t="shared" si="247"/>
        <v>1</v>
      </c>
      <c r="CT411" s="3" t="b">
        <f t="shared" si="248"/>
        <v>1</v>
      </c>
      <c r="CU411" s="3" t="b">
        <f t="shared" si="249"/>
        <v>1</v>
      </c>
      <c r="CV411" s="3" t="b">
        <f t="shared" si="250"/>
        <v>1</v>
      </c>
      <c r="CW411" s="3" t="b">
        <f t="shared" si="251"/>
        <v>1</v>
      </c>
      <c r="CX411" s="9" t="str">
        <f t="shared" si="252"/>
        <v>5202113</v>
      </c>
      <c r="CY411" s="9" t="str">
        <f t="shared" si="253"/>
        <v>5202112</v>
      </c>
      <c r="CZ411" s="9" t="str">
        <f t="shared" si="254"/>
        <v>5202113</v>
      </c>
      <c r="DA411" s="9" t="str">
        <f t="shared" si="255"/>
        <v>5401113</v>
      </c>
      <c r="DB411" s="9" t="str">
        <f t="shared" si="256"/>
        <v>5501115</v>
      </c>
      <c r="DC411" s="9" t="str">
        <f t="shared" si="257"/>
        <v>5400115</v>
      </c>
      <c r="DD411" s="9">
        <v>11</v>
      </c>
      <c r="DE411" s="9">
        <v>11</v>
      </c>
      <c r="DF411" s="9">
        <v>11</v>
      </c>
      <c r="DG411" s="9">
        <v>11</v>
      </c>
      <c r="DH411" s="9">
        <v>11</v>
      </c>
      <c r="DI411" s="9">
        <v>11</v>
      </c>
      <c r="DJ411" s="9">
        <v>5</v>
      </c>
      <c r="DK411" s="9">
        <v>5</v>
      </c>
      <c r="DL411" s="9">
        <v>5</v>
      </c>
      <c r="DM411" s="9">
        <v>5</v>
      </c>
      <c r="DN411" s="9">
        <v>5</v>
      </c>
      <c r="DO411" s="9">
        <v>5</v>
      </c>
      <c r="DP411" s="25" t="s">
        <v>208</v>
      </c>
      <c r="DQ411" s="25" t="s">
        <v>200</v>
      </c>
      <c r="DR411" s="26" t="s">
        <v>208</v>
      </c>
      <c r="DS411" s="26" t="s">
        <v>211</v>
      </c>
      <c r="DT411" s="25" t="s">
        <v>209</v>
      </c>
      <c r="DU411" s="25" t="s">
        <v>210</v>
      </c>
      <c r="DV411" s="25">
        <f t="shared" si="258"/>
        <v>1</v>
      </c>
      <c r="DW411" s="25">
        <f t="shared" si="259"/>
        <v>1</v>
      </c>
      <c r="DX411" s="25">
        <f t="shared" si="260"/>
        <v>1</v>
      </c>
      <c r="DY411" s="25">
        <f t="shared" si="261"/>
        <v>2</v>
      </c>
      <c r="DZ411" s="25">
        <f t="shared" si="262"/>
        <v>2</v>
      </c>
      <c r="EA411" s="3">
        <f t="shared" si="263"/>
        <v>2</v>
      </c>
      <c r="EB411" s="49"/>
      <c r="EC411" s="9">
        <v>5301133</v>
      </c>
      <c r="ED411" s="34" t="s">
        <v>206</v>
      </c>
      <c r="EE411" s="8">
        <v>1</v>
      </c>
    </row>
    <row r="412" spans="1:135" ht="13.5" customHeight="1">
      <c r="A412" s="9">
        <v>409</v>
      </c>
      <c r="B412" s="9">
        <v>1</v>
      </c>
      <c r="C412" s="9">
        <v>2001</v>
      </c>
      <c r="D412" s="9">
        <f t="shared" si="278"/>
        <v>9678209</v>
      </c>
      <c r="E412" s="9" t="str">
        <f t="shared" si="275"/>
        <v>5201111,5201112,5201114,5501114,5500113,5602114</v>
      </c>
      <c r="F412" s="9" t="str">
        <f t="shared" si="276"/>
        <v>11,11,11,11,11,11</v>
      </c>
      <c r="G412" s="9" t="str">
        <f t="shared" si="277"/>
        <v>838,906,906,906,906,906</v>
      </c>
      <c r="H412" s="9">
        <v>203</v>
      </c>
      <c r="I412" s="9" t="s">
        <v>278</v>
      </c>
      <c r="J412" s="9" t="s">
        <v>279</v>
      </c>
      <c r="K412" s="9" t="s">
        <v>279</v>
      </c>
      <c r="L412" s="9" t="s">
        <v>279</v>
      </c>
      <c r="M412" s="36" t="s">
        <v>307</v>
      </c>
      <c r="N412" s="40"/>
      <c r="O412" s="3">
        <f t="shared" si="279"/>
        <v>9678209</v>
      </c>
      <c r="P412" s="9">
        <v>7650757.9800000004</v>
      </c>
      <c r="Q412" s="9">
        <v>5201111</v>
      </c>
      <c r="R412" s="9">
        <v>5201112</v>
      </c>
      <c r="S412" s="9">
        <v>5201114</v>
      </c>
      <c r="T412" s="9">
        <v>5501114</v>
      </c>
      <c r="U412" s="9">
        <v>5500113</v>
      </c>
      <c r="V412" s="9">
        <v>5602114</v>
      </c>
      <c r="W412" s="9">
        <v>11</v>
      </c>
      <c r="X412" s="9">
        <v>11</v>
      </c>
      <c r="Y412" s="9">
        <v>11</v>
      </c>
      <c r="Z412" s="9">
        <v>11</v>
      </c>
      <c r="AA412" s="9">
        <v>11</v>
      </c>
      <c r="AB412" s="9">
        <v>11</v>
      </c>
      <c r="AC412" s="9">
        <f t="shared" si="264"/>
        <v>838</v>
      </c>
      <c r="AD412" s="9">
        <f t="shared" si="265"/>
        <v>906</v>
      </c>
      <c r="AE412" s="9">
        <f t="shared" si="266"/>
        <v>906</v>
      </c>
      <c r="AF412" s="9">
        <f t="shared" si="267"/>
        <v>906</v>
      </c>
      <c r="AG412" s="9">
        <f t="shared" si="268"/>
        <v>906</v>
      </c>
      <c r="AH412" s="9">
        <f t="shared" si="269"/>
        <v>906</v>
      </c>
      <c r="AI412" s="7">
        <f t="shared" si="244"/>
        <v>1275126.33</v>
      </c>
      <c r="AJ412" s="7">
        <f t="shared" si="280"/>
        <v>1275126.33</v>
      </c>
      <c r="AK412" s="7">
        <f t="shared" si="280"/>
        <v>1275126.33</v>
      </c>
      <c r="AL412" s="7">
        <f t="shared" si="280"/>
        <v>1275126.33</v>
      </c>
      <c r="AM412" s="7">
        <f t="shared" si="280"/>
        <v>1275126.33</v>
      </c>
      <c r="AN412" s="7">
        <f t="shared" si="280"/>
        <v>1275126.33</v>
      </c>
      <c r="AO412" s="16"/>
      <c r="AP412" s="7"/>
      <c r="AQ412" s="9">
        <v>7</v>
      </c>
      <c r="AR412" s="9">
        <f t="shared" si="270"/>
        <v>1101</v>
      </c>
      <c r="AS412" s="7">
        <f t="shared" si="281"/>
        <v>304</v>
      </c>
      <c r="AT412" s="7"/>
      <c r="AU412" s="16"/>
      <c r="AV412" s="7"/>
      <c r="AW412" s="7"/>
      <c r="AX412" s="7"/>
      <c r="AZ412" s="7"/>
      <c r="BA412" s="9">
        <f t="shared" si="242"/>
        <v>794101.27000000165</v>
      </c>
      <c r="BC412" s="5">
        <f t="shared" si="271"/>
        <v>783</v>
      </c>
      <c r="BR412" s="5">
        <v>1504014</v>
      </c>
      <c r="BS412" s="18">
        <f>[1]monsters!$N412</f>
        <v>327.68</v>
      </c>
      <c r="BT412" s="18">
        <f>[1]monsters!$O412</f>
        <v>32.770000000000003</v>
      </c>
      <c r="BU412" s="18">
        <f>[1]monsters!$P412</f>
        <v>2560</v>
      </c>
      <c r="BV412" s="18">
        <f>[1]monsters!$Q412</f>
        <v>256</v>
      </c>
      <c r="BW412" s="18">
        <f>[1]monsters!$R412</f>
        <v>46.81</v>
      </c>
      <c r="BX412" s="18">
        <f>[1]monsters!$S412</f>
        <v>4.68</v>
      </c>
      <c r="BY412" s="18">
        <f>[1]monsters!$K412</f>
        <v>1.6</v>
      </c>
      <c r="BZ412" s="5">
        <f>[1]monsters!$D412</f>
        <v>4</v>
      </c>
      <c r="CA412" s="5">
        <f t="shared" si="272"/>
        <v>0.1</v>
      </c>
      <c r="CB412" s="5">
        <f t="shared" si="273"/>
        <v>395.8528861952862</v>
      </c>
      <c r="CC412" s="5">
        <f t="shared" si="274"/>
        <v>39.585288619528626</v>
      </c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>
        <v>0</v>
      </c>
      <c r="CR412" s="3" t="b">
        <f t="shared" si="246"/>
        <v>1</v>
      </c>
      <c r="CS412" s="3" t="b">
        <f t="shared" si="247"/>
        <v>1</v>
      </c>
      <c r="CT412" s="3" t="b">
        <f t="shared" si="248"/>
        <v>1</v>
      </c>
      <c r="CU412" s="3" t="b">
        <f t="shared" si="249"/>
        <v>1</v>
      </c>
      <c r="CV412" s="3" t="b">
        <f t="shared" si="250"/>
        <v>1</v>
      </c>
      <c r="CW412" s="3" t="b">
        <f t="shared" si="251"/>
        <v>1</v>
      </c>
      <c r="CX412" s="9" t="str">
        <f t="shared" si="252"/>
        <v>5201111</v>
      </c>
      <c r="CY412" s="9" t="str">
        <f t="shared" si="253"/>
        <v>5201112</v>
      </c>
      <c r="CZ412" s="9" t="str">
        <f t="shared" si="254"/>
        <v>5201114</v>
      </c>
      <c r="DA412" s="9" t="str">
        <f t="shared" si="255"/>
        <v>5501114</v>
      </c>
      <c r="DB412" s="9" t="str">
        <f t="shared" si="256"/>
        <v>5500113</v>
      </c>
      <c r="DC412" s="9" t="str">
        <f t="shared" si="257"/>
        <v>5602114</v>
      </c>
      <c r="DD412" s="9">
        <v>11</v>
      </c>
      <c r="DE412" s="9">
        <v>11</v>
      </c>
      <c r="DF412" s="9">
        <v>11</v>
      </c>
      <c r="DG412" s="9">
        <v>11</v>
      </c>
      <c r="DH412" s="9">
        <v>11</v>
      </c>
      <c r="DI412" s="9">
        <v>11</v>
      </c>
      <c r="DJ412" s="9">
        <v>5</v>
      </c>
      <c r="DK412" s="9">
        <v>5</v>
      </c>
      <c r="DL412" s="9">
        <v>5</v>
      </c>
      <c r="DM412" s="9">
        <v>5</v>
      </c>
      <c r="DN412" s="9">
        <v>5</v>
      </c>
      <c r="DO412" s="9">
        <v>5</v>
      </c>
      <c r="DP412" s="25" t="s">
        <v>195</v>
      </c>
      <c r="DQ412" s="25" t="s">
        <v>114</v>
      </c>
      <c r="DR412" s="26" t="s">
        <v>217</v>
      </c>
      <c r="DS412" s="26" t="s">
        <v>214</v>
      </c>
      <c r="DT412" s="26" t="s">
        <v>207</v>
      </c>
      <c r="DU412" s="26" t="s">
        <v>220</v>
      </c>
      <c r="DV412" s="26">
        <f t="shared" si="258"/>
        <v>1</v>
      </c>
      <c r="DW412" s="26">
        <f t="shared" si="259"/>
        <v>1</v>
      </c>
      <c r="DX412" s="26">
        <f t="shared" si="260"/>
        <v>1</v>
      </c>
      <c r="DY412" s="26">
        <f t="shared" si="261"/>
        <v>2</v>
      </c>
      <c r="DZ412" s="26">
        <f t="shared" si="262"/>
        <v>2</v>
      </c>
      <c r="EA412" s="3">
        <f t="shared" si="263"/>
        <v>2</v>
      </c>
      <c r="EB412" s="38"/>
      <c r="EC412" s="9">
        <v>5401133</v>
      </c>
      <c r="ED412" s="34" t="s">
        <v>211</v>
      </c>
      <c r="EE412" s="8">
        <v>2</v>
      </c>
    </row>
    <row r="413" spans="1:135" ht="13.5" customHeight="1">
      <c r="A413" s="9">
        <v>410</v>
      </c>
      <c r="B413" s="9">
        <v>1</v>
      </c>
      <c r="C413" s="9">
        <v>2001</v>
      </c>
      <c r="D413" s="9">
        <f t="shared" si="278"/>
        <v>9712817</v>
      </c>
      <c r="E413" s="9" t="str">
        <f t="shared" si="275"/>
        <v>5200112,5301111,5202113,5402111,5400115,5500111</v>
      </c>
      <c r="F413" s="9" t="str">
        <f t="shared" si="276"/>
        <v>11,11,11,11,11,11</v>
      </c>
      <c r="G413" s="9" t="str">
        <f t="shared" si="277"/>
        <v>840,908,908,908,908,908</v>
      </c>
      <c r="H413" s="9">
        <v>204</v>
      </c>
      <c r="I413" s="9" t="s">
        <v>278</v>
      </c>
      <c r="J413" s="9" t="s">
        <v>279</v>
      </c>
      <c r="K413" s="9" t="s">
        <v>279</v>
      </c>
      <c r="L413" s="9" t="s">
        <v>279</v>
      </c>
      <c r="M413" s="36" t="s">
        <v>307</v>
      </c>
      <c r="O413" s="3">
        <f t="shared" si="279"/>
        <v>9712817</v>
      </c>
      <c r="P413" s="9">
        <v>7678116.5</v>
      </c>
      <c r="Q413" s="9">
        <v>5200112</v>
      </c>
      <c r="R413" s="9">
        <v>5301111</v>
      </c>
      <c r="S413" s="9">
        <v>5202113</v>
      </c>
      <c r="T413" s="9">
        <v>5402111</v>
      </c>
      <c r="U413" s="9">
        <v>5400115</v>
      </c>
      <c r="V413" s="9">
        <v>5500111</v>
      </c>
      <c r="W413" s="9">
        <v>11</v>
      </c>
      <c r="X413" s="9">
        <v>11</v>
      </c>
      <c r="Y413" s="9">
        <v>11</v>
      </c>
      <c r="Z413" s="9">
        <v>11</v>
      </c>
      <c r="AA413" s="9">
        <v>11</v>
      </c>
      <c r="AB413" s="9">
        <v>11</v>
      </c>
      <c r="AC413" s="9">
        <f t="shared" si="264"/>
        <v>840</v>
      </c>
      <c r="AD413" s="9">
        <f t="shared" si="265"/>
        <v>908</v>
      </c>
      <c r="AE413" s="9">
        <f t="shared" si="266"/>
        <v>908</v>
      </c>
      <c r="AF413" s="9">
        <f t="shared" si="267"/>
        <v>908</v>
      </c>
      <c r="AG413" s="9">
        <f t="shared" si="268"/>
        <v>908</v>
      </c>
      <c r="AH413" s="9">
        <f t="shared" si="269"/>
        <v>908</v>
      </c>
      <c r="AI413" s="7">
        <f t="shared" si="244"/>
        <v>1279686.0833333333</v>
      </c>
      <c r="AJ413" s="7">
        <f t="shared" si="280"/>
        <v>1279686.0833333333</v>
      </c>
      <c r="AK413" s="7">
        <f t="shared" si="280"/>
        <v>1279686.0833333333</v>
      </c>
      <c r="AL413" s="7">
        <f t="shared" si="280"/>
        <v>1279686.0833333333</v>
      </c>
      <c r="AM413" s="7">
        <f t="shared" si="280"/>
        <v>1279686.0833333333</v>
      </c>
      <c r="AN413" s="7">
        <f t="shared" si="280"/>
        <v>1279686.0833333333</v>
      </c>
      <c r="AO413" s="16"/>
      <c r="AP413" s="7"/>
      <c r="AQ413" s="9">
        <v>7</v>
      </c>
      <c r="AR413" s="9">
        <f t="shared" si="270"/>
        <v>1103</v>
      </c>
      <c r="AS413" s="7">
        <f t="shared" si="281"/>
        <v>305</v>
      </c>
      <c r="AT413" s="7"/>
      <c r="AU413" s="16"/>
      <c r="AV413" s="7"/>
      <c r="AW413" s="7"/>
      <c r="AX413" s="7"/>
      <c r="AZ413" s="7"/>
      <c r="BA413" s="9">
        <f t="shared" si="242"/>
        <v>798993.80000000168</v>
      </c>
      <c r="BC413" s="5">
        <f t="shared" si="271"/>
        <v>785</v>
      </c>
      <c r="BR413" s="5">
        <v>1101014</v>
      </c>
      <c r="BS413" s="18">
        <f>[1]monsters!$N413</f>
        <v>307.2</v>
      </c>
      <c r="BT413" s="18">
        <f>[1]monsters!$O413</f>
        <v>30.72</v>
      </c>
      <c r="BU413" s="18">
        <f>[1]monsters!$P413</f>
        <v>2560</v>
      </c>
      <c r="BV413" s="18">
        <f>[1]monsters!$Q413</f>
        <v>256</v>
      </c>
      <c r="BW413" s="18">
        <f>[1]monsters!$R413</f>
        <v>43.89</v>
      </c>
      <c r="BX413" s="18">
        <f>[1]monsters!$S413</f>
        <v>4.3899999999999997</v>
      </c>
      <c r="BY413" s="18">
        <f>[1]monsters!$K413</f>
        <v>1.5</v>
      </c>
      <c r="BZ413" s="5">
        <f>[1]monsters!$D413</f>
        <v>4</v>
      </c>
      <c r="CA413" s="5">
        <f t="shared" si="272"/>
        <v>0.1</v>
      </c>
      <c r="CB413" s="5">
        <f t="shared" si="273"/>
        <v>376.49928619528623</v>
      </c>
      <c r="CC413" s="5">
        <f t="shared" si="274"/>
        <v>37.649928619528623</v>
      </c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>
        <v>1</v>
      </c>
      <c r="CR413" s="3" t="b">
        <f t="shared" si="246"/>
        <v>1</v>
      </c>
      <c r="CS413" s="3" t="b">
        <f t="shared" si="247"/>
        <v>1</v>
      </c>
      <c r="CT413" s="3" t="b">
        <f t="shared" si="248"/>
        <v>1</v>
      </c>
      <c r="CU413" s="3" t="b">
        <f t="shared" si="249"/>
        <v>1</v>
      </c>
      <c r="CV413" s="3" t="b">
        <f t="shared" si="250"/>
        <v>1</v>
      </c>
      <c r="CW413" s="3" t="b">
        <f t="shared" si="251"/>
        <v>1</v>
      </c>
      <c r="CX413" s="9" t="str">
        <f t="shared" si="252"/>
        <v>5200112</v>
      </c>
      <c r="CY413" s="9" t="str">
        <f t="shared" si="253"/>
        <v>5301111</v>
      </c>
      <c r="CZ413" s="9" t="str">
        <f t="shared" si="254"/>
        <v>5202113</v>
      </c>
      <c r="DA413" s="9" t="str">
        <f t="shared" si="255"/>
        <v>5402111</v>
      </c>
      <c r="DB413" s="9" t="str">
        <f t="shared" si="256"/>
        <v>5400115</v>
      </c>
      <c r="DC413" s="9" t="str">
        <f t="shared" si="257"/>
        <v>5500111</v>
      </c>
      <c r="DD413" s="9">
        <v>11</v>
      </c>
      <c r="DE413" s="9">
        <v>11</v>
      </c>
      <c r="DF413" s="9">
        <v>11</v>
      </c>
      <c r="DG413" s="9">
        <v>11</v>
      </c>
      <c r="DH413" s="9">
        <v>11</v>
      </c>
      <c r="DI413" s="9">
        <v>11</v>
      </c>
      <c r="DJ413" s="9">
        <v>5</v>
      </c>
      <c r="DK413" s="9">
        <v>5</v>
      </c>
      <c r="DL413" s="9">
        <v>5</v>
      </c>
      <c r="DM413" s="9">
        <v>5</v>
      </c>
      <c r="DN413" s="9">
        <v>5</v>
      </c>
      <c r="DO413" s="9">
        <v>5</v>
      </c>
      <c r="DP413" s="25" t="s">
        <v>199</v>
      </c>
      <c r="DQ413" s="26" t="s">
        <v>107</v>
      </c>
      <c r="DR413" s="25" t="s">
        <v>208</v>
      </c>
      <c r="DS413" s="26" t="s">
        <v>196</v>
      </c>
      <c r="DT413" s="26" t="s">
        <v>210</v>
      </c>
      <c r="DU413" s="28" t="s">
        <v>197</v>
      </c>
      <c r="DV413" s="28">
        <f t="shared" si="258"/>
        <v>1</v>
      </c>
      <c r="DW413" s="28">
        <f t="shared" si="259"/>
        <v>1</v>
      </c>
      <c r="DX413" s="28">
        <f t="shared" si="260"/>
        <v>1</v>
      </c>
      <c r="DY413" s="28">
        <f t="shared" si="261"/>
        <v>2</v>
      </c>
      <c r="DZ413" s="28">
        <f t="shared" si="262"/>
        <v>2</v>
      </c>
      <c r="EA413" s="3">
        <f t="shared" si="263"/>
        <v>2</v>
      </c>
      <c r="EB413" s="38"/>
      <c r="EC413" s="9">
        <v>5402133</v>
      </c>
      <c r="ED413" s="34" t="s">
        <v>118</v>
      </c>
      <c r="EE413" s="8">
        <v>2</v>
      </c>
    </row>
    <row r="414" spans="1:135" ht="13.5" customHeight="1">
      <c r="A414" s="9">
        <v>411</v>
      </c>
      <c r="B414" s="9">
        <v>1</v>
      </c>
      <c r="C414" s="9">
        <v>2001</v>
      </c>
      <c r="D414" s="9">
        <f t="shared" si="278"/>
        <v>9747486</v>
      </c>
      <c r="E414" s="9" t="str">
        <f t="shared" si="275"/>
        <v>5201113,5202111,5200112,5402113,5401113,5402113</v>
      </c>
      <c r="F414" s="9" t="str">
        <f t="shared" si="276"/>
        <v>11,11,11,11,11,11</v>
      </c>
      <c r="G414" s="9" t="str">
        <f t="shared" si="277"/>
        <v>841,909,909,909,909,909</v>
      </c>
      <c r="H414" s="9">
        <v>204</v>
      </c>
      <c r="I414" s="9" t="s">
        <v>278</v>
      </c>
      <c r="J414" s="9" t="s">
        <v>279</v>
      </c>
      <c r="K414" s="9" t="s">
        <v>279</v>
      </c>
      <c r="L414" s="9" t="s">
        <v>279</v>
      </c>
      <c r="M414" s="36" t="s">
        <v>307</v>
      </c>
      <c r="N414" s="40"/>
      <c r="O414" s="3">
        <f t="shared" si="279"/>
        <v>9747486</v>
      </c>
      <c r="P414" s="9">
        <v>7705522.7800000003</v>
      </c>
      <c r="Q414" s="9">
        <v>5201113</v>
      </c>
      <c r="R414" s="9">
        <v>5202111</v>
      </c>
      <c r="S414" s="9">
        <v>5200112</v>
      </c>
      <c r="T414" s="9">
        <v>5402113</v>
      </c>
      <c r="U414" s="9">
        <v>5401113</v>
      </c>
      <c r="V414" s="9">
        <v>5402113</v>
      </c>
      <c r="W414" s="9">
        <v>11</v>
      </c>
      <c r="X414" s="9">
        <v>11</v>
      </c>
      <c r="Y414" s="9">
        <v>11</v>
      </c>
      <c r="Z414" s="9">
        <v>11</v>
      </c>
      <c r="AA414" s="9">
        <v>11</v>
      </c>
      <c r="AB414" s="9">
        <v>11</v>
      </c>
      <c r="AC414" s="9">
        <f t="shared" si="264"/>
        <v>841</v>
      </c>
      <c r="AD414" s="9">
        <f t="shared" si="265"/>
        <v>909</v>
      </c>
      <c r="AE414" s="9">
        <f t="shared" si="266"/>
        <v>909</v>
      </c>
      <c r="AF414" s="9">
        <f t="shared" si="267"/>
        <v>909</v>
      </c>
      <c r="AG414" s="9">
        <f t="shared" si="268"/>
        <v>909</v>
      </c>
      <c r="AH414" s="9">
        <f t="shared" si="269"/>
        <v>909</v>
      </c>
      <c r="AI414" s="7">
        <f t="shared" si="244"/>
        <v>1284253.7966666666</v>
      </c>
      <c r="AJ414" s="7">
        <f t="shared" si="280"/>
        <v>1284253.7966666666</v>
      </c>
      <c r="AK414" s="7">
        <f t="shared" si="280"/>
        <v>1284253.7966666666</v>
      </c>
      <c r="AL414" s="7">
        <f t="shared" si="280"/>
        <v>1284253.7966666666</v>
      </c>
      <c r="AM414" s="7">
        <f t="shared" si="280"/>
        <v>1284253.7966666666</v>
      </c>
      <c r="AN414" s="7">
        <f t="shared" si="280"/>
        <v>1284253.7966666666</v>
      </c>
      <c r="AO414" s="16"/>
      <c r="AP414" s="7"/>
      <c r="AQ414" s="9">
        <v>7</v>
      </c>
      <c r="AR414" s="9">
        <f t="shared" si="270"/>
        <v>1105</v>
      </c>
      <c r="AS414" s="7">
        <f t="shared" si="281"/>
        <v>305</v>
      </c>
      <c r="AT414" s="7"/>
      <c r="AU414" s="16"/>
      <c r="AV414" s="7"/>
      <c r="AW414" s="7"/>
      <c r="AX414" s="7"/>
      <c r="AZ414" s="7"/>
      <c r="BA414" s="9">
        <f t="shared" si="242"/>
        <v>803886.3300000017</v>
      </c>
      <c r="BC414" s="5">
        <f t="shared" si="271"/>
        <v>786</v>
      </c>
      <c r="BR414" s="5">
        <v>1102014</v>
      </c>
      <c r="BS414" s="18">
        <f>[1]monsters!$N414</f>
        <v>358.4</v>
      </c>
      <c r="BT414" s="18">
        <f>[1]monsters!$O414</f>
        <v>35.840000000000003</v>
      </c>
      <c r="BU414" s="18">
        <f>[1]monsters!$P414</f>
        <v>2194.29</v>
      </c>
      <c r="BV414" s="18">
        <f>[1]monsters!$Q414</f>
        <v>219.43</v>
      </c>
      <c r="BW414" s="18">
        <f>[1]monsters!$R414</f>
        <v>44.8</v>
      </c>
      <c r="BX414" s="18">
        <f>[1]monsters!$S414</f>
        <v>4.4800000000000004</v>
      </c>
      <c r="BY414" s="18">
        <f>[1]monsters!$K414</f>
        <v>1.5</v>
      </c>
      <c r="BZ414" s="5">
        <f>[1]monsters!$D414</f>
        <v>5</v>
      </c>
      <c r="CA414" s="5">
        <f t="shared" si="272"/>
        <v>0.1</v>
      </c>
      <c r="CB414" s="5">
        <f t="shared" si="273"/>
        <v>412.56981818181816</v>
      </c>
      <c r="CC414" s="5">
        <f t="shared" si="274"/>
        <v>41.256981818181821</v>
      </c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>
        <v>0</v>
      </c>
      <c r="CR414" s="3" t="b">
        <f t="shared" si="246"/>
        <v>1</v>
      </c>
      <c r="CS414" s="3" t="b">
        <f t="shared" si="247"/>
        <v>1</v>
      </c>
      <c r="CT414" s="3" t="b">
        <f t="shared" si="248"/>
        <v>1</v>
      </c>
      <c r="CU414" s="3" t="b">
        <f t="shared" si="249"/>
        <v>1</v>
      </c>
      <c r="CV414" s="3" t="b">
        <f t="shared" si="250"/>
        <v>1</v>
      </c>
      <c r="CW414" s="3" t="b">
        <f t="shared" si="251"/>
        <v>1</v>
      </c>
      <c r="CX414" s="9" t="str">
        <f t="shared" si="252"/>
        <v>5201113</v>
      </c>
      <c r="CY414" s="9" t="str">
        <f t="shared" si="253"/>
        <v>5202111</v>
      </c>
      <c r="CZ414" s="9" t="str">
        <f t="shared" si="254"/>
        <v>5200112</v>
      </c>
      <c r="DA414" s="9" t="str">
        <f t="shared" si="255"/>
        <v>5402113</v>
      </c>
      <c r="DB414" s="9" t="str">
        <f t="shared" si="256"/>
        <v>5401113</v>
      </c>
      <c r="DC414" s="9" t="str">
        <f t="shared" si="257"/>
        <v>5402113</v>
      </c>
      <c r="DD414" s="9">
        <v>11</v>
      </c>
      <c r="DE414" s="9">
        <v>11</v>
      </c>
      <c r="DF414" s="9">
        <v>11</v>
      </c>
      <c r="DG414" s="9">
        <v>11</v>
      </c>
      <c r="DH414" s="9">
        <v>11</v>
      </c>
      <c r="DI414" s="9">
        <v>11</v>
      </c>
      <c r="DJ414" s="9">
        <v>5</v>
      </c>
      <c r="DK414" s="9">
        <v>5</v>
      </c>
      <c r="DL414" s="9">
        <v>5</v>
      </c>
      <c r="DM414" s="9">
        <v>5</v>
      </c>
      <c r="DN414" s="9">
        <v>5</v>
      </c>
      <c r="DO414" s="9">
        <v>5</v>
      </c>
      <c r="DP414" s="25" t="s">
        <v>205</v>
      </c>
      <c r="DQ414" s="25" t="s">
        <v>111</v>
      </c>
      <c r="DR414" s="25" t="s">
        <v>199</v>
      </c>
      <c r="DS414" s="26" t="s">
        <v>118</v>
      </c>
      <c r="DT414" s="26" t="s">
        <v>211</v>
      </c>
      <c r="DU414" s="26" t="s">
        <v>118</v>
      </c>
      <c r="DV414" s="26">
        <f t="shared" si="258"/>
        <v>1</v>
      </c>
      <c r="DW414" s="26">
        <f t="shared" si="259"/>
        <v>1</v>
      </c>
      <c r="DX414" s="26">
        <f t="shared" si="260"/>
        <v>1</v>
      </c>
      <c r="DY414" s="26">
        <f t="shared" si="261"/>
        <v>2</v>
      </c>
      <c r="DZ414" s="26">
        <f t="shared" si="262"/>
        <v>2</v>
      </c>
      <c r="EA414" s="3">
        <f t="shared" si="263"/>
        <v>2</v>
      </c>
      <c r="EB414" s="38"/>
      <c r="EC414" s="9">
        <v>5500133</v>
      </c>
      <c r="ED414" s="34" t="s">
        <v>207</v>
      </c>
      <c r="EE414" s="8">
        <v>2</v>
      </c>
    </row>
    <row r="415" spans="1:135" ht="13.5" customHeight="1">
      <c r="A415" s="9">
        <v>412</v>
      </c>
      <c r="B415" s="9">
        <v>1</v>
      </c>
      <c r="C415" s="9">
        <v>2001</v>
      </c>
      <c r="D415" s="9">
        <f t="shared" si="278"/>
        <v>9782218</v>
      </c>
      <c r="E415" s="9" t="str">
        <f t="shared" si="275"/>
        <v>5201111,5201112,5200111,5502111,5601111,5401111</v>
      </c>
      <c r="F415" s="9" t="str">
        <f t="shared" si="276"/>
        <v>11,11,11,11,11,11</v>
      </c>
      <c r="G415" s="9" t="str">
        <f t="shared" si="277"/>
        <v>843,911,911,911,911,911</v>
      </c>
      <c r="H415" s="9">
        <v>204</v>
      </c>
      <c r="I415" s="9" t="s">
        <v>278</v>
      </c>
      <c r="J415" s="9" t="s">
        <v>279</v>
      </c>
      <c r="K415" s="9" t="s">
        <v>279</v>
      </c>
      <c r="L415" s="9" t="s">
        <v>279</v>
      </c>
      <c r="M415" s="36" t="s">
        <v>307</v>
      </c>
      <c r="N415" s="40"/>
      <c r="O415" s="3">
        <f t="shared" si="279"/>
        <v>9782218</v>
      </c>
      <c r="P415" s="9">
        <v>7732978.8099999996</v>
      </c>
      <c r="Q415" s="9">
        <v>5201111</v>
      </c>
      <c r="R415" s="9">
        <v>5201112</v>
      </c>
      <c r="S415" s="9">
        <v>5200111</v>
      </c>
      <c r="T415" s="9">
        <v>5502111</v>
      </c>
      <c r="U415" s="9">
        <v>5601111</v>
      </c>
      <c r="V415" s="9">
        <v>5401111</v>
      </c>
      <c r="W415" s="9">
        <v>11</v>
      </c>
      <c r="X415" s="9">
        <v>11</v>
      </c>
      <c r="Y415" s="9">
        <v>11</v>
      </c>
      <c r="Z415" s="9">
        <v>11</v>
      </c>
      <c r="AA415" s="9">
        <v>11</v>
      </c>
      <c r="AB415" s="9">
        <v>11</v>
      </c>
      <c r="AC415" s="9">
        <f t="shared" si="264"/>
        <v>843</v>
      </c>
      <c r="AD415" s="9">
        <f t="shared" si="265"/>
        <v>911</v>
      </c>
      <c r="AE415" s="9">
        <f t="shared" si="266"/>
        <v>911</v>
      </c>
      <c r="AF415" s="9">
        <f t="shared" si="267"/>
        <v>911</v>
      </c>
      <c r="AG415" s="9">
        <f t="shared" si="268"/>
        <v>911</v>
      </c>
      <c r="AH415" s="9">
        <f t="shared" si="269"/>
        <v>911</v>
      </c>
      <c r="AI415" s="7">
        <f t="shared" si="244"/>
        <v>1288829.8016666665</v>
      </c>
      <c r="AJ415" s="7">
        <f t="shared" si="280"/>
        <v>1288829.8016666665</v>
      </c>
      <c r="AK415" s="7">
        <f t="shared" si="280"/>
        <v>1288829.8016666665</v>
      </c>
      <c r="AL415" s="7">
        <f t="shared" si="280"/>
        <v>1288829.8016666665</v>
      </c>
      <c r="AM415" s="7">
        <f t="shared" si="280"/>
        <v>1288829.8016666665</v>
      </c>
      <c r="AN415" s="7">
        <f t="shared" si="280"/>
        <v>1288829.8016666665</v>
      </c>
      <c r="AO415" s="16"/>
      <c r="AP415" s="7"/>
      <c r="AQ415" s="9">
        <v>7</v>
      </c>
      <c r="AR415" s="9">
        <f t="shared" si="270"/>
        <v>1107</v>
      </c>
      <c r="AS415" s="7">
        <f t="shared" si="281"/>
        <v>306</v>
      </c>
      <c r="AT415" s="7"/>
      <c r="AU415" s="16"/>
      <c r="AV415" s="7"/>
      <c r="AW415" s="7"/>
      <c r="AX415" s="7"/>
      <c r="AZ415" s="7"/>
      <c r="BA415" s="9">
        <f t="shared" si="242"/>
        <v>808778.86000000173</v>
      </c>
      <c r="BC415" s="5">
        <f t="shared" si="271"/>
        <v>788</v>
      </c>
      <c r="BR415" s="5">
        <v>1206015</v>
      </c>
      <c r="BS415" s="18">
        <f>[1]monsters!$N415</f>
        <v>334.51</v>
      </c>
      <c r="BT415" s="18">
        <f>[1]monsters!$O415</f>
        <v>33.450000000000003</v>
      </c>
      <c r="BU415" s="18">
        <f>[1]monsters!$P415</f>
        <v>2194.29</v>
      </c>
      <c r="BV415" s="18">
        <f>[1]monsters!$Q415</f>
        <v>219.43</v>
      </c>
      <c r="BW415" s="18">
        <f>[1]monsters!$R415</f>
        <v>41.81</v>
      </c>
      <c r="BX415" s="18">
        <f>[1]monsters!$S415</f>
        <v>4.18</v>
      </c>
      <c r="BY415" s="18">
        <f>[1]monsters!$K415</f>
        <v>1.4</v>
      </c>
      <c r="BZ415" s="5">
        <f>[1]monsters!$D415</f>
        <v>5</v>
      </c>
      <c r="CA415" s="5">
        <f t="shared" si="272"/>
        <v>0.1</v>
      </c>
      <c r="CB415" s="5">
        <f t="shared" si="273"/>
        <v>389.99376818181821</v>
      </c>
      <c r="CC415" s="5">
        <f t="shared" si="274"/>
        <v>38.999376818181823</v>
      </c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>
        <v>0</v>
      </c>
      <c r="CR415" s="3" t="b">
        <f t="shared" si="246"/>
        <v>1</v>
      </c>
      <c r="CS415" s="3" t="b">
        <f t="shared" si="247"/>
        <v>1</v>
      </c>
      <c r="CT415" s="3" t="b">
        <f t="shared" si="248"/>
        <v>1</v>
      </c>
      <c r="CU415" s="3" t="b">
        <f t="shared" si="249"/>
        <v>1</v>
      </c>
      <c r="CV415" s="3" t="b">
        <f t="shared" si="250"/>
        <v>1</v>
      </c>
      <c r="CW415" s="3" t="b">
        <f t="shared" si="251"/>
        <v>1</v>
      </c>
      <c r="CX415" s="9" t="str">
        <f t="shared" si="252"/>
        <v>5201111</v>
      </c>
      <c r="CY415" s="9" t="str">
        <f t="shared" si="253"/>
        <v>5201112</v>
      </c>
      <c r="CZ415" s="9" t="str">
        <f t="shared" si="254"/>
        <v>5200111</v>
      </c>
      <c r="DA415" s="9" t="str">
        <f t="shared" si="255"/>
        <v>5502111</v>
      </c>
      <c r="DB415" s="9" t="str">
        <f t="shared" si="256"/>
        <v>5601111</v>
      </c>
      <c r="DC415" s="9" t="str">
        <f t="shared" si="257"/>
        <v>5401111</v>
      </c>
      <c r="DD415" s="9">
        <v>11</v>
      </c>
      <c r="DE415" s="9">
        <v>11</v>
      </c>
      <c r="DF415" s="9">
        <v>11</v>
      </c>
      <c r="DG415" s="9">
        <v>11</v>
      </c>
      <c r="DH415" s="9">
        <v>11</v>
      </c>
      <c r="DI415" s="9">
        <v>11</v>
      </c>
      <c r="DJ415" s="9">
        <v>5</v>
      </c>
      <c r="DK415" s="9">
        <v>5</v>
      </c>
      <c r="DL415" s="9">
        <v>5</v>
      </c>
      <c r="DM415" s="9">
        <v>5</v>
      </c>
      <c r="DN415" s="9">
        <v>5</v>
      </c>
      <c r="DO415" s="9">
        <v>5</v>
      </c>
      <c r="DP415" s="25" t="s">
        <v>195</v>
      </c>
      <c r="DQ415" s="25" t="s">
        <v>114</v>
      </c>
      <c r="DR415" s="25" t="s">
        <v>194</v>
      </c>
      <c r="DS415" s="25" t="s">
        <v>119</v>
      </c>
      <c r="DT415" s="25" t="s">
        <v>198</v>
      </c>
      <c r="DU415" s="25" t="s">
        <v>117</v>
      </c>
      <c r="DV415" s="25">
        <f t="shared" si="258"/>
        <v>1</v>
      </c>
      <c r="DW415" s="25">
        <f t="shared" si="259"/>
        <v>1</v>
      </c>
      <c r="DX415" s="25">
        <f t="shared" si="260"/>
        <v>1</v>
      </c>
      <c r="DY415" s="25">
        <f t="shared" si="261"/>
        <v>2</v>
      </c>
      <c r="DZ415" s="25">
        <f t="shared" si="262"/>
        <v>2</v>
      </c>
      <c r="EA415" s="3">
        <f t="shared" si="263"/>
        <v>2</v>
      </c>
      <c r="EB415" s="50"/>
      <c r="EC415" s="9">
        <v>5502133</v>
      </c>
      <c r="ED415" s="34" t="s">
        <v>215</v>
      </c>
      <c r="EE415" s="8">
        <v>2</v>
      </c>
    </row>
    <row r="416" spans="1:135" ht="13.5" customHeight="1">
      <c r="A416" s="9">
        <v>413</v>
      </c>
      <c r="B416" s="9">
        <v>1</v>
      </c>
      <c r="C416" s="9">
        <v>2001</v>
      </c>
      <c r="D416" s="9">
        <f t="shared" si="278"/>
        <v>9817010</v>
      </c>
      <c r="E416" s="9" t="str">
        <f t="shared" si="275"/>
        <v>5200112,5200113,5200112,5502112,5500112,5502113</v>
      </c>
      <c r="F416" s="9" t="str">
        <f t="shared" si="276"/>
        <v>11,11,11,11,11,11</v>
      </c>
      <c r="G416" s="9" t="str">
        <f t="shared" si="277"/>
        <v>844,913,913,913,913,913</v>
      </c>
      <c r="H416" s="9">
        <v>205</v>
      </c>
      <c r="I416" s="9" t="s">
        <v>278</v>
      </c>
      <c r="J416" s="9" t="s">
        <v>279</v>
      </c>
      <c r="K416" s="9" t="s">
        <v>279</v>
      </c>
      <c r="L416" s="9" t="s">
        <v>279</v>
      </c>
      <c r="M416" s="36" t="s">
        <v>307</v>
      </c>
      <c r="N416" s="40"/>
      <c r="O416" s="3">
        <f t="shared" si="279"/>
        <v>9817010</v>
      </c>
      <c r="P416" s="9">
        <v>7760482.5999999996</v>
      </c>
      <c r="Q416" s="9">
        <v>5200112</v>
      </c>
      <c r="R416" s="9">
        <v>5200113</v>
      </c>
      <c r="S416" s="9">
        <v>5200112</v>
      </c>
      <c r="T416" s="9">
        <v>5502112</v>
      </c>
      <c r="U416" s="9">
        <v>5500112</v>
      </c>
      <c r="V416" s="9">
        <v>5502113</v>
      </c>
      <c r="W416" s="9">
        <v>11</v>
      </c>
      <c r="X416" s="9">
        <v>11</v>
      </c>
      <c r="Y416" s="9">
        <v>11</v>
      </c>
      <c r="Z416" s="9">
        <v>11</v>
      </c>
      <c r="AA416" s="9">
        <v>11</v>
      </c>
      <c r="AB416" s="9">
        <v>11</v>
      </c>
      <c r="AC416" s="9">
        <f t="shared" si="264"/>
        <v>844</v>
      </c>
      <c r="AD416" s="9">
        <f t="shared" si="265"/>
        <v>913</v>
      </c>
      <c r="AE416" s="9">
        <f t="shared" si="266"/>
        <v>913</v>
      </c>
      <c r="AF416" s="9">
        <f t="shared" si="267"/>
        <v>913</v>
      </c>
      <c r="AG416" s="9">
        <f t="shared" si="268"/>
        <v>913</v>
      </c>
      <c r="AH416" s="9">
        <f t="shared" si="269"/>
        <v>913</v>
      </c>
      <c r="AI416" s="7">
        <f t="shared" si="244"/>
        <v>1293413.7666666666</v>
      </c>
      <c r="AJ416" s="7">
        <f t="shared" si="280"/>
        <v>1293413.7666666666</v>
      </c>
      <c r="AK416" s="7">
        <f t="shared" si="280"/>
        <v>1293413.7666666666</v>
      </c>
      <c r="AL416" s="7">
        <f t="shared" si="280"/>
        <v>1293413.7666666666</v>
      </c>
      <c r="AM416" s="7">
        <f t="shared" si="280"/>
        <v>1293413.7666666666</v>
      </c>
      <c r="AN416" s="7">
        <f t="shared" si="280"/>
        <v>1293413.7666666666</v>
      </c>
      <c r="AO416" s="16"/>
      <c r="AP416" s="7"/>
      <c r="AQ416" s="9">
        <v>7</v>
      </c>
      <c r="AR416" s="9">
        <f t="shared" si="270"/>
        <v>1109</v>
      </c>
      <c r="AS416" s="7">
        <f t="shared" si="281"/>
        <v>306</v>
      </c>
      <c r="AT416" s="7"/>
      <c r="AU416" s="16"/>
      <c r="AV416" s="7"/>
      <c r="AW416" s="7"/>
      <c r="AX416" s="7"/>
      <c r="AZ416" s="7"/>
      <c r="BA416" s="9">
        <f t="shared" si="242"/>
        <v>813671.39000000176</v>
      </c>
      <c r="BC416" s="5">
        <f t="shared" si="271"/>
        <v>789</v>
      </c>
      <c r="BR416" s="5">
        <v>1406015</v>
      </c>
      <c r="BS416" s="18">
        <f>[1]monsters!$N416</f>
        <v>396.8</v>
      </c>
      <c r="BT416" s="18">
        <f>[1]monsters!$O416</f>
        <v>39.68</v>
      </c>
      <c r="BU416" s="18">
        <f>[1]monsters!$P416</f>
        <v>1981.94</v>
      </c>
      <c r="BV416" s="18">
        <f>[1]monsters!$Q416</f>
        <v>198.19</v>
      </c>
      <c r="BW416" s="18">
        <f>[1]monsters!$R416</f>
        <v>39.68</v>
      </c>
      <c r="BX416" s="18">
        <f>[1]monsters!$S416</f>
        <v>3.97</v>
      </c>
      <c r="BY416" s="18">
        <f>[1]monsters!$K416</f>
        <v>1.5</v>
      </c>
      <c r="BZ416" s="5">
        <f>[1]monsters!$D416</f>
        <v>6</v>
      </c>
      <c r="CA416" s="5">
        <f t="shared" si="272"/>
        <v>0.1</v>
      </c>
      <c r="CB416" s="5">
        <f t="shared" si="273"/>
        <v>441.70798653198659</v>
      </c>
      <c r="CC416" s="5">
        <f t="shared" si="274"/>
        <v>44.170798653198659</v>
      </c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>
        <v>0</v>
      </c>
      <c r="CR416" s="3" t="b">
        <f t="shared" si="246"/>
        <v>1</v>
      </c>
      <c r="CS416" s="3" t="b">
        <f t="shared" si="247"/>
        <v>1</v>
      </c>
      <c r="CT416" s="3" t="b">
        <f t="shared" si="248"/>
        <v>1</v>
      </c>
      <c r="CU416" s="3" t="b">
        <f t="shared" si="249"/>
        <v>1</v>
      </c>
      <c r="CV416" s="3" t="b">
        <f t="shared" si="250"/>
        <v>1</v>
      </c>
      <c r="CW416" s="3" t="b">
        <f t="shared" si="251"/>
        <v>1</v>
      </c>
      <c r="CX416" s="9" t="str">
        <f t="shared" si="252"/>
        <v>5200112</v>
      </c>
      <c r="CY416" s="9" t="str">
        <f t="shared" si="253"/>
        <v>5200113</v>
      </c>
      <c r="CZ416" s="9" t="str">
        <f t="shared" si="254"/>
        <v>5200112</v>
      </c>
      <c r="DA416" s="9" t="str">
        <f t="shared" si="255"/>
        <v>5502112</v>
      </c>
      <c r="DB416" s="9" t="str">
        <f t="shared" si="256"/>
        <v>5500112</v>
      </c>
      <c r="DC416" s="9" t="str">
        <f t="shared" si="257"/>
        <v>5502113</v>
      </c>
      <c r="DD416" s="9">
        <v>11</v>
      </c>
      <c r="DE416" s="9">
        <v>11</v>
      </c>
      <c r="DF416" s="9">
        <v>11</v>
      </c>
      <c r="DG416" s="9">
        <v>11</v>
      </c>
      <c r="DH416" s="9">
        <v>11</v>
      </c>
      <c r="DI416" s="9">
        <v>11</v>
      </c>
      <c r="DJ416" s="9">
        <v>5</v>
      </c>
      <c r="DK416" s="9">
        <v>5</v>
      </c>
      <c r="DL416" s="9">
        <v>5</v>
      </c>
      <c r="DM416" s="9">
        <v>5</v>
      </c>
      <c r="DN416" s="9">
        <v>5</v>
      </c>
      <c r="DO416" s="9">
        <v>5</v>
      </c>
      <c r="DP416" s="25" t="s">
        <v>199</v>
      </c>
      <c r="DQ416" s="25" t="s">
        <v>113</v>
      </c>
      <c r="DR416" s="25" t="s">
        <v>199</v>
      </c>
      <c r="DS416" s="25" t="s">
        <v>204</v>
      </c>
      <c r="DT416" s="25" t="s">
        <v>109</v>
      </c>
      <c r="DU416" s="25" t="s">
        <v>215</v>
      </c>
      <c r="DV416" s="25">
        <f t="shared" si="258"/>
        <v>1</v>
      </c>
      <c r="DW416" s="25">
        <f t="shared" si="259"/>
        <v>1</v>
      </c>
      <c r="DX416" s="25">
        <f t="shared" si="260"/>
        <v>1</v>
      </c>
      <c r="DY416" s="25">
        <f t="shared" si="261"/>
        <v>2</v>
      </c>
      <c r="DZ416" s="25">
        <f t="shared" si="262"/>
        <v>2</v>
      </c>
      <c r="EA416" s="3">
        <f t="shared" si="263"/>
        <v>2</v>
      </c>
      <c r="EB416" s="50"/>
      <c r="EC416" s="9">
        <v>5601133</v>
      </c>
      <c r="ED416" s="34" t="s">
        <v>216</v>
      </c>
      <c r="EE416" s="8">
        <v>2</v>
      </c>
    </row>
    <row r="417" spans="1:135" ht="13.5" customHeight="1">
      <c r="A417" s="9">
        <v>414</v>
      </c>
      <c r="B417" s="9">
        <v>1</v>
      </c>
      <c r="C417" s="9">
        <v>2001</v>
      </c>
      <c r="D417" s="9">
        <f t="shared" si="278"/>
        <v>9851866</v>
      </c>
      <c r="E417" s="9" t="str">
        <f t="shared" si="275"/>
        <v>5202113,5202112,5202113,5401113,5402112,5401113</v>
      </c>
      <c r="F417" s="9" t="str">
        <f t="shared" si="276"/>
        <v>11,11,11,11,11,11</v>
      </c>
      <c r="G417" s="9" t="str">
        <f t="shared" si="277"/>
        <v>846,914,914,914,914,914</v>
      </c>
      <c r="H417" s="9">
        <v>205</v>
      </c>
      <c r="I417" s="9" t="s">
        <v>278</v>
      </c>
      <c r="J417" s="9" t="s">
        <v>279</v>
      </c>
      <c r="K417" s="9" t="s">
        <v>279</v>
      </c>
      <c r="L417" s="9" t="s">
        <v>279</v>
      </c>
      <c r="M417" s="36" t="s">
        <v>307</v>
      </c>
      <c r="N417" s="40"/>
      <c r="O417" s="3">
        <f t="shared" si="279"/>
        <v>9851866</v>
      </c>
      <c r="P417" s="9">
        <v>7788036.1399999997</v>
      </c>
      <c r="Q417" s="9">
        <v>5202113</v>
      </c>
      <c r="R417" s="9">
        <v>5202112</v>
      </c>
      <c r="S417" s="9">
        <v>5202113</v>
      </c>
      <c r="T417" s="9">
        <v>5401113</v>
      </c>
      <c r="U417" s="9">
        <v>5402112</v>
      </c>
      <c r="V417" s="9">
        <v>5401113</v>
      </c>
      <c r="W417" s="9">
        <v>11</v>
      </c>
      <c r="X417" s="9">
        <v>11</v>
      </c>
      <c r="Y417" s="9">
        <v>11</v>
      </c>
      <c r="Z417" s="9">
        <v>11</v>
      </c>
      <c r="AA417" s="9">
        <v>11</v>
      </c>
      <c r="AB417" s="9">
        <v>11</v>
      </c>
      <c r="AC417" s="9">
        <f t="shared" si="264"/>
        <v>846</v>
      </c>
      <c r="AD417" s="9">
        <f t="shared" si="265"/>
        <v>914</v>
      </c>
      <c r="AE417" s="9">
        <f t="shared" si="266"/>
        <v>914</v>
      </c>
      <c r="AF417" s="9">
        <f t="shared" si="267"/>
        <v>914</v>
      </c>
      <c r="AG417" s="9">
        <f t="shared" si="268"/>
        <v>914</v>
      </c>
      <c r="AH417" s="9">
        <f t="shared" si="269"/>
        <v>914</v>
      </c>
      <c r="AI417" s="7">
        <f t="shared" si="244"/>
        <v>1298006.0233333332</v>
      </c>
      <c r="AJ417" s="7">
        <f t="shared" si="280"/>
        <v>1298006.0233333332</v>
      </c>
      <c r="AK417" s="7">
        <f t="shared" si="280"/>
        <v>1298006.0233333332</v>
      </c>
      <c r="AL417" s="7">
        <f t="shared" si="280"/>
        <v>1298006.0233333332</v>
      </c>
      <c r="AM417" s="7">
        <f t="shared" si="280"/>
        <v>1298006.0233333332</v>
      </c>
      <c r="AN417" s="7">
        <f t="shared" si="280"/>
        <v>1298006.0233333332</v>
      </c>
      <c r="AO417" s="16"/>
      <c r="AP417" s="7"/>
      <c r="AQ417" s="9">
        <v>7</v>
      </c>
      <c r="AR417" s="9">
        <f t="shared" si="270"/>
        <v>1111</v>
      </c>
      <c r="AS417" s="7">
        <f t="shared" si="281"/>
        <v>307</v>
      </c>
      <c r="AT417" s="7"/>
      <c r="AU417" s="16"/>
      <c r="AV417" s="7"/>
      <c r="AW417" s="7"/>
      <c r="AX417" s="7"/>
      <c r="AZ417" s="7"/>
      <c r="BA417" s="9">
        <f t="shared" si="242"/>
        <v>818563.92000000179</v>
      </c>
      <c r="BC417" s="5">
        <f t="shared" si="271"/>
        <v>790</v>
      </c>
      <c r="BR417" s="5">
        <v>1205015</v>
      </c>
      <c r="BS417" s="18">
        <f>[1]monsters!$N417</f>
        <v>245.76</v>
      </c>
      <c r="BT417" s="18">
        <f>[1]monsters!$O417</f>
        <v>24.58</v>
      </c>
      <c r="BU417" s="18">
        <f>[1]monsters!$P417</f>
        <v>3840</v>
      </c>
      <c r="BV417" s="18">
        <f>[1]monsters!$Q417</f>
        <v>384</v>
      </c>
      <c r="BW417" s="18">
        <f>[1]monsters!$R417</f>
        <v>81.92</v>
      </c>
      <c r="BX417" s="18">
        <f>[1]monsters!$S417</f>
        <v>8.19</v>
      </c>
      <c r="BY417" s="18">
        <f>[1]monsters!$K417</f>
        <v>1.8</v>
      </c>
      <c r="BZ417" s="5">
        <f>[1]monsters!$D417</f>
        <v>2</v>
      </c>
      <c r="CA417" s="5">
        <f t="shared" si="272"/>
        <v>0.1</v>
      </c>
      <c r="CB417" s="5">
        <f t="shared" si="273"/>
        <v>361.53612929292927</v>
      </c>
      <c r="CC417" s="5">
        <f t="shared" si="274"/>
        <v>36.153612929292926</v>
      </c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>
        <v>0</v>
      </c>
      <c r="CR417" s="3" t="b">
        <f t="shared" si="246"/>
        <v>1</v>
      </c>
      <c r="CS417" s="3" t="b">
        <f t="shared" si="247"/>
        <v>1</v>
      </c>
      <c r="CT417" s="3" t="b">
        <f t="shared" si="248"/>
        <v>1</v>
      </c>
      <c r="CU417" s="3" t="b">
        <f t="shared" si="249"/>
        <v>1</v>
      </c>
      <c r="CV417" s="3" t="b">
        <f t="shared" si="250"/>
        <v>1</v>
      </c>
      <c r="CW417" s="3" t="b">
        <f t="shared" si="251"/>
        <v>1</v>
      </c>
      <c r="CX417" s="9" t="str">
        <f t="shared" si="252"/>
        <v>5202113</v>
      </c>
      <c r="CY417" s="9" t="str">
        <f t="shared" si="253"/>
        <v>5202112</v>
      </c>
      <c r="CZ417" s="9" t="str">
        <f t="shared" si="254"/>
        <v>5202113</v>
      </c>
      <c r="DA417" s="9" t="str">
        <f t="shared" si="255"/>
        <v>5401113</v>
      </c>
      <c r="DB417" s="9" t="str">
        <f t="shared" si="256"/>
        <v>5402112</v>
      </c>
      <c r="DC417" s="9" t="str">
        <f t="shared" si="257"/>
        <v>5401113</v>
      </c>
      <c r="DD417" s="9">
        <v>11</v>
      </c>
      <c r="DE417" s="9">
        <v>11</v>
      </c>
      <c r="DF417" s="9">
        <v>11</v>
      </c>
      <c r="DG417" s="9">
        <v>11</v>
      </c>
      <c r="DH417" s="9">
        <v>11</v>
      </c>
      <c r="DI417" s="9">
        <v>11</v>
      </c>
      <c r="DJ417" s="9">
        <v>5</v>
      </c>
      <c r="DK417" s="9">
        <v>5</v>
      </c>
      <c r="DL417" s="9">
        <v>5</v>
      </c>
      <c r="DM417" s="9">
        <v>5</v>
      </c>
      <c r="DN417" s="9">
        <v>5</v>
      </c>
      <c r="DO417" s="9">
        <v>5</v>
      </c>
      <c r="DP417" s="25" t="s">
        <v>208</v>
      </c>
      <c r="DQ417" s="25" t="s">
        <v>200</v>
      </c>
      <c r="DR417" s="25" t="s">
        <v>208</v>
      </c>
      <c r="DS417" s="25" t="s">
        <v>211</v>
      </c>
      <c r="DT417" s="25" t="s">
        <v>203</v>
      </c>
      <c r="DU417" s="25" t="s">
        <v>211</v>
      </c>
      <c r="DV417" s="25">
        <f t="shared" si="258"/>
        <v>1</v>
      </c>
      <c r="DW417" s="25">
        <f t="shared" si="259"/>
        <v>1</v>
      </c>
      <c r="DX417" s="25">
        <f t="shared" si="260"/>
        <v>1</v>
      </c>
      <c r="DY417" s="25">
        <f t="shared" si="261"/>
        <v>2</v>
      </c>
      <c r="DZ417" s="25">
        <f t="shared" si="262"/>
        <v>2</v>
      </c>
      <c r="EA417" s="3">
        <f t="shared" si="263"/>
        <v>2</v>
      </c>
      <c r="EB417" s="50"/>
      <c r="EC417" s="9">
        <v>5201134</v>
      </c>
      <c r="ED417" s="34" t="s">
        <v>217</v>
      </c>
      <c r="EE417" s="8">
        <v>1</v>
      </c>
    </row>
    <row r="418" spans="1:135" ht="13.5" customHeight="1">
      <c r="A418" s="9">
        <v>415</v>
      </c>
      <c r="B418" s="9">
        <v>1</v>
      </c>
      <c r="C418" s="9">
        <v>2001</v>
      </c>
      <c r="D418" s="9">
        <f t="shared" si="278"/>
        <v>9886781</v>
      </c>
      <c r="E418" s="9" t="str">
        <f t="shared" si="275"/>
        <v>5202113,5202113,5202113,5500112,5500112,5500112</v>
      </c>
      <c r="F418" s="9" t="str">
        <f t="shared" si="276"/>
        <v>11,11,11,11,11,11</v>
      </c>
      <c r="G418" s="9" t="str">
        <f t="shared" si="277"/>
        <v>847,916,916,916,916,916</v>
      </c>
      <c r="H418" s="9">
        <v>206</v>
      </c>
      <c r="I418" s="9" t="s">
        <v>278</v>
      </c>
      <c r="J418" s="9" t="s">
        <v>279</v>
      </c>
      <c r="K418" s="9" t="s">
        <v>279</v>
      </c>
      <c r="L418" s="9" t="s">
        <v>279</v>
      </c>
      <c r="M418" s="36" t="s">
        <v>307</v>
      </c>
      <c r="O418" s="3">
        <f t="shared" si="279"/>
        <v>9886781</v>
      </c>
      <c r="P418" s="9">
        <v>7815637.4400000004</v>
      </c>
      <c r="Q418" s="9">
        <v>5202113</v>
      </c>
      <c r="R418" s="9">
        <v>5202113</v>
      </c>
      <c r="S418" s="9">
        <v>5202113</v>
      </c>
      <c r="T418" s="9">
        <v>5500112</v>
      </c>
      <c r="U418" s="9">
        <v>5500112</v>
      </c>
      <c r="V418" s="9">
        <v>5500112</v>
      </c>
      <c r="W418" s="9">
        <v>11</v>
      </c>
      <c r="X418" s="9">
        <v>11</v>
      </c>
      <c r="Y418" s="9">
        <v>11</v>
      </c>
      <c r="Z418" s="9">
        <v>11</v>
      </c>
      <c r="AA418" s="9">
        <v>11</v>
      </c>
      <c r="AB418" s="9">
        <v>11</v>
      </c>
      <c r="AC418" s="9">
        <f t="shared" si="264"/>
        <v>847</v>
      </c>
      <c r="AD418" s="9">
        <f t="shared" si="265"/>
        <v>916</v>
      </c>
      <c r="AE418" s="9">
        <f t="shared" si="266"/>
        <v>916</v>
      </c>
      <c r="AF418" s="9">
        <f t="shared" si="267"/>
        <v>916</v>
      </c>
      <c r="AG418" s="9">
        <f t="shared" si="268"/>
        <v>916</v>
      </c>
      <c r="AH418" s="9">
        <f t="shared" si="269"/>
        <v>916</v>
      </c>
      <c r="AI418" s="7">
        <f t="shared" si="244"/>
        <v>1302606.24</v>
      </c>
      <c r="AJ418" s="7">
        <f t="shared" si="280"/>
        <v>1302606.24</v>
      </c>
      <c r="AK418" s="7">
        <f t="shared" si="280"/>
        <v>1302606.24</v>
      </c>
      <c r="AL418" s="7">
        <f t="shared" si="280"/>
        <v>1302606.24</v>
      </c>
      <c r="AM418" s="7">
        <f t="shared" si="280"/>
        <v>1302606.24</v>
      </c>
      <c r="AN418" s="7">
        <f t="shared" si="280"/>
        <v>1302606.24</v>
      </c>
      <c r="AO418" s="16"/>
      <c r="AP418" s="7"/>
      <c r="AQ418" s="9">
        <v>7</v>
      </c>
      <c r="AR418" s="9">
        <f t="shared" si="270"/>
        <v>1113</v>
      </c>
      <c r="AS418" s="7">
        <f t="shared" si="281"/>
        <v>307</v>
      </c>
      <c r="AT418" s="7"/>
      <c r="AU418" s="16"/>
      <c r="AV418" s="7"/>
      <c r="AW418" s="7"/>
      <c r="AX418" s="7"/>
      <c r="AZ418" s="7"/>
      <c r="BA418" s="9">
        <f t="shared" si="242"/>
        <v>823456.45000000182</v>
      </c>
      <c r="BC418" s="5">
        <f t="shared" si="271"/>
        <v>792</v>
      </c>
      <c r="BR418" s="5">
        <v>1405015</v>
      </c>
      <c r="BS418" s="18">
        <f>[1]monsters!$N418</f>
        <v>215.04</v>
      </c>
      <c r="BT418" s="18">
        <f>[1]monsters!$O418</f>
        <v>21.5</v>
      </c>
      <c r="BU418" s="18">
        <f>[1]monsters!$P418</f>
        <v>3413.33</v>
      </c>
      <c r="BV418" s="18">
        <f>[1]monsters!$Q418</f>
        <v>341.33</v>
      </c>
      <c r="BW418" s="18">
        <f>[1]monsters!$R418</f>
        <v>43.01</v>
      </c>
      <c r="BX418" s="18">
        <f>[1]monsters!$S418</f>
        <v>4.3</v>
      </c>
      <c r="BY418" s="18">
        <f>[1]monsters!$K418</f>
        <v>1.4</v>
      </c>
      <c r="BZ418" s="5">
        <f>[1]monsters!$D418</f>
        <v>3</v>
      </c>
      <c r="CA418" s="5">
        <f t="shared" si="272"/>
        <v>0.1</v>
      </c>
      <c r="CB418" s="5">
        <f t="shared" si="273"/>
        <v>318.13973602693602</v>
      </c>
      <c r="CC418" s="5">
        <f t="shared" si="274"/>
        <v>31.813973602693604</v>
      </c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>
        <v>1</v>
      </c>
      <c r="CR418" s="3" t="b">
        <f t="shared" si="246"/>
        <v>1</v>
      </c>
      <c r="CS418" s="3" t="b">
        <f t="shared" si="247"/>
        <v>1</v>
      </c>
      <c r="CT418" s="3" t="b">
        <f t="shared" si="248"/>
        <v>1</v>
      </c>
      <c r="CU418" s="3" t="b">
        <f t="shared" si="249"/>
        <v>1</v>
      </c>
      <c r="CV418" s="3" t="b">
        <f t="shared" si="250"/>
        <v>1</v>
      </c>
      <c r="CW418" s="3" t="b">
        <f t="shared" si="251"/>
        <v>1</v>
      </c>
      <c r="CX418" s="9" t="str">
        <f t="shared" si="252"/>
        <v>5202113</v>
      </c>
      <c r="CY418" s="9" t="str">
        <f t="shared" si="253"/>
        <v>5202113</v>
      </c>
      <c r="CZ418" s="9" t="str">
        <f t="shared" si="254"/>
        <v>5202113</v>
      </c>
      <c r="DA418" s="9" t="str">
        <f t="shared" si="255"/>
        <v>5500112</v>
      </c>
      <c r="DB418" s="9" t="str">
        <f t="shared" si="256"/>
        <v>5500112</v>
      </c>
      <c r="DC418" s="9" t="str">
        <f t="shared" si="257"/>
        <v>5500112</v>
      </c>
      <c r="DD418" s="9">
        <v>11</v>
      </c>
      <c r="DE418" s="9">
        <v>11</v>
      </c>
      <c r="DF418" s="9">
        <v>11</v>
      </c>
      <c r="DG418" s="9">
        <v>11</v>
      </c>
      <c r="DH418" s="9">
        <v>11</v>
      </c>
      <c r="DI418" s="9">
        <v>11</v>
      </c>
      <c r="DJ418" s="9">
        <v>5</v>
      </c>
      <c r="DK418" s="9">
        <v>5</v>
      </c>
      <c r="DL418" s="9">
        <v>5</v>
      </c>
      <c r="DM418" s="9">
        <v>5</v>
      </c>
      <c r="DN418" s="9">
        <v>5</v>
      </c>
      <c r="DO418" s="9">
        <v>5</v>
      </c>
      <c r="DP418" s="25" t="s">
        <v>208</v>
      </c>
      <c r="DQ418" s="25" t="s">
        <v>208</v>
      </c>
      <c r="DR418" s="25" t="s">
        <v>208</v>
      </c>
      <c r="DS418" s="25" t="s">
        <v>109</v>
      </c>
      <c r="DT418" s="25" t="s">
        <v>109</v>
      </c>
      <c r="DU418" s="25" t="s">
        <v>109</v>
      </c>
      <c r="DV418" s="25">
        <f t="shared" si="258"/>
        <v>1</v>
      </c>
      <c r="DW418" s="25">
        <f t="shared" si="259"/>
        <v>1</v>
      </c>
      <c r="DX418" s="25">
        <f t="shared" si="260"/>
        <v>1</v>
      </c>
      <c r="DY418" s="25">
        <f t="shared" si="261"/>
        <v>2</v>
      </c>
      <c r="DZ418" s="25">
        <f t="shared" si="262"/>
        <v>2</v>
      </c>
      <c r="EA418" s="3">
        <f t="shared" si="263"/>
        <v>2</v>
      </c>
      <c r="EB418" s="51"/>
      <c r="EC418" s="9">
        <v>5302134</v>
      </c>
      <c r="ED418" s="34" t="s">
        <v>218</v>
      </c>
      <c r="EE418" s="8">
        <v>1</v>
      </c>
    </row>
    <row r="419" spans="1:135" ht="13.5" customHeight="1">
      <c r="A419" s="9">
        <v>416</v>
      </c>
      <c r="B419" s="9">
        <v>1</v>
      </c>
      <c r="C419" s="9">
        <v>2001</v>
      </c>
      <c r="D419" s="9">
        <f t="shared" si="278"/>
        <v>9921760</v>
      </c>
      <c r="E419" s="9" t="str">
        <f t="shared" si="275"/>
        <v>5202111,5202112,5200111,5501115,5602114,5400115</v>
      </c>
      <c r="F419" s="9" t="str">
        <f t="shared" si="276"/>
        <v>11,11,11,11,11,11</v>
      </c>
      <c r="G419" s="9" t="str">
        <f t="shared" si="277"/>
        <v>849,918,918,918,918,918</v>
      </c>
      <c r="H419" s="9">
        <v>206</v>
      </c>
      <c r="I419" s="9" t="s">
        <v>278</v>
      </c>
      <c r="J419" s="9" t="s">
        <v>279</v>
      </c>
      <c r="K419" s="9" t="s">
        <v>279</v>
      </c>
      <c r="L419" s="9" t="s">
        <v>279</v>
      </c>
      <c r="M419" s="36" t="s">
        <v>307</v>
      </c>
      <c r="N419" s="40"/>
      <c r="O419" s="3">
        <f t="shared" si="279"/>
        <v>9921760</v>
      </c>
      <c r="P419" s="9">
        <v>7843288.4900000002</v>
      </c>
      <c r="Q419" s="9">
        <v>5202111</v>
      </c>
      <c r="R419" s="9">
        <v>5202112</v>
      </c>
      <c r="S419" s="9">
        <v>5200111</v>
      </c>
      <c r="T419" s="9">
        <v>5501115</v>
      </c>
      <c r="U419" s="9">
        <v>5602114</v>
      </c>
      <c r="V419" s="9">
        <v>5400115</v>
      </c>
      <c r="W419" s="9">
        <v>11</v>
      </c>
      <c r="X419" s="9">
        <v>11</v>
      </c>
      <c r="Y419" s="9">
        <v>11</v>
      </c>
      <c r="Z419" s="9">
        <v>11</v>
      </c>
      <c r="AA419" s="9">
        <v>11</v>
      </c>
      <c r="AB419" s="9">
        <v>11</v>
      </c>
      <c r="AC419" s="9">
        <f t="shared" si="264"/>
        <v>849</v>
      </c>
      <c r="AD419" s="9">
        <f t="shared" si="265"/>
        <v>918</v>
      </c>
      <c r="AE419" s="9">
        <f t="shared" si="266"/>
        <v>918</v>
      </c>
      <c r="AF419" s="9">
        <f t="shared" si="267"/>
        <v>918</v>
      </c>
      <c r="AG419" s="9">
        <f t="shared" si="268"/>
        <v>918</v>
      </c>
      <c r="AH419" s="9">
        <f t="shared" si="269"/>
        <v>918</v>
      </c>
      <c r="AI419" s="7">
        <f t="shared" si="244"/>
        <v>1307214.7483333333</v>
      </c>
      <c r="AJ419" s="7">
        <f t="shared" si="280"/>
        <v>1307214.7483333333</v>
      </c>
      <c r="AK419" s="7">
        <f t="shared" si="280"/>
        <v>1307214.7483333333</v>
      </c>
      <c r="AL419" s="7">
        <f t="shared" si="280"/>
        <v>1307214.7483333333</v>
      </c>
      <c r="AM419" s="7">
        <f t="shared" si="280"/>
        <v>1307214.7483333333</v>
      </c>
      <c r="AN419" s="7">
        <f t="shared" si="280"/>
        <v>1307214.7483333333</v>
      </c>
      <c r="AO419" s="16"/>
      <c r="AP419" s="7"/>
      <c r="AQ419" s="9">
        <v>7</v>
      </c>
      <c r="AR419" s="9">
        <f t="shared" si="270"/>
        <v>1115</v>
      </c>
      <c r="AS419" s="7">
        <f t="shared" si="281"/>
        <v>308</v>
      </c>
      <c r="AT419" s="7"/>
      <c r="AU419" s="16"/>
      <c r="AV419" s="7"/>
      <c r="AW419" s="7"/>
      <c r="AX419" s="7"/>
      <c r="AZ419" s="7"/>
      <c r="BA419" s="9">
        <f t="shared" ref="BA419:BA452" si="282">BA418+($BA$453-$BA$353)/($A$453-$A$353)</f>
        <v>828348.98000000184</v>
      </c>
      <c r="BC419" s="5">
        <f t="shared" si="271"/>
        <v>793</v>
      </c>
      <c r="BR419" s="5">
        <v>1203015</v>
      </c>
      <c r="BS419" s="18">
        <f>[1]monsters!$N419</f>
        <v>382.29</v>
      </c>
      <c r="BT419" s="18">
        <f>[1]monsters!$O419</f>
        <v>38.229999999999997</v>
      </c>
      <c r="BU419" s="18">
        <f>[1]monsters!$P419</f>
        <v>2194.29</v>
      </c>
      <c r="BV419" s="18">
        <f>[1]monsters!$Q419</f>
        <v>219.43</v>
      </c>
      <c r="BW419" s="18">
        <f>[1]monsters!$R419</f>
        <v>47.79</v>
      </c>
      <c r="BX419" s="18">
        <f>[1]monsters!$S419</f>
        <v>4.78</v>
      </c>
      <c r="BY419" s="18">
        <f>[1]monsters!$K419</f>
        <v>1.6</v>
      </c>
      <c r="BZ419" s="5">
        <f>[1]monsters!$D419</f>
        <v>5</v>
      </c>
      <c r="CA419" s="5">
        <f t="shared" si="272"/>
        <v>0.1</v>
      </c>
      <c r="CB419" s="5">
        <f t="shared" si="273"/>
        <v>435.14586818181823</v>
      </c>
      <c r="CC419" s="5">
        <f t="shared" si="274"/>
        <v>43.514586818181826</v>
      </c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>
        <v>0</v>
      </c>
      <c r="CR419" s="3" t="b">
        <f t="shared" si="246"/>
        <v>1</v>
      </c>
      <c r="CS419" s="3" t="b">
        <f t="shared" si="247"/>
        <v>1</v>
      </c>
      <c r="CT419" s="3" t="b">
        <f t="shared" si="248"/>
        <v>1</v>
      </c>
      <c r="CU419" s="3" t="b">
        <f t="shared" si="249"/>
        <v>1</v>
      </c>
      <c r="CV419" s="3" t="b">
        <f t="shared" si="250"/>
        <v>1</v>
      </c>
      <c r="CW419" s="3" t="b">
        <f t="shared" si="251"/>
        <v>1</v>
      </c>
      <c r="CX419" s="9" t="str">
        <f t="shared" si="252"/>
        <v>5202111</v>
      </c>
      <c r="CY419" s="9" t="str">
        <f t="shared" si="253"/>
        <v>5202112</v>
      </c>
      <c r="CZ419" s="9" t="str">
        <f t="shared" si="254"/>
        <v>5200111</v>
      </c>
      <c r="DA419" s="9" t="str">
        <f t="shared" si="255"/>
        <v>5501115</v>
      </c>
      <c r="DB419" s="9" t="str">
        <f t="shared" si="256"/>
        <v>5602114</v>
      </c>
      <c r="DC419" s="9" t="str">
        <f t="shared" si="257"/>
        <v>5400115</v>
      </c>
      <c r="DD419" s="9">
        <v>11</v>
      </c>
      <c r="DE419" s="9">
        <v>11</v>
      </c>
      <c r="DF419" s="9">
        <v>11</v>
      </c>
      <c r="DG419" s="9">
        <v>11</v>
      </c>
      <c r="DH419" s="9">
        <v>11</v>
      </c>
      <c r="DI419" s="9">
        <v>11</v>
      </c>
      <c r="DJ419" s="9">
        <v>5</v>
      </c>
      <c r="DK419" s="9">
        <v>5</v>
      </c>
      <c r="DL419" s="9">
        <v>5</v>
      </c>
      <c r="DM419" s="9">
        <v>5</v>
      </c>
      <c r="DN419" s="9">
        <v>5</v>
      </c>
      <c r="DO419" s="9">
        <v>5</v>
      </c>
      <c r="DP419" s="25" t="s">
        <v>111</v>
      </c>
      <c r="DQ419" s="25" t="s">
        <v>200</v>
      </c>
      <c r="DR419" s="25" t="s">
        <v>194</v>
      </c>
      <c r="DS419" s="25" t="s">
        <v>209</v>
      </c>
      <c r="DT419" s="25" t="s">
        <v>220</v>
      </c>
      <c r="DU419" s="25" t="s">
        <v>210</v>
      </c>
      <c r="DV419" s="25">
        <f t="shared" si="258"/>
        <v>1</v>
      </c>
      <c r="DW419" s="25">
        <f t="shared" si="259"/>
        <v>1</v>
      </c>
      <c r="DX419" s="25">
        <f t="shared" si="260"/>
        <v>1</v>
      </c>
      <c r="DY419" s="25">
        <f t="shared" si="261"/>
        <v>2</v>
      </c>
      <c r="DZ419" s="25">
        <f t="shared" si="262"/>
        <v>2</v>
      </c>
      <c r="EA419" s="3">
        <f t="shared" si="263"/>
        <v>2</v>
      </c>
      <c r="EB419" s="50"/>
      <c r="EC419" s="9">
        <v>5501134</v>
      </c>
      <c r="ED419" s="34" t="s">
        <v>214</v>
      </c>
      <c r="EE419" s="8">
        <v>2</v>
      </c>
    </row>
    <row r="420" spans="1:135" ht="13.5" customHeight="1">
      <c r="A420" s="9">
        <v>417</v>
      </c>
      <c r="B420" s="9">
        <v>1</v>
      </c>
      <c r="C420" s="9">
        <v>2001</v>
      </c>
      <c r="D420" s="9">
        <f t="shared" si="278"/>
        <v>9956799</v>
      </c>
      <c r="E420" s="9" t="str">
        <f t="shared" si="275"/>
        <v>5202112,5201112,5301111,5501114,5500113,5501114</v>
      </c>
      <c r="F420" s="9" t="str">
        <f t="shared" si="276"/>
        <v>11,11,11,11,11,11</v>
      </c>
      <c r="G420" s="9" t="str">
        <f t="shared" si="277"/>
        <v>850,919,919,919,919,919</v>
      </c>
      <c r="H420" s="9">
        <v>206</v>
      </c>
      <c r="I420" s="9" t="s">
        <v>278</v>
      </c>
      <c r="J420" s="9" t="s">
        <v>279</v>
      </c>
      <c r="K420" s="9" t="s">
        <v>279</v>
      </c>
      <c r="L420" s="9" t="s">
        <v>279</v>
      </c>
      <c r="M420" s="36" t="s">
        <v>307</v>
      </c>
      <c r="N420" s="40"/>
      <c r="O420" s="3">
        <f t="shared" si="279"/>
        <v>9956799</v>
      </c>
      <c r="P420" s="9">
        <v>7870987.2999999998</v>
      </c>
      <c r="Q420" s="9">
        <v>5202112</v>
      </c>
      <c r="R420" s="9">
        <v>5201112</v>
      </c>
      <c r="S420" s="9">
        <v>5301111</v>
      </c>
      <c r="T420" s="9">
        <v>5501114</v>
      </c>
      <c r="U420" s="9">
        <v>5500113</v>
      </c>
      <c r="V420" s="9">
        <v>5501114</v>
      </c>
      <c r="W420" s="9">
        <v>11</v>
      </c>
      <c r="X420" s="9">
        <v>11</v>
      </c>
      <c r="Y420" s="9">
        <v>11</v>
      </c>
      <c r="Z420" s="9">
        <v>11</v>
      </c>
      <c r="AA420" s="9">
        <v>11</v>
      </c>
      <c r="AB420" s="9">
        <v>11</v>
      </c>
      <c r="AC420" s="9">
        <f t="shared" si="264"/>
        <v>850</v>
      </c>
      <c r="AD420" s="9">
        <f t="shared" si="265"/>
        <v>919</v>
      </c>
      <c r="AE420" s="9">
        <f t="shared" si="266"/>
        <v>919</v>
      </c>
      <c r="AF420" s="9">
        <f t="shared" si="267"/>
        <v>919</v>
      </c>
      <c r="AG420" s="9">
        <f t="shared" si="268"/>
        <v>919</v>
      </c>
      <c r="AH420" s="9">
        <f t="shared" si="269"/>
        <v>919</v>
      </c>
      <c r="AI420" s="7">
        <f t="shared" si="244"/>
        <v>1311831.2166666666</v>
      </c>
      <c r="AJ420" s="7">
        <f t="shared" si="280"/>
        <v>1311831.2166666666</v>
      </c>
      <c r="AK420" s="7">
        <f t="shared" si="280"/>
        <v>1311831.2166666666</v>
      </c>
      <c r="AL420" s="7">
        <f t="shared" si="280"/>
        <v>1311831.2166666666</v>
      </c>
      <c r="AM420" s="7">
        <f t="shared" si="280"/>
        <v>1311831.2166666666</v>
      </c>
      <c r="AN420" s="7">
        <f t="shared" si="280"/>
        <v>1311831.2166666666</v>
      </c>
      <c r="AO420" s="16"/>
      <c r="AP420" s="7"/>
      <c r="AQ420" s="9">
        <v>7</v>
      </c>
      <c r="AR420" s="9">
        <f t="shared" si="270"/>
        <v>1117</v>
      </c>
      <c r="AS420" s="7">
        <f t="shared" si="281"/>
        <v>308</v>
      </c>
      <c r="AT420" s="7"/>
      <c r="AU420" s="16"/>
      <c r="AV420" s="7"/>
      <c r="AW420" s="7"/>
      <c r="AX420" s="7"/>
      <c r="AZ420" s="7"/>
      <c r="BA420" s="9">
        <f t="shared" si="282"/>
        <v>833241.51000000187</v>
      </c>
      <c r="BC420" s="5">
        <f t="shared" si="271"/>
        <v>795</v>
      </c>
      <c r="BR420" s="5">
        <v>1403015</v>
      </c>
      <c r="BS420" s="18">
        <f>[1]monsters!$N420</f>
        <v>370.35</v>
      </c>
      <c r="BT420" s="18">
        <f>[1]monsters!$O420</f>
        <v>37.03</v>
      </c>
      <c r="BU420" s="18">
        <f>[1]monsters!$P420</f>
        <v>1981.94</v>
      </c>
      <c r="BV420" s="18">
        <f>[1]monsters!$Q420</f>
        <v>198.19</v>
      </c>
      <c r="BW420" s="18">
        <f>[1]monsters!$R420</f>
        <v>37.03</v>
      </c>
      <c r="BX420" s="18">
        <f>[1]monsters!$S420</f>
        <v>3.7</v>
      </c>
      <c r="BY420" s="18">
        <f>[1]monsters!$K420</f>
        <v>1.4</v>
      </c>
      <c r="BZ420" s="5">
        <f>[1]monsters!$D420</f>
        <v>6</v>
      </c>
      <c r="CA420" s="5">
        <f t="shared" si="272"/>
        <v>0.1</v>
      </c>
      <c r="CB420" s="5">
        <f t="shared" si="273"/>
        <v>416.71273653198659</v>
      </c>
      <c r="CC420" s="5">
        <f t="shared" si="274"/>
        <v>41.671273653198661</v>
      </c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>
        <v>0</v>
      </c>
      <c r="CR420" s="3" t="b">
        <f t="shared" si="246"/>
        <v>1</v>
      </c>
      <c r="CS420" s="3" t="b">
        <f t="shared" si="247"/>
        <v>1</v>
      </c>
      <c r="CT420" s="3" t="b">
        <f t="shared" si="248"/>
        <v>1</v>
      </c>
      <c r="CU420" s="3" t="b">
        <f t="shared" si="249"/>
        <v>1</v>
      </c>
      <c r="CV420" s="3" t="b">
        <f t="shared" si="250"/>
        <v>1</v>
      </c>
      <c r="CW420" s="3" t="b">
        <f t="shared" si="251"/>
        <v>1</v>
      </c>
      <c r="CX420" s="9" t="str">
        <f t="shared" si="252"/>
        <v>5202112</v>
      </c>
      <c r="CY420" s="9" t="str">
        <f t="shared" si="253"/>
        <v>5201112</v>
      </c>
      <c r="CZ420" s="9" t="str">
        <f t="shared" si="254"/>
        <v>5301111</v>
      </c>
      <c r="DA420" s="9" t="str">
        <f t="shared" si="255"/>
        <v>5501114</v>
      </c>
      <c r="DB420" s="9" t="str">
        <f t="shared" si="256"/>
        <v>5500113</v>
      </c>
      <c r="DC420" s="9" t="str">
        <f t="shared" si="257"/>
        <v>5501114</v>
      </c>
      <c r="DD420" s="9">
        <v>11</v>
      </c>
      <c r="DE420" s="9">
        <v>11</v>
      </c>
      <c r="DF420" s="9">
        <v>11</v>
      </c>
      <c r="DG420" s="9">
        <v>11</v>
      </c>
      <c r="DH420" s="9">
        <v>11</v>
      </c>
      <c r="DI420" s="9">
        <v>11</v>
      </c>
      <c r="DJ420" s="9">
        <v>5</v>
      </c>
      <c r="DK420" s="9">
        <v>5</v>
      </c>
      <c r="DL420" s="9">
        <v>5</v>
      </c>
      <c r="DM420" s="9">
        <v>5</v>
      </c>
      <c r="DN420" s="9">
        <v>5</v>
      </c>
      <c r="DO420" s="9">
        <v>5</v>
      </c>
      <c r="DP420" s="25" t="s">
        <v>200</v>
      </c>
      <c r="DQ420" s="25" t="s">
        <v>114</v>
      </c>
      <c r="DR420" s="25" t="s">
        <v>107</v>
      </c>
      <c r="DS420" s="25" t="s">
        <v>214</v>
      </c>
      <c r="DT420" s="25" t="s">
        <v>207</v>
      </c>
      <c r="DU420" s="25" t="s">
        <v>214</v>
      </c>
      <c r="DV420" s="25">
        <f t="shared" si="258"/>
        <v>1</v>
      </c>
      <c r="DW420" s="25">
        <f t="shared" si="259"/>
        <v>1</v>
      </c>
      <c r="DX420" s="25">
        <f t="shared" si="260"/>
        <v>1</v>
      </c>
      <c r="DY420" s="25">
        <f t="shared" si="261"/>
        <v>2</v>
      </c>
      <c r="DZ420" s="25">
        <f t="shared" si="262"/>
        <v>2</v>
      </c>
      <c r="EA420" s="3">
        <f t="shared" si="263"/>
        <v>2</v>
      </c>
      <c r="EB420" s="50"/>
      <c r="EC420" s="9">
        <v>5600134</v>
      </c>
      <c r="ED420" s="34" t="s">
        <v>219</v>
      </c>
      <c r="EE420" s="8">
        <v>1</v>
      </c>
    </row>
    <row r="421" spans="1:135" ht="13.5" customHeight="1">
      <c r="A421" s="9">
        <v>418</v>
      </c>
      <c r="B421" s="9">
        <v>1</v>
      </c>
      <c r="C421" s="9">
        <v>2001</v>
      </c>
      <c r="D421" s="9">
        <f t="shared" si="278"/>
        <v>9991901</v>
      </c>
      <c r="E421" s="9" t="str">
        <f t="shared" si="275"/>
        <v>5200113,5200113,5201112,5500113,5500111,5400115</v>
      </c>
      <c r="F421" s="9" t="str">
        <f t="shared" si="276"/>
        <v>11,11,11,11,11,11</v>
      </c>
      <c r="G421" s="9" t="str">
        <f t="shared" si="277"/>
        <v>852,921,921,921,921,921</v>
      </c>
      <c r="H421" s="9">
        <v>207</v>
      </c>
      <c r="I421" s="9" t="s">
        <v>278</v>
      </c>
      <c r="J421" s="9" t="s">
        <v>279</v>
      </c>
      <c r="K421" s="9" t="s">
        <v>279</v>
      </c>
      <c r="L421" s="9" t="s">
        <v>279</v>
      </c>
      <c r="M421" s="36" t="s">
        <v>307</v>
      </c>
      <c r="N421" s="40"/>
      <c r="O421" s="3">
        <f t="shared" si="279"/>
        <v>9991901</v>
      </c>
      <c r="P421" s="9">
        <v>7898735.8600000003</v>
      </c>
      <c r="Q421" s="9">
        <v>5200113</v>
      </c>
      <c r="R421" s="9">
        <v>5200113</v>
      </c>
      <c r="S421" s="9">
        <v>5201112</v>
      </c>
      <c r="T421" s="9">
        <v>5500113</v>
      </c>
      <c r="U421" s="9">
        <v>5500111</v>
      </c>
      <c r="V421" s="9">
        <v>5400115</v>
      </c>
      <c r="W421" s="9">
        <v>11</v>
      </c>
      <c r="X421" s="9">
        <v>11</v>
      </c>
      <c r="Y421" s="9">
        <v>11</v>
      </c>
      <c r="Z421" s="9">
        <v>11</v>
      </c>
      <c r="AA421" s="9">
        <v>11</v>
      </c>
      <c r="AB421" s="9">
        <v>11</v>
      </c>
      <c r="AC421" s="9">
        <f t="shared" si="264"/>
        <v>852</v>
      </c>
      <c r="AD421" s="9">
        <f t="shared" si="265"/>
        <v>921</v>
      </c>
      <c r="AE421" s="9">
        <f t="shared" si="266"/>
        <v>921</v>
      </c>
      <c r="AF421" s="9">
        <f t="shared" si="267"/>
        <v>921</v>
      </c>
      <c r="AG421" s="9">
        <f t="shared" si="268"/>
        <v>921</v>
      </c>
      <c r="AH421" s="9">
        <f t="shared" si="269"/>
        <v>921</v>
      </c>
      <c r="AI421" s="7">
        <f t="shared" si="244"/>
        <v>1316455.9766666668</v>
      </c>
      <c r="AJ421" s="7">
        <f t="shared" si="280"/>
        <v>1316455.9766666668</v>
      </c>
      <c r="AK421" s="7">
        <f t="shared" si="280"/>
        <v>1316455.9766666668</v>
      </c>
      <c r="AL421" s="7">
        <f t="shared" si="280"/>
        <v>1316455.9766666668</v>
      </c>
      <c r="AM421" s="7">
        <f t="shared" si="280"/>
        <v>1316455.9766666668</v>
      </c>
      <c r="AN421" s="7">
        <f t="shared" si="280"/>
        <v>1316455.9766666668</v>
      </c>
      <c r="AO421" s="16"/>
      <c r="AP421" s="7"/>
      <c r="AQ421" s="9">
        <v>7</v>
      </c>
      <c r="AR421" s="9">
        <f t="shared" si="270"/>
        <v>1119</v>
      </c>
      <c r="AS421" s="7">
        <f t="shared" si="281"/>
        <v>309</v>
      </c>
      <c r="AT421" s="7"/>
      <c r="AU421" s="16"/>
      <c r="AV421" s="7"/>
      <c r="AW421" s="7"/>
      <c r="AX421" s="7"/>
      <c r="AZ421" s="7"/>
      <c r="BA421" s="9">
        <f t="shared" si="282"/>
        <v>838134.0400000019</v>
      </c>
      <c r="BC421" s="5">
        <f t="shared" si="271"/>
        <v>796</v>
      </c>
      <c r="BR421" s="5">
        <v>1204015</v>
      </c>
      <c r="BS421" s="18">
        <f>[1]monsters!$N421</f>
        <v>476.16</v>
      </c>
      <c r="BT421" s="18">
        <f>[1]monsters!$O421</f>
        <v>47.62</v>
      </c>
      <c r="BU421" s="18">
        <f>[1]monsters!$P421</f>
        <v>1981.94</v>
      </c>
      <c r="BV421" s="18">
        <f>[1]monsters!$Q421</f>
        <v>198.19</v>
      </c>
      <c r="BW421" s="18">
        <f>[1]monsters!$R421</f>
        <v>47.62</v>
      </c>
      <c r="BX421" s="18">
        <f>[1]monsters!$S421</f>
        <v>4.76</v>
      </c>
      <c r="BY421" s="18">
        <f>[1]monsters!$K421</f>
        <v>1.8</v>
      </c>
      <c r="BZ421" s="5">
        <f>[1]monsters!$D421</f>
        <v>6</v>
      </c>
      <c r="CA421" s="5">
        <f t="shared" si="272"/>
        <v>0.1</v>
      </c>
      <c r="CB421" s="5">
        <f t="shared" si="273"/>
        <v>516.7031865319866</v>
      </c>
      <c r="CC421" s="5">
        <f t="shared" si="274"/>
        <v>51.670318653198663</v>
      </c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>
        <v>0</v>
      </c>
      <c r="CR421" s="3" t="b">
        <f t="shared" si="246"/>
        <v>1</v>
      </c>
      <c r="CS421" s="3" t="b">
        <f t="shared" si="247"/>
        <v>1</v>
      </c>
      <c r="CT421" s="3" t="b">
        <f t="shared" si="248"/>
        <v>1</v>
      </c>
      <c r="CU421" s="3" t="b">
        <f t="shared" si="249"/>
        <v>1</v>
      </c>
      <c r="CV421" s="3" t="b">
        <f t="shared" si="250"/>
        <v>1</v>
      </c>
      <c r="CW421" s="3" t="b">
        <f t="shared" si="251"/>
        <v>1</v>
      </c>
      <c r="CX421" s="9" t="str">
        <f t="shared" si="252"/>
        <v>5200113</v>
      </c>
      <c r="CY421" s="9" t="str">
        <f t="shared" si="253"/>
        <v>5200113</v>
      </c>
      <c r="CZ421" s="9" t="str">
        <f t="shared" si="254"/>
        <v>5201112</v>
      </c>
      <c r="DA421" s="9" t="str">
        <f t="shared" si="255"/>
        <v>5500113</v>
      </c>
      <c r="DB421" s="9" t="str">
        <f t="shared" si="256"/>
        <v>5500111</v>
      </c>
      <c r="DC421" s="9" t="str">
        <f t="shared" si="257"/>
        <v>5400115</v>
      </c>
      <c r="DD421" s="9">
        <v>11</v>
      </c>
      <c r="DE421" s="9">
        <v>11</v>
      </c>
      <c r="DF421" s="9">
        <v>11</v>
      </c>
      <c r="DG421" s="9">
        <v>11</v>
      </c>
      <c r="DH421" s="9">
        <v>11</v>
      </c>
      <c r="DI421" s="9">
        <v>11</v>
      </c>
      <c r="DJ421" s="9">
        <v>5</v>
      </c>
      <c r="DK421" s="9">
        <v>5</v>
      </c>
      <c r="DL421" s="9">
        <v>5</v>
      </c>
      <c r="DM421" s="9">
        <v>5</v>
      </c>
      <c r="DN421" s="9">
        <v>5</v>
      </c>
      <c r="DO421" s="9">
        <v>5</v>
      </c>
      <c r="DP421" s="27" t="s">
        <v>113</v>
      </c>
      <c r="DQ421" s="27" t="s">
        <v>113</v>
      </c>
      <c r="DR421" s="27" t="s">
        <v>114</v>
      </c>
      <c r="DS421" s="25" t="s">
        <v>207</v>
      </c>
      <c r="DT421" s="25" t="s">
        <v>197</v>
      </c>
      <c r="DU421" s="25" t="s">
        <v>210</v>
      </c>
      <c r="DV421" s="25">
        <f t="shared" si="258"/>
        <v>1</v>
      </c>
      <c r="DW421" s="25">
        <f t="shared" si="259"/>
        <v>1</v>
      </c>
      <c r="DX421" s="25">
        <f t="shared" si="260"/>
        <v>1</v>
      </c>
      <c r="DY421" s="25">
        <f t="shared" si="261"/>
        <v>2</v>
      </c>
      <c r="DZ421" s="25">
        <f t="shared" si="262"/>
        <v>2</v>
      </c>
      <c r="EA421" s="3">
        <f t="shared" si="263"/>
        <v>2</v>
      </c>
      <c r="EB421" s="50"/>
      <c r="EC421" s="9">
        <v>5602134</v>
      </c>
      <c r="ED421" s="34" t="s">
        <v>220</v>
      </c>
      <c r="EE421" s="8">
        <v>2</v>
      </c>
    </row>
    <row r="422" spans="1:135" ht="13.5" customHeight="1">
      <c r="A422" s="9">
        <v>419</v>
      </c>
      <c r="B422" s="9">
        <v>1</v>
      </c>
      <c r="C422" s="9">
        <v>2001</v>
      </c>
      <c r="D422" s="9">
        <f t="shared" si="278"/>
        <v>10027066</v>
      </c>
      <c r="E422" s="9" t="str">
        <f t="shared" si="275"/>
        <v>5300115,5202115,5202115,5401113,5402112,5401113</v>
      </c>
      <c r="F422" s="9" t="str">
        <f t="shared" si="276"/>
        <v>11,11,11,11,11,11</v>
      </c>
      <c r="G422" s="9" t="str">
        <f t="shared" si="277"/>
        <v>853,923,923,923,923,923</v>
      </c>
      <c r="H422" s="9">
        <v>207</v>
      </c>
      <c r="I422" s="9" t="s">
        <v>278</v>
      </c>
      <c r="J422" s="9" t="s">
        <v>279</v>
      </c>
      <c r="K422" s="9" t="s">
        <v>279</v>
      </c>
      <c r="L422" s="9" t="s">
        <v>279</v>
      </c>
      <c r="M422" s="36" t="s">
        <v>307</v>
      </c>
      <c r="N422" s="40"/>
      <c r="O422" s="3">
        <f t="shared" si="279"/>
        <v>10027066</v>
      </c>
      <c r="P422" s="9">
        <v>7926534.1699999999</v>
      </c>
      <c r="Q422" s="9">
        <v>5300115</v>
      </c>
      <c r="R422" s="9">
        <v>5202115</v>
      </c>
      <c r="S422" s="9">
        <v>5202115</v>
      </c>
      <c r="T422" s="9">
        <v>5401113</v>
      </c>
      <c r="U422" s="9">
        <v>5402112</v>
      </c>
      <c r="V422" s="9">
        <v>5401113</v>
      </c>
      <c r="W422" s="9">
        <v>11</v>
      </c>
      <c r="X422" s="9">
        <v>11</v>
      </c>
      <c r="Y422" s="9">
        <v>11</v>
      </c>
      <c r="Z422" s="9">
        <v>11</v>
      </c>
      <c r="AA422" s="9">
        <v>11</v>
      </c>
      <c r="AB422" s="9">
        <v>11</v>
      </c>
      <c r="AC422" s="9">
        <f t="shared" si="264"/>
        <v>853</v>
      </c>
      <c r="AD422" s="9">
        <f t="shared" si="265"/>
        <v>923</v>
      </c>
      <c r="AE422" s="9">
        <f t="shared" si="266"/>
        <v>923</v>
      </c>
      <c r="AF422" s="9">
        <f t="shared" si="267"/>
        <v>923</v>
      </c>
      <c r="AG422" s="9">
        <f t="shared" si="268"/>
        <v>923</v>
      </c>
      <c r="AH422" s="9">
        <f t="shared" si="269"/>
        <v>923</v>
      </c>
      <c r="AI422" s="7">
        <f t="shared" si="244"/>
        <v>1321089.0283333333</v>
      </c>
      <c r="AJ422" s="7">
        <f t="shared" si="280"/>
        <v>1321089.0283333333</v>
      </c>
      <c r="AK422" s="7">
        <f t="shared" si="280"/>
        <v>1321089.0283333333</v>
      </c>
      <c r="AL422" s="7">
        <f t="shared" si="280"/>
        <v>1321089.0283333333</v>
      </c>
      <c r="AM422" s="7">
        <f t="shared" si="280"/>
        <v>1321089.0283333333</v>
      </c>
      <c r="AN422" s="7">
        <f t="shared" si="280"/>
        <v>1321089.0283333333</v>
      </c>
      <c r="AO422" s="16"/>
      <c r="AP422" s="7"/>
      <c r="AQ422" s="9">
        <v>7</v>
      </c>
      <c r="AR422" s="9">
        <f t="shared" si="270"/>
        <v>1121</v>
      </c>
      <c r="AS422" s="7">
        <f t="shared" si="281"/>
        <v>309</v>
      </c>
      <c r="AT422" s="7"/>
      <c r="AU422" s="16"/>
      <c r="AV422" s="7"/>
      <c r="AW422" s="7"/>
      <c r="AX422" s="7"/>
      <c r="AZ422" s="7"/>
      <c r="BA422" s="9">
        <f t="shared" si="282"/>
        <v>843026.57000000193</v>
      </c>
      <c r="BC422" s="5">
        <f t="shared" si="271"/>
        <v>798</v>
      </c>
      <c r="BR422" s="5">
        <v>1404015</v>
      </c>
      <c r="BS422" s="18">
        <f>[1]monsters!$N422</f>
        <v>276.48</v>
      </c>
      <c r="BT422" s="18">
        <f>[1]monsters!$O422</f>
        <v>27.65</v>
      </c>
      <c r="BU422" s="18">
        <f>[1]monsters!$P422</f>
        <v>3413.33</v>
      </c>
      <c r="BV422" s="18">
        <f>[1]monsters!$Q422</f>
        <v>341.33</v>
      </c>
      <c r="BW422" s="18">
        <f>[1]monsters!$R422</f>
        <v>55.3</v>
      </c>
      <c r="BX422" s="18">
        <f>[1]monsters!$S422</f>
        <v>5.53</v>
      </c>
      <c r="BY422" s="18">
        <f>[1]monsters!$K422</f>
        <v>1.8</v>
      </c>
      <c r="BZ422" s="5">
        <f>[1]monsters!$D422</f>
        <v>2</v>
      </c>
      <c r="CA422" s="5">
        <f t="shared" si="272"/>
        <v>0.1</v>
      </c>
      <c r="CB422" s="5">
        <f t="shared" si="273"/>
        <v>376.20053602693611</v>
      </c>
      <c r="CC422" s="5">
        <f t="shared" si="274"/>
        <v>37.620053602693609</v>
      </c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>
        <v>0</v>
      </c>
      <c r="CR422" s="3" t="b">
        <f t="shared" si="246"/>
        <v>1</v>
      </c>
      <c r="CS422" s="3" t="b">
        <f t="shared" si="247"/>
        <v>1</v>
      </c>
      <c r="CT422" s="3" t="b">
        <f t="shared" si="248"/>
        <v>1</v>
      </c>
      <c r="CU422" s="3" t="b">
        <f t="shared" si="249"/>
        <v>1</v>
      </c>
      <c r="CV422" s="3" t="b">
        <f t="shared" si="250"/>
        <v>1</v>
      </c>
      <c r="CW422" s="3" t="b">
        <f t="shared" si="251"/>
        <v>1</v>
      </c>
      <c r="CX422" s="9" t="str">
        <f t="shared" si="252"/>
        <v>5300115</v>
      </c>
      <c r="CY422" s="9" t="str">
        <f t="shared" si="253"/>
        <v>5202115</v>
      </c>
      <c r="CZ422" s="9" t="str">
        <f t="shared" si="254"/>
        <v>5202115</v>
      </c>
      <c r="DA422" s="9" t="str">
        <f t="shared" si="255"/>
        <v>5401113</v>
      </c>
      <c r="DB422" s="9" t="str">
        <f t="shared" si="256"/>
        <v>5402112</v>
      </c>
      <c r="DC422" s="9" t="str">
        <f t="shared" si="257"/>
        <v>5401113</v>
      </c>
      <c r="DD422" s="9">
        <v>11</v>
      </c>
      <c r="DE422" s="9">
        <v>11</v>
      </c>
      <c r="DF422" s="9">
        <v>11</v>
      </c>
      <c r="DG422" s="9">
        <v>11</v>
      </c>
      <c r="DH422" s="9">
        <v>11</v>
      </c>
      <c r="DI422" s="9">
        <v>11</v>
      </c>
      <c r="DJ422" s="9">
        <v>5</v>
      </c>
      <c r="DK422" s="9">
        <v>5</v>
      </c>
      <c r="DL422" s="9">
        <v>5</v>
      </c>
      <c r="DM422" s="9">
        <v>5</v>
      </c>
      <c r="DN422" s="9">
        <v>5</v>
      </c>
      <c r="DO422" s="9">
        <v>5</v>
      </c>
      <c r="DP422" s="25" t="s">
        <v>212</v>
      </c>
      <c r="DQ422" s="25" t="s">
        <v>213</v>
      </c>
      <c r="DR422" s="25" t="s">
        <v>213</v>
      </c>
      <c r="DS422" s="25" t="s">
        <v>211</v>
      </c>
      <c r="DT422" s="25" t="s">
        <v>203</v>
      </c>
      <c r="DU422" s="25" t="s">
        <v>211</v>
      </c>
      <c r="DV422" s="25">
        <f t="shared" si="258"/>
        <v>1</v>
      </c>
      <c r="DW422" s="25">
        <f t="shared" si="259"/>
        <v>1</v>
      </c>
      <c r="DX422" s="25">
        <f t="shared" si="260"/>
        <v>1</v>
      </c>
      <c r="DY422" s="25">
        <f t="shared" si="261"/>
        <v>2</v>
      </c>
      <c r="DZ422" s="25">
        <f t="shared" si="262"/>
        <v>2</v>
      </c>
      <c r="EA422" s="3">
        <f t="shared" si="263"/>
        <v>2</v>
      </c>
      <c r="EB422" s="51"/>
      <c r="EC422" s="9">
        <v>5202135</v>
      </c>
      <c r="ED422" s="34" t="s">
        <v>213</v>
      </c>
      <c r="EE422" s="8">
        <v>1</v>
      </c>
    </row>
    <row r="423" spans="1:135" ht="13.5" customHeight="1">
      <c r="A423" s="9">
        <v>420</v>
      </c>
      <c r="B423" s="9">
        <v>1</v>
      </c>
      <c r="C423" s="9">
        <v>2001</v>
      </c>
      <c r="D423" s="9">
        <f t="shared" si="278"/>
        <v>10062291</v>
      </c>
      <c r="E423" s="9" t="str">
        <f t="shared" si="275"/>
        <v>5202113,5202113,5202113,5400115,5501115,5400115</v>
      </c>
      <c r="F423" s="9" t="str">
        <f t="shared" si="276"/>
        <v>11,11,11,11,11,11</v>
      </c>
      <c r="G423" s="9" t="str">
        <f t="shared" si="277"/>
        <v>855,924,924,924,924,924</v>
      </c>
      <c r="H423" s="9">
        <v>208</v>
      </c>
      <c r="I423" s="9" t="s">
        <v>278</v>
      </c>
      <c r="J423" s="9" t="s">
        <v>279</v>
      </c>
      <c r="K423" s="9" t="s">
        <v>279</v>
      </c>
      <c r="L423" s="9" t="s">
        <v>279</v>
      </c>
      <c r="M423" s="36" t="s">
        <v>307</v>
      </c>
      <c r="O423" s="3">
        <f t="shared" si="279"/>
        <v>10062291</v>
      </c>
      <c r="P423" s="9">
        <v>7954380.2400000002</v>
      </c>
      <c r="Q423" s="9">
        <v>5202113</v>
      </c>
      <c r="R423" s="9">
        <v>5202113</v>
      </c>
      <c r="S423" s="9">
        <v>5202113</v>
      </c>
      <c r="T423" s="9">
        <v>5400115</v>
      </c>
      <c r="U423" s="9">
        <v>5501115</v>
      </c>
      <c r="V423" s="9">
        <v>5400115</v>
      </c>
      <c r="W423" s="9">
        <v>11</v>
      </c>
      <c r="X423" s="9">
        <v>11</v>
      </c>
      <c r="Y423" s="9">
        <v>11</v>
      </c>
      <c r="Z423" s="9">
        <v>11</v>
      </c>
      <c r="AA423" s="9">
        <v>11</v>
      </c>
      <c r="AB423" s="9">
        <v>11</v>
      </c>
      <c r="AC423" s="9">
        <f t="shared" si="264"/>
        <v>855</v>
      </c>
      <c r="AD423" s="9">
        <f t="shared" si="265"/>
        <v>924</v>
      </c>
      <c r="AE423" s="9">
        <f t="shared" si="266"/>
        <v>924</v>
      </c>
      <c r="AF423" s="9">
        <f t="shared" si="267"/>
        <v>924</v>
      </c>
      <c r="AG423" s="9">
        <f t="shared" si="268"/>
        <v>924</v>
      </c>
      <c r="AH423" s="9">
        <f t="shared" si="269"/>
        <v>924</v>
      </c>
      <c r="AI423" s="7">
        <f t="shared" ref="AI423:AI486" si="283">$P423/6</f>
        <v>1325730.04</v>
      </c>
      <c r="AJ423" s="7">
        <f t="shared" si="280"/>
        <v>1325730.04</v>
      </c>
      <c r="AK423" s="7">
        <f t="shared" si="280"/>
        <v>1325730.04</v>
      </c>
      <c r="AL423" s="7">
        <f t="shared" si="280"/>
        <v>1325730.04</v>
      </c>
      <c r="AM423" s="7">
        <f t="shared" si="280"/>
        <v>1325730.04</v>
      </c>
      <c r="AN423" s="7">
        <f t="shared" si="280"/>
        <v>1325730.04</v>
      </c>
      <c r="AO423" s="16"/>
      <c r="AP423" s="7"/>
      <c r="AQ423" s="9">
        <v>7</v>
      </c>
      <c r="AR423" s="9">
        <f t="shared" si="270"/>
        <v>1123</v>
      </c>
      <c r="AS423" s="7">
        <f t="shared" si="281"/>
        <v>310</v>
      </c>
      <c r="AT423" s="7"/>
      <c r="AU423" s="16"/>
      <c r="AV423" s="7"/>
      <c r="AW423" s="7"/>
      <c r="AX423" s="7"/>
      <c r="AZ423" s="7"/>
      <c r="BA423" s="9">
        <f t="shared" si="282"/>
        <v>847919.10000000196</v>
      </c>
      <c r="BC423" s="5">
        <f t="shared" si="271"/>
        <v>799</v>
      </c>
      <c r="BR423" s="5">
        <v>1303015</v>
      </c>
      <c r="BS423" s="18">
        <f>[1]monsters!$N423</f>
        <v>199.68</v>
      </c>
      <c r="BT423" s="18">
        <f>[1]monsters!$O423</f>
        <v>19.97</v>
      </c>
      <c r="BU423" s="18">
        <f>[1]monsters!$P423</f>
        <v>3413.33</v>
      </c>
      <c r="BV423" s="18">
        <f>[1]monsters!$Q423</f>
        <v>341.33</v>
      </c>
      <c r="BW423" s="18">
        <f>[1]monsters!$R423</f>
        <v>39.94</v>
      </c>
      <c r="BX423" s="18">
        <f>[1]monsters!$S423</f>
        <v>3.99</v>
      </c>
      <c r="BY423" s="18">
        <f>[1]monsters!$K423</f>
        <v>1.3</v>
      </c>
      <c r="BZ423" s="5">
        <f>[1]monsters!$D423</f>
        <v>3</v>
      </c>
      <c r="CA423" s="5">
        <f t="shared" si="272"/>
        <v>0.1</v>
      </c>
      <c r="CB423" s="5">
        <f t="shared" si="273"/>
        <v>303.62453602693608</v>
      </c>
      <c r="CC423" s="5">
        <f t="shared" si="274"/>
        <v>30.362453602693609</v>
      </c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>
        <v>1</v>
      </c>
      <c r="CR423" s="3" t="b">
        <f t="shared" si="246"/>
        <v>1</v>
      </c>
      <c r="CS423" s="3" t="b">
        <f t="shared" si="247"/>
        <v>1</v>
      </c>
      <c r="CT423" s="3" t="b">
        <f t="shared" si="248"/>
        <v>1</v>
      </c>
      <c r="CU423" s="3" t="b">
        <f t="shared" si="249"/>
        <v>1</v>
      </c>
      <c r="CV423" s="3" t="b">
        <f t="shared" si="250"/>
        <v>1</v>
      </c>
      <c r="CW423" s="3" t="b">
        <f t="shared" si="251"/>
        <v>1</v>
      </c>
      <c r="CX423" s="9" t="str">
        <f t="shared" si="252"/>
        <v>5202113</v>
      </c>
      <c r="CY423" s="9" t="str">
        <f t="shared" si="253"/>
        <v>5202113</v>
      </c>
      <c r="CZ423" s="9" t="str">
        <f t="shared" si="254"/>
        <v>5202113</v>
      </c>
      <c r="DA423" s="9" t="str">
        <f t="shared" si="255"/>
        <v>5400115</v>
      </c>
      <c r="DB423" s="9" t="str">
        <f t="shared" si="256"/>
        <v>5501115</v>
      </c>
      <c r="DC423" s="9" t="str">
        <f t="shared" si="257"/>
        <v>5400115</v>
      </c>
      <c r="DD423" s="9">
        <v>11</v>
      </c>
      <c r="DE423" s="9">
        <v>11</v>
      </c>
      <c r="DF423" s="9">
        <v>11</v>
      </c>
      <c r="DG423" s="9">
        <v>11</v>
      </c>
      <c r="DH423" s="9">
        <v>11</v>
      </c>
      <c r="DI423" s="9">
        <v>11</v>
      </c>
      <c r="DJ423" s="9">
        <v>5</v>
      </c>
      <c r="DK423" s="9">
        <v>5</v>
      </c>
      <c r="DL423" s="9">
        <v>5</v>
      </c>
      <c r="DM423" s="9">
        <v>5</v>
      </c>
      <c r="DN423" s="9">
        <v>5</v>
      </c>
      <c r="DO423" s="9">
        <v>5</v>
      </c>
      <c r="DP423" s="25" t="s">
        <v>208</v>
      </c>
      <c r="DQ423" s="25" t="s">
        <v>208</v>
      </c>
      <c r="DR423" s="25" t="s">
        <v>208</v>
      </c>
      <c r="DS423" s="25" t="s">
        <v>210</v>
      </c>
      <c r="DT423" s="25" t="s">
        <v>209</v>
      </c>
      <c r="DU423" s="25" t="s">
        <v>210</v>
      </c>
      <c r="DV423" s="25">
        <f t="shared" si="258"/>
        <v>1</v>
      </c>
      <c r="DW423" s="25">
        <f t="shared" si="259"/>
        <v>1</v>
      </c>
      <c r="DX423" s="25">
        <f t="shared" si="260"/>
        <v>1</v>
      </c>
      <c r="DY423" s="25">
        <f t="shared" si="261"/>
        <v>2</v>
      </c>
      <c r="DZ423" s="25">
        <f t="shared" si="262"/>
        <v>2</v>
      </c>
      <c r="EA423" s="3">
        <f t="shared" si="263"/>
        <v>2</v>
      </c>
      <c r="EB423" s="50"/>
      <c r="EC423" s="9">
        <v>5300135</v>
      </c>
      <c r="ED423" s="34" t="s">
        <v>212</v>
      </c>
      <c r="EE423" s="8">
        <v>1</v>
      </c>
    </row>
    <row r="424" spans="1:135" ht="13.5" customHeight="1">
      <c r="A424" s="9">
        <v>421</v>
      </c>
      <c r="B424" s="9">
        <v>1</v>
      </c>
      <c r="C424" s="9">
        <v>2001</v>
      </c>
      <c r="D424" s="9">
        <f t="shared" si="278"/>
        <v>10097577</v>
      </c>
      <c r="E424" s="9" t="str">
        <f t="shared" si="275"/>
        <v>5201111,5201112,5200111,5601111,5500113,5501114</v>
      </c>
      <c r="F424" s="9" t="str">
        <f t="shared" si="276"/>
        <v>11,11,11,11,11,11</v>
      </c>
      <c r="G424" s="9" t="str">
        <f t="shared" si="277"/>
        <v>856,926,926,926,926,926</v>
      </c>
      <c r="H424" s="9">
        <v>208</v>
      </c>
      <c r="I424" s="9" t="s">
        <v>278</v>
      </c>
      <c r="J424" s="9" t="s">
        <v>279</v>
      </c>
      <c r="K424" s="9" t="s">
        <v>279</v>
      </c>
      <c r="L424" s="9" t="s">
        <v>279</v>
      </c>
      <c r="M424" s="36" t="s">
        <v>308</v>
      </c>
      <c r="N424" s="40"/>
      <c r="O424" s="3">
        <f t="shared" si="279"/>
        <v>10097577</v>
      </c>
      <c r="P424" s="9">
        <v>7982274.0700000003</v>
      </c>
      <c r="Q424" s="9">
        <v>5201111</v>
      </c>
      <c r="R424" s="9">
        <v>5201112</v>
      </c>
      <c r="S424" s="9">
        <v>5200111</v>
      </c>
      <c r="T424" s="9">
        <v>5601111</v>
      </c>
      <c r="U424" s="9">
        <v>5500113</v>
      </c>
      <c r="V424" s="9">
        <v>5501114</v>
      </c>
      <c r="W424" s="9">
        <v>11</v>
      </c>
      <c r="X424" s="9">
        <v>11</v>
      </c>
      <c r="Y424" s="9">
        <v>11</v>
      </c>
      <c r="Z424" s="9">
        <v>11</v>
      </c>
      <c r="AA424" s="9">
        <v>11</v>
      </c>
      <c r="AB424" s="9">
        <v>11</v>
      </c>
      <c r="AC424" s="9">
        <f t="shared" si="264"/>
        <v>856</v>
      </c>
      <c r="AD424" s="9">
        <f t="shared" si="265"/>
        <v>926</v>
      </c>
      <c r="AE424" s="9">
        <f t="shared" si="266"/>
        <v>926</v>
      </c>
      <c r="AF424" s="9">
        <f t="shared" si="267"/>
        <v>926</v>
      </c>
      <c r="AG424" s="9">
        <f t="shared" si="268"/>
        <v>926</v>
      </c>
      <c r="AH424" s="9">
        <f t="shared" si="269"/>
        <v>926</v>
      </c>
      <c r="AI424" s="7">
        <f t="shared" si="283"/>
        <v>1330379.0116666667</v>
      </c>
      <c r="AJ424" s="7">
        <f t="shared" si="280"/>
        <v>1330379.0116666667</v>
      </c>
      <c r="AK424" s="7">
        <f t="shared" si="280"/>
        <v>1330379.0116666667</v>
      </c>
      <c r="AL424" s="7">
        <f t="shared" si="280"/>
        <v>1330379.0116666667</v>
      </c>
      <c r="AM424" s="7">
        <f t="shared" si="280"/>
        <v>1330379.0116666667</v>
      </c>
      <c r="AN424" s="7">
        <f t="shared" si="280"/>
        <v>1330379.0116666667</v>
      </c>
      <c r="AO424" s="16"/>
      <c r="AP424" s="7"/>
      <c r="AQ424" s="9">
        <v>7</v>
      </c>
      <c r="AR424" s="9">
        <f t="shared" si="270"/>
        <v>1125</v>
      </c>
      <c r="AS424" s="7">
        <f t="shared" si="281"/>
        <v>310</v>
      </c>
      <c r="AT424" s="7"/>
      <c r="AU424" s="16"/>
      <c r="AV424" s="7"/>
      <c r="AW424" s="7"/>
      <c r="AX424" s="7"/>
      <c r="AZ424" s="7"/>
      <c r="BA424" s="9">
        <f t="shared" si="282"/>
        <v>852811.63000000198</v>
      </c>
      <c r="BC424" s="5">
        <f t="shared" si="271"/>
        <v>800</v>
      </c>
      <c r="BR424" s="5">
        <v>1304015</v>
      </c>
      <c r="BS424" s="18">
        <f>[1]monsters!$N424</f>
        <v>215.04</v>
      </c>
      <c r="BT424" s="18">
        <f>[1]monsters!$O424</f>
        <v>21.5</v>
      </c>
      <c r="BU424" s="18">
        <f>[1]monsters!$P424</f>
        <v>3413.33</v>
      </c>
      <c r="BV424" s="18">
        <f>[1]monsters!$Q424</f>
        <v>341.33</v>
      </c>
      <c r="BW424" s="18">
        <f>[1]monsters!$R424</f>
        <v>43.01</v>
      </c>
      <c r="BX424" s="18">
        <f>[1]monsters!$S424</f>
        <v>4.3</v>
      </c>
      <c r="BY424" s="18">
        <f>[1]monsters!$K424</f>
        <v>1.4</v>
      </c>
      <c r="BZ424" s="5">
        <f>[1]monsters!$D424</f>
        <v>3</v>
      </c>
      <c r="CA424" s="5">
        <f t="shared" si="272"/>
        <v>0.1</v>
      </c>
      <c r="CB424" s="5">
        <f t="shared" si="273"/>
        <v>318.13973602693602</v>
      </c>
      <c r="CC424" s="5">
        <f t="shared" si="274"/>
        <v>31.813973602693604</v>
      </c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>
        <v>0</v>
      </c>
      <c r="CR424" s="3" t="b">
        <f t="shared" si="246"/>
        <v>1</v>
      </c>
      <c r="CS424" s="3" t="b">
        <f t="shared" si="247"/>
        <v>1</v>
      </c>
      <c r="CT424" s="3" t="b">
        <f t="shared" si="248"/>
        <v>1</v>
      </c>
      <c r="CU424" s="3" t="b">
        <f t="shared" si="249"/>
        <v>1</v>
      </c>
      <c r="CV424" s="3" t="b">
        <f t="shared" si="250"/>
        <v>1</v>
      </c>
      <c r="CW424" s="3" t="b">
        <f t="shared" si="251"/>
        <v>1</v>
      </c>
      <c r="CX424" s="9" t="str">
        <f t="shared" si="252"/>
        <v>5201111</v>
      </c>
      <c r="CY424" s="9" t="str">
        <f t="shared" si="253"/>
        <v>5201112</v>
      </c>
      <c r="CZ424" s="9" t="str">
        <f t="shared" si="254"/>
        <v>5200111</v>
      </c>
      <c r="DA424" s="9" t="str">
        <f t="shared" si="255"/>
        <v>5601111</v>
      </c>
      <c r="DB424" s="9" t="str">
        <f t="shared" si="256"/>
        <v>5500113</v>
      </c>
      <c r="DC424" s="9" t="str">
        <f t="shared" si="257"/>
        <v>5501114</v>
      </c>
      <c r="DD424" s="9">
        <v>11</v>
      </c>
      <c r="DE424" s="9">
        <v>11</v>
      </c>
      <c r="DF424" s="9">
        <v>11</v>
      </c>
      <c r="DG424" s="9">
        <v>11</v>
      </c>
      <c r="DH424" s="9">
        <v>11</v>
      </c>
      <c r="DI424" s="9">
        <v>11</v>
      </c>
      <c r="DJ424" s="9">
        <v>5</v>
      </c>
      <c r="DK424" s="9">
        <v>5</v>
      </c>
      <c r="DL424" s="9">
        <v>5</v>
      </c>
      <c r="DM424" s="9">
        <v>5</v>
      </c>
      <c r="DN424" s="9">
        <v>5</v>
      </c>
      <c r="DO424" s="9">
        <v>5</v>
      </c>
      <c r="DP424" s="25" t="s">
        <v>195</v>
      </c>
      <c r="DQ424" s="25" t="s">
        <v>114</v>
      </c>
      <c r="DR424" s="25" t="s">
        <v>194</v>
      </c>
      <c r="DS424" s="25" t="s">
        <v>198</v>
      </c>
      <c r="DT424" s="25" t="s">
        <v>207</v>
      </c>
      <c r="DU424" s="25" t="s">
        <v>214</v>
      </c>
      <c r="DV424" s="25">
        <f t="shared" si="258"/>
        <v>1</v>
      </c>
      <c r="DW424" s="25">
        <f t="shared" si="259"/>
        <v>1</v>
      </c>
      <c r="DX424" s="25">
        <f t="shared" si="260"/>
        <v>1</v>
      </c>
      <c r="DY424" s="25">
        <f t="shared" si="261"/>
        <v>2</v>
      </c>
      <c r="DZ424" s="25">
        <f t="shared" si="262"/>
        <v>2</v>
      </c>
      <c r="EA424" s="3">
        <f t="shared" si="263"/>
        <v>2</v>
      </c>
      <c r="EB424" s="50"/>
      <c r="EC424" s="9">
        <v>5302135</v>
      </c>
      <c r="ED424" s="34" t="s">
        <v>221</v>
      </c>
      <c r="EE424" s="8">
        <v>1</v>
      </c>
    </row>
    <row r="425" spans="1:135" ht="13.5" customHeight="1">
      <c r="A425" s="9">
        <v>422</v>
      </c>
      <c r="B425" s="9">
        <v>1</v>
      </c>
      <c r="C425" s="9">
        <v>2001</v>
      </c>
      <c r="D425" s="9">
        <f t="shared" si="278"/>
        <v>10132925</v>
      </c>
      <c r="E425" s="9" t="str">
        <f t="shared" si="275"/>
        <v>5302115,5202115,5202115,5400115,5400115,5400115</v>
      </c>
      <c r="F425" s="9" t="str">
        <f t="shared" si="276"/>
        <v>11,11,11,11,11,11</v>
      </c>
      <c r="G425" s="9" t="str">
        <f t="shared" si="277"/>
        <v>858,928,928,928,928,928</v>
      </c>
      <c r="H425" s="9">
        <v>208</v>
      </c>
      <c r="I425" s="9" t="s">
        <v>278</v>
      </c>
      <c r="J425" s="9" t="s">
        <v>279</v>
      </c>
      <c r="K425" s="9" t="s">
        <v>279</v>
      </c>
      <c r="L425" s="9" t="s">
        <v>279</v>
      </c>
      <c r="M425" s="36" t="s">
        <v>308</v>
      </c>
      <c r="N425" s="40"/>
      <c r="O425" s="3">
        <f t="shared" si="279"/>
        <v>10132925</v>
      </c>
      <c r="P425" s="9">
        <v>8010217.6500000004</v>
      </c>
      <c r="Q425" s="9">
        <v>5302115</v>
      </c>
      <c r="R425" s="9">
        <v>5202115</v>
      </c>
      <c r="S425" s="9">
        <v>5202115</v>
      </c>
      <c r="T425" s="9">
        <v>5400115</v>
      </c>
      <c r="U425" s="9">
        <v>5400115</v>
      </c>
      <c r="V425" s="9">
        <v>5400115</v>
      </c>
      <c r="W425" s="9">
        <v>11</v>
      </c>
      <c r="X425" s="9">
        <v>11</v>
      </c>
      <c r="Y425" s="9">
        <v>11</v>
      </c>
      <c r="Z425" s="9">
        <v>11</v>
      </c>
      <c r="AA425" s="9">
        <v>11</v>
      </c>
      <c r="AB425" s="9">
        <v>11</v>
      </c>
      <c r="AC425" s="9">
        <f t="shared" si="264"/>
        <v>858</v>
      </c>
      <c r="AD425" s="9">
        <f t="shared" si="265"/>
        <v>928</v>
      </c>
      <c r="AE425" s="9">
        <f t="shared" si="266"/>
        <v>928</v>
      </c>
      <c r="AF425" s="9">
        <f t="shared" si="267"/>
        <v>928</v>
      </c>
      <c r="AG425" s="9">
        <f t="shared" si="268"/>
        <v>928</v>
      </c>
      <c r="AH425" s="9">
        <f t="shared" si="269"/>
        <v>928</v>
      </c>
      <c r="AI425" s="7">
        <f t="shared" si="283"/>
        <v>1335036.2750000001</v>
      </c>
      <c r="AJ425" s="7">
        <f t="shared" si="280"/>
        <v>1335036.2750000001</v>
      </c>
      <c r="AK425" s="7">
        <f t="shared" si="280"/>
        <v>1335036.2750000001</v>
      </c>
      <c r="AL425" s="7">
        <f t="shared" si="280"/>
        <v>1335036.2750000001</v>
      </c>
      <c r="AM425" s="7">
        <f t="shared" si="280"/>
        <v>1335036.2750000001</v>
      </c>
      <c r="AN425" s="7">
        <f t="shared" si="280"/>
        <v>1335036.2750000001</v>
      </c>
      <c r="AO425" s="16"/>
      <c r="AP425" s="7"/>
      <c r="AQ425" s="9">
        <v>7</v>
      </c>
      <c r="AR425" s="9">
        <f t="shared" si="270"/>
        <v>1127</v>
      </c>
      <c r="AS425" s="7">
        <f t="shared" si="281"/>
        <v>311</v>
      </c>
      <c r="AT425" s="7"/>
      <c r="AU425" s="16"/>
      <c r="AV425" s="7"/>
      <c r="AW425" s="7"/>
      <c r="AX425" s="7"/>
      <c r="AZ425" s="7"/>
      <c r="BA425" s="9">
        <f t="shared" si="282"/>
        <v>857704.16000000201</v>
      </c>
      <c r="BC425" s="5">
        <f t="shared" si="271"/>
        <v>802</v>
      </c>
      <c r="BR425" s="5">
        <v>1503015</v>
      </c>
      <c r="BS425" s="18">
        <f>[1]monsters!$N425</f>
        <v>286.72000000000003</v>
      </c>
      <c r="BT425" s="18">
        <f>[1]monsters!$O425</f>
        <v>28.67</v>
      </c>
      <c r="BU425" s="18">
        <f>[1]monsters!$P425</f>
        <v>2560</v>
      </c>
      <c r="BV425" s="18">
        <f>[1]monsters!$Q425</f>
        <v>256</v>
      </c>
      <c r="BW425" s="18">
        <f>[1]monsters!$R425</f>
        <v>40.96</v>
      </c>
      <c r="BX425" s="18">
        <f>[1]monsters!$S425</f>
        <v>4.0999999999999996</v>
      </c>
      <c r="BY425" s="18">
        <f>[1]monsters!$K425</f>
        <v>1.4</v>
      </c>
      <c r="BZ425" s="5">
        <f>[1]monsters!$D425</f>
        <v>4</v>
      </c>
      <c r="CA425" s="5">
        <f t="shared" si="272"/>
        <v>0.1</v>
      </c>
      <c r="CB425" s="5">
        <f t="shared" si="273"/>
        <v>357.14568619528626</v>
      </c>
      <c r="CC425" s="5">
        <f t="shared" si="274"/>
        <v>35.714568619528627</v>
      </c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>
        <v>0</v>
      </c>
      <c r="CR425" s="3" t="b">
        <f t="shared" si="246"/>
        <v>1</v>
      </c>
      <c r="CS425" s="3" t="b">
        <f t="shared" si="247"/>
        <v>1</v>
      </c>
      <c r="CT425" s="3" t="b">
        <f t="shared" si="248"/>
        <v>1</v>
      </c>
      <c r="CU425" s="3" t="b">
        <f t="shared" si="249"/>
        <v>1</v>
      </c>
      <c r="CV425" s="3" t="b">
        <f t="shared" si="250"/>
        <v>1</v>
      </c>
      <c r="CW425" s="3" t="b">
        <f t="shared" si="251"/>
        <v>1</v>
      </c>
      <c r="CX425" s="9" t="str">
        <f t="shared" si="252"/>
        <v>5302115</v>
      </c>
      <c r="CY425" s="9" t="str">
        <f t="shared" si="253"/>
        <v>5202115</v>
      </c>
      <c r="CZ425" s="9" t="str">
        <f t="shared" si="254"/>
        <v>5202115</v>
      </c>
      <c r="DA425" s="9" t="str">
        <f t="shared" si="255"/>
        <v>5400115</v>
      </c>
      <c r="DB425" s="9" t="str">
        <f t="shared" si="256"/>
        <v>5400115</v>
      </c>
      <c r="DC425" s="9" t="str">
        <f t="shared" si="257"/>
        <v>5400115</v>
      </c>
      <c r="DD425" s="9">
        <v>11</v>
      </c>
      <c r="DE425" s="9">
        <v>11</v>
      </c>
      <c r="DF425" s="9">
        <v>11</v>
      </c>
      <c r="DG425" s="9">
        <v>11</v>
      </c>
      <c r="DH425" s="9">
        <v>11</v>
      </c>
      <c r="DI425" s="9">
        <v>11</v>
      </c>
      <c r="DJ425" s="9">
        <v>5</v>
      </c>
      <c r="DK425" s="9">
        <v>5</v>
      </c>
      <c r="DL425" s="9">
        <v>5</v>
      </c>
      <c r="DM425" s="9">
        <v>5</v>
      </c>
      <c r="DN425" s="9">
        <v>5</v>
      </c>
      <c r="DO425" s="9">
        <v>5</v>
      </c>
      <c r="DP425" s="25" t="s">
        <v>221</v>
      </c>
      <c r="DQ425" s="25" t="s">
        <v>213</v>
      </c>
      <c r="DR425" s="25" t="s">
        <v>213</v>
      </c>
      <c r="DS425" s="25" t="s">
        <v>210</v>
      </c>
      <c r="DT425" s="25" t="s">
        <v>210</v>
      </c>
      <c r="DU425" s="25" t="s">
        <v>210</v>
      </c>
      <c r="DV425" s="25">
        <f t="shared" si="258"/>
        <v>1</v>
      </c>
      <c r="DW425" s="25">
        <f t="shared" si="259"/>
        <v>1</v>
      </c>
      <c r="DX425" s="25">
        <f t="shared" si="260"/>
        <v>1</v>
      </c>
      <c r="DY425" s="25">
        <f t="shared" si="261"/>
        <v>2</v>
      </c>
      <c r="DZ425" s="25">
        <f t="shared" si="262"/>
        <v>2</v>
      </c>
      <c r="EA425" s="3">
        <f t="shared" si="263"/>
        <v>2</v>
      </c>
      <c r="EB425" s="51"/>
      <c r="EC425" s="9">
        <v>5400135</v>
      </c>
      <c r="ED425" s="34" t="s">
        <v>210</v>
      </c>
      <c r="EE425" s="8">
        <v>2</v>
      </c>
    </row>
    <row r="426" spans="1:135" ht="13.5" customHeight="1">
      <c r="A426" s="9">
        <v>423</v>
      </c>
      <c r="B426" s="9">
        <v>1</v>
      </c>
      <c r="C426" s="9">
        <v>2001</v>
      </c>
      <c r="D426" s="9">
        <f t="shared" si="278"/>
        <v>10168337</v>
      </c>
      <c r="E426" s="9" t="str">
        <f t="shared" si="275"/>
        <v>5301111,5301112,5301112,5500112,5400115,5502113</v>
      </c>
      <c r="F426" s="9" t="str">
        <f t="shared" si="276"/>
        <v>11,11,11,11,11,11</v>
      </c>
      <c r="G426" s="9" t="str">
        <f t="shared" si="277"/>
        <v>859,929,929,929,929,929</v>
      </c>
      <c r="H426" s="9">
        <v>209</v>
      </c>
      <c r="I426" s="9" t="s">
        <v>278</v>
      </c>
      <c r="J426" s="9" t="s">
        <v>279</v>
      </c>
      <c r="K426" s="9" t="s">
        <v>279</v>
      </c>
      <c r="L426" s="9" t="s">
        <v>279</v>
      </c>
      <c r="M426" s="36" t="s">
        <v>308</v>
      </c>
      <c r="N426" s="40"/>
      <c r="O426" s="3">
        <f t="shared" si="279"/>
        <v>10168337</v>
      </c>
      <c r="P426" s="9">
        <v>8038210.9800000004</v>
      </c>
      <c r="Q426" s="9">
        <v>5301111</v>
      </c>
      <c r="R426" s="9">
        <v>5301112</v>
      </c>
      <c r="S426" s="9">
        <v>5301112</v>
      </c>
      <c r="T426" s="9">
        <v>5500112</v>
      </c>
      <c r="U426" s="9">
        <v>5400115</v>
      </c>
      <c r="V426" s="9">
        <v>5502113</v>
      </c>
      <c r="W426" s="9">
        <v>11</v>
      </c>
      <c r="X426" s="9">
        <v>11</v>
      </c>
      <c r="Y426" s="9">
        <v>11</v>
      </c>
      <c r="Z426" s="9">
        <v>11</v>
      </c>
      <c r="AA426" s="9">
        <v>11</v>
      </c>
      <c r="AB426" s="9">
        <v>11</v>
      </c>
      <c r="AC426" s="9">
        <f t="shared" si="264"/>
        <v>859</v>
      </c>
      <c r="AD426" s="9">
        <f t="shared" si="265"/>
        <v>929</v>
      </c>
      <c r="AE426" s="9">
        <f t="shared" si="266"/>
        <v>929</v>
      </c>
      <c r="AF426" s="9">
        <f t="shared" si="267"/>
        <v>929</v>
      </c>
      <c r="AG426" s="9">
        <f t="shared" si="268"/>
        <v>929</v>
      </c>
      <c r="AH426" s="9">
        <f t="shared" si="269"/>
        <v>929</v>
      </c>
      <c r="AI426" s="7">
        <f t="shared" si="283"/>
        <v>1339701.83</v>
      </c>
      <c r="AJ426" s="7">
        <f t="shared" si="280"/>
        <v>1339701.83</v>
      </c>
      <c r="AK426" s="7">
        <f t="shared" si="280"/>
        <v>1339701.83</v>
      </c>
      <c r="AL426" s="7">
        <f t="shared" si="280"/>
        <v>1339701.83</v>
      </c>
      <c r="AM426" s="7">
        <f t="shared" si="280"/>
        <v>1339701.83</v>
      </c>
      <c r="AN426" s="7">
        <f t="shared" si="280"/>
        <v>1339701.83</v>
      </c>
      <c r="AO426" s="16"/>
      <c r="AP426" s="7"/>
      <c r="AQ426" s="9">
        <v>7</v>
      </c>
      <c r="AR426" s="9">
        <f t="shared" si="270"/>
        <v>1129</v>
      </c>
      <c r="AS426" s="7">
        <f t="shared" si="281"/>
        <v>311</v>
      </c>
      <c r="AT426" s="7"/>
      <c r="AU426" s="16"/>
      <c r="AV426" s="7"/>
      <c r="AW426" s="7"/>
      <c r="AX426" s="7"/>
      <c r="AZ426" s="7"/>
      <c r="BA426" s="9">
        <f t="shared" si="282"/>
        <v>862596.69000000204</v>
      </c>
      <c r="BC426" s="5">
        <f t="shared" si="271"/>
        <v>803</v>
      </c>
      <c r="BR426" s="5">
        <v>1504015</v>
      </c>
      <c r="BS426" s="18">
        <f>[1]monsters!$N426</f>
        <v>382.29</v>
      </c>
      <c r="BT426" s="18">
        <f>[1]monsters!$O426</f>
        <v>38.229999999999997</v>
      </c>
      <c r="BU426" s="18">
        <f>[1]monsters!$P426</f>
        <v>2194.29</v>
      </c>
      <c r="BV426" s="18">
        <f>[1]monsters!$Q426</f>
        <v>219.43</v>
      </c>
      <c r="BW426" s="18">
        <f>[1]monsters!$R426</f>
        <v>47.79</v>
      </c>
      <c r="BX426" s="18">
        <f>[1]monsters!$S426</f>
        <v>4.78</v>
      </c>
      <c r="BY426" s="18">
        <f>[1]monsters!$K426</f>
        <v>1.6</v>
      </c>
      <c r="BZ426" s="5">
        <f>[1]monsters!$D426</f>
        <v>5</v>
      </c>
      <c r="CA426" s="5">
        <f t="shared" si="272"/>
        <v>0.1</v>
      </c>
      <c r="CB426" s="5">
        <f t="shared" si="273"/>
        <v>435.14586818181823</v>
      </c>
      <c r="CC426" s="5">
        <f t="shared" si="274"/>
        <v>43.514586818181826</v>
      </c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>
        <v>0</v>
      </c>
      <c r="CR426" s="3" t="b">
        <f t="shared" si="246"/>
        <v>1</v>
      </c>
      <c r="CS426" s="3" t="b">
        <f t="shared" si="247"/>
        <v>1</v>
      </c>
      <c r="CT426" s="3" t="b">
        <f t="shared" si="248"/>
        <v>1</v>
      </c>
      <c r="CU426" s="3" t="b">
        <f t="shared" si="249"/>
        <v>1</v>
      </c>
      <c r="CV426" s="3" t="b">
        <f t="shared" si="250"/>
        <v>1</v>
      </c>
      <c r="CW426" s="3" t="b">
        <f t="shared" si="251"/>
        <v>1</v>
      </c>
      <c r="CX426" s="9" t="str">
        <f t="shared" si="252"/>
        <v>5301111</v>
      </c>
      <c r="CY426" s="9" t="str">
        <f t="shared" si="253"/>
        <v>5301112</v>
      </c>
      <c r="CZ426" s="9" t="str">
        <f t="shared" si="254"/>
        <v>5301112</v>
      </c>
      <c r="DA426" s="9" t="str">
        <f t="shared" si="255"/>
        <v>5500112</v>
      </c>
      <c r="DB426" s="9" t="str">
        <f t="shared" si="256"/>
        <v>5400115</v>
      </c>
      <c r="DC426" s="9" t="str">
        <f t="shared" si="257"/>
        <v>5502113</v>
      </c>
      <c r="DD426" s="9">
        <v>11</v>
      </c>
      <c r="DE426" s="9">
        <v>11</v>
      </c>
      <c r="DF426" s="9">
        <v>11</v>
      </c>
      <c r="DG426" s="9">
        <v>11</v>
      </c>
      <c r="DH426" s="9">
        <v>11</v>
      </c>
      <c r="DI426" s="9">
        <v>11</v>
      </c>
      <c r="DJ426" s="9">
        <v>5</v>
      </c>
      <c r="DK426" s="9">
        <v>5</v>
      </c>
      <c r="DL426" s="9">
        <v>5</v>
      </c>
      <c r="DM426" s="9">
        <v>5</v>
      </c>
      <c r="DN426" s="9">
        <v>5</v>
      </c>
      <c r="DO426" s="9">
        <v>5</v>
      </c>
      <c r="DP426" s="25" t="s">
        <v>107</v>
      </c>
      <c r="DQ426" s="25" t="s">
        <v>201</v>
      </c>
      <c r="DR426" s="25" t="s">
        <v>201</v>
      </c>
      <c r="DS426" s="25" t="s">
        <v>109</v>
      </c>
      <c r="DT426" s="25" t="s">
        <v>210</v>
      </c>
      <c r="DU426" s="25" t="s">
        <v>215</v>
      </c>
      <c r="DV426" s="25">
        <f t="shared" si="258"/>
        <v>1</v>
      </c>
      <c r="DW426" s="25">
        <f t="shared" si="259"/>
        <v>1</v>
      </c>
      <c r="DX426" s="25">
        <f t="shared" si="260"/>
        <v>1</v>
      </c>
      <c r="DY426" s="25">
        <f t="shared" si="261"/>
        <v>2</v>
      </c>
      <c r="DZ426" s="25">
        <f t="shared" si="262"/>
        <v>2</v>
      </c>
      <c r="EA426" s="3">
        <f t="shared" si="263"/>
        <v>2</v>
      </c>
      <c r="EB426" s="50"/>
      <c r="EC426" s="9">
        <v>5501135</v>
      </c>
      <c r="ED426" s="37" t="s">
        <v>209</v>
      </c>
      <c r="EE426" s="8">
        <v>2</v>
      </c>
    </row>
    <row r="427" spans="1:135" ht="13.5" customHeight="1">
      <c r="A427" s="9">
        <v>424</v>
      </c>
      <c r="B427" s="9">
        <v>1</v>
      </c>
      <c r="C427" s="9">
        <v>2001</v>
      </c>
      <c r="D427" s="9">
        <f t="shared" si="278"/>
        <v>10203809</v>
      </c>
      <c r="E427" s="9" t="str">
        <f t="shared" si="275"/>
        <v>5201113,5200113,5301112,5501114,5500113,5501114</v>
      </c>
      <c r="F427" s="9" t="str">
        <f t="shared" si="276"/>
        <v>11,11,11,11,11,11</v>
      </c>
      <c r="G427" s="9" t="str">
        <f t="shared" si="277"/>
        <v>861,931,931,931,931,931</v>
      </c>
      <c r="H427" s="9">
        <v>209</v>
      </c>
      <c r="I427" s="9" t="s">
        <v>278</v>
      </c>
      <c r="J427" s="9" t="s">
        <v>279</v>
      </c>
      <c r="K427" s="9" t="s">
        <v>279</v>
      </c>
      <c r="L427" s="9" t="s">
        <v>279</v>
      </c>
      <c r="M427" s="36" t="s">
        <v>308</v>
      </c>
      <c r="N427" s="40"/>
      <c r="O427" s="3">
        <f t="shared" si="279"/>
        <v>10203809</v>
      </c>
      <c r="P427" s="9">
        <v>8066252.0700000003</v>
      </c>
      <c r="Q427" s="9">
        <v>5201113</v>
      </c>
      <c r="R427" s="9">
        <v>5200113</v>
      </c>
      <c r="S427" s="9">
        <v>5301112</v>
      </c>
      <c r="T427" s="9">
        <v>5501114</v>
      </c>
      <c r="U427" s="9">
        <v>5500113</v>
      </c>
      <c r="V427" s="9">
        <v>5501114</v>
      </c>
      <c r="W427" s="9">
        <v>11</v>
      </c>
      <c r="X427" s="9">
        <v>11</v>
      </c>
      <c r="Y427" s="9">
        <v>11</v>
      </c>
      <c r="Z427" s="9">
        <v>11</v>
      </c>
      <c r="AA427" s="9">
        <v>11</v>
      </c>
      <c r="AB427" s="9">
        <v>11</v>
      </c>
      <c r="AC427" s="9">
        <f t="shared" si="264"/>
        <v>861</v>
      </c>
      <c r="AD427" s="9">
        <f t="shared" si="265"/>
        <v>931</v>
      </c>
      <c r="AE427" s="9">
        <f t="shared" si="266"/>
        <v>931</v>
      </c>
      <c r="AF427" s="9">
        <f t="shared" si="267"/>
        <v>931</v>
      </c>
      <c r="AG427" s="9">
        <f t="shared" si="268"/>
        <v>931</v>
      </c>
      <c r="AH427" s="9">
        <f t="shared" si="269"/>
        <v>931</v>
      </c>
      <c r="AI427" s="7">
        <f t="shared" si="283"/>
        <v>1344375.345</v>
      </c>
      <c r="AJ427" s="7">
        <f t="shared" si="280"/>
        <v>1344375.345</v>
      </c>
      <c r="AK427" s="7">
        <f t="shared" si="280"/>
        <v>1344375.345</v>
      </c>
      <c r="AL427" s="7">
        <f t="shared" si="280"/>
        <v>1344375.345</v>
      </c>
      <c r="AM427" s="7">
        <f t="shared" si="280"/>
        <v>1344375.345</v>
      </c>
      <c r="AN427" s="7">
        <f t="shared" si="280"/>
        <v>1344375.345</v>
      </c>
      <c r="AO427" s="16"/>
      <c r="AP427" s="7"/>
      <c r="AQ427" s="9">
        <v>7</v>
      </c>
      <c r="AR427" s="9">
        <f t="shared" si="270"/>
        <v>1131</v>
      </c>
      <c r="AS427" s="7">
        <f t="shared" si="281"/>
        <v>312</v>
      </c>
      <c r="AT427" s="7"/>
      <c r="AU427" s="16"/>
      <c r="AV427" s="7"/>
      <c r="AW427" s="7"/>
      <c r="AX427" s="7"/>
      <c r="AZ427" s="7"/>
      <c r="BA427" s="9">
        <f t="shared" si="282"/>
        <v>867489.22000000207</v>
      </c>
      <c r="BC427" s="5">
        <f t="shared" si="271"/>
        <v>805</v>
      </c>
      <c r="BR427" s="5">
        <v>1101015</v>
      </c>
      <c r="BS427" s="18">
        <f>[1]monsters!$N427</f>
        <v>62.4</v>
      </c>
      <c r="BT427" s="18">
        <f>[1]monsters!$O427</f>
        <v>6.24</v>
      </c>
      <c r="BU427" s="18">
        <f>[1]monsters!$P427</f>
        <v>1066.67</v>
      </c>
      <c r="BV427" s="18">
        <f>[1]monsters!$Q427</f>
        <v>106.67</v>
      </c>
      <c r="BW427" s="18">
        <f>[1]monsters!$R427</f>
        <v>12.48</v>
      </c>
      <c r="BX427" s="18">
        <f>[1]monsters!$S427</f>
        <v>1.25</v>
      </c>
      <c r="BY427" s="18">
        <f>[1]monsters!$K427</f>
        <v>1.3</v>
      </c>
      <c r="BZ427" s="5">
        <f>[1]monsters!$D427</f>
        <v>2</v>
      </c>
      <c r="CA427" s="5">
        <f t="shared" si="272"/>
        <v>0.1</v>
      </c>
      <c r="CB427" s="5">
        <f t="shared" si="273"/>
        <v>94.882814814814822</v>
      </c>
      <c r="CC427" s="5">
        <f t="shared" si="274"/>
        <v>9.4882814814814829</v>
      </c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>
        <v>0</v>
      </c>
      <c r="CR427" s="3" t="b">
        <f t="shared" si="246"/>
        <v>1</v>
      </c>
      <c r="CS427" s="3" t="b">
        <f t="shared" si="247"/>
        <v>1</v>
      </c>
      <c r="CT427" s="3" t="b">
        <f t="shared" si="248"/>
        <v>1</v>
      </c>
      <c r="CU427" s="3" t="b">
        <f t="shared" si="249"/>
        <v>1</v>
      </c>
      <c r="CV427" s="3" t="b">
        <f t="shared" si="250"/>
        <v>1</v>
      </c>
      <c r="CW427" s="3" t="b">
        <f t="shared" si="251"/>
        <v>1</v>
      </c>
      <c r="CX427" s="9" t="str">
        <f t="shared" si="252"/>
        <v>5201113</v>
      </c>
      <c r="CY427" s="9" t="str">
        <f t="shared" si="253"/>
        <v>5200113</v>
      </c>
      <c r="CZ427" s="9" t="str">
        <f t="shared" si="254"/>
        <v>5301112</v>
      </c>
      <c r="DA427" s="9" t="str">
        <f t="shared" si="255"/>
        <v>5501114</v>
      </c>
      <c r="DB427" s="9" t="str">
        <f t="shared" si="256"/>
        <v>5500113</v>
      </c>
      <c r="DC427" s="9" t="str">
        <f t="shared" si="257"/>
        <v>5501114</v>
      </c>
      <c r="DD427" s="9">
        <v>11</v>
      </c>
      <c r="DE427" s="9">
        <v>11</v>
      </c>
      <c r="DF427" s="9">
        <v>11</v>
      </c>
      <c r="DG427" s="9">
        <v>11</v>
      </c>
      <c r="DH427" s="9">
        <v>11</v>
      </c>
      <c r="DI427" s="9">
        <v>11</v>
      </c>
      <c r="DJ427" s="9">
        <v>5</v>
      </c>
      <c r="DK427" s="9">
        <v>5</v>
      </c>
      <c r="DL427" s="9">
        <v>5</v>
      </c>
      <c r="DM427" s="9">
        <v>5</v>
      </c>
      <c r="DN427" s="9">
        <v>5</v>
      </c>
      <c r="DO427" s="9">
        <v>5</v>
      </c>
      <c r="DP427" s="25" t="s">
        <v>205</v>
      </c>
      <c r="DQ427" s="25" t="s">
        <v>113</v>
      </c>
      <c r="DR427" s="25" t="s">
        <v>201</v>
      </c>
      <c r="DS427" s="25" t="s">
        <v>214</v>
      </c>
      <c r="DT427" s="25" t="s">
        <v>207</v>
      </c>
      <c r="DU427" s="25" t="s">
        <v>214</v>
      </c>
      <c r="DV427" s="25">
        <f t="shared" si="258"/>
        <v>1</v>
      </c>
      <c r="DW427" s="25">
        <f t="shared" si="259"/>
        <v>1</v>
      </c>
      <c r="DX427" s="25">
        <f t="shared" si="260"/>
        <v>1</v>
      </c>
      <c r="DY427" s="25">
        <f t="shared" si="261"/>
        <v>2</v>
      </c>
      <c r="DZ427" s="25">
        <f t="shared" si="262"/>
        <v>2</v>
      </c>
      <c r="EA427" s="3">
        <f t="shared" si="263"/>
        <v>2</v>
      </c>
      <c r="EB427" s="50"/>
    </row>
    <row r="428" spans="1:135" ht="13.5" customHeight="1">
      <c r="A428" s="9">
        <v>425</v>
      </c>
      <c r="B428" s="9">
        <v>1</v>
      </c>
      <c r="C428" s="9">
        <v>2001</v>
      </c>
      <c r="D428" s="9">
        <f t="shared" si="278"/>
        <v>10239344</v>
      </c>
      <c r="E428" s="9" t="str">
        <f t="shared" si="275"/>
        <v>5200113,5200113,5200113,5401113,5401113,5401113</v>
      </c>
      <c r="F428" s="9" t="str">
        <f t="shared" si="276"/>
        <v>11,11,11,11,11,11</v>
      </c>
      <c r="G428" s="9" t="str">
        <f t="shared" si="277"/>
        <v>862,932,932,932,932,932</v>
      </c>
      <c r="H428" s="9">
        <v>210</v>
      </c>
      <c r="I428" s="9" t="s">
        <v>278</v>
      </c>
      <c r="J428" s="9" t="s">
        <v>279</v>
      </c>
      <c r="K428" s="9" t="s">
        <v>279</v>
      </c>
      <c r="L428" s="9" t="s">
        <v>279</v>
      </c>
      <c r="M428" s="36" t="s">
        <v>308</v>
      </c>
      <c r="O428" s="3">
        <f t="shared" si="279"/>
        <v>10239344</v>
      </c>
      <c r="P428" s="9">
        <v>8094342.9100000001</v>
      </c>
      <c r="Q428" s="9">
        <v>5200113</v>
      </c>
      <c r="R428" s="9">
        <v>5200113</v>
      </c>
      <c r="S428" s="9">
        <v>5200113</v>
      </c>
      <c r="T428" s="9">
        <v>5401113</v>
      </c>
      <c r="U428" s="9">
        <v>5401113</v>
      </c>
      <c r="V428" s="9">
        <v>5401113</v>
      </c>
      <c r="W428" s="9">
        <v>11</v>
      </c>
      <c r="X428" s="9">
        <v>11</v>
      </c>
      <c r="Y428" s="9">
        <v>11</v>
      </c>
      <c r="Z428" s="9">
        <v>11</v>
      </c>
      <c r="AA428" s="9">
        <v>11</v>
      </c>
      <c r="AB428" s="9">
        <v>11</v>
      </c>
      <c r="AC428" s="9">
        <f t="shared" si="264"/>
        <v>862</v>
      </c>
      <c r="AD428" s="9">
        <f t="shared" si="265"/>
        <v>932</v>
      </c>
      <c r="AE428" s="9">
        <f t="shared" si="266"/>
        <v>932</v>
      </c>
      <c r="AF428" s="9">
        <f t="shared" si="267"/>
        <v>932</v>
      </c>
      <c r="AG428" s="9">
        <f t="shared" si="268"/>
        <v>932</v>
      </c>
      <c r="AH428" s="9">
        <f t="shared" si="269"/>
        <v>932</v>
      </c>
      <c r="AI428" s="7">
        <f t="shared" si="283"/>
        <v>1349057.1516666666</v>
      </c>
      <c r="AJ428" s="7">
        <f t="shared" si="280"/>
        <v>1349057.1516666666</v>
      </c>
      <c r="AK428" s="7">
        <f t="shared" si="280"/>
        <v>1349057.1516666666</v>
      </c>
      <c r="AL428" s="7">
        <f t="shared" si="280"/>
        <v>1349057.1516666666</v>
      </c>
      <c r="AM428" s="7">
        <f t="shared" si="280"/>
        <v>1349057.1516666666</v>
      </c>
      <c r="AN428" s="7">
        <f t="shared" si="280"/>
        <v>1349057.1516666666</v>
      </c>
      <c r="AO428" s="16"/>
      <c r="AP428" s="7"/>
      <c r="AQ428" s="9">
        <v>7</v>
      </c>
      <c r="AR428" s="9">
        <f t="shared" si="270"/>
        <v>1133</v>
      </c>
      <c r="AS428" s="7">
        <f t="shared" si="281"/>
        <v>312</v>
      </c>
      <c r="AT428" s="7"/>
      <c r="AU428" s="16"/>
      <c r="AV428" s="7"/>
      <c r="AW428" s="7"/>
      <c r="AX428" s="7"/>
      <c r="AZ428" s="7"/>
      <c r="BA428" s="9">
        <f t="shared" si="282"/>
        <v>872381.7500000021</v>
      </c>
      <c r="BC428" s="5">
        <f t="shared" si="271"/>
        <v>806</v>
      </c>
      <c r="BR428" s="5">
        <v>1102015</v>
      </c>
      <c r="BS428" s="18">
        <f>[1]monsters!$N428</f>
        <v>83.2</v>
      </c>
      <c r="BT428" s="18">
        <f>[1]monsters!$O428</f>
        <v>8.32</v>
      </c>
      <c r="BU428" s="18">
        <f>[1]monsters!$P428</f>
        <v>800</v>
      </c>
      <c r="BV428" s="18">
        <f>[1]monsters!$Q428</f>
        <v>80</v>
      </c>
      <c r="BW428" s="18">
        <f>[1]monsters!$R428</f>
        <v>8.32</v>
      </c>
      <c r="BX428" s="18">
        <f>[1]monsters!$S428</f>
        <v>0.83</v>
      </c>
      <c r="BY428" s="18">
        <f>[1]monsters!$K428</f>
        <v>1.3</v>
      </c>
      <c r="BZ428" s="5">
        <f>[1]monsters!$D428</f>
        <v>4</v>
      </c>
      <c r="CA428" s="5">
        <f t="shared" si="272"/>
        <v>0.1</v>
      </c>
      <c r="CB428" s="5">
        <f t="shared" si="273"/>
        <v>105.56002693602694</v>
      </c>
      <c r="CC428" s="5">
        <f t="shared" si="274"/>
        <v>10.556002693602695</v>
      </c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>
        <v>1</v>
      </c>
      <c r="CR428" s="3" t="b">
        <f t="shared" si="246"/>
        <v>1</v>
      </c>
      <c r="CS428" s="3" t="b">
        <f t="shared" si="247"/>
        <v>1</v>
      </c>
      <c r="CT428" s="3" t="b">
        <f t="shared" si="248"/>
        <v>1</v>
      </c>
      <c r="CU428" s="3" t="b">
        <f t="shared" si="249"/>
        <v>1</v>
      </c>
      <c r="CV428" s="3" t="b">
        <f t="shared" si="250"/>
        <v>1</v>
      </c>
      <c r="CW428" s="3" t="b">
        <f t="shared" si="251"/>
        <v>1</v>
      </c>
      <c r="CX428" s="9" t="str">
        <f t="shared" si="252"/>
        <v>5200113</v>
      </c>
      <c r="CY428" s="9" t="str">
        <f t="shared" si="253"/>
        <v>5200113</v>
      </c>
      <c r="CZ428" s="9" t="str">
        <f t="shared" si="254"/>
        <v>5200113</v>
      </c>
      <c r="DA428" s="9" t="str">
        <f t="shared" si="255"/>
        <v>5401113</v>
      </c>
      <c r="DB428" s="9" t="str">
        <f t="shared" si="256"/>
        <v>5401113</v>
      </c>
      <c r="DC428" s="9" t="str">
        <f t="shared" si="257"/>
        <v>5401113</v>
      </c>
      <c r="DD428" s="9">
        <v>11</v>
      </c>
      <c r="DE428" s="9">
        <v>11</v>
      </c>
      <c r="DF428" s="9">
        <v>11</v>
      </c>
      <c r="DG428" s="9">
        <v>11</v>
      </c>
      <c r="DH428" s="9">
        <v>11</v>
      </c>
      <c r="DI428" s="9">
        <v>11</v>
      </c>
      <c r="DJ428" s="9">
        <v>5</v>
      </c>
      <c r="DK428" s="9">
        <v>5</v>
      </c>
      <c r="DL428" s="9">
        <v>5</v>
      </c>
      <c r="DM428" s="9">
        <v>5</v>
      </c>
      <c r="DN428" s="9">
        <v>5</v>
      </c>
      <c r="DO428" s="9">
        <v>5</v>
      </c>
      <c r="DP428" s="25" t="s">
        <v>113</v>
      </c>
      <c r="DQ428" s="25" t="s">
        <v>113</v>
      </c>
      <c r="DR428" s="25" t="s">
        <v>113</v>
      </c>
      <c r="DS428" s="25" t="s">
        <v>211</v>
      </c>
      <c r="DT428" s="25" t="s">
        <v>211</v>
      </c>
      <c r="DU428" s="25" t="s">
        <v>211</v>
      </c>
      <c r="DV428" s="25">
        <f t="shared" si="258"/>
        <v>1</v>
      </c>
      <c r="DW428" s="25">
        <f t="shared" si="259"/>
        <v>1</v>
      </c>
      <c r="DX428" s="25">
        <f t="shared" si="260"/>
        <v>1</v>
      </c>
      <c r="DY428" s="25">
        <f t="shared" si="261"/>
        <v>2</v>
      </c>
      <c r="DZ428" s="25">
        <f t="shared" si="262"/>
        <v>2</v>
      </c>
      <c r="EA428" s="3">
        <f t="shared" si="263"/>
        <v>2</v>
      </c>
      <c r="EB428" s="50"/>
    </row>
    <row r="429" spans="1:135" ht="13.5" customHeight="1">
      <c r="A429" s="9">
        <v>426</v>
      </c>
      <c r="B429" s="9">
        <v>1</v>
      </c>
      <c r="C429" s="9">
        <v>2001</v>
      </c>
      <c r="D429" s="9">
        <f t="shared" si="278"/>
        <v>10554828</v>
      </c>
      <c r="E429" s="9" t="str">
        <f t="shared" si="275"/>
        <v>5201121,5201122,5202121,5502121,5500121,5502121</v>
      </c>
      <c r="F429" s="9" t="str">
        <f t="shared" si="276"/>
        <v>12,12,12,12,12,12</v>
      </c>
      <c r="G429" s="9" t="str">
        <f t="shared" si="277"/>
        <v>817,883,883,883,883,883</v>
      </c>
      <c r="H429" s="9">
        <v>210</v>
      </c>
      <c r="I429" s="9" t="s">
        <v>278</v>
      </c>
      <c r="J429" s="9" t="s">
        <v>279</v>
      </c>
      <c r="K429" s="9" t="s">
        <v>279</v>
      </c>
      <c r="L429" s="9" t="s">
        <v>279</v>
      </c>
      <c r="M429" s="36" t="s">
        <v>308</v>
      </c>
      <c r="N429" s="40"/>
      <c r="O429" s="3">
        <f t="shared" si="279"/>
        <v>10554828</v>
      </c>
      <c r="P429" s="9">
        <v>8343737.6699999999</v>
      </c>
      <c r="Q429" s="9">
        <v>5201121</v>
      </c>
      <c r="R429" s="9">
        <v>5201122</v>
      </c>
      <c r="S429" s="9">
        <v>5202121</v>
      </c>
      <c r="T429" s="9">
        <v>5502121</v>
      </c>
      <c r="U429" s="9">
        <v>5500121</v>
      </c>
      <c r="V429" s="9">
        <v>5502121</v>
      </c>
      <c r="W429" s="9">
        <v>12</v>
      </c>
      <c r="X429" s="9">
        <v>12</v>
      </c>
      <c r="Y429" s="9">
        <v>12</v>
      </c>
      <c r="Z429" s="9">
        <v>12</v>
      </c>
      <c r="AA429" s="9">
        <v>12</v>
      </c>
      <c r="AB429" s="9">
        <v>12</v>
      </c>
      <c r="AC429" s="9">
        <f t="shared" si="264"/>
        <v>817</v>
      </c>
      <c r="AD429" s="9">
        <f t="shared" si="265"/>
        <v>883</v>
      </c>
      <c r="AE429" s="9">
        <f t="shared" si="266"/>
        <v>883</v>
      </c>
      <c r="AF429" s="9">
        <f t="shared" si="267"/>
        <v>883</v>
      </c>
      <c r="AG429" s="9">
        <f t="shared" si="268"/>
        <v>883</v>
      </c>
      <c r="AH429" s="9">
        <f t="shared" si="269"/>
        <v>883</v>
      </c>
      <c r="AI429" s="7">
        <f t="shared" si="283"/>
        <v>1390622.9450000001</v>
      </c>
      <c r="AJ429" s="7">
        <f t="shared" si="280"/>
        <v>1390622.9450000001</v>
      </c>
      <c r="AK429" s="7">
        <f t="shared" si="280"/>
        <v>1390622.9450000001</v>
      </c>
      <c r="AL429" s="7">
        <f t="shared" si="280"/>
        <v>1390622.9450000001</v>
      </c>
      <c r="AM429" s="7">
        <f t="shared" si="280"/>
        <v>1390622.9450000001</v>
      </c>
      <c r="AN429" s="7">
        <f t="shared" si="280"/>
        <v>1390622.9450000001</v>
      </c>
      <c r="AO429" s="16"/>
      <c r="AP429" s="7"/>
      <c r="AQ429" s="9">
        <v>7</v>
      </c>
      <c r="AR429" s="9">
        <f t="shared" si="270"/>
        <v>1150</v>
      </c>
      <c r="AS429" s="7">
        <f t="shared" si="281"/>
        <v>313</v>
      </c>
      <c r="AT429" s="7"/>
      <c r="AU429" s="16"/>
      <c r="AV429" s="7"/>
      <c r="AW429" s="7"/>
      <c r="AX429" s="7"/>
      <c r="AZ429" s="7"/>
      <c r="BA429" s="9">
        <f t="shared" si="282"/>
        <v>877274.28000000212</v>
      </c>
      <c r="BC429" s="5">
        <f t="shared" si="271"/>
        <v>763</v>
      </c>
      <c r="BR429" s="5">
        <v>2206021</v>
      </c>
      <c r="BS429" s="18">
        <f>[1]monsters!$N429</f>
        <v>86.4</v>
      </c>
      <c r="BT429" s="18">
        <f>[1]monsters!$O429</f>
        <v>8.64</v>
      </c>
      <c r="BU429" s="18">
        <f>[1]monsters!$P429</f>
        <v>1066.67</v>
      </c>
      <c r="BV429" s="18">
        <f>[1]monsters!$Q429</f>
        <v>106.67</v>
      </c>
      <c r="BW429" s="18">
        <f>[1]monsters!$R429</f>
        <v>17.28</v>
      </c>
      <c r="BX429" s="18">
        <f>[1]monsters!$S429</f>
        <v>1.73</v>
      </c>
      <c r="BY429" s="18">
        <f>[1]monsters!$K429</f>
        <v>1.8</v>
      </c>
      <c r="BZ429" s="5">
        <f>[1]monsters!$D429</f>
        <v>2</v>
      </c>
      <c r="CA429" s="5">
        <f t="shared" si="272"/>
        <v>0.1</v>
      </c>
      <c r="CB429" s="5">
        <f t="shared" si="273"/>
        <v>117.56281481481483</v>
      </c>
      <c r="CC429" s="5">
        <f t="shared" si="274"/>
        <v>11.756281481481484</v>
      </c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>
        <v>0</v>
      </c>
      <c r="CR429" s="3" t="b">
        <f t="shared" si="246"/>
        <v>1</v>
      </c>
      <c r="CS429" s="3" t="b">
        <f t="shared" si="247"/>
        <v>1</v>
      </c>
      <c r="CT429" s="3" t="b">
        <f t="shared" si="248"/>
        <v>1</v>
      </c>
      <c r="CU429" s="3" t="b">
        <f t="shared" si="249"/>
        <v>1</v>
      </c>
      <c r="CV429" s="3" t="b">
        <f t="shared" si="250"/>
        <v>1</v>
      </c>
      <c r="CW429" s="3" t="b">
        <f t="shared" si="251"/>
        <v>1</v>
      </c>
      <c r="CX429" s="9" t="str">
        <f t="shared" si="252"/>
        <v>5201121</v>
      </c>
      <c r="CY429" s="9" t="str">
        <f t="shared" si="253"/>
        <v>5201122</v>
      </c>
      <c r="CZ429" s="9" t="str">
        <f t="shared" si="254"/>
        <v>5202121</v>
      </c>
      <c r="DA429" s="9" t="str">
        <f t="shared" si="255"/>
        <v>5502121</v>
      </c>
      <c r="DB429" s="9" t="str">
        <f t="shared" si="256"/>
        <v>5500121</v>
      </c>
      <c r="DC429" s="9" t="str">
        <f t="shared" si="257"/>
        <v>5502121</v>
      </c>
      <c r="DD429" s="9">
        <v>12</v>
      </c>
      <c r="DE429" s="9">
        <v>12</v>
      </c>
      <c r="DF429" s="9">
        <v>12</v>
      </c>
      <c r="DG429" s="9">
        <v>12</v>
      </c>
      <c r="DH429" s="9">
        <v>12</v>
      </c>
      <c r="DI429" s="9">
        <v>12</v>
      </c>
      <c r="DJ429" s="9">
        <v>5</v>
      </c>
      <c r="DK429" s="9">
        <v>5</v>
      </c>
      <c r="DL429" s="9">
        <v>5</v>
      </c>
      <c r="DM429" s="9">
        <v>5</v>
      </c>
      <c r="DN429" s="9">
        <v>5</v>
      </c>
      <c r="DO429" s="9">
        <v>5</v>
      </c>
      <c r="DP429" s="25" t="s">
        <v>195</v>
      </c>
      <c r="DQ429" s="25" t="s">
        <v>114</v>
      </c>
      <c r="DR429" s="25" t="s">
        <v>111</v>
      </c>
      <c r="DS429" s="25" t="s">
        <v>119</v>
      </c>
      <c r="DT429" s="25" t="s">
        <v>197</v>
      </c>
      <c r="DU429" s="25" t="s">
        <v>119</v>
      </c>
      <c r="DV429" s="25">
        <f t="shared" si="258"/>
        <v>1</v>
      </c>
      <c r="DW429" s="25">
        <f t="shared" si="259"/>
        <v>1</v>
      </c>
      <c r="DX429" s="25">
        <f t="shared" si="260"/>
        <v>1</v>
      </c>
      <c r="DY429" s="25">
        <f t="shared" si="261"/>
        <v>2</v>
      </c>
      <c r="DZ429" s="25">
        <f t="shared" si="262"/>
        <v>2</v>
      </c>
      <c r="EA429" s="3">
        <f t="shared" si="263"/>
        <v>2</v>
      </c>
      <c r="EB429" s="45"/>
    </row>
    <row r="430" spans="1:135" ht="13.5" customHeight="1">
      <c r="A430" s="9">
        <v>427</v>
      </c>
      <c r="B430" s="9">
        <v>1</v>
      </c>
      <c r="C430" s="9">
        <v>2001</v>
      </c>
      <c r="D430" s="9">
        <f t="shared" si="278"/>
        <v>10872596</v>
      </c>
      <c r="E430" s="9" t="str">
        <f t="shared" si="275"/>
        <v>5202123,5201123,5302124,5501124,5400125,5500122</v>
      </c>
      <c r="F430" s="9" t="str">
        <f t="shared" si="276"/>
        <v>12,12,12,12,12,12</v>
      </c>
      <c r="G430" s="9" t="str">
        <f t="shared" si="277"/>
        <v>829,896,896,896,896,896</v>
      </c>
      <c r="H430" s="9">
        <v>210</v>
      </c>
      <c r="I430" s="9" t="s">
        <v>278</v>
      </c>
      <c r="J430" s="9" t="s">
        <v>279</v>
      </c>
      <c r="K430" s="9" t="s">
        <v>279</v>
      </c>
      <c r="L430" s="9" t="s">
        <v>279</v>
      </c>
      <c r="M430" s="36" t="s">
        <v>308</v>
      </c>
      <c r="N430" s="40"/>
      <c r="O430" s="3">
        <f t="shared" si="279"/>
        <v>10872596</v>
      </c>
      <c r="P430" s="9">
        <v>8594937.3599999994</v>
      </c>
      <c r="Q430" s="9">
        <v>5202123</v>
      </c>
      <c r="R430" s="9">
        <v>5201123</v>
      </c>
      <c r="S430" s="9">
        <v>5302124</v>
      </c>
      <c r="T430" s="9">
        <v>5501124</v>
      </c>
      <c r="U430" s="9">
        <v>5400125</v>
      </c>
      <c r="V430" s="9">
        <v>5500122</v>
      </c>
      <c r="W430" s="9">
        <v>12</v>
      </c>
      <c r="X430" s="9">
        <v>12</v>
      </c>
      <c r="Y430" s="9">
        <v>12</v>
      </c>
      <c r="Z430" s="9">
        <v>12</v>
      </c>
      <c r="AA430" s="9">
        <v>12</v>
      </c>
      <c r="AB430" s="9">
        <v>12</v>
      </c>
      <c r="AC430" s="9">
        <f t="shared" si="264"/>
        <v>829</v>
      </c>
      <c r="AD430" s="9">
        <f t="shared" si="265"/>
        <v>896</v>
      </c>
      <c r="AE430" s="9">
        <f t="shared" si="266"/>
        <v>896</v>
      </c>
      <c r="AF430" s="9">
        <f t="shared" si="267"/>
        <v>896</v>
      </c>
      <c r="AG430" s="9">
        <f t="shared" si="268"/>
        <v>896</v>
      </c>
      <c r="AH430" s="9">
        <f t="shared" si="269"/>
        <v>896</v>
      </c>
      <c r="AI430" s="7">
        <f t="shared" si="283"/>
        <v>1432489.5599999998</v>
      </c>
      <c r="AJ430" s="7">
        <f t="shared" si="280"/>
        <v>1432489.5599999998</v>
      </c>
      <c r="AK430" s="7">
        <f t="shared" si="280"/>
        <v>1432489.5599999998</v>
      </c>
      <c r="AL430" s="7">
        <f t="shared" si="280"/>
        <v>1432489.5599999998</v>
      </c>
      <c r="AM430" s="7">
        <f t="shared" si="280"/>
        <v>1432489.5599999998</v>
      </c>
      <c r="AN430" s="7">
        <f t="shared" si="280"/>
        <v>1432489.5599999998</v>
      </c>
      <c r="AO430" s="16"/>
      <c r="AP430" s="7"/>
      <c r="AQ430" s="9">
        <v>7</v>
      </c>
      <c r="AR430" s="9">
        <f t="shared" si="270"/>
        <v>1168</v>
      </c>
      <c r="AS430" s="7">
        <f t="shared" si="281"/>
        <v>313</v>
      </c>
      <c r="AT430" s="7"/>
      <c r="AU430" s="16"/>
      <c r="AV430" s="7"/>
      <c r="AW430" s="7"/>
      <c r="AX430" s="7"/>
      <c r="AZ430" s="7"/>
      <c r="BA430" s="9">
        <f t="shared" si="282"/>
        <v>882166.81000000215</v>
      </c>
      <c r="BC430" s="5">
        <f t="shared" si="271"/>
        <v>775</v>
      </c>
      <c r="BR430" s="5">
        <v>2406021</v>
      </c>
      <c r="BS430" s="18">
        <f>[1]monsters!$N430</f>
        <v>100</v>
      </c>
      <c r="BT430" s="18">
        <f>[1]monsters!$O430</f>
        <v>10</v>
      </c>
      <c r="BU430" s="18">
        <f>[1]monsters!$P430</f>
        <v>768</v>
      </c>
      <c r="BV430" s="18">
        <f>[1]monsters!$Q430</f>
        <v>76.8</v>
      </c>
      <c r="BW430" s="18">
        <f>[1]monsters!$R430</f>
        <v>10</v>
      </c>
      <c r="BX430" s="18">
        <f>[1]monsters!$S430</f>
        <v>1</v>
      </c>
      <c r="BY430" s="18">
        <f>[1]monsters!$K430</f>
        <v>1.5</v>
      </c>
      <c r="BZ430" s="5">
        <f>[1]monsters!$D430</f>
        <v>4</v>
      </c>
      <c r="CA430" s="5">
        <f t="shared" si="272"/>
        <v>0.1</v>
      </c>
      <c r="CB430" s="5">
        <f t="shared" si="273"/>
        <v>120.35858585858585</v>
      </c>
      <c r="CC430" s="5">
        <f t="shared" si="274"/>
        <v>12.035858585858586</v>
      </c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>
        <v>0</v>
      </c>
      <c r="CR430" s="3" t="b">
        <f t="shared" si="246"/>
        <v>1</v>
      </c>
      <c r="CS430" s="3" t="b">
        <f t="shared" si="247"/>
        <v>1</v>
      </c>
      <c r="CT430" s="3" t="b">
        <f t="shared" si="248"/>
        <v>1</v>
      </c>
      <c r="CU430" s="3" t="b">
        <f t="shared" si="249"/>
        <v>1</v>
      </c>
      <c r="CV430" s="3" t="b">
        <f t="shared" si="250"/>
        <v>1</v>
      </c>
      <c r="CW430" s="3" t="b">
        <f t="shared" si="251"/>
        <v>1</v>
      </c>
      <c r="CX430" s="9" t="str">
        <f t="shared" si="252"/>
        <v>5202123</v>
      </c>
      <c r="CY430" s="9" t="str">
        <f t="shared" si="253"/>
        <v>5201123</v>
      </c>
      <c r="CZ430" s="9" t="str">
        <f t="shared" si="254"/>
        <v>5302124</v>
      </c>
      <c r="DA430" s="9" t="str">
        <f t="shared" si="255"/>
        <v>5501124</v>
      </c>
      <c r="DB430" s="9" t="str">
        <f t="shared" si="256"/>
        <v>5400125</v>
      </c>
      <c r="DC430" s="9" t="str">
        <f t="shared" si="257"/>
        <v>5500122</v>
      </c>
      <c r="DD430" s="9">
        <v>12</v>
      </c>
      <c r="DE430" s="9">
        <v>12</v>
      </c>
      <c r="DF430" s="9">
        <v>12</v>
      </c>
      <c r="DG430" s="9">
        <v>12</v>
      </c>
      <c r="DH430" s="9">
        <v>12</v>
      </c>
      <c r="DI430" s="9">
        <v>12</v>
      </c>
      <c r="DJ430" s="9">
        <v>5</v>
      </c>
      <c r="DK430" s="9">
        <v>5</v>
      </c>
      <c r="DL430" s="9">
        <v>5</v>
      </c>
      <c r="DM430" s="9">
        <v>5</v>
      </c>
      <c r="DN430" s="9">
        <v>5</v>
      </c>
      <c r="DO430" s="9">
        <v>5</v>
      </c>
      <c r="DP430" s="25" t="s">
        <v>208</v>
      </c>
      <c r="DQ430" s="25" t="s">
        <v>205</v>
      </c>
      <c r="DR430" s="25" t="s">
        <v>218</v>
      </c>
      <c r="DS430" s="25" t="s">
        <v>214</v>
      </c>
      <c r="DT430" s="25" t="s">
        <v>210</v>
      </c>
      <c r="DU430" s="25" t="s">
        <v>109</v>
      </c>
      <c r="DV430" s="25">
        <f t="shared" si="258"/>
        <v>1</v>
      </c>
      <c r="DW430" s="25">
        <f t="shared" si="259"/>
        <v>1</v>
      </c>
      <c r="DX430" s="25">
        <f t="shared" si="260"/>
        <v>1</v>
      </c>
      <c r="DY430" s="25">
        <f t="shared" si="261"/>
        <v>2</v>
      </c>
      <c r="DZ430" s="25">
        <f t="shared" si="262"/>
        <v>2</v>
      </c>
      <c r="EA430" s="3">
        <f t="shared" si="263"/>
        <v>2</v>
      </c>
      <c r="EB430" s="45"/>
    </row>
    <row r="431" spans="1:135" ht="13.5" customHeight="1">
      <c r="A431" s="9">
        <v>428</v>
      </c>
      <c r="B431" s="9">
        <v>1</v>
      </c>
      <c r="C431" s="9">
        <v>2001</v>
      </c>
      <c r="D431" s="9">
        <f t="shared" si="278"/>
        <v>11192654</v>
      </c>
      <c r="E431" s="9" t="str">
        <f t="shared" si="275"/>
        <v>5201123,5202125,5200121,5501124,5402122,5501125</v>
      </c>
      <c r="F431" s="9" t="str">
        <f t="shared" si="276"/>
        <v>12,12,12,12,12,12</v>
      </c>
      <c r="G431" s="9" t="str">
        <f t="shared" si="277"/>
        <v>841,910,910,910,910,910</v>
      </c>
      <c r="H431" s="9">
        <v>211</v>
      </c>
      <c r="I431" s="9" t="s">
        <v>278</v>
      </c>
      <c r="J431" s="9" t="s">
        <v>279</v>
      </c>
      <c r="K431" s="9" t="s">
        <v>279</v>
      </c>
      <c r="L431" s="9" t="s">
        <v>279</v>
      </c>
      <c r="M431" s="36" t="s">
        <v>308</v>
      </c>
      <c r="N431" s="40"/>
      <c r="O431" s="3">
        <f t="shared" si="279"/>
        <v>11192654</v>
      </c>
      <c r="P431" s="9">
        <v>8847947.9499999993</v>
      </c>
      <c r="Q431" s="9">
        <v>5201123</v>
      </c>
      <c r="R431" s="9">
        <v>5202125</v>
      </c>
      <c r="S431" s="9">
        <v>5200121</v>
      </c>
      <c r="T431" s="9">
        <v>5501124</v>
      </c>
      <c r="U431" s="9">
        <v>5402122</v>
      </c>
      <c r="V431" s="9">
        <v>5501125</v>
      </c>
      <c r="W431" s="9">
        <v>12</v>
      </c>
      <c r="X431" s="9">
        <v>12</v>
      </c>
      <c r="Y431" s="9">
        <v>12</v>
      </c>
      <c r="Z431" s="9">
        <v>12</v>
      </c>
      <c r="AA431" s="9">
        <v>12</v>
      </c>
      <c r="AB431" s="9">
        <v>12</v>
      </c>
      <c r="AC431" s="9">
        <f t="shared" si="264"/>
        <v>841</v>
      </c>
      <c r="AD431" s="9">
        <f t="shared" si="265"/>
        <v>910</v>
      </c>
      <c r="AE431" s="9">
        <f t="shared" si="266"/>
        <v>910</v>
      </c>
      <c r="AF431" s="9">
        <f t="shared" si="267"/>
        <v>910</v>
      </c>
      <c r="AG431" s="9">
        <f t="shared" si="268"/>
        <v>910</v>
      </c>
      <c r="AH431" s="9">
        <f t="shared" si="269"/>
        <v>910</v>
      </c>
      <c r="AI431" s="7">
        <f t="shared" si="283"/>
        <v>1474657.9916666665</v>
      </c>
      <c r="AJ431" s="7">
        <f t="shared" si="280"/>
        <v>1474657.9916666665</v>
      </c>
      <c r="AK431" s="7">
        <f t="shared" si="280"/>
        <v>1474657.9916666665</v>
      </c>
      <c r="AL431" s="7">
        <f t="shared" si="280"/>
        <v>1474657.9916666665</v>
      </c>
      <c r="AM431" s="7">
        <f t="shared" si="280"/>
        <v>1474657.9916666665</v>
      </c>
      <c r="AN431" s="7">
        <f t="shared" si="280"/>
        <v>1474657.9916666665</v>
      </c>
      <c r="AO431" s="16"/>
      <c r="AP431" s="7"/>
      <c r="AQ431" s="9">
        <v>7</v>
      </c>
      <c r="AR431" s="9">
        <f t="shared" si="270"/>
        <v>1185</v>
      </c>
      <c r="AS431" s="7">
        <f t="shared" si="281"/>
        <v>314</v>
      </c>
      <c r="AT431" s="7"/>
      <c r="AU431" s="16"/>
      <c r="AV431" s="7"/>
      <c r="AW431" s="7"/>
      <c r="AX431" s="7"/>
      <c r="AZ431" s="7"/>
      <c r="BA431" s="9">
        <f t="shared" si="282"/>
        <v>887059.34000000218</v>
      </c>
      <c r="BC431" s="5">
        <f t="shared" si="271"/>
        <v>786</v>
      </c>
      <c r="BR431" s="5">
        <v>2205021</v>
      </c>
      <c r="BS431" s="18">
        <f>[1]monsters!$N431</f>
        <v>76.27</v>
      </c>
      <c r="BT431" s="18">
        <f>[1]monsters!$O431</f>
        <v>7.63</v>
      </c>
      <c r="BU431" s="18">
        <f>[1]monsters!$P431</f>
        <v>872.73</v>
      </c>
      <c r="BV431" s="18">
        <f>[1]monsters!$Q431</f>
        <v>87.27</v>
      </c>
      <c r="BW431" s="18">
        <f>[1]monsters!$R431</f>
        <v>9.5299999999999994</v>
      </c>
      <c r="BX431" s="18">
        <f>[1]monsters!$S431</f>
        <v>0.95</v>
      </c>
      <c r="BY431" s="18">
        <f>[1]monsters!$K431</f>
        <v>1.3</v>
      </c>
      <c r="BZ431" s="5">
        <f>[1]monsters!$D431</f>
        <v>3</v>
      </c>
      <c r="CA431" s="5">
        <f t="shared" si="272"/>
        <v>0.1</v>
      </c>
      <c r="CB431" s="5">
        <f t="shared" si="273"/>
        <v>101.45999848484848</v>
      </c>
      <c r="CC431" s="5">
        <f t="shared" si="274"/>
        <v>10.145999848484848</v>
      </c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>
        <v>0</v>
      </c>
      <c r="CR431" s="3" t="b">
        <f t="shared" si="246"/>
        <v>1</v>
      </c>
      <c r="CS431" s="3" t="b">
        <f t="shared" si="247"/>
        <v>1</v>
      </c>
      <c r="CT431" s="3" t="b">
        <f t="shared" si="248"/>
        <v>1</v>
      </c>
      <c r="CU431" s="3" t="b">
        <f t="shared" si="249"/>
        <v>1</v>
      </c>
      <c r="CV431" s="3" t="b">
        <f t="shared" si="250"/>
        <v>1</v>
      </c>
      <c r="CW431" s="3" t="b">
        <f t="shared" si="251"/>
        <v>1</v>
      </c>
      <c r="CX431" s="9" t="str">
        <f t="shared" si="252"/>
        <v>5201123</v>
      </c>
      <c r="CY431" s="9" t="str">
        <f t="shared" si="253"/>
        <v>5202125</v>
      </c>
      <c r="CZ431" s="9" t="str">
        <f t="shared" si="254"/>
        <v>5200121</v>
      </c>
      <c r="DA431" s="9" t="str">
        <f t="shared" si="255"/>
        <v>5501124</v>
      </c>
      <c r="DB431" s="9" t="str">
        <f t="shared" si="256"/>
        <v>5402122</v>
      </c>
      <c r="DC431" s="9" t="str">
        <f t="shared" si="257"/>
        <v>5501125</v>
      </c>
      <c r="DD431" s="9">
        <v>12</v>
      </c>
      <c r="DE431" s="9">
        <v>12</v>
      </c>
      <c r="DF431" s="9">
        <v>12</v>
      </c>
      <c r="DG431" s="9">
        <v>12</v>
      </c>
      <c r="DH431" s="9">
        <v>12</v>
      </c>
      <c r="DI431" s="9">
        <v>12</v>
      </c>
      <c r="DJ431" s="9">
        <v>5</v>
      </c>
      <c r="DK431" s="9">
        <v>5</v>
      </c>
      <c r="DL431" s="9">
        <v>5</v>
      </c>
      <c r="DM431" s="9">
        <v>5</v>
      </c>
      <c r="DN431" s="9">
        <v>5</v>
      </c>
      <c r="DO431" s="9">
        <v>5</v>
      </c>
      <c r="DP431" s="25" t="s">
        <v>205</v>
      </c>
      <c r="DQ431" s="25" t="s">
        <v>213</v>
      </c>
      <c r="DR431" s="25" t="s">
        <v>194</v>
      </c>
      <c r="DS431" s="25" t="s">
        <v>214</v>
      </c>
      <c r="DT431" s="25" t="s">
        <v>203</v>
      </c>
      <c r="DU431" s="25" t="s">
        <v>209</v>
      </c>
      <c r="DV431" s="25">
        <f t="shared" si="258"/>
        <v>1</v>
      </c>
      <c r="DW431" s="25">
        <f t="shared" si="259"/>
        <v>1</v>
      </c>
      <c r="DX431" s="25">
        <f t="shared" si="260"/>
        <v>1</v>
      </c>
      <c r="DY431" s="25">
        <f t="shared" si="261"/>
        <v>2</v>
      </c>
      <c r="DZ431" s="25">
        <f t="shared" si="262"/>
        <v>2</v>
      </c>
      <c r="EA431" s="3">
        <f t="shared" si="263"/>
        <v>2</v>
      </c>
      <c r="EB431" s="45"/>
    </row>
    <row r="432" spans="1:135" ht="13.5" customHeight="1">
      <c r="A432" s="9">
        <v>429</v>
      </c>
      <c r="B432" s="9">
        <v>1</v>
      </c>
      <c r="C432" s="9">
        <v>2001</v>
      </c>
      <c r="D432" s="9">
        <f t="shared" si="278"/>
        <v>11514973</v>
      </c>
      <c r="E432" s="9" t="str">
        <f t="shared" si="275"/>
        <v>5302125,5202125,5202123,5401123,5501125,5400125</v>
      </c>
      <c r="F432" s="9" t="str">
        <f t="shared" si="276"/>
        <v>12,12,12,12,12,12</v>
      </c>
      <c r="G432" s="9" t="str">
        <f t="shared" si="277"/>
        <v>854,923,923,923,923,923</v>
      </c>
      <c r="H432" s="9">
        <v>211</v>
      </c>
      <c r="I432" s="9" t="s">
        <v>278</v>
      </c>
      <c r="J432" s="9" t="s">
        <v>279</v>
      </c>
      <c r="K432" s="9" t="s">
        <v>279</v>
      </c>
      <c r="L432" s="9" t="s">
        <v>279</v>
      </c>
      <c r="M432" s="36" t="s">
        <v>308</v>
      </c>
      <c r="N432" s="40"/>
      <c r="O432" s="3">
        <f t="shared" si="279"/>
        <v>11514973</v>
      </c>
      <c r="P432" s="9">
        <v>9102745.5600000005</v>
      </c>
      <c r="Q432" s="9">
        <v>5302125</v>
      </c>
      <c r="R432" s="9">
        <v>5202125</v>
      </c>
      <c r="S432" s="9">
        <v>5202123</v>
      </c>
      <c r="T432" s="9">
        <v>5401123</v>
      </c>
      <c r="U432" s="9">
        <v>5501125</v>
      </c>
      <c r="V432" s="9">
        <v>5400125</v>
      </c>
      <c r="W432" s="9">
        <v>12</v>
      </c>
      <c r="X432" s="9">
        <v>12</v>
      </c>
      <c r="Y432" s="9">
        <v>12</v>
      </c>
      <c r="Z432" s="9">
        <v>12</v>
      </c>
      <c r="AA432" s="9">
        <v>12</v>
      </c>
      <c r="AB432" s="9">
        <v>12</v>
      </c>
      <c r="AC432" s="9">
        <f t="shared" si="264"/>
        <v>854</v>
      </c>
      <c r="AD432" s="9">
        <f t="shared" si="265"/>
        <v>923</v>
      </c>
      <c r="AE432" s="9">
        <f t="shared" si="266"/>
        <v>923</v>
      </c>
      <c r="AF432" s="9">
        <f t="shared" si="267"/>
        <v>923</v>
      </c>
      <c r="AG432" s="9">
        <f t="shared" si="268"/>
        <v>923</v>
      </c>
      <c r="AH432" s="9">
        <f t="shared" si="269"/>
        <v>923</v>
      </c>
      <c r="AI432" s="7">
        <f t="shared" si="283"/>
        <v>1517124.26</v>
      </c>
      <c r="AJ432" s="7">
        <f t="shared" si="280"/>
        <v>1517124.26</v>
      </c>
      <c r="AK432" s="7">
        <f t="shared" si="280"/>
        <v>1517124.26</v>
      </c>
      <c r="AL432" s="7">
        <f t="shared" si="280"/>
        <v>1517124.26</v>
      </c>
      <c r="AM432" s="7">
        <f t="shared" si="280"/>
        <v>1517124.26</v>
      </c>
      <c r="AN432" s="7">
        <f t="shared" si="280"/>
        <v>1517124.26</v>
      </c>
      <c r="AO432" s="16"/>
      <c r="AP432" s="7"/>
      <c r="AQ432" s="9">
        <v>7</v>
      </c>
      <c r="AR432" s="9">
        <f t="shared" si="270"/>
        <v>1202</v>
      </c>
      <c r="AS432" s="7">
        <f t="shared" si="281"/>
        <v>314</v>
      </c>
      <c r="AT432" s="7"/>
      <c r="AU432" s="16"/>
      <c r="AV432" s="7"/>
      <c r="AW432" s="7"/>
      <c r="AX432" s="7"/>
      <c r="AZ432" s="7"/>
      <c r="BA432" s="9">
        <f t="shared" si="282"/>
        <v>891951.87000000221</v>
      </c>
      <c r="BC432" s="5">
        <f t="shared" si="271"/>
        <v>798</v>
      </c>
      <c r="BR432" s="5">
        <v>2405021</v>
      </c>
      <c r="BS432" s="18">
        <f>[1]monsters!$N432</f>
        <v>105.6</v>
      </c>
      <c r="BT432" s="18">
        <f>[1]monsters!$O432</f>
        <v>10.56</v>
      </c>
      <c r="BU432" s="18">
        <f>[1]monsters!$P432</f>
        <v>872.73</v>
      </c>
      <c r="BV432" s="18">
        <f>[1]monsters!$Q432</f>
        <v>87.27</v>
      </c>
      <c r="BW432" s="18">
        <f>[1]monsters!$R432</f>
        <v>17.600000000000001</v>
      </c>
      <c r="BX432" s="18">
        <f>[1]monsters!$S432</f>
        <v>1.76</v>
      </c>
      <c r="BY432" s="18">
        <f>[1]monsters!$K432</f>
        <v>1.8</v>
      </c>
      <c r="BZ432" s="5">
        <f>[1]monsters!$D432</f>
        <v>5</v>
      </c>
      <c r="CA432" s="5">
        <f t="shared" si="272"/>
        <v>0.1</v>
      </c>
      <c r="CB432" s="5">
        <f t="shared" si="273"/>
        <v>129.17684848484848</v>
      </c>
      <c r="CC432" s="5">
        <f t="shared" si="274"/>
        <v>12.917684848484848</v>
      </c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>
        <v>0</v>
      </c>
      <c r="CR432" s="3" t="b">
        <f t="shared" si="246"/>
        <v>1</v>
      </c>
      <c r="CS432" s="3" t="b">
        <f t="shared" si="247"/>
        <v>1</v>
      </c>
      <c r="CT432" s="3" t="b">
        <f t="shared" si="248"/>
        <v>1</v>
      </c>
      <c r="CU432" s="3" t="b">
        <f t="shared" si="249"/>
        <v>1</v>
      </c>
      <c r="CV432" s="3" t="b">
        <f t="shared" si="250"/>
        <v>1</v>
      </c>
      <c r="CW432" s="3" t="b">
        <f t="shared" si="251"/>
        <v>1</v>
      </c>
      <c r="CX432" s="9" t="str">
        <f t="shared" si="252"/>
        <v>5302125</v>
      </c>
      <c r="CY432" s="9" t="str">
        <f t="shared" si="253"/>
        <v>5202125</v>
      </c>
      <c r="CZ432" s="9" t="str">
        <f t="shared" si="254"/>
        <v>5202123</v>
      </c>
      <c r="DA432" s="9" t="str">
        <f t="shared" si="255"/>
        <v>5401123</v>
      </c>
      <c r="DB432" s="9" t="str">
        <f t="shared" si="256"/>
        <v>5501125</v>
      </c>
      <c r="DC432" s="9" t="str">
        <f t="shared" si="257"/>
        <v>5400125</v>
      </c>
      <c r="DD432" s="9">
        <v>12</v>
      </c>
      <c r="DE432" s="9">
        <v>12</v>
      </c>
      <c r="DF432" s="9">
        <v>12</v>
      </c>
      <c r="DG432" s="9">
        <v>12</v>
      </c>
      <c r="DH432" s="9">
        <v>12</v>
      </c>
      <c r="DI432" s="9">
        <v>12</v>
      </c>
      <c r="DJ432" s="9">
        <v>5</v>
      </c>
      <c r="DK432" s="9">
        <v>5</v>
      </c>
      <c r="DL432" s="9">
        <v>5</v>
      </c>
      <c r="DM432" s="9">
        <v>5</v>
      </c>
      <c r="DN432" s="9">
        <v>5</v>
      </c>
      <c r="DO432" s="9">
        <v>5</v>
      </c>
      <c r="DP432" s="25" t="s">
        <v>221</v>
      </c>
      <c r="DQ432" s="25" t="s">
        <v>213</v>
      </c>
      <c r="DR432" s="25" t="s">
        <v>208</v>
      </c>
      <c r="DS432" s="25" t="s">
        <v>211</v>
      </c>
      <c r="DT432" s="25" t="s">
        <v>209</v>
      </c>
      <c r="DU432" s="25" t="s">
        <v>210</v>
      </c>
      <c r="DV432" s="25">
        <f t="shared" si="258"/>
        <v>1</v>
      </c>
      <c r="DW432" s="25">
        <f t="shared" si="259"/>
        <v>1</v>
      </c>
      <c r="DX432" s="25">
        <f t="shared" si="260"/>
        <v>1</v>
      </c>
      <c r="DY432" s="25">
        <f t="shared" si="261"/>
        <v>2</v>
      </c>
      <c r="DZ432" s="25">
        <f t="shared" si="262"/>
        <v>2</v>
      </c>
      <c r="EA432" s="3">
        <f t="shared" si="263"/>
        <v>2</v>
      </c>
      <c r="EB432" s="46"/>
    </row>
    <row r="433" spans="1:132" ht="13.5" customHeight="1">
      <c r="A433" s="9">
        <v>430</v>
      </c>
      <c r="B433" s="9">
        <v>1</v>
      </c>
      <c r="C433" s="9">
        <v>2001</v>
      </c>
      <c r="D433" s="9">
        <f t="shared" si="278"/>
        <v>11839595</v>
      </c>
      <c r="E433" s="9" t="str">
        <f t="shared" si="275"/>
        <v>5202122,5202122,5301122,5502122,5500121,5502121</v>
      </c>
      <c r="F433" s="9" t="str">
        <f t="shared" si="276"/>
        <v>12,12,12,12,12,12</v>
      </c>
      <c r="G433" s="9" t="str">
        <f t="shared" si="277"/>
        <v>866,936,936,936,936,936</v>
      </c>
      <c r="H433" s="9">
        <v>212</v>
      </c>
      <c r="I433" s="9" t="s">
        <v>278</v>
      </c>
      <c r="J433" s="9" t="s">
        <v>279</v>
      </c>
      <c r="K433" s="9" t="s">
        <v>279</v>
      </c>
      <c r="L433" s="9" t="s">
        <v>279</v>
      </c>
      <c r="M433" s="36" t="s">
        <v>308</v>
      </c>
      <c r="O433" s="3">
        <f t="shared" si="279"/>
        <v>11839595</v>
      </c>
      <c r="P433" s="9">
        <v>9359364.0199999996</v>
      </c>
      <c r="Q433" s="9">
        <v>5202122</v>
      </c>
      <c r="R433" s="9">
        <v>5202122</v>
      </c>
      <c r="S433" s="9">
        <v>5301122</v>
      </c>
      <c r="T433" s="9">
        <v>5502122</v>
      </c>
      <c r="U433" s="9">
        <v>5500121</v>
      </c>
      <c r="V433" s="9">
        <v>5502121</v>
      </c>
      <c r="W433" s="9">
        <v>12</v>
      </c>
      <c r="X433" s="9">
        <v>12</v>
      </c>
      <c r="Y433" s="9">
        <v>12</v>
      </c>
      <c r="Z433" s="9">
        <v>12</v>
      </c>
      <c r="AA433" s="9">
        <v>12</v>
      </c>
      <c r="AB433" s="9">
        <v>12</v>
      </c>
      <c r="AC433" s="9">
        <f t="shared" si="264"/>
        <v>866</v>
      </c>
      <c r="AD433" s="9">
        <f t="shared" si="265"/>
        <v>936</v>
      </c>
      <c r="AE433" s="9">
        <f t="shared" si="266"/>
        <v>936</v>
      </c>
      <c r="AF433" s="9">
        <f t="shared" si="267"/>
        <v>936</v>
      </c>
      <c r="AG433" s="9">
        <f t="shared" si="268"/>
        <v>936</v>
      </c>
      <c r="AH433" s="9">
        <f t="shared" si="269"/>
        <v>936</v>
      </c>
      <c r="AI433" s="7">
        <f t="shared" si="283"/>
        <v>1559894.0033333332</v>
      </c>
      <c r="AJ433" s="7">
        <f t="shared" si="280"/>
        <v>1559894.0033333332</v>
      </c>
      <c r="AK433" s="7">
        <f t="shared" si="280"/>
        <v>1559894.0033333332</v>
      </c>
      <c r="AL433" s="7">
        <f t="shared" si="280"/>
        <v>1559894.0033333332</v>
      </c>
      <c r="AM433" s="7">
        <f t="shared" si="280"/>
        <v>1559894.0033333332</v>
      </c>
      <c r="AN433" s="7">
        <f t="shared" si="280"/>
        <v>1559894.0033333332</v>
      </c>
      <c r="AO433" s="16"/>
      <c r="AP433" s="7"/>
      <c r="AQ433" s="9">
        <v>7</v>
      </c>
      <c r="AR433" s="9">
        <f t="shared" si="270"/>
        <v>1219</v>
      </c>
      <c r="AS433" s="7">
        <f t="shared" si="281"/>
        <v>315</v>
      </c>
      <c r="AT433" s="7"/>
      <c r="AU433" s="16"/>
      <c r="AV433" s="7"/>
      <c r="AW433" s="7"/>
      <c r="AX433" s="7"/>
      <c r="AZ433" s="7"/>
      <c r="BA433" s="9">
        <f t="shared" si="282"/>
        <v>896844.40000000224</v>
      </c>
      <c r="BC433" s="5">
        <f t="shared" si="271"/>
        <v>809</v>
      </c>
      <c r="BR433" s="5">
        <v>2203021</v>
      </c>
      <c r="BS433" s="18">
        <f>[1]monsters!$N433</f>
        <v>76.8</v>
      </c>
      <c r="BT433" s="18">
        <f>[1]monsters!$O433</f>
        <v>7.68</v>
      </c>
      <c r="BU433" s="18">
        <f>[1]monsters!$P433</f>
        <v>1066.67</v>
      </c>
      <c r="BV433" s="18">
        <f>[1]monsters!$Q433</f>
        <v>106.67</v>
      </c>
      <c r="BW433" s="18">
        <f>[1]monsters!$R433</f>
        <v>15.36</v>
      </c>
      <c r="BX433" s="18">
        <f>[1]monsters!$S433</f>
        <v>1.54</v>
      </c>
      <c r="BY433" s="18">
        <f>[1]monsters!$K433</f>
        <v>1.6</v>
      </c>
      <c r="BZ433" s="5">
        <f>[1]monsters!$D433</f>
        <v>2</v>
      </c>
      <c r="CA433" s="5">
        <f t="shared" si="272"/>
        <v>0.1</v>
      </c>
      <c r="CB433" s="5">
        <f t="shared" si="273"/>
        <v>108.49081481481483</v>
      </c>
      <c r="CC433" s="5">
        <f t="shared" si="274"/>
        <v>10.849081481481484</v>
      </c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>
        <v>1</v>
      </c>
      <c r="CR433" s="3" t="b">
        <f t="shared" si="246"/>
        <v>1</v>
      </c>
      <c r="CS433" s="3" t="b">
        <f t="shared" si="247"/>
        <v>1</v>
      </c>
      <c r="CT433" s="3" t="b">
        <f t="shared" si="248"/>
        <v>1</v>
      </c>
      <c r="CU433" s="3" t="b">
        <f t="shared" si="249"/>
        <v>1</v>
      </c>
      <c r="CV433" s="3" t="b">
        <f t="shared" si="250"/>
        <v>1</v>
      </c>
      <c r="CW433" s="3" t="b">
        <f t="shared" si="251"/>
        <v>1</v>
      </c>
      <c r="CX433" s="9" t="str">
        <f t="shared" si="252"/>
        <v>5202122</v>
      </c>
      <c r="CY433" s="9" t="str">
        <f t="shared" si="253"/>
        <v>5202122</v>
      </c>
      <c r="CZ433" s="9" t="str">
        <f t="shared" si="254"/>
        <v>5301122</v>
      </c>
      <c r="DA433" s="9" t="str">
        <f t="shared" si="255"/>
        <v>5502122</v>
      </c>
      <c r="DB433" s="9" t="str">
        <f t="shared" si="256"/>
        <v>5500121</v>
      </c>
      <c r="DC433" s="9" t="str">
        <f t="shared" si="257"/>
        <v>5502121</v>
      </c>
      <c r="DD433" s="9">
        <v>12</v>
      </c>
      <c r="DE433" s="9">
        <v>12</v>
      </c>
      <c r="DF433" s="9">
        <v>12</v>
      </c>
      <c r="DG433" s="9">
        <v>12</v>
      </c>
      <c r="DH433" s="9">
        <v>12</v>
      </c>
      <c r="DI433" s="9">
        <v>12</v>
      </c>
      <c r="DJ433" s="9">
        <v>5</v>
      </c>
      <c r="DK433" s="9">
        <v>5</v>
      </c>
      <c r="DL433" s="9">
        <v>5</v>
      </c>
      <c r="DM433" s="9">
        <v>5</v>
      </c>
      <c r="DN433" s="9">
        <v>5</v>
      </c>
      <c r="DO433" s="9">
        <v>5</v>
      </c>
      <c r="DP433" s="25" t="s">
        <v>200</v>
      </c>
      <c r="DQ433" s="25" t="s">
        <v>200</v>
      </c>
      <c r="DR433" s="25" t="s">
        <v>201</v>
      </c>
      <c r="DS433" s="25" t="s">
        <v>204</v>
      </c>
      <c r="DT433" s="25" t="s">
        <v>197</v>
      </c>
      <c r="DU433" s="25" t="s">
        <v>119</v>
      </c>
      <c r="DV433" s="25">
        <f t="shared" si="258"/>
        <v>1</v>
      </c>
      <c r="DW433" s="25">
        <f t="shared" si="259"/>
        <v>1</v>
      </c>
      <c r="DX433" s="25">
        <f t="shared" si="260"/>
        <v>1</v>
      </c>
      <c r="DY433" s="25">
        <f t="shared" si="261"/>
        <v>2</v>
      </c>
      <c r="DZ433" s="25">
        <f t="shared" si="262"/>
        <v>2</v>
      </c>
      <c r="EA433" s="3">
        <f t="shared" si="263"/>
        <v>2</v>
      </c>
      <c r="EB433" s="45"/>
    </row>
    <row r="434" spans="1:132" ht="13.5" customHeight="1">
      <c r="A434" s="9">
        <v>431</v>
      </c>
      <c r="B434" s="9">
        <v>1</v>
      </c>
      <c r="C434" s="9">
        <v>2001</v>
      </c>
      <c r="D434" s="9">
        <f t="shared" si="278"/>
        <v>11880366</v>
      </c>
      <c r="E434" s="9" t="str">
        <f t="shared" si="275"/>
        <v>5202123,5201123,5302124,5400125,5601121,5400125</v>
      </c>
      <c r="F434" s="9" t="str">
        <f t="shared" si="276"/>
        <v>12,12,12,12,12,12</v>
      </c>
      <c r="G434" s="9" t="str">
        <f t="shared" si="277"/>
        <v>867,937,937,937,937,937</v>
      </c>
      <c r="H434" s="9">
        <v>212</v>
      </c>
      <c r="I434" s="9" t="s">
        <v>278</v>
      </c>
      <c r="J434" s="9" t="s">
        <v>279</v>
      </c>
      <c r="K434" s="9" t="s">
        <v>279</v>
      </c>
      <c r="L434" s="9" t="s">
        <v>279</v>
      </c>
      <c r="M434" s="36" t="s">
        <v>308</v>
      </c>
      <c r="N434" s="40"/>
      <c r="O434" s="3">
        <f t="shared" si="279"/>
        <v>11880366</v>
      </c>
      <c r="P434" s="9">
        <v>9391594.0600000005</v>
      </c>
      <c r="Q434" s="9">
        <v>5202123</v>
      </c>
      <c r="R434" s="9">
        <v>5201123</v>
      </c>
      <c r="S434" s="9">
        <v>5302124</v>
      </c>
      <c r="T434" s="9">
        <v>5400125</v>
      </c>
      <c r="U434" s="9">
        <v>5601121</v>
      </c>
      <c r="V434" s="9">
        <v>5400125</v>
      </c>
      <c r="W434" s="9">
        <v>12</v>
      </c>
      <c r="X434" s="9">
        <v>12</v>
      </c>
      <c r="Y434" s="9">
        <v>12</v>
      </c>
      <c r="Z434" s="9">
        <v>12</v>
      </c>
      <c r="AA434" s="9">
        <v>12</v>
      </c>
      <c r="AB434" s="9">
        <v>12</v>
      </c>
      <c r="AC434" s="9">
        <f t="shared" si="264"/>
        <v>867</v>
      </c>
      <c r="AD434" s="9">
        <f t="shared" si="265"/>
        <v>937</v>
      </c>
      <c r="AE434" s="9">
        <f t="shared" si="266"/>
        <v>937</v>
      </c>
      <c r="AF434" s="9">
        <f t="shared" si="267"/>
        <v>937</v>
      </c>
      <c r="AG434" s="9">
        <f t="shared" si="268"/>
        <v>937</v>
      </c>
      <c r="AH434" s="9">
        <f t="shared" si="269"/>
        <v>937</v>
      </c>
      <c r="AI434" s="7">
        <f t="shared" si="283"/>
        <v>1565265.6766666668</v>
      </c>
      <c r="AJ434" s="7">
        <f t="shared" si="280"/>
        <v>1565265.6766666668</v>
      </c>
      <c r="AK434" s="7">
        <f t="shared" si="280"/>
        <v>1565265.6766666668</v>
      </c>
      <c r="AL434" s="7">
        <f t="shared" si="280"/>
        <v>1565265.6766666668</v>
      </c>
      <c r="AM434" s="7">
        <f t="shared" si="280"/>
        <v>1565265.6766666668</v>
      </c>
      <c r="AN434" s="7">
        <f t="shared" si="280"/>
        <v>1565265.6766666668</v>
      </c>
      <c r="AO434" s="16"/>
      <c r="AP434" s="7"/>
      <c r="AQ434" s="9">
        <v>7</v>
      </c>
      <c r="AR434" s="9">
        <f t="shared" si="270"/>
        <v>1221</v>
      </c>
      <c r="AS434" s="7">
        <f t="shared" si="281"/>
        <v>315</v>
      </c>
      <c r="AT434" s="7"/>
      <c r="AU434" s="16"/>
      <c r="AV434" s="7"/>
      <c r="AW434" s="7"/>
      <c r="AX434" s="7"/>
      <c r="AZ434" s="7"/>
      <c r="BA434" s="9">
        <f t="shared" si="282"/>
        <v>901736.93000000226</v>
      </c>
      <c r="BC434" s="5">
        <f t="shared" si="271"/>
        <v>810</v>
      </c>
      <c r="BR434" s="5">
        <v>2403021</v>
      </c>
      <c r="BS434" s="18">
        <f>[1]monsters!$N434</f>
        <v>97.07</v>
      </c>
      <c r="BT434" s="18">
        <f>[1]monsters!$O434</f>
        <v>9.7100000000000009</v>
      </c>
      <c r="BU434" s="18">
        <f>[1]monsters!$P434</f>
        <v>738.46</v>
      </c>
      <c r="BV434" s="18">
        <f>[1]monsters!$Q434</f>
        <v>73.849999999999994</v>
      </c>
      <c r="BW434" s="18">
        <f>[1]monsters!$R434</f>
        <v>9.7100000000000009</v>
      </c>
      <c r="BX434" s="18">
        <f>[1]monsters!$S434</f>
        <v>0.97</v>
      </c>
      <c r="BY434" s="18">
        <f>[1]monsters!$K434</f>
        <v>1.4</v>
      </c>
      <c r="BZ434" s="5">
        <f>[1]monsters!$D434</f>
        <v>4</v>
      </c>
      <c r="CA434" s="5">
        <f t="shared" si="272"/>
        <v>0.1</v>
      </c>
      <c r="CB434" s="5">
        <f t="shared" si="273"/>
        <v>116.59512306397306</v>
      </c>
      <c r="CC434" s="5">
        <f t="shared" si="274"/>
        <v>11.659512306397307</v>
      </c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>
        <v>0</v>
      </c>
      <c r="CR434" s="3" t="b">
        <f t="shared" si="246"/>
        <v>1</v>
      </c>
      <c r="CS434" s="3" t="b">
        <f t="shared" si="247"/>
        <v>1</v>
      </c>
      <c r="CT434" s="3" t="b">
        <f t="shared" si="248"/>
        <v>1</v>
      </c>
      <c r="CU434" s="3" t="b">
        <f t="shared" si="249"/>
        <v>1</v>
      </c>
      <c r="CV434" s="3" t="b">
        <f t="shared" si="250"/>
        <v>1</v>
      </c>
      <c r="CW434" s="3" t="b">
        <f t="shared" si="251"/>
        <v>1</v>
      </c>
      <c r="CX434" s="9" t="str">
        <f t="shared" si="252"/>
        <v>5202123</v>
      </c>
      <c r="CY434" s="9" t="str">
        <f t="shared" si="253"/>
        <v>5201123</v>
      </c>
      <c r="CZ434" s="9" t="str">
        <f t="shared" si="254"/>
        <v>5302124</v>
      </c>
      <c r="DA434" s="9" t="str">
        <f t="shared" si="255"/>
        <v>5400125</v>
      </c>
      <c r="DB434" s="9" t="str">
        <f t="shared" si="256"/>
        <v>5601121</v>
      </c>
      <c r="DC434" s="9" t="str">
        <f t="shared" si="257"/>
        <v>5400125</v>
      </c>
      <c r="DD434" s="9">
        <v>12</v>
      </c>
      <c r="DE434" s="9">
        <v>12</v>
      </c>
      <c r="DF434" s="9">
        <v>12</v>
      </c>
      <c r="DG434" s="9">
        <v>12</v>
      </c>
      <c r="DH434" s="9">
        <v>12</v>
      </c>
      <c r="DI434" s="9">
        <v>12</v>
      </c>
      <c r="DJ434" s="9">
        <v>5</v>
      </c>
      <c r="DK434" s="9">
        <v>5</v>
      </c>
      <c r="DL434" s="9">
        <v>5</v>
      </c>
      <c r="DM434" s="9">
        <v>5</v>
      </c>
      <c r="DN434" s="9">
        <v>5</v>
      </c>
      <c r="DO434" s="9">
        <v>5</v>
      </c>
      <c r="DP434" s="25" t="s">
        <v>208</v>
      </c>
      <c r="DQ434" s="25" t="s">
        <v>205</v>
      </c>
      <c r="DR434" s="25" t="s">
        <v>218</v>
      </c>
      <c r="DS434" s="25" t="s">
        <v>210</v>
      </c>
      <c r="DT434" s="25" t="s">
        <v>198</v>
      </c>
      <c r="DU434" s="25" t="s">
        <v>210</v>
      </c>
      <c r="DV434" s="25">
        <f t="shared" si="258"/>
        <v>1</v>
      </c>
      <c r="DW434" s="25">
        <f t="shared" si="259"/>
        <v>1</v>
      </c>
      <c r="DX434" s="25">
        <f t="shared" si="260"/>
        <v>1</v>
      </c>
      <c r="DY434" s="25">
        <f t="shared" si="261"/>
        <v>2</v>
      </c>
      <c r="DZ434" s="25">
        <f t="shared" si="262"/>
        <v>2</v>
      </c>
      <c r="EA434" s="3">
        <f t="shared" si="263"/>
        <v>2</v>
      </c>
      <c r="EB434" s="45"/>
    </row>
    <row r="435" spans="1:132" ht="13.5" customHeight="1">
      <c r="A435" s="9">
        <v>432</v>
      </c>
      <c r="B435" s="9">
        <v>1</v>
      </c>
      <c r="C435" s="9">
        <v>2001</v>
      </c>
      <c r="D435" s="9">
        <f t="shared" si="278"/>
        <v>11921208</v>
      </c>
      <c r="E435" s="9" t="str">
        <f t="shared" si="275"/>
        <v>5200123,5202125,5301123,5401123,5400125,5400125</v>
      </c>
      <c r="F435" s="9" t="str">
        <f t="shared" si="276"/>
        <v>12,12,12,12,12,12</v>
      </c>
      <c r="G435" s="9" t="str">
        <f t="shared" si="277"/>
        <v>869,939,939,939,939,939</v>
      </c>
      <c r="H435" s="9">
        <v>212</v>
      </c>
      <c r="I435" s="9" t="s">
        <v>278</v>
      </c>
      <c r="J435" s="9" t="s">
        <v>279</v>
      </c>
      <c r="K435" s="9" t="s">
        <v>279</v>
      </c>
      <c r="L435" s="9" t="s">
        <v>279</v>
      </c>
      <c r="M435" s="36" t="s">
        <v>308</v>
      </c>
      <c r="N435" s="40"/>
      <c r="O435" s="3">
        <f t="shared" si="279"/>
        <v>11921208</v>
      </c>
      <c r="P435" s="9">
        <v>9423879.8200000003</v>
      </c>
      <c r="Q435" s="9">
        <v>5200123</v>
      </c>
      <c r="R435" s="9">
        <v>5202125</v>
      </c>
      <c r="S435" s="9">
        <v>5301123</v>
      </c>
      <c r="T435" s="9">
        <v>5401123</v>
      </c>
      <c r="U435" s="9">
        <v>5400125</v>
      </c>
      <c r="V435" s="9">
        <v>5400125</v>
      </c>
      <c r="W435" s="9">
        <v>12</v>
      </c>
      <c r="X435" s="9">
        <v>12</v>
      </c>
      <c r="Y435" s="9">
        <v>12</v>
      </c>
      <c r="Z435" s="9">
        <v>12</v>
      </c>
      <c r="AA435" s="9">
        <v>12</v>
      </c>
      <c r="AB435" s="9">
        <v>12</v>
      </c>
      <c r="AC435" s="9">
        <f t="shared" si="264"/>
        <v>869</v>
      </c>
      <c r="AD435" s="9">
        <f t="shared" si="265"/>
        <v>939</v>
      </c>
      <c r="AE435" s="9">
        <f t="shared" si="266"/>
        <v>939</v>
      </c>
      <c r="AF435" s="9">
        <f t="shared" si="267"/>
        <v>939</v>
      </c>
      <c r="AG435" s="9">
        <f t="shared" si="268"/>
        <v>939</v>
      </c>
      <c r="AH435" s="9">
        <f t="shared" si="269"/>
        <v>939</v>
      </c>
      <c r="AI435" s="7">
        <f t="shared" si="283"/>
        <v>1570646.6366666667</v>
      </c>
      <c r="AJ435" s="7">
        <f t="shared" si="280"/>
        <v>1570646.6366666667</v>
      </c>
      <c r="AK435" s="7">
        <f t="shared" si="280"/>
        <v>1570646.6366666667</v>
      </c>
      <c r="AL435" s="7">
        <f t="shared" si="280"/>
        <v>1570646.6366666667</v>
      </c>
      <c r="AM435" s="7">
        <f t="shared" si="280"/>
        <v>1570646.6366666667</v>
      </c>
      <c r="AN435" s="7">
        <f t="shared" si="280"/>
        <v>1570646.6366666667</v>
      </c>
      <c r="AO435" s="16"/>
      <c r="AP435" s="7"/>
      <c r="AQ435" s="9">
        <v>7</v>
      </c>
      <c r="AR435" s="9">
        <f t="shared" si="270"/>
        <v>1223</v>
      </c>
      <c r="AS435" s="7">
        <f t="shared" si="281"/>
        <v>316</v>
      </c>
      <c r="AT435" s="7"/>
      <c r="AU435" s="16"/>
      <c r="AV435" s="7"/>
      <c r="AW435" s="7"/>
      <c r="AX435" s="7"/>
      <c r="AZ435" s="7"/>
      <c r="BA435" s="9">
        <f t="shared" si="282"/>
        <v>906629.46000000229</v>
      </c>
      <c r="BC435" s="5">
        <f t="shared" si="271"/>
        <v>812</v>
      </c>
      <c r="BR435" s="5">
        <v>2204021</v>
      </c>
      <c r="BS435" s="18">
        <f>[1]monsters!$N435</f>
        <v>67.2</v>
      </c>
      <c r="BT435" s="18">
        <f>[1]monsters!$O435</f>
        <v>6.72</v>
      </c>
      <c r="BU435" s="18">
        <f>[1]monsters!$P435</f>
        <v>1066.67</v>
      </c>
      <c r="BV435" s="18">
        <f>[1]monsters!$Q435</f>
        <v>106.67</v>
      </c>
      <c r="BW435" s="18">
        <f>[1]monsters!$R435</f>
        <v>13.44</v>
      </c>
      <c r="BX435" s="18">
        <f>[1]monsters!$S435</f>
        <v>1.34</v>
      </c>
      <c r="BY435" s="18">
        <f>[1]monsters!$K435</f>
        <v>1.4</v>
      </c>
      <c r="BZ435" s="5">
        <f>[1]monsters!$D435</f>
        <v>2</v>
      </c>
      <c r="CA435" s="5">
        <f t="shared" si="272"/>
        <v>0.1</v>
      </c>
      <c r="CB435" s="5">
        <f t="shared" si="273"/>
        <v>99.418814814814823</v>
      </c>
      <c r="CC435" s="5">
        <f t="shared" si="274"/>
        <v>9.9418814814814827</v>
      </c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>
        <v>0</v>
      </c>
      <c r="CR435" s="3" t="b">
        <f t="shared" si="246"/>
        <v>1</v>
      </c>
      <c r="CS435" s="3" t="b">
        <f t="shared" si="247"/>
        <v>1</v>
      </c>
      <c r="CT435" s="3" t="b">
        <f t="shared" si="248"/>
        <v>1</v>
      </c>
      <c r="CU435" s="3" t="b">
        <f t="shared" si="249"/>
        <v>1</v>
      </c>
      <c r="CV435" s="3" t="b">
        <f t="shared" si="250"/>
        <v>1</v>
      </c>
      <c r="CW435" s="3" t="b">
        <f t="shared" si="251"/>
        <v>1</v>
      </c>
      <c r="CX435" s="9" t="str">
        <f t="shared" si="252"/>
        <v>5200123</v>
      </c>
      <c r="CY435" s="9" t="str">
        <f t="shared" si="253"/>
        <v>5202125</v>
      </c>
      <c r="CZ435" s="9" t="str">
        <f t="shared" si="254"/>
        <v>5301123</v>
      </c>
      <c r="DA435" s="9" t="str">
        <f t="shared" si="255"/>
        <v>5401123</v>
      </c>
      <c r="DB435" s="9" t="str">
        <f t="shared" si="256"/>
        <v>5400125</v>
      </c>
      <c r="DC435" s="9" t="str">
        <f t="shared" si="257"/>
        <v>5400125</v>
      </c>
      <c r="DD435" s="9">
        <v>12</v>
      </c>
      <c r="DE435" s="9">
        <v>12</v>
      </c>
      <c r="DF435" s="9">
        <v>12</v>
      </c>
      <c r="DG435" s="9">
        <v>12</v>
      </c>
      <c r="DH435" s="9">
        <v>12</v>
      </c>
      <c r="DI435" s="9">
        <v>12</v>
      </c>
      <c r="DJ435" s="9">
        <v>5</v>
      </c>
      <c r="DK435" s="9">
        <v>5</v>
      </c>
      <c r="DL435" s="9">
        <v>5</v>
      </c>
      <c r="DM435" s="9">
        <v>5</v>
      </c>
      <c r="DN435" s="9">
        <v>5</v>
      </c>
      <c r="DO435" s="9">
        <v>5</v>
      </c>
      <c r="DP435" s="25" t="s">
        <v>113</v>
      </c>
      <c r="DQ435" s="25" t="s">
        <v>213</v>
      </c>
      <c r="DR435" s="25" t="s">
        <v>206</v>
      </c>
      <c r="DS435" s="25" t="s">
        <v>211</v>
      </c>
      <c r="DT435" s="25" t="s">
        <v>210</v>
      </c>
      <c r="DU435" s="25" t="s">
        <v>210</v>
      </c>
      <c r="DV435" s="25">
        <f t="shared" si="258"/>
        <v>1</v>
      </c>
      <c r="DW435" s="25">
        <f t="shared" si="259"/>
        <v>1</v>
      </c>
      <c r="DX435" s="25">
        <f t="shared" si="260"/>
        <v>1</v>
      </c>
      <c r="DY435" s="25">
        <f t="shared" si="261"/>
        <v>2</v>
      </c>
      <c r="DZ435" s="25">
        <f t="shared" si="262"/>
        <v>2</v>
      </c>
      <c r="EA435" s="3">
        <f t="shared" si="263"/>
        <v>2</v>
      </c>
      <c r="EB435" s="45"/>
    </row>
    <row r="436" spans="1:132" ht="13.5" customHeight="1">
      <c r="A436" s="9">
        <v>433</v>
      </c>
      <c r="B436" s="9">
        <v>1</v>
      </c>
      <c r="C436" s="9">
        <v>2001</v>
      </c>
      <c r="D436" s="9">
        <f t="shared" si="278"/>
        <v>11962120</v>
      </c>
      <c r="E436" s="9" t="str">
        <f t="shared" si="275"/>
        <v>5201123,5200123,5301122,5501124,5500123,5501124</v>
      </c>
      <c r="F436" s="9" t="str">
        <f t="shared" si="276"/>
        <v>12,12,12,12,12,12</v>
      </c>
      <c r="G436" s="9" t="str">
        <f t="shared" si="277"/>
        <v>870,941,941,941,941,941</v>
      </c>
      <c r="H436" s="9">
        <v>213</v>
      </c>
      <c r="I436" s="9" t="s">
        <v>278</v>
      </c>
      <c r="J436" s="9" t="s">
        <v>279</v>
      </c>
      <c r="K436" s="9" t="s">
        <v>279</v>
      </c>
      <c r="L436" s="9" t="s">
        <v>279</v>
      </c>
      <c r="M436" s="36" t="s">
        <v>308</v>
      </c>
      <c r="N436" s="40"/>
      <c r="O436" s="3">
        <f t="shared" si="279"/>
        <v>11962120</v>
      </c>
      <c r="P436" s="9">
        <v>9456221.3000000007</v>
      </c>
      <c r="Q436" s="9">
        <v>5201123</v>
      </c>
      <c r="R436" s="9">
        <v>5200123</v>
      </c>
      <c r="S436" s="9">
        <v>5301122</v>
      </c>
      <c r="T436" s="9">
        <v>5501124</v>
      </c>
      <c r="U436" s="9">
        <v>5500123</v>
      </c>
      <c r="V436" s="9">
        <v>5501124</v>
      </c>
      <c r="W436" s="9">
        <v>12</v>
      </c>
      <c r="X436" s="9">
        <v>12</v>
      </c>
      <c r="Y436" s="9">
        <v>12</v>
      </c>
      <c r="Z436" s="9">
        <v>12</v>
      </c>
      <c r="AA436" s="9">
        <v>12</v>
      </c>
      <c r="AB436" s="9">
        <v>12</v>
      </c>
      <c r="AC436" s="9">
        <f t="shared" si="264"/>
        <v>870</v>
      </c>
      <c r="AD436" s="9">
        <f t="shared" si="265"/>
        <v>941</v>
      </c>
      <c r="AE436" s="9">
        <f t="shared" si="266"/>
        <v>941</v>
      </c>
      <c r="AF436" s="9">
        <f t="shared" si="267"/>
        <v>941</v>
      </c>
      <c r="AG436" s="9">
        <f t="shared" si="268"/>
        <v>941</v>
      </c>
      <c r="AH436" s="9">
        <f t="shared" si="269"/>
        <v>941</v>
      </c>
      <c r="AI436" s="7">
        <f t="shared" si="283"/>
        <v>1576036.8833333335</v>
      </c>
      <c r="AJ436" s="7">
        <f t="shared" si="280"/>
        <v>1576036.8833333335</v>
      </c>
      <c r="AK436" s="7">
        <f t="shared" si="280"/>
        <v>1576036.8833333335</v>
      </c>
      <c r="AL436" s="7">
        <f t="shared" si="280"/>
        <v>1576036.8833333335</v>
      </c>
      <c r="AM436" s="7">
        <f t="shared" si="280"/>
        <v>1576036.8833333335</v>
      </c>
      <c r="AN436" s="7">
        <f t="shared" si="280"/>
        <v>1576036.8833333335</v>
      </c>
      <c r="AO436" s="16"/>
      <c r="AP436" s="7"/>
      <c r="AQ436" s="9">
        <v>7</v>
      </c>
      <c r="AR436" s="9">
        <f t="shared" si="270"/>
        <v>1225</v>
      </c>
      <c r="AS436" s="7">
        <f t="shared" si="281"/>
        <v>316</v>
      </c>
      <c r="AT436" s="7"/>
      <c r="AU436" s="16"/>
      <c r="AV436" s="7"/>
      <c r="AW436" s="7"/>
      <c r="AX436" s="7"/>
      <c r="AZ436" s="7"/>
      <c r="BA436" s="9">
        <f t="shared" si="282"/>
        <v>911521.99000000232</v>
      </c>
      <c r="BC436" s="5">
        <f t="shared" si="271"/>
        <v>813</v>
      </c>
      <c r="BR436" s="5">
        <v>2404021</v>
      </c>
      <c r="BS436" s="18">
        <f>[1]monsters!$N436</f>
        <v>110.93</v>
      </c>
      <c r="BT436" s="18">
        <f>[1]monsters!$O436</f>
        <v>11.09</v>
      </c>
      <c r="BU436" s="18">
        <f>[1]monsters!$P436</f>
        <v>738.46</v>
      </c>
      <c r="BV436" s="18">
        <f>[1]monsters!$Q436</f>
        <v>73.849999999999994</v>
      </c>
      <c r="BW436" s="18">
        <f>[1]monsters!$R436</f>
        <v>11.09</v>
      </c>
      <c r="BX436" s="18">
        <f>[1]monsters!$S436</f>
        <v>1.1100000000000001</v>
      </c>
      <c r="BY436" s="18">
        <f>[1]monsters!$K436</f>
        <v>1.6</v>
      </c>
      <c r="BZ436" s="5">
        <f>[1]monsters!$D436</f>
        <v>4</v>
      </c>
      <c r="CA436" s="5">
        <f t="shared" si="272"/>
        <v>0.1</v>
      </c>
      <c r="CB436" s="5">
        <f t="shared" si="273"/>
        <v>129.69282306397309</v>
      </c>
      <c r="CC436" s="5">
        <f t="shared" si="274"/>
        <v>12.969282306397311</v>
      </c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>
        <v>0</v>
      </c>
      <c r="CR436" s="3" t="b">
        <f t="shared" si="246"/>
        <v>1</v>
      </c>
      <c r="CS436" s="3" t="b">
        <f t="shared" si="247"/>
        <v>1</v>
      </c>
      <c r="CT436" s="3" t="b">
        <f t="shared" si="248"/>
        <v>1</v>
      </c>
      <c r="CU436" s="3" t="b">
        <f t="shared" si="249"/>
        <v>1</v>
      </c>
      <c r="CV436" s="3" t="b">
        <f t="shared" si="250"/>
        <v>1</v>
      </c>
      <c r="CW436" s="3" t="b">
        <f t="shared" si="251"/>
        <v>1</v>
      </c>
      <c r="CX436" s="9" t="str">
        <f t="shared" si="252"/>
        <v>5201123</v>
      </c>
      <c r="CY436" s="9" t="str">
        <f t="shared" si="253"/>
        <v>5200123</v>
      </c>
      <c r="CZ436" s="9" t="str">
        <f t="shared" si="254"/>
        <v>5301122</v>
      </c>
      <c r="DA436" s="9" t="str">
        <f t="shared" si="255"/>
        <v>5501124</v>
      </c>
      <c r="DB436" s="9" t="str">
        <f t="shared" si="256"/>
        <v>5500123</v>
      </c>
      <c r="DC436" s="9" t="str">
        <f t="shared" si="257"/>
        <v>5501124</v>
      </c>
      <c r="DD436" s="9">
        <v>12</v>
      </c>
      <c r="DE436" s="9">
        <v>12</v>
      </c>
      <c r="DF436" s="9">
        <v>12</v>
      </c>
      <c r="DG436" s="9">
        <v>12</v>
      </c>
      <c r="DH436" s="9">
        <v>12</v>
      </c>
      <c r="DI436" s="9">
        <v>12</v>
      </c>
      <c r="DJ436" s="9">
        <v>5</v>
      </c>
      <c r="DK436" s="9">
        <v>5</v>
      </c>
      <c r="DL436" s="9">
        <v>5</v>
      </c>
      <c r="DM436" s="9">
        <v>5</v>
      </c>
      <c r="DN436" s="9">
        <v>5</v>
      </c>
      <c r="DO436" s="9">
        <v>5</v>
      </c>
      <c r="DP436" s="25" t="s">
        <v>205</v>
      </c>
      <c r="DQ436" s="25" t="s">
        <v>113</v>
      </c>
      <c r="DR436" s="25" t="s">
        <v>201</v>
      </c>
      <c r="DS436" s="25" t="s">
        <v>214</v>
      </c>
      <c r="DT436" s="25" t="s">
        <v>207</v>
      </c>
      <c r="DU436" s="25" t="s">
        <v>214</v>
      </c>
      <c r="DV436" s="25">
        <f t="shared" si="258"/>
        <v>1</v>
      </c>
      <c r="DW436" s="25">
        <f t="shared" si="259"/>
        <v>1</v>
      </c>
      <c r="DX436" s="25">
        <f t="shared" si="260"/>
        <v>1</v>
      </c>
      <c r="DY436" s="25">
        <f t="shared" si="261"/>
        <v>2</v>
      </c>
      <c r="DZ436" s="25">
        <f t="shared" si="262"/>
        <v>2</v>
      </c>
      <c r="EA436" s="3">
        <f t="shared" si="263"/>
        <v>2</v>
      </c>
      <c r="EB436" s="46"/>
    </row>
    <row r="437" spans="1:132" ht="13.5" customHeight="1">
      <c r="A437" s="9">
        <v>434</v>
      </c>
      <c r="B437" s="9">
        <v>1</v>
      </c>
      <c r="C437" s="9">
        <v>2001</v>
      </c>
      <c r="D437" s="9">
        <f t="shared" si="278"/>
        <v>12003100</v>
      </c>
      <c r="E437" s="9" t="str">
        <f t="shared" si="275"/>
        <v>5200121,5301122,5201121,5401121,5501125,5401122</v>
      </c>
      <c r="F437" s="9" t="str">
        <f t="shared" si="276"/>
        <v>12,12,12,12,12,12</v>
      </c>
      <c r="G437" s="9" t="str">
        <f t="shared" si="277"/>
        <v>872,942,942,942,942,942</v>
      </c>
      <c r="H437" s="9">
        <v>213</v>
      </c>
      <c r="I437" s="9" t="s">
        <v>278</v>
      </c>
      <c r="J437" s="9" t="s">
        <v>279</v>
      </c>
      <c r="K437" s="9" t="s">
        <v>279</v>
      </c>
      <c r="L437" s="9" t="s">
        <v>279</v>
      </c>
      <c r="M437" s="36" t="s">
        <v>308</v>
      </c>
      <c r="N437" s="40"/>
      <c r="O437" s="3">
        <f t="shared" si="279"/>
        <v>12003100</v>
      </c>
      <c r="P437" s="9">
        <v>9488616.5099999998</v>
      </c>
      <c r="Q437" s="9">
        <v>5200121</v>
      </c>
      <c r="R437" s="9">
        <v>5301122</v>
      </c>
      <c r="S437" s="9">
        <v>5201121</v>
      </c>
      <c r="T437" s="9">
        <v>5401121</v>
      </c>
      <c r="U437" s="9">
        <v>5501125</v>
      </c>
      <c r="V437" s="9">
        <v>5401122</v>
      </c>
      <c r="W437" s="9">
        <v>12</v>
      </c>
      <c r="X437" s="9">
        <v>12</v>
      </c>
      <c r="Y437" s="9">
        <v>12</v>
      </c>
      <c r="Z437" s="9">
        <v>12</v>
      </c>
      <c r="AA437" s="9">
        <v>12</v>
      </c>
      <c r="AB437" s="9">
        <v>12</v>
      </c>
      <c r="AC437" s="9">
        <f t="shared" si="264"/>
        <v>872</v>
      </c>
      <c r="AD437" s="9">
        <f t="shared" si="265"/>
        <v>942</v>
      </c>
      <c r="AE437" s="9">
        <f t="shared" si="266"/>
        <v>942</v>
      </c>
      <c r="AF437" s="9">
        <f t="shared" si="267"/>
        <v>942</v>
      </c>
      <c r="AG437" s="9">
        <f t="shared" si="268"/>
        <v>942</v>
      </c>
      <c r="AH437" s="9">
        <f t="shared" si="269"/>
        <v>942</v>
      </c>
      <c r="AI437" s="7">
        <f t="shared" si="283"/>
        <v>1581436.085</v>
      </c>
      <c r="AJ437" s="7">
        <f t="shared" si="280"/>
        <v>1581436.085</v>
      </c>
      <c r="AK437" s="7">
        <f t="shared" si="280"/>
        <v>1581436.085</v>
      </c>
      <c r="AL437" s="7">
        <f t="shared" si="280"/>
        <v>1581436.085</v>
      </c>
      <c r="AM437" s="7">
        <f t="shared" si="280"/>
        <v>1581436.085</v>
      </c>
      <c r="AN437" s="7">
        <f t="shared" si="280"/>
        <v>1581436.085</v>
      </c>
      <c r="AO437" s="16"/>
      <c r="AP437" s="7"/>
      <c r="AQ437" s="9">
        <v>7</v>
      </c>
      <c r="AR437" s="9">
        <f t="shared" si="270"/>
        <v>1227</v>
      </c>
      <c r="AS437" s="7">
        <f t="shared" si="281"/>
        <v>317</v>
      </c>
      <c r="AT437" s="7"/>
      <c r="AU437" s="16"/>
      <c r="AV437" s="7"/>
      <c r="AW437" s="7"/>
      <c r="AX437" s="7"/>
      <c r="AZ437" s="7"/>
      <c r="BA437" s="9">
        <f t="shared" si="282"/>
        <v>916414.52000000235</v>
      </c>
      <c r="BC437" s="5">
        <f t="shared" si="271"/>
        <v>815</v>
      </c>
      <c r="BR437" s="5">
        <v>2303021</v>
      </c>
      <c r="BS437" s="18">
        <f>[1]monsters!$N437</f>
        <v>102.4</v>
      </c>
      <c r="BT437" s="18">
        <f>[1]monsters!$O437</f>
        <v>10.24</v>
      </c>
      <c r="BU437" s="18">
        <f>[1]monsters!$P437</f>
        <v>800</v>
      </c>
      <c r="BV437" s="18">
        <f>[1]monsters!$Q437</f>
        <v>80</v>
      </c>
      <c r="BW437" s="18">
        <f>[1]monsters!$R437</f>
        <v>17.07</v>
      </c>
      <c r="BX437" s="18">
        <f>[1]monsters!$S437</f>
        <v>1.71</v>
      </c>
      <c r="BY437" s="18">
        <f>[1]monsters!$K437</f>
        <v>1.6</v>
      </c>
      <c r="BZ437" s="5">
        <f>[1]monsters!$D437</f>
        <v>5</v>
      </c>
      <c r="CA437" s="5">
        <f t="shared" si="272"/>
        <v>0.1</v>
      </c>
      <c r="CB437" s="5">
        <f t="shared" si="273"/>
        <v>123.70402693602695</v>
      </c>
      <c r="CC437" s="5">
        <f t="shared" si="274"/>
        <v>12.370402693602696</v>
      </c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>
        <v>0</v>
      </c>
      <c r="CR437" s="3" t="b">
        <f t="shared" si="246"/>
        <v>1</v>
      </c>
      <c r="CS437" s="3" t="b">
        <f t="shared" si="247"/>
        <v>1</v>
      </c>
      <c r="CT437" s="3" t="b">
        <f t="shared" si="248"/>
        <v>1</v>
      </c>
      <c r="CU437" s="3" t="b">
        <f t="shared" si="249"/>
        <v>1</v>
      </c>
      <c r="CV437" s="3" t="b">
        <f t="shared" si="250"/>
        <v>1</v>
      </c>
      <c r="CW437" s="3" t="b">
        <f t="shared" si="251"/>
        <v>1</v>
      </c>
      <c r="CX437" s="9" t="str">
        <f t="shared" si="252"/>
        <v>5200121</v>
      </c>
      <c r="CY437" s="9" t="str">
        <f t="shared" si="253"/>
        <v>5301122</v>
      </c>
      <c r="CZ437" s="9" t="str">
        <f t="shared" si="254"/>
        <v>5201121</v>
      </c>
      <c r="DA437" s="9" t="str">
        <f t="shared" si="255"/>
        <v>5401121</v>
      </c>
      <c r="DB437" s="9" t="str">
        <f t="shared" si="256"/>
        <v>5501125</v>
      </c>
      <c r="DC437" s="9" t="str">
        <f t="shared" si="257"/>
        <v>5401122</v>
      </c>
      <c r="DD437" s="9">
        <v>12</v>
      </c>
      <c r="DE437" s="9">
        <v>12</v>
      </c>
      <c r="DF437" s="9">
        <v>12</v>
      </c>
      <c r="DG437" s="9">
        <v>12</v>
      </c>
      <c r="DH437" s="9">
        <v>12</v>
      </c>
      <c r="DI437" s="9">
        <v>12</v>
      </c>
      <c r="DJ437" s="9">
        <v>5</v>
      </c>
      <c r="DK437" s="9">
        <v>5</v>
      </c>
      <c r="DL437" s="9">
        <v>5</v>
      </c>
      <c r="DM437" s="9">
        <v>5</v>
      </c>
      <c r="DN437" s="9">
        <v>5</v>
      </c>
      <c r="DO437" s="9">
        <v>5</v>
      </c>
      <c r="DP437" s="25" t="s">
        <v>194</v>
      </c>
      <c r="DQ437" s="25" t="s">
        <v>201</v>
      </c>
      <c r="DR437" s="25" t="s">
        <v>195</v>
      </c>
      <c r="DS437" s="25" t="s">
        <v>117</v>
      </c>
      <c r="DT437" s="25" t="s">
        <v>209</v>
      </c>
      <c r="DU437" s="25" t="s">
        <v>202</v>
      </c>
      <c r="DV437" s="25">
        <f t="shared" si="258"/>
        <v>1</v>
      </c>
      <c r="DW437" s="25">
        <f t="shared" si="259"/>
        <v>1</v>
      </c>
      <c r="DX437" s="25">
        <f t="shared" si="260"/>
        <v>1</v>
      </c>
      <c r="DY437" s="25">
        <f t="shared" si="261"/>
        <v>2</v>
      </c>
      <c r="DZ437" s="25">
        <f t="shared" si="262"/>
        <v>2</v>
      </c>
      <c r="EA437" s="3">
        <f t="shared" si="263"/>
        <v>2</v>
      </c>
      <c r="EB437" s="45"/>
    </row>
    <row r="438" spans="1:132" ht="13.5" customHeight="1">
      <c r="A438" s="9">
        <v>435</v>
      </c>
      <c r="B438" s="9">
        <v>1</v>
      </c>
      <c r="C438" s="9">
        <v>2001</v>
      </c>
      <c r="D438" s="9">
        <f t="shared" si="278"/>
        <v>12044150</v>
      </c>
      <c r="E438" s="9" t="str">
        <f t="shared" si="275"/>
        <v>5201122,5201122,5201122,5502122,5502122,5502122</v>
      </c>
      <c r="F438" s="9" t="str">
        <f t="shared" si="276"/>
        <v>12,12,12,12,12,12</v>
      </c>
      <c r="G438" s="9" t="str">
        <f t="shared" si="277"/>
        <v>873,944,944,944,944,944</v>
      </c>
      <c r="H438" s="9">
        <v>214</v>
      </c>
      <c r="I438" s="9" t="s">
        <v>278</v>
      </c>
      <c r="J438" s="9" t="s">
        <v>279</v>
      </c>
      <c r="K438" s="9" t="s">
        <v>279</v>
      </c>
      <c r="L438" s="9" t="s">
        <v>279</v>
      </c>
      <c r="M438" s="36" t="s">
        <v>308</v>
      </c>
      <c r="O438" s="3">
        <f t="shared" si="279"/>
        <v>12044150</v>
      </c>
      <c r="P438" s="9">
        <v>9521067.4399999995</v>
      </c>
      <c r="Q438" s="9">
        <v>5201122</v>
      </c>
      <c r="R438" s="9">
        <v>5201122</v>
      </c>
      <c r="S438" s="9">
        <v>5201122</v>
      </c>
      <c r="T438" s="9">
        <v>5502122</v>
      </c>
      <c r="U438" s="9">
        <v>5502122</v>
      </c>
      <c r="V438" s="9">
        <v>5502122</v>
      </c>
      <c r="W438" s="9">
        <v>12</v>
      </c>
      <c r="X438" s="9">
        <v>12</v>
      </c>
      <c r="Y438" s="9">
        <v>12</v>
      </c>
      <c r="Z438" s="9">
        <v>12</v>
      </c>
      <c r="AA438" s="9">
        <v>12</v>
      </c>
      <c r="AB438" s="9">
        <v>12</v>
      </c>
      <c r="AC438" s="9">
        <f t="shared" si="264"/>
        <v>873</v>
      </c>
      <c r="AD438" s="9">
        <f t="shared" si="265"/>
        <v>944</v>
      </c>
      <c r="AE438" s="9">
        <f t="shared" si="266"/>
        <v>944</v>
      </c>
      <c r="AF438" s="9">
        <f t="shared" si="267"/>
        <v>944</v>
      </c>
      <c r="AG438" s="9">
        <f t="shared" si="268"/>
        <v>944</v>
      </c>
      <c r="AH438" s="9">
        <f t="shared" si="269"/>
        <v>944</v>
      </c>
      <c r="AI438" s="7">
        <f t="shared" si="283"/>
        <v>1586844.5733333332</v>
      </c>
      <c r="AJ438" s="7">
        <f t="shared" si="280"/>
        <v>1586844.5733333332</v>
      </c>
      <c r="AK438" s="7">
        <f t="shared" si="280"/>
        <v>1586844.5733333332</v>
      </c>
      <c r="AL438" s="7">
        <f t="shared" si="280"/>
        <v>1586844.5733333332</v>
      </c>
      <c r="AM438" s="7">
        <f t="shared" si="280"/>
        <v>1586844.5733333332</v>
      </c>
      <c r="AN438" s="7">
        <f t="shared" si="280"/>
        <v>1586844.5733333332</v>
      </c>
      <c r="AO438" s="16"/>
      <c r="AP438" s="7"/>
      <c r="AQ438" s="9">
        <v>7</v>
      </c>
      <c r="AR438" s="9">
        <f t="shared" si="270"/>
        <v>1229</v>
      </c>
      <c r="AS438" s="7">
        <f t="shared" si="281"/>
        <v>317</v>
      </c>
      <c r="AT438" s="7"/>
      <c r="AU438" s="16"/>
      <c r="AV438" s="7"/>
      <c r="AW438" s="7"/>
      <c r="AX438" s="7"/>
      <c r="AZ438" s="7"/>
      <c r="BA438" s="9">
        <f t="shared" si="282"/>
        <v>921307.05000000237</v>
      </c>
      <c r="BC438" s="5">
        <f t="shared" si="271"/>
        <v>816</v>
      </c>
      <c r="BR438" s="5">
        <v>2304021</v>
      </c>
      <c r="BS438" s="18">
        <f>[1]monsters!$N438</f>
        <v>85.87</v>
      </c>
      <c r="BT438" s="18">
        <f>[1]monsters!$O438</f>
        <v>8.59</v>
      </c>
      <c r="BU438" s="18">
        <f>[1]monsters!$P438</f>
        <v>834.78</v>
      </c>
      <c r="BV438" s="18">
        <f>[1]monsters!$Q438</f>
        <v>83.48</v>
      </c>
      <c r="BW438" s="18">
        <f>[1]monsters!$R438</f>
        <v>10.73</v>
      </c>
      <c r="BX438" s="18">
        <f>[1]monsters!$S438</f>
        <v>1.07</v>
      </c>
      <c r="BY438" s="18">
        <f>[1]monsters!$K438</f>
        <v>1.4</v>
      </c>
      <c r="BZ438" s="5">
        <f>[1]monsters!$D438</f>
        <v>3</v>
      </c>
      <c r="CA438" s="5">
        <f t="shared" si="272"/>
        <v>0.1</v>
      </c>
      <c r="CB438" s="5">
        <f t="shared" si="273"/>
        <v>109.25422070707071</v>
      </c>
      <c r="CC438" s="5">
        <f t="shared" si="274"/>
        <v>10.925422070707071</v>
      </c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>
        <v>1</v>
      </c>
      <c r="CR438" s="3" t="b">
        <f t="shared" si="246"/>
        <v>1</v>
      </c>
      <c r="CS438" s="3" t="b">
        <f t="shared" si="247"/>
        <v>1</v>
      </c>
      <c r="CT438" s="3" t="b">
        <f t="shared" si="248"/>
        <v>1</v>
      </c>
      <c r="CU438" s="3" t="b">
        <f t="shared" si="249"/>
        <v>1</v>
      </c>
      <c r="CV438" s="3" t="b">
        <f t="shared" si="250"/>
        <v>1</v>
      </c>
      <c r="CW438" s="3" t="b">
        <f t="shared" si="251"/>
        <v>1</v>
      </c>
      <c r="CX438" s="9" t="str">
        <f t="shared" si="252"/>
        <v>5201122</v>
      </c>
      <c r="CY438" s="9" t="str">
        <f t="shared" si="253"/>
        <v>5201122</v>
      </c>
      <c r="CZ438" s="9" t="str">
        <f t="shared" si="254"/>
        <v>5201122</v>
      </c>
      <c r="DA438" s="9" t="str">
        <f t="shared" si="255"/>
        <v>5502122</v>
      </c>
      <c r="DB438" s="9" t="str">
        <f t="shared" si="256"/>
        <v>5502122</v>
      </c>
      <c r="DC438" s="9" t="str">
        <f t="shared" si="257"/>
        <v>5502122</v>
      </c>
      <c r="DD438" s="9">
        <v>12</v>
      </c>
      <c r="DE438" s="9">
        <v>12</v>
      </c>
      <c r="DF438" s="9">
        <v>12</v>
      </c>
      <c r="DG438" s="9">
        <v>12</v>
      </c>
      <c r="DH438" s="9">
        <v>12</v>
      </c>
      <c r="DI438" s="9">
        <v>12</v>
      </c>
      <c r="DJ438" s="9">
        <v>5</v>
      </c>
      <c r="DK438" s="9">
        <v>5</v>
      </c>
      <c r="DL438" s="9">
        <v>5</v>
      </c>
      <c r="DM438" s="9">
        <v>5</v>
      </c>
      <c r="DN438" s="9">
        <v>5</v>
      </c>
      <c r="DO438" s="9">
        <v>5</v>
      </c>
      <c r="DP438" s="25" t="s">
        <v>114</v>
      </c>
      <c r="DQ438" s="25" t="s">
        <v>114</v>
      </c>
      <c r="DR438" s="25" t="s">
        <v>114</v>
      </c>
      <c r="DS438" s="25" t="s">
        <v>204</v>
      </c>
      <c r="DT438" s="25" t="s">
        <v>204</v>
      </c>
      <c r="DU438" s="25" t="s">
        <v>204</v>
      </c>
      <c r="DV438" s="25">
        <f t="shared" si="258"/>
        <v>1</v>
      </c>
      <c r="DW438" s="25">
        <f t="shared" si="259"/>
        <v>1</v>
      </c>
      <c r="DX438" s="25">
        <f t="shared" si="260"/>
        <v>1</v>
      </c>
      <c r="DY438" s="25">
        <f t="shared" si="261"/>
        <v>2</v>
      </c>
      <c r="DZ438" s="25">
        <f t="shared" si="262"/>
        <v>2</v>
      </c>
      <c r="EA438" s="3">
        <f t="shared" si="263"/>
        <v>2</v>
      </c>
      <c r="EB438" s="45"/>
    </row>
    <row r="439" spans="1:132" ht="13.5" customHeight="1">
      <c r="A439" s="9">
        <v>436</v>
      </c>
      <c r="B439" s="9">
        <v>1</v>
      </c>
      <c r="C439" s="9">
        <v>2001</v>
      </c>
      <c r="D439" s="9">
        <f t="shared" si="278"/>
        <v>12085274</v>
      </c>
      <c r="E439" s="9" t="str">
        <f t="shared" si="275"/>
        <v>5202123,5201123,5302124,5501124,5400125,5500122</v>
      </c>
      <c r="F439" s="9" t="str">
        <f t="shared" si="276"/>
        <v>12,12,12,12,12,12</v>
      </c>
      <c r="G439" s="9" t="str">
        <f t="shared" si="277"/>
        <v>875,946,946,946,946,946</v>
      </c>
      <c r="H439" s="9">
        <v>214</v>
      </c>
      <c r="I439" s="9" t="s">
        <v>278</v>
      </c>
      <c r="J439" s="9" t="s">
        <v>279</v>
      </c>
      <c r="K439" s="9" t="s">
        <v>279</v>
      </c>
      <c r="L439" s="9" t="s">
        <v>279</v>
      </c>
      <c r="M439" s="36" t="s">
        <v>309</v>
      </c>
      <c r="N439" s="40"/>
      <c r="O439" s="3">
        <f t="shared" si="279"/>
        <v>12085274</v>
      </c>
      <c r="P439" s="9">
        <v>9553576.0800000001</v>
      </c>
      <c r="Q439" s="9">
        <v>5202123</v>
      </c>
      <c r="R439" s="9">
        <v>5201123</v>
      </c>
      <c r="S439" s="9">
        <v>5302124</v>
      </c>
      <c r="T439" s="9">
        <v>5501124</v>
      </c>
      <c r="U439" s="9">
        <v>5400125</v>
      </c>
      <c r="V439" s="9">
        <v>5500122</v>
      </c>
      <c r="W439" s="9">
        <v>12</v>
      </c>
      <c r="X439" s="9">
        <v>12</v>
      </c>
      <c r="Y439" s="9">
        <v>12</v>
      </c>
      <c r="Z439" s="9">
        <v>12</v>
      </c>
      <c r="AA439" s="9">
        <v>12</v>
      </c>
      <c r="AB439" s="9">
        <v>12</v>
      </c>
      <c r="AC439" s="9">
        <f t="shared" si="264"/>
        <v>875</v>
      </c>
      <c r="AD439" s="9">
        <f t="shared" si="265"/>
        <v>946</v>
      </c>
      <c r="AE439" s="9">
        <f t="shared" si="266"/>
        <v>946</v>
      </c>
      <c r="AF439" s="9">
        <f t="shared" si="267"/>
        <v>946</v>
      </c>
      <c r="AG439" s="9">
        <f t="shared" si="268"/>
        <v>946</v>
      </c>
      <c r="AH439" s="9">
        <f t="shared" si="269"/>
        <v>946</v>
      </c>
      <c r="AI439" s="7">
        <f t="shared" si="283"/>
        <v>1592262.68</v>
      </c>
      <c r="AJ439" s="7">
        <f t="shared" si="280"/>
        <v>1592262.68</v>
      </c>
      <c r="AK439" s="7">
        <f t="shared" si="280"/>
        <v>1592262.68</v>
      </c>
      <c r="AL439" s="7">
        <f t="shared" si="280"/>
        <v>1592262.68</v>
      </c>
      <c r="AM439" s="7">
        <f t="shared" si="280"/>
        <v>1592262.68</v>
      </c>
      <c r="AN439" s="7">
        <f t="shared" si="280"/>
        <v>1592262.68</v>
      </c>
      <c r="AO439" s="16"/>
      <c r="AP439" s="7"/>
      <c r="AQ439" s="9">
        <v>7</v>
      </c>
      <c r="AR439" s="9">
        <f t="shared" si="270"/>
        <v>1232</v>
      </c>
      <c r="AS439" s="7">
        <f t="shared" si="281"/>
        <v>318</v>
      </c>
      <c r="AT439" s="7"/>
      <c r="AU439" s="16"/>
      <c r="AV439" s="7"/>
      <c r="AW439" s="7"/>
      <c r="AX439" s="7"/>
      <c r="AZ439" s="7"/>
      <c r="BA439" s="9">
        <f t="shared" si="282"/>
        <v>926199.5800000024</v>
      </c>
      <c r="BC439" s="5">
        <f t="shared" si="271"/>
        <v>818</v>
      </c>
      <c r="BR439" s="5">
        <v>2503021</v>
      </c>
      <c r="BS439" s="18">
        <f>[1]monsters!$N439</f>
        <v>62.4</v>
      </c>
      <c r="BT439" s="18">
        <f>[1]monsters!$O439</f>
        <v>6.24</v>
      </c>
      <c r="BU439" s="18">
        <f>[1]monsters!$P439</f>
        <v>1066.67</v>
      </c>
      <c r="BV439" s="18">
        <f>[1]monsters!$Q439</f>
        <v>106.67</v>
      </c>
      <c r="BW439" s="18">
        <f>[1]monsters!$R439</f>
        <v>12.48</v>
      </c>
      <c r="BX439" s="18">
        <f>[1]monsters!$S439</f>
        <v>1.25</v>
      </c>
      <c r="BY439" s="18">
        <f>[1]monsters!$K439</f>
        <v>1.3</v>
      </c>
      <c r="BZ439" s="5">
        <f>[1]monsters!$D439</f>
        <v>2</v>
      </c>
      <c r="CA439" s="5">
        <f t="shared" si="272"/>
        <v>0.1</v>
      </c>
      <c r="CB439" s="5">
        <f t="shared" si="273"/>
        <v>94.882814814814822</v>
      </c>
      <c r="CC439" s="5">
        <f t="shared" si="274"/>
        <v>9.4882814814814829</v>
      </c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>
        <v>0</v>
      </c>
      <c r="CR439" s="3" t="b">
        <f t="shared" si="246"/>
        <v>1</v>
      </c>
      <c r="CS439" s="3" t="b">
        <f t="shared" si="247"/>
        <v>1</v>
      </c>
      <c r="CT439" s="3" t="b">
        <f t="shared" si="248"/>
        <v>1</v>
      </c>
      <c r="CU439" s="3" t="b">
        <f t="shared" si="249"/>
        <v>1</v>
      </c>
      <c r="CV439" s="3" t="b">
        <f t="shared" si="250"/>
        <v>1</v>
      </c>
      <c r="CW439" s="3" t="b">
        <f t="shared" si="251"/>
        <v>1</v>
      </c>
      <c r="CX439" s="9" t="str">
        <f t="shared" si="252"/>
        <v>5202123</v>
      </c>
      <c r="CY439" s="9" t="str">
        <f t="shared" si="253"/>
        <v>5201123</v>
      </c>
      <c r="CZ439" s="9" t="str">
        <f t="shared" si="254"/>
        <v>5302124</v>
      </c>
      <c r="DA439" s="9" t="str">
        <f t="shared" si="255"/>
        <v>5501124</v>
      </c>
      <c r="DB439" s="9" t="str">
        <f t="shared" si="256"/>
        <v>5400125</v>
      </c>
      <c r="DC439" s="9" t="str">
        <f t="shared" si="257"/>
        <v>5500122</v>
      </c>
      <c r="DD439" s="9">
        <v>12</v>
      </c>
      <c r="DE439" s="9">
        <v>12</v>
      </c>
      <c r="DF439" s="9">
        <v>12</v>
      </c>
      <c r="DG439" s="9">
        <v>12</v>
      </c>
      <c r="DH439" s="9">
        <v>12</v>
      </c>
      <c r="DI439" s="9">
        <v>12</v>
      </c>
      <c r="DJ439" s="9">
        <v>5</v>
      </c>
      <c r="DK439" s="9">
        <v>5</v>
      </c>
      <c r="DL439" s="9">
        <v>5</v>
      </c>
      <c r="DM439" s="9">
        <v>5</v>
      </c>
      <c r="DN439" s="9">
        <v>5</v>
      </c>
      <c r="DO439" s="9">
        <v>5</v>
      </c>
      <c r="DP439" s="25" t="s">
        <v>208</v>
      </c>
      <c r="DQ439" s="25" t="s">
        <v>205</v>
      </c>
      <c r="DR439" s="25" t="s">
        <v>218</v>
      </c>
      <c r="DS439" s="25" t="s">
        <v>214</v>
      </c>
      <c r="DT439" s="25" t="s">
        <v>210</v>
      </c>
      <c r="DU439" s="25" t="s">
        <v>109</v>
      </c>
      <c r="DV439" s="25">
        <f t="shared" si="258"/>
        <v>1</v>
      </c>
      <c r="DW439" s="25">
        <f t="shared" si="259"/>
        <v>1</v>
      </c>
      <c r="DX439" s="25">
        <f t="shared" si="260"/>
        <v>1</v>
      </c>
      <c r="DY439" s="25">
        <f t="shared" si="261"/>
        <v>2</v>
      </c>
      <c r="DZ439" s="25">
        <f t="shared" si="262"/>
        <v>2</v>
      </c>
      <c r="EA439" s="3">
        <f t="shared" si="263"/>
        <v>2</v>
      </c>
      <c r="EB439" s="46"/>
    </row>
    <row r="440" spans="1:132" ht="13.5" customHeight="1">
      <c r="A440" s="9">
        <v>437</v>
      </c>
      <c r="B440" s="9">
        <v>1</v>
      </c>
      <c r="C440" s="9">
        <v>2001</v>
      </c>
      <c r="D440" s="9">
        <f t="shared" si="278"/>
        <v>12126465</v>
      </c>
      <c r="E440" s="9" t="str">
        <f t="shared" si="275"/>
        <v>5201123,5202125,5200121,5501124,5402122,5501125</v>
      </c>
      <c r="F440" s="9" t="str">
        <f t="shared" si="276"/>
        <v>12,12,12,12,12,12</v>
      </c>
      <c r="G440" s="9" t="str">
        <f t="shared" si="277"/>
        <v>876,947,947,947,947,947</v>
      </c>
      <c r="H440" s="9">
        <v>214</v>
      </c>
      <c r="I440" s="9" t="s">
        <v>278</v>
      </c>
      <c r="J440" s="9" t="s">
        <v>279</v>
      </c>
      <c r="K440" s="9" t="s">
        <v>279</v>
      </c>
      <c r="L440" s="9" t="s">
        <v>279</v>
      </c>
      <c r="M440" s="36" t="s">
        <v>309</v>
      </c>
      <c r="N440" s="40"/>
      <c r="O440" s="3">
        <f t="shared" si="279"/>
        <v>12126465</v>
      </c>
      <c r="P440" s="9">
        <v>9586138.4499999993</v>
      </c>
      <c r="Q440" s="9">
        <v>5201123</v>
      </c>
      <c r="R440" s="9">
        <v>5202125</v>
      </c>
      <c r="S440" s="9">
        <v>5200121</v>
      </c>
      <c r="T440" s="9">
        <v>5501124</v>
      </c>
      <c r="U440" s="9">
        <v>5402122</v>
      </c>
      <c r="V440" s="9">
        <v>5501125</v>
      </c>
      <c r="W440" s="9">
        <v>12</v>
      </c>
      <c r="X440" s="9">
        <v>12</v>
      </c>
      <c r="Y440" s="9">
        <v>12</v>
      </c>
      <c r="Z440" s="9">
        <v>12</v>
      </c>
      <c r="AA440" s="9">
        <v>12</v>
      </c>
      <c r="AB440" s="9">
        <v>12</v>
      </c>
      <c r="AC440" s="9">
        <f t="shared" si="264"/>
        <v>876</v>
      </c>
      <c r="AD440" s="9">
        <f t="shared" si="265"/>
        <v>947</v>
      </c>
      <c r="AE440" s="9">
        <f t="shared" si="266"/>
        <v>947</v>
      </c>
      <c r="AF440" s="9">
        <f t="shared" si="267"/>
        <v>947</v>
      </c>
      <c r="AG440" s="9">
        <f t="shared" si="268"/>
        <v>947</v>
      </c>
      <c r="AH440" s="9">
        <f t="shared" si="269"/>
        <v>947</v>
      </c>
      <c r="AI440" s="7">
        <f t="shared" si="283"/>
        <v>1597689.7416666665</v>
      </c>
      <c r="AJ440" s="7">
        <f t="shared" si="280"/>
        <v>1597689.7416666665</v>
      </c>
      <c r="AK440" s="7">
        <f t="shared" si="280"/>
        <v>1597689.7416666665</v>
      </c>
      <c r="AL440" s="7">
        <f t="shared" si="280"/>
        <v>1597689.7416666665</v>
      </c>
      <c r="AM440" s="7">
        <f t="shared" si="280"/>
        <v>1597689.7416666665</v>
      </c>
      <c r="AN440" s="7">
        <f t="shared" si="280"/>
        <v>1597689.7416666665</v>
      </c>
      <c r="AO440" s="16"/>
      <c r="AP440" s="7"/>
      <c r="AQ440" s="9">
        <v>7</v>
      </c>
      <c r="AR440" s="9">
        <f t="shared" si="270"/>
        <v>1234</v>
      </c>
      <c r="AS440" s="7">
        <f t="shared" si="281"/>
        <v>318</v>
      </c>
      <c r="AT440" s="7"/>
      <c r="AU440" s="16"/>
      <c r="AV440" s="7"/>
      <c r="AW440" s="7"/>
      <c r="AX440" s="7"/>
      <c r="AZ440" s="7"/>
      <c r="BA440" s="9">
        <f t="shared" si="282"/>
        <v>931092.11000000243</v>
      </c>
      <c r="BC440" s="5">
        <f t="shared" si="271"/>
        <v>819</v>
      </c>
      <c r="BR440" s="5">
        <v>2504021</v>
      </c>
      <c r="BS440" s="18">
        <f>[1]monsters!$N440</f>
        <v>83.2</v>
      </c>
      <c r="BT440" s="18">
        <f>[1]monsters!$O440</f>
        <v>8.32</v>
      </c>
      <c r="BU440" s="18">
        <f>[1]monsters!$P440</f>
        <v>800</v>
      </c>
      <c r="BV440" s="18">
        <f>[1]monsters!$Q440</f>
        <v>80</v>
      </c>
      <c r="BW440" s="18">
        <f>[1]monsters!$R440</f>
        <v>8.32</v>
      </c>
      <c r="BX440" s="18">
        <f>[1]monsters!$S440</f>
        <v>0.83</v>
      </c>
      <c r="BY440" s="18">
        <f>[1]monsters!$K440</f>
        <v>1.3</v>
      </c>
      <c r="BZ440" s="5">
        <f>[1]monsters!$D440</f>
        <v>4</v>
      </c>
      <c r="CA440" s="5">
        <f t="shared" si="272"/>
        <v>0.1</v>
      </c>
      <c r="CB440" s="5">
        <f t="shared" si="273"/>
        <v>105.56002693602694</v>
      </c>
      <c r="CC440" s="5">
        <f t="shared" si="274"/>
        <v>10.556002693602695</v>
      </c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>
        <v>0</v>
      </c>
      <c r="CR440" s="3" t="b">
        <f t="shared" si="246"/>
        <v>1</v>
      </c>
      <c r="CS440" s="3" t="b">
        <f t="shared" si="247"/>
        <v>1</v>
      </c>
      <c r="CT440" s="3" t="b">
        <f t="shared" si="248"/>
        <v>1</v>
      </c>
      <c r="CU440" s="3" t="b">
        <f t="shared" si="249"/>
        <v>1</v>
      </c>
      <c r="CV440" s="3" t="b">
        <f t="shared" si="250"/>
        <v>1</v>
      </c>
      <c r="CW440" s="3" t="b">
        <f t="shared" si="251"/>
        <v>1</v>
      </c>
      <c r="CX440" s="9" t="str">
        <f t="shared" si="252"/>
        <v>5201123</v>
      </c>
      <c r="CY440" s="9" t="str">
        <f t="shared" si="253"/>
        <v>5202125</v>
      </c>
      <c r="CZ440" s="9" t="str">
        <f t="shared" si="254"/>
        <v>5200121</v>
      </c>
      <c r="DA440" s="9" t="str">
        <f t="shared" si="255"/>
        <v>5501124</v>
      </c>
      <c r="DB440" s="9" t="str">
        <f t="shared" si="256"/>
        <v>5402122</v>
      </c>
      <c r="DC440" s="9" t="str">
        <f t="shared" si="257"/>
        <v>5501125</v>
      </c>
      <c r="DD440" s="9">
        <v>12</v>
      </c>
      <c r="DE440" s="9">
        <v>12</v>
      </c>
      <c r="DF440" s="9">
        <v>12</v>
      </c>
      <c r="DG440" s="9">
        <v>12</v>
      </c>
      <c r="DH440" s="9">
        <v>12</v>
      </c>
      <c r="DI440" s="9">
        <v>12</v>
      </c>
      <c r="DJ440" s="9">
        <v>5</v>
      </c>
      <c r="DK440" s="9">
        <v>5</v>
      </c>
      <c r="DL440" s="9">
        <v>5</v>
      </c>
      <c r="DM440" s="9">
        <v>5</v>
      </c>
      <c r="DN440" s="9">
        <v>5</v>
      </c>
      <c r="DO440" s="9">
        <v>5</v>
      </c>
      <c r="DP440" s="25" t="s">
        <v>205</v>
      </c>
      <c r="DQ440" s="25" t="s">
        <v>213</v>
      </c>
      <c r="DR440" s="25" t="s">
        <v>194</v>
      </c>
      <c r="DS440" s="25" t="s">
        <v>214</v>
      </c>
      <c r="DT440" s="25" t="s">
        <v>203</v>
      </c>
      <c r="DU440" s="25" t="s">
        <v>209</v>
      </c>
      <c r="DV440" s="25">
        <f t="shared" si="258"/>
        <v>1</v>
      </c>
      <c r="DW440" s="25">
        <f t="shared" si="259"/>
        <v>1</v>
      </c>
      <c r="DX440" s="25">
        <f t="shared" si="260"/>
        <v>1</v>
      </c>
      <c r="DY440" s="25">
        <f t="shared" si="261"/>
        <v>2</v>
      </c>
      <c r="DZ440" s="25">
        <f t="shared" si="262"/>
        <v>2</v>
      </c>
      <c r="EA440" s="3">
        <f t="shared" si="263"/>
        <v>2</v>
      </c>
      <c r="EB440" s="45"/>
    </row>
    <row r="441" spans="1:132" ht="13.5" customHeight="1">
      <c r="A441" s="9">
        <v>438</v>
      </c>
      <c r="B441" s="9">
        <v>1</v>
      </c>
      <c r="C441" s="9">
        <v>2001</v>
      </c>
      <c r="D441" s="9">
        <f t="shared" si="278"/>
        <v>12167727</v>
      </c>
      <c r="E441" s="9" t="str">
        <f t="shared" si="275"/>
        <v>5300125,5202125,5202123,5401123,5400125,5400125</v>
      </c>
      <c r="F441" s="9" t="str">
        <f t="shared" si="276"/>
        <v>12,12,12,12,12,12</v>
      </c>
      <c r="G441" s="9" t="str">
        <f t="shared" si="277"/>
        <v>878,949,949,949,949,949</v>
      </c>
      <c r="H441" s="9">
        <v>215</v>
      </c>
      <c r="I441" s="9" t="s">
        <v>278</v>
      </c>
      <c r="J441" s="9" t="s">
        <v>279</v>
      </c>
      <c r="K441" s="9" t="s">
        <v>279</v>
      </c>
      <c r="L441" s="9" t="s">
        <v>279</v>
      </c>
      <c r="M441" s="36" t="s">
        <v>309</v>
      </c>
      <c r="N441" s="40"/>
      <c r="O441" s="3">
        <f t="shared" si="279"/>
        <v>12167727</v>
      </c>
      <c r="P441" s="9">
        <v>9618756.5399999991</v>
      </c>
      <c r="Q441" s="9">
        <v>5300125</v>
      </c>
      <c r="R441" s="9">
        <v>5202125</v>
      </c>
      <c r="S441" s="9">
        <v>5202123</v>
      </c>
      <c r="T441" s="9">
        <v>5401123</v>
      </c>
      <c r="U441" s="9">
        <v>5400125</v>
      </c>
      <c r="V441" s="9">
        <v>5400125</v>
      </c>
      <c r="W441" s="9">
        <v>12</v>
      </c>
      <c r="X441" s="9">
        <v>12</v>
      </c>
      <c r="Y441" s="9">
        <v>12</v>
      </c>
      <c r="Z441" s="9">
        <v>12</v>
      </c>
      <c r="AA441" s="9">
        <v>12</v>
      </c>
      <c r="AB441" s="9">
        <v>12</v>
      </c>
      <c r="AC441" s="9">
        <f t="shared" si="264"/>
        <v>878</v>
      </c>
      <c r="AD441" s="9">
        <f t="shared" si="265"/>
        <v>949</v>
      </c>
      <c r="AE441" s="9">
        <f t="shared" si="266"/>
        <v>949</v>
      </c>
      <c r="AF441" s="9">
        <f t="shared" si="267"/>
        <v>949</v>
      </c>
      <c r="AG441" s="9">
        <f t="shared" si="268"/>
        <v>949</v>
      </c>
      <c r="AH441" s="9">
        <f t="shared" si="269"/>
        <v>949</v>
      </c>
      <c r="AI441" s="7">
        <f t="shared" si="283"/>
        <v>1603126.0899999999</v>
      </c>
      <c r="AJ441" s="7">
        <f t="shared" si="280"/>
        <v>1603126.0899999999</v>
      </c>
      <c r="AK441" s="7">
        <f t="shared" si="280"/>
        <v>1603126.0899999999</v>
      </c>
      <c r="AL441" s="7">
        <f t="shared" si="280"/>
        <v>1603126.0899999999</v>
      </c>
      <c r="AM441" s="7">
        <f t="shared" si="280"/>
        <v>1603126.0899999999</v>
      </c>
      <c r="AN441" s="7">
        <f t="shared" si="280"/>
        <v>1603126.0899999999</v>
      </c>
      <c r="AO441" s="16"/>
      <c r="AP441" s="7"/>
      <c r="AQ441" s="9">
        <v>7</v>
      </c>
      <c r="AR441" s="9">
        <f t="shared" si="270"/>
        <v>1236</v>
      </c>
      <c r="AS441" s="7">
        <f t="shared" si="281"/>
        <v>319</v>
      </c>
      <c r="AT441" s="7"/>
      <c r="AU441" s="16"/>
      <c r="AV441" s="7"/>
      <c r="AW441" s="7"/>
      <c r="AX441" s="7"/>
      <c r="AZ441" s="7"/>
      <c r="BA441" s="9">
        <f t="shared" si="282"/>
        <v>935984.64000000246</v>
      </c>
      <c r="BC441" s="5">
        <f t="shared" si="271"/>
        <v>820</v>
      </c>
      <c r="BR441" s="5">
        <v>2101021</v>
      </c>
      <c r="BS441" s="18">
        <f>[1]monsters!$N441</f>
        <v>86.4</v>
      </c>
      <c r="BT441" s="18">
        <f>[1]monsters!$O441</f>
        <v>8.64</v>
      </c>
      <c r="BU441" s="18">
        <f>[1]monsters!$P441</f>
        <v>1066.67</v>
      </c>
      <c r="BV441" s="18">
        <f>[1]monsters!$Q441</f>
        <v>106.67</v>
      </c>
      <c r="BW441" s="18">
        <f>[1]monsters!$R441</f>
        <v>17.28</v>
      </c>
      <c r="BX441" s="18">
        <f>[1]monsters!$S441</f>
        <v>1.73</v>
      </c>
      <c r="BY441" s="18">
        <f>[1]monsters!$K441</f>
        <v>1.8</v>
      </c>
      <c r="BZ441" s="5">
        <f>[1]monsters!$D441</f>
        <v>2</v>
      </c>
      <c r="CA441" s="5">
        <f t="shared" si="272"/>
        <v>0.1</v>
      </c>
      <c r="CB441" s="5">
        <f t="shared" si="273"/>
        <v>117.56281481481483</v>
      </c>
      <c r="CC441" s="5">
        <f t="shared" si="274"/>
        <v>11.756281481481484</v>
      </c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>
        <v>0</v>
      </c>
      <c r="CR441" s="3" t="b">
        <f t="shared" si="246"/>
        <v>1</v>
      </c>
      <c r="CS441" s="3" t="b">
        <f t="shared" si="247"/>
        <v>1</v>
      </c>
      <c r="CT441" s="3" t="b">
        <f t="shared" si="248"/>
        <v>1</v>
      </c>
      <c r="CU441" s="3" t="b">
        <f t="shared" si="249"/>
        <v>1</v>
      </c>
      <c r="CV441" s="3" t="b">
        <f t="shared" si="250"/>
        <v>1</v>
      </c>
      <c r="CW441" s="3" t="b">
        <f t="shared" si="251"/>
        <v>1</v>
      </c>
      <c r="CX441" s="9" t="str">
        <f t="shared" si="252"/>
        <v>5300125</v>
      </c>
      <c r="CY441" s="9" t="str">
        <f t="shared" si="253"/>
        <v>5202125</v>
      </c>
      <c r="CZ441" s="9" t="str">
        <f t="shared" si="254"/>
        <v>5202123</v>
      </c>
      <c r="DA441" s="9" t="str">
        <f t="shared" si="255"/>
        <v>5401123</v>
      </c>
      <c r="DB441" s="9" t="str">
        <f t="shared" si="256"/>
        <v>5400125</v>
      </c>
      <c r="DC441" s="9" t="str">
        <f t="shared" si="257"/>
        <v>5400125</v>
      </c>
      <c r="DD441" s="9">
        <v>12</v>
      </c>
      <c r="DE441" s="9">
        <v>12</v>
      </c>
      <c r="DF441" s="9">
        <v>12</v>
      </c>
      <c r="DG441" s="9">
        <v>12</v>
      </c>
      <c r="DH441" s="9">
        <v>12</v>
      </c>
      <c r="DI441" s="9">
        <v>12</v>
      </c>
      <c r="DJ441" s="9">
        <v>5</v>
      </c>
      <c r="DK441" s="9">
        <v>5</v>
      </c>
      <c r="DL441" s="9">
        <v>5</v>
      </c>
      <c r="DM441" s="9">
        <v>5</v>
      </c>
      <c r="DN441" s="9">
        <v>5</v>
      </c>
      <c r="DO441" s="9">
        <v>5</v>
      </c>
      <c r="DP441" s="25" t="s">
        <v>212</v>
      </c>
      <c r="DQ441" s="25" t="s">
        <v>213</v>
      </c>
      <c r="DR441" s="25" t="s">
        <v>208</v>
      </c>
      <c r="DS441" s="25" t="s">
        <v>211</v>
      </c>
      <c r="DT441" s="25" t="s">
        <v>210</v>
      </c>
      <c r="DU441" s="25" t="s">
        <v>210</v>
      </c>
      <c r="DV441" s="25">
        <f t="shared" si="258"/>
        <v>1</v>
      </c>
      <c r="DW441" s="25">
        <f t="shared" si="259"/>
        <v>1</v>
      </c>
      <c r="DX441" s="25">
        <f t="shared" si="260"/>
        <v>1</v>
      </c>
      <c r="DY441" s="25">
        <f t="shared" si="261"/>
        <v>2</v>
      </c>
      <c r="DZ441" s="25">
        <f t="shared" si="262"/>
        <v>2</v>
      </c>
      <c r="EA441" s="3">
        <f t="shared" si="263"/>
        <v>2</v>
      </c>
      <c r="EB441" s="45"/>
    </row>
    <row r="442" spans="1:132" ht="13.5" customHeight="1">
      <c r="A442" s="9">
        <v>439</v>
      </c>
      <c r="B442" s="9">
        <v>1</v>
      </c>
      <c r="C442" s="9">
        <v>2001</v>
      </c>
      <c r="D442" s="9">
        <f t="shared" si="278"/>
        <v>12209057</v>
      </c>
      <c r="E442" s="9" t="str">
        <f t="shared" si="275"/>
        <v>5202122,5202122,5301122,5502122,5500121,5501125</v>
      </c>
      <c r="F442" s="9" t="str">
        <f t="shared" si="276"/>
        <v>12,12,12,12,12,12</v>
      </c>
      <c r="G442" s="9" t="str">
        <f t="shared" si="277"/>
        <v>879,950,950,950,950,950</v>
      </c>
      <c r="H442" s="9">
        <v>215</v>
      </c>
      <c r="I442" s="9" t="s">
        <v>278</v>
      </c>
      <c r="J442" s="9" t="s">
        <v>279</v>
      </c>
      <c r="K442" s="9" t="s">
        <v>279</v>
      </c>
      <c r="L442" s="9" t="s">
        <v>279</v>
      </c>
      <c r="M442" s="36" t="s">
        <v>309</v>
      </c>
      <c r="N442" s="40"/>
      <c r="O442" s="3">
        <f t="shared" si="279"/>
        <v>12209057</v>
      </c>
      <c r="P442" s="9">
        <v>9651428.3599999994</v>
      </c>
      <c r="Q442" s="9">
        <v>5202122</v>
      </c>
      <c r="R442" s="9">
        <v>5202122</v>
      </c>
      <c r="S442" s="9">
        <v>5301122</v>
      </c>
      <c r="T442" s="9">
        <v>5502122</v>
      </c>
      <c r="U442" s="9">
        <v>5500121</v>
      </c>
      <c r="V442" s="9">
        <v>5501125</v>
      </c>
      <c r="W442" s="9">
        <v>12</v>
      </c>
      <c r="X442" s="9">
        <v>12</v>
      </c>
      <c r="Y442" s="9">
        <v>12</v>
      </c>
      <c r="Z442" s="9">
        <v>12</v>
      </c>
      <c r="AA442" s="9">
        <v>12</v>
      </c>
      <c r="AB442" s="9">
        <v>12</v>
      </c>
      <c r="AC442" s="9">
        <f t="shared" si="264"/>
        <v>879</v>
      </c>
      <c r="AD442" s="9">
        <f t="shared" si="265"/>
        <v>950</v>
      </c>
      <c r="AE442" s="9">
        <f t="shared" si="266"/>
        <v>950</v>
      </c>
      <c r="AF442" s="9">
        <f t="shared" si="267"/>
        <v>950</v>
      </c>
      <c r="AG442" s="9">
        <f t="shared" si="268"/>
        <v>950</v>
      </c>
      <c r="AH442" s="9">
        <f t="shared" si="269"/>
        <v>950</v>
      </c>
      <c r="AI442" s="7">
        <f t="shared" si="283"/>
        <v>1608571.3933333333</v>
      </c>
      <c r="AJ442" s="7">
        <f t="shared" si="280"/>
        <v>1608571.3933333333</v>
      </c>
      <c r="AK442" s="7">
        <f t="shared" si="280"/>
        <v>1608571.3933333333</v>
      </c>
      <c r="AL442" s="7">
        <f t="shared" si="280"/>
        <v>1608571.3933333333</v>
      </c>
      <c r="AM442" s="7">
        <f t="shared" si="280"/>
        <v>1608571.3933333333</v>
      </c>
      <c r="AN442" s="7">
        <f t="shared" si="280"/>
        <v>1608571.3933333333</v>
      </c>
      <c r="AO442" s="16"/>
      <c r="AP442" s="7"/>
      <c r="AQ442" s="9">
        <v>7</v>
      </c>
      <c r="AR442" s="9">
        <f t="shared" si="270"/>
        <v>1238</v>
      </c>
      <c r="AS442" s="7">
        <f t="shared" si="281"/>
        <v>319</v>
      </c>
      <c r="AT442" s="7"/>
      <c r="AU442" s="16"/>
      <c r="AV442" s="7"/>
      <c r="AW442" s="7"/>
      <c r="AX442" s="7"/>
      <c r="AZ442" s="7"/>
      <c r="BA442" s="9">
        <f t="shared" si="282"/>
        <v>940877.17000000249</v>
      </c>
      <c r="BC442" s="5">
        <f t="shared" si="271"/>
        <v>822</v>
      </c>
      <c r="BR442" s="5">
        <v>2102021</v>
      </c>
      <c r="BS442" s="18">
        <f>[1]monsters!$N442</f>
        <v>100</v>
      </c>
      <c r="BT442" s="18">
        <f>[1]monsters!$O442</f>
        <v>10</v>
      </c>
      <c r="BU442" s="18">
        <f>[1]monsters!$P442</f>
        <v>768</v>
      </c>
      <c r="BV442" s="18">
        <f>[1]monsters!$Q442</f>
        <v>76.8</v>
      </c>
      <c r="BW442" s="18">
        <f>[1]monsters!$R442</f>
        <v>10</v>
      </c>
      <c r="BX442" s="18">
        <f>[1]monsters!$S442</f>
        <v>1</v>
      </c>
      <c r="BY442" s="18">
        <f>[1]monsters!$K442</f>
        <v>1.5</v>
      </c>
      <c r="BZ442" s="5">
        <f>[1]monsters!$D442</f>
        <v>4</v>
      </c>
      <c r="CA442" s="5">
        <f t="shared" si="272"/>
        <v>0.1</v>
      </c>
      <c r="CB442" s="5">
        <f t="shared" si="273"/>
        <v>120.35858585858585</v>
      </c>
      <c r="CC442" s="5">
        <f t="shared" si="274"/>
        <v>12.035858585858586</v>
      </c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>
        <v>0</v>
      </c>
      <c r="CR442" s="3" t="b">
        <f t="shared" si="246"/>
        <v>1</v>
      </c>
      <c r="CS442" s="3" t="b">
        <f t="shared" si="247"/>
        <v>1</v>
      </c>
      <c r="CT442" s="3" t="b">
        <f t="shared" si="248"/>
        <v>1</v>
      </c>
      <c r="CU442" s="3" t="b">
        <f t="shared" si="249"/>
        <v>1</v>
      </c>
      <c r="CV442" s="3" t="b">
        <f t="shared" si="250"/>
        <v>1</v>
      </c>
      <c r="CW442" s="3" t="b">
        <f t="shared" si="251"/>
        <v>1</v>
      </c>
      <c r="CX442" s="9" t="str">
        <f t="shared" si="252"/>
        <v>5202122</v>
      </c>
      <c r="CY442" s="9" t="str">
        <f t="shared" si="253"/>
        <v>5202122</v>
      </c>
      <c r="CZ442" s="9" t="str">
        <f t="shared" si="254"/>
        <v>5301122</v>
      </c>
      <c r="DA442" s="9" t="str">
        <f t="shared" si="255"/>
        <v>5502122</v>
      </c>
      <c r="DB442" s="9" t="str">
        <f t="shared" si="256"/>
        <v>5500121</v>
      </c>
      <c r="DC442" s="9" t="str">
        <f t="shared" si="257"/>
        <v>5501125</v>
      </c>
      <c r="DD442" s="9">
        <v>12</v>
      </c>
      <c r="DE442" s="9">
        <v>12</v>
      </c>
      <c r="DF442" s="9">
        <v>12</v>
      </c>
      <c r="DG442" s="9">
        <v>12</v>
      </c>
      <c r="DH442" s="9">
        <v>12</v>
      </c>
      <c r="DI442" s="9">
        <v>12</v>
      </c>
      <c r="DJ442" s="9">
        <v>5</v>
      </c>
      <c r="DK442" s="9">
        <v>5</v>
      </c>
      <c r="DL442" s="9">
        <v>5</v>
      </c>
      <c r="DM442" s="9">
        <v>5</v>
      </c>
      <c r="DN442" s="9">
        <v>5</v>
      </c>
      <c r="DO442" s="9">
        <v>5</v>
      </c>
      <c r="DP442" s="25" t="s">
        <v>200</v>
      </c>
      <c r="DQ442" s="25" t="s">
        <v>200</v>
      </c>
      <c r="DR442" s="25" t="s">
        <v>201</v>
      </c>
      <c r="DS442" s="25" t="s">
        <v>204</v>
      </c>
      <c r="DT442" s="25" t="s">
        <v>197</v>
      </c>
      <c r="DU442" s="25" t="s">
        <v>209</v>
      </c>
      <c r="DV442" s="25">
        <f t="shared" si="258"/>
        <v>1</v>
      </c>
      <c r="DW442" s="25">
        <f t="shared" si="259"/>
        <v>1</v>
      </c>
      <c r="DX442" s="25">
        <f t="shared" si="260"/>
        <v>1</v>
      </c>
      <c r="DY442" s="25">
        <f t="shared" si="261"/>
        <v>2</v>
      </c>
      <c r="DZ442" s="25">
        <f t="shared" si="262"/>
        <v>2</v>
      </c>
      <c r="EA442" s="3">
        <f t="shared" si="263"/>
        <v>2</v>
      </c>
      <c r="EB442" s="45"/>
    </row>
    <row r="443" spans="1:132" ht="13.5" customHeight="1">
      <c r="A443" s="9">
        <v>440</v>
      </c>
      <c r="B443" s="9">
        <v>1</v>
      </c>
      <c r="C443" s="9">
        <v>2001</v>
      </c>
      <c r="D443" s="9">
        <f t="shared" si="278"/>
        <v>12250460</v>
      </c>
      <c r="E443" s="9" t="str">
        <f t="shared" si="275"/>
        <v>5202123,5201123,5302124,5400125,5601123,5400125</v>
      </c>
      <c r="F443" s="9" t="str">
        <f t="shared" si="276"/>
        <v>12,12,12,12,12,12</v>
      </c>
      <c r="G443" s="9" t="str">
        <f t="shared" si="277"/>
        <v>881,952,952,952,952,952</v>
      </c>
      <c r="H443" s="9">
        <v>216</v>
      </c>
      <c r="I443" s="9" t="s">
        <v>278</v>
      </c>
      <c r="J443" s="9" t="s">
        <v>279</v>
      </c>
      <c r="K443" s="9" t="s">
        <v>279</v>
      </c>
      <c r="L443" s="9" t="s">
        <v>279</v>
      </c>
      <c r="M443" s="36" t="s">
        <v>309</v>
      </c>
      <c r="O443" s="3">
        <f t="shared" si="279"/>
        <v>12250460</v>
      </c>
      <c r="P443" s="9">
        <v>9684157.8900000006</v>
      </c>
      <c r="Q443" s="9">
        <v>5202123</v>
      </c>
      <c r="R443" s="9">
        <v>5201123</v>
      </c>
      <c r="S443" s="9">
        <v>5302124</v>
      </c>
      <c r="T443" s="9">
        <v>5400125</v>
      </c>
      <c r="U443" s="9">
        <v>5601123</v>
      </c>
      <c r="V443" s="9">
        <v>5400125</v>
      </c>
      <c r="W443" s="9">
        <v>12</v>
      </c>
      <c r="X443" s="9">
        <v>12</v>
      </c>
      <c r="Y443" s="9">
        <v>12</v>
      </c>
      <c r="Z443" s="9">
        <v>12</v>
      </c>
      <c r="AA443" s="9">
        <v>12</v>
      </c>
      <c r="AB443" s="9">
        <v>12</v>
      </c>
      <c r="AC443" s="9">
        <f t="shared" si="264"/>
        <v>881</v>
      </c>
      <c r="AD443" s="9">
        <f t="shared" si="265"/>
        <v>952</v>
      </c>
      <c r="AE443" s="9">
        <f t="shared" si="266"/>
        <v>952</v>
      </c>
      <c r="AF443" s="9">
        <f t="shared" si="267"/>
        <v>952</v>
      </c>
      <c r="AG443" s="9">
        <f t="shared" si="268"/>
        <v>952</v>
      </c>
      <c r="AH443" s="9">
        <f t="shared" si="269"/>
        <v>952</v>
      </c>
      <c r="AI443" s="7">
        <f t="shared" si="283"/>
        <v>1614026.3150000002</v>
      </c>
      <c r="AJ443" s="7">
        <f t="shared" si="280"/>
        <v>1614026.3150000002</v>
      </c>
      <c r="AK443" s="7">
        <f t="shared" si="280"/>
        <v>1614026.3150000002</v>
      </c>
      <c r="AL443" s="7">
        <f t="shared" si="280"/>
        <v>1614026.3150000002</v>
      </c>
      <c r="AM443" s="7">
        <f t="shared" si="280"/>
        <v>1614026.3150000002</v>
      </c>
      <c r="AN443" s="7">
        <f t="shared" si="280"/>
        <v>1614026.3150000002</v>
      </c>
      <c r="AO443" s="16"/>
      <c r="AP443" s="7"/>
      <c r="AQ443" s="9">
        <v>7</v>
      </c>
      <c r="AR443" s="9">
        <f t="shared" si="270"/>
        <v>1240</v>
      </c>
      <c r="AS443" s="7">
        <f t="shared" si="281"/>
        <v>320</v>
      </c>
      <c r="AT443" s="7"/>
      <c r="AU443" s="16"/>
      <c r="AV443" s="7"/>
      <c r="AW443" s="7"/>
      <c r="AX443" s="7"/>
      <c r="AZ443" s="7"/>
      <c r="BA443" s="9">
        <f t="shared" si="282"/>
        <v>945769.70000000251</v>
      </c>
      <c r="BC443" s="5">
        <f t="shared" si="271"/>
        <v>823</v>
      </c>
      <c r="BR443" s="5">
        <v>2206022</v>
      </c>
      <c r="BS443" s="18">
        <f>[1]monsters!$N443</f>
        <v>76.27</v>
      </c>
      <c r="BT443" s="18">
        <f>[1]monsters!$O443</f>
        <v>7.63</v>
      </c>
      <c r="BU443" s="18">
        <f>[1]monsters!$P443</f>
        <v>872.73</v>
      </c>
      <c r="BV443" s="18">
        <f>[1]monsters!$Q443</f>
        <v>87.27</v>
      </c>
      <c r="BW443" s="18">
        <f>[1]monsters!$R443</f>
        <v>9.5299999999999994</v>
      </c>
      <c r="BX443" s="18">
        <f>[1]monsters!$S443</f>
        <v>0.95</v>
      </c>
      <c r="BY443" s="18">
        <f>[1]monsters!$K443</f>
        <v>1.3</v>
      </c>
      <c r="BZ443" s="5">
        <f>[1]monsters!$D443</f>
        <v>3</v>
      </c>
      <c r="CA443" s="5">
        <f t="shared" si="272"/>
        <v>0.1</v>
      </c>
      <c r="CB443" s="5">
        <f t="shared" si="273"/>
        <v>101.45999848484848</v>
      </c>
      <c r="CC443" s="5">
        <f t="shared" si="274"/>
        <v>10.145999848484848</v>
      </c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>
        <v>1</v>
      </c>
      <c r="CR443" s="3" t="b">
        <f t="shared" si="246"/>
        <v>1</v>
      </c>
      <c r="CS443" s="3" t="b">
        <f t="shared" si="247"/>
        <v>1</v>
      </c>
      <c r="CT443" s="3" t="b">
        <f t="shared" si="248"/>
        <v>1</v>
      </c>
      <c r="CU443" s="3" t="b">
        <f t="shared" si="249"/>
        <v>1</v>
      </c>
      <c r="CV443" s="3" t="b">
        <f t="shared" si="250"/>
        <v>1</v>
      </c>
      <c r="CW443" s="3" t="b">
        <f t="shared" si="251"/>
        <v>1</v>
      </c>
      <c r="CX443" s="9" t="str">
        <f t="shared" si="252"/>
        <v>5202123</v>
      </c>
      <c r="CY443" s="9" t="str">
        <f t="shared" si="253"/>
        <v>5201123</v>
      </c>
      <c r="CZ443" s="9" t="str">
        <f t="shared" si="254"/>
        <v>5302124</v>
      </c>
      <c r="DA443" s="9" t="str">
        <f t="shared" si="255"/>
        <v>5400125</v>
      </c>
      <c r="DB443" s="9" t="str">
        <f t="shared" si="256"/>
        <v>5601123</v>
      </c>
      <c r="DC443" s="9" t="str">
        <f t="shared" si="257"/>
        <v>5400125</v>
      </c>
      <c r="DD443" s="9">
        <v>12</v>
      </c>
      <c r="DE443" s="9">
        <v>12</v>
      </c>
      <c r="DF443" s="9">
        <v>12</v>
      </c>
      <c r="DG443" s="9">
        <v>12</v>
      </c>
      <c r="DH443" s="9">
        <v>12</v>
      </c>
      <c r="DI443" s="9">
        <v>12</v>
      </c>
      <c r="DJ443" s="9">
        <v>5</v>
      </c>
      <c r="DK443" s="9">
        <v>5</v>
      </c>
      <c r="DL443" s="9">
        <v>5</v>
      </c>
      <c r="DM443" s="9">
        <v>5</v>
      </c>
      <c r="DN443" s="9">
        <v>5</v>
      </c>
      <c r="DO443" s="9">
        <v>5</v>
      </c>
      <c r="DP443" s="25" t="s">
        <v>208</v>
      </c>
      <c r="DQ443" s="25" t="s">
        <v>205</v>
      </c>
      <c r="DR443" s="25" t="s">
        <v>218</v>
      </c>
      <c r="DS443" s="25" t="s">
        <v>210</v>
      </c>
      <c r="DT443" s="25" t="s">
        <v>216</v>
      </c>
      <c r="DU443" s="25" t="s">
        <v>210</v>
      </c>
      <c r="DV443" s="25">
        <f t="shared" si="258"/>
        <v>1</v>
      </c>
      <c r="DW443" s="25">
        <f t="shared" si="259"/>
        <v>1</v>
      </c>
      <c r="DX443" s="25">
        <f t="shared" si="260"/>
        <v>1</v>
      </c>
      <c r="DY443" s="25">
        <f t="shared" si="261"/>
        <v>2</v>
      </c>
      <c r="DZ443" s="25">
        <f t="shared" si="262"/>
        <v>2</v>
      </c>
      <c r="EA443" s="3">
        <f t="shared" si="263"/>
        <v>2</v>
      </c>
      <c r="EB443" s="47"/>
    </row>
    <row r="444" spans="1:132" ht="13.5" customHeight="1">
      <c r="A444" s="9">
        <v>441</v>
      </c>
      <c r="B444" s="9">
        <v>1</v>
      </c>
      <c r="C444" s="9">
        <v>2001</v>
      </c>
      <c r="D444" s="9">
        <f t="shared" si="278"/>
        <v>12291931</v>
      </c>
      <c r="E444" s="9" t="str">
        <f t="shared" si="275"/>
        <v>5301121,5301122,5301123,5500121,5500122,5500123</v>
      </c>
      <c r="F444" s="9" t="str">
        <f t="shared" si="276"/>
        <v>12,12,12,12,12,12</v>
      </c>
      <c r="G444" s="9" t="str">
        <f t="shared" si="277"/>
        <v>882,954,954,954,954,954</v>
      </c>
      <c r="H444" s="9">
        <v>216</v>
      </c>
      <c r="I444" s="9" t="s">
        <v>278</v>
      </c>
      <c r="J444" s="9" t="s">
        <v>279</v>
      </c>
      <c r="K444" s="9" t="s">
        <v>279</v>
      </c>
      <c r="L444" s="9" t="s">
        <v>279</v>
      </c>
      <c r="M444" s="36" t="s">
        <v>309</v>
      </c>
      <c r="N444" s="40"/>
      <c r="O444" s="3">
        <f t="shared" si="279"/>
        <v>12291931</v>
      </c>
      <c r="P444" s="9">
        <v>9716941.1500000004</v>
      </c>
      <c r="Q444" s="9">
        <v>5301121</v>
      </c>
      <c r="R444" s="9">
        <v>5301122</v>
      </c>
      <c r="S444" s="9">
        <v>5301123</v>
      </c>
      <c r="T444" s="9">
        <v>5500121</v>
      </c>
      <c r="U444" s="9">
        <v>5500122</v>
      </c>
      <c r="V444" s="9">
        <v>5500123</v>
      </c>
      <c r="W444" s="9">
        <v>12</v>
      </c>
      <c r="X444" s="9">
        <v>12</v>
      </c>
      <c r="Y444" s="9">
        <v>12</v>
      </c>
      <c r="Z444" s="9">
        <v>12</v>
      </c>
      <c r="AA444" s="9">
        <v>12</v>
      </c>
      <c r="AB444" s="9">
        <v>12</v>
      </c>
      <c r="AC444" s="9">
        <f t="shared" si="264"/>
        <v>882</v>
      </c>
      <c r="AD444" s="9">
        <f t="shared" si="265"/>
        <v>954</v>
      </c>
      <c r="AE444" s="9">
        <f t="shared" si="266"/>
        <v>954</v>
      </c>
      <c r="AF444" s="9">
        <f t="shared" si="267"/>
        <v>954</v>
      </c>
      <c r="AG444" s="9">
        <f t="shared" si="268"/>
        <v>954</v>
      </c>
      <c r="AH444" s="9">
        <f t="shared" si="269"/>
        <v>954</v>
      </c>
      <c r="AI444" s="7">
        <f t="shared" si="283"/>
        <v>1619490.1916666667</v>
      </c>
      <c r="AJ444" s="7">
        <f t="shared" si="280"/>
        <v>1619490.1916666667</v>
      </c>
      <c r="AK444" s="7">
        <f t="shared" si="280"/>
        <v>1619490.1916666667</v>
      </c>
      <c r="AL444" s="7">
        <f t="shared" si="280"/>
        <v>1619490.1916666667</v>
      </c>
      <c r="AM444" s="7">
        <f t="shared" si="280"/>
        <v>1619490.1916666667</v>
      </c>
      <c r="AN444" s="7">
        <f t="shared" si="280"/>
        <v>1619490.1916666667</v>
      </c>
      <c r="AO444" s="16"/>
      <c r="AP444" s="7"/>
      <c r="AQ444" s="9">
        <v>7</v>
      </c>
      <c r="AR444" s="9">
        <f t="shared" si="270"/>
        <v>1242</v>
      </c>
      <c r="AS444" s="7">
        <f t="shared" si="281"/>
        <v>320</v>
      </c>
      <c r="AT444" s="7"/>
      <c r="AU444" s="16"/>
      <c r="AV444" s="7"/>
      <c r="AW444" s="7"/>
      <c r="AX444" s="7"/>
      <c r="AZ444" s="7"/>
      <c r="BA444" s="9">
        <f t="shared" si="282"/>
        <v>950662.23000000254</v>
      </c>
      <c r="BC444" s="5">
        <f t="shared" si="271"/>
        <v>825</v>
      </c>
      <c r="BR444" s="5">
        <v>2406022</v>
      </c>
      <c r="BS444" s="18">
        <f>[1]monsters!$N444</f>
        <v>105.6</v>
      </c>
      <c r="BT444" s="18">
        <f>[1]monsters!$O444</f>
        <v>10.56</v>
      </c>
      <c r="BU444" s="18">
        <f>[1]monsters!$P444</f>
        <v>872.73</v>
      </c>
      <c r="BV444" s="18">
        <f>[1]monsters!$Q444</f>
        <v>87.27</v>
      </c>
      <c r="BW444" s="18">
        <f>[1]monsters!$R444</f>
        <v>17.600000000000001</v>
      </c>
      <c r="BX444" s="18">
        <f>[1]monsters!$S444</f>
        <v>1.76</v>
      </c>
      <c r="BY444" s="18">
        <f>[1]monsters!$K444</f>
        <v>1.8</v>
      </c>
      <c r="BZ444" s="5">
        <f>[1]monsters!$D444</f>
        <v>5</v>
      </c>
      <c r="CA444" s="5">
        <f t="shared" si="272"/>
        <v>0.1</v>
      </c>
      <c r="CB444" s="5">
        <f t="shared" si="273"/>
        <v>129.17684848484848</v>
      </c>
      <c r="CC444" s="5">
        <f t="shared" si="274"/>
        <v>12.917684848484848</v>
      </c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>
        <v>0</v>
      </c>
      <c r="CR444" s="3" t="b">
        <f t="shared" si="246"/>
        <v>1</v>
      </c>
      <c r="CS444" s="3" t="b">
        <f t="shared" si="247"/>
        <v>1</v>
      </c>
      <c r="CT444" s="3" t="b">
        <f t="shared" si="248"/>
        <v>1</v>
      </c>
      <c r="CU444" s="3" t="b">
        <f t="shared" si="249"/>
        <v>1</v>
      </c>
      <c r="CV444" s="3" t="b">
        <f t="shared" si="250"/>
        <v>1</v>
      </c>
      <c r="CW444" s="3" t="b">
        <f t="shared" si="251"/>
        <v>1</v>
      </c>
      <c r="CX444" s="9" t="str">
        <f t="shared" si="252"/>
        <v>5301121</v>
      </c>
      <c r="CY444" s="9" t="str">
        <f t="shared" si="253"/>
        <v>5301122</v>
      </c>
      <c r="CZ444" s="9" t="str">
        <f t="shared" si="254"/>
        <v>5301123</v>
      </c>
      <c r="DA444" s="9" t="str">
        <f t="shared" si="255"/>
        <v>5500121</v>
      </c>
      <c r="DB444" s="9" t="str">
        <f t="shared" si="256"/>
        <v>5500122</v>
      </c>
      <c r="DC444" s="9" t="str">
        <f t="shared" si="257"/>
        <v>5500123</v>
      </c>
      <c r="DD444" s="9">
        <v>12</v>
      </c>
      <c r="DE444" s="9">
        <v>12</v>
      </c>
      <c r="DF444" s="9">
        <v>12</v>
      </c>
      <c r="DG444" s="9">
        <v>12</v>
      </c>
      <c r="DH444" s="9">
        <v>12</v>
      </c>
      <c r="DI444" s="9">
        <v>12</v>
      </c>
      <c r="DJ444" s="9">
        <v>5</v>
      </c>
      <c r="DK444" s="9">
        <v>5</v>
      </c>
      <c r="DL444" s="9">
        <v>5</v>
      </c>
      <c r="DM444" s="9">
        <v>5</v>
      </c>
      <c r="DN444" s="9">
        <v>5</v>
      </c>
      <c r="DO444" s="9">
        <v>5</v>
      </c>
      <c r="DP444" s="3" t="s">
        <v>107</v>
      </c>
      <c r="DQ444" s="3" t="s">
        <v>201</v>
      </c>
      <c r="DR444" s="3" t="s">
        <v>206</v>
      </c>
      <c r="DS444" s="3" t="s">
        <v>197</v>
      </c>
      <c r="DT444" s="3" t="s">
        <v>109</v>
      </c>
      <c r="DU444" s="3" t="s">
        <v>207</v>
      </c>
      <c r="DV444" s="3">
        <f t="shared" si="258"/>
        <v>1</v>
      </c>
      <c r="DW444" s="3">
        <f t="shared" si="259"/>
        <v>1</v>
      </c>
      <c r="DX444" s="3">
        <f t="shared" si="260"/>
        <v>1</v>
      </c>
      <c r="DY444" s="3">
        <f t="shared" si="261"/>
        <v>2</v>
      </c>
      <c r="DZ444" s="3">
        <f t="shared" si="262"/>
        <v>2</v>
      </c>
      <c r="EA444" s="3">
        <f t="shared" si="263"/>
        <v>2</v>
      </c>
      <c r="EB444" s="47"/>
    </row>
    <row r="445" spans="1:132" ht="13.5" customHeight="1">
      <c r="A445" s="9">
        <v>442</v>
      </c>
      <c r="B445" s="9">
        <v>1</v>
      </c>
      <c r="C445" s="9">
        <v>2001</v>
      </c>
      <c r="D445" s="9">
        <f t="shared" si="278"/>
        <v>12333472</v>
      </c>
      <c r="E445" s="9" t="str">
        <f t="shared" si="275"/>
        <v>5200122,5200123,5200122,5501125,5401121,5502121</v>
      </c>
      <c r="F445" s="9" t="str">
        <f t="shared" si="276"/>
        <v>12,12,12,12,12,12</v>
      </c>
      <c r="G445" s="9" t="str">
        <f t="shared" si="277"/>
        <v>884,955,955,955,955,955</v>
      </c>
      <c r="H445" s="9">
        <v>216</v>
      </c>
      <c r="I445" s="9" t="s">
        <v>278</v>
      </c>
      <c r="J445" s="9" t="s">
        <v>279</v>
      </c>
      <c r="K445" s="9" t="s">
        <v>279</v>
      </c>
      <c r="L445" s="9" t="s">
        <v>279</v>
      </c>
      <c r="M445" s="36" t="s">
        <v>309</v>
      </c>
      <c r="N445" s="40"/>
      <c r="O445" s="3">
        <f t="shared" si="279"/>
        <v>12333472</v>
      </c>
      <c r="P445" s="9">
        <v>9749780.1300000008</v>
      </c>
      <c r="Q445" s="9">
        <v>5200122</v>
      </c>
      <c r="R445" s="9">
        <v>5200123</v>
      </c>
      <c r="S445" s="9">
        <v>5200122</v>
      </c>
      <c r="T445" s="9">
        <v>5501125</v>
      </c>
      <c r="U445" s="9">
        <v>5401121</v>
      </c>
      <c r="V445" s="9">
        <v>5502121</v>
      </c>
      <c r="W445" s="9">
        <v>12</v>
      </c>
      <c r="X445" s="9">
        <v>12</v>
      </c>
      <c r="Y445" s="9">
        <v>12</v>
      </c>
      <c r="Z445" s="9">
        <v>12</v>
      </c>
      <c r="AA445" s="9">
        <v>12</v>
      </c>
      <c r="AB445" s="9">
        <v>12</v>
      </c>
      <c r="AC445" s="9">
        <f t="shared" si="264"/>
        <v>884</v>
      </c>
      <c r="AD445" s="9">
        <f t="shared" si="265"/>
        <v>955</v>
      </c>
      <c r="AE445" s="9">
        <f t="shared" si="266"/>
        <v>955</v>
      </c>
      <c r="AF445" s="9">
        <f t="shared" si="267"/>
        <v>955</v>
      </c>
      <c r="AG445" s="9">
        <f t="shared" si="268"/>
        <v>955</v>
      </c>
      <c r="AH445" s="9">
        <f t="shared" si="269"/>
        <v>955</v>
      </c>
      <c r="AI445" s="7">
        <f t="shared" si="283"/>
        <v>1624963.3550000002</v>
      </c>
      <c r="AJ445" s="7">
        <f t="shared" si="280"/>
        <v>1624963.3550000002</v>
      </c>
      <c r="AK445" s="7">
        <f t="shared" si="280"/>
        <v>1624963.3550000002</v>
      </c>
      <c r="AL445" s="7">
        <f t="shared" si="280"/>
        <v>1624963.3550000002</v>
      </c>
      <c r="AM445" s="7">
        <f t="shared" si="280"/>
        <v>1624963.3550000002</v>
      </c>
      <c r="AN445" s="7">
        <f t="shared" si="280"/>
        <v>1624963.3550000002</v>
      </c>
      <c r="AO445" s="16"/>
      <c r="AP445" s="7"/>
      <c r="AQ445" s="9">
        <v>7</v>
      </c>
      <c r="AR445" s="9">
        <f t="shared" si="270"/>
        <v>1244</v>
      </c>
      <c r="AS445" s="7">
        <f t="shared" si="281"/>
        <v>321</v>
      </c>
      <c r="AT445" s="7"/>
      <c r="AU445" s="16"/>
      <c r="AV445" s="7"/>
      <c r="AW445" s="7"/>
      <c r="AX445" s="7"/>
      <c r="AZ445" s="7"/>
      <c r="BA445" s="9">
        <f t="shared" si="282"/>
        <v>955554.76000000257</v>
      </c>
      <c r="BC445" s="5">
        <f t="shared" si="271"/>
        <v>826</v>
      </c>
      <c r="BR445" s="5">
        <v>2205022</v>
      </c>
      <c r="BS445" s="18">
        <f>[1]monsters!$N445</f>
        <v>76.8</v>
      </c>
      <c r="BT445" s="18">
        <f>[1]monsters!$O445</f>
        <v>7.68</v>
      </c>
      <c r="BU445" s="18">
        <f>[1]monsters!$P445</f>
        <v>1066.67</v>
      </c>
      <c r="BV445" s="18">
        <f>[1]monsters!$Q445</f>
        <v>106.67</v>
      </c>
      <c r="BW445" s="18">
        <f>[1]monsters!$R445</f>
        <v>15.36</v>
      </c>
      <c r="BX445" s="18">
        <f>[1]monsters!$S445</f>
        <v>1.54</v>
      </c>
      <c r="BY445" s="18">
        <f>[1]monsters!$K445</f>
        <v>1.6</v>
      </c>
      <c r="BZ445" s="5">
        <f>[1]monsters!$D445</f>
        <v>2</v>
      </c>
      <c r="CA445" s="5">
        <f t="shared" si="272"/>
        <v>0.1</v>
      </c>
      <c r="CB445" s="5">
        <f t="shared" si="273"/>
        <v>108.49081481481483</v>
      </c>
      <c r="CC445" s="5">
        <f t="shared" si="274"/>
        <v>10.849081481481484</v>
      </c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>
        <v>0</v>
      </c>
      <c r="CR445" s="3" t="b">
        <f t="shared" si="246"/>
        <v>1</v>
      </c>
      <c r="CS445" s="3" t="b">
        <f t="shared" si="247"/>
        <v>1</v>
      </c>
      <c r="CT445" s="3" t="b">
        <f t="shared" si="248"/>
        <v>1</v>
      </c>
      <c r="CU445" s="3" t="b">
        <f t="shared" si="249"/>
        <v>1</v>
      </c>
      <c r="CV445" s="3" t="b">
        <f t="shared" si="250"/>
        <v>1</v>
      </c>
      <c r="CW445" s="3" t="b">
        <f t="shared" si="251"/>
        <v>1</v>
      </c>
      <c r="CX445" s="9" t="str">
        <f t="shared" si="252"/>
        <v>5200122</v>
      </c>
      <c r="CY445" s="9" t="str">
        <f t="shared" si="253"/>
        <v>5200123</v>
      </c>
      <c r="CZ445" s="9" t="str">
        <f t="shared" si="254"/>
        <v>5200122</v>
      </c>
      <c r="DA445" s="9" t="str">
        <f t="shared" si="255"/>
        <v>5501125</v>
      </c>
      <c r="DB445" s="9" t="str">
        <f t="shared" si="256"/>
        <v>5401121</v>
      </c>
      <c r="DC445" s="9" t="str">
        <f t="shared" si="257"/>
        <v>5502121</v>
      </c>
      <c r="DD445" s="9">
        <v>12</v>
      </c>
      <c r="DE445" s="9">
        <v>12</v>
      </c>
      <c r="DF445" s="9">
        <v>12</v>
      </c>
      <c r="DG445" s="9">
        <v>12</v>
      </c>
      <c r="DH445" s="9">
        <v>12</v>
      </c>
      <c r="DI445" s="9">
        <v>12</v>
      </c>
      <c r="DJ445" s="9">
        <v>5</v>
      </c>
      <c r="DK445" s="9">
        <v>5</v>
      </c>
      <c r="DL445" s="9">
        <v>5</v>
      </c>
      <c r="DM445" s="9">
        <v>5</v>
      </c>
      <c r="DN445" s="9">
        <v>5</v>
      </c>
      <c r="DO445" s="9">
        <v>5</v>
      </c>
      <c r="DP445" s="3" t="s">
        <v>199</v>
      </c>
      <c r="DQ445" s="3" t="s">
        <v>113</v>
      </c>
      <c r="DR445" s="3" t="s">
        <v>199</v>
      </c>
      <c r="DS445" s="25" t="s">
        <v>209</v>
      </c>
      <c r="DT445" s="25" t="s">
        <v>117</v>
      </c>
      <c r="DU445" s="25" t="s">
        <v>119</v>
      </c>
      <c r="DV445" s="25">
        <f t="shared" si="258"/>
        <v>1</v>
      </c>
      <c r="DW445" s="25">
        <f t="shared" si="259"/>
        <v>1</v>
      </c>
      <c r="DX445" s="25">
        <f t="shared" si="260"/>
        <v>1</v>
      </c>
      <c r="DY445" s="25">
        <f t="shared" si="261"/>
        <v>2</v>
      </c>
      <c r="DZ445" s="25">
        <f t="shared" si="262"/>
        <v>2</v>
      </c>
      <c r="EA445" s="3">
        <f t="shared" si="263"/>
        <v>2</v>
      </c>
      <c r="EB445" s="47"/>
    </row>
    <row r="446" spans="1:132" ht="13.5" customHeight="1">
      <c r="A446" s="9">
        <v>443</v>
      </c>
      <c r="B446" s="9">
        <v>1</v>
      </c>
      <c r="C446" s="9">
        <v>2001</v>
      </c>
      <c r="D446" s="9">
        <f t="shared" si="278"/>
        <v>12375086</v>
      </c>
      <c r="E446" s="9" t="str">
        <f t="shared" si="275"/>
        <v>5201121,5201122,5202121,5401121,5501125,5401122</v>
      </c>
      <c r="F446" s="9" t="str">
        <f t="shared" si="276"/>
        <v>12,12,12,12,12,12</v>
      </c>
      <c r="G446" s="9" t="str">
        <f t="shared" si="277"/>
        <v>885,957,957,957,957,957</v>
      </c>
      <c r="H446" s="9">
        <v>217</v>
      </c>
      <c r="I446" s="9" t="s">
        <v>278</v>
      </c>
      <c r="J446" s="9" t="s">
        <v>279</v>
      </c>
      <c r="K446" s="9" t="s">
        <v>279</v>
      </c>
      <c r="L446" s="9" t="s">
        <v>279</v>
      </c>
      <c r="M446" s="36" t="s">
        <v>309</v>
      </c>
      <c r="N446" s="40"/>
      <c r="O446" s="3">
        <f t="shared" si="279"/>
        <v>12375086</v>
      </c>
      <c r="P446" s="9">
        <v>9782676.8200000003</v>
      </c>
      <c r="Q446" s="9">
        <v>5201121</v>
      </c>
      <c r="R446" s="9">
        <v>5201122</v>
      </c>
      <c r="S446" s="9">
        <v>5202121</v>
      </c>
      <c r="T446" s="9">
        <v>5401121</v>
      </c>
      <c r="U446" s="9">
        <v>5501125</v>
      </c>
      <c r="V446" s="9">
        <v>5401122</v>
      </c>
      <c r="W446" s="9">
        <v>12</v>
      </c>
      <c r="X446" s="9">
        <v>12</v>
      </c>
      <c r="Y446" s="9">
        <v>12</v>
      </c>
      <c r="Z446" s="9">
        <v>12</v>
      </c>
      <c r="AA446" s="9">
        <v>12</v>
      </c>
      <c r="AB446" s="9">
        <v>12</v>
      </c>
      <c r="AC446" s="9">
        <f t="shared" si="264"/>
        <v>885</v>
      </c>
      <c r="AD446" s="9">
        <f t="shared" si="265"/>
        <v>957</v>
      </c>
      <c r="AE446" s="9">
        <f t="shared" si="266"/>
        <v>957</v>
      </c>
      <c r="AF446" s="9">
        <f t="shared" si="267"/>
        <v>957</v>
      </c>
      <c r="AG446" s="9">
        <f t="shared" si="268"/>
        <v>957</v>
      </c>
      <c r="AH446" s="9">
        <f t="shared" si="269"/>
        <v>957</v>
      </c>
      <c r="AI446" s="7">
        <f t="shared" si="283"/>
        <v>1630446.1366666667</v>
      </c>
      <c r="AJ446" s="7">
        <f t="shared" si="280"/>
        <v>1630446.1366666667</v>
      </c>
      <c r="AK446" s="7">
        <f t="shared" si="280"/>
        <v>1630446.1366666667</v>
      </c>
      <c r="AL446" s="7">
        <f t="shared" si="280"/>
        <v>1630446.1366666667</v>
      </c>
      <c r="AM446" s="7">
        <f t="shared" si="280"/>
        <v>1630446.1366666667</v>
      </c>
      <c r="AN446" s="7">
        <f t="shared" si="280"/>
        <v>1630446.1366666667</v>
      </c>
      <c r="AO446" s="16"/>
      <c r="AP446" s="7"/>
      <c r="AQ446" s="9">
        <v>7</v>
      </c>
      <c r="AR446" s="9">
        <f t="shared" si="270"/>
        <v>1246</v>
      </c>
      <c r="AS446" s="7">
        <f t="shared" si="281"/>
        <v>321</v>
      </c>
      <c r="AT446" s="7"/>
      <c r="AU446" s="16"/>
      <c r="AV446" s="7"/>
      <c r="AW446" s="7"/>
      <c r="AX446" s="7"/>
      <c r="AZ446" s="7"/>
      <c r="BA446" s="9">
        <f t="shared" si="282"/>
        <v>960447.2900000026</v>
      </c>
      <c r="BC446" s="5">
        <f t="shared" si="271"/>
        <v>827</v>
      </c>
      <c r="BR446" s="5">
        <v>2405022</v>
      </c>
      <c r="BS446" s="18">
        <f>[1]monsters!$N446</f>
        <v>97.07</v>
      </c>
      <c r="BT446" s="18">
        <f>[1]monsters!$O446</f>
        <v>9.7100000000000009</v>
      </c>
      <c r="BU446" s="18">
        <f>[1]monsters!$P446</f>
        <v>738.46</v>
      </c>
      <c r="BV446" s="18">
        <f>[1]monsters!$Q446</f>
        <v>73.849999999999994</v>
      </c>
      <c r="BW446" s="18">
        <f>[1]monsters!$R446</f>
        <v>9.7100000000000009</v>
      </c>
      <c r="BX446" s="18">
        <f>[1]monsters!$S446</f>
        <v>0.97</v>
      </c>
      <c r="BY446" s="18">
        <f>[1]monsters!$K446</f>
        <v>1.4</v>
      </c>
      <c r="BZ446" s="5">
        <f>[1]monsters!$D446</f>
        <v>4</v>
      </c>
      <c r="CA446" s="5">
        <f t="shared" si="272"/>
        <v>0.1</v>
      </c>
      <c r="CB446" s="5">
        <f t="shared" si="273"/>
        <v>116.59512306397306</v>
      </c>
      <c r="CC446" s="5">
        <f t="shared" si="274"/>
        <v>11.659512306397307</v>
      </c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>
        <v>0</v>
      </c>
      <c r="CR446" s="3" t="b">
        <f t="shared" si="246"/>
        <v>1</v>
      </c>
      <c r="CS446" s="3" t="b">
        <f t="shared" si="247"/>
        <v>1</v>
      </c>
      <c r="CT446" s="3" t="b">
        <f t="shared" si="248"/>
        <v>1</v>
      </c>
      <c r="CU446" s="3" t="b">
        <f t="shared" si="249"/>
        <v>1</v>
      </c>
      <c r="CV446" s="3" t="b">
        <f t="shared" si="250"/>
        <v>1</v>
      </c>
      <c r="CW446" s="3" t="b">
        <f t="shared" si="251"/>
        <v>1</v>
      </c>
      <c r="CX446" s="9" t="str">
        <f t="shared" si="252"/>
        <v>5201121</v>
      </c>
      <c r="CY446" s="9" t="str">
        <f t="shared" si="253"/>
        <v>5201122</v>
      </c>
      <c r="CZ446" s="9" t="str">
        <f t="shared" si="254"/>
        <v>5202121</v>
      </c>
      <c r="DA446" s="9" t="str">
        <f t="shared" si="255"/>
        <v>5401121</v>
      </c>
      <c r="DB446" s="9" t="str">
        <f t="shared" si="256"/>
        <v>5501125</v>
      </c>
      <c r="DC446" s="9" t="str">
        <f t="shared" si="257"/>
        <v>5401122</v>
      </c>
      <c r="DD446" s="9">
        <v>12</v>
      </c>
      <c r="DE446" s="9">
        <v>12</v>
      </c>
      <c r="DF446" s="9">
        <v>12</v>
      </c>
      <c r="DG446" s="9">
        <v>12</v>
      </c>
      <c r="DH446" s="9">
        <v>12</v>
      </c>
      <c r="DI446" s="9">
        <v>12</v>
      </c>
      <c r="DJ446" s="9">
        <v>5</v>
      </c>
      <c r="DK446" s="9">
        <v>5</v>
      </c>
      <c r="DL446" s="9">
        <v>5</v>
      </c>
      <c r="DM446" s="9">
        <v>5</v>
      </c>
      <c r="DN446" s="9">
        <v>5</v>
      </c>
      <c r="DO446" s="9">
        <v>5</v>
      </c>
      <c r="DP446" s="3" t="s">
        <v>195</v>
      </c>
      <c r="DQ446" s="3" t="s">
        <v>114</v>
      </c>
      <c r="DR446" s="3" t="s">
        <v>111</v>
      </c>
      <c r="DS446" s="3" t="s">
        <v>117</v>
      </c>
      <c r="DT446" s="3" t="s">
        <v>209</v>
      </c>
      <c r="DU446" s="3" t="s">
        <v>202</v>
      </c>
      <c r="DV446" s="3">
        <f t="shared" si="258"/>
        <v>1</v>
      </c>
      <c r="DW446" s="3">
        <f t="shared" si="259"/>
        <v>1</v>
      </c>
      <c r="DX446" s="3">
        <f t="shared" si="260"/>
        <v>1</v>
      </c>
      <c r="DY446" s="3">
        <f t="shared" si="261"/>
        <v>2</v>
      </c>
      <c r="DZ446" s="3">
        <f t="shared" si="262"/>
        <v>2</v>
      </c>
      <c r="EA446" s="3">
        <f t="shared" si="263"/>
        <v>2</v>
      </c>
      <c r="EB446" s="48"/>
    </row>
    <row r="447" spans="1:132" ht="13.5" customHeight="1">
      <c r="A447" s="9">
        <v>444</v>
      </c>
      <c r="B447" s="9">
        <v>1</v>
      </c>
      <c r="C447" s="9">
        <v>2001</v>
      </c>
      <c r="D447" s="9">
        <f t="shared" si="278"/>
        <v>12416766</v>
      </c>
      <c r="E447" s="9" t="str">
        <f t="shared" si="275"/>
        <v>5302125,5202125,5202125,5501124,5500123,5501124</v>
      </c>
      <c r="F447" s="9" t="str">
        <f t="shared" si="276"/>
        <v>12,12,12,12,12,12</v>
      </c>
      <c r="G447" s="9" t="str">
        <f t="shared" si="277"/>
        <v>887,959,959,959,959,959</v>
      </c>
      <c r="H447" s="9">
        <v>217</v>
      </c>
      <c r="I447" s="9" t="s">
        <v>278</v>
      </c>
      <c r="J447" s="9" t="s">
        <v>279</v>
      </c>
      <c r="K447" s="9" t="s">
        <v>279</v>
      </c>
      <c r="L447" s="9" t="s">
        <v>279</v>
      </c>
      <c r="M447" s="36" t="s">
        <v>309</v>
      </c>
      <c r="N447" s="40"/>
      <c r="O447" s="3">
        <f t="shared" si="279"/>
        <v>12416766</v>
      </c>
      <c r="P447" s="9">
        <v>9815625.25</v>
      </c>
      <c r="Q447" s="9">
        <v>5302125</v>
      </c>
      <c r="R447" s="9">
        <v>5202125</v>
      </c>
      <c r="S447" s="9">
        <v>5202125</v>
      </c>
      <c r="T447" s="9">
        <v>5501124</v>
      </c>
      <c r="U447" s="9">
        <v>5500123</v>
      </c>
      <c r="V447" s="9">
        <v>5501124</v>
      </c>
      <c r="W447" s="9">
        <v>12</v>
      </c>
      <c r="X447" s="9">
        <v>12</v>
      </c>
      <c r="Y447" s="9">
        <v>12</v>
      </c>
      <c r="Z447" s="9">
        <v>12</v>
      </c>
      <c r="AA447" s="9">
        <v>12</v>
      </c>
      <c r="AB447" s="9">
        <v>12</v>
      </c>
      <c r="AC447" s="9">
        <f t="shared" si="264"/>
        <v>887</v>
      </c>
      <c r="AD447" s="9">
        <f t="shared" si="265"/>
        <v>959</v>
      </c>
      <c r="AE447" s="9">
        <f t="shared" si="266"/>
        <v>959</v>
      </c>
      <c r="AF447" s="9">
        <f t="shared" si="267"/>
        <v>959</v>
      </c>
      <c r="AG447" s="9">
        <f t="shared" si="268"/>
        <v>959</v>
      </c>
      <c r="AH447" s="9">
        <f t="shared" si="269"/>
        <v>959</v>
      </c>
      <c r="AI447" s="7">
        <f t="shared" si="283"/>
        <v>1635937.5416666667</v>
      </c>
      <c r="AJ447" s="7">
        <f t="shared" si="280"/>
        <v>1635937.5416666667</v>
      </c>
      <c r="AK447" s="7">
        <f t="shared" si="280"/>
        <v>1635937.5416666667</v>
      </c>
      <c r="AL447" s="7">
        <f t="shared" si="280"/>
        <v>1635937.5416666667</v>
      </c>
      <c r="AM447" s="7">
        <f t="shared" si="280"/>
        <v>1635937.5416666667</v>
      </c>
      <c r="AN447" s="7">
        <f t="shared" si="280"/>
        <v>1635937.5416666667</v>
      </c>
      <c r="AO447" s="16"/>
      <c r="AP447" s="7"/>
      <c r="AQ447" s="9">
        <v>7</v>
      </c>
      <c r="AR447" s="9">
        <f t="shared" si="270"/>
        <v>1248</v>
      </c>
      <c r="AS447" s="7">
        <f t="shared" si="281"/>
        <v>322</v>
      </c>
      <c r="AT447" s="7"/>
      <c r="AU447" s="16"/>
      <c r="AV447" s="7"/>
      <c r="AW447" s="7"/>
      <c r="AX447" s="7"/>
      <c r="AZ447" s="7"/>
      <c r="BA447" s="9">
        <f t="shared" si="282"/>
        <v>965339.82000000263</v>
      </c>
      <c r="BC447" s="5">
        <f t="shared" si="271"/>
        <v>829</v>
      </c>
      <c r="BR447" s="5">
        <v>2203022</v>
      </c>
      <c r="BS447" s="18">
        <f>[1]monsters!$N447</f>
        <v>67.2</v>
      </c>
      <c r="BT447" s="18">
        <f>[1]monsters!$O447</f>
        <v>6.72</v>
      </c>
      <c r="BU447" s="18">
        <f>[1]monsters!$P447</f>
        <v>1066.67</v>
      </c>
      <c r="BV447" s="18">
        <f>[1]monsters!$Q447</f>
        <v>106.67</v>
      </c>
      <c r="BW447" s="18">
        <f>[1]monsters!$R447</f>
        <v>13.44</v>
      </c>
      <c r="BX447" s="18">
        <f>[1]monsters!$S447</f>
        <v>1.34</v>
      </c>
      <c r="BY447" s="18">
        <f>[1]monsters!$K447</f>
        <v>1.4</v>
      </c>
      <c r="BZ447" s="5">
        <f>[1]monsters!$D447</f>
        <v>2</v>
      </c>
      <c r="CA447" s="5">
        <f t="shared" si="272"/>
        <v>0.1</v>
      </c>
      <c r="CB447" s="5">
        <f t="shared" si="273"/>
        <v>99.418814814814823</v>
      </c>
      <c r="CC447" s="5">
        <f t="shared" si="274"/>
        <v>9.9418814814814827</v>
      </c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>
        <v>0</v>
      </c>
      <c r="CR447" s="3" t="b">
        <f t="shared" si="246"/>
        <v>1</v>
      </c>
      <c r="CS447" s="3" t="b">
        <f t="shared" si="247"/>
        <v>1</v>
      </c>
      <c r="CT447" s="3" t="b">
        <f t="shared" si="248"/>
        <v>1</v>
      </c>
      <c r="CU447" s="3" t="b">
        <f t="shared" si="249"/>
        <v>1</v>
      </c>
      <c r="CV447" s="3" t="b">
        <f t="shared" si="250"/>
        <v>1</v>
      </c>
      <c r="CW447" s="3" t="b">
        <f t="shared" si="251"/>
        <v>1</v>
      </c>
      <c r="CX447" s="9" t="str">
        <f t="shared" si="252"/>
        <v>5302125</v>
      </c>
      <c r="CY447" s="9" t="str">
        <f t="shared" si="253"/>
        <v>5202125</v>
      </c>
      <c r="CZ447" s="9" t="str">
        <f t="shared" si="254"/>
        <v>5202125</v>
      </c>
      <c r="DA447" s="9" t="str">
        <f t="shared" si="255"/>
        <v>5501124</v>
      </c>
      <c r="DB447" s="9" t="str">
        <f t="shared" si="256"/>
        <v>5500123</v>
      </c>
      <c r="DC447" s="9" t="str">
        <f t="shared" si="257"/>
        <v>5501124</v>
      </c>
      <c r="DD447" s="9">
        <v>12</v>
      </c>
      <c r="DE447" s="9">
        <v>12</v>
      </c>
      <c r="DF447" s="9">
        <v>12</v>
      </c>
      <c r="DG447" s="9">
        <v>12</v>
      </c>
      <c r="DH447" s="9">
        <v>12</v>
      </c>
      <c r="DI447" s="9">
        <v>12</v>
      </c>
      <c r="DJ447" s="9">
        <v>5</v>
      </c>
      <c r="DK447" s="9">
        <v>5</v>
      </c>
      <c r="DL447" s="9">
        <v>5</v>
      </c>
      <c r="DM447" s="9">
        <v>5</v>
      </c>
      <c r="DN447" s="9">
        <v>5</v>
      </c>
      <c r="DO447" s="9">
        <v>5</v>
      </c>
      <c r="DP447" s="3" t="s">
        <v>221</v>
      </c>
      <c r="DQ447" s="3" t="s">
        <v>213</v>
      </c>
      <c r="DR447" s="3" t="s">
        <v>213</v>
      </c>
      <c r="DS447" s="3" t="s">
        <v>214</v>
      </c>
      <c r="DT447" s="3" t="s">
        <v>207</v>
      </c>
      <c r="DU447" s="3" t="s">
        <v>214</v>
      </c>
      <c r="DV447" s="3">
        <f t="shared" si="258"/>
        <v>1</v>
      </c>
      <c r="DW447" s="3">
        <f t="shared" si="259"/>
        <v>1</v>
      </c>
      <c r="DX447" s="3">
        <f t="shared" si="260"/>
        <v>1</v>
      </c>
      <c r="DY447" s="3">
        <f t="shared" si="261"/>
        <v>2</v>
      </c>
      <c r="DZ447" s="3">
        <f t="shared" si="262"/>
        <v>2</v>
      </c>
      <c r="EA447" s="3">
        <f t="shared" si="263"/>
        <v>2</v>
      </c>
      <c r="EB447" s="47"/>
    </row>
    <row r="448" spans="1:132" ht="13.5" customHeight="1">
      <c r="A448" s="9">
        <v>445</v>
      </c>
      <c r="B448" s="9">
        <v>1</v>
      </c>
      <c r="C448" s="9">
        <v>2001</v>
      </c>
      <c r="D448" s="9">
        <f t="shared" si="278"/>
        <v>12458519</v>
      </c>
      <c r="E448" s="9" t="str">
        <f t="shared" si="275"/>
        <v>5201121,5201121,5200122,5502122,5501124,5501124</v>
      </c>
      <c r="F448" s="9" t="str">
        <f t="shared" si="276"/>
        <v>12,12,12,12,12,12</v>
      </c>
      <c r="G448" s="9" t="str">
        <f t="shared" si="277"/>
        <v>888,960,960,960,960,960</v>
      </c>
      <c r="H448" s="9">
        <v>218</v>
      </c>
      <c r="I448" s="9" t="s">
        <v>278</v>
      </c>
      <c r="J448" s="9" t="s">
        <v>279</v>
      </c>
      <c r="K448" s="9" t="s">
        <v>279</v>
      </c>
      <c r="L448" s="9" t="s">
        <v>279</v>
      </c>
      <c r="M448" s="36" t="s">
        <v>309</v>
      </c>
      <c r="O448" s="3">
        <f t="shared" si="279"/>
        <v>12458519</v>
      </c>
      <c r="P448" s="9">
        <v>9848631.3900000006</v>
      </c>
      <c r="Q448" s="9">
        <v>5201121</v>
      </c>
      <c r="R448" s="9">
        <v>5201121</v>
      </c>
      <c r="S448" s="9">
        <v>5200122</v>
      </c>
      <c r="T448" s="9">
        <v>5502122</v>
      </c>
      <c r="U448" s="9">
        <v>5501124</v>
      </c>
      <c r="V448" s="9">
        <v>5501124</v>
      </c>
      <c r="W448" s="9">
        <v>12</v>
      </c>
      <c r="X448" s="9">
        <v>12</v>
      </c>
      <c r="Y448" s="9">
        <v>12</v>
      </c>
      <c r="Z448" s="9">
        <v>12</v>
      </c>
      <c r="AA448" s="9">
        <v>12</v>
      </c>
      <c r="AB448" s="9">
        <v>12</v>
      </c>
      <c r="AC448" s="9">
        <f t="shared" si="264"/>
        <v>888</v>
      </c>
      <c r="AD448" s="9">
        <f t="shared" si="265"/>
        <v>960</v>
      </c>
      <c r="AE448" s="9">
        <f t="shared" si="266"/>
        <v>960</v>
      </c>
      <c r="AF448" s="9">
        <f t="shared" si="267"/>
        <v>960</v>
      </c>
      <c r="AG448" s="9">
        <f t="shared" si="268"/>
        <v>960</v>
      </c>
      <c r="AH448" s="9">
        <f t="shared" si="269"/>
        <v>960</v>
      </c>
      <c r="AI448" s="7">
        <f t="shared" si="283"/>
        <v>1641438.5650000002</v>
      </c>
      <c r="AJ448" s="7">
        <f t="shared" si="280"/>
        <v>1641438.5650000002</v>
      </c>
      <c r="AK448" s="7">
        <f t="shared" si="280"/>
        <v>1641438.5650000002</v>
      </c>
      <c r="AL448" s="7">
        <f t="shared" si="280"/>
        <v>1641438.5650000002</v>
      </c>
      <c r="AM448" s="7">
        <f t="shared" si="280"/>
        <v>1641438.5650000002</v>
      </c>
      <c r="AN448" s="7">
        <f t="shared" si="280"/>
        <v>1641438.5650000002</v>
      </c>
      <c r="AO448" s="16"/>
      <c r="AP448" s="7"/>
      <c r="AQ448" s="9">
        <v>7</v>
      </c>
      <c r="AR448" s="9">
        <f t="shared" si="270"/>
        <v>1251</v>
      </c>
      <c r="AS448" s="7">
        <f t="shared" si="281"/>
        <v>322</v>
      </c>
      <c r="AT448" s="7"/>
      <c r="AU448" s="16"/>
      <c r="AV448" s="7"/>
      <c r="AW448" s="7"/>
      <c r="AX448" s="7"/>
      <c r="AZ448" s="7"/>
      <c r="BA448" s="9">
        <f t="shared" si="282"/>
        <v>970232.35000000265</v>
      </c>
      <c r="BC448" s="5">
        <f t="shared" si="271"/>
        <v>830</v>
      </c>
      <c r="BR448" s="5">
        <v>2403022</v>
      </c>
      <c r="BS448" s="18">
        <f>[1]monsters!$N448</f>
        <v>110.93</v>
      </c>
      <c r="BT448" s="18">
        <f>[1]monsters!$O448</f>
        <v>11.09</v>
      </c>
      <c r="BU448" s="18">
        <f>[1]monsters!$P448</f>
        <v>738.46</v>
      </c>
      <c r="BV448" s="18">
        <f>[1]monsters!$Q448</f>
        <v>73.849999999999994</v>
      </c>
      <c r="BW448" s="18">
        <f>[1]monsters!$R448</f>
        <v>11.09</v>
      </c>
      <c r="BX448" s="18">
        <f>[1]monsters!$S448</f>
        <v>1.1100000000000001</v>
      </c>
      <c r="BY448" s="18">
        <f>[1]monsters!$K448</f>
        <v>1.6</v>
      </c>
      <c r="BZ448" s="5">
        <f>[1]monsters!$D448</f>
        <v>4</v>
      </c>
      <c r="CA448" s="5">
        <f t="shared" si="272"/>
        <v>0.1</v>
      </c>
      <c r="CB448" s="5">
        <f t="shared" si="273"/>
        <v>129.69282306397309</v>
      </c>
      <c r="CC448" s="5">
        <f t="shared" si="274"/>
        <v>12.969282306397311</v>
      </c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>
        <v>1</v>
      </c>
      <c r="CR448" s="3" t="b">
        <f t="shared" si="246"/>
        <v>1</v>
      </c>
      <c r="CS448" s="3" t="b">
        <f t="shared" si="247"/>
        <v>1</v>
      </c>
      <c r="CT448" s="3" t="b">
        <f t="shared" si="248"/>
        <v>1</v>
      </c>
      <c r="CU448" s="3" t="b">
        <f t="shared" si="249"/>
        <v>1</v>
      </c>
      <c r="CV448" s="3" t="b">
        <f t="shared" si="250"/>
        <v>1</v>
      </c>
      <c r="CW448" s="3" t="b">
        <f t="shared" si="251"/>
        <v>1</v>
      </c>
      <c r="CX448" s="9" t="str">
        <f t="shared" si="252"/>
        <v>5201121</v>
      </c>
      <c r="CY448" s="9" t="str">
        <f t="shared" si="253"/>
        <v>5201121</v>
      </c>
      <c r="CZ448" s="9" t="str">
        <f t="shared" si="254"/>
        <v>5200122</v>
      </c>
      <c r="DA448" s="9" t="str">
        <f t="shared" si="255"/>
        <v>5502122</v>
      </c>
      <c r="DB448" s="9" t="str">
        <f t="shared" si="256"/>
        <v>5501124</v>
      </c>
      <c r="DC448" s="9" t="str">
        <f t="shared" si="257"/>
        <v>5501124</v>
      </c>
      <c r="DD448" s="9">
        <v>12</v>
      </c>
      <c r="DE448" s="9">
        <v>12</v>
      </c>
      <c r="DF448" s="9">
        <v>12</v>
      </c>
      <c r="DG448" s="9">
        <v>12</v>
      </c>
      <c r="DH448" s="9">
        <v>12</v>
      </c>
      <c r="DI448" s="9">
        <v>12</v>
      </c>
      <c r="DJ448" s="9">
        <v>5</v>
      </c>
      <c r="DK448" s="9">
        <v>5</v>
      </c>
      <c r="DL448" s="9">
        <v>5</v>
      </c>
      <c r="DM448" s="9">
        <v>5</v>
      </c>
      <c r="DN448" s="9">
        <v>5</v>
      </c>
      <c r="DO448" s="9">
        <v>5</v>
      </c>
      <c r="DP448" s="3" t="s">
        <v>195</v>
      </c>
      <c r="DQ448" s="3" t="s">
        <v>195</v>
      </c>
      <c r="DR448" s="3" t="s">
        <v>199</v>
      </c>
      <c r="DS448" s="3" t="s">
        <v>204</v>
      </c>
      <c r="DT448" s="3" t="s">
        <v>214</v>
      </c>
      <c r="DU448" s="3" t="s">
        <v>214</v>
      </c>
      <c r="DV448" s="3">
        <f t="shared" si="258"/>
        <v>1</v>
      </c>
      <c r="DW448" s="3">
        <f t="shared" si="259"/>
        <v>1</v>
      </c>
      <c r="DX448" s="3">
        <f t="shared" si="260"/>
        <v>1</v>
      </c>
      <c r="DY448" s="3">
        <f t="shared" si="261"/>
        <v>2</v>
      </c>
      <c r="DZ448" s="3">
        <f t="shared" si="262"/>
        <v>2</v>
      </c>
      <c r="EA448" s="3">
        <f t="shared" si="263"/>
        <v>2</v>
      </c>
      <c r="EB448" s="47"/>
    </row>
    <row r="449" spans="1:132" ht="13.5" customHeight="1">
      <c r="A449" s="9">
        <v>446</v>
      </c>
      <c r="B449" s="9">
        <v>1</v>
      </c>
      <c r="C449" s="9">
        <v>2001</v>
      </c>
      <c r="D449" s="9">
        <f t="shared" si="278"/>
        <v>12500342</v>
      </c>
      <c r="E449" s="9" t="str">
        <f t="shared" si="275"/>
        <v>5202123,5202122,5202123,5400125,5500122,5500123</v>
      </c>
      <c r="F449" s="9" t="str">
        <f t="shared" si="276"/>
        <v>12,12,12,12,12,12</v>
      </c>
      <c r="G449" s="9" t="str">
        <f t="shared" si="277"/>
        <v>890,962,962,962,962,962</v>
      </c>
      <c r="H449" s="9">
        <v>218</v>
      </c>
      <c r="I449" s="9" t="s">
        <v>278</v>
      </c>
      <c r="J449" s="9" t="s">
        <v>279</v>
      </c>
      <c r="K449" s="9" t="s">
        <v>279</v>
      </c>
      <c r="L449" s="9" t="s">
        <v>279</v>
      </c>
      <c r="M449" s="36" t="s">
        <v>309</v>
      </c>
      <c r="N449" s="40"/>
      <c r="O449" s="3">
        <f t="shared" si="279"/>
        <v>12500342</v>
      </c>
      <c r="P449" s="9">
        <v>9881693.25</v>
      </c>
      <c r="Q449" s="9">
        <v>5202123</v>
      </c>
      <c r="R449" s="9">
        <v>5202122</v>
      </c>
      <c r="S449" s="9">
        <v>5202123</v>
      </c>
      <c r="T449" s="9">
        <v>5400125</v>
      </c>
      <c r="U449" s="9">
        <v>5500122</v>
      </c>
      <c r="V449" s="9">
        <v>5500123</v>
      </c>
      <c r="W449" s="9">
        <v>12</v>
      </c>
      <c r="X449" s="9">
        <v>12</v>
      </c>
      <c r="Y449" s="9">
        <v>12</v>
      </c>
      <c r="Z449" s="9">
        <v>12</v>
      </c>
      <c r="AA449" s="9">
        <v>12</v>
      </c>
      <c r="AB449" s="9">
        <v>12</v>
      </c>
      <c r="AC449" s="9">
        <f t="shared" si="264"/>
        <v>890</v>
      </c>
      <c r="AD449" s="9">
        <f t="shared" si="265"/>
        <v>962</v>
      </c>
      <c r="AE449" s="9">
        <f t="shared" si="266"/>
        <v>962</v>
      </c>
      <c r="AF449" s="9">
        <f t="shared" si="267"/>
        <v>962</v>
      </c>
      <c r="AG449" s="9">
        <f t="shared" si="268"/>
        <v>962</v>
      </c>
      <c r="AH449" s="9">
        <f t="shared" si="269"/>
        <v>962</v>
      </c>
      <c r="AI449" s="7">
        <f t="shared" si="283"/>
        <v>1646948.875</v>
      </c>
      <c r="AJ449" s="7">
        <f t="shared" si="280"/>
        <v>1646948.875</v>
      </c>
      <c r="AK449" s="7">
        <f t="shared" si="280"/>
        <v>1646948.875</v>
      </c>
      <c r="AL449" s="7">
        <f t="shared" si="280"/>
        <v>1646948.875</v>
      </c>
      <c r="AM449" s="7">
        <f t="shared" si="280"/>
        <v>1646948.875</v>
      </c>
      <c r="AN449" s="7">
        <f t="shared" si="280"/>
        <v>1646948.875</v>
      </c>
      <c r="AO449" s="16"/>
      <c r="AP449" s="7"/>
      <c r="AQ449" s="9">
        <v>7</v>
      </c>
      <c r="AR449" s="9">
        <f t="shared" si="270"/>
        <v>1253</v>
      </c>
      <c r="AS449" s="7">
        <f t="shared" si="281"/>
        <v>323</v>
      </c>
      <c r="AT449" s="7"/>
      <c r="AU449" s="16"/>
      <c r="AV449" s="7"/>
      <c r="AW449" s="7"/>
      <c r="AX449" s="7"/>
      <c r="AZ449" s="7"/>
      <c r="BA449" s="9">
        <f t="shared" si="282"/>
        <v>975124.88000000268</v>
      </c>
      <c r="BC449" s="5">
        <f t="shared" si="271"/>
        <v>832</v>
      </c>
      <c r="BR449" s="5">
        <v>2204022</v>
      </c>
      <c r="BS449" s="18">
        <f>[1]monsters!$N449</f>
        <v>102.4</v>
      </c>
      <c r="BT449" s="18">
        <f>[1]monsters!$O449</f>
        <v>10.24</v>
      </c>
      <c r="BU449" s="18">
        <f>[1]monsters!$P449</f>
        <v>800</v>
      </c>
      <c r="BV449" s="18">
        <f>[1]monsters!$Q449</f>
        <v>80</v>
      </c>
      <c r="BW449" s="18">
        <f>[1]monsters!$R449</f>
        <v>17.07</v>
      </c>
      <c r="BX449" s="18">
        <f>[1]monsters!$S449</f>
        <v>1.71</v>
      </c>
      <c r="BY449" s="18">
        <f>[1]monsters!$K449</f>
        <v>1.6</v>
      </c>
      <c r="BZ449" s="5">
        <f>[1]monsters!$D449</f>
        <v>5</v>
      </c>
      <c r="CA449" s="5">
        <f t="shared" si="272"/>
        <v>0.1</v>
      </c>
      <c r="CB449" s="5">
        <f t="shared" si="273"/>
        <v>123.70402693602695</v>
      </c>
      <c r="CC449" s="5">
        <f t="shared" si="274"/>
        <v>12.370402693602696</v>
      </c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>
        <v>0</v>
      </c>
      <c r="CR449" s="3" t="b">
        <f t="shared" si="246"/>
        <v>1</v>
      </c>
      <c r="CS449" s="3" t="b">
        <f t="shared" si="247"/>
        <v>1</v>
      </c>
      <c r="CT449" s="3" t="b">
        <f t="shared" si="248"/>
        <v>1</v>
      </c>
      <c r="CU449" s="3" t="b">
        <f t="shared" si="249"/>
        <v>1</v>
      </c>
      <c r="CV449" s="3" t="b">
        <f t="shared" si="250"/>
        <v>1</v>
      </c>
      <c r="CW449" s="3" t="b">
        <f t="shared" si="251"/>
        <v>1</v>
      </c>
      <c r="CX449" s="9" t="str">
        <f t="shared" si="252"/>
        <v>5202123</v>
      </c>
      <c r="CY449" s="9" t="str">
        <f t="shared" si="253"/>
        <v>5202122</v>
      </c>
      <c r="CZ449" s="9" t="str">
        <f t="shared" si="254"/>
        <v>5202123</v>
      </c>
      <c r="DA449" s="9" t="str">
        <f t="shared" si="255"/>
        <v>5400125</v>
      </c>
      <c r="DB449" s="9" t="str">
        <f t="shared" si="256"/>
        <v>5500122</v>
      </c>
      <c r="DC449" s="9" t="str">
        <f t="shared" si="257"/>
        <v>5500123</v>
      </c>
      <c r="DD449" s="9">
        <v>12</v>
      </c>
      <c r="DE449" s="9">
        <v>12</v>
      </c>
      <c r="DF449" s="9">
        <v>12</v>
      </c>
      <c r="DG449" s="9">
        <v>12</v>
      </c>
      <c r="DH449" s="9">
        <v>12</v>
      </c>
      <c r="DI449" s="9">
        <v>12</v>
      </c>
      <c r="DJ449" s="9">
        <v>5</v>
      </c>
      <c r="DK449" s="9">
        <v>5</v>
      </c>
      <c r="DL449" s="9">
        <v>5</v>
      </c>
      <c r="DM449" s="9">
        <v>5</v>
      </c>
      <c r="DN449" s="9">
        <v>5</v>
      </c>
      <c r="DO449" s="9">
        <v>5</v>
      </c>
      <c r="DP449" s="25" t="s">
        <v>208</v>
      </c>
      <c r="DQ449" s="25" t="s">
        <v>200</v>
      </c>
      <c r="DR449" s="25" t="s">
        <v>208</v>
      </c>
      <c r="DS449" s="25" t="s">
        <v>210</v>
      </c>
      <c r="DT449" s="25" t="s">
        <v>109</v>
      </c>
      <c r="DU449" s="25" t="s">
        <v>207</v>
      </c>
      <c r="DV449" s="25">
        <f t="shared" si="258"/>
        <v>1</v>
      </c>
      <c r="DW449" s="25">
        <f t="shared" si="259"/>
        <v>1</v>
      </c>
      <c r="DX449" s="25">
        <f t="shared" si="260"/>
        <v>1</v>
      </c>
      <c r="DY449" s="25">
        <f t="shared" si="261"/>
        <v>2</v>
      </c>
      <c r="DZ449" s="25">
        <f t="shared" si="262"/>
        <v>2</v>
      </c>
      <c r="EA449" s="3">
        <f t="shared" si="263"/>
        <v>2</v>
      </c>
      <c r="EB449" s="47"/>
    </row>
    <row r="450" spans="1:132" ht="13.5" customHeight="1">
      <c r="A450" s="9">
        <v>447</v>
      </c>
      <c r="B450" s="9">
        <v>1</v>
      </c>
      <c r="C450" s="9">
        <v>2001</v>
      </c>
      <c r="D450" s="9">
        <f t="shared" si="278"/>
        <v>12542233</v>
      </c>
      <c r="E450" s="9" t="str">
        <f t="shared" si="275"/>
        <v>5301121,5301122,5301123,5501124,5501125,5502123</v>
      </c>
      <c r="F450" s="9" t="str">
        <f t="shared" si="276"/>
        <v>12,12,12,12,12,12</v>
      </c>
      <c r="G450" s="9" t="str">
        <f t="shared" si="277"/>
        <v>891,964,964,964,964,964</v>
      </c>
      <c r="H450" s="9">
        <v>218</v>
      </c>
      <c r="I450" s="9" t="s">
        <v>278</v>
      </c>
      <c r="J450" s="9" t="s">
        <v>279</v>
      </c>
      <c r="K450" s="9" t="s">
        <v>279</v>
      </c>
      <c r="L450" s="9" t="s">
        <v>279</v>
      </c>
      <c r="M450" s="36" t="s">
        <v>309</v>
      </c>
      <c r="N450" s="40"/>
      <c r="O450" s="3">
        <f t="shared" si="279"/>
        <v>12542233</v>
      </c>
      <c r="P450" s="9">
        <v>9914808.8399999999</v>
      </c>
      <c r="Q450" s="9">
        <v>5301121</v>
      </c>
      <c r="R450" s="9">
        <v>5301122</v>
      </c>
      <c r="S450" s="9">
        <v>5301123</v>
      </c>
      <c r="T450" s="9">
        <v>5501124</v>
      </c>
      <c r="U450" s="9">
        <v>5501125</v>
      </c>
      <c r="V450" s="9">
        <v>5502123</v>
      </c>
      <c r="W450" s="9">
        <v>12</v>
      </c>
      <c r="X450" s="9">
        <v>12</v>
      </c>
      <c r="Y450" s="9">
        <v>12</v>
      </c>
      <c r="Z450" s="9">
        <v>12</v>
      </c>
      <c r="AA450" s="9">
        <v>12</v>
      </c>
      <c r="AB450" s="9">
        <v>12</v>
      </c>
      <c r="AC450" s="9">
        <f t="shared" si="264"/>
        <v>891</v>
      </c>
      <c r="AD450" s="9">
        <f t="shared" si="265"/>
        <v>964</v>
      </c>
      <c r="AE450" s="9">
        <f t="shared" si="266"/>
        <v>964</v>
      </c>
      <c r="AF450" s="9">
        <f t="shared" si="267"/>
        <v>964</v>
      </c>
      <c r="AG450" s="9">
        <f t="shared" si="268"/>
        <v>964</v>
      </c>
      <c r="AH450" s="9">
        <f t="shared" si="269"/>
        <v>964</v>
      </c>
      <c r="AI450" s="7">
        <f t="shared" si="283"/>
        <v>1652468.14</v>
      </c>
      <c r="AJ450" s="7">
        <f t="shared" si="280"/>
        <v>1652468.14</v>
      </c>
      <c r="AK450" s="7">
        <f t="shared" si="280"/>
        <v>1652468.14</v>
      </c>
      <c r="AL450" s="7">
        <f t="shared" si="280"/>
        <v>1652468.14</v>
      </c>
      <c r="AM450" s="7">
        <f t="shared" si="280"/>
        <v>1652468.14</v>
      </c>
      <c r="AN450" s="7">
        <f t="shared" si="280"/>
        <v>1652468.14</v>
      </c>
      <c r="AO450" s="16"/>
      <c r="AP450" s="7"/>
      <c r="AQ450" s="9">
        <v>7</v>
      </c>
      <c r="AR450" s="9">
        <f t="shared" si="270"/>
        <v>1255</v>
      </c>
      <c r="AS450" s="7">
        <f t="shared" si="281"/>
        <v>323</v>
      </c>
      <c r="AT450" s="7"/>
      <c r="AU450" s="16"/>
      <c r="AV450" s="7"/>
      <c r="AW450" s="7"/>
      <c r="AX450" s="7"/>
      <c r="AZ450" s="7"/>
      <c r="BA450" s="9">
        <f t="shared" si="282"/>
        <v>980017.41000000271</v>
      </c>
      <c r="BC450" s="5">
        <f t="shared" si="271"/>
        <v>833</v>
      </c>
      <c r="BR450" s="5">
        <v>2404022</v>
      </c>
      <c r="BS450" s="18">
        <f>[1]monsters!$N450</f>
        <v>85.87</v>
      </c>
      <c r="BT450" s="18">
        <f>[1]monsters!$O450</f>
        <v>8.59</v>
      </c>
      <c r="BU450" s="18">
        <f>[1]monsters!$P450</f>
        <v>834.78</v>
      </c>
      <c r="BV450" s="18">
        <f>[1]monsters!$Q450</f>
        <v>83.48</v>
      </c>
      <c r="BW450" s="18">
        <f>[1]monsters!$R450</f>
        <v>10.73</v>
      </c>
      <c r="BX450" s="18">
        <f>[1]monsters!$S450</f>
        <v>1.07</v>
      </c>
      <c r="BY450" s="18">
        <f>[1]monsters!$K450</f>
        <v>1.4</v>
      </c>
      <c r="BZ450" s="5">
        <f>[1]monsters!$D450</f>
        <v>3</v>
      </c>
      <c r="CA450" s="5">
        <f t="shared" si="272"/>
        <v>0.1</v>
      </c>
      <c r="CB450" s="5">
        <f t="shared" si="273"/>
        <v>109.25422070707071</v>
      </c>
      <c r="CC450" s="5">
        <f t="shared" si="274"/>
        <v>10.925422070707071</v>
      </c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>
        <v>0</v>
      </c>
      <c r="CR450" s="3" t="b">
        <f t="shared" si="246"/>
        <v>1</v>
      </c>
      <c r="CS450" s="3" t="b">
        <f t="shared" si="247"/>
        <v>1</v>
      </c>
      <c r="CT450" s="3" t="b">
        <f t="shared" si="248"/>
        <v>1</v>
      </c>
      <c r="CU450" s="3" t="b">
        <f t="shared" si="249"/>
        <v>1</v>
      </c>
      <c r="CV450" s="3" t="b">
        <f t="shared" si="250"/>
        <v>1</v>
      </c>
      <c r="CW450" s="3" t="b">
        <f t="shared" si="251"/>
        <v>1</v>
      </c>
      <c r="CX450" s="9" t="str">
        <f t="shared" si="252"/>
        <v>5301121</v>
      </c>
      <c r="CY450" s="9" t="str">
        <f t="shared" si="253"/>
        <v>5301122</v>
      </c>
      <c r="CZ450" s="9" t="str">
        <f t="shared" si="254"/>
        <v>5301123</v>
      </c>
      <c r="DA450" s="9" t="str">
        <f t="shared" si="255"/>
        <v>5501124</v>
      </c>
      <c r="DB450" s="9" t="str">
        <f t="shared" si="256"/>
        <v>5501125</v>
      </c>
      <c r="DC450" s="9" t="str">
        <f t="shared" si="257"/>
        <v>5502123</v>
      </c>
      <c r="DD450" s="9">
        <v>12</v>
      </c>
      <c r="DE450" s="9">
        <v>12</v>
      </c>
      <c r="DF450" s="9">
        <v>12</v>
      </c>
      <c r="DG450" s="9">
        <v>12</v>
      </c>
      <c r="DH450" s="9">
        <v>12</v>
      </c>
      <c r="DI450" s="9">
        <v>12</v>
      </c>
      <c r="DJ450" s="9">
        <v>5</v>
      </c>
      <c r="DK450" s="9">
        <v>5</v>
      </c>
      <c r="DL450" s="9">
        <v>5</v>
      </c>
      <c r="DM450" s="9">
        <v>5</v>
      </c>
      <c r="DN450" s="9">
        <v>5</v>
      </c>
      <c r="DO450" s="9">
        <v>5</v>
      </c>
      <c r="DP450" s="26" t="s">
        <v>107</v>
      </c>
      <c r="DQ450" s="26" t="s">
        <v>201</v>
      </c>
      <c r="DR450" s="26" t="s">
        <v>206</v>
      </c>
      <c r="DS450" s="26" t="s">
        <v>214</v>
      </c>
      <c r="DT450" s="26" t="s">
        <v>209</v>
      </c>
      <c r="DU450" s="26" t="s">
        <v>215</v>
      </c>
      <c r="DV450" s="26">
        <f t="shared" si="258"/>
        <v>1</v>
      </c>
      <c r="DW450" s="26">
        <f t="shared" si="259"/>
        <v>1</v>
      </c>
      <c r="DX450" s="26">
        <f t="shared" si="260"/>
        <v>1</v>
      </c>
      <c r="DY450" s="26">
        <f t="shared" si="261"/>
        <v>2</v>
      </c>
      <c r="DZ450" s="26">
        <f t="shared" si="262"/>
        <v>2</v>
      </c>
      <c r="EA450" s="3">
        <f t="shared" si="263"/>
        <v>2</v>
      </c>
      <c r="EB450" s="48"/>
    </row>
    <row r="451" spans="1:132" ht="13.5" customHeight="1">
      <c r="A451" s="9">
        <v>448</v>
      </c>
      <c r="B451" s="9">
        <v>1</v>
      </c>
      <c r="C451" s="9">
        <v>2001</v>
      </c>
      <c r="D451" s="9">
        <f t="shared" si="278"/>
        <v>12584195</v>
      </c>
      <c r="E451" s="9" t="str">
        <f t="shared" si="275"/>
        <v>5200122,5200123,5202122,5402122,5500123,5501124</v>
      </c>
      <c r="F451" s="9" t="str">
        <f t="shared" si="276"/>
        <v>12,12,12,12,12,12</v>
      </c>
      <c r="G451" s="9" t="str">
        <f t="shared" si="277"/>
        <v>893,965,965,965,965,965</v>
      </c>
      <c r="H451" s="9">
        <v>219</v>
      </c>
      <c r="I451" s="9" t="s">
        <v>278</v>
      </c>
      <c r="J451" s="9" t="s">
        <v>279</v>
      </c>
      <c r="K451" s="9" t="s">
        <v>279</v>
      </c>
      <c r="L451" s="9" t="s">
        <v>279</v>
      </c>
      <c r="M451" s="36" t="s">
        <v>309</v>
      </c>
      <c r="N451" s="40"/>
      <c r="O451" s="3">
        <f t="shared" si="279"/>
        <v>12584195</v>
      </c>
      <c r="P451" s="9">
        <v>9947980.1500000004</v>
      </c>
      <c r="Q451" s="9">
        <v>5200122</v>
      </c>
      <c r="R451" s="9">
        <v>5200123</v>
      </c>
      <c r="S451" s="9">
        <v>5202122</v>
      </c>
      <c r="T451" s="9">
        <v>5402122</v>
      </c>
      <c r="U451" s="9">
        <v>5500123</v>
      </c>
      <c r="V451" s="9">
        <v>5501124</v>
      </c>
      <c r="W451" s="9">
        <v>12</v>
      </c>
      <c r="X451" s="9">
        <v>12</v>
      </c>
      <c r="Y451" s="9">
        <v>12</v>
      </c>
      <c r="Z451" s="9">
        <v>12</v>
      </c>
      <c r="AA451" s="9">
        <v>12</v>
      </c>
      <c r="AB451" s="9">
        <v>12</v>
      </c>
      <c r="AC451" s="9">
        <f t="shared" si="264"/>
        <v>893</v>
      </c>
      <c r="AD451" s="9">
        <f t="shared" si="265"/>
        <v>965</v>
      </c>
      <c r="AE451" s="9">
        <f t="shared" si="266"/>
        <v>965</v>
      </c>
      <c r="AF451" s="9">
        <f t="shared" si="267"/>
        <v>965</v>
      </c>
      <c r="AG451" s="9">
        <f t="shared" si="268"/>
        <v>965</v>
      </c>
      <c r="AH451" s="9">
        <f t="shared" si="269"/>
        <v>965</v>
      </c>
      <c r="AI451" s="7">
        <f t="shared" si="283"/>
        <v>1657996.6916666667</v>
      </c>
      <c r="AJ451" s="7">
        <f t="shared" si="280"/>
        <v>1657996.6916666667</v>
      </c>
      <c r="AK451" s="7">
        <f t="shared" si="280"/>
        <v>1657996.6916666667</v>
      </c>
      <c r="AL451" s="7">
        <f t="shared" si="280"/>
        <v>1657996.6916666667</v>
      </c>
      <c r="AM451" s="7">
        <f t="shared" si="280"/>
        <v>1657996.6916666667</v>
      </c>
      <c r="AN451" s="7">
        <f t="shared" si="280"/>
        <v>1657996.6916666667</v>
      </c>
      <c r="AO451" s="16"/>
      <c r="AP451" s="7"/>
      <c r="AQ451" s="9">
        <v>7</v>
      </c>
      <c r="AR451" s="9">
        <f t="shared" si="270"/>
        <v>1257</v>
      </c>
      <c r="AS451" s="7">
        <f t="shared" si="281"/>
        <v>324</v>
      </c>
      <c r="AT451" s="7"/>
      <c r="AU451" s="16"/>
      <c r="AV451" s="7"/>
      <c r="AW451" s="7"/>
      <c r="AX451" s="7"/>
      <c r="AZ451" s="7"/>
      <c r="BA451" s="9">
        <f t="shared" si="282"/>
        <v>984909.94000000274</v>
      </c>
      <c r="BC451" s="5">
        <f t="shared" si="271"/>
        <v>834</v>
      </c>
      <c r="BR451" s="5">
        <v>2303022</v>
      </c>
      <c r="BS451" s="18">
        <f>[1]monsters!$N451</f>
        <v>62.4</v>
      </c>
      <c r="BT451" s="18">
        <f>[1]monsters!$O451</f>
        <v>6.24</v>
      </c>
      <c r="BU451" s="18">
        <f>[1]monsters!$P451</f>
        <v>1066.67</v>
      </c>
      <c r="BV451" s="18">
        <f>[1]monsters!$Q451</f>
        <v>106.67</v>
      </c>
      <c r="BW451" s="18">
        <f>[1]monsters!$R451</f>
        <v>12.48</v>
      </c>
      <c r="BX451" s="18">
        <f>[1]monsters!$S451</f>
        <v>1.25</v>
      </c>
      <c r="BY451" s="18">
        <f>[1]monsters!$K451</f>
        <v>1.3</v>
      </c>
      <c r="BZ451" s="5">
        <f>[1]monsters!$D451</f>
        <v>2</v>
      </c>
      <c r="CA451" s="5">
        <f t="shared" si="272"/>
        <v>0.1</v>
      </c>
      <c r="CB451" s="5">
        <f t="shared" si="273"/>
        <v>94.882814814814822</v>
      </c>
      <c r="CC451" s="5">
        <f t="shared" si="274"/>
        <v>9.4882814814814829</v>
      </c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>
        <v>0</v>
      </c>
      <c r="CR451" s="3" t="b">
        <f t="shared" si="246"/>
        <v>1</v>
      </c>
      <c r="CS451" s="3" t="b">
        <f t="shared" si="247"/>
        <v>1</v>
      </c>
      <c r="CT451" s="3" t="b">
        <f t="shared" si="248"/>
        <v>1</v>
      </c>
      <c r="CU451" s="3" t="b">
        <f t="shared" si="249"/>
        <v>1</v>
      </c>
      <c r="CV451" s="3" t="b">
        <f t="shared" si="250"/>
        <v>1</v>
      </c>
      <c r="CW451" s="3" t="b">
        <f t="shared" si="251"/>
        <v>1</v>
      </c>
      <c r="CX451" s="9" t="str">
        <f t="shared" si="252"/>
        <v>5200122</v>
      </c>
      <c r="CY451" s="9" t="str">
        <f t="shared" si="253"/>
        <v>5200123</v>
      </c>
      <c r="CZ451" s="9" t="str">
        <f t="shared" si="254"/>
        <v>5202122</v>
      </c>
      <c r="DA451" s="9" t="str">
        <f t="shared" si="255"/>
        <v>5402122</v>
      </c>
      <c r="DB451" s="9" t="str">
        <f t="shared" si="256"/>
        <v>5500123</v>
      </c>
      <c r="DC451" s="9" t="str">
        <f t="shared" si="257"/>
        <v>5501124</v>
      </c>
      <c r="DD451" s="9">
        <v>12</v>
      </c>
      <c r="DE451" s="9">
        <v>12</v>
      </c>
      <c r="DF451" s="9">
        <v>12</v>
      </c>
      <c r="DG451" s="9">
        <v>12</v>
      </c>
      <c r="DH451" s="9">
        <v>12</v>
      </c>
      <c r="DI451" s="9">
        <v>12</v>
      </c>
      <c r="DJ451" s="9">
        <v>5</v>
      </c>
      <c r="DK451" s="9">
        <v>5</v>
      </c>
      <c r="DL451" s="9">
        <v>5</v>
      </c>
      <c r="DM451" s="9">
        <v>5</v>
      </c>
      <c r="DN451" s="9">
        <v>5</v>
      </c>
      <c r="DO451" s="9">
        <v>5</v>
      </c>
      <c r="DP451" s="25" t="s">
        <v>199</v>
      </c>
      <c r="DQ451" s="25" t="s">
        <v>113</v>
      </c>
      <c r="DR451" s="26" t="s">
        <v>200</v>
      </c>
      <c r="DS451" s="26" t="s">
        <v>203</v>
      </c>
      <c r="DT451" s="26" t="s">
        <v>207</v>
      </c>
      <c r="DU451" s="26" t="s">
        <v>214</v>
      </c>
      <c r="DV451" s="26">
        <f t="shared" si="258"/>
        <v>1</v>
      </c>
      <c r="DW451" s="26">
        <f t="shared" si="259"/>
        <v>1</v>
      </c>
      <c r="DX451" s="26">
        <f t="shared" si="260"/>
        <v>1</v>
      </c>
      <c r="DY451" s="26">
        <f t="shared" si="261"/>
        <v>2</v>
      </c>
      <c r="DZ451" s="26">
        <f t="shared" si="262"/>
        <v>2</v>
      </c>
      <c r="EA451" s="3">
        <f t="shared" si="263"/>
        <v>2</v>
      </c>
      <c r="EB451" s="47"/>
    </row>
    <row r="452" spans="1:132" ht="13.5" customHeight="1">
      <c r="A452" s="9">
        <v>449</v>
      </c>
      <c r="B452" s="9">
        <v>1</v>
      </c>
      <c r="C452" s="9">
        <v>2001</v>
      </c>
      <c r="D452" s="9">
        <f t="shared" si="278"/>
        <v>12626230</v>
      </c>
      <c r="E452" s="9" t="str">
        <f t="shared" si="275"/>
        <v>5300125,5202125,5202125,5400125,5501125,5400125</v>
      </c>
      <c r="F452" s="9" t="str">
        <f t="shared" si="276"/>
        <v>12,12,12,12,12,12</v>
      </c>
      <c r="G452" s="9" t="str">
        <f t="shared" si="277"/>
        <v>894,967,967,967,967,967</v>
      </c>
      <c r="H452" s="9">
        <v>219</v>
      </c>
      <c r="I452" s="9" t="s">
        <v>278</v>
      </c>
      <c r="J452" s="9" t="s">
        <v>279</v>
      </c>
      <c r="K452" s="9" t="s">
        <v>279</v>
      </c>
      <c r="L452" s="9" t="s">
        <v>279</v>
      </c>
      <c r="M452" s="36" t="s">
        <v>309</v>
      </c>
      <c r="N452" s="40"/>
      <c r="O452" s="3">
        <f t="shared" si="279"/>
        <v>12626230</v>
      </c>
      <c r="P452" s="9">
        <v>9981209.1699999999</v>
      </c>
      <c r="Q452" s="9">
        <v>5300125</v>
      </c>
      <c r="R452" s="9">
        <v>5202125</v>
      </c>
      <c r="S452" s="9">
        <v>5202125</v>
      </c>
      <c r="T452" s="9">
        <v>5400125</v>
      </c>
      <c r="U452" s="9">
        <v>5501125</v>
      </c>
      <c r="V452" s="9">
        <v>5400125</v>
      </c>
      <c r="W452" s="9">
        <v>12</v>
      </c>
      <c r="X452" s="9">
        <v>12</v>
      </c>
      <c r="Y452" s="9">
        <v>12</v>
      </c>
      <c r="Z452" s="9">
        <v>12</v>
      </c>
      <c r="AA452" s="9">
        <v>12</v>
      </c>
      <c r="AB452" s="9">
        <v>12</v>
      </c>
      <c r="AC452" s="9">
        <f t="shared" si="264"/>
        <v>894</v>
      </c>
      <c r="AD452" s="9">
        <f t="shared" si="265"/>
        <v>967</v>
      </c>
      <c r="AE452" s="9">
        <f t="shared" si="266"/>
        <v>967</v>
      </c>
      <c r="AF452" s="9">
        <f t="shared" si="267"/>
        <v>967</v>
      </c>
      <c r="AG452" s="9">
        <f t="shared" si="268"/>
        <v>967</v>
      </c>
      <c r="AH452" s="9">
        <f t="shared" si="269"/>
        <v>967</v>
      </c>
      <c r="AI452" s="7">
        <f t="shared" si="283"/>
        <v>1663534.8616666666</v>
      </c>
      <c r="AJ452" s="7">
        <f t="shared" si="280"/>
        <v>1663534.8616666666</v>
      </c>
      <c r="AK452" s="7">
        <f t="shared" si="280"/>
        <v>1663534.8616666666</v>
      </c>
      <c r="AL452" s="7">
        <f t="shared" si="280"/>
        <v>1663534.8616666666</v>
      </c>
      <c r="AM452" s="7">
        <f t="shared" si="280"/>
        <v>1663534.8616666666</v>
      </c>
      <c r="AN452" s="7">
        <f t="shared" si="280"/>
        <v>1663534.8616666666</v>
      </c>
      <c r="AO452" s="16"/>
      <c r="AP452" s="7"/>
      <c r="AQ452" s="9">
        <v>7</v>
      </c>
      <c r="AR452" s="9">
        <f t="shared" si="270"/>
        <v>1259</v>
      </c>
      <c r="AS452" s="7">
        <f t="shared" si="281"/>
        <v>324</v>
      </c>
      <c r="AT452" s="7"/>
      <c r="AU452" s="16"/>
      <c r="AV452" s="7"/>
      <c r="AW452" s="7"/>
      <c r="AX452" s="7"/>
      <c r="AZ452" s="7"/>
      <c r="BA452" s="9">
        <f t="shared" si="282"/>
        <v>989802.47000000277</v>
      </c>
      <c r="BC452" s="5">
        <f t="shared" si="271"/>
        <v>836</v>
      </c>
      <c r="BR452" s="5">
        <v>2304022</v>
      </c>
      <c r="BS452" s="18">
        <f>[1]monsters!$N452</f>
        <v>83.2</v>
      </c>
      <c r="BT452" s="18">
        <f>[1]monsters!$O452</f>
        <v>8.32</v>
      </c>
      <c r="BU452" s="18">
        <f>[1]monsters!$P452</f>
        <v>800</v>
      </c>
      <c r="BV452" s="18">
        <f>[1]monsters!$Q452</f>
        <v>80</v>
      </c>
      <c r="BW452" s="18">
        <f>[1]monsters!$R452</f>
        <v>8.32</v>
      </c>
      <c r="BX452" s="18">
        <f>[1]monsters!$S452</f>
        <v>0.83</v>
      </c>
      <c r="BY452" s="18">
        <f>[1]monsters!$K452</f>
        <v>1.3</v>
      </c>
      <c r="BZ452" s="5">
        <f>[1]monsters!$D452</f>
        <v>4</v>
      </c>
      <c r="CA452" s="5">
        <f t="shared" si="272"/>
        <v>0.1</v>
      </c>
      <c r="CB452" s="5">
        <f t="shared" si="273"/>
        <v>105.56002693602694</v>
      </c>
      <c r="CC452" s="5">
        <f t="shared" si="274"/>
        <v>10.556002693602695</v>
      </c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>
        <v>0</v>
      </c>
      <c r="CR452" s="3" t="b">
        <f t="shared" ref="CR452:CR515" si="284">IF(ISERROR(MATCH(INT(CX452),$EC$4:$EC$426,0))=FALSE,TRUE)</f>
        <v>1</v>
      </c>
      <c r="CS452" s="3" t="b">
        <f t="shared" ref="CS452:CS515" si="285">IF(ISERROR(MATCH(INT(CY452),$EC$4:$EC$426,0))=FALSE,TRUE)</f>
        <v>1</v>
      </c>
      <c r="CT452" s="3" t="b">
        <f t="shared" ref="CT452:CT515" si="286">IF(ISERROR(MATCH(INT(CZ452),$EC$4:$EC$426,0))=FALSE,TRUE)</f>
        <v>1</v>
      </c>
      <c r="CU452" s="3" t="b">
        <f t="shared" ref="CU452:CU515" si="287">IF(ISERROR(MATCH(INT(DA452),$EC$4:$EC$426,0))=FALSE,TRUE)</f>
        <v>1</v>
      </c>
      <c r="CV452" s="3" t="b">
        <f t="shared" ref="CV452:CV515" si="288">IF(ISERROR(MATCH(INT(DB452),$EC$4:$EC$426,0))=FALSE,TRUE)</f>
        <v>1</v>
      </c>
      <c r="CW452" s="3" t="b">
        <f t="shared" ref="CW452:CW515" si="289">IF(ISERROR(MATCH(INT(DC452),$EC$4:$EC$426,0))=FALSE,TRUE)</f>
        <v>1</v>
      </c>
      <c r="CX452" s="9" t="str">
        <f t="shared" ref="CX452:CX515" si="290">REPLACE(REPLACE(INDEX($EC$4:$EC$426,MATCH(DP452,$ED$4:$ED$426,0)),IF(DD452&gt;9,5,6),IF(DD452&gt;9,2,1),DD452),1,1,DJ452)</f>
        <v>5300125</v>
      </c>
      <c r="CY452" s="9" t="str">
        <f t="shared" ref="CY452:CY515" si="291">REPLACE(REPLACE(INDEX($EC$4:$EC$426,MATCH(DQ452,$ED$4:$ED$426,0)),IF(DE452&gt;9,5,6),IF(DE452&gt;9,2,1),DE452),1,1,DK452)</f>
        <v>5202125</v>
      </c>
      <c r="CZ452" s="9" t="str">
        <f t="shared" ref="CZ452:CZ515" si="292">REPLACE(REPLACE(INDEX($EC$4:$EC$426,MATCH(DR452,$ED$4:$ED$426,0)),IF(DF452&gt;9,5,6),IF(DF452&gt;9,2,1),DF452),1,1,DL452)</f>
        <v>5202125</v>
      </c>
      <c r="DA452" s="9" t="str">
        <f t="shared" ref="DA452:DA515" si="293">REPLACE(REPLACE(INDEX($EC$4:$EC$426,MATCH(DS452,$ED$4:$ED$426,0)),IF(DG452&gt;9,5,6),IF(DG452&gt;9,2,1),DG452),1,1,DM452)</f>
        <v>5400125</v>
      </c>
      <c r="DB452" s="9" t="str">
        <f t="shared" ref="DB452:DB515" si="294">REPLACE(REPLACE(INDEX($EC$4:$EC$426,MATCH(DT452,$ED$4:$ED$426,0)),IF(DH452&gt;9,5,6),IF(DH452&gt;9,2,1),DH452),1,1,DN452)</f>
        <v>5501125</v>
      </c>
      <c r="DC452" s="9" t="str">
        <f t="shared" ref="DC452:DC515" si="295">REPLACE(REPLACE(INDEX($EC$4:$EC$426,MATCH(DU452,$ED$4:$ED$426,0)),IF(DI452&gt;9,5,6),IF(DI452&gt;9,2,1),DI452),1,1,DO452)</f>
        <v>5400125</v>
      </c>
      <c r="DD452" s="9">
        <v>12</v>
      </c>
      <c r="DE452" s="9">
        <v>12</v>
      </c>
      <c r="DF452" s="9">
        <v>12</v>
      </c>
      <c r="DG452" s="9">
        <v>12</v>
      </c>
      <c r="DH452" s="9">
        <v>12</v>
      </c>
      <c r="DI452" s="9">
        <v>12</v>
      </c>
      <c r="DJ452" s="9">
        <v>5</v>
      </c>
      <c r="DK452" s="9">
        <v>5</v>
      </c>
      <c r="DL452" s="9">
        <v>5</v>
      </c>
      <c r="DM452" s="9">
        <v>5</v>
      </c>
      <c r="DN452" s="9">
        <v>5</v>
      </c>
      <c r="DO452" s="9">
        <v>5</v>
      </c>
      <c r="DP452" s="25" t="s">
        <v>212</v>
      </c>
      <c r="DQ452" s="25" t="s">
        <v>213</v>
      </c>
      <c r="DR452" s="25" t="s">
        <v>213</v>
      </c>
      <c r="DS452" s="26" t="s">
        <v>210</v>
      </c>
      <c r="DT452" s="26" t="s">
        <v>209</v>
      </c>
      <c r="DU452" s="26" t="s">
        <v>210</v>
      </c>
      <c r="DV452" s="26">
        <f t="shared" ref="DV452:DV515" si="296">INDEX($EE$4:$EE$426,MATCH(DP452,$ED$4:$ED$426,0))</f>
        <v>1</v>
      </c>
      <c r="DW452" s="26">
        <f t="shared" ref="DW452:DW515" si="297">INDEX($EE$4:$EE$426,MATCH(DQ452,$ED$4:$ED$426,0))</f>
        <v>1</v>
      </c>
      <c r="DX452" s="26">
        <f t="shared" ref="DX452:DX515" si="298">INDEX($EE$4:$EE$426,MATCH(DR452,$ED$4:$ED$426,0))</f>
        <v>1</v>
      </c>
      <c r="DY452" s="26">
        <f t="shared" ref="DY452:DY515" si="299">INDEX($EE$4:$EE$426,MATCH(DS452,$ED$4:$ED$426,0))</f>
        <v>2</v>
      </c>
      <c r="DZ452" s="26">
        <f t="shared" ref="DZ452:DZ515" si="300">INDEX($EE$4:$EE$426,MATCH(DT452,$ED$4:$ED$426,0))</f>
        <v>2</v>
      </c>
      <c r="EA452" s="3">
        <f t="shared" ref="EA452:EA515" si="301">INDEX($EE$4:$EE$426,MATCH(DU452,$ED$4:$ED$426,0))</f>
        <v>2</v>
      </c>
      <c r="EB452" s="47"/>
    </row>
    <row r="453" spans="1:132" ht="13.5" customHeight="1">
      <c r="A453" s="9">
        <v>450</v>
      </c>
      <c r="B453" s="9">
        <v>1</v>
      </c>
      <c r="C453" s="9">
        <v>2001</v>
      </c>
      <c r="D453" s="9">
        <f t="shared" si="278"/>
        <v>12668330</v>
      </c>
      <c r="E453" s="9" t="str">
        <f t="shared" si="275"/>
        <v>5201121,5200122,5201121,5502122,5500121,5601122</v>
      </c>
      <c r="F453" s="9" t="str">
        <f t="shared" si="276"/>
        <v>12,12,12,12,12,12</v>
      </c>
      <c r="G453" s="9" t="str">
        <f t="shared" si="277"/>
        <v>896,968,968,968,968,968</v>
      </c>
      <c r="H453" s="9">
        <v>220</v>
      </c>
      <c r="I453" s="9" t="s">
        <v>278</v>
      </c>
      <c r="J453" s="9" t="s">
        <v>279</v>
      </c>
      <c r="K453" s="9" t="s">
        <v>279</v>
      </c>
      <c r="L453" s="9" t="s">
        <v>279</v>
      </c>
      <c r="M453" s="36" t="s">
        <v>309</v>
      </c>
      <c r="O453" s="3">
        <f t="shared" si="279"/>
        <v>12668330</v>
      </c>
      <c r="P453" s="9">
        <v>10014489.93</v>
      </c>
      <c r="Q453" s="9">
        <v>5201121</v>
      </c>
      <c r="R453" s="9">
        <v>5200122</v>
      </c>
      <c r="S453" s="9">
        <v>5201121</v>
      </c>
      <c r="T453" s="9">
        <v>5502122</v>
      </c>
      <c r="U453" s="9">
        <v>5500121</v>
      </c>
      <c r="V453" s="9">
        <v>5601122</v>
      </c>
      <c r="W453" s="9">
        <v>12</v>
      </c>
      <c r="X453" s="9">
        <v>12</v>
      </c>
      <c r="Y453" s="9">
        <v>12</v>
      </c>
      <c r="Z453" s="9">
        <v>12</v>
      </c>
      <c r="AA453" s="9">
        <v>12</v>
      </c>
      <c r="AB453" s="9">
        <v>12</v>
      </c>
      <c r="AC453" s="9">
        <f t="shared" ref="AC453:AC516" si="302">IF(AI453&gt;0,FLOOR((POWER((AI453/IF(AND(W453&gt;=2,W453&lt;4),1.1,IF(AND(W453&gt;=4,W453&lt;6),1.2,IF(W453&gt;=6,1.4,1)))/$Z$1),0.5)/INDEX($BD$4:$BQ$4,MATCH(W453,$BD$3:$BQ$3,0))-1)*10,1),"")</f>
        <v>896</v>
      </c>
      <c r="AD453" s="9">
        <f t="shared" ref="AD453:AD516" si="303">IF(AJ453&gt;0,FLOOR((POWER((AJ453/IF(AND(X453&gt;=2,X453&lt;4),1.1,IF(AND(X453&gt;=4,X453&lt;6),1.15,IF(X453&gt;=6,1.2,1)))/$Z$1),0.5)/INDEX($BD$4:$BQ$4,MATCH(X453,$BD$3:$BQ$3,0))-1)*10,1),"")</f>
        <v>968</v>
      </c>
      <c r="AE453" s="9">
        <f t="shared" ref="AE453:AE516" si="304">IF(AK453&gt;0,FLOOR((POWER((AK453/IF(AND(Y453&gt;=2,Y453&lt;4),1.1,IF(AND(Y453&gt;=4,Y453&lt;6),1.15,IF(Y453&gt;=6,1.2,1)))/$Z$1),0.5)/INDEX($BD$4:$BQ$4,MATCH(Y453,$BD$3:$BQ$3,0))-1)*10,1),"")</f>
        <v>968</v>
      </c>
      <c r="AF453" s="9">
        <f t="shared" ref="AF453:AF516" si="305">IF(AL453&gt;0,FLOOR((POWER((AL453/IF(AND(Z453&gt;=2,Z453&lt;4),1.1,IF(AND(Z453&gt;=4,Z453&lt;6),1.15,IF(Z453&gt;=6,1.2,1)))/$Z$1),0.5)/INDEX($BD$4:$BQ$4,MATCH(Z453,$BD$3:$BQ$3,0))-1)*10,1),"")</f>
        <v>968</v>
      </c>
      <c r="AG453" s="9">
        <f t="shared" ref="AG453:AG516" si="306">IF(AM453&gt;0,FLOOR((POWER((AM453/IF(AND(AA453&gt;=2,AA453&lt;4),1.1,IF(AND(AA453&gt;=4,AA453&lt;6),1.15,IF(AA453&gt;=6,1.2,1)))/$Z$1),0.5)/INDEX($BD$4:$BQ$4,MATCH(AA453,$BD$3:$BQ$3,0))-1)*10,1),"")</f>
        <v>968</v>
      </c>
      <c r="AH453" s="9">
        <f t="shared" ref="AH453:AH516" si="307">IF(AN453&gt;0,FLOOR((POWER((AN453/IF(AND(AB453&gt;=2,AB453&lt;4),1.1,IF(AND(AB453&gt;=4,AB453&lt;6),1.15,IF(AB453&gt;=6,1.2,1)))/$Z$1),0.5)/INDEX($BD$4:$BQ$4,MATCH(AB453,$BD$3:$BQ$3,0))-1)*10,1),"")</f>
        <v>968</v>
      </c>
      <c r="AI453" s="7">
        <f t="shared" si="283"/>
        <v>1669081.655</v>
      </c>
      <c r="AJ453" s="7">
        <f t="shared" si="280"/>
        <v>1669081.655</v>
      </c>
      <c r="AK453" s="7">
        <f t="shared" si="280"/>
        <v>1669081.655</v>
      </c>
      <c r="AL453" s="7">
        <f t="shared" si="280"/>
        <v>1669081.655</v>
      </c>
      <c r="AM453" s="7">
        <f t="shared" si="280"/>
        <v>1669081.655</v>
      </c>
      <c r="AN453" s="7">
        <f t="shared" si="280"/>
        <v>1669081.655</v>
      </c>
      <c r="AO453" s="16"/>
      <c r="AP453" s="7"/>
      <c r="AQ453" s="9">
        <v>7</v>
      </c>
      <c r="AR453" s="9">
        <f t="shared" ref="AR453:AR516" si="308">IF(AI453&gt;0,FLOOR((POWER((AI453/IF(AND(AQ453&gt;=2,AQ453&lt;4),1.2,IF(AND(AQ453&gt;=4,AQ453&lt;6),1.4,IF(AQ453&gt;=6,1.6,1)))/$Z$1),0.5)/INDEX($BD$4:$BQ$4,MATCH(AQ453,$BD$3:$BQ$3,0))-1)*10,1),"")</f>
        <v>1261</v>
      </c>
      <c r="AS453" s="7">
        <f t="shared" si="281"/>
        <v>325</v>
      </c>
      <c r="AT453" s="7"/>
      <c r="AU453" s="16"/>
      <c r="AV453" s="7"/>
      <c r="AW453" s="7"/>
      <c r="AX453" s="7"/>
      <c r="AY453" s="9">
        <v>8</v>
      </c>
      <c r="AZ453" s="7">
        <v>180</v>
      </c>
      <c r="BA453" s="9">
        <v>994695</v>
      </c>
      <c r="BC453" s="5">
        <f t="shared" ref="BC453:BC516" si="309">FLOOR(POWER(((3000*1.5/0.9/1.05)/(96*INDEX($BD$4:$BO$4,MATCH(W453,$BD$3:$BO$3,0))*8*INDEX($BD$4:$BO$4,MATCH(W453,$BD$3:$BO$3,0)))*AI453/IF(AND(W453&gt;=2,W453&lt;4),1.2,IF(AND(W453&gt;=4,W453&lt;6),1.4,IF(W453&gt;=6,1.6,1)))),1/2)-10,1)</f>
        <v>837</v>
      </c>
      <c r="BR453" s="5">
        <v>2503022</v>
      </c>
      <c r="BS453" s="18">
        <f>[1]monsters!$N453</f>
        <v>86.4</v>
      </c>
      <c r="BT453" s="18">
        <f>[1]monsters!$O453</f>
        <v>8.64</v>
      </c>
      <c r="BU453" s="18">
        <f>[1]monsters!$P453</f>
        <v>1066.67</v>
      </c>
      <c r="BV453" s="18">
        <f>[1]monsters!$Q453</f>
        <v>106.67</v>
      </c>
      <c r="BW453" s="18">
        <f>[1]monsters!$R453</f>
        <v>17.28</v>
      </c>
      <c r="BX453" s="18">
        <f>[1]monsters!$S453</f>
        <v>1.73</v>
      </c>
      <c r="BY453" s="18">
        <f>[1]monsters!$K453</f>
        <v>1.8</v>
      </c>
      <c r="BZ453" s="5">
        <f>[1]monsters!$D453</f>
        <v>2</v>
      </c>
      <c r="CA453" s="5">
        <f t="shared" ref="CA453:CA516" si="310">INDEX($CH$5:$CH$10,MATCH($BZ453,$CG$5:$CG$10))</f>
        <v>0.1</v>
      </c>
      <c r="CB453" s="5">
        <f t="shared" ref="CB453:CB516" si="311">(BU453/33/(1-CA453)/(1-0)+BS453*(1+0.5*0.1)*0.9)</f>
        <v>117.56281481481483</v>
      </c>
      <c r="CC453" s="5">
        <f t="shared" ref="CC453:CC516" si="312">(BU453/33/(1-CA453)/(1-0)+BS453*(1+0.5*0.1)*0.9)*0.1</f>
        <v>11.756281481481484</v>
      </c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>
        <v>1</v>
      </c>
      <c r="CR453" s="3" t="b">
        <f t="shared" si="284"/>
        <v>1</v>
      </c>
      <c r="CS453" s="3" t="b">
        <f t="shared" si="285"/>
        <v>1</v>
      </c>
      <c r="CT453" s="3" t="b">
        <f t="shared" si="286"/>
        <v>1</v>
      </c>
      <c r="CU453" s="3" t="b">
        <f t="shared" si="287"/>
        <v>1</v>
      </c>
      <c r="CV453" s="3" t="b">
        <f t="shared" si="288"/>
        <v>1</v>
      </c>
      <c r="CW453" s="3" t="b">
        <f t="shared" si="289"/>
        <v>1</v>
      </c>
      <c r="CX453" s="9" t="str">
        <f t="shared" si="290"/>
        <v>5201121</v>
      </c>
      <c r="CY453" s="9" t="str">
        <f t="shared" si="291"/>
        <v>5200122</v>
      </c>
      <c r="CZ453" s="9" t="str">
        <f t="shared" si="292"/>
        <v>5201121</v>
      </c>
      <c r="DA453" s="9" t="str">
        <f t="shared" si="293"/>
        <v>5502122</v>
      </c>
      <c r="DB453" s="9" t="str">
        <f t="shared" si="294"/>
        <v>5500121</v>
      </c>
      <c r="DC453" s="9" t="str">
        <f t="shared" si="295"/>
        <v>5601122</v>
      </c>
      <c r="DD453" s="9">
        <v>12</v>
      </c>
      <c r="DE453" s="9">
        <v>12</v>
      </c>
      <c r="DF453" s="9">
        <v>12</v>
      </c>
      <c r="DG453" s="9">
        <v>12</v>
      </c>
      <c r="DH453" s="9">
        <v>12</v>
      </c>
      <c r="DI453" s="9">
        <v>12</v>
      </c>
      <c r="DJ453" s="9">
        <v>5</v>
      </c>
      <c r="DK453" s="9">
        <v>5</v>
      </c>
      <c r="DL453" s="9">
        <v>5</v>
      </c>
      <c r="DM453" s="9">
        <v>5</v>
      </c>
      <c r="DN453" s="9">
        <v>5</v>
      </c>
      <c r="DO453" s="9">
        <v>5</v>
      </c>
      <c r="DP453" s="25" t="s">
        <v>195</v>
      </c>
      <c r="DQ453" s="25" t="s">
        <v>199</v>
      </c>
      <c r="DR453" s="26" t="s">
        <v>195</v>
      </c>
      <c r="DS453" s="28" t="s">
        <v>204</v>
      </c>
      <c r="DT453" s="26" t="s">
        <v>197</v>
      </c>
      <c r="DU453" s="26" t="s">
        <v>124</v>
      </c>
      <c r="DV453" s="26">
        <f t="shared" si="296"/>
        <v>1</v>
      </c>
      <c r="DW453" s="26">
        <f t="shared" si="297"/>
        <v>1</v>
      </c>
      <c r="DX453" s="26">
        <f t="shared" si="298"/>
        <v>1</v>
      </c>
      <c r="DY453" s="26">
        <f t="shared" si="299"/>
        <v>2</v>
      </c>
      <c r="DZ453" s="26">
        <f t="shared" si="300"/>
        <v>2</v>
      </c>
      <c r="EA453" s="3">
        <f t="shared" si="301"/>
        <v>2</v>
      </c>
      <c r="EB453" s="48"/>
    </row>
    <row r="454" spans="1:132" ht="13.5" customHeight="1">
      <c r="A454" s="9">
        <v>451</v>
      </c>
      <c r="B454" s="9">
        <v>1</v>
      </c>
      <c r="C454" s="9">
        <v>2001</v>
      </c>
      <c r="D454" s="9">
        <f t="shared" si="278"/>
        <v>12959912</v>
      </c>
      <c r="E454" s="9" t="str">
        <f t="shared" si="275"/>
        <v>5200122,5200123,5200122,5501124,5500123,5501124</v>
      </c>
      <c r="F454" s="9" t="str">
        <f t="shared" si="276"/>
        <v>12,12,12,12,12,12</v>
      </c>
      <c r="G454" s="9" t="str">
        <f t="shared" si="277"/>
        <v>906,980,980,980,980,980</v>
      </c>
      <c r="H454" s="9">
        <v>220</v>
      </c>
      <c r="I454" s="9" t="s">
        <v>278</v>
      </c>
      <c r="J454" s="9" t="s">
        <v>279</v>
      </c>
      <c r="K454" s="9" t="s">
        <v>279</v>
      </c>
      <c r="L454" s="9" t="s">
        <v>279</v>
      </c>
      <c r="M454" s="36" t="s">
        <v>310</v>
      </c>
      <c r="N454" s="40"/>
      <c r="O454" s="3">
        <f t="shared" si="279"/>
        <v>12959912</v>
      </c>
      <c r="P454" s="9">
        <v>10244989.640000001</v>
      </c>
      <c r="Q454" s="9">
        <v>5200122</v>
      </c>
      <c r="R454" s="9">
        <v>5200123</v>
      </c>
      <c r="S454" s="9">
        <v>5200122</v>
      </c>
      <c r="T454" s="9">
        <v>5501124</v>
      </c>
      <c r="U454" s="9">
        <v>5500123</v>
      </c>
      <c r="V454" s="9">
        <v>5501124</v>
      </c>
      <c r="W454" s="9">
        <v>12</v>
      </c>
      <c r="X454" s="9">
        <v>12</v>
      </c>
      <c r="Y454" s="9">
        <v>12</v>
      </c>
      <c r="Z454" s="9">
        <v>12</v>
      </c>
      <c r="AA454" s="9">
        <v>12</v>
      </c>
      <c r="AB454" s="9">
        <v>12</v>
      </c>
      <c r="AC454" s="9">
        <f t="shared" si="302"/>
        <v>906</v>
      </c>
      <c r="AD454" s="9">
        <f t="shared" si="303"/>
        <v>980</v>
      </c>
      <c r="AE454" s="9">
        <f t="shared" si="304"/>
        <v>980</v>
      </c>
      <c r="AF454" s="9">
        <f t="shared" si="305"/>
        <v>980</v>
      </c>
      <c r="AG454" s="9">
        <f t="shared" si="306"/>
        <v>980</v>
      </c>
      <c r="AH454" s="9">
        <f t="shared" si="307"/>
        <v>980</v>
      </c>
      <c r="AI454" s="7">
        <f t="shared" si="283"/>
        <v>1707498.2733333334</v>
      </c>
      <c r="AJ454" s="7">
        <f t="shared" si="280"/>
        <v>1707498.2733333334</v>
      </c>
      <c r="AK454" s="7">
        <f t="shared" si="280"/>
        <v>1707498.2733333334</v>
      </c>
      <c r="AL454" s="7">
        <f t="shared" si="280"/>
        <v>1707498.2733333334</v>
      </c>
      <c r="AM454" s="7">
        <f t="shared" si="280"/>
        <v>1707498.2733333334</v>
      </c>
      <c r="AN454" s="7">
        <f t="shared" si="280"/>
        <v>1707498.2733333334</v>
      </c>
      <c r="AO454" s="16"/>
      <c r="AP454" s="7"/>
      <c r="AQ454" s="9">
        <v>8</v>
      </c>
      <c r="AR454" s="9">
        <f t="shared" si="308"/>
        <v>1159</v>
      </c>
      <c r="AS454" s="7">
        <f t="shared" si="281"/>
        <v>325</v>
      </c>
      <c r="AT454" s="7"/>
      <c r="AU454" s="16"/>
      <c r="AV454" s="7"/>
      <c r="AW454" s="7"/>
      <c r="AX454" s="7"/>
      <c r="AZ454" s="7"/>
      <c r="BA454" s="9">
        <f>BA453+($BA$503-$BA$453)/($A$503-$A$453)</f>
        <v>1014801.1</v>
      </c>
      <c r="BC454" s="5">
        <f t="shared" si="309"/>
        <v>847</v>
      </c>
      <c r="BR454" s="5">
        <v>2504022</v>
      </c>
      <c r="BS454" s="18">
        <f>[1]monsters!$N454</f>
        <v>100</v>
      </c>
      <c r="BT454" s="18">
        <f>[1]monsters!$O454</f>
        <v>10</v>
      </c>
      <c r="BU454" s="18">
        <f>[1]monsters!$P454</f>
        <v>768</v>
      </c>
      <c r="BV454" s="18">
        <f>[1]monsters!$Q454</f>
        <v>76.8</v>
      </c>
      <c r="BW454" s="18">
        <f>[1]monsters!$R454</f>
        <v>10</v>
      </c>
      <c r="BX454" s="18">
        <f>[1]monsters!$S454</f>
        <v>1</v>
      </c>
      <c r="BY454" s="18">
        <f>[1]monsters!$K454</f>
        <v>1.5</v>
      </c>
      <c r="BZ454" s="5">
        <f>[1]monsters!$D454</f>
        <v>4</v>
      </c>
      <c r="CA454" s="5">
        <f t="shared" si="310"/>
        <v>0.1</v>
      </c>
      <c r="CB454" s="5">
        <f t="shared" si="311"/>
        <v>120.35858585858585</v>
      </c>
      <c r="CC454" s="5">
        <f t="shared" si="312"/>
        <v>12.035858585858586</v>
      </c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>
        <v>0</v>
      </c>
      <c r="CR454" s="3" t="b">
        <f t="shared" si="284"/>
        <v>1</v>
      </c>
      <c r="CS454" s="3" t="b">
        <f t="shared" si="285"/>
        <v>1</v>
      </c>
      <c r="CT454" s="3" t="b">
        <f t="shared" si="286"/>
        <v>1</v>
      </c>
      <c r="CU454" s="3" t="b">
        <f t="shared" si="287"/>
        <v>1</v>
      </c>
      <c r="CV454" s="3" t="b">
        <f t="shared" si="288"/>
        <v>1</v>
      </c>
      <c r="CW454" s="3" t="b">
        <f t="shared" si="289"/>
        <v>1</v>
      </c>
      <c r="CX454" s="9" t="str">
        <f t="shared" si="290"/>
        <v>5200122</v>
      </c>
      <c r="CY454" s="9" t="str">
        <f t="shared" si="291"/>
        <v>5200123</v>
      </c>
      <c r="CZ454" s="9" t="str">
        <f t="shared" si="292"/>
        <v>5200122</v>
      </c>
      <c r="DA454" s="9" t="str">
        <f t="shared" si="293"/>
        <v>5501124</v>
      </c>
      <c r="DB454" s="9" t="str">
        <f t="shared" si="294"/>
        <v>5500123</v>
      </c>
      <c r="DC454" s="9" t="str">
        <f t="shared" si="295"/>
        <v>5501124</v>
      </c>
      <c r="DD454" s="9">
        <v>12</v>
      </c>
      <c r="DE454" s="9">
        <v>12</v>
      </c>
      <c r="DF454" s="9">
        <v>12</v>
      </c>
      <c r="DG454" s="9">
        <v>12</v>
      </c>
      <c r="DH454" s="9">
        <v>12</v>
      </c>
      <c r="DI454" s="9">
        <v>12</v>
      </c>
      <c r="DJ454" s="9">
        <v>5</v>
      </c>
      <c r="DK454" s="9">
        <v>5</v>
      </c>
      <c r="DL454" s="9">
        <v>5</v>
      </c>
      <c r="DM454" s="9">
        <v>5</v>
      </c>
      <c r="DN454" s="9">
        <v>5</v>
      </c>
      <c r="DO454" s="9">
        <v>5</v>
      </c>
      <c r="DP454" s="25" t="s">
        <v>199</v>
      </c>
      <c r="DQ454" s="25" t="s">
        <v>113</v>
      </c>
      <c r="DR454" s="25" t="s">
        <v>199</v>
      </c>
      <c r="DS454" s="26" t="s">
        <v>214</v>
      </c>
      <c r="DT454" s="26" t="s">
        <v>207</v>
      </c>
      <c r="DU454" s="26" t="s">
        <v>214</v>
      </c>
      <c r="DV454" s="26">
        <f t="shared" si="296"/>
        <v>1</v>
      </c>
      <c r="DW454" s="26">
        <f t="shared" si="297"/>
        <v>1</v>
      </c>
      <c r="DX454" s="26">
        <f t="shared" si="298"/>
        <v>1</v>
      </c>
      <c r="DY454" s="26">
        <f t="shared" si="299"/>
        <v>2</v>
      </c>
      <c r="DZ454" s="26">
        <f t="shared" si="300"/>
        <v>2</v>
      </c>
      <c r="EA454" s="3">
        <f t="shared" si="301"/>
        <v>2</v>
      </c>
      <c r="EB454" s="47"/>
    </row>
    <row r="455" spans="1:132" ht="13.5" customHeight="1">
      <c r="A455" s="9">
        <v>452</v>
      </c>
      <c r="B455" s="9">
        <v>1</v>
      </c>
      <c r="C455" s="9">
        <v>2001</v>
      </c>
      <c r="D455" s="9">
        <f t="shared" si="278"/>
        <v>13253405</v>
      </c>
      <c r="E455" s="9" t="str">
        <f t="shared" si="275"/>
        <v>5202122,5201122,5301121,5400125,5500122,5500123</v>
      </c>
      <c r="F455" s="9" t="str">
        <f t="shared" si="276"/>
        <v>12,12,12,12,12,12</v>
      </c>
      <c r="G455" s="9" t="str">
        <f t="shared" si="277"/>
        <v>916,991,991,991,991,991</v>
      </c>
      <c r="H455" s="9">
        <v>220</v>
      </c>
      <c r="I455" s="9" t="s">
        <v>278</v>
      </c>
      <c r="J455" s="9" t="s">
        <v>279</v>
      </c>
      <c r="K455" s="9" t="s">
        <v>279</v>
      </c>
      <c r="L455" s="9" t="s">
        <v>279</v>
      </c>
      <c r="M455" s="36" t="s">
        <v>310</v>
      </c>
      <c r="N455" s="40"/>
      <c r="O455" s="3">
        <f t="shared" si="279"/>
        <v>13253405</v>
      </c>
      <c r="P455" s="9">
        <v>10476999.76</v>
      </c>
      <c r="Q455" s="9">
        <v>5202122</v>
      </c>
      <c r="R455" s="9">
        <v>5201122</v>
      </c>
      <c r="S455" s="9">
        <v>5301121</v>
      </c>
      <c r="T455" s="9">
        <v>5400125</v>
      </c>
      <c r="U455" s="9">
        <v>5500122</v>
      </c>
      <c r="V455" s="9">
        <v>5500123</v>
      </c>
      <c r="W455" s="9">
        <v>12</v>
      </c>
      <c r="X455" s="9">
        <v>12</v>
      </c>
      <c r="Y455" s="9">
        <v>12</v>
      </c>
      <c r="Z455" s="9">
        <v>12</v>
      </c>
      <c r="AA455" s="9">
        <v>12</v>
      </c>
      <c r="AB455" s="9">
        <v>12</v>
      </c>
      <c r="AC455" s="9">
        <f t="shared" si="302"/>
        <v>916</v>
      </c>
      <c r="AD455" s="9">
        <f t="shared" si="303"/>
        <v>991</v>
      </c>
      <c r="AE455" s="9">
        <f t="shared" si="304"/>
        <v>991</v>
      </c>
      <c r="AF455" s="9">
        <f t="shared" si="305"/>
        <v>991</v>
      </c>
      <c r="AG455" s="9">
        <f t="shared" si="306"/>
        <v>991</v>
      </c>
      <c r="AH455" s="9">
        <f t="shared" si="307"/>
        <v>991</v>
      </c>
      <c r="AI455" s="7">
        <f t="shared" si="283"/>
        <v>1746166.6266666667</v>
      </c>
      <c r="AJ455" s="7">
        <f t="shared" si="280"/>
        <v>1746166.6266666667</v>
      </c>
      <c r="AK455" s="7">
        <f t="shared" si="280"/>
        <v>1746166.6266666667</v>
      </c>
      <c r="AL455" s="7">
        <f t="shared" si="280"/>
        <v>1746166.6266666667</v>
      </c>
      <c r="AM455" s="7">
        <f t="shared" si="280"/>
        <v>1746166.6266666667</v>
      </c>
      <c r="AN455" s="7">
        <f t="shared" si="280"/>
        <v>1746166.6266666667</v>
      </c>
      <c r="AO455" s="16"/>
      <c r="AP455" s="7"/>
      <c r="AQ455" s="9">
        <v>8</v>
      </c>
      <c r="AR455" s="9">
        <f t="shared" si="308"/>
        <v>1172</v>
      </c>
      <c r="AS455" s="7">
        <f t="shared" si="281"/>
        <v>326</v>
      </c>
      <c r="AT455" s="7"/>
      <c r="AU455" s="16"/>
      <c r="AV455" s="7"/>
      <c r="AW455" s="7"/>
      <c r="AX455" s="7"/>
      <c r="AZ455" s="7"/>
      <c r="BA455" s="9">
        <f t="shared" ref="BA455:BA502" si="313">BA454+($BA$503-$BA$453)/($A$503-$A$453)</f>
        <v>1034907.2</v>
      </c>
      <c r="BC455" s="5">
        <f t="shared" si="309"/>
        <v>857</v>
      </c>
      <c r="BR455" s="5">
        <v>2101022</v>
      </c>
      <c r="BS455" s="18">
        <f>[1]monsters!$N455</f>
        <v>76.27</v>
      </c>
      <c r="BT455" s="18">
        <f>[1]monsters!$O455</f>
        <v>7.63</v>
      </c>
      <c r="BU455" s="18">
        <f>[1]monsters!$P455</f>
        <v>872.73</v>
      </c>
      <c r="BV455" s="18">
        <f>[1]monsters!$Q455</f>
        <v>87.27</v>
      </c>
      <c r="BW455" s="18">
        <f>[1]monsters!$R455</f>
        <v>9.5299999999999994</v>
      </c>
      <c r="BX455" s="18">
        <f>[1]monsters!$S455</f>
        <v>0.95</v>
      </c>
      <c r="BY455" s="18">
        <f>[1]monsters!$K455</f>
        <v>1.3</v>
      </c>
      <c r="BZ455" s="5">
        <f>[1]monsters!$D455</f>
        <v>3</v>
      </c>
      <c r="CA455" s="5">
        <f t="shared" si="310"/>
        <v>0.1</v>
      </c>
      <c r="CB455" s="5">
        <f t="shared" si="311"/>
        <v>101.45999848484848</v>
      </c>
      <c r="CC455" s="5">
        <f t="shared" si="312"/>
        <v>10.145999848484848</v>
      </c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>
        <v>0</v>
      </c>
      <c r="CR455" s="3" t="b">
        <f t="shared" si="284"/>
        <v>1</v>
      </c>
      <c r="CS455" s="3" t="b">
        <f t="shared" si="285"/>
        <v>1</v>
      </c>
      <c r="CT455" s="3" t="b">
        <f t="shared" si="286"/>
        <v>1</v>
      </c>
      <c r="CU455" s="3" t="b">
        <f t="shared" si="287"/>
        <v>1</v>
      </c>
      <c r="CV455" s="3" t="b">
        <f t="shared" si="288"/>
        <v>1</v>
      </c>
      <c r="CW455" s="3" t="b">
        <f t="shared" si="289"/>
        <v>1</v>
      </c>
      <c r="CX455" s="9" t="str">
        <f t="shared" si="290"/>
        <v>5202122</v>
      </c>
      <c r="CY455" s="9" t="str">
        <f t="shared" si="291"/>
        <v>5201122</v>
      </c>
      <c r="CZ455" s="9" t="str">
        <f t="shared" si="292"/>
        <v>5301121</v>
      </c>
      <c r="DA455" s="9" t="str">
        <f t="shared" si="293"/>
        <v>5400125</v>
      </c>
      <c r="DB455" s="9" t="str">
        <f t="shared" si="294"/>
        <v>5500122</v>
      </c>
      <c r="DC455" s="9" t="str">
        <f t="shared" si="295"/>
        <v>5500123</v>
      </c>
      <c r="DD455" s="9">
        <v>12</v>
      </c>
      <c r="DE455" s="9">
        <v>12</v>
      </c>
      <c r="DF455" s="9">
        <v>12</v>
      </c>
      <c r="DG455" s="9">
        <v>12</v>
      </c>
      <c r="DH455" s="9">
        <v>12</v>
      </c>
      <c r="DI455" s="9">
        <v>12</v>
      </c>
      <c r="DJ455" s="9">
        <v>5</v>
      </c>
      <c r="DK455" s="9">
        <v>5</v>
      </c>
      <c r="DL455" s="9">
        <v>5</v>
      </c>
      <c r="DM455" s="9">
        <v>5</v>
      </c>
      <c r="DN455" s="9">
        <v>5</v>
      </c>
      <c r="DO455" s="9">
        <v>5</v>
      </c>
      <c r="DP455" s="25" t="s">
        <v>200</v>
      </c>
      <c r="DQ455" s="25" t="s">
        <v>114</v>
      </c>
      <c r="DR455" s="25" t="s">
        <v>107</v>
      </c>
      <c r="DS455" s="25" t="s">
        <v>210</v>
      </c>
      <c r="DT455" s="25" t="s">
        <v>109</v>
      </c>
      <c r="DU455" s="25" t="s">
        <v>207</v>
      </c>
      <c r="DV455" s="25">
        <f t="shared" si="296"/>
        <v>1</v>
      </c>
      <c r="DW455" s="25">
        <f t="shared" si="297"/>
        <v>1</v>
      </c>
      <c r="DX455" s="25">
        <f t="shared" si="298"/>
        <v>1</v>
      </c>
      <c r="DY455" s="25">
        <f t="shared" si="299"/>
        <v>2</v>
      </c>
      <c r="DZ455" s="25">
        <f t="shared" si="300"/>
        <v>2</v>
      </c>
      <c r="EA455" s="3">
        <f t="shared" si="301"/>
        <v>2</v>
      </c>
      <c r="EB455" s="47"/>
    </row>
    <row r="456" spans="1:132" ht="13.5" customHeight="1">
      <c r="A456" s="9">
        <v>453</v>
      </c>
      <c r="B456" s="9">
        <v>1</v>
      </c>
      <c r="C456" s="9">
        <v>2001</v>
      </c>
      <c r="D456" s="9">
        <f t="shared" si="278"/>
        <v>13548813</v>
      </c>
      <c r="E456" s="9" t="str">
        <f t="shared" si="275"/>
        <v>5301121,5301122,5301123,5500122,5500121,5500122</v>
      </c>
      <c r="F456" s="9" t="str">
        <f t="shared" si="276"/>
        <v>12,12,12,12,12,12</v>
      </c>
      <c r="G456" s="9" t="str">
        <f t="shared" si="277"/>
        <v>927,1002,1002,1002,1002,1002</v>
      </c>
      <c r="H456" s="9">
        <v>221</v>
      </c>
      <c r="I456" s="9" t="s">
        <v>278</v>
      </c>
      <c r="J456" s="9" t="s">
        <v>279</v>
      </c>
      <c r="K456" s="9" t="s">
        <v>279</v>
      </c>
      <c r="L456" s="9" t="s">
        <v>279</v>
      </c>
      <c r="M456" s="36" t="s">
        <v>310</v>
      </c>
      <c r="N456" s="40"/>
      <c r="O456" s="3">
        <f t="shared" si="279"/>
        <v>13548813</v>
      </c>
      <c r="P456" s="9">
        <v>10710524.27</v>
      </c>
      <c r="Q456" s="9">
        <v>5301121</v>
      </c>
      <c r="R456" s="9">
        <v>5301122</v>
      </c>
      <c r="S456" s="9">
        <v>5301123</v>
      </c>
      <c r="T456" s="9">
        <v>5500122</v>
      </c>
      <c r="U456" s="9">
        <v>5500121</v>
      </c>
      <c r="V456" s="9">
        <v>5500122</v>
      </c>
      <c r="W456" s="9">
        <v>12</v>
      </c>
      <c r="X456" s="9">
        <v>12</v>
      </c>
      <c r="Y456" s="9">
        <v>12</v>
      </c>
      <c r="Z456" s="9">
        <v>12</v>
      </c>
      <c r="AA456" s="9">
        <v>12</v>
      </c>
      <c r="AB456" s="9">
        <v>12</v>
      </c>
      <c r="AC456" s="9">
        <f t="shared" si="302"/>
        <v>927</v>
      </c>
      <c r="AD456" s="9">
        <f t="shared" si="303"/>
        <v>1002</v>
      </c>
      <c r="AE456" s="9">
        <f t="shared" si="304"/>
        <v>1002</v>
      </c>
      <c r="AF456" s="9">
        <f t="shared" si="305"/>
        <v>1002</v>
      </c>
      <c r="AG456" s="9">
        <f t="shared" si="306"/>
        <v>1002</v>
      </c>
      <c r="AH456" s="9">
        <f t="shared" si="307"/>
        <v>1002</v>
      </c>
      <c r="AI456" s="7">
        <f t="shared" si="283"/>
        <v>1785087.3783333332</v>
      </c>
      <c r="AJ456" s="7">
        <f t="shared" si="280"/>
        <v>1785087.3783333332</v>
      </c>
      <c r="AK456" s="7">
        <f t="shared" si="280"/>
        <v>1785087.3783333332</v>
      </c>
      <c r="AL456" s="7">
        <f t="shared" si="280"/>
        <v>1785087.3783333332</v>
      </c>
      <c r="AM456" s="7">
        <f t="shared" si="280"/>
        <v>1785087.3783333332</v>
      </c>
      <c r="AN456" s="7">
        <f t="shared" si="280"/>
        <v>1785087.3783333332</v>
      </c>
      <c r="AO456" s="16"/>
      <c r="AP456" s="7"/>
      <c r="AQ456" s="9">
        <v>8</v>
      </c>
      <c r="AR456" s="9">
        <f t="shared" si="308"/>
        <v>1185</v>
      </c>
      <c r="AS456" s="7">
        <f t="shared" si="281"/>
        <v>326</v>
      </c>
      <c r="AT456" s="7"/>
      <c r="AU456" s="16"/>
      <c r="AV456" s="7"/>
      <c r="AW456" s="7"/>
      <c r="AX456" s="7"/>
      <c r="AZ456" s="7"/>
      <c r="BA456" s="9">
        <f t="shared" si="313"/>
        <v>1055013.3</v>
      </c>
      <c r="BC456" s="5">
        <f t="shared" si="309"/>
        <v>866</v>
      </c>
      <c r="BR456" s="5">
        <v>2102022</v>
      </c>
      <c r="BS456" s="18">
        <f>[1]monsters!$N456</f>
        <v>105.6</v>
      </c>
      <c r="BT456" s="18">
        <f>[1]monsters!$O456</f>
        <v>10.56</v>
      </c>
      <c r="BU456" s="18">
        <f>[1]monsters!$P456</f>
        <v>872.73</v>
      </c>
      <c r="BV456" s="18">
        <f>[1]monsters!$Q456</f>
        <v>87.27</v>
      </c>
      <c r="BW456" s="18">
        <f>[1]monsters!$R456</f>
        <v>17.600000000000001</v>
      </c>
      <c r="BX456" s="18">
        <f>[1]monsters!$S456</f>
        <v>1.76</v>
      </c>
      <c r="BY456" s="18">
        <f>[1]monsters!$K456</f>
        <v>1.8</v>
      </c>
      <c r="BZ456" s="5">
        <f>[1]monsters!$D456</f>
        <v>5</v>
      </c>
      <c r="CA456" s="5">
        <f t="shared" si="310"/>
        <v>0.1</v>
      </c>
      <c r="CB456" s="5">
        <f t="shared" si="311"/>
        <v>129.17684848484848</v>
      </c>
      <c r="CC456" s="5">
        <f t="shared" si="312"/>
        <v>12.917684848484848</v>
      </c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>
        <v>0</v>
      </c>
      <c r="CR456" s="3" t="b">
        <f t="shared" si="284"/>
        <v>1</v>
      </c>
      <c r="CS456" s="3" t="b">
        <f t="shared" si="285"/>
        <v>1</v>
      </c>
      <c r="CT456" s="3" t="b">
        <f t="shared" si="286"/>
        <v>1</v>
      </c>
      <c r="CU456" s="3" t="b">
        <f t="shared" si="287"/>
        <v>1</v>
      </c>
      <c r="CV456" s="3" t="b">
        <f t="shared" si="288"/>
        <v>1</v>
      </c>
      <c r="CW456" s="3" t="b">
        <f t="shared" si="289"/>
        <v>1</v>
      </c>
      <c r="CX456" s="9" t="str">
        <f t="shared" si="290"/>
        <v>5301121</v>
      </c>
      <c r="CY456" s="9" t="str">
        <f t="shared" si="291"/>
        <v>5301122</v>
      </c>
      <c r="CZ456" s="9" t="str">
        <f t="shared" si="292"/>
        <v>5301123</v>
      </c>
      <c r="DA456" s="9" t="str">
        <f t="shared" si="293"/>
        <v>5500122</v>
      </c>
      <c r="DB456" s="9" t="str">
        <f t="shared" si="294"/>
        <v>5500121</v>
      </c>
      <c r="DC456" s="9" t="str">
        <f t="shared" si="295"/>
        <v>5500122</v>
      </c>
      <c r="DD456" s="9">
        <v>12</v>
      </c>
      <c r="DE456" s="9">
        <v>12</v>
      </c>
      <c r="DF456" s="9">
        <v>12</v>
      </c>
      <c r="DG456" s="9">
        <v>12</v>
      </c>
      <c r="DH456" s="9">
        <v>12</v>
      </c>
      <c r="DI456" s="9">
        <v>12</v>
      </c>
      <c r="DJ456" s="9">
        <v>5</v>
      </c>
      <c r="DK456" s="9">
        <v>5</v>
      </c>
      <c r="DL456" s="9">
        <v>5</v>
      </c>
      <c r="DM456" s="9">
        <v>5</v>
      </c>
      <c r="DN456" s="9">
        <v>5</v>
      </c>
      <c r="DO456" s="9">
        <v>5</v>
      </c>
      <c r="DP456" s="26" t="s">
        <v>107</v>
      </c>
      <c r="DQ456" s="26" t="s">
        <v>201</v>
      </c>
      <c r="DR456" s="26" t="s">
        <v>206</v>
      </c>
      <c r="DS456" s="26" t="s">
        <v>109</v>
      </c>
      <c r="DT456" s="26" t="s">
        <v>197</v>
      </c>
      <c r="DU456" s="26" t="s">
        <v>109</v>
      </c>
      <c r="DV456" s="26">
        <f t="shared" si="296"/>
        <v>1</v>
      </c>
      <c r="DW456" s="26">
        <f t="shared" si="297"/>
        <v>1</v>
      </c>
      <c r="DX456" s="26">
        <f t="shared" si="298"/>
        <v>1</v>
      </c>
      <c r="DY456" s="26">
        <f t="shared" si="299"/>
        <v>2</v>
      </c>
      <c r="DZ456" s="26">
        <f t="shared" si="300"/>
        <v>2</v>
      </c>
      <c r="EA456" s="3">
        <f t="shared" si="301"/>
        <v>2</v>
      </c>
      <c r="EB456" s="47"/>
    </row>
    <row r="457" spans="1:132" ht="13.5" customHeight="1">
      <c r="A457" s="9">
        <v>454</v>
      </c>
      <c r="B457" s="9">
        <v>1</v>
      </c>
      <c r="C457" s="9">
        <v>2001</v>
      </c>
      <c r="D457" s="9">
        <f t="shared" si="278"/>
        <v>13846142</v>
      </c>
      <c r="E457" s="9" t="str">
        <f t="shared" si="275"/>
        <v>5201122,5202125,5201122,5501125,5500122,5500123</v>
      </c>
      <c r="F457" s="9" t="str">
        <f t="shared" si="276"/>
        <v>12,12,12,12,12,12</v>
      </c>
      <c r="G457" s="9" t="str">
        <f t="shared" si="277"/>
        <v>937,1013,1013,1013,1013,1013</v>
      </c>
      <c r="H457" s="9">
        <v>221</v>
      </c>
      <c r="I457" s="9" t="s">
        <v>278</v>
      </c>
      <c r="J457" s="9" t="s">
        <v>279</v>
      </c>
      <c r="K457" s="9" t="s">
        <v>279</v>
      </c>
      <c r="L457" s="9" t="s">
        <v>279</v>
      </c>
      <c r="M457" s="36" t="s">
        <v>310</v>
      </c>
      <c r="N457" s="40"/>
      <c r="O457" s="3">
        <f t="shared" si="279"/>
        <v>13846142</v>
      </c>
      <c r="P457" s="9">
        <v>10945567.15</v>
      </c>
      <c r="Q457" s="9">
        <v>5201122</v>
      </c>
      <c r="R457" s="9">
        <v>5202125</v>
      </c>
      <c r="S457" s="9">
        <v>5201122</v>
      </c>
      <c r="T457" s="9">
        <v>5501125</v>
      </c>
      <c r="U457" s="9">
        <v>5500122</v>
      </c>
      <c r="V457" s="9">
        <v>5500123</v>
      </c>
      <c r="W457" s="9">
        <v>12</v>
      </c>
      <c r="X457" s="9">
        <v>12</v>
      </c>
      <c r="Y457" s="9">
        <v>12</v>
      </c>
      <c r="Z457" s="9">
        <v>12</v>
      </c>
      <c r="AA457" s="9">
        <v>12</v>
      </c>
      <c r="AB457" s="9">
        <v>12</v>
      </c>
      <c r="AC457" s="9">
        <f t="shared" si="302"/>
        <v>937</v>
      </c>
      <c r="AD457" s="9">
        <f t="shared" si="303"/>
        <v>1013</v>
      </c>
      <c r="AE457" s="9">
        <f t="shared" si="304"/>
        <v>1013</v>
      </c>
      <c r="AF457" s="9">
        <f t="shared" si="305"/>
        <v>1013</v>
      </c>
      <c r="AG457" s="9">
        <f t="shared" si="306"/>
        <v>1013</v>
      </c>
      <c r="AH457" s="9">
        <f t="shared" si="307"/>
        <v>1013</v>
      </c>
      <c r="AI457" s="7">
        <f t="shared" si="283"/>
        <v>1824261.1916666667</v>
      </c>
      <c r="AJ457" s="7">
        <f t="shared" si="280"/>
        <v>1824261.1916666667</v>
      </c>
      <c r="AK457" s="7">
        <f t="shared" si="280"/>
        <v>1824261.1916666667</v>
      </c>
      <c r="AL457" s="7">
        <f t="shared" si="280"/>
        <v>1824261.1916666667</v>
      </c>
      <c r="AM457" s="7">
        <f t="shared" si="280"/>
        <v>1824261.1916666667</v>
      </c>
      <c r="AN457" s="7">
        <f t="shared" si="280"/>
        <v>1824261.1916666667</v>
      </c>
      <c r="AO457" s="16"/>
      <c r="AP457" s="7"/>
      <c r="AQ457" s="9">
        <v>8</v>
      </c>
      <c r="AR457" s="9">
        <f t="shared" si="308"/>
        <v>1198</v>
      </c>
      <c r="AS457" s="7">
        <f t="shared" si="281"/>
        <v>327</v>
      </c>
      <c r="AT457" s="7"/>
      <c r="AU457" s="16"/>
      <c r="AV457" s="7"/>
      <c r="AW457" s="7"/>
      <c r="AX457" s="7"/>
      <c r="AZ457" s="7"/>
      <c r="BA457" s="9">
        <f t="shared" si="313"/>
        <v>1075119.4000000001</v>
      </c>
      <c r="BC457" s="5">
        <f t="shared" si="309"/>
        <v>876</v>
      </c>
      <c r="BR457" s="5">
        <v>2206023</v>
      </c>
      <c r="BS457" s="18">
        <f>[1]monsters!$N457</f>
        <v>76.8</v>
      </c>
      <c r="BT457" s="18">
        <f>[1]monsters!$O457</f>
        <v>7.68</v>
      </c>
      <c r="BU457" s="18">
        <f>[1]monsters!$P457</f>
        <v>1066.67</v>
      </c>
      <c r="BV457" s="18">
        <f>[1]monsters!$Q457</f>
        <v>106.67</v>
      </c>
      <c r="BW457" s="18">
        <f>[1]monsters!$R457</f>
        <v>15.36</v>
      </c>
      <c r="BX457" s="18">
        <f>[1]monsters!$S457</f>
        <v>1.54</v>
      </c>
      <c r="BY457" s="18">
        <f>[1]monsters!$K457</f>
        <v>1.6</v>
      </c>
      <c r="BZ457" s="5">
        <f>[1]monsters!$D457</f>
        <v>2</v>
      </c>
      <c r="CA457" s="5">
        <f t="shared" si="310"/>
        <v>0.1</v>
      </c>
      <c r="CB457" s="5">
        <f t="shared" si="311"/>
        <v>108.49081481481483</v>
      </c>
      <c r="CC457" s="5">
        <f t="shared" si="312"/>
        <v>10.849081481481484</v>
      </c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>
        <v>0</v>
      </c>
      <c r="CR457" s="3" t="b">
        <f t="shared" si="284"/>
        <v>1</v>
      </c>
      <c r="CS457" s="3" t="b">
        <f t="shared" si="285"/>
        <v>1</v>
      </c>
      <c r="CT457" s="3" t="b">
        <f t="shared" si="286"/>
        <v>1</v>
      </c>
      <c r="CU457" s="3" t="b">
        <f t="shared" si="287"/>
        <v>1</v>
      </c>
      <c r="CV457" s="3" t="b">
        <f t="shared" si="288"/>
        <v>1</v>
      </c>
      <c r="CW457" s="3" t="b">
        <f t="shared" si="289"/>
        <v>1</v>
      </c>
      <c r="CX457" s="9" t="str">
        <f t="shared" si="290"/>
        <v>5201122</v>
      </c>
      <c r="CY457" s="9" t="str">
        <f t="shared" si="291"/>
        <v>5202125</v>
      </c>
      <c r="CZ457" s="9" t="str">
        <f t="shared" si="292"/>
        <v>5201122</v>
      </c>
      <c r="DA457" s="9" t="str">
        <f t="shared" si="293"/>
        <v>5501125</v>
      </c>
      <c r="DB457" s="9" t="str">
        <f t="shared" si="294"/>
        <v>5500122</v>
      </c>
      <c r="DC457" s="9" t="str">
        <f t="shared" si="295"/>
        <v>5500123</v>
      </c>
      <c r="DD457" s="9">
        <v>12</v>
      </c>
      <c r="DE457" s="9">
        <v>12</v>
      </c>
      <c r="DF457" s="9">
        <v>12</v>
      </c>
      <c r="DG457" s="9">
        <v>12</v>
      </c>
      <c r="DH457" s="9">
        <v>12</v>
      </c>
      <c r="DI457" s="9">
        <v>12</v>
      </c>
      <c r="DJ457" s="9">
        <v>5</v>
      </c>
      <c r="DK457" s="9">
        <v>5</v>
      </c>
      <c r="DL457" s="9">
        <v>5</v>
      </c>
      <c r="DM457" s="9">
        <v>5</v>
      </c>
      <c r="DN457" s="9">
        <v>5</v>
      </c>
      <c r="DO457" s="9">
        <v>5</v>
      </c>
      <c r="DP457" s="25" t="s">
        <v>114</v>
      </c>
      <c r="DQ457" s="25" t="s">
        <v>213</v>
      </c>
      <c r="DR457" s="25" t="s">
        <v>114</v>
      </c>
      <c r="DS457" s="25" t="s">
        <v>209</v>
      </c>
      <c r="DT457" s="25" t="s">
        <v>109</v>
      </c>
      <c r="DU457" s="25" t="s">
        <v>207</v>
      </c>
      <c r="DV457" s="25">
        <f t="shared" si="296"/>
        <v>1</v>
      </c>
      <c r="DW457" s="25">
        <f t="shared" si="297"/>
        <v>1</v>
      </c>
      <c r="DX457" s="25">
        <f t="shared" si="298"/>
        <v>1</v>
      </c>
      <c r="DY457" s="25">
        <f t="shared" si="299"/>
        <v>2</v>
      </c>
      <c r="DZ457" s="25">
        <f t="shared" si="300"/>
        <v>2</v>
      </c>
      <c r="EA457" s="3">
        <f t="shared" si="301"/>
        <v>2</v>
      </c>
      <c r="EB457" s="29"/>
    </row>
    <row r="458" spans="1:132" ht="13.5" customHeight="1">
      <c r="A458" s="9">
        <v>455</v>
      </c>
      <c r="B458" s="9">
        <v>1</v>
      </c>
      <c r="C458" s="9">
        <v>2001</v>
      </c>
      <c r="D458" s="9">
        <f t="shared" si="278"/>
        <v>14145400</v>
      </c>
      <c r="E458" s="9" t="str">
        <f t="shared" si="275"/>
        <v>5600124,5202123,5201124,5501124,5501124,5501124</v>
      </c>
      <c r="F458" s="9" t="str">
        <f t="shared" si="276"/>
        <v>12,12,12,12,12,12</v>
      </c>
      <c r="G458" s="9" t="str">
        <f t="shared" si="277"/>
        <v>947,1024,1024,1024,1024,1024</v>
      </c>
      <c r="H458" s="9">
        <v>222</v>
      </c>
      <c r="I458" s="9" t="s">
        <v>278</v>
      </c>
      <c r="J458" s="9" t="s">
        <v>279</v>
      </c>
      <c r="K458" s="9" t="s">
        <v>279</v>
      </c>
      <c r="L458" s="9" t="s">
        <v>279</v>
      </c>
      <c r="M458" s="36" t="s">
        <v>310</v>
      </c>
      <c r="O458" s="3">
        <f t="shared" si="279"/>
        <v>14145400</v>
      </c>
      <c r="P458" s="9">
        <v>11182134.369999999</v>
      </c>
      <c r="Q458" s="9">
        <v>5600124</v>
      </c>
      <c r="R458" s="9">
        <v>5202123</v>
      </c>
      <c r="S458" s="9">
        <v>5201124</v>
      </c>
      <c r="T458" s="9">
        <v>5501124</v>
      </c>
      <c r="U458" s="9">
        <v>5501124</v>
      </c>
      <c r="V458" s="9">
        <v>5501124</v>
      </c>
      <c r="W458" s="9">
        <v>12</v>
      </c>
      <c r="X458" s="9">
        <v>12</v>
      </c>
      <c r="Y458" s="9">
        <v>12</v>
      </c>
      <c r="Z458" s="9">
        <v>12</v>
      </c>
      <c r="AA458" s="9">
        <v>12</v>
      </c>
      <c r="AB458" s="9">
        <v>12</v>
      </c>
      <c r="AC458" s="9">
        <f t="shared" si="302"/>
        <v>947</v>
      </c>
      <c r="AD458" s="9">
        <f t="shared" si="303"/>
        <v>1024</v>
      </c>
      <c r="AE458" s="9">
        <f t="shared" si="304"/>
        <v>1024</v>
      </c>
      <c r="AF458" s="9">
        <f t="shared" si="305"/>
        <v>1024</v>
      </c>
      <c r="AG458" s="9">
        <f t="shared" si="306"/>
        <v>1024</v>
      </c>
      <c r="AH458" s="9">
        <f t="shared" si="307"/>
        <v>1024</v>
      </c>
      <c r="AI458" s="7">
        <f t="shared" si="283"/>
        <v>1863689.0616666665</v>
      </c>
      <c r="AJ458" s="7">
        <f t="shared" si="280"/>
        <v>1863689.0616666665</v>
      </c>
      <c r="AK458" s="7">
        <f t="shared" si="280"/>
        <v>1863689.0616666665</v>
      </c>
      <c r="AL458" s="7">
        <f t="shared" si="280"/>
        <v>1863689.0616666665</v>
      </c>
      <c r="AM458" s="7">
        <f t="shared" si="280"/>
        <v>1863689.0616666665</v>
      </c>
      <c r="AN458" s="7">
        <f t="shared" si="280"/>
        <v>1863689.0616666665</v>
      </c>
      <c r="AO458" s="16"/>
      <c r="AP458" s="7"/>
      <c r="AQ458" s="9">
        <v>8</v>
      </c>
      <c r="AR458" s="9">
        <f t="shared" si="308"/>
        <v>1211</v>
      </c>
      <c r="AS458" s="7">
        <f t="shared" si="281"/>
        <v>327</v>
      </c>
      <c r="AT458" s="7"/>
      <c r="AU458" s="16"/>
      <c r="AV458" s="7"/>
      <c r="AW458" s="7"/>
      <c r="AX458" s="7"/>
      <c r="AZ458" s="7"/>
      <c r="BA458" s="9">
        <f t="shared" si="313"/>
        <v>1095225.5000000002</v>
      </c>
      <c r="BC458" s="5">
        <f t="shared" si="309"/>
        <v>885</v>
      </c>
      <c r="BR458" s="5">
        <v>2406023</v>
      </c>
      <c r="BS458" s="18">
        <f>[1]monsters!$N458</f>
        <v>97.07</v>
      </c>
      <c r="BT458" s="18">
        <f>[1]monsters!$O458</f>
        <v>9.7100000000000009</v>
      </c>
      <c r="BU458" s="18">
        <f>[1]monsters!$P458</f>
        <v>738.46</v>
      </c>
      <c r="BV458" s="18">
        <f>[1]monsters!$Q458</f>
        <v>73.849999999999994</v>
      </c>
      <c r="BW458" s="18">
        <f>[1]monsters!$R458</f>
        <v>9.7100000000000009</v>
      </c>
      <c r="BX458" s="18">
        <f>[1]monsters!$S458</f>
        <v>0.97</v>
      </c>
      <c r="BY458" s="18">
        <f>[1]monsters!$K458</f>
        <v>1.4</v>
      </c>
      <c r="BZ458" s="5">
        <f>[1]monsters!$D458</f>
        <v>4</v>
      </c>
      <c r="CA458" s="5">
        <f t="shared" si="310"/>
        <v>0.1</v>
      </c>
      <c r="CB458" s="5">
        <f t="shared" si="311"/>
        <v>116.59512306397306</v>
      </c>
      <c r="CC458" s="5">
        <f t="shared" si="312"/>
        <v>11.659512306397307</v>
      </c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>
        <v>1</v>
      </c>
      <c r="CR458" s="3" t="b">
        <f t="shared" si="284"/>
        <v>1</v>
      </c>
      <c r="CS458" s="3" t="b">
        <f t="shared" si="285"/>
        <v>1</v>
      </c>
      <c r="CT458" s="3" t="b">
        <f t="shared" si="286"/>
        <v>1</v>
      </c>
      <c r="CU458" s="3" t="b">
        <f t="shared" si="287"/>
        <v>1</v>
      </c>
      <c r="CV458" s="3" t="b">
        <f t="shared" si="288"/>
        <v>1</v>
      </c>
      <c r="CW458" s="3" t="b">
        <f t="shared" si="289"/>
        <v>1</v>
      </c>
      <c r="CX458" s="9" t="str">
        <f t="shared" si="290"/>
        <v>5600124</v>
      </c>
      <c r="CY458" s="9" t="str">
        <f t="shared" si="291"/>
        <v>5202123</v>
      </c>
      <c r="CZ458" s="9" t="str">
        <f t="shared" si="292"/>
        <v>5201124</v>
      </c>
      <c r="DA458" s="9" t="str">
        <f t="shared" si="293"/>
        <v>5501124</v>
      </c>
      <c r="DB458" s="9" t="str">
        <f t="shared" si="294"/>
        <v>5501124</v>
      </c>
      <c r="DC458" s="9" t="str">
        <f t="shared" si="295"/>
        <v>5501124</v>
      </c>
      <c r="DD458" s="9">
        <v>12</v>
      </c>
      <c r="DE458" s="9">
        <v>12</v>
      </c>
      <c r="DF458" s="9">
        <v>12</v>
      </c>
      <c r="DG458" s="9">
        <v>12</v>
      </c>
      <c r="DH458" s="9">
        <v>12</v>
      </c>
      <c r="DI458" s="9">
        <v>12</v>
      </c>
      <c r="DJ458" s="9">
        <v>5</v>
      </c>
      <c r="DK458" s="9">
        <v>5</v>
      </c>
      <c r="DL458" s="9">
        <v>5</v>
      </c>
      <c r="DM458" s="9">
        <v>5</v>
      </c>
      <c r="DN458" s="9">
        <v>5</v>
      </c>
      <c r="DO458" s="9">
        <v>5</v>
      </c>
      <c r="DP458" s="27" t="s">
        <v>219</v>
      </c>
      <c r="DQ458" s="25" t="s">
        <v>208</v>
      </c>
      <c r="DR458" s="25" t="s">
        <v>217</v>
      </c>
      <c r="DS458" s="25" t="s">
        <v>214</v>
      </c>
      <c r="DT458" s="25" t="s">
        <v>214</v>
      </c>
      <c r="DU458" s="25" t="s">
        <v>214</v>
      </c>
      <c r="DV458" s="25">
        <f t="shared" si="296"/>
        <v>1</v>
      </c>
      <c r="DW458" s="25">
        <f t="shared" si="297"/>
        <v>1</v>
      </c>
      <c r="DX458" s="25">
        <f t="shared" si="298"/>
        <v>1</v>
      </c>
      <c r="DY458" s="25">
        <f t="shared" si="299"/>
        <v>2</v>
      </c>
      <c r="DZ458" s="25">
        <f t="shared" si="300"/>
        <v>2</v>
      </c>
      <c r="EA458" s="3">
        <f t="shared" si="301"/>
        <v>2</v>
      </c>
      <c r="EB458" s="29"/>
    </row>
    <row r="459" spans="1:132" ht="13.5" customHeight="1">
      <c r="A459" s="9">
        <v>456</v>
      </c>
      <c r="B459" s="9">
        <v>1</v>
      </c>
      <c r="C459" s="9">
        <v>2001</v>
      </c>
      <c r="D459" s="9">
        <f t="shared" si="278"/>
        <v>14192107</v>
      </c>
      <c r="E459" s="9" t="str">
        <f t="shared" si="275"/>
        <v>5302125,5202125,5202125,5400125,5501125,5400125</v>
      </c>
      <c r="F459" s="9" t="str">
        <f t="shared" si="276"/>
        <v>12,12,12,12,12,12</v>
      </c>
      <c r="G459" s="9" t="str">
        <f t="shared" si="277"/>
        <v>949,1026,1026,1026,1026,1026</v>
      </c>
      <c r="H459" s="9">
        <v>222</v>
      </c>
      <c r="I459" s="9" t="s">
        <v>278</v>
      </c>
      <c r="J459" s="9" t="s">
        <v>279</v>
      </c>
      <c r="K459" s="9" t="s">
        <v>279</v>
      </c>
      <c r="L459" s="9" t="s">
        <v>279</v>
      </c>
      <c r="M459" s="36" t="s">
        <v>310</v>
      </c>
      <c r="N459" s="40"/>
      <c r="O459" s="3">
        <f t="shared" si="279"/>
        <v>14192107</v>
      </c>
      <c r="P459" s="9">
        <v>11219056.83</v>
      </c>
      <c r="Q459" s="9">
        <v>5302125</v>
      </c>
      <c r="R459" s="9">
        <v>5202125</v>
      </c>
      <c r="S459" s="9">
        <v>5202125</v>
      </c>
      <c r="T459" s="9">
        <v>5400125</v>
      </c>
      <c r="U459" s="9">
        <v>5501125</v>
      </c>
      <c r="V459" s="9">
        <v>5400125</v>
      </c>
      <c r="W459" s="9">
        <v>12</v>
      </c>
      <c r="X459" s="9">
        <v>12</v>
      </c>
      <c r="Y459" s="9">
        <v>12</v>
      </c>
      <c r="Z459" s="9">
        <v>12</v>
      </c>
      <c r="AA459" s="9">
        <v>12</v>
      </c>
      <c r="AB459" s="9">
        <v>12</v>
      </c>
      <c r="AC459" s="9">
        <f t="shared" si="302"/>
        <v>949</v>
      </c>
      <c r="AD459" s="9">
        <f t="shared" si="303"/>
        <v>1026</v>
      </c>
      <c r="AE459" s="9">
        <f t="shared" si="304"/>
        <v>1026</v>
      </c>
      <c r="AF459" s="9">
        <f t="shared" si="305"/>
        <v>1026</v>
      </c>
      <c r="AG459" s="9">
        <f t="shared" si="306"/>
        <v>1026</v>
      </c>
      <c r="AH459" s="9">
        <f t="shared" si="307"/>
        <v>1026</v>
      </c>
      <c r="AI459" s="7">
        <f t="shared" si="283"/>
        <v>1869842.8049999999</v>
      </c>
      <c r="AJ459" s="7">
        <f t="shared" si="280"/>
        <v>1869842.8049999999</v>
      </c>
      <c r="AK459" s="7">
        <f t="shared" si="280"/>
        <v>1869842.8049999999</v>
      </c>
      <c r="AL459" s="7">
        <f t="shared" ref="AJ459:AN503" si="314">$P459/6</f>
        <v>1869842.8049999999</v>
      </c>
      <c r="AM459" s="7">
        <f t="shared" si="314"/>
        <v>1869842.8049999999</v>
      </c>
      <c r="AN459" s="7">
        <f t="shared" si="314"/>
        <v>1869842.8049999999</v>
      </c>
      <c r="AO459" s="16"/>
      <c r="AP459" s="7"/>
      <c r="AQ459" s="9">
        <v>8</v>
      </c>
      <c r="AR459" s="9">
        <f t="shared" si="308"/>
        <v>1213</v>
      </c>
      <c r="AS459" s="7">
        <f t="shared" si="281"/>
        <v>328</v>
      </c>
      <c r="AT459" s="7"/>
      <c r="AU459" s="16"/>
      <c r="AV459" s="7"/>
      <c r="AW459" s="7"/>
      <c r="AX459" s="7"/>
      <c r="AZ459" s="7"/>
      <c r="BA459" s="9">
        <f t="shared" si="313"/>
        <v>1115331.6000000003</v>
      </c>
      <c r="BC459" s="5">
        <f t="shared" si="309"/>
        <v>887</v>
      </c>
      <c r="BR459" s="5">
        <v>2205023</v>
      </c>
      <c r="BS459" s="18">
        <f>[1]monsters!$N459</f>
        <v>67.2</v>
      </c>
      <c r="BT459" s="18">
        <f>[1]monsters!$O459</f>
        <v>6.72</v>
      </c>
      <c r="BU459" s="18">
        <f>[1]monsters!$P459</f>
        <v>1066.67</v>
      </c>
      <c r="BV459" s="18">
        <f>[1]monsters!$Q459</f>
        <v>106.67</v>
      </c>
      <c r="BW459" s="18">
        <f>[1]monsters!$R459</f>
        <v>13.44</v>
      </c>
      <c r="BX459" s="18">
        <f>[1]monsters!$S459</f>
        <v>1.34</v>
      </c>
      <c r="BY459" s="18">
        <f>[1]monsters!$K459</f>
        <v>1.4</v>
      </c>
      <c r="BZ459" s="5">
        <f>[1]monsters!$D459</f>
        <v>2</v>
      </c>
      <c r="CA459" s="5">
        <f t="shared" si="310"/>
        <v>0.1</v>
      </c>
      <c r="CB459" s="5">
        <f t="shared" si="311"/>
        <v>99.418814814814823</v>
      </c>
      <c r="CC459" s="5">
        <f t="shared" si="312"/>
        <v>9.9418814814814827</v>
      </c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>
        <v>0</v>
      </c>
      <c r="CR459" s="3" t="b">
        <f t="shared" si="284"/>
        <v>1</v>
      </c>
      <c r="CS459" s="3" t="b">
        <f t="shared" si="285"/>
        <v>1</v>
      </c>
      <c r="CT459" s="3" t="b">
        <f t="shared" si="286"/>
        <v>1</v>
      </c>
      <c r="CU459" s="3" t="b">
        <f t="shared" si="287"/>
        <v>1</v>
      </c>
      <c r="CV459" s="3" t="b">
        <f t="shared" si="288"/>
        <v>1</v>
      </c>
      <c r="CW459" s="3" t="b">
        <f t="shared" si="289"/>
        <v>1</v>
      </c>
      <c r="CX459" s="9" t="str">
        <f t="shared" si="290"/>
        <v>5302125</v>
      </c>
      <c r="CY459" s="9" t="str">
        <f t="shared" si="291"/>
        <v>5202125</v>
      </c>
      <c r="CZ459" s="9" t="str">
        <f t="shared" si="292"/>
        <v>5202125</v>
      </c>
      <c r="DA459" s="9" t="str">
        <f t="shared" si="293"/>
        <v>5400125</v>
      </c>
      <c r="DB459" s="9" t="str">
        <f t="shared" si="294"/>
        <v>5501125</v>
      </c>
      <c r="DC459" s="9" t="str">
        <f t="shared" si="295"/>
        <v>5400125</v>
      </c>
      <c r="DD459" s="9">
        <v>12</v>
      </c>
      <c r="DE459" s="9">
        <v>12</v>
      </c>
      <c r="DF459" s="9">
        <v>12</v>
      </c>
      <c r="DG459" s="9">
        <v>12</v>
      </c>
      <c r="DH459" s="9">
        <v>12</v>
      </c>
      <c r="DI459" s="9">
        <v>12</v>
      </c>
      <c r="DJ459" s="9">
        <v>5</v>
      </c>
      <c r="DK459" s="9">
        <v>5</v>
      </c>
      <c r="DL459" s="9">
        <v>5</v>
      </c>
      <c r="DM459" s="9">
        <v>5</v>
      </c>
      <c r="DN459" s="9">
        <v>5</v>
      </c>
      <c r="DO459" s="9">
        <v>5</v>
      </c>
      <c r="DP459" s="26" t="s">
        <v>221</v>
      </c>
      <c r="DQ459" s="26" t="s">
        <v>213</v>
      </c>
      <c r="DR459" s="26" t="s">
        <v>213</v>
      </c>
      <c r="DS459" s="26" t="s">
        <v>210</v>
      </c>
      <c r="DT459" s="26" t="s">
        <v>209</v>
      </c>
      <c r="DU459" s="26" t="s">
        <v>210</v>
      </c>
      <c r="DV459" s="26">
        <f t="shared" si="296"/>
        <v>1</v>
      </c>
      <c r="DW459" s="26">
        <f t="shared" si="297"/>
        <v>1</v>
      </c>
      <c r="DX459" s="26">
        <f t="shared" si="298"/>
        <v>1</v>
      </c>
      <c r="DY459" s="26">
        <f t="shared" si="299"/>
        <v>2</v>
      </c>
      <c r="DZ459" s="26">
        <f t="shared" si="300"/>
        <v>2</v>
      </c>
      <c r="EA459" s="3">
        <f t="shared" si="301"/>
        <v>2</v>
      </c>
      <c r="EB459" s="29"/>
    </row>
    <row r="460" spans="1:132" ht="13.5" customHeight="1">
      <c r="A460" s="9">
        <v>457</v>
      </c>
      <c r="B460" s="9">
        <v>1</v>
      </c>
      <c r="C460" s="9">
        <v>2001</v>
      </c>
      <c r="D460" s="9">
        <f t="shared" si="278"/>
        <v>14238889</v>
      </c>
      <c r="E460" s="9" t="str">
        <f t="shared" ref="E460:E523" si="315">Q460&amp;","&amp;R460&amp;","&amp;S460&amp;","&amp;T460&amp;","&amp;U460&amp;","&amp;V460</f>
        <v>5300125,5202125,5301122,5500122,5400125,5501125</v>
      </c>
      <c r="F460" s="9" t="str">
        <f t="shared" ref="F460:F523" si="316">W460&amp;","&amp;X460&amp;","&amp;Y460&amp;","&amp;Z460&amp;","&amp;AA460&amp;","&amp;AB460</f>
        <v>12,12,12,12,12,12</v>
      </c>
      <c r="G460" s="9" t="str">
        <f t="shared" ref="G460:G523" si="317">AC460&amp;","&amp;AD460&amp;","&amp;AE460&amp;","&amp;AF460&amp;","&amp;AG460&amp;","&amp;AH460</f>
        <v>950,1027,1027,1027,1027,1027</v>
      </c>
      <c r="H460" s="9">
        <v>222</v>
      </c>
      <c r="I460" s="9" t="s">
        <v>278</v>
      </c>
      <c r="J460" s="9" t="s">
        <v>279</v>
      </c>
      <c r="K460" s="9" t="s">
        <v>279</v>
      </c>
      <c r="L460" s="9" t="s">
        <v>279</v>
      </c>
      <c r="M460" s="36" t="s">
        <v>310</v>
      </c>
      <c r="N460" s="40"/>
      <c r="O460" s="3">
        <f t="shared" si="279"/>
        <v>14238889</v>
      </c>
      <c r="P460" s="9">
        <v>11256038.99</v>
      </c>
      <c r="Q460" s="9">
        <v>5300125</v>
      </c>
      <c r="R460" s="9">
        <v>5202125</v>
      </c>
      <c r="S460" s="9">
        <v>5301122</v>
      </c>
      <c r="T460" s="9">
        <v>5500122</v>
      </c>
      <c r="U460" s="9">
        <v>5400125</v>
      </c>
      <c r="V460" s="9">
        <v>5501125</v>
      </c>
      <c r="W460" s="9">
        <v>12</v>
      </c>
      <c r="X460" s="9">
        <v>12</v>
      </c>
      <c r="Y460" s="9">
        <v>12</v>
      </c>
      <c r="Z460" s="9">
        <v>12</v>
      </c>
      <c r="AA460" s="9">
        <v>12</v>
      </c>
      <c r="AB460" s="9">
        <v>12</v>
      </c>
      <c r="AC460" s="9">
        <f t="shared" si="302"/>
        <v>950</v>
      </c>
      <c r="AD460" s="9">
        <f t="shared" si="303"/>
        <v>1027</v>
      </c>
      <c r="AE460" s="9">
        <f t="shared" si="304"/>
        <v>1027</v>
      </c>
      <c r="AF460" s="9">
        <f t="shared" si="305"/>
        <v>1027</v>
      </c>
      <c r="AG460" s="9">
        <f t="shared" si="306"/>
        <v>1027</v>
      </c>
      <c r="AH460" s="9">
        <f t="shared" si="307"/>
        <v>1027</v>
      </c>
      <c r="AI460" s="7">
        <f t="shared" si="283"/>
        <v>1876006.4983333333</v>
      </c>
      <c r="AJ460" s="7">
        <f t="shared" si="314"/>
        <v>1876006.4983333333</v>
      </c>
      <c r="AK460" s="7">
        <f t="shared" si="314"/>
        <v>1876006.4983333333</v>
      </c>
      <c r="AL460" s="7">
        <f t="shared" si="314"/>
        <v>1876006.4983333333</v>
      </c>
      <c r="AM460" s="7">
        <f t="shared" si="314"/>
        <v>1876006.4983333333</v>
      </c>
      <c r="AN460" s="7">
        <f t="shared" si="314"/>
        <v>1876006.4983333333</v>
      </c>
      <c r="AO460" s="16"/>
      <c r="AP460" s="7"/>
      <c r="AQ460" s="9">
        <v>8</v>
      </c>
      <c r="AR460" s="9">
        <f t="shared" si="308"/>
        <v>1215</v>
      </c>
      <c r="AS460" s="7">
        <f t="shared" si="281"/>
        <v>328</v>
      </c>
      <c r="AT460" s="7"/>
      <c r="AU460" s="16"/>
      <c r="AV460" s="7"/>
      <c r="AW460" s="7"/>
      <c r="AX460" s="7"/>
      <c r="AZ460" s="7"/>
      <c r="BA460" s="9">
        <f t="shared" si="313"/>
        <v>1135437.7000000004</v>
      </c>
      <c r="BC460" s="5">
        <f t="shared" si="309"/>
        <v>888</v>
      </c>
      <c r="BR460" s="5">
        <v>2405023</v>
      </c>
      <c r="BS460" s="18">
        <f>[1]monsters!$N460</f>
        <v>110.93</v>
      </c>
      <c r="BT460" s="18">
        <f>[1]monsters!$O460</f>
        <v>11.09</v>
      </c>
      <c r="BU460" s="18">
        <f>[1]monsters!$P460</f>
        <v>738.46</v>
      </c>
      <c r="BV460" s="18">
        <f>[1]monsters!$Q460</f>
        <v>73.849999999999994</v>
      </c>
      <c r="BW460" s="18">
        <f>[1]monsters!$R460</f>
        <v>11.09</v>
      </c>
      <c r="BX460" s="18">
        <f>[1]monsters!$S460</f>
        <v>1.1100000000000001</v>
      </c>
      <c r="BY460" s="18">
        <f>[1]monsters!$K460</f>
        <v>1.6</v>
      </c>
      <c r="BZ460" s="5">
        <f>[1]monsters!$D460</f>
        <v>4</v>
      </c>
      <c r="CA460" s="5">
        <f t="shared" si="310"/>
        <v>0.1</v>
      </c>
      <c r="CB460" s="5">
        <f t="shared" si="311"/>
        <v>129.69282306397309</v>
      </c>
      <c r="CC460" s="5">
        <f t="shared" si="312"/>
        <v>12.969282306397311</v>
      </c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>
        <v>0</v>
      </c>
      <c r="CR460" s="3" t="b">
        <f t="shared" si="284"/>
        <v>1</v>
      </c>
      <c r="CS460" s="3" t="b">
        <f t="shared" si="285"/>
        <v>1</v>
      </c>
      <c r="CT460" s="3" t="b">
        <f t="shared" si="286"/>
        <v>1</v>
      </c>
      <c r="CU460" s="3" t="b">
        <f t="shared" si="287"/>
        <v>1</v>
      </c>
      <c r="CV460" s="3" t="b">
        <f t="shared" si="288"/>
        <v>1</v>
      </c>
      <c r="CW460" s="3" t="b">
        <f t="shared" si="289"/>
        <v>1</v>
      </c>
      <c r="CX460" s="9" t="str">
        <f t="shared" si="290"/>
        <v>5300125</v>
      </c>
      <c r="CY460" s="9" t="str">
        <f t="shared" si="291"/>
        <v>5202125</v>
      </c>
      <c r="CZ460" s="9" t="str">
        <f t="shared" si="292"/>
        <v>5301122</v>
      </c>
      <c r="DA460" s="9" t="str">
        <f t="shared" si="293"/>
        <v>5500122</v>
      </c>
      <c r="DB460" s="9" t="str">
        <f t="shared" si="294"/>
        <v>5400125</v>
      </c>
      <c r="DC460" s="9" t="str">
        <f t="shared" si="295"/>
        <v>5501125</v>
      </c>
      <c r="DD460" s="9">
        <v>12</v>
      </c>
      <c r="DE460" s="9">
        <v>12</v>
      </c>
      <c r="DF460" s="9">
        <v>12</v>
      </c>
      <c r="DG460" s="9">
        <v>12</v>
      </c>
      <c r="DH460" s="9">
        <v>12</v>
      </c>
      <c r="DI460" s="9">
        <v>12</v>
      </c>
      <c r="DJ460" s="9">
        <v>5</v>
      </c>
      <c r="DK460" s="9">
        <v>5</v>
      </c>
      <c r="DL460" s="9">
        <v>5</v>
      </c>
      <c r="DM460" s="9">
        <v>5</v>
      </c>
      <c r="DN460" s="9">
        <v>5</v>
      </c>
      <c r="DO460" s="9">
        <v>5</v>
      </c>
      <c r="DP460" s="25" t="s">
        <v>212</v>
      </c>
      <c r="DQ460" s="25" t="s">
        <v>213</v>
      </c>
      <c r="DR460" s="26" t="s">
        <v>201</v>
      </c>
      <c r="DS460" s="26" t="s">
        <v>109</v>
      </c>
      <c r="DT460" s="25" t="s">
        <v>210</v>
      </c>
      <c r="DU460" s="25" t="s">
        <v>209</v>
      </c>
      <c r="DV460" s="25">
        <f t="shared" si="296"/>
        <v>1</v>
      </c>
      <c r="DW460" s="25">
        <f t="shared" si="297"/>
        <v>1</v>
      </c>
      <c r="DX460" s="25">
        <f t="shared" si="298"/>
        <v>1</v>
      </c>
      <c r="DY460" s="25">
        <f t="shared" si="299"/>
        <v>2</v>
      </c>
      <c r="DZ460" s="25">
        <f t="shared" si="300"/>
        <v>2</v>
      </c>
      <c r="EA460" s="3">
        <f t="shared" si="301"/>
        <v>2</v>
      </c>
      <c r="EB460" s="30"/>
    </row>
    <row r="461" spans="1:132" ht="13.5" customHeight="1">
      <c r="A461" s="9">
        <v>458</v>
      </c>
      <c r="B461" s="9">
        <v>1</v>
      </c>
      <c r="C461" s="9">
        <v>2001</v>
      </c>
      <c r="D461" s="9">
        <f t="shared" si="278"/>
        <v>14285750</v>
      </c>
      <c r="E461" s="9" t="str">
        <f t="shared" si="315"/>
        <v>5202123,5202122,5201124,5501124,5500123,5501124</v>
      </c>
      <c r="F461" s="9" t="str">
        <f t="shared" si="316"/>
        <v>12,12,12,12,12,12</v>
      </c>
      <c r="G461" s="9" t="str">
        <f t="shared" si="317"/>
        <v>952,1029,1029,1029,1029,1029</v>
      </c>
      <c r="H461" s="9">
        <v>223</v>
      </c>
      <c r="I461" s="9" t="s">
        <v>278</v>
      </c>
      <c r="J461" s="9" t="s">
        <v>279</v>
      </c>
      <c r="K461" s="9" t="s">
        <v>279</v>
      </c>
      <c r="L461" s="9" t="s">
        <v>279</v>
      </c>
      <c r="M461" s="36" t="s">
        <v>310</v>
      </c>
      <c r="N461" s="40"/>
      <c r="O461" s="3">
        <f t="shared" si="279"/>
        <v>14285750</v>
      </c>
      <c r="P461" s="9">
        <v>11293082.84</v>
      </c>
      <c r="Q461" s="9">
        <v>5202123</v>
      </c>
      <c r="R461" s="9">
        <v>5202122</v>
      </c>
      <c r="S461" s="9">
        <v>5201124</v>
      </c>
      <c r="T461" s="9">
        <v>5501124</v>
      </c>
      <c r="U461" s="9">
        <v>5500123</v>
      </c>
      <c r="V461" s="9">
        <v>5501124</v>
      </c>
      <c r="W461" s="9">
        <v>12</v>
      </c>
      <c r="X461" s="9">
        <v>12</v>
      </c>
      <c r="Y461" s="9">
        <v>12</v>
      </c>
      <c r="Z461" s="9">
        <v>12</v>
      </c>
      <c r="AA461" s="9">
        <v>12</v>
      </c>
      <c r="AB461" s="9">
        <v>12</v>
      </c>
      <c r="AC461" s="9">
        <f t="shared" si="302"/>
        <v>952</v>
      </c>
      <c r="AD461" s="9">
        <f t="shared" si="303"/>
        <v>1029</v>
      </c>
      <c r="AE461" s="9">
        <f t="shared" si="304"/>
        <v>1029</v>
      </c>
      <c r="AF461" s="9">
        <f t="shared" si="305"/>
        <v>1029</v>
      </c>
      <c r="AG461" s="9">
        <f t="shared" si="306"/>
        <v>1029</v>
      </c>
      <c r="AH461" s="9">
        <f t="shared" si="307"/>
        <v>1029</v>
      </c>
      <c r="AI461" s="7">
        <f t="shared" si="283"/>
        <v>1882180.4733333334</v>
      </c>
      <c r="AJ461" s="7">
        <f t="shared" si="314"/>
        <v>1882180.4733333334</v>
      </c>
      <c r="AK461" s="7">
        <f t="shared" si="314"/>
        <v>1882180.4733333334</v>
      </c>
      <c r="AL461" s="7">
        <f t="shared" si="314"/>
        <v>1882180.4733333334</v>
      </c>
      <c r="AM461" s="7">
        <f t="shared" si="314"/>
        <v>1882180.4733333334</v>
      </c>
      <c r="AN461" s="7">
        <f t="shared" si="314"/>
        <v>1882180.4733333334</v>
      </c>
      <c r="AO461" s="16"/>
      <c r="AP461" s="7"/>
      <c r="AQ461" s="9">
        <v>8</v>
      </c>
      <c r="AR461" s="9">
        <f t="shared" si="308"/>
        <v>1217</v>
      </c>
      <c r="AS461" s="7">
        <f t="shared" si="281"/>
        <v>329</v>
      </c>
      <c r="AT461" s="7"/>
      <c r="AU461" s="16"/>
      <c r="AV461" s="7"/>
      <c r="AW461" s="7"/>
      <c r="AX461" s="7"/>
      <c r="AZ461" s="7"/>
      <c r="BA461" s="9">
        <f t="shared" si="313"/>
        <v>1155543.8000000005</v>
      </c>
      <c r="BC461" s="5">
        <f t="shared" si="309"/>
        <v>890</v>
      </c>
      <c r="BR461" s="5">
        <v>2203023</v>
      </c>
      <c r="BS461" s="18">
        <f>[1]monsters!$N461</f>
        <v>102.4</v>
      </c>
      <c r="BT461" s="18">
        <f>[1]monsters!$O461</f>
        <v>10.24</v>
      </c>
      <c r="BU461" s="18">
        <f>[1]monsters!$P461</f>
        <v>800</v>
      </c>
      <c r="BV461" s="18">
        <f>[1]monsters!$Q461</f>
        <v>80</v>
      </c>
      <c r="BW461" s="18">
        <f>[1]monsters!$R461</f>
        <v>17.07</v>
      </c>
      <c r="BX461" s="18">
        <f>[1]monsters!$S461</f>
        <v>1.71</v>
      </c>
      <c r="BY461" s="18">
        <f>[1]monsters!$K461</f>
        <v>1.6</v>
      </c>
      <c r="BZ461" s="5">
        <f>[1]monsters!$D461</f>
        <v>5</v>
      </c>
      <c r="CA461" s="5">
        <f t="shared" si="310"/>
        <v>0.1</v>
      </c>
      <c r="CB461" s="5">
        <f t="shared" si="311"/>
        <v>123.70402693602695</v>
      </c>
      <c r="CC461" s="5">
        <f t="shared" si="312"/>
        <v>12.370402693602696</v>
      </c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>
        <v>0</v>
      </c>
      <c r="CR461" s="3" t="b">
        <f t="shared" si="284"/>
        <v>1</v>
      </c>
      <c r="CS461" s="3" t="b">
        <f t="shared" si="285"/>
        <v>1</v>
      </c>
      <c r="CT461" s="3" t="b">
        <f t="shared" si="286"/>
        <v>1</v>
      </c>
      <c r="CU461" s="3" t="b">
        <f t="shared" si="287"/>
        <v>1</v>
      </c>
      <c r="CV461" s="3" t="b">
        <f t="shared" si="288"/>
        <v>1</v>
      </c>
      <c r="CW461" s="3" t="b">
        <f t="shared" si="289"/>
        <v>1</v>
      </c>
      <c r="CX461" s="9" t="str">
        <f t="shared" si="290"/>
        <v>5202123</v>
      </c>
      <c r="CY461" s="9" t="str">
        <f t="shared" si="291"/>
        <v>5202122</v>
      </c>
      <c r="CZ461" s="9" t="str">
        <f t="shared" si="292"/>
        <v>5201124</v>
      </c>
      <c r="DA461" s="9" t="str">
        <f t="shared" si="293"/>
        <v>5501124</v>
      </c>
      <c r="DB461" s="9" t="str">
        <f t="shared" si="294"/>
        <v>5500123</v>
      </c>
      <c r="DC461" s="9" t="str">
        <f t="shared" si="295"/>
        <v>5501124</v>
      </c>
      <c r="DD461" s="9">
        <v>12</v>
      </c>
      <c r="DE461" s="9">
        <v>12</v>
      </c>
      <c r="DF461" s="9">
        <v>12</v>
      </c>
      <c r="DG461" s="9">
        <v>12</v>
      </c>
      <c r="DH461" s="9">
        <v>12</v>
      </c>
      <c r="DI461" s="9">
        <v>12</v>
      </c>
      <c r="DJ461" s="9">
        <v>5</v>
      </c>
      <c r="DK461" s="9">
        <v>5</v>
      </c>
      <c r="DL461" s="9">
        <v>5</v>
      </c>
      <c r="DM461" s="9">
        <v>5</v>
      </c>
      <c r="DN461" s="9">
        <v>5</v>
      </c>
      <c r="DO461" s="9">
        <v>5</v>
      </c>
      <c r="DP461" s="25" t="s">
        <v>208</v>
      </c>
      <c r="DQ461" s="25" t="s">
        <v>200</v>
      </c>
      <c r="DR461" s="26" t="s">
        <v>217</v>
      </c>
      <c r="DS461" s="26" t="s">
        <v>214</v>
      </c>
      <c r="DT461" s="26" t="s">
        <v>207</v>
      </c>
      <c r="DU461" s="26" t="s">
        <v>214</v>
      </c>
      <c r="DV461" s="26">
        <f t="shared" si="296"/>
        <v>1</v>
      </c>
      <c r="DW461" s="26">
        <f t="shared" si="297"/>
        <v>1</v>
      </c>
      <c r="DX461" s="26">
        <f t="shared" si="298"/>
        <v>1</v>
      </c>
      <c r="DY461" s="26">
        <f t="shared" si="299"/>
        <v>2</v>
      </c>
      <c r="DZ461" s="26">
        <f t="shared" si="300"/>
        <v>2</v>
      </c>
      <c r="EA461" s="3">
        <f t="shared" si="301"/>
        <v>2</v>
      </c>
      <c r="EB461" s="29"/>
    </row>
    <row r="462" spans="1:132" ht="13.5" customHeight="1">
      <c r="A462" s="9">
        <v>459</v>
      </c>
      <c r="B462" s="9">
        <v>1</v>
      </c>
      <c r="C462" s="9">
        <v>2001</v>
      </c>
      <c r="D462" s="9">
        <f t="shared" si="278"/>
        <v>14332686</v>
      </c>
      <c r="E462" s="9" t="str">
        <f t="shared" si="315"/>
        <v>5202123,5202122,5301123,5601123,5500123,5502123</v>
      </c>
      <c r="F462" s="9" t="str">
        <f t="shared" si="316"/>
        <v>12,12,12,12,12,12</v>
      </c>
      <c r="G462" s="9" t="str">
        <f t="shared" si="317"/>
        <v>953,1031,1031,1031,1031,1031</v>
      </c>
      <c r="H462" s="9">
        <v>223</v>
      </c>
      <c r="I462" s="9" t="s">
        <v>278</v>
      </c>
      <c r="J462" s="9" t="s">
        <v>279</v>
      </c>
      <c r="K462" s="9" t="s">
        <v>279</v>
      </c>
      <c r="L462" s="9" t="s">
        <v>279</v>
      </c>
      <c r="M462" s="36" t="s">
        <v>310</v>
      </c>
      <c r="N462" s="40"/>
      <c r="O462" s="3">
        <f t="shared" si="279"/>
        <v>14332686</v>
      </c>
      <c r="P462" s="9">
        <v>11330186.390000001</v>
      </c>
      <c r="Q462" s="9">
        <v>5202123</v>
      </c>
      <c r="R462" s="9">
        <v>5202122</v>
      </c>
      <c r="S462" s="9">
        <v>5301123</v>
      </c>
      <c r="T462" s="9">
        <v>5601123</v>
      </c>
      <c r="U462" s="9">
        <v>5500123</v>
      </c>
      <c r="V462" s="9">
        <v>5502123</v>
      </c>
      <c r="W462" s="9">
        <v>12</v>
      </c>
      <c r="X462" s="9">
        <v>12</v>
      </c>
      <c r="Y462" s="9">
        <v>12</v>
      </c>
      <c r="Z462" s="9">
        <v>12</v>
      </c>
      <c r="AA462" s="9">
        <v>12</v>
      </c>
      <c r="AB462" s="9">
        <v>12</v>
      </c>
      <c r="AC462" s="9">
        <f t="shared" si="302"/>
        <v>953</v>
      </c>
      <c r="AD462" s="9">
        <f t="shared" si="303"/>
        <v>1031</v>
      </c>
      <c r="AE462" s="9">
        <f t="shared" si="304"/>
        <v>1031</v>
      </c>
      <c r="AF462" s="9">
        <f t="shared" si="305"/>
        <v>1031</v>
      </c>
      <c r="AG462" s="9">
        <f t="shared" si="306"/>
        <v>1031</v>
      </c>
      <c r="AH462" s="9">
        <f t="shared" si="307"/>
        <v>1031</v>
      </c>
      <c r="AI462" s="7">
        <f t="shared" si="283"/>
        <v>1888364.3983333334</v>
      </c>
      <c r="AJ462" s="7">
        <f t="shared" si="314"/>
        <v>1888364.3983333334</v>
      </c>
      <c r="AK462" s="7">
        <f t="shared" si="314"/>
        <v>1888364.3983333334</v>
      </c>
      <c r="AL462" s="7">
        <f t="shared" si="314"/>
        <v>1888364.3983333334</v>
      </c>
      <c r="AM462" s="7">
        <f t="shared" si="314"/>
        <v>1888364.3983333334</v>
      </c>
      <c r="AN462" s="7">
        <f t="shared" si="314"/>
        <v>1888364.3983333334</v>
      </c>
      <c r="AO462" s="16"/>
      <c r="AP462" s="7"/>
      <c r="AQ462" s="9">
        <v>8</v>
      </c>
      <c r="AR462" s="9">
        <f t="shared" si="308"/>
        <v>1219</v>
      </c>
      <c r="AS462" s="7">
        <f t="shared" si="281"/>
        <v>329</v>
      </c>
      <c r="AT462" s="7"/>
      <c r="AU462" s="16"/>
      <c r="AV462" s="7"/>
      <c r="AW462" s="7"/>
      <c r="AX462" s="7"/>
      <c r="AZ462" s="7"/>
      <c r="BA462" s="9">
        <f t="shared" si="313"/>
        <v>1175649.9000000006</v>
      </c>
      <c r="BC462" s="5">
        <f t="shared" si="309"/>
        <v>891</v>
      </c>
      <c r="BR462" s="5">
        <v>2403023</v>
      </c>
      <c r="BS462" s="18">
        <f>[1]monsters!$N462</f>
        <v>85.87</v>
      </c>
      <c r="BT462" s="18">
        <f>[1]monsters!$O462</f>
        <v>8.59</v>
      </c>
      <c r="BU462" s="18">
        <f>[1]monsters!$P462</f>
        <v>834.78</v>
      </c>
      <c r="BV462" s="18">
        <f>[1]monsters!$Q462</f>
        <v>83.48</v>
      </c>
      <c r="BW462" s="18">
        <f>[1]monsters!$R462</f>
        <v>10.73</v>
      </c>
      <c r="BX462" s="18">
        <f>[1]monsters!$S462</f>
        <v>1.07</v>
      </c>
      <c r="BY462" s="18">
        <f>[1]monsters!$K462</f>
        <v>1.4</v>
      </c>
      <c r="BZ462" s="5">
        <f>[1]monsters!$D462</f>
        <v>3</v>
      </c>
      <c r="CA462" s="5">
        <f t="shared" si="310"/>
        <v>0.1</v>
      </c>
      <c r="CB462" s="5">
        <f t="shared" si="311"/>
        <v>109.25422070707071</v>
      </c>
      <c r="CC462" s="5">
        <f t="shared" si="312"/>
        <v>10.925422070707071</v>
      </c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>
        <v>0</v>
      </c>
      <c r="CR462" s="3" t="b">
        <f t="shared" si="284"/>
        <v>1</v>
      </c>
      <c r="CS462" s="3" t="b">
        <f t="shared" si="285"/>
        <v>1</v>
      </c>
      <c r="CT462" s="3" t="b">
        <f t="shared" si="286"/>
        <v>1</v>
      </c>
      <c r="CU462" s="3" t="b">
        <f t="shared" si="287"/>
        <v>1</v>
      </c>
      <c r="CV462" s="3" t="b">
        <f t="shared" si="288"/>
        <v>1</v>
      </c>
      <c r="CW462" s="3" t="b">
        <f t="shared" si="289"/>
        <v>1</v>
      </c>
      <c r="CX462" s="9" t="str">
        <f t="shared" si="290"/>
        <v>5202123</v>
      </c>
      <c r="CY462" s="9" t="str">
        <f t="shared" si="291"/>
        <v>5202122</v>
      </c>
      <c r="CZ462" s="9" t="str">
        <f t="shared" si="292"/>
        <v>5301123</v>
      </c>
      <c r="DA462" s="9" t="str">
        <f t="shared" si="293"/>
        <v>5601123</v>
      </c>
      <c r="DB462" s="9" t="str">
        <f t="shared" si="294"/>
        <v>5500123</v>
      </c>
      <c r="DC462" s="9" t="str">
        <f t="shared" si="295"/>
        <v>5502123</v>
      </c>
      <c r="DD462" s="9">
        <v>12</v>
      </c>
      <c r="DE462" s="9">
        <v>12</v>
      </c>
      <c r="DF462" s="9">
        <v>12</v>
      </c>
      <c r="DG462" s="9">
        <v>12</v>
      </c>
      <c r="DH462" s="9">
        <v>12</v>
      </c>
      <c r="DI462" s="9">
        <v>12</v>
      </c>
      <c r="DJ462" s="9">
        <v>5</v>
      </c>
      <c r="DK462" s="9">
        <v>5</v>
      </c>
      <c r="DL462" s="9">
        <v>5</v>
      </c>
      <c r="DM462" s="9">
        <v>5</v>
      </c>
      <c r="DN462" s="9">
        <v>5</v>
      </c>
      <c r="DO462" s="9">
        <v>5</v>
      </c>
      <c r="DP462" s="25" t="s">
        <v>208</v>
      </c>
      <c r="DQ462" s="25" t="s">
        <v>200</v>
      </c>
      <c r="DR462" s="25" t="s">
        <v>206</v>
      </c>
      <c r="DS462" s="25" t="s">
        <v>216</v>
      </c>
      <c r="DT462" s="26" t="s">
        <v>207</v>
      </c>
      <c r="DU462" s="26" t="s">
        <v>215</v>
      </c>
      <c r="DV462" s="26">
        <f t="shared" si="296"/>
        <v>1</v>
      </c>
      <c r="DW462" s="26">
        <f t="shared" si="297"/>
        <v>1</v>
      </c>
      <c r="DX462" s="26">
        <f t="shared" si="298"/>
        <v>1</v>
      </c>
      <c r="DY462" s="26">
        <f t="shared" si="299"/>
        <v>2</v>
      </c>
      <c r="DZ462" s="26">
        <f t="shared" si="300"/>
        <v>2</v>
      </c>
      <c r="EA462" s="3">
        <f t="shared" si="301"/>
        <v>2</v>
      </c>
      <c r="EB462" s="29"/>
    </row>
    <row r="463" spans="1:132" ht="13.5" customHeight="1">
      <c r="A463" s="9">
        <v>460</v>
      </c>
      <c r="B463" s="9">
        <v>1</v>
      </c>
      <c r="C463" s="9">
        <v>2001</v>
      </c>
      <c r="D463" s="9">
        <f t="shared" si="278"/>
        <v>14379700</v>
      </c>
      <c r="E463" s="9" t="str">
        <f t="shared" si="315"/>
        <v>5201123,5201123,5201123,5402123,5402123,5402123</v>
      </c>
      <c r="F463" s="9" t="str">
        <f t="shared" si="316"/>
        <v>12,12,12,12,12,12</v>
      </c>
      <c r="G463" s="9" t="str">
        <f t="shared" si="317"/>
        <v>955,1032,1032,1032,1032,1032</v>
      </c>
      <c r="H463" s="9">
        <v>224</v>
      </c>
      <c r="I463" s="9" t="s">
        <v>278</v>
      </c>
      <c r="J463" s="9" t="s">
        <v>279</v>
      </c>
      <c r="K463" s="9" t="s">
        <v>279</v>
      </c>
      <c r="L463" s="9" t="s">
        <v>279</v>
      </c>
      <c r="M463" s="36" t="s">
        <v>310</v>
      </c>
      <c r="O463" s="3">
        <f t="shared" si="279"/>
        <v>14379700</v>
      </c>
      <c r="P463" s="9">
        <v>11367351.630000001</v>
      </c>
      <c r="Q463" s="9">
        <v>5201123</v>
      </c>
      <c r="R463" s="9">
        <v>5201123</v>
      </c>
      <c r="S463" s="9">
        <v>5201123</v>
      </c>
      <c r="T463" s="9">
        <v>5402123</v>
      </c>
      <c r="U463" s="9">
        <v>5402123</v>
      </c>
      <c r="V463" s="9">
        <v>5402123</v>
      </c>
      <c r="W463" s="9">
        <v>12</v>
      </c>
      <c r="X463" s="9">
        <v>12</v>
      </c>
      <c r="Y463" s="9">
        <v>12</v>
      </c>
      <c r="Z463" s="9">
        <v>12</v>
      </c>
      <c r="AA463" s="9">
        <v>12</v>
      </c>
      <c r="AB463" s="9">
        <v>12</v>
      </c>
      <c r="AC463" s="9">
        <f t="shared" si="302"/>
        <v>955</v>
      </c>
      <c r="AD463" s="9">
        <f t="shared" si="303"/>
        <v>1032</v>
      </c>
      <c r="AE463" s="9">
        <f t="shared" si="304"/>
        <v>1032</v>
      </c>
      <c r="AF463" s="9">
        <f t="shared" si="305"/>
        <v>1032</v>
      </c>
      <c r="AG463" s="9">
        <f t="shared" si="306"/>
        <v>1032</v>
      </c>
      <c r="AH463" s="9">
        <f t="shared" si="307"/>
        <v>1032</v>
      </c>
      <c r="AI463" s="7">
        <f t="shared" si="283"/>
        <v>1894558.6050000002</v>
      </c>
      <c r="AJ463" s="7">
        <f t="shared" si="314"/>
        <v>1894558.6050000002</v>
      </c>
      <c r="AK463" s="7">
        <f t="shared" si="314"/>
        <v>1894558.6050000002</v>
      </c>
      <c r="AL463" s="7">
        <f t="shared" si="314"/>
        <v>1894558.6050000002</v>
      </c>
      <c r="AM463" s="7">
        <f t="shared" si="314"/>
        <v>1894558.6050000002</v>
      </c>
      <c r="AN463" s="7">
        <f t="shared" si="314"/>
        <v>1894558.6050000002</v>
      </c>
      <c r="AO463" s="16"/>
      <c r="AP463" s="7"/>
      <c r="AQ463" s="9">
        <v>8</v>
      </c>
      <c r="AR463" s="9">
        <f t="shared" si="308"/>
        <v>1221</v>
      </c>
      <c r="AS463" s="7">
        <f t="shared" si="281"/>
        <v>330</v>
      </c>
      <c r="AT463" s="7"/>
      <c r="AU463" s="16"/>
      <c r="AV463" s="7"/>
      <c r="AW463" s="7"/>
      <c r="AX463" s="7"/>
      <c r="AZ463" s="7"/>
      <c r="BA463" s="9">
        <f t="shared" si="313"/>
        <v>1195756.0000000007</v>
      </c>
      <c r="BC463" s="5">
        <f t="shared" si="309"/>
        <v>893</v>
      </c>
      <c r="BR463" s="5">
        <v>2204023</v>
      </c>
      <c r="BS463" s="18">
        <f>[1]monsters!$N463</f>
        <v>62.4</v>
      </c>
      <c r="BT463" s="18">
        <f>[1]monsters!$O463</f>
        <v>6.24</v>
      </c>
      <c r="BU463" s="18">
        <f>[1]monsters!$P463</f>
        <v>1066.67</v>
      </c>
      <c r="BV463" s="18">
        <f>[1]monsters!$Q463</f>
        <v>106.67</v>
      </c>
      <c r="BW463" s="18">
        <f>[1]monsters!$R463</f>
        <v>12.48</v>
      </c>
      <c r="BX463" s="18">
        <f>[1]monsters!$S463</f>
        <v>1.25</v>
      </c>
      <c r="BY463" s="18">
        <f>[1]monsters!$K463</f>
        <v>1.3</v>
      </c>
      <c r="BZ463" s="5">
        <f>[1]monsters!$D463</f>
        <v>2</v>
      </c>
      <c r="CA463" s="5">
        <f t="shared" si="310"/>
        <v>0.1</v>
      </c>
      <c r="CB463" s="5">
        <f t="shared" si="311"/>
        <v>94.882814814814822</v>
      </c>
      <c r="CC463" s="5">
        <f t="shared" si="312"/>
        <v>9.4882814814814829</v>
      </c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>
        <v>1</v>
      </c>
      <c r="CR463" s="3" t="b">
        <f t="shared" si="284"/>
        <v>1</v>
      </c>
      <c r="CS463" s="3" t="b">
        <f t="shared" si="285"/>
        <v>1</v>
      </c>
      <c r="CT463" s="3" t="b">
        <f t="shared" si="286"/>
        <v>1</v>
      </c>
      <c r="CU463" s="3" t="b">
        <f t="shared" si="287"/>
        <v>1</v>
      </c>
      <c r="CV463" s="3" t="b">
        <f t="shared" si="288"/>
        <v>1</v>
      </c>
      <c r="CW463" s="3" t="b">
        <f t="shared" si="289"/>
        <v>1</v>
      </c>
      <c r="CX463" s="9" t="str">
        <f t="shared" si="290"/>
        <v>5201123</v>
      </c>
      <c r="CY463" s="9" t="str">
        <f t="shared" si="291"/>
        <v>5201123</v>
      </c>
      <c r="CZ463" s="9" t="str">
        <f t="shared" si="292"/>
        <v>5201123</v>
      </c>
      <c r="DA463" s="9" t="str">
        <f t="shared" si="293"/>
        <v>5402123</v>
      </c>
      <c r="DB463" s="9" t="str">
        <f t="shared" si="294"/>
        <v>5402123</v>
      </c>
      <c r="DC463" s="9" t="str">
        <f t="shared" si="295"/>
        <v>5402123</v>
      </c>
      <c r="DD463" s="9">
        <v>12</v>
      </c>
      <c r="DE463" s="9">
        <v>12</v>
      </c>
      <c r="DF463" s="9">
        <v>12</v>
      </c>
      <c r="DG463" s="9">
        <v>12</v>
      </c>
      <c r="DH463" s="9">
        <v>12</v>
      </c>
      <c r="DI463" s="9">
        <v>12</v>
      </c>
      <c r="DJ463" s="9">
        <v>5</v>
      </c>
      <c r="DK463" s="9">
        <v>5</v>
      </c>
      <c r="DL463" s="9">
        <v>5</v>
      </c>
      <c r="DM463" s="9">
        <v>5</v>
      </c>
      <c r="DN463" s="9">
        <v>5</v>
      </c>
      <c r="DO463" s="9">
        <v>5</v>
      </c>
      <c r="DP463" s="25" t="s">
        <v>205</v>
      </c>
      <c r="DQ463" s="25" t="s">
        <v>205</v>
      </c>
      <c r="DR463" s="25" t="s">
        <v>205</v>
      </c>
      <c r="DS463" s="26" t="s">
        <v>118</v>
      </c>
      <c r="DT463" s="26" t="s">
        <v>118</v>
      </c>
      <c r="DU463" s="26" t="s">
        <v>118</v>
      </c>
      <c r="DV463" s="26">
        <f t="shared" si="296"/>
        <v>1</v>
      </c>
      <c r="DW463" s="26">
        <f t="shared" si="297"/>
        <v>1</v>
      </c>
      <c r="DX463" s="26">
        <f t="shared" si="298"/>
        <v>1</v>
      </c>
      <c r="DY463" s="26">
        <f t="shared" si="299"/>
        <v>2</v>
      </c>
      <c r="DZ463" s="26">
        <f t="shared" si="300"/>
        <v>2</v>
      </c>
      <c r="EA463" s="3">
        <f t="shared" si="301"/>
        <v>2</v>
      </c>
      <c r="EB463" s="29"/>
    </row>
    <row r="464" spans="1:132" ht="13.5" customHeight="1">
      <c r="A464" s="9">
        <v>461</v>
      </c>
      <c r="B464" s="9">
        <v>1</v>
      </c>
      <c r="C464" s="9">
        <v>2001</v>
      </c>
      <c r="D464" s="9">
        <f t="shared" si="278"/>
        <v>14426792</v>
      </c>
      <c r="E464" s="9" t="str">
        <f t="shared" si="315"/>
        <v>5302125,5202125,5202125,5502122,5500122,5502123</v>
      </c>
      <c r="F464" s="9" t="str">
        <f t="shared" si="316"/>
        <v>12,12,12,12,12,12</v>
      </c>
      <c r="G464" s="9" t="str">
        <f t="shared" si="317"/>
        <v>957,1034,1034,1034,1034,1034</v>
      </c>
      <c r="H464" s="9">
        <v>224</v>
      </c>
      <c r="I464" s="9" t="s">
        <v>278</v>
      </c>
      <c r="J464" s="9" t="s">
        <v>279</v>
      </c>
      <c r="K464" s="9" t="s">
        <v>279</v>
      </c>
      <c r="L464" s="9" t="s">
        <v>279</v>
      </c>
      <c r="M464" s="36" t="s">
        <v>310</v>
      </c>
      <c r="N464" s="40"/>
      <c r="O464" s="3">
        <f t="shared" si="279"/>
        <v>14426792</v>
      </c>
      <c r="P464" s="9">
        <v>11404578.560000001</v>
      </c>
      <c r="Q464" s="9">
        <v>5302125</v>
      </c>
      <c r="R464" s="9">
        <v>5202125</v>
      </c>
      <c r="S464" s="9">
        <v>5202125</v>
      </c>
      <c r="T464" s="9">
        <v>5502122</v>
      </c>
      <c r="U464" s="9">
        <v>5500122</v>
      </c>
      <c r="V464" s="9">
        <v>5502123</v>
      </c>
      <c r="W464" s="9">
        <v>12</v>
      </c>
      <c r="X464" s="9">
        <v>12</v>
      </c>
      <c r="Y464" s="9">
        <v>12</v>
      </c>
      <c r="Z464" s="9">
        <v>12</v>
      </c>
      <c r="AA464" s="9">
        <v>12</v>
      </c>
      <c r="AB464" s="9">
        <v>12</v>
      </c>
      <c r="AC464" s="9">
        <f t="shared" si="302"/>
        <v>957</v>
      </c>
      <c r="AD464" s="9">
        <f t="shared" si="303"/>
        <v>1034</v>
      </c>
      <c r="AE464" s="9">
        <f t="shared" si="304"/>
        <v>1034</v>
      </c>
      <c r="AF464" s="9">
        <f t="shared" si="305"/>
        <v>1034</v>
      </c>
      <c r="AG464" s="9">
        <f t="shared" si="306"/>
        <v>1034</v>
      </c>
      <c r="AH464" s="9">
        <f t="shared" si="307"/>
        <v>1034</v>
      </c>
      <c r="AI464" s="7">
        <f t="shared" si="283"/>
        <v>1900763.0933333335</v>
      </c>
      <c r="AJ464" s="7">
        <f t="shared" si="314"/>
        <v>1900763.0933333335</v>
      </c>
      <c r="AK464" s="7">
        <f t="shared" si="314"/>
        <v>1900763.0933333335</v>
      </c>
      <c r="AL464" s="7">
        <f t="shared" si="314"/>
        <v>1900763.0933333335</v>
      </c>
      <c r="AM464" s="7">
        <f t="shared" si="314"/>
        <v>1900763.0933333335</v>
      </c>
      <c r="AN464" s="7">
        <f t="shared" si="314"/>
        <v>1900763.0933333335</v>
      </c>
      <c r="AO464" s="16"/>
      <c r="AP464" s="7"/>
      <c r="AQ464" s="9">
        <v>8</v>
      </c>
      <c r="AR464" s="9">
        <f t="shared" si="308"/>
        <v>1223</v>
      </c>
      <c r="AS464" s="7">
        <f t="shared" si="281"/>
        <v>330</v>
      </c>
      <c r="AT464" s="7"/>
      <c r="AU464" s="16"/>
      <c r="AV464" s="7"/>
      <c r="AW464" s="7"/>
      <c r="AX464" s="7"/>
      <c r="AZ464" s="7"/>
      <c r="BA464" s="9">
        <f t="shared" si="313"/>
        <v>1215862.1000000008</v>
      </c>
      <c r="BC464" s="5">
        <f t="shared" si="309"/>
        <v>894</v>
      </c>
      <c r="BR464" s="5">
        <v>2404023</v>
      </c>
      <c r="BS464" s="18">
        <f>[1]monsters!$N464</f>
        <v>83.2</v>
      </c>
      <c r="BT464" s="18">
        <f>[1]monsters!$O464</f>
        <v>8.32</v>
      </c>
      <c r="BU464" s="18">
        <f>[1]monsters!$P464</f>
        <v>800</v>
      </c>
      <c r="BV464" s="18">
        <f>[1]monsters!$Q464</f>
        <v>80</v>
      </c>
      <c r="BW464" s="18">
        <f>[1]monsters!$R464</f>
        <v>8.32</v>
      </c>
      <c r="BX464" s="18">
        <f>[1]monsters!$S464</f>
        <v>0.83</v>
      </c>
      <c r="BY464" s="18">
        <f>[1]monsters!$K464</f>
        <v>1.3</v>
      </c>
      <c r="BZ464" s="5">
        <f>[1]monsters!$D464</f>
        <v>4</v>
      </c>
      <c r="CA464" s="5">
        <f t="shared" si="310"/>
        <v>0.1</v>
      </c>
      <c r="CB464" s="5">
        <f t="shared" si="311"/>
        <v>105.56002693602694</v>
      </c>
      <c r="CC464" s="5">
        <f t="shared" si="312"/>
        <v>10.556002693602695</v>
      </c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>
        <v>0</v>
      </c>
      <c r="CR464" s="3" t="b">
        <f t="shared" si="284"/>
        <v>1</v>
      </c>
      <c r="CS464" s="3" t="b">
        <f t="shared" si="285"/>
        <v>1</v>
      </c>
      <c r="CT464" s="3" t="b">
        <f t="shared" si="286"/>
        <v>1</v>
      </c>
      <c r="CU464" s="3" t="b">
        <f t="shared" si="287"/>
        <v>1</v>
      </c>
      <c r="CV464" s="3" t="b">
        <f t="shared" si="288"/>
        <v>1</v>
      </c>
      <c r="CW464" s="3" t="b">
        <f t="shared" si="289"/>
        <v>1</v>
      </c>
      <c r="CX464" s="9" t="str">
        <f t="shared" si="290"/>
        <v>5302125</v>
      </c>
      <c r="CY464" s="9" t="str">
        <f t="shared" si="291"/>
        <v>5202125</v>
      </c>
      <c r="CZ464" s="9" t="str">
        <f t="shared" si="292"/>
        <v>5202125</v>
      </c>
      <c r="DA464" s="9" t="str">
        <f t="shared" si="293"/>
        <v>5502122</v>
      </c>
      <c r="DB464" s="9" t="str">
        <f t="shared" si="294"/>
        <v>5500122</v>
      </c>
      <c r="DC464" s="9" t="str">
        <f t="shared" si="295"/>
        <v>5502123</v>
      </c>
      <c r="DD464" s="9">
        <v>12</v>
      </c>
      <c r="DE464" s="9">
        <v>12</v>
      </c>
      <c r="DF464" s="9">
        <v>12</v>
      </c>
      <c r="DG464" s="9">
        <v>12</v>
      </c>
      <c r="DH464" s="9">
        <v>12</v>
      </c>
      <c r="DI464" s="9">
        <v>12</v>
      </c>
      <c r="DJ464" s="9">
        <v>5</v>
      </c>
      <c r="DK464" s="9">
        <v>5</v>
      </c>
      <c r="DL464" s="9">
        <v>5</v>
      </c>
      <c r="DM464" s="9">
        <v>5</v>
      </c>
      <c r="DN464" s="9">
        <v>5</v>
      </c>
      <c r="DO464" s="9">
        <v>5</v>
      </c>
      <c r="DP464" s="25" t="s">
        <v>221</v>
      </c>
      <c r="DQ464" s="25" t="s">
        <v>213</v>
      </c>
      <c r="DR464" s="25" t="s">
        <v>213</v>
      </c>
      <c r="DS464" s="26" t="s">
        <v>204</v>
      </c>
      <c r="DT464" s="26" t="s">
        <v>109</v>
      </c>
      <c r="DU464" s="26" t="s">
        <v>215</v>
      </c>
      <c r="DV464" s="26">
        <f t="shared" si="296"/>
        <v>1</v>
      </c>
      <c r="DW464" s="26">
        <f t="shared" si="297"/>
        <v>1</v>
      </c>
      <c r="DX464" s="26">
        <f t="shared" si="298"/>
        <v>1</v>
      </c>
      <c r="DY464" s="26">
        <f t="shared" si="299"/>
        <v>2</v>
      </c>
      <c r="DZ464" s="26">
        <f t="shared" si="300"/>
        <v>2</v>
      </c>
      <c r="EA464" s="3">
        <f t="shared" si="301"/>
        <v>2</v>
      </c>
      <c r="EB464" s="30"/>
    </row>
    <row r="465" spans="1:132" ht="13.5" customHeight="1">
      <c r="A465" s="9">
        <v>462</v>
      </c>
      <c r="B465" s="9">
        <v>1</v>
      </c>
      <c r="C465" s="9">
        <v>2001</v>
      </c>
      <c r="D465" s="9">
        <f t="shared" ref="D465:D528" si="318">O465</f>
        <v>14473959</v>
      </c>
      <c r="E465" s="9" t="str">
        <f t="shared" si="315"/>
        <v>5200122,5200123,5200122,5401121,5501125,5400125</v>
      </c>
      <c r="F465" s="9" t="str">
        <f t="shared" si="316"/>
        <v>12,12,12,12,12,12</v>
      </c>
      <c r="G465" s="9" t="str">
        <f t="shared" si="317"/>
        <v>958,1036,1036,1036,1036,1036</v>
      </c>
      <c r="H465" s="9">
        <v>224</v>
      </c>
      <c r="I465" s="9" t="s">
        <v>278</v>
      </c>
      <c r="J465" s="9" t="s">
        <v>279</v>
      </c>
      <c r="K465" s="9" t="s">
        <v>279</v>
      </c>
      <c r="L465" s="9" t="s">
        <v>279</v>
      </c>
      <c r="M465" s="36" t="s">
        <v>310</v>
      </c>
      <c r="N465" s="40"/>
      <c r="O465" s="3">
        <f t="shared" si="279"/>
        <v>14473959</v>
      </c>
      <c r="P465" s="9">
        <v>11441865.189999999</v>
      </c>
      <c r="Q465" s="9">
        <v>5200122</v>
      </c>
      <c r="R465" s="9">
        <v>5200123</v>
      </c>
      <c r="S465" s="9">
        <v>5200122</v>
      </c>
      <c r="T465" s="9">
        <v>5401121</v>
      </c>
      <c r="U465" s="9">
        <v>5501125</v>
      </c>
      <c r="V465" s="9">
        <v>5400125</v>
      </c>
      <c r="W465" s="9">
        <v>12</v>
      </c>
      <c r="X465" s="9">
        <v>12</v>
      </c>
      <c r="Y465" s="9">
        <v>12</v>
      </c>
      <c r="Z465" s="9">
        <v>12</v>
      </c>
      <c r="AA465" s="9">
        <v>12</v>
      </c>
      <c r="AB465" s="9">
        <v>12</v>
      </c>
      <c r="AC465" s="9">
        <f t="shared" si="302"/>
        <v>958</v>
      </c>
      <c r="AD465" s="9">
        <f t="shared" si="303"/>
        <v>1036</v>
      </c>
      <c r="AE465" s="9">
        <f t="shared" si="304"/>
        <v>1036</v>
      </c>
      <c r="AF465" s="9">
        <f t="shared" si="305"/>
        <v>1036</v>
      </c>
      <c r="AG465" s="9">
        <f t="shared" si="306"/>
        <v>1036</v>
      </c>
      <c r="AH465" s="9">
        <f t="shared" si="307"/>
        <v>1036</v>
      </c>
      <c r="AI465" s="7">
        <f t="shared" si="283"/>
        <v>1906977.5316666665</v>
      </c>
      <c r="AJ465" s="7">
        <f t="shared" si="314"/>
        <v>1906977.5316666665</v>
      </c>
      <c r="AK465" s="7">
        <f t="shared" si="314"/>
        <v>1906977.5316666665</v>
      </c>
      <c r="AL465" s="7">
        <f t="shared" si="314"/>
        <v>1906977.5316666665</v>
      </c>
      <c r="AM465" s="7">
        <f t="shared" si="314"/>
        <v>1906977.5316666665</v>
      </c>
      <c r="AN465" s="7">
        <f t="shared" si="314"/>
        <v>1906977.5316666665</v>
      </c>
      <c r="AO465" s="16"/>
      <c r="AP465" s="7"/>
      <c r="AQ465" s="9">
        <v>8</v>
      </c>
      <c r="AR465" s="9">
        <f t="shared" si="308"/>
        <v>1225</v>
      </c>
      <c r="AS465" s="7">
        <f t="shared" si="281"/>
        <v>331</v>
      </c>
      <c r="AT465" s="7"/>
      <c r="AU465" s="16"/>
      <c r="AV465" s="7"/>
      <c r="AW465" s="7"/>
      <c r="AX465" s="7"/>
      <c r="AZ465" s="7"/>
      <c r="BA465" s="9">
        <f t="shared" si="313"/>
        <v>1235968.2000000009</v>
      </c>
      <c r="BC465" s="5">
        <f t="shared" si="309"/>
        <v>896</v>
      </c>
      <c r="BR465" s="5">
        <v>2303023</v>
      </c>
      <c r="BS465" s="18">
        <f>[1]monsters!$N465</f>
        <v>86.4</v>
      </c>
      <c r="BT465" s="18">
        <f>[1]monsters!$O465</f>
        <v>8.64</v>
      </c>
      <c r="BU465" s="18">
        <f>[1]monsters!$P465</f>
        <v>1066.67</v>
      </c>
      <c r="BV465" s="18">
        <f>[1]monsters!$Q465</f>
        <v>106.67</v>
      </c>
      <c r="BW465" s="18">
        <f>[1]monsters!$R465</f>
        <v>17.28</v>
      </c>
      <c r="BX465" s="18">
        <f>[1]monsters!$S465</f>
        <v>1.73</v>
      </c>
      <c r="BY465" s="18">
        <f>[1]monsters!$K465</f>
        <v>1.8</v>
      </c>
      <c r="BZ465" s="5">
        <f>[1]monsters!$D465</f>
        <v>2</v>
      </c>
      <c r="CA465" s="5">
        <f t="shared" si="310"/>
        <v>0.1</v>
      </c>
      <c r="CB465" s="5">
        <f t="shared" si="311"/>
        <v>117.56281481481483</v>
      </c>
      <c r="CC465" s="5">
        <f t="shared" si="312"/>
        <v>11.756281481481484</v>
      </c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>
        <v>0</v>
      </c>
      <c r="CR465" s="3" t="b">
        <f t="shared" si="284"/>
        <v>1</v>
      </c>
      <c r="CS465" s="3" t="b">
        <f t="shared" si="285"/>
        <v>1</v>
      </c>
      <c r="CT465" s="3" t="b">
        <f t="shared" si="286"/>
        <v>1</v>
      </c>
      <c r="CU465" s="3" t="b">
        <f t="shared" si="287"/>
        <v>1</v>
      </c>
      <c r="CV465" s="3" t="b">
        <f t="shared" si="288"/>
        <v>1</v>
      </c>
      <c r="CW465" s="3" t="b">
        <f t="shared" si="289"/>
        <v>1</v>
      </c>
      <c r="CX465" s="9" t="str">
        <f t="shared" si="290"/>
        <v>5200122</v>
      </c>
      <c r="CY465" s="9" t="str">
        <f t="shared" si="291"/>
        <v>5200123</v>
      </c>
      <c r="CZ465" s="9" t="str">
        <f t="shared" si="292"/>
        <v>5200122</v>
      </c>
      <c r="DA465" s="9" t="str">
        <f t="shared" si="293"/>
        <v>5401121</v>
      </c>
      <c r="DB465" s="9" t="str">
        <f t="shared" si="294"/>
        <v>5501125</v>
      </c>
      <c r="DC465" s="9" t="str">
        <f t="shared" si="295"/>
        <v>5400125</v>
      </c>
      <c r="DD465" s="9">
        <v>12</v>
      </c>
      <c r="DE465" s="9">
        <v>12</v>
      </c>
      <c r="DF465" s="9">
        <v>12</v>
      </c>
      <c r="DG465" s="9">
        <v>12</v>
      </c>
      <c r="DH465" s="9">
        <v>12</v>
      </c>
      <c r="DI465" s="9">
        <v>12</v>
      </c>
      <c r="DJ465" s="9">
        <v>5</v>
      </c>
      <c r="DK465" s="9">
        <v>5</v>
      </c>
      <c r="DL465" s="9">
        <v>5</v>
      </c>
      <c r="DM465" s="9">
        <v>5</v>
      </c>
      <c r="DN465" s="9">
        <v>5</v>
      </c>
      <c r="DO465" s="9">
        <v>5</v>
      </c>
      <c r="DP465" s="25" t="s">
        <v>199</v>
      </c>
      <c r="DQ465" s="25" t="s">
        <v>113</v>
      </c>
      <c r="DR465" s="25" t="s">
        <v>199</v>
      </c>
      <c r="DS465" s="26" t="s">
        <v>117</v>
      </c>
      <c r="DT465" s="26" t="s">
        <v>209</v>
      </c>
      <c r="DU465" s="26" t="s">
        <v>210</v>
      </c>
      <c r="DV465" s="26">
        <f t="shared" si="296"/>
        <v>1</v>
      </c>
      <c r="DW465" s="26">
        <f t="shared" si="297"/>
        <v>1</v>
      </c>
      <c r="DX465" s="26">
        <f t="shared" si="298"/>
        <v>1</v>
      </c>
      <c r="DY465" s="26">
        <f t="shared" si="299"/>
        <v>2</v>
      </c>
      <c r="DZ465" s="26">
        <f t="shared" si="300"/>
        <v>2</v>
      </c>
      <c r="EA465" s="3">
        <f t="shared" si="301"/>
        <v>2</v>
      </c>
      <c r="EB465" s="29"/>
    </row>
    <row r="466" spans="1:132" ht="13.5" customHeight="1">
      <c r="A466" s="9">
        <v>463</v>
      </c>
      <c r="B466" s="9">
        <v>1</v>
      </c>
      <c r="C466" s="9">
        <v>2001</v>
      </c>
      <c r="D466" s="9">
        <f t="shared" si="318"/>
        <v>14521205</v>
      </c>
      <c r="E466" s="9" t="str">
        <f t="shared" si="315"/>
        <v>5202121,5202122,5301122,5502121,5500121,5502121</v>
      </c>
      <c r="F466" s="9" t="str">
        <f t="shared" si="316"/>
        <v>12,12,12,12,12,12</v>
      </c>
      <c r="G466" s="9" t="str">
        <f t="shared" si="317"/>
        <v>960,1038,1038,1038,1038,1038</v>
      </c>
      <c r="H466" s="9">
        <v>225</v>
      </c>
      <c r="I466" s="9" t="s">
        <v>278</v>
      </c>
      <c r="J466" s="9" t="s">
        <v>279</v>
      </c>
      <c r="K466" s="9" t="s">
        <v>279</v>
      </c>
      <c r="L466" s="9" t="s">
        <v>279</v>
      </c>
      <c r="M466" s="36" t="s">
        <v>310</v>
      </c>
      <c r="N466" s="40"/>
      <c r="O466" s="3">
        <f t="shared" si="279"/>
        <v>14521205</v>
      </c>
      <c r="P466" s="9">
        <v>11479213.51</v>
      </c>
      <c r="Q466" s="9">
        <v>5202121</v>
      </c>
      <c r="R466" s="9">
        <v>5202122</v>
      </c>
      <c r="S466" s="9">
        <v>5301122</v>
      </c>
      <c r="T466" s="9">
        <v>5502121</v>
      </c>
      <c r="U466" s="9">
        <v>5500121</v>
      </c>
      <c r="V466" s="9">
        <v>5502121</v>
      </c>
      <c r="W466" s="9">
        <v>12</v>
      </c>
      <c r="X466" s="9">
        <v>12</v>
      </c>
      <c r="Y466" s="9">
        <v>12</v>
      </c>
      <c r="Z466" s="9">
        <v>12</v>
      </c>
      <c r="AA466" s="9">
        <v>12</v>
      </c>
      <c r="AB466" s="9">
        <v>12</v>
      </c>
      <c r="AC466" s="9">
        <f t="shared" si="302"/>
        <v>960</v>
      </c>
      <c r="AD466" s="9">
        <f t="shared" si="303"/>
        <v>1038</v>
      </c>
      <c r="AE466" s="9">
        <f t="shared" si="304"/>
        <v>1038</v>
      </c>
      <c r="AF466" s="9">
        <f t="shared" si="305"/>
        <v>1038</v>
      </c>
      <c r="AG466" s="9">
        <f t="shared" si="306"/>
        <v>1038</v>
      </c>
      <c r="AH466" s="9">
        <f t="shared" si="307"/>
        <v>1038</v>
      </c>
      <c r="AI466" s="7">
        <f t="shared" si="283"/>
        <v>1913202.2516666667</v>
      </c>
      <c r="AJ466" s="7">
        <f t="shared" si="314"/>
        <v>1913202.2516666667</v>
      </c>
      <c r="AK466" s="7">
        <f t="shared" si="314"/>
        <v>1913202.2516666667</v>
      </c>
      <c r="AL466" s="7">
        <f t="shared" si="314"/>
        <v>1913202.2516666667</v>
      </c>
      <c r="AM466" s="7">
        <f t="shared" si="314"/>
        <v>1913202.2516666667</v>
      </c>
      <c r="AN466" s="7">
        <f t="shared" si="314"/>
        <v>1913202.2516666667</v>
      </c>
      <c r="AO466" s="16"/>
      <c r="AP466" s="7"/>
      <c r="AQ466" s="9">
        <v>8</v>
      </c>
      <c r="AR466" s="9">
        <f t="shared" si="308"/>
        <v>1227</v>
      </c>
      <c r="AS466" s="7">
        <f t="shared" si="281"/>
        <v>331</v>
      </c>
      <c r="AT466" s="7"/>
      <c r="AU466" s="16"/>
      <c r="AV466" s="7"/>
      <c r="AW466" s="7"/>
      <c r="AX466" s="7"/>
      <c r="AZ466" s="7"/>
      <c r="BA466" s="9">
        <f t="shared" si="313"/>
        <v>1256074.300000001</v>
      </c>
      <c r="BC466" s="5">
        <f t="shared" si="309"/>
        <v>897</v>
      </c>
      <c r="BR466" s="5">
        <v>2304023</v>
      </c>
      <c r="BS466" s="18">
        <f>[1]monsters!$N466</f>
        <v>100</v>
      </c>
      <c r="BT466" s="18">
        <f>[1]monsters!$O466</f>
        <v>10</v>
      </c>
      <c r="BU466" s="18">
        <f>[1]monsters!$P466</f>
        <v>768</v>
      </c>
      <c r="BV466" s="18">
        <f>[1]monsters!$Q466</f>
        <v>76.8</v>
      </c>
      <c r="BW466" s="18">
        <f>[1]monsters!$R466</f>
        <v>10</v>
      </c>
      <c r="BX466" s="18">
        <f>[1]monsters!$S466</f>
        <v>1</v>
      </c>
      <c r="BY466" s="18">
        <f>[1]monsters!$K466</f>
        <v>1.5</v>
      </c>
      <c r="BZ466" s="5">
        <f>[1]monsters!$D466</f>
        <v>4</v>
      </c>
      <c r="CA466" s="5">
        <f t="shared" si="310"/>
        <v>0.1</v>
      </c>
      <c r="CB466" s="5">
        <f t="shared" si="311"/>
        <v>120.35858585858585</v>
      </c>
      <c r="CC466" s="5">
        <f t="shared" si="312"/>
        <v>12.035858585858586</v>
      </c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>
        <v>0</v>
      </c>
      <c r="CR466" s="3" t="b">
        <f t="shared" si="284"/>
        <v>1</v>
      </c>
      <c r="CS466" s="3" t="b">
        <f t="shared" si="285"/>
        <v>1</v>
      </c>
      <c r="CT466" s="3" t="b">
        <f t="shared" si="286"/>
        <v>1</v>
      </c>
      <c r="CU466" s="3" t="b">
        <f t="shared" si="287"/>
        <v>1</v>
      </c>
      <c r="CV466" s="3" t="b">
        <f t="shared" si="288"/>
        <v>1</v>
      </c>
      <c r="CW466" s="3" t="b">
        <f t="shared" si="289"/>
        <v>1</v>
      </c>
      <c r="CX466" s="9" t="str">
        <f t="shared" si="290"/>
        <v>5202121</v>
      </c>
      <c r="CY466" s="9" t="str">
        <f t="shared" si="291"/>
        <v>5202122</v>
      </c>
      <c r="CZ466" s="9" t="str">
        <f t="shared" si="292"/>
        <v>5301122</v>
      </c>
      <c r="DA466" s="9" t="str">
        <f t="shared" si="293"/>
        <v>5502121</v>
      </c>
      <c r="DB466" s="9" t="str">
        <f t="shared" si="294"/>
        <v>5500121</v>
      </c>
      <c r="DC466" s="9" t="str">
        <f t="shared" si="295"/>
        <v>5502121</v>
      </c>
      <c r="DD466" s="9">
        <v>12</v>
      </c>
      <c r="DE466" s="9">
        <v>12</v>
      </c>
      <c r="DF466" s="9">
        <v>12</v>
      </c>
      <c r="DG466" s="9">
        <v>12</v>
      </c>
      <c r="DH466" s="9">
        <v>12</v>
      </c>
      <c r="DI466" s="9">
        <v>12</v>
      </c>
      <c r="DJ466" s="9">
        <v>5</v>
      </c>
      <c r="DK466" s="9">
        <v>5</v>
      </c>
      <c r="DL466" s="9">
        <v>5</v>
      </c>
      <c r="DM466" s="9">
        <v>5</v>
      </c>
      <c r="DN466" s="9">
        <v>5</v>
      </c>
      <c r="DO466" s="9">
        <v>5</v>
      </c>
      <c r="DP466" s="25" t="s">
        <v>111</v>
      </c>
      <c r="DQ466" s="25" t="s">
        <v>200</v>
      </c>
      <c r="DR466" s="25" t="s">
        <v>201</v>
      </c>
      <c r="DS466" s="26" t="s">
        <v>119</v>
      </c>
      <c r="DT466" s="26" t="s">
        <v>197</v>
      </c>
      <c r="DU466" s="26" t="s">
        <v>119</v>
      </c>
      <c r="DV466" s="26">
        <f t="shared" si="296"/>
        <v>1</v>
      </c>
      <c r="DW466" s="26">
        <f t="shared" si="297"/>
        <v>1</v>
      </c>
      <c r="DX466" s="26">
        <f t="shared" si="298"/>
        <v>1</v>
      </c>
      <c r="DY466" s="26">
        <f t="shared" si="299"/>
        <v>2</v>
      </c>
      <c r="DZ466" s="26">
        <f t="shared" si="300"/>
        <v>2</v>
      </c>
      <c r="EA466" s="3">
        <f t="shared" si="301"/>
        <v>2</v>
      </c>
      <c r="EB466" s="29"/>
    </row>
    <row r="467" spans="1:132" ht="13.5" customHeight="1">
      <c r="A467" s="9">
        <v>464</v>
      </c>
      <c r="B467" s="9">
        <v>1</v>
      </c>
      <c r="C467" s="9">
        <v>2001</v>
      </c>
      <c r="D467" s="9">
        <f t="shared" si="318"/>
        <v>14568526</v>
      </c>
      <c r="E467" s="9" t="str">
        <f t="shared" si="315"/>
        <v>5202122,5201122,5301121,5500122,5502122,5502122</v>
      </c>
      <c r="F467" s="9" t="str">
        <f t="shared" si="316"/>
        <v>12,12,12,12,12,12</v>
      </c>
      <c r="G467" s="9" t="str">
        <f t="shared" si="317"/>
        <v>961,1039,1039,1039,1039,1039</v>
      </c>
      <c r="H467" s="9">
        <v>225</v>
      </c>
      <c r="I467" s="9" t="s">
        <v>278</v>
      </c>
      <c r="J467" s="9" t="s">
        <v>279</v>
      </c>
      <c r="K467" s="9" t="s">
        <v>279</v>
      </c>
      <c r="L467" s="9" t="s">
        <v>279</v>
      </c>
      <c r="M467" s="36" t="s">
        <v>310</v>
      </c>
      <c r="N467" s="40"/>
      <c r="O467" s="3">
        <f t="shared" si="279"/>
        <v>14568526</v>
      </c>
      <c r="P467" s="9">
        <v>11516621.529999999</v>
      </c>
      <c r="Q467" s="9">
        <v>5202122</v>
      </c>
      <c r="R467" s="9">
        <v>5201122</v>
      </c>
      <c r="S467" s="9">
        <v>5301121</v>
      </c>
      <c r="T467" s="9">
        <v>5500122</v>
      </c>
      <c r="U467" s="9">
        <v>5502122</v>
      </c>
      <c r="V467" s="9">
        <v>5502122</v>
      </c>
      <c r="W467" s="9">
        <v>12</v>
      </c>
      <c r="X467" s="9">
        <v>12</v>
      </c>
      <c r="Y467" s="9">
        <v>12</v>
      </c>
      <c r="Z467" s="9">
        <v>12</v>
      </c>
      <c r="AA467" s="9">
        <v>12</v>
      </c>
      <c r="AB467" s="9">
        <v>12</v>
      </c>
      <c r="AC467" s="9">
        <f t="shared" si="302"/>
        <v>961</v>
      </c>
      <c r="AD467" s="9">
        <f t="shared" si="303"/>
        <v>1039</v>
      </c>
      <c r="AE467" s="9">
        <f t="shared" si="304"/>
        <v>1039</v>
      </c>
      <c r="AF467" s="9">
        <f t="shared" si="305"/>
        <v>1039</v>
      </c>
      <c r="AG467" s="9">
        <f t="shared" si="306"/>
        <v>1039</v>
      </c>
      <c r="AH467" s="9">
        <f t="shared" si="307"/>
        <v>1039</v>
      </c>
      <c r="AI467" s="7">
        <f t="shared" si="283"/>
        <v>1919436.9216666666</v>
      </c>
      <c r="AJ467" s="7">
        <f t="shared" si="314"/>
        <v>1919436.9216666666</v>
      </c>
      <c r="AK467" s="7">
        <f t="shared" si="314"/>
        <v>1919436.9216666666</v>
      </c>
      <c r="AL467" s="7">
        <f t="shared" si="314"/>
        <v>1919436.9216666666</v>
      </c>
      <c r="AM467" s="7">
        <f t="shared" si="314"/>
        <v>1919436.9216666666</v>
      </c>
      <c r="AN467" s="7">
        <f t="shared" si="314"/>
        <v>1919436.9216666666</v>
      </c>
      <c r="AO467" s="16"/>
      <c r="AP467" s="7"/>
      <c r="AQ467" s="9">
        <v>8</v>
      </c>
      <c r="AR467" s="9">
        <f t="shared" si="308"/>
        <v>1229</v>
      </c>
      <c r="AS467" s="7">
        <f t="shared" si="281"/>
        <v>332</v>
      </c>
      <c r="AT467" s="7"/>
      <c r="AU467" s="16"/>
      <c r="AV467" s="7"/>
      <c r="AW467" s="7"/>
      <c r="AX467" s="7"/>
      <c r="AZ467" s="7"/>
      <c r="BA467" s="9">
        <f t="shared" si="313"/>
        <v>1276180.4000000011</v>
      </c>
      <c r="BC467" s="5">
        <f t="shared" si="309"/>
        <v>899</v>
      </c>
      <c r="BR467" s="5">
        <v>2503023</v>
      </c>
      <c r="BS467" s="18">
        <f>[1]monsters!$N467</f>
        <v>76.27</v>
      </c>
      <c r="BT467" s="18">
        <f>[1]monsters!$O467</f>
        <v>7.63</v>
      </c>
      <c r="BU467" s="18">
        <f>[1]monsters!$P467</f>
        <v>872.73</v>
      </c>
      <c r="BV467" s="18">
        <f>[1]monsters!$Q467</f>
        <v>87.27</v>
      </c>
      <c r="BW467" s="18">
        <f>[1]monsters!$R467</f>
        <v>9.5299999999999994</v>
      </c>
      <c r="BX467" s="18">
        <f>[1]monsters!$S467</f>
        <v>0.95</v>
      </c>
      <c r="BY467" s="18">
        <f>[1]monsters!$K467</f>
        <v>1.3</v>
      </c>
      <c r="BZ467" s="5">
        <f>[1]monsters!$D467</f>
        <v>3</v>
      </c>
      <c r="CA467" s="5">
        <f t="shared" si="310"/>
        <v>0.1</v>
      </c>
      <c r="CB467" s="5">
        <f t="shared" si="311"/>
        <v>101.45999848484848</v>
      </c>
      <c r="CC467" s="5">
        <f t="shared" si="312"/>
        <v>10.145999848484848</v>
      </c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>
        <v>0</v>
      </c>
      <c r="CR467" s="3" t="b">
        <f t="shared" si="284"/>
        <v>1</v>
      </c>
      <c r="CS467" s="3" t="b">
        <f t="shared" si="285"/>
        <v>1</v>
      </c>
      <c r="CT467" s="3" t="b">
        <f t="shared" si="286"/>
        <v>1</v>
      </c>
      <c r="CU467" s="3" t="b">
        <f t="shared" si="287"/>
        <v>1</v>
      </c>
      <c r="CV467" s="3" t="b">
        <f t="shared" si="288"/>
        <v>1</v>
      </c>
      <c r="CW467" s="3" t="b">
        <f t="shared" si="289"/>
        <v>1</v>
      </c>
      <c r="CX467" s="9" t="str">
        <f t="shared" si="290"/>
        <v>5202122</v>
      </c>
      <c r="CY467" s="9" t="str">
        <f t="shared" si="291"/>
        <v>5201122</v>
      </c>
      <c r="CZ467" s="9" t="str">
        <f t="shared" si="292"/>
        <v>5301121</v>
      </c>
      <c r="DA467" s="9" t="str">
        <f t="shared" si="293"/>
        <v>5500122</v>
      </c>
      <c r="DB467" s="9" t="str">
        <f t="shared" si="294"/>
        <v>5502122</v>
      </c>
      <c r="DC467" s="9" t="str">
        <f t="shared" si="295"/>
        <v>5502122</v>
      </c>
      <c r="DD467" s="9">
        <v>12</v>
      </c>
      <c r="DE467" s="9">
        <v>12</v>
      </c>
      <c r="DF467" s="9">
        <v>12</v>
      </c>
      <c r="DG467" s="9">
        <v>12</v>
      </c>
      <c r="DH467" s="9">
        <v>12</v>
      </c>
      <c r="DI467" s="9">
        <v>12</v>
      </c>
      <c r="DJ467" s="9">
        <v>5</v>
      </c>
      <c r="DK467" s="9">
        <v>5</v>
      </c>
      <c r="DL467" s="9">
        <v>5</v>
      </c>
      <c r="DM467" s="9">
        <v>5</v>
      </c>
      <c r="DN467" s="9">
        <v>5</v>
      </c>
      <c r="DO467" s="9">
        <v>5</v>
      </c>
      <c r="DP467" s="27" t="s">
        <v>200</v>
      </c>
      <c r="DQ467" s="27" t="s">
        <v>114</v>
      </c>
      <c r="DR467" s="27" t="s">
        <v>107</v>
      </c>
      <c r="DS467" s="27" t="s">
        <v>109</v>
      </c>
      <c r="DT467" s="28" t="s">
        <v>204</v>
      </c>
      <c r="DU467" s="28" t="s">
        <v>204</v>
      </c>
      <c r="DV467" s="28">
        <f t="shared" si="296"/>
        <v>1</v>
      </c>
      <c r="DW467" s="28">
        <f t="shared" si="297"/>
        <v>1</v>
      </c>
      <c r="DX467" s="28">
        <f t="shared" si="298"/>
        <v>1</v>
      </c>
      <c r="DY467" s="28">
        <f t="shared" si="299"/>
        <v>2</v>
      </c>
      <c r="DZ467" s="28">
        <f t="shared" si="300"/>
        <v>2</v>
      </c>
      <c r="EA467" s="3">
        <f t="shared" si="301"/>
        <v>2</v>
      </c>
      <c r="EB467" s="30"/>
    </row>
    <row r="468" spans="1:132" ht="13.5" customHeight="1">
      <c r="A468" s="9">
        <v>465</v>
      </c>
      <c r="B468" s="9">
        <v>1</v>
      </c>
      <c r="C468" s="9">
        <v>2001</v>
      </c>
      <c r="D468" s="9">
        <f t="shared" si="318"/>
        <v>14615925</v>
      </c>
      <c r="E468" s="9" t="str">
        <f t="shared" si="315"/>
        <v>5201122,5201122,5200122,5402122,5601122,5402122</v>
      </c>
      <c r="F468" s="9" t="str">
        <f t="shared" si="316"/>
        <v>12,12,12,12,12,12</v>
      </c>
      <c r="G468" s="9" t="str">
        <f t="shared" si="317"/>
        <v>963,1041,1041,1041,1041,1041</v>
      </c>
      <c r="H468" s="9">
        <v>226</v>
      </c>
      <c r="I468" s="9" t="s">
        <v>278</v>
      </c>
      <c r="J468" s="9" t="s">
        <v>279</v>
      </c>
      <c r="K468" s="9" t="s">
        <v>279</v>
      </c>
      <c r="L468" s="9" t="s">
        <v>279</v>
      </c>
      <c r="M468" s="36" t="s">
        <v>310</v>
      </c>
      <c r="O468" s="3">
        <f t="shared" ref="O468:O502" si="319">ROUND(P468*1.1*1.15,0)</f>
        <v>14615925</v>
      </c>
      <c r="P468" s="9">
        <v>11554091.24</v>
      </c>
      <c r="Q468" s="9">
        <v>5201122</v>
      </c>
      <c r="R468" s="9">
        <v>5201122</v>
      </c>
      <c r="S468" s="9">
        <v>5200122</v>
      </c>
      <c r="T468" s="9">
        <v>5402122</v>
      </c>
      <c r="U468" s="9">
        <v>5601122</v>
      </c>
      <c r="V468" s="9">
        <v>5402122</v>
      </c>
      <c r="W468" s="9">
        <v>12</v>
      </c>
      <c r="X468" s="9">
        <v>12</v>
      </c>
      <c r="Y468" s="9">
        <v>12</v>
      </c>
      <c r="Z468" s="9">
        <v>12</v>
      </c>
      <c r="AA468" s="9">
        <v>12</v>
      </c>
      <c r="AB468" s="9">
        <v>12</v>
      </c>
      <c r="AC468" s="9">
        <f t="shared" si="302"/>
        <v>963</v>
      </c>
      <c r="AD468" s="9">
        <f t="shared" si="303"/>
        <v>1041</v>
      </c>
      <c r="AE468" s="9">
        <f t="shared" si="304"/>
        <v>1041</v>
      </c>
      <c r="AF468" s="9">
        <f t="shared" si="305"/>
        <v>1041</v>
      </c>
      <c r="AG468" s="9">
        <f t="shared" si="306"/>
        <v>1041</v>
      </c>
      <c r="AH468" s="9">
        <f t="shared" si="307"/>
        <v>1041</v>
      </c>
      <c r="AI468" s="7">
        <f t="shared" si="283"/>
        <v>1925681.8733333333</v>
      </c>
      <c r="AJ468" s="7">
        <f t="shared" si="314"/>
        <v>1925681.8733333333</v>
      </c>
      <c r="AK468" s="7">
        <f t="shared" si="314"/>
        <v>1925681.8733333333</v>
      </c>
      <c r="AL468" s="7">
        <f t="shared" si="314"/>
        <v>1925681.8733333333</v>
      </c>
      <c r="AM468" s="7">
        <f t="shared" si="314"/>
        <v>1925681.8733333333</v>
      </c>
      <c r="AN468" s="7">
        <f t="shared" si="314"/>
        <v>1925681.8733333333</v>
      </c>
      <c r="AO468" s="16"/>
      <c r="AP468" s="7"/>
      <c r="AQ468" s="9">
        <v>8</v>
      </c>
      <c r="AR468" s="9">
        <f t="shared" si="308"/>
        <v>1231</v>
      </c>
      <c r="AS468" s="7">
        <f t="shared" si="281"/>
        <v>332</v>
      </c>
      <c r="AT468" s="7"/>
      <c r="AU468" s="16"/>
      <c r="AV468" s="7"/>
      <c r="AW468" s="7"/>
      <c r="AX468" s="7"/>
      <c r="AZ468" s="7"/>
      <c r="BA468" s="9">
        <f t="shared" si="313"/>
        <v>1296286.5000000012</v>
      </c>
      <c r="BC468" s="5">
        <f t="shared" si="309"/>
        <v>900</v>
      </c>
      <c r="BR468" s="5">
        <v>2504023</v>
      </c>
      <c r="BS468" s="18">
        <f>[1]monsters!$N468</f>
        <v>105.6</v>
      </c>
      <c r="BT468" s="18">
        <f>[1]monsters!$O468</f>
        <v>10.56</v>
      </c>
      <c r="BU468" s="18">
        <f>[1]monsters!$P468</f>
        <v>872.73</v>
      </c>
      <c r="BV468" s="18">
        <f>[1]monsters!$Q468</f>
        <v>87.27</v>
      </c>
      <c r="BW468" s="18">
        <f>[1]monsters!$R468</f>
        <v>17.600000000000001</v>
      </c>
      <c r="BX468" s="18">
        <f>[1]monsters!$S468</f>
        <v>1.76</v>
      </c>
      <c r="BY468" s="18">
        <f>[1]monsters!$K468</f>
        <v>1.8</v>
      </c>
      <c r="BZ468" s="5">
        <f>[1]monsters!$D468</f>
        <v>5</v>
      </c>
      <c r="CA468" s="5">
        <f t="shared" si="310"/>
        <v>0.1</v>
      </c>
      <c r="CB468" s="5">
        <f t="shared" si="311"/>
        <v>129.17684848484848</v>
      </c>
      <c r="CC468" s="5">
        <f t="shared" si="312"/>
        <v>12.917684848484848</v>
      </c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>
        <v>1</v>
      </c>
      <c r="CR468" s="3" t="b">
        <f t="shared" si="284"/>
        <v>1</v>
      </c>
      <c r="CS468" s="3" t="b">
        <f t="shared" si="285"/>
        <v>1</v>
      </c>
      <c r="CT468" s="3" t="b">
        <f t="shared" si="286"/>
        <v>1</v>
      </c>
      <c r="CU468" s="3" t="b">
        <f t="shared" si="287"/>
        <v>1</v>
      </c>
      <c r="CV468" s="3" t="b">
        <f t="shared" si="288"/>
        <v>1</v>
      </c>
      <c r="CW468" s="3" t="b">
        <f t="shared" si="289"/>
        <v>1</v>
      </c>
      <c r="CX468" s="9" t="str">
        <f t="shared" si="290"/>
        <v>5201122</v>
      </c>
      <c r="CY468" s="9" t="str">
        <f t="shared" si="291"/>
        <v>5201122</v>
      </c>
      <c r="CZ468" s="9" t="str">
        <f t="shared" si="292"/>
        <v>5200122</v>
      </c>
      <c r="DA468" s="9" t="str">
        <f t="shared" si="293"/>
        <v>5402122</v>
      </c>
      <c r="DB468" s="9" t="str">
        <f t="shared" si="294"/>
        <v>5601122</v>
      </c>
      <c r="DC468" s="9" t="str">
        <f t="shared" si="295"/>
        <v>5402122</v>
      </c>
      <c r="DD468" s="9">
        <v>12</v>
      </c>
      <c r="DE468" s="9">
        <v>12</v>
      </c>
      <c r="DF468" s="9">
        <v>12</v>
      </c>
      <c r="DG468" s="9">
        <v>12</v>
      </c>
      <c r="DH468" s="9">
        <v>12</v>
      </c>
      <c r="DI468" s="9">
        <v>12</v>
      </c>
      <c r="DJ468" s="9">
        <v>5</v>
      </c>
      <c r="DK468" s="9">
        <v>5</v>
      </c>
      <c r="DL468" s="9">
        <v>5</v>
      </c>
      <c r="DM468" s="9">
        <v>5</v>
      </c>
      <c r="DN468" s="9">
        <v>5</v>
      </c>
      <c r="DO468" s="9">
        <v>5</v>
      </c>
      <c r="DP468" s="25" t="s">
        <v>114</v>
      </c>
      <c r="DQ468" s="25" t="s">
        <v>114</v>
      </c>
      <c r="DR468" s="26" t="s">
        <v>199</v>
      </c>
      <c r="DS468" s="26" t="s">
        <v>203</v>
      </c>
      <c r="DT468" s="25" t="s">
        <v>124</v>
      </c>
      <c r="DU468" s="25" t="s">
        <v>203</v>
      </c>
      <c r="DV468" s="25">
        <f t="shared" si="296"/>
        <v>1</v>
      </c>
      <c r="DW468" s="25">
        <f t="shared" si="297"/>
        <v>1</v>
      </c>
      <c r="DX468" s="25">
        <f t="shared" si="298"/>
        <v>1</v>
      </c>
      <c r="DY468" s="25">
        <f t="shared" si="299"/>
        <v>2</v>
      </c>
      <c r="DZ468" s="25">
        <f t="shared" si="300"/>
        <v>2</v>
      </c>
      <c r="EA468" s="3">
        <f t="shared" si="301"/>
        <v>2</v>
      </c>
      <c r="EB468" s="29"/>
    </row>
    <row r="469" spans="1:132" ht="13.5" customHeight="1">
      <c r="A469" s="9">
        <v>466</v>
      </c>
      <c r="B469" s="9">
        <v>1</v>
      </c>
      <c r="C469" s="9">
        <v>2001</v>
      </c>
      <c r="D469" s="9">
        <f t="shared" si="318"/>
        <v>14663400</v>
      </c>
      <c r="E469" s="9" t="str">
        <f t="shared" si="315"/>
        <v>5200122,5200123,5200122,5502122,5500122,5502123</v>
      </c>
      <c r="F469" s="9" t="str">
        <f t="shared" si="316"/>
        <v>12,12,12,12,12,12</v>
      </c>
      <c r="G469" s="9" t="str">
        <f t="shared" si="317"/>
        <v>965,1043,1043,1043,1043,1043</v>
      </c>
      <c r="H469" s="9">
        <v>226</v>
      </c>
      <c r="I469" s="9" t="s">
        <v>278</v>
      </c>
      <c r="J469" s="9" t="s">
        <v>279</v>
      </c>
      <c r="K469" s="9" t="s">
        <v>279</v>
      </c>
      <c r="L469" s="9" t="s">
        <v>279</v>
      </c>
      <c r="M469" s="36" t="s">
        <v>311</v>
      </c>
      <c r="N469" s="40"/>
      <c r="O469" s="3">
        <f t="shared" si="319"/>
        <v>14663400</v>
      </c>
      <c r="P469" s="9">
        <v>11591620.65</v>
      </c>
      <c r="Q469" s="9">
        <v>5200122</v>
      </c>
      <c r="R469" s="9">
        <v>5200123</v>
      </c>
      <c r="S469" s="9">
        <v>5200122</v>
      </c>
      <c r="T469" s="9">
        <v>5502122</v>
      </c>
      <c r="U469" s="9">
        <v>5500122</v>
      </c>
      <c r="V469" s="9">
        <v>5502123</v>
      </c>
      <c r="W469" s="9">
        <v>12</v>
      </c>
      <c r="X469" s="9">
        <v>12</v>
      </c>
      <c r="Y469" s="9">
        <v>12</v>
      </c>
      <c r="Z469" s="9">
        <v>12</v>
      </c>
      <c r="AA469" s="9">
        <v>12</v>
      </c>
      <c r="AB469" s="9">
        <v>12</v>
      </c>
      <c r="AC469" s="9">
        <f t="shared" si="302"/>
        <v>965</v>
      </c>
      <c r="AD469" s="9">
        <f t="shared" si="303"/>
        <v>1043</v>
      </c>
      <c r="AE469" s="9">
        <f t="shared" si="304"/>
        <v>1043</v>
      </c>
      <c r="AF469" s="9">
        <f t="shared" si="305"/>
        <v>1043</v>
      </c>
      <c r="AG469" s="9">
        <f t="shared" si="306"/>
        <v>1043</v>
      </c>
      <c r="AH469" s="9">
        <f t="shared" si="307"/>
        <v>1043</v>
      </c>
      <c r="AI469" s="7">
        <f t="shared" si="283"/>
        <v>1931936.7750000001</v>
      </c>
      <c r="AJ469" s="7">
        <f t="shared" si="314"/>
        <v>1931936.7750000001</v>
      </c>
      <c r="AK469" s="7">
        <f t="shared" si="314"/>
        <v>1931936.7750000001</v>
      </c>
      <c r="AL469" s="7">
        <f t="shared" si="314"/>
        <v>1931936.7750000001</v>
      </c>
      <c r="AM469" s="7">
        <f t="shared" si="314"/>
        <v>1931936.7750000001</v>
      </c>
      <c r="AN469" s="7">
        <f t="shared" si="314"/>
        <v>1931936.7750000001</v>
      </c>
      <c r="AO469" s="16"/>
      <c r="AP469" s="7"/>
      <c r="AQ469" s="9">
        <v>8</v>
      </c>
      <c r="AR469" s="9">
        <f t="shared" si="308"/>
        <v>1233</v>
      </c>
      <c r="AS469" s="7">
        <f t="shared" si="281"/>
        <v>333</v>
      </c>
      <c r="AT469" s="7"/>
      <c r="AU469" s="16"/>
      <c r="AV469" s="7"/>
      <c r="AW469" s="7"/>
      <c r="AX469" s="7"/>
      <c r="AZ469" s="7"/>
      <c r="BA469" s="9">
        <f t="shared" si="313"/>
        <v>1316392.6000000013</v>
      </c>
      <c r="BC469" s="5">
        <f t="shared" si="309"/>
        <v>902</v>
      </c>
      <c r="BR469" s="5">
        <v>2101023</v>
      </c>
      <c r="BS469" s="18">
        <f>[1]monsters!$N469</f>
        <v>76.8</v>
      </c>
      <c r="BT469" s="18">
        <f>[1]monsters!$O469</f>
        <v>7.68</v>
      </c>
      <c r="BU469" s="18">
        <f>[1]monsters!$P469</f>
        <v>1066.67</v>
      </c>
      <c r="BV469" s="18">
        <f>[1]monsters!$Q469</f>
        <v>106.67</v>
      </c>
      <c r="BW469" s="18">
        <f>[1]monsters!$R469</f>
        <v>15.36</v>
      </c>
      <c r="BX469" s="18">
        <f>[1]monsters!$S469</f>
        <v>1.54</v>
      </c>
      <c r="BY469" s="18">
        <f>[1]monsters!$K469</f>
        <v>1.6</v>
      </c>
      <c r="BZ469" s="5">
        <f>[1]monsters!$D469</f>
        <v>2</v>
      </c>
      <c r="CA469" s="5">
        <f t="shared" si="310"/>
        <v>0.1</v>
      </c>
      <c r="CB469" s="5">
        <f t="shared" si="311"/>
        <v>108.49081481481483</v>
      </c>
      <c r="CC469" s="5">
        <f t="shared" si="312"/>
        <v>10.849081481481484</v>
      </c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>
        <v>0</v>
      </c>
      <c r="CR469" s="3" t="b">
        <f t="shared" si="284"/>
        <v>1</v>
      </c>
      <c r="CS469" s="3" t="b">
        <f t="shared" si="285"/>
        <v>1</v>
      </c>
      <c r="CT469" s="3" t="b">
        <f t="shared" si="286"/>
        <v>1</v>
      </c>
      <c r="CU469" s="3" t="b">
        <f t="shared" si="287"/>
        <v>1</v>
      </c>
      <c r="CV469" s="3" t="b">
        <f t="shared" si="288"/>
        <v>1</v>
      </c>
      <c r="CW469" s="3" t="b">
        <f t="shared" si="289"/>
        <v>1</v>
      </c>
      <c r="CX469" s="9" t="str">
        <f t="shared" si="290"/>
        <v>5200122</v>
      </c>
      <c r="CY469" s="9" t="str">
        <f t="shared" si="291"/>
        <v>5200123</v>
      </c>
      <c r="CZ469" s="9" t="str">
        <f t="shared" si="292"/>
        <v>5200122</v>
      </c>
      <c r="DA469" s="9" t="str">
        <f t="shared" si="293"/>
        <v>5502122</v>
      </c>
      <c r="DB469" s="9" t="str">
        <f t="shared" si="294"/>
        <v>5500122</v>
      </c>
      <c r="DC469" s="9" t="str">
        <f t="shared" si="295"/>
        <v>5502123</v>
      </c>
      <c r="DD469" s="9">
        <v>12</v>
      </c>
      <c r="DE469" s="9">
        <v>12</v>
      </c>
      <c r="DF469" s="9">
        <v>12</v>
      </c>
      <c r="DG469" s="9">
        <v>12</v>
      </c>
      <c r="DH469" s="9">
        <v>12</v>
      </c>
      <c r="DI469" s="9">
        <v>12</v>
      </c>
      <c r="DJ469" s="9">
        <v>5</v>
      </c>
      <c r="DK469" s="9">
        <v>5</v>
      </c>
      <c r="DL469" s="9">
        <v>5</v>
      </c>
      <c r="DM469" s="9">
        <v>5</v>
      </c>
      <c r="DN469" s="9">
        <v>5</v>
      </c>
      <c r="DO469" s="9">
        <v>5</v>
      </c>
      <c r="DP469" s="25" t="s">
        <v>199</v>
      </c>
      <c r="DQ469" s="25" t="s">
        <v>113</v>
      </c>
      <c r="DR469" s="25" t="s">
        <v>199</v>
      </c>
      <c r="DS469" s="28" t="s">
        <v>204</v>
      </c>
      <c r="DT469" s="28" t="s">
        <v>109</v>
      </c>
      <c r="DU469" s="28" t="s">
        <v>215</v>
      </c>
      <c r="DV469" s="28">
        <f t="shared" si="296"/>
        <v>1</v>
      </c>
      <c r="DW469" s="28">
        <f t="shared" si="297"/>
        <v>1</v>
      </c>
      <c r="DX469" s="28">
        <f t="shared" si="298"/>
        <v>1</v>
      </c>
      <c r="DY469" s="28">
        <f t="shared" si="299"/>
        <v>2</v>
      </c>
      <c r="DZ469" s="28">
        <f t="shared" si="300"/>
        <v>2</v>
      </c>
      <c r="EA469" s="3">
        <f t="shared" si="301"/>
        <v>2</v>
      </c>
      <c r="EB469" s="29"/>
    </row>
    <row r="470" spans="1:132" ht="13.5" customHeight="1">
      <c r="A470" s="9">
        <v>467</v>
      </c>
      <c r="B470" s="9">
        <v>1</v>
      </c>
      <c r="C470" s="9">
        <v>2001</v>
      </c>
      <c r="D470" s="9">
        <f t="shared" si="318"/>
        <v>14710953</v>
      </c>
      <c r="E470" s="9" t="str">
        <f t="shared" si="315"/>
        <v>5202123,5202122,5202123,5401123,5400125,5501125</v>
      </c>
      <c r="F470" s="9" t="str">
        <f t="shared" si="316"/>
        <v>12,12,12,12,12,12</v>
      </c>
      <c r="G470" s="9" t="str">
        <f t="shared" si="317"/>
        <v>966,1044,1044,1044,1044,1044</v>
      </c>
      <c r="H470" s="9">
        <v>226</v>
      </c>
      <c r="I470" s="9" t="s">
        <v>278</v>
      </c>
      <c r="J470" s="9" t="s">
        <v>279</v>
      </c>
      <c r="K470" s="9" t="s">
        <v>279</v>
      </c>
      <c r="L470" s="9" t="s">
        <v>279</v>
      </c>
      <c r="M470" s="36" t="s">
        <v>311</v>
      </c>
      <c r="N470" s="40"/>
      <c r="O470" s="3">
        <f t="shared" si="319"/>
        <v>14710953</v>
      </c>
      <c r="P470" s="9">
        <v>11629211.75</v>
      </c>
      <c r="Q470" s="9">
        <v>5202123</v>
      </c>
      <c r="R470" s="9">
        <v>5202122</v>
      </c>
      <c r="S470" s="9">
        <v>5202123</v>
      </c>
      <c r="T470" s="9">
        <v>5401123</v>
      </c>
      <c r="U470" s="9">
        <v>5400125</v>
      </c>
      <c r="V470" s="9">
        <v>5501125</v>
      </c>
      <c r="W470" s="9">
        <v>12</v>
      </c>
      <c r="X470" s="9">
        <v>12</v>
      </c>
      <c r="Y470" s="9">
        <v>12</v>
      </c>
      <c r="Z470" s="9">
        <v>12</v>
      </c>
      <c r="AA470" s="9">
        <v>12</v>
      </c>
      <c r="AB470" s="9">
        <v>12</v>
      </c>
      <c r="AC470" s="9">
        <f t="shared" si="302"/>
        <v>966</v>
      </c>
      <c r="AD470" s="9">
        <f t="shared" si="303"/>
        <v>1044</v>
      </c>
      <c r="AE470" s="9">
        <f t="shared" si="304"/>
        <v>1044</v>
      </c>
      <c r="AF470" s="9">
        <f t="shared" si="305"/>
        <v>1044</v>
      </c>
      <c r="AG470" s="9">
        <f t="shared" si="306"/>
        <v>1044</v>
      </c>
      <c r="AH470" s="9">
        <f t="shared" si="307"/>
        <v>1044</v>
      </c>
      <c r="AI470" s="7">
        <f t="shared" si="283"/>
        <v>1938201.9583333333</v>
      </c>
      <c r="AJ470" s="7">
        <f t="shared" si="314"/>
        <v>1938201.9583333333</v>
      </c>
      <c r="AK470" s="7">
        <f t="shared" si="314"/>
        <v>1938201.9583333333</v>
      </c>
      <c r="AL470" s="7">
        <f t="shared" si="314"/>
        <v>1938201.9583333333</v>
      </c>
      <c r="AM470" s="7">
        <f t="shared" si="314"/>
        <v>1938201.9583333333</v>
      </c>
      <c r="AN470" s="7">
        <f t="shared" si="314"/>
        <v>1938201.9583333333</v>
      </c>
      <c r="AO470" s="16"/>
      <c r="AP470" s="7"/>
      <c r="AQ470" s="9">
        <v>8</v>
      </c>
      <c r="AR470" s="9">
        <f t="shared" si="308"/>
        <v>1235</v>
      </c>
      <c r="AS470" s="7">
        <f t="shared" si="281"/>
        <v>333</v>
      </c>
      <c r="AT470" s="7"/>
      <c r="AU470" s="16"/>
      <c r="AV470" s="7"/>
      <c r="AW470" s="7"/>
      <c r="AX470" s="7"/>
      <c r="AZ470" s="7"/>
      <c r="BA470" s="9">
        <f t="shared" si="313"/>
        <v>1336498.7000000014</v>
      </c>
      <c r="BC470" s="5">
        <f t="shared" si="309"/>
        <v>903</v>
      </c>
      <c r="BR470" s="5">
        <v>2102023</v>
      </c>
      <c r="BS470" s="18">
        <f>[1]monsters!$N470</f>
        <v>97.07</v>
      </c>
      <c r="BT470" s="18">
        <f>[1]monsters!$O470</f>
        <v>9.7100000000000009</v>
      </c>
      <c r="BU470" s="18">
        <f>[1]monsters!$P470</f>
        <v>738.46</v>
      </c>
      <c r="BV470" s="18">
        <f>[1]monsters!$Q470</f>
        <v>73.849999999999994</v>
      </c>
      <c r="BW470" s="18">
        <f>[1]monsters!$R470</f>
        <v>9.7100000000000009</v>
      </c>
      <c r="BX470" s="18">
        <f>[1]monsters!$S470</f>
        <v>0.97</v>
      </c>
      <c r="BY470" s="18">
        <f>[1]monsters!$K470</f>
        <v>1.4</v>
      </c>
      <c r="BZ470" s="5">
        <f>[1]monsters!$D470</f>
        <v>4</v>
      </c>
      <c r="CA470" s="5">
        <f t="shared" si="310"/>
        <v>0.1</v>
      </c>
      <c r="CB470" s="5">
        <f t="shared" si="311"/>
        <v>116.59512306397306</v>
      </c>
      <c r="CC470" s="5">
        <f t="shared" si="312"/>
        <v>11.659512306397307</v>
      </c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>
        <v>0</v>
      </c>
      <c r="CR470" s="3" t="b">
        <f t="shared" si="284"/>
        <v>1</v>
      </c>
      <c r="CS470" s="3" t="b">
        <f t="shared" si="285"/>
        <v>1</v>
      </c>
      <c r="CT470" s="3" t="b">
        <f t="shared" si="286"/>
        <v>1</v>
      </c>
      <c r="CU470" s="3" t="b">
        <f t="shared" si="287"/>
        <v>1</v>
      </c>
      <c r="CV470" s="3" t="b">
        <f t="shared" si="288"/>
        <v>1</v>
      </c>
      <c r="CW470" s="3" t="b">
        <f t="shared" si="289"/>
        <v>1</v>
      </c>
      <c r="CX470" s="9" t="str">
        <f t="shared" si="290"/>
        <v>5202123</v>
      </c>
      <c r="CY470" s="9" t="str">
        <f t="shared" si="291"/>
        <v>5202122</v>
      </c>
      <c r="CZ470" s="9" t="str">
        <f t="shared" si="292"/>
        <v>5202123</v>
      </c>
      <c r="DA470" s="9" t="str">
        <f t="shared" si="293"/>
        <v>5401123</v>
      </c>
      <c r="DB470" s="9" t="str">
        <f t="shared" si="294"/>
        <v>5400125</v>
      </c>
      <c r="DC470" s="9" t="str">
        <f t="shared" si="295"/>
        <v>5501125</v>
      </c>
      <c r="DD470" s="9">
        <v>12</v>
      </c>
      <c r="DE470" s="9">
        <v>12</v>
      </c>
      <c r="DF470" s="9">
        <v>12</v>
      </c>
      <c r="DG470" s="9">
        <v>12</v>
      </c>
      <c r="DH470" s="9">
        <v>12</v>
      </c>
      <c r="DI470" s="9">
        <v>12</v>
      </c>
      <c r="DJ470" s="9">
        <v>5</v>
      </c>
      <c r="DK470" s="9">
        <v>5</v>
      </c>
      <c r="DL470" s="9">
        <v>5</v>
      </c>
      <c r="DM470" s="9">
        <v>5</v>
      </c>
      <c r="DN470" s="9">
        <v>5</v>
      </c>
      <c r="DO470" s="9">
        <v>5</v>
      </c>
      <c r="DP470" s="25" t="s">
        <v>208</v>
      </c>
      <c r="DQ470" s="25" t="s">
        <v>200</v>
      </c>
      <c r="DR470" s="26" t="s">
        <v>208</v>
      </c>
      <c r="DS470" s="26" t="s">
        <v>211</v>
      </c>
      <c r="DT470" s="25" t="s">
        <v>210</v>
      </c>
      <c r="DU470" s="25" t="s">
        <v>209</v>
      </c>
      <c r="DV470" s="25">
        <f t="shared" si="296"/>
        <v>1</v>
      </c>
      <c r="DW470" s="25">
        <f t="shared" si="297"/>
        <v>1</v>
      </c>
      <c r="DX470" s="25">
        <f t="shared" si="298"/>
        <v>1</v>
      </c>
      <c r="DY470" s="25">
        <f t="shared" si="299"/>
        <v>2</v>
      </c>
      <c r="DZ470" s="25">
        <f t="shared" si="300"/>
        <v>2</v>
      </c>
      <c r="EA470" s="3">
        <f t="shared" si="301"/>
        <v>2</v>
      </c>
      <c r="EB470" s="29"/>
    </row>
    <row r="471" spans="1:132" ht="13.5" customHeight="1">
      <c r="A471" s="9">
        <v>468</v>
      </c>
      <c r="B471" s="9">
        <v>1</v>
      </c>
      <c r="C471" s="9">
        <v>2001</v>
      </c>
      <c r="D471" s="9">
        <f t="shared" si="318"/>
        <v>14758584</v>
      </c>
      <c r="E471" s="9" t="str">
        <f t="shared" si="315"/>
        <v>5201121,5201122,5201124,5501124,5500123,5602124</v>
      </c>
      <c r="F471" s="9" t="str">
        <f t="shared" si="316"/>
        <v>12,12,12,12,12,12</v>
      </c>
      <c r="G471" s="9" t="str">
        <f t="shared" si="317"/>
        <v>968,1046,1046,1046,1046,1046</v>
      </c>
      <c r="H471" s="9">
        <v>227</v>
      </c>
      <c r="I471" s="9" t="s">
        <v>278</v>
      </c>
      <c r="J471" s="9" t="s">
        <v>279</v>
      </c>
      <c r="K471" s="9" t="s">
        <v>279</v>
      </c>
      <c r="L471" s="9" t="s">
        <v>279</v>
      </c>
      <c r="M471" s="36" t="s">
        <v>311</v>
      </c>
      <c r="N471" s="40"/>
      <c r="O471" s="3">
        <f t="shared" si="319"/>
        <v>14758584</v>
      </c>
      <c r="P471" s="9">
        <v>11666864.539999999</v>
      </c>
      <c r="Q471" s="9">
        <v>5201121</v>
      </c>
      <c r="R471" s="9">
        <v>5201122</v>
      </c>
      <c r="S471" s="9">
        <v>5201124</v>
      </c>
      <c r="T471" s="9">
        <v>5501124</v>
      </c>
      <c r="U471" s="9">
        <v>5500123</v>
      </c>
      <c r="V471" s="9">
        <v>5602124</v>
      </c>
      <c r="W471" s="9">
        <v>12</v>
      </c>
      <c r="X471" s="9">
        <v>12</v>
      </c>
      <c r="Y471" s="9">
        <v>12</v>
      </c>
      <c r="Z471" s="9">
        <v>12</v>
      </c>
      <c r="AA471" s="9">
        <v>12</v>
      </c>
      <c r="AB471" s="9">
        <v>12</v>
      </c>
      <c r="AC471" s="9">
        <f t="shared" si="302"/>
        <v>968</v>
      </c>
      <c r="AD471" s="9">
        <f t="shared" si="303"/>
        <v>1046</v>
      </c>
      <c r="AE471" s="9">
        <f t="shared" si="304"/>
        <v>1046</v>
      </c>
      <c r="AF471" s="9">
        <f t="shared" si="305"/>
        <v>1046</v>
      </c>
      <c r="AG471" s="9">
        <f t="shared" si="306"/>
        <v>1046</v>
      </c>
      <c r="AH471" s="9">
        <f t="shared" si="307"/>
        <v>1046</v>
      </c>
      <c r="AI471" s="7">
        <f t="shared" si="283"/>
        <v>1944477.4233333331</v>
      </c>
      <c r="AJ471" s="7">
        <f t="shared" si="314"/>
        <v>1944477.4233333331</v>
      </c>
      <c r="AK471" s="7">
        <f t="shared" si="314"/>
        <v>1944477.4233333331</v>
      </c>
      <c r="AL471" s="7">
        <f t="shared" si="314"/>
        <v>1944477.4233333331</v>
      </c>
      <c r="AM471" s="7">
        <f t="shared" si="314"/>
        <v>1944477.4233333331</v>
      </c>
      <c r="AN471" s="7">
        <f t="shared" si="314"/>
        <v>1944477.4233333331</v>
      </c>
      <c r="AO471" s="16"/>
      <c r="AP471" s="7"/>
      <c r="AQ471" s="9">
        <v>8</v>
      </c>
      <c r="AR471" s="9">
        <f t="shared" si="308"/>
        <v>1237</v>
      </c>
      <c r="AS471" s="7">
        <f t="shared" si="281"/>
        <v>334</v>
      </c>
      <c r="AT471" s="7"/>
      <c r="AU471" s="16"/>
      <c r="AV471" s="7"/>
      <c r="AW471" s="7"/>
      <c r="AX471" s="7"/>
      <c r="AZ471" s="7"/>
      <c r="BA471" s="9">
        <f t="shared" si="313"/>
        <v>1356604.8000000014</v>
      </c>
      <c r="BC471" s="5">
        <f t="shared" si="309"/>
        <v>905</v>
      </c>
      <c r="BR471" s="5">
        <v>2206024</v>
      </c>
      <c r="BS471" s="18">
        <f>[1]monsters!$N471</f>
        <v>67.2</v>
      </c>
      <c r="BT471" s="18">
        <f>[1]monsters!$O471</f>
        <v>6.72</v>
      </c>
      <c r="BU471" s="18">
        <f>[1]monsters!$P471</f>
        <v>1066.67</v>
      </c>
      <c r="BV471" s="18">
        <f>[1]monsters!$Q471</f>
        <v>106.67</v>
      </c>
      <c r="BW471" s="18">
        <f>[1]monsters!$R471</f>
        <v>13.44</v>
      </c>
      <c r="BX471" s="18">
        <f>[1]monsters!$S471</f>
        <v>1.34</v>
      </c>
      <c r="BY471" s="18">
        <f>[1]monsters!$K471</f>
        <v>1.4</v>
      </c>
      <c r="BZ471" s="5">
        <f>[1]monsters!$D471</f>
        <v>2</v>
      </c>
      <c r="CA471" s="5">
        <f t="shared" si="310"/>
        <v>0.1</v>
      </c>
      <c r="CB471" s="5">
        <f t="shared" si="311"/>
        <v>99.418814814814823</v>
      </c>
      <c r="CC471" s="5">
        <f t="shared" si="312"/>
        <v>9.9418814814814827</v>
      </c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>
        <v>0</v>
      </c>
      <c r="CR471" s="3" t="b">
        <f t="shared" si="284"/>
        <v>1</v>
      </c>
      <c r="CS471" s="3" t="b">
        <f t="shared" si="285"/>
        <v>1</v>
      </c>
      <c r="CT471" s="3" t="b">
        <f t="shared" si="286"/>
        <v>1</v>
      </c>
      <c r="CU471" s="3" t="b">
        <f t="shared" si="287"/>
        <v>1</v>
      </c>
      <c r="CV471" s="3" t="b">
        <f t="shared" si="288"/>
        <v>1</v>
      </c>
      <c r="CW471" s="3" t="b">
        <f t="shared" si="289"/>
        <v>1</v>
      </c>
      <c r="CX471" s="9" t="str">
        <f t="shared" si="290"/>
        <v>5201121</v>
      </c>
      <c r="CY471" s="9" t="str">
        <f t="shared" si="291"/>
        <v>5201122</v>
      </c>
      <c r="CZ471" s="9" t="str">
        <f t="shared" si="292"/>
        <v>5201124</v>
      </c>
      <c r="DA471" s="9" t="str">
        <f t="shared" si="293"/>
        <v>5501124</v>
      </c>
      <c r="DB471" s="9" t="str">
        <f t="shared" si="294"/>
        <v>5500123</v>
      </c>
      <c r="DC471" s="9" t="str">
        <f t="shared" si="295"/>
        <v>5602124</v>
      </c>
      <c r="DD471" s="9">
        <v>12</v>
      </c>
      <c r="DE471" s="9">
        <v>12</v>
      </c>
      <c r="DF471" s="9">
        <v>12</v>
      </c>
      <c r="DG471" s="9">
        <v>12</v>
      </c>
      <c r="DH471" s="9">
        <v>12</v>
      </c>
      <c r="DI471" s="9">
        <v>12</v>
      </c>
      <c r="DJ471" s="9">
        <v>5</v>
      </c>
      <c r="DK471" s="9">
        <v>5</v>
      </c>
      <c r="DL471" s="9">
        <v>5</v>
      </c>
      <c r="DM471" s="9">
        <v>5</v>
      </c>
      <c r="DN471" s="9">
        <v>5</v>
      </c>
      <c r="DO471" s="9">
        <v>5</v>
      </c>
      <c r="DP471" s="25" t="s">
        <v>195</v>
      </c>
      <c r="DQ471" s="25" t="s">
        <v>114</v>
      </c>
      <c r="DR471" s="26" t="s">
        <v>217</v>
      </c>
      <c r="DS471" s="26" t="s">
        <v>214</v>
      </c>
      <c r="DT471" s="26" t="s">
        <v>207</v>
      </c>
      <c r="DU471" s="26" t="s">
        <v>220</v>
      </c>
      <c r="DV471" s="26">
        <f t="shared" si="296"/>
        <v>1</v>
      </c>
      <c r="DW471" s="26">
        <f t="shared" si="297"/>
        <v>1</v>
      </c>
      <c r="DX471" s="26">
        <f t="shared" si="298"/>
        <v>1</v>
      </c>
      <c r="DY471" s="26">
        <f t="shared" si="299"/>
        <v>2</v>
      </c>
      <c r="DZ471" s="26">
        <f t="shared" si="300"/>
        <v>2</v>
      </c>
      <c r="EA471" s="3">
        <f t="shared" si="301"/>
        <v>2</v>
      </c>
      <c r="EB471" s="38"/>
    </row>
    <row r="472" spans="1:132" ht="13.5" customHeight="1">
      <c r="A472" s="9">
        <v>469</v>
      </c>
      <c r="B472" s="9">
        <v>1</v>
      </c>
      <c r="C472" s="9">
        <v>2001</v>
      </c>
      <c r="D472" s="9">
        <f t="shared" si="318"/>
        <v>14806290</v>
      </c>
      <c r="E472" s="9" t="str">
        <f t="shared" si="315"/>
        <v>5200122,5301122,5202123,5402121,5501125,5500121</v>
      </c>
      <c r="F472" s="9" t="str">
        <f t="shared" si="316"/>
        <v>12,12,12,12,12,12</v>
      </c>
      <c r="G472" s="9" t="str">
        <f t="shared" si="317"/>
        <v>969,1048,1048,1048,1048,1048</v>
      </c>
      <c r="H472" s="9">
        <v>227</v>
      </c>
      <c r="I472" s="9" t="s">
        <v>278</v>
      </c>
      <c r="J472" s="9" t="s">
        <v>279</v>
      </c>
      <c r="K472" s="9" t="s">
        <v>279</v>
      </c>
      <c r="L472" s="9" t="s">
        <v>279</v>
      </c>
      <c r="M472" s="36" t="s">
        <v>311</v>
      </c>
      <c r="N472" s="40"/>
      <c r="O472" s="3">
        <f t="shared" si="319"/>
        <v>14806290</v>
      </c>
      <c r="P472" s="9">
        <v>11704577.029999999</v>
      </c>
      <c r="Q472" s="9">
        <v>5200122</v>
      </c>
      <c r="R472" s="9">
        <v>5301122</v>
      </c>
      <c r="S472" s="9">
        <v>5202123</v>
      </c>
      <c r="T472" s="9">
        <v>5402121</v>
      </c>
      <c r="U472" s="9">
        <v>5501125</v>
      </c>
      <c r="V472" s="9">
        <v>5500121</v>
      </c>
      <c r="W472" s="9">
        <v>12</v>
      </c>
      <c r="X472" s="9">
        <v>12</v>
      </c>
      <c r="Y472" s="9">
        <v>12</v>
      </c>
      <c r="Z472" s="9">
        <v>12</v>
      </c>
      <c r="AA472" s="9">
        <v>12</v>
      </c>
      <c r="AB472" s="9">
        <v>12</v>
      </c>
      <c r="AC472" s="9">
        <f t="shared" si="302"/>
        <v>969</v>
      </c>
      <c r="AD472" s="9">
        <f t="shared" si="303"/>
        <v>1048</v>
      </c>
      <c r="AE472" s="9">
        <f t="shared" si="304"/>
        <v>1048</v>
      </c>
      <c r="AF472" s="9">
        <f t="shared" si="305"/>
        <v>1048</v>
      </c>
      <c r="AG472" s="9">
        <f t="shared" si="306"/>
        <v>1048</v>
      </c>
      <c r="AH472" s="9">
        <f t="shared" si="307"/>
        <v>1048</v>
      </c>
      <c r="AI472" s="7">
        <f t="shared" si="283"/>
        <v>1950762.8383333331</v>
      </c>
      <c r="AJ472" s="7">
        <f t="shared" si="314"/>
        <v>1950762.8383333331</v>
      </c>
      <c r="AK472" s="7">
        <f t="shared" si="314"/>
        <v>1950762.8383333331</v>
      </c>
      <c r="AL472" s="7">
        <f t="shared" si="314"/>
        <v>1950762.8383333331</v>
      </c>
      <c r="AM472" s="7">
        <f t="shared" si="314"/>
        <v>1950762.8383333331</v>
      </c>
      <c r="AN472" s="7">
        <f t="shared" si="314"/>
        <v>1950762.8383333331</v>
      </c>
      <c r="AO472" s="16"/>
      <c r="AP472" s="7"/>
      <c r="AQ472" s="9">
        <v>8</v>
      </c>
      <c r="AR472" s="9">
        <f t="shared" si="308"/>
        <v>1239</v>
      </c>
      <c r="AS472" s="7">
        <f t="shared" si="281"/>
        <v>334</v>
      </c>
      <c r="AT472" s="7"/>
      <c r="AU472" s="16"/>
      <c r="AV472" s="7"/>
      <c r="AW472" s="7"/>
      <c r="AX472" s="7"/>
      <c r="AZ472" s="7"/>
      <c r="BA472" s="9">
        <f t="shared" si="313"/>
        <v>1376710.9000000015</v>
      </c>
      <c r="BC472" s="5">
        <f t="shared" si="309"/>
        <v>906</v>
      </c>
      <c r="BR472" s="5">
        <v>2406024</v>
      </c>
      <c r="BS472" s="18">
        <f>[1]monsters!$N472</f>
        <v>110.93</v>
      </c>
      <c r="BT472" s="18">
        <f>[1]monsters!$O472</f>
        <v>11.09</v>
      </c>
      <c r="BU472" s="18">
        <f>[1]monsters!$P472</f>
        <v>738.46</v>
      </c>
      <c r="BV472" s="18">
        <f>[1]monsters!$Q472</f>
        <v>73.849999999999994</v>
      </c>
      <c r="BW472" s="18">
        <f>[1]monsters!$R472</f>
        <v>11.09</v>
      </c>
      <c r="BX472" s="18">
        <f>[1]monsters!$S472</f>
        <v>1.1100000000000001</v>
      </c>
      <c r="BY472" s="18">
        <f>[1]monsters!$K472</f>
        <v>1.6</v>
      </c>
      <c r="BZ472" s="5">
        <f>[1]monsters!$D472</f>
        <v>4</v>
      </c>
      <c r="CA472" s="5">
        <f t="shared" si="310"/>
        <v>0.1</v>
      </c>
      <c r="CB472" s="5">
        <f t="shared" si="311"/>
        <v>129.69282306397309</v>
      </c>
      <c r="CC472" s="5">
        <f t="shared" si="312"/>
        <v>12.969282306397311</v>
      </c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>
        <v>0</v>
      </c>
      <c r="CR472" s="3" t="b">
        <f t="shared" si="284"/>
        <v>1</v>
      </c>
      <c r="CS472" s="3" t="b">
        <f t="shared" si="285"/>
        <v>1</v>
      </c>
      <c r="CT472" s="3" t="b">
        <f t="shared" si="286"/>
        <v>1</v>
      </c>
      <c r="CU472" s="3" t="b">
        <f t="shared" si="287"/>
        <v>1</v>
      </c>
      <c r="CV472" s="3" t="b">
        <f t="shared" si="288"/>
        <v>1</v>
      </c>
      <c r="CW472" s="3" t="b">
        <f t="shared" si="289"/>
        <v>1</v>
      </c>
      <c r="CX472" s="9" t="str">
        <f t="shared" si="290"/>
        <v>5200122</v>
      </c>
      <c r="CY472" s="9" t="str">
        <f t="shared" si="291"/>
        <v>5301122</v>
      </c>
      <c r="CZ472" s="9" t="str">
        <f t="shared" si="292"/>
        <v>5202123</v>
      </c>
      <c r="DA472" s="9" t="str">
        <f t="shared" si="293"/>
        <v>5402121</v>
      </c>
      <c r="DB472" s="9" t="str">
        <f t="shared" si="294"/>
        <v>5501125</v>
      </c>
      <c r="DC472" s="9" t="str">
        <f t="shared" si="295"/>
        <v>5500121</v>
      </c>
      <c r="DD472" s="9">
        <v>12</v>
      </c>
      <c r="DE472" s="9">
        <v>12</v>
      </c>
      <c r="DF472" s="9">
        <v>12</v>
      </c>
      <c r="DG472" s="9">
        <v>12</v>
      </c>
      <c r="DH472" s="9">
        <v>12</v>
      </c>
      <c r="DI472" s="9">
        <v>12</v>
      </c>
      <c r="DJ472" s="9">
        <v>5</v>
      </c>
      <c r="DK472" s="9">
        <v>5</v>
      </c>
      <c r="DL472" s="9">
        <v>5</v>
      </c>
      <c r="DM472" s="9">
        <v>5</v>
      </c>
      <c r="DN472" s="9">
        <v>5</v>
      </c>
      <c r="DO472" s="9">
        <v>5</v>
      </c>
      <c r="DP472" s="25" t="s">
        <v>199</v>
      </c>
      <c r="DQ472" s="26" t="s">
        <v>201</v>
      </c>
      <c r="DR472" s="25" t="s">
        <v>208</v>
      </c>
      <c r="DS472" s="26" t="s">
        <v>196</v>
      </c>
      <c r="DT472" s="26" t="s">
        <v>209</v>
      </c>
      <c r="DU472" s="28" t="s">
        <v>197</v>
      </c>
      <c r="DV472" s="28">
        <f t="shared" si="296"/>
        <v>1</v>
      </c>
      <c r="DW472" s="28">
        <f t="shared" si="297"/>
        <v>1</v>
      </c>
      <c r="DX472" s="28">
        <f t="shared" si="298"/>
        <v>1</v>
      </c>
      <c r="DY472" s="28">
        <f t="shared" si="299"/>
        <v>2</v>
      </c>
      <c r="DZ472" s="28">
        <f t="shared" si="300"/>
        <v>2</v>
      </c>
      <c r="EA472" s="3">
        <f t="shared" si="301"/>
        <v>2</v>
      </c>
      <c r="EB472" s="38"/>
    </row>
    <row r="473" spans="1:132" ht="13.5" customHeight="1">
      <c r="A473" s="9">
        <v>470</v>
      </c>
      <c r="B473" s="9">
        <v>1</v>
      </c>
      <c r="C473" s="9">
        <v>2001</v>
      </c>
      <c r="D473" s="9">
        <f t="shared" si="318"/>
        <v>14854074</v>
      </c>
      <c r="E473" s="9" t="str">
        <f t="shared" si="315"/>
        <v>5201123,5201123,5201123,5402123,5402123,5402123</v>
      </c>
      <c r="F473" s="9" t="str">
        <f t="shared" si="316"/>
        <v>12,12,12,12,12,12</v>
      </c>
      <c r="G473" s="9" t="str">
        <f t="shared" si="317"/>
        <v>971,1049,1049,1049,1049,1049</v>
      </c>
      <c r="H473" s="9">
        <v>228</v>
      </c>
      <c r="I473" s="9" t="s">
        <v>278</v>
      </c>
      <c r="J473" s="9" t="s">
        <v>279</v>
      </c>
      <c r="K473" s="9" t="s">
        <v>279</v>
      </c>
      <c r="L473" s="9" t="s">
        <v>279</v>
      </c>
      <c r="M473" s="36" t="s">
        <v>311</v>
      </c>
      <c r="O473" s="3">
        <f t="shared" si="319"/>
        <v>14854074</v>
      </c>
      <c r="P473" s="9">
        <v>11742351.210000001</v>
      </c>
      <c r="Q473" s="9">
        <v>5201123</v>
      </c>
      <c r="R473" s="9">
        <v>5201123</v>
      </c>
      <c r="S473" s="9">
        <v>5201123</v>
      </c>
      <c r="T473" s="9">
        <v>5402123</v>
      </c>
      <c r="U473" s="9">
        <v>5402123</v>
      </c>
      <c r="V473" s="9">
        <v>5402123</v>
      </c>
      <c r="W473" s="9">
        <v>12</v>
      </c>
      <c r="X473" s="9">
        <v>12</v>
      </c>
      <c r="Y473" s="9">
        <v>12</v>
      </c>
      <c r="Z473" s="9">
        <v>12</v>
      </c>
      <c r="AA473" s="9">
        <v>12</v>
      </c>
      <c r="AB473" s="9">
        <v>12</v>
      </c>
      <c r="AC473" s="9">
        <f t="shared" si="302"/>
        <v>971</v>
      </c>
      <c r="AD473" s="9">
        <f t="shared" si="303"/>
        <v>1049</v>
      </c>
      <c r="AE473" s="9">
        <f t="shared" si="304"/>
        <v>1049</v>
      </c>
      <c r="AF473" s="9">
        <f t="shared" si="305"/>
        <v>1049</v>
      </c>
      <c r="AG473" s="9">
        <f t="shared" si="306"/>
        <v>1049</v>
      </c>
      <c r="AH473" s="9">
        <f t="shared" si="307"/>
        <v>1049</v>
      </c>
      <c r="AI473" s="7">
        <f t="shared" si="283"/>
        <v>1957058.5350000001</v>
      </c>
      <c r="AJ473" s="7">
        <f t="shared" si="314"/>
        <v>1957058.5350000001</v>
      </c>
      <c r="AK473" s="7">
        <f t="shared" si="314"/>
        <v>1957058.5350000001</v>
      </c>
      <c r="AL473" s="7">
        <f t="shared" si="314"/>
        <v>1957058.5350000001</v>
      </c>
      <c r="AM473" s="7">
        <f t="shared" si="314"/>
        <v>1957058.5350000001</v>
      </c>
      <c r="AN473" s="7">
        <f t="shared" si="314"/>
        <v>1957058.5350000001</v>
      </c>
      <c r="AO473" s="16"/>
      <c r="AP473" s="7"/>
      <c r="AQ473" s="9">
        <v>8</v>
      </c>
      <c r="AR473" s="9">
        <f t="shared" si="308"/>
        <v>1241</v>
      </c>
      <c r="AS473" s="7">
        <f t="shared" si="281"/>
        <v>335</v>
      </c>
      <c r="AT473" s="7"/>
      <c r="AU473" s="16"/>
      <c r="AV473" s="7"/>
      <c r="AW473" s="7"/>
      <c r="AX473" s="7"/>
      <c r="AZ473" s="7"/>
      <c r="BA473" s="9">
        <f t="shared" si="313"/>
        <v>1396817.0000000016</v>
      </c>
      <c r="BC473" s="5">
        <f t="shared" si="309"/>
        <v>907</v>
      </c>
      <c r="BR473" s="5">
        <v>2205024</v>
      </c>
      <c r="BS473" s="18">
        <f>[1]monsters!$N473</f>
        <v>102.4</v>
      </c>
      <c r="BT473" s="18">
        <f>[1]monsters!$O473</f>
        <v>10.24</v>
      </c>
      <c r="BU473" s="18">
        <f>[1]monsters!$P473</f>
        <v>800</v>
      </c>
      <c r="BV473" s="18">
        <f>[1]monsters!$Q473</f>
        <v>80</v>
      </c>
      <c r="BW473" s="18">
        <f>[1]monsters!$R473</f>
        <v>17.07</v>
      </c>
      <c r="BX473" s="18">
        <f>[1]monsters!$S473</f>
        <v>1.71</v>
      </c>
      <c r="BY473" s="18">
        <f>[1]monsters!$K473</f>
        <v>1.6</v>
      </c>
      <c r="BZ473" s="5">
        <f>[1]monsters!$D473</f>
        <v>5</v>
      </c>
      <c r="CA473" s="5">
        <f t="shared" si="310"/>
        <v>0.1</v>
      </c>
      <c r="CB473" s="5">
        <f t="shared" si="311"/>
        <v>123.70402693602695</v>
      </c>
      <c r="CC473" s="5">
        <f t="shared" si="312"/>
        <v>12.370402693602696</v>
      </c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>
        <v>1</v>
      </c>
      <c r="CR473" s="3" t="b">
        <f t="shared" si="284"/>
        <v>1</v>
      </c>
      <c r="CS473" s="3" t="b">
        <f t="shared" si="285"/>
        <v>1</v>
      </c>
      <c r="CT473" s="3" t="b">
        <f t="shared" si="286"/>
        <v>1</v>
      </c>
      <c r="CU473" s="3" t="b">
        <f t="shared" si="287"/>
        <v>1</v>
      </c>
      <c r="CV473" s="3" t="b">
        <f t="shared" si="288"/>
        <v>1</v>
      </c>
      <c r="CW473" s="3" t="b">
        <f t="shared" si="289"/>
        <v>1</v>
      </c>
      <c r="CX473" s="9" t="str">
        <f t="shared" si="290"/>
        <v>5201123</v>
      </c>
      <c r="CY473" s="9" t="str">
        <f t="shared" si="291"/>
        <v>5201123</v>
      </c>
      <c r="CZ473" s="9" t="str">
        <f t="shared" si="292"/>
        <v>5201123</v>
      </c>
      <c r="DA473" s="9" t="str">
        <f t="shared" si="293"/>
        <v>5402123</v>
      </c>
      <c r="DB473" s="9" t="str">
        <f t="shared" si="294"/>
        <v>5402123</v>
      </c>
      <c r="DC473" s="9" t="str">
        <f t="shared" si="295"/>
        <v>5402123</v>
      </c>
      <c r="DD473" s="9">
        <v>12</v>
      </c>
      <c r="DE473" s="9">
        <v>12</v>
      </c>
      <c r="DF473" s="9">
        <v>12</v>
      </c>
      <c r="DG473" s="9">
        <v>12</v>
      </c>
      <c r="DH473" s="9">
        <v>12</v>
      </c>
      <c r="DI473" s="9">
        <v>12</v>
      </c>
      <c r="DJ473" s="9">
        <v>5</v>
      </c>
      <c r="DK473" s="9">
        <v>5</v>
      </c>
      <c r="DL473" s="9">
        <v>5</v>
      </c>
      <c r="DM473" s="9">
        <v>5</v>
      </c>
      <c r="DN473" s="9">
        <v>5</v>
      </c>
      <c r="DO473" s="9">
        <v>5</v>
      </c>
      <c r="DP473" s="25" t="s">
        <v>205</v>
      </c>
      <c r="DQ473" s="25" t="s">
        <v>205</v>
      </c>
      <c r="DR473" s="25" t="s">
        <v>205</v>
      </c>
      <c r="DS473" s="26" t="s">
        <v>118</v>
      </c>
      <c r="DT473" s="26" t="s">
        <v>118</v>
      </c>
      <c r="DU473" s="26" t="s">
        <v>118</v>
      </c>
      <c r="DV473" s="26">
        <f t="shared" si="296"/>
        <v>1</v>
      </c>
      <c r="DW473" s="26">
        <f t="shared" si="297"/>
        <v>1</v>
      </c>
      <c r="DX473" s="26">
        <f t="shared" si="298"/>
        <v>1</v>
      </c>
      <c r="DY473" s="26">
        <f t="shared" si="299"/>
        <v>2</v>
      </c>
      <c r="DZ473" s="26">
        <f t="shared" si="300"/>
        <v>2</v>
      </c>
      <c r="EA473" s="3">
        <f t="shared" si="301"/>
        <v>2</v>
      </c>
      <c r="EB473" s="38"/>
    </row>
    <row r="474" spans="1:132" ht="13.5" customHeight="1">
      <c r="A474" s="9">
        <v>471</v>
      </c>
      <c r="B474" s="9">
        <v>1</v>
      </c>
      <c r="C474" s="9">
        <v>2001</v>
      </c>
      <c r="D474" s="9">
        <f t="shared" si="318"/>
        <v>14901934</v>
      </c>
      <c r="E474" s="9" t="str">
        <f t="shared" si="315"/>
        <v>5201121,5201122,5200121,5502121,5601121,5502121</v>
      </c>
      <c r="F474" s="9" t="str">
        <f t="shared" si="316"/>
        <v>12,12,12,12,12,12</v>
      </c>
      <c r="G474" s="9" t="str">
        <f t="shared" si="317"/>
        <v>972,1051,1051,1051,1051,1051</v>
      </c>
      <c r="H474" s="9">
        <v>228</v>
      </c>
      <c r="I474" s="9" t="s">
        <v>278</v>
      </c>
      <c r="J474" s="9" t="s">
        <v>279</v>
      </c>
      <c r="K474" s="9" t="s">
        <v>279</v>
      </c>
      <c r="L474" s="9" t="s">
        <v>279</v>
      </c>
      <c r="M474" s="36" t="s">
        <v>311</v>
      </c>
      <c r="N474" s="40"/>
      <c r="O474" s="3">
        <f t="shared" si="319"/>
        <v>14901934</v>
      </c>
      <c r="P474" s="9">
        <v>11780185.09</v>
      </c>
      <c r="Q474" s="9">
        <v>5201121</v>
      </c>
      <c r="R474" s="9">
        <v>5201122</v>
      </c>
      <c r="S474" s="9">
        <v>5200121</v>
      </c>
      <c r="T474" s="9">
        <v>5502121</v>
      </c>
      <c r="U474" s="9">
        <v>5601121</v>
      </c>
      <c r="V474" s="9">
        <v>5502121</v>
      </c>
      <c r="W474" s="9">
        <v>12</v>
      </c>
      <c r="X474" s="9">
        <v>12</v>
      </c>
      <c r="Y474" s="9">
        <v>12</v>
      </c>
      <c r="Z474" s="9">
        <v>12</v>
      </c>
      <c r="AA474" s="9">
        <v>12</v>
      </c>
      <c r="AB474" s="9">
        <v>12</v>
      </c>
      <c r="AC474" s="9">
        <f t="shared" si="302"/>
        <v>972</v>
      </c>
      <c r="AD474" s="9">
        <f t="shared" si="303"/>
        <v>1051</v>
      </c>
      <c r="AE474" s="9">
        <f t="shared" si="304"/>
        <v>1051</v>
      </c>
      <c r="AF474" s="9">
        <f t="shared" si="305"/>
        <v>1051</v>
      </c>
      <c r="AG474" s="9">
        <f t="shared" si="306"/>
        <v>1051</v>
      </c>
      <c r="AH474" s="9">
        <f t="shared" si="307"/>
        <v>1051</v>
      </c>
      <c r="AI474" s="7">
        <f t="shared" si="283"/>
        <v>1963364.1816666666</v>
      </c>
      <c r="AJ474" s="7">
        <f t="shared" si="314"/>
        <v>1963364.1816666666</v>
      </c>
      <c r="AK474" s="7">
        <f t="shared" si="314"/>
        <v>1963364.1816666666</v>
      </c>
      <c r="AL474" s="7">
        <f t="shared" si="314"/>
        <v>1963364.1816666666</v>
      </c>
      <c r="AM474" s="7">
        <f t="shared" si="314"/>
        <v>1963364.1816666666</v>
      </c>
      <c r="AN474" s="7">
        <f t="shared" si="314"/>
        <v>1963364.1816666666</v>
      </c>
      <c r="AO474" s="16"/>
      <c r="AP474" s="7"/>
      <c r="AQ474" s="9">
        <v>8</v>
      </c>
      <c r="AR474" s="9">
        <f t="shared" si="308"/>
        <v>1243</v>
      </c>
      <c r="AS474" s="7">
        <f t="shared" si="281"/>
        <v>335</v>
      </c>
      <c r="AT474" s="7"/>
      <c r="AU474" s="16"/>
      <c r="AV474" s="7"/>
      <c r="AW474" s="7"/>
      <c r="AX474" s="7"/>
      <c r="AZ474" s="7"/>
      <c r="BA474" s="9">
        <f t="shared" si="313"/>
        <v>1416923.1000000017</v>
      </c>
      <c r="BC474" s="5">
        <f t="shared" si="309"/>
        <v>909</v>
      </c>
      <c r="BR474" s="5">
        <v>2405024</v>
      </c>
      <c r="BS474" s="18">
        <f>[1]monsters!$N474</f>
        <v>85.87</v>
      </c>
      <c r="BT474" s="18">
        <f>[1]monsters!$O474</f>
        <v>8.59</v>
      </c>
      <c r="BU474" s="18">
        <f>[1]monsters!$P474</f>
        <v>834.78</v>
      </c>
      <c r="BV474" s="18">
        <f>[1]monsters!$Q474</f>
        <v>83.48</v>
      </c>
      <c r="BW474" s="18">
        <f>[1]monsters!$R474</f>
        <v>10.73</v>
      </c>
      <c r="BX474" s="18">
        <f>[1]monsters!$S474</f>
        <v>1.07</v>
      </c>
      <c r="BY474" s="18">
        <f>[1]monsters!$K474</f>
        <v>1.4</v>
      </c>
      <c r="BZ474" s="5">
        <f>[1]monsters!$D474</f>
        <v>3</v>
      </c>
      <c r="CA474" s="5">
        <f t="shared" si="310"/>
        <v>0.1</v>
      </c>
      <c r="CB474" s="5">
        <f t="shared" si="311"/>
        <v>109.25422070707071</v>
      </c>
      <c r="CC474" s="5">
        <f t="shared" si="312"/>
        <v>10.925422070707071</v>
      </c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>
        <v>0</v>
      </c>
      <c r="CR474" s="3" t="b">
        <f t="shared" si="284"/>
        <v>1</v>
      </c>
      <c r="CS474" s="3" t="b">
        <f t="shared" si="285"/>
        <v>1</v>
      </c>
      <c r="CT474" s="3" t="b">
        <f t="shared" si="286"/>
        <v>1</v>
      </c>
      <c r="CU474" s="3" t="b">
        <f t="shared" si="287"/>
        <v>1</v>
      </c>
      <c r="CV474" s="3" t="b">
        <f t="shared" si="288"/>
        <v>1</v>
      </c>
      <c r="CW474" s="3" t="b">
        <f t="shared" si="289"/>
        <v>1</v>
      </c>
      <c r="CX474" s="9" t="str">
        <f t="shared" si="290"/>
        <v>5201121</v>
      </c>
      <c r="CY474" s="9" t="str">
        <f t="shared" si="291"/>
        <v>5201122</v>
      </c>
      <c r="CZ474" s="9" t="str">
        <f t="shared" si="292"/>
        <v>5200121</v>
      </c>
      <c r="DA474" s="9" t="str">
        <f t="shared" si="293"/>
        <v>5502121</v>
      </c>
      <c r="DB474" s="9" t="str">
        <f t="shared" si="294"/>
        <v>5601121</v>
      </c>
      <c r="DC474" s="9" t="str">
        <f t="shared" si="295"/>
        <v>5502121</v>
      </c>
      <c r="DD474" s="9">
        <v>12</v>
      </c>
      <c r="DE474" s="9">
        <v>12</v>
      </c>
      <c r="DF474" s="9">
        <v>12</v>
      </c>
      <c r="DG474" s="9">
        <v>12</v>
      </c>
      <c r="DH474" s="9">
        <v>12</v>
      </c>
      <c r="DI474" s="9">
        <v>12</v>
      </c>
      <c r="DJ474" s="9">
        <v>5</v>
      </c>
      <c r="DK474" s="9">
        <v>5</v>
      </c>
      <c r="DL474" s="9">
        <v>5</v>
      </c>
      <c r="DM474" s="9">
        <v>5</v>
      </c>
      <c r="DN474" s="9">
        <v>5</v>
      </c>
      <c r="DO474" s="9">
        <v>5</v>
      </c>
      <c r="DP474" s="25" t="s">
        <v>195</v>
      </c>
      <c r="DQ474" s="25" t="s">
        <v>114</v>
      </c>
      <c r="DR474" s="25" t="s">
        <v>194</v>
      </c>
      <c r="DS474" s="25" t="s">
        <v>119</v>
      </c>
      <c r="DT474" s="25" t="s">
        <v>198</v>
      </c>
      <c r="DU474" s="25" t="s">
        <v>119</v>
      </c>
      <c r="DV474" s="25">
        <f t="shared" si="296"/>
        <v>1</v>
      </c>
      <c r="DW474" s="25">
        <f t="shared" si="297"/>
        <v>1</v>
      </c>
      <c r="DX474" s="25">
        <f t="shared" si="298"/>
        <v>1</v>
      </c>
      <c r="DY474" s="25">
        <f t="shared" si="299"/>
        <v>2</v>
      </c>
      <c r="DZ474" s="25">
        <f t="shared" si="300"/>
        <v>2</v>
      </c>
      <c r="EA474" s="3">
        <f t="shared" si="301"/>
        <v>2</v>
      </c>
      <c r="EB474" s="49"/>
    </row>
    <row r="475" spans="1:132" ht="13.5" customHeight="1">
      <c r="A475" s="9">
        <v>472</v>
      </c>
      <c r="B475" s="9">
        <v>1</v>
      </c>
      <c r="C475" s="9">
        <v>2001</v>
      </c>
      <c r="D475" s="9">
        <f t="shared" si="318"/>
        <v>14949872</v>
      </c>
      <c r="E475" s="9" t="str">
        <f t="shared" si="315"/>
        <v>5200122,5200123,5200122,5502122,5500122,5502123</v>
      </c>
      <c r="F475" s="9" t="str">
        <f t="shared" si="316"/>
        <v>12,12,12,12,12,12</v>
      </c>
      <c r="G475" s="9" t="str">
        <f t="shared" si="317"/>
        <v>974,1053,1053,1053,1053,1053</v>
      </c>
      <c r="H475" s="9">
        <v>228</v>
      </c>
      <c r="I475" s="9" t="s">
        <v>278</v>
      </c>
      <c r="J475" s="9" t="s">
        <v>279</v>
      </c>
      <c r="K475" s="9" t="s">
        <v>279</v>
      </c>
      <c r="L475" s="9" t="s">
        <v>279</v>
      </c>
      <c r="M475" s="36" t="s">
        <v>311</v>
      </c>
      <c r="N475" s="40"/>
      <c r="O475" s="3">
        <f t="shared" si="319"/>
        <v>14949872</v>
      </c>
      <c r="P475" s="9">
        <v>11818080.66</v>
      </c>
      <c r="Q475" s="9">
        <v>5200122</v>
      </c>
      <c r="R475" s="9">
        <v>5200123</v>
      </c>
      <c r="S475" s="9">
        <v>5200122</v>
      </c>
      <c r="T475" s="9">
        <v>5502122</v>
      </c>
      <c r="U475" s="9">
        <v>5500122</v>
      </c>
      <c r="V475" s="9">
        <v>5502123</v>
      </c>
      <c r="W475" s="9">
        <v>12</v>
      </c>
      <c r="X475" s="9">
        <v>12</v>
      </c>
      <c r="Y475" s="9">
        <v>12</v>
      </c>
      <c r="Z475" s="9">
        <v>12</v>
      </c>
      <c r="AA475" s="9">
        <v>12</v>
      </c>
      <c r="AB475" s="9">
        <v>12</v>
      </c>
      <c r="AC475" s="9">
        <f t="shared" si="302"/>
        <v>974</v>
      </c>
      <c r="AD475" s="9">
        <f t="shared" si="303"/>
        <v>1053</v>
      </c>
      <c r="AE475" s="9">
        <f t="shared" si="304"/>
        <v>1053</v>
      </c>
      <c r="AF475" s="9">
        <f t="shared" si="305"/>
        <v>1053</v>
      </c>
      <c r="AG475" s="9">
        <f t="shared" si="306"/>
        <v>1053</v>
      </c>
      <c r="AH475" s="9">
        <f t="shared" si="307"/>
        <v>1053</v>
      </c>
      <c r="AI475" s="7">
        <f t="shared" si="283"/>
        <v>1969680.11</v>
      </c>
      <c r="AJ475" s="7">
        <f t="shared" si="314"/>
        <v>1969680.11</v>
      </c>
      <c r="AK475" s="7">
        <f t="shared" si="314"/>
        <v>1969680.11</v>
      </c>
      <c r="AL475" s="7">
        <f t="shared" si="314"/>
        <v>1969680.11</v>
      </c>
      <c r="AM475" s="7">
        <f t="shared" si="314"/>
        <v>1969680.11</v>
      </c>
      <c r="AN475" s="7">
        <f t="shared" si="314"/>
        <v>1969680.11</v>
      </c>
      <c r="AO475" s="16"/>
      <c r="AP475" s="7"/>
      <c r="AQ475" s="9">
        <v>8</v>
      </c>
      <c r="AR475" s="9">
        <f t="shared" si="308"/>
        <v>1245</v>
      </c>
      <c r="AS475" s="7">
        <f t="shared" ref="AS475:AS538" si="320">FLOOR((A475-150)/2,1)+175</f>
        <v>336</v>
      </c>
      <c r="AT475" s="7"/>
      <c r="AU475" s="16"/>
      <c r="AV475" s="7"/>
      <c r="AW475" s="7"/>
      <c r="AX475" s="7"/>
      <c r="AZ475" s="7"/>
      <c r="BA475" s="9">
        <f t="shared" si="313"/>
        <v>1437029.2000000018</v>
      </c>
      <c r="BC475" s="5">
        <f t="shared" si="309"/>
        <v>910</v>
      </c>
      <c r="BR475" s="5">
        <v>2203024</v>
      </c>
      <c r="BS475" s="18">
        <f>[1]monsters!$N475</f>
        <v>62.4</v>
      </c>
      <c r="BT475" s="18">
        <f>[1]monsters!$O475</f>
        <v>6.24</v>
      </c>
      <c r="BU475" s="18">
        <f>[1]monsters!$P475</f>
        <v>1066.67</v>
      </c>
      <c r="BV475" s="18">
        <f>[1]monsters!$Q475</f>
        <v>106.67</v>
      </c>
      <c r="BW475" s="18">
        <f>[1]monsters!$R475</f>
        <v>12.48</v>
      </c>
      <c r="BX475" s="18">
        <f>[1]monsters!$S475</f>
        <v>1.25</v>
      </c>
      <c r="BY475" s="18">
        <f>[1]monsters!$K475</f>
        <v>1.3</v>
      </c>
      <c r="BZ475" s="5">
        <f>[1]monsters!$D475</f>
        <v>2</v>
      </c>
      <c r="CA475" s="5">
        <f t="shared" si="310"/>
        <v>0.1</v>
      </c>
      <c r="CB475" s="5">
        <f t="shared" si="311"/>
        <v>94.882814814814822</v>
      </c>
      <c r="CC475" s="5">
        <f t="shared" si="312"/>
        <v>9.4882814814814829</v>
      </c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>
        <v>0</v>
      </c>
      <c r="CR475" s="3" t="b">
        <f t="shared" si="284"/>
        <v>1</v>
      </c>
      <c r="CS475" s="3" t="b">
        <f t="shared" si="285"/>
        <v>1</v>
      </c>
      <c r="CT475" s="3" t="b">
        <f t="shared" si="286"/>
        <v>1</v>
      </c>
      <c r="CU475" s="3" t="b">
        <f t="shared" si="287"/>
        <v>1</v>
      </c>
      <c r="CV475" s="3" t="b">
        <f t="shared" si="288"/>
        <v>1</v>
      </c>
      <c r="CW475" s="3" t="b">
        <f t="shared" si="289"/>
        <v>1</v>
      </c>
      <c r="CX475" s="9" t="str">
        <f t="shared" si="290"/>
        <v>5200122</v>
      </c>
      <c r="CY475" s="9" t="str">
        <f t="shared" si="291"/>
        <v>5200123</v>
      </c>
      <c r="CZ475" s="9" t="str">
        <f t="shared" si="292"/>
        <v>5200122</v>
      </c>
      <c r="DA475" s="9" t="str">
        <f t="shared" si="293"/>
        <v>5502122</v>
      </c>
      <c r="DB475" s="9" t="str">
        <f t="shared" si="294"/>
        <v>5500122</v>
      </c>
      <c r="DC475" s="9" t="str">
        <f t="shared" si="295"/>
        <v>5502123</v>
      </c>
      <c r="DD475" s="9">
        <v>12</v>
      </c>
      <c r="DE475" s="9">
        <v>12</v>
      </c>
      <c r="DF475" s="9">
        <v>12</v>
      </c>
      <c r="DG475" s="9">
        <v>12</v>
      </c>
      <c r="DH475" s="9">
        <v>12</v>
      </c>
      <c r="DI475" s="9">
        <v>12</v>
      </c>
      <c r="DJ475" s="9">
        <v>5</v>
      </c>
      <c r="DK475" s="9">
        <v>5</v>
      </c>
      <c r="DL475" s="9">
        <v>5</v>
      </c>
      <c r="DM475" s="9">
        <v>5</v>
      </c>
      <c r="DN475" s="9">
        <v>5</v>
      </c>
      <c r="DO475" s="9">
        <v>5</v>
      </c>
      <c r="DP475" s="25" t="s">
        <v>199</v>
      </c>
      <c r="DQ475" s="25" t="s">
        <v>113</v>
      </c>
      <c r="DR475" s="25" t="s">
        <v>199</v>
      </c>
      <c r="DS475" s="25" t="s">
        <v>204</v>
      </c>
      <c r="DT475" s="25" t="s">
        <v>109</v>
      </c>
      <c r="DU475" s="25" t="s">
        <v>215</v>
      </c>
      <c r="DV475" s="25">
        <f t="shared" si="296"/>
        <v>1</v>
      </c>
      <c r="DW475" s="25">
        <f t="shared" si="297"/>
        <v>1</v>
      </c>
      <c r="DX475" s="25">
        <f t="shared" si="298"/>
        <v>1</v>
      </c>
      <c r="DY475" s="25">
        <f t="shared" si="299"/>
        <v>2</v>
      </c>
      <c r="DZ475" s="25">
        <f t="shared" si="300"/>
        <v>2</v>
      </c>
      <c r="EA475" s="3">
        <f t="shared" si="301"/>
        <v>2</v>
      </c>
      <c r="EB475" s="38"/>
    </row>
    <row r="476" spans="1:132" ht="13.5" customHeight="1">
      <c r="A476" s="9">
        <v>473</v>
      </c>
      <c r="B476" s="9">
        <v>1</v>
      </c>
      <c r="C476" s="9">
        <v>2001</v>
      </c>
      <c r="D476" s="9">
        <f t="shared" si="318"/>
        <v>14997888</v>
      </c>
      <c r="E476" s="9" t="str">
        <f t="shared" si="315"/>
        <v>5202123,5202122,5202123,5401123,5402122,5401123</v>
      </c>
      <c r="F476" s="9" t="str">
        <f t="shared" si="316"/>
        <v>12,12,12,12,12,12</v>
      </c>
      <c r="G476" s="9" t="str">
        <f t="shared" si="317"/>
        <v>976,1055,1055,1055,1055,1055</v>
      </c>
      <c r="H476" s="9">
        <v>229</v>
      </c>
      <c r="I476" s="9" t="s">
        <v>278</v>
      </c>
      <c r="J476" s="9" t="s">
        <v>279</v>
      </c>
      <c r="K476" s="9" t="s">
        <v>279</v>
      </c>
      <c r="L476" s="9" t="s">
        <v>279</v>
      </c>
      <c r="M476" s="36" t="s">
        <v>311</v>
      </c>
      <c r="N476" s="40"/>
      <c r="O476" s="3">
        <f t="shared" si="319"/>
        <v>14997888</v>
      </c>
      <c r="P476" s="9">
        <v>11856037.92</v>
      </c>
      <c r="Q476" s="9">
        <v>5202123</v>
      </c>
      <c r="R476" s="9">
        <v>5202122</v>
      </c>
      <c r="S476" s="9">
        <v>5202123</v>
      </c>
      <c r="T476" s="9">
        <v>5401123</v>
      </c>
      <c r="U476" s="9">
        <v>5402122</v>
      </c>
      <c r="V476" s="9">
        <v>5401123</v>
      </c>
      <c r="W476" s="9">
        <v>12</v>
      </c>
      <c r="X476" s="9">
        <v>12</v>
      </c>
      <c r="Y476" s="9">
        <v>12</v>
      </c>
      <c r="Z476" s="9">
        <v>12</v>
      </c>
      <c r="AA476" s="9">
        <v>12</v>
      </c>
      <c r="AB476" s="9">
        <v>12</v>
      </c>
      <c r="AC476" s="9">
        <f t="shared" si="302"/>
        <v>976</v>
      </c>
      <c r="AD476" s="9">
        <f t="shared" si="303"/>
        <v>1055</v>
      </c>
      <c r="AE476" s="9">
        <f t="shared" si="304"/>
        <v>1055</v>
      </c>
      <c r="AF476" s="9">
        <f t="shared" si="305"/>
        <v>1055</v>
      </c>
      <c r="AG476" s="9">
        <f t="shared" si="306"/>
        <v>1055</v>
      </c>
      <c r="AH476" s="9">
        <f t="shared" si="307"/>
        <v>1055</v>
      </c>
      <c r="AI476" s="7">
        <f t="shared" si="283"/>
        <v>1976006.32</v>
      </c>
      <c r="AJ476" s="7">
        <f t="shared" si="314"/>
        <v>1976006.32</v>
      </c>
      <c r="AK476" s="7">
        <f t="shared" si="314"/>
        <v>1976006.32</v>
      </c>
      <c r="AL476" s="7">
        <f t="shared" si="314"/>
        <v>1976006.32</v>
      </c>
      <c r="AM476" s="7">
        <f t="shared" si="314"/>
        <v>1976006.32</v>
      </c>
      <c r="AN476" s="7">
        <f t="shared" si="314"/>
        <v>1976006.32</v>
      </c>
      <c r="AO476" s="16"/>
      <c r="AP476" s="7"/>
      <c r="AQ476" s="9">
        <v>8</v>
      </c>
      <c r="AR476" s="9">
        <f t="shared" si="308"/>
        <v>1247</v>
      </c>
      <c r="AS476" s="7">
        <f t="shared" si="320"/>
        <v>336</v>
      </c>
      <c r="AT476" s="7"/>
      <c r="AU476" s="16"/>
      <c r="AV476" s="7"/>
      <c r="AW476" s="7"/>
      <c r="AX476" s="7"/>
      <c r="AZ476" s="7"/>
      <c r="BA476" s="9">
        <f t="shared" si="313"/>
        <v>1457135.3000000019</v>
      </c>
      <c r="BC476" s="5">
        <f t="shared" si="309"/>
        <v>912</v>
      </c>
      <c r="BR476" s="5">
        <v>2403024</v>
      </c>
      <c r="BS476" s="18">
        <f>[1]monsters!$N476</f>
        <v>83.2</v>
      </c>
      <c r="BT476" s="18">
        <f>[1]monsters!$O476</f>
        <v>8.32</v>
      </c>
      <c r="BU476" s="18">
        <f>[1]monsters!$P476</f>
        <v>800</v>
      </c>
      <c r="BV476" s="18">
        <f>[1]monsters!$Q476</f>
        <v>80</v>
      </c>
      <c r="BW476" s="18">
        <f>[1]monsters!$R476</f>
        <v>8.32</v>
      </c>
      <c r="BX476" s="18">
        <f>[1]monsters!$S476</f>
        <v>0.83</v>
      </c>
      <c r="BY476" s="18">
        <f>[1]monsters!$K476</f>
        <v>1.3</v>
      </c>
      <c r="BZ476" s="5">
        <f>[1]monsters!$D476</f>
        <v>4</v>
      </c>
      <c r="CA476" s="5">
        <f t="shared" si="310"/>
        <v>0.1</v>
      </c>
      <c r="CB476" s="5">
        <f t="shared" si="311"/>
        <v>105.56002693602694</v>
      </c>
      <c r="CC476" s="5">
        <f t="shared" si="312"/>
        <v>10.556002693602695</v>
      </c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>
        <v>0</v>
      </c>
      <c r="CR476" s="3" t="b">
        <f t="shared" si="284"/>
        <v>1</v>
      </c>
      <c r="CS476" s="3" t="b">
        <f t="shared" si="285"/>
        <v>1</v>
      </c>
      <c r="CT476" s="3" t="b">
        <f t="shared" si="286"/>
        <v>1</v>
      </c>
      <c r="CU476" s="3" t="b">
        <f t="shared" si="287"/>
        <v>1</v>
      </c>
      <c r="CV476" s="3" t="b">
        <f t="shared" si="288"/>
        <v>1</v>
      </c>
      <c r="CW476" s="3" t="b">
        <f t="shared" si="289"/>
        <v>1</v>
      </c>
      <c r="CX476" s="9" t="str">
        <f t="shared" si="290"/>
        <v>5202123</v>
      </c>
      <c r="CY476" s="9" t="str">
        <f t="shared" si="291"/>
        <v>5202122</v>
      </c>
      <c r="CZ476" s="9" t="str">
        <f t="shared" si="292"/>
        <v>5202123</v>
      </c>
      <c r="DA476" s="9" t="str">
        <f t="shared" si="293"/>
        <v>5401123</v>
      </c>
      <c r="DB476" s="9" t="str">
        <f t="shared" si="294"/>
        <v>5402122</v>
      </c>
      <c r="DC476" s="9" t="str">
        <f t="shared" si="295"/>
        <v>5401123</v>
      </c>
      <c r="DD476" s="9">
        <v>12</v>
      </c>
      <c r="DE476" s="9">
        <v>12</v>
      </c>
      <c r="DF476" s="9">
        <v>12</v>
      </c>
      <c r="DG476" s="9">
        <v>12</v>
      </c>
      <c r="DH476" s="9">
        <v>12</v>
      </c>
      <c r="DI476" s="9">
        <v>12</v>
      </c>
      <c r="DJ476" s="9">
        <v>5</v>
      </c>
      <c r="DK476" s="9">
        <v>5</v>
      </c>
      <c r="DL476" s="9">
        <v>5</v>
      </c>
      <c r="DM476" s="9">
        <v>5</v>
      </c>
      <c r="DN476" s="9">
        <v>5</v>
      </c>
      <c r="DO476" s="9">
        <v>5</v>
      </c>
      <c r="DP476" s="25" t="s">
        <v>208</v>
      </c>
      <c r="DQ476" s="25" t="s">
        <v>200</v>
      </c>
      <c r="DR476" s="25" t="s">
        <v>208</v>
      </c>
      <c r="DS476" s="25" t="s">
        <v>211</v>
      </c>
      <c r="DT476" s="25" t="s">
        <v>203</v>
      </c>
      <c r="DU476" s="25" t="s">
        <v>211</v>
      </c>
      <c r="DV476" s="25">
        <f t="shared" si="296"/>
        <v>1</v>
      </c>
      <c r="DW476" s="25">
        <f t="shared" si="297"/>
        <v>1</v>
      </c>
      <c r="DX476" s="25">
        <f t="shared" si="298"/>
        <v>1</v>
      </c>
      <c r="DY476" s="25">
        <f t="shared" si="299"/>
        <v>2</v>
      </c>
      <c r="DZ476" s="25">
        <f t="shared" si="300"/>
        <v>2</v>
      </c>
      <c r="EA476" s="3">
        <f t="shared" si="301"/>
        <v>2</v>
      </c>
      <c r="EB476" s="38"/>
    </row>
    <row r="477" spans="1:132" ht="13.5" customHeight="1">
      <c r="A477" s="9">
        <v>474</v>
      </c>
      <c r="B477" s="9">
        <v>1</v>
      </c>
      <c r="C477" s="9">
        <v>2001</v>
      </c>
      <c r="D477" s="9">
        <f t="shared" si="318"/>
        <v>15045979</v>
      </c>
      <c r="E477" s="9" t="str">
        <f t="shared" si="315"/>
        <v>5202123,5202122,5202123,5500122,5500121,5500122</v>
      </c>
      <c r="F477" s="9" t="str">
        <f t="shared" si="316"/>
        <v>12,12,12,12,12,12</v>
      </c>
      <c r="G477" s="9" t="str">
        <f t="shared" si="317"/>
        <v>977,1056,1056,1056,1056,1056</v>
      </c>
      <c r="H477" s="9">
        <v>229</v>
      </c>
      <c r="I477" s="9" t="s">
        <v>278</v>
      </c>
      <c r="J477" s="9" t="s">
        <v>279</v>
      </c>
      <c r="K477" s="9" t="s">
        <v>279</v>
      </c>
      <c r="L477" s="9" t="s">
        <v>279</v>
      </c>
      <c r="M477" s="36" t="s">
        <v>311</v>
      </c>
      <c r="N477" s="40"/>
      <c r="O477" s="3">
        <f t="shared" si="319"/>
        <v>15045979</v>
      </c>
      <c r="P477" s="9">
        <v>11894054.880000001</v>
      </c>
      <c r="Q477" s="9">
        <v>5202123</v>
      </c>
      <c r="R477" s="9">
        <v>5202122</v>
      </c>
      <c r="S477" s="9">
        <v>5202123</v>
      </c>
      <c r="T477" s="9">
        <v>5500122</v>
      </c>
      <c r="U477" s="9">
        <v>5500121</v>
      </c>
      <c r="V477" s="9">
        <v>5500122</v>
      </c>
      <c r="W477" s="9">
        <v>12</v>
      </c>
      <c r="X477" s="9">
        <v>12</v>
      </c>
      <c r="Y477" s="9">
        <v>12</v>
      </c>
      <c r="Z477" s="9">
        <v>12</v>
      </c>
      <c r="AA477" s="9">
        <v>12</v>
      </c>
      <c r="AB477" s="9">
        <v>12</v>
      </c>
      <c r="AC477" s="9">
        <f t="shared" si="302"/>
        <v>977</v>
      </c>
      <c r="AD477" s="9">
        <f t="shared" si="303"/>
        <v>1056</v>
      </c>
      <c r="AE477" s="9">
        <f t="shared" si="304"/>
        <v>1056</v>
      </c>
      <c r="AF477" s="9">
        <f t="shared" si="305"/>
        <v>1056</v>
      </c>
      <c r="AG477" s="9">
        <f t="shared" si="306"/>
        <v>1056</v>
      </c>
      <c r="AH477" s="9">
        <f t="shared" si="307"/>
        <v>1056</v>
      </c>
      <c r="AI477" s="7">
        <f t="shared" si="283"/>
        <v>1982342.4800000002</v>
      </c>
      <c r="AJ477" s="7">
        <f t="shared" si="314"/>
        <v>1982342.4800000002</v>
      </c>
      <c r="AK477" s="7">
        <f t="shared" si="314"/>
        <v>1982342.4800000002</v>
      </c>
      <c r="AL477" s="7">
        <f t="shared" si="314"/>
        <v>1982342.4800000002</v>
      </c>
      <c r="AM477" s="7">
        <f t="shared" si="314"/>
        <v>1982342.4800000002</v>
      </c>
      <c r="AN477" s="7">
        <f t="shared" si="314"/>
        <v>1982342.4800000002</v>
      </c>
      <c r="AO477" s="16"/>
      <c r="AP477" s="7"/>
      <c r="AQ477" s="9">
        <v>8</v>
      </c>
      <c r="AR477" s="9">
        <f t="shared" si="308"/>
        <v>1249</v>
      </c>
      <c r="AS477" s="7">
        <f t="shared" si="320"/>
        <v>337</v>
      </c>
      <c r="AT477" s="7"/>
      <c r="AU477" s="16"/>
      <c r="AV477" s="7"/>
      <c r="AW477" s="7"/>
      <c r="AX477" s="7"/>
      <c r="AZ477" s="7"/>
      <c r="BA477" s="9">
        <f t="shared" si="313"/>
        <v>1477241.400000002</v>
      </c>
      <c r="BC477" s="5">
        <f t="shared" si="309"/>
        <v>913</v>
      </c>
      <c r="BR477" s="5">
        <v>2204024</v>
      </c>
      <c r="BS477" s="18">
        <f>[1]monsters!$N477</f>
        <v>86.4</v>
      </c>
      <c r="BT477" s="18">
        <f>[1]monsters!$O477</f>
        <v>8.64</v>
      </c>
      <c r="BU477" s="18">
        <f>[1]monsters!$P477</f>
        <v>1066.67</v>
      </c>
      <c r="BV477" s="18">
        <f>[1]monsters!$Q477</f>
        <v>106.67</v>
      </c>
      <c r="BW477" s="18">
        <f>[1]monsters!$R477</f>
        <v>17.28</v>
      </c>
      <c r="BX477" s="18">
        <f>[1]monsters!$S477</f>
        <v>1.73</v>
      </c>
      <c r="BY477" s="18">
        <f>[1]monsters!$K477</f>
        <v>1.8</v>
      </c>
      <c r="BZ477" s="5">
        <f>[1]monsters!$D477</f>
        <v>2</v>
      </c>
      <c r="CA477" s="5">
        <f t="shared" si="310"/>
        <v>0.1</v>
      </c>
      <c r="CB477" s="5">
        <f t="shared" si="311"/>
        <v>117.56281481481483</v>
      </c>
      <c r="CC477" s="5">
        <f t="shared" si="312"/>
        <v>11.756281481481484</v>
      </c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>
        <v>0</v>
      </c>
      <c r="CR477" s="3" t="b">
        <f t="shared" si="284"/>
        <v>1</v>
      </c>
      <c r="CS477" s="3" t="b">
        <f t="shared" si="285"/>
        <v>1</v>
      </c>
      <c r="CT477" s="3" t="b">
        <f t="shared" si="286"/>
        <v>1</v>
      </c>
      <c r="CU477" s="3" t="b">
        <f t="shared" si="287"/>
        <v>1</v>
      </c>
      <c r="CV477" s="3" t="b">
        <f t="shared" si="288"/>
        <v>1</v>
      </c>
      <c r="CW477" s="3" t="b">
        <f t="shared" si="289"/>
        <v>1</v>
      </c>
      <c r="CX477" s="9" t="str">
        <f t="shared" si="290"/>
        <v>5202123</v>
      </c>
      <c r="CY477" s="9" t="str">
        <f t="shared" si="291"/>
        <v>5202122</v>
      </c>
      <c r="CZ477" s="9" t="str">
        <f t="shared" si="292"/>
        <v>5202123</v>
      </c>
      <c r="DA477" s="9" t="str">
        <f t="shared" si="293"/>
        <v>5500122</v>
      </c>
      <c r="DB477" s="9" t="str">
        <f t="shared" si="294"/>
        <v>5500121</v>
      </c>
      <c r="DC477" s="9" t="str">
        <f t="shared" si="295"/>
        <v>5500122</v>
      </c>
      <c r="DD477" s="9">
        <v>12</v>
      </c>
      <c r="DE477" s="9">
        <v>12</v>
      </c>
      <c r="DF477" s="9">
        <v>12</v>
      </c>
      <c r="DG477" s="9">
        <v>12</v>
      </c>
      <c r="DH477" s="9">
        <v>12</v>
      </c>
      <c r="DI477" s="9">
        <v>12</v>
      </c>
      <c r="DJ477" s="9">
        <v>5</v>
      </c>
      <c r="DK477" s="9">
        <v>5</v>
      </c>
      <c r="DL477" s="9">
        <v>5</v>
      </c>
      <c r="DM477" s="9">
        <v>5</v>
      </c>
      <c r="DN477" s="9">
        <v>5</v>
      </c>
      <c r="DO477" s="9">
        <v>5</v>
      </c>
      <c r="DP477" s="25" t="s">
        <v>208</v>
      </c>
      <c r="DQ477" s="25" t="s">
        <v>200</v>
      </c>
      <c r="DR477" s="25" t="s">
        <v>208</v>
      </c>
      <c r="DS477" s="25" t="s">
        <v>109</v>
      </c>
      <c r="DT477" s="25" t="s">
        <v>197</v>
      </c>
      <c r="DU477" s="25" t="s">
        <v>109</v>
      </c>
      <c r="DV477" s="25">
        <f t="shared" si="296"/>
        <v>1</v>
      </c>
      <c r="DW477" s="25">
        <f t="shared" si="297"/>
        <v>1</v>
      </c>
      <c r="DX477" s="25">
        <f t="shared" si="298"/>
        <v>1</v>
      </c>
      <c r="DY477" s="25">
        <f t="shared" si="299"/>
        <v>2</v>
      </c>
      <c r="DZ477" s="25">
        <f t="shared" si="300"/>
        <v>2</v>
      </c>
      <c r="EA477" s="3">
        <f t="shared" si="301"/>
        <v>2</v>
      </c>
      <c r="EB477" s="38"/>
    </row>
    <row r="478" spans="1:132" ht="13.5" customHeight="1">
      <c r="A478" s="9">
        <v>475</v>
      </c>
      <c r="B478" s="9">
        <v>1</v>
      </c>
      <c r="C478" s="9">
        <v>2001</v>
      </c>
      <c r="D478" s="9">
        <f t="shared" si="318"/>
        <v>15094149</v>
      </c>
      <c r="E478" s="9" t="str">
        <f t="shared" si="315"/>
        <v>5202121,5202121,5200121,5400125,5602124,5501124</v>
      </c>
      <c r="F478" s="9" t="str">
        <f t="shared" si="316"/>
        <v>12,12,12,12,12,12</v>
      </c>
      <c r="G478" s="9" t="str">
        <f t="shared" si="317"/>
        <v>979,1058,1058,1058,1058,1058</v>
      </c>
      <c r="H478" s="9">
        <v>230</v>
      </c>
      <c r="I478" s="9" t="s">
        <v>278</v>
      </c>
      <c r="J478" s="9" t="s">
        <v>279</v>
      </c>
      <c r="K478" s="9" t="s">
        <v>279</v>
      </c>
      <c r="L478" s="9" t="s">
        <v>279</v>
      </c>
      <c r="M478" s="36" t="s">
        <v>311</v>
      </c>
      <c r="O478" s="3">
        <f t="shared" si="319"/>
        <v>15094149</v>
      </c>
      <c r="P478" s="9">
        <v>11932133.529999999</v>
      </c>
      <c r="Q478" s="9">
        <v>5202121</v>
      </c>
      <c r="R478" s="9">
        <v>5202121</v>
      </c>
      <c r="S478" s="9">
        <v>5200121</v>
      </c>
      <c r="T478" s="9">
        <v>5400125</v>
      </c>
      <c r="U478" s="9">
        <v>5602124</v>
      </c>
      <c r="V478" s="9">
        <v>5501124</v>
      </c>
      <c r="W478" s="9">
        <v>12</v>
      </c>
      <c r="X478" s="9">
        <v>12</v>
      </c>
      <c r="Y478" s="9">
        <v>12</v>
      </c>
      <c r="Z478" s="9">
        <v>12</v>
      </c>
      <c r="AA478" s="9">
        <v>12</v>
      </c>
      <c r="AB478" s="9">
        <v>12</v>
      </c>
      <c r="AC478" s="9">
        <f t="shared" si="302"/>
        <v>979</v>
      </c>
      <c r="AD478" s="9">
        <f t="shared" si="303"/>
        <v>1058</v>
      </c>
      <c r="AE478" s="9">
        <f t="shared" si="304"/>
        <v>1058</v>
      </c>
      <c r="AF478" s="9">
        <f t="shared" si="305"/>
        <v>1058</v>
      </c>
      <c r="AG478" s="9">
        <f t="shared" si="306"/>
        <v>1058</v>
      </c>
      <c r="AH478" s="9">
        <f t="shared" si="307"/>
        <v>1058</v>
      </c>
      <c r="AI478" s="7">
        <f t="shared" si="283"/>
        <v>1988688.9216666666</v>
      </c>
      <c r="AJ478" s="7">
        <f t="shared" si="314"/>
        <v>1988688.9216666666</v>
      </c>
      <c r="AK478" s="7">
        <f t="shared" si="314"/>
        <v>1988688.9216666666</v>
      </c>
      <c r="AL478" s="7">
        <f t="shared" si="314"/>
        <v>1988688.9216666666</v>
      </c>
      <c r="AM478" s="7">
        <f t="shared" si="314"/>
        <v>1988688.9216666666</v>
      </c>
      <c r="AN478" s="7">
        <f t="shared" si="314"/>
        <v>1988688.9216666666</v>
      </c>
      <c r="AO478" s="16"/>
      <c r="AP478" s="7"/>
      <c r="AQ478" s="9">
        <v>8</v>
      </c>
      <c r="AR478" s="9">
        <f t="shared" si="308"/>
        <v>1251</v>
      </c>
      <c r="AS478" s="7">
        <f t="shared" si="320"/>
        <v>337</v>
      </c>
      <c r="AT478" s="7"/>
      <c r="AU478" s="16"/>
      <c r="AV478" s="7"/>
      <c r="AW478" s="7"/>
      <c r="AX478" s="7"/>
      <c r="AZ478" s="7"/>
      <c r="BA478" s="9">
        <f t="shared" si="313"/>
        <v>1497347.5000000021</v>
      </c>
      <c r="BC478" s="5">
        <f t="shared" si="309"/>
        <v>915</v>
      </c>
      <c r="BR478" s="5">
        <v>2404024</v>
      </c>
      <c r="BS478" s="18">
        <f>[1]monsters!$N478</f>
        <v>100</v>
      </c>
      <c r="BT478" s="18">
        <f>[1]monsters!$O478</f>
        <v>10</v>
      </c>
      <c r="BU478" s="18">
        <f>[1]monsters!$P478</f>
        <v>768</v>
      </c>
      <c r="BV478" s="18">
        <f>[1]monsters!$Q478</f>
        <v>76.8</v>
      </c>
      <c r="BW478" s="18">
        <f>[1]monsters!$R478</f>
        <v>10</v>
      </c>
      <c r="BX478" s="18">
        <f>[1]monsters!$S478</f>
        <v>1</v>
      </c>
      <c r="BY478" s="18">
        <f>[1]monsters!$K478</f>
        <v>1.5</v>
      </c>
      <c r="BZ478" s="5">
        <f>[1]monsters!$D478</f>
        <v>4</v>
      </c>
      <c r="CA478" s="5">
        <f t="shared" si="310"/>
        <v>0.1</v>
      </c>
      <c r="CB478" s="5">
        <f t="shared" si="311"/>
        <v>120.35858585858585</v>
      </c>
      <c r="CC478" s="5">
        <f t="shared" si="312"/>
        <v>12.035858585858586</v>
      </c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>
        <v>1</v>
      </c>
      <c r="CR478" s="3" t="b">
        <f t="shared" si="284"/>
        <v>1</v>
      </c>
      <c r="CS478" s="3" t="b">
        <f t="shared" si="285"/>
        <v>1</v>
      </c>
      <c r="CT478" s="3" t="b">
        <f t="shared" si="286"/>
        <v>1</v>
      </c>
      <c r="CU478" s="3" t="b">
        <f t="shared" si="287"/>
        <v>1</v>
      </c>
      <c r="CV478" s="3" t="b">
        <f t="shared" si="288"/>
        <v>1</v>
      </c>
      <c r="CW478" s="3" t="b">
        <f t="shared" si="289"/>
        <v>1</v>
      </c>
      <c r="CX478" s="9" t="str">
        <f t="shared" si="290"/>
        <v>5202121</v>
      </c>
      <c r="CY478" s="9" t="str">
        <f t="shared" si="291"/>
        <v>5202121</v>
      </c>
      <c r="CZ478" s="9" t="str">
        <f t="shared" si="292"/>
        <v>5200121</v>
      </c>
      <c r="DA478" s="9" t="str">
        <f t="shared" si="293"/>
        <v>5400125</v>
      </c>
      <c r="DB478" s="9" t="str">
        <f t="shared" si="294"/>
        <v>5602124</v>
      </c>
      <c r="DC478" s="9" t="str">
        <f t="shared" si="295"/>
        <v>5501124</v>
      </c>
      <c r="DD478" s="9">
        <v>12</v>
      </c>
      <c r="DE478" s="9">
        <v>12</v>
      </c>
      <c r="DF478" s="9">
        <v>12</v>
      </c>
      <c r="DG478" s="9">
        <v>12</v>
      </c>
      <c r="DH478" s="9">
        <v>12</v>
      </c>
      <c r="DI478" s="9">
        <v>12</v>
      </c>
      <c r="DJ478" s="9">
        <v>5</v>
      </c>
      <c r="DK478" s="9">
        <v>5</v>
      </c>
      <c r="DL478" s="9">
        <v>5</v>
      </c>
      <c r="DM478" s="9">
        <v>5</v>
      </c>
      <c r="DN478" s="9">
        <v>5</v>
      </c>
      <c r="DO478" s="9">
        <v>5</v>
      </c>
      <c r="DP478" s="25" t="s">
        <v>111</v>
      </c>
      <c r="DQ478" s="25" t="s">
        <v>111</v>
      </c>
      <c r="DR478" s="25" t="s">
        <v>194</v>
      </c>
      <c r="DS478" s="25" t="s">
        <v>210</v>
      </c>
      <c r="DT478" s="25" t="s">
        <v>220</v>
      </c>
      <c r="DU478" s="25" t="s">
        <v>214</v>
      </c>
      <c r="DV478" s="25">
        <f t="shared" si="296"/>
        <v>1</v>
      </c>
      <c r="DW478" s="25">
        <f t="shared" si="297"/>
        <v>1</v>
      </c>
      <c r="DX478" s="25">
        <f t="shared" si="298"/>
        <v>1</v>
      </c>
      <c r="DY478" s="25">
        <f t="shared" si="299"/>
        <v>2</v>
      </c>
      <c r="DZ478" s="25">
        <f t="shared" si="300"/>
        <v>2</v>
      </c>
      <c r="EA478" s="3">
        <f t="shared" si="301"/>
        <v>2</v>
      </c>
      <c r="EB478" s="49"/>
    </row>
    <row r="479" spans="1:132" ht="13.5" customHeight="1">
      <c r="A479" s="9">
        <v>476</v>
      </c>
      <c r="B479" s="9">
        <v>1</v>
      </c>
      <c r="C479" s="9">
        <v>2001</v>
      </c>
      <c r="D479" s="9">
        <f t="shared" si="318"/>
        <v>15528855</v>
      </c>
      <c r="E479" s="9" t="str">
        <f t="shared" si="315"/>
        <v>5202132,5201132,5301131,5501134,5500133,5501134</v>
      </c>
      <c r="F479" s="9" t="str">
        <f t="shared" si="316"/>
        <v>13,13,13,13,13,13</v>
      </c>
      <c r="G479" s="9" t="str">
        <f t="shared" si="317"/>
        <v>930,1006,1006,1006,1006,1006</v>
      </c>
      <c r="H479" s="9">
        <v>230</v>
      </c>
      <c r="I479" s="9" t="s">
        <v>278</v>
      </c>
      <c r="J479" s="9" t="s">
        <v>279</v>
      </c>
      <c r="K479" s="9" t="s">
        <v>279</v>
      </c>
      <c r="L479" s="9" t="s">
        <v>279</v>
      </c>
      <c r="M479" s="36" t="s">
        <v>311</v>
      </c>
      <c r="N479" s="40"/>
      <c r="O479" s="3">
        <f t="shared" si="319"/>
        <v>15528855</v>
      </c>
      <c r="P479" s="9">
        <v>12275774.689999999</v>
      </c>
      <c r="Q479" s="9">
        <v>5202132</v>
      </c>
      <c r="R479" s="9">
        <v>5201132</v>
      </c>
      <c r="S479" s="9">
        <v>5301131</v>
      </c>
      <c r="T479" s="9">
        <v>5501134</v>
      </c>
      <c r="U479" s="9">
        <v>5500133</v>
      </c>
      <c r="V479" s="9">
        <v>5501134</v>
      </c>
      <c r="W479" s="9">
        <v>13</v>
      </c>
      <c r="X479" s="9">
        <v>13</v>
      </c>
      <c r="Y479" s="9">
        <v>13</v>
      </c>
      <c r="Z479" s="9">
        <v>13</v>
      </c>
      <c r="AA479" s="9">
        <v>13</v>
      </c>
      <c r="AB479" s="9">
        <v>13</v>
      </c>
      <c r="AC479" s="9">
        <f t="shared" si="302"/>
        <v>930</v>
      </c>
      <c r="AD479" s="9">
        <f t="shared" si="303"/>
        <v>1006</v>
      </c>
      <c r="AE479" s="9">
        <f t="shared" si="304"/>
        <v>1006</v>
      </c>
      <c r="AF479" s="9">
        <f t="shared" si="305"/>
        <v>1006</v>
      </c>
      <c r="AG479" s="9">
        <f t="shared" si="306"/>
        <v>1006</v>
      </c>
      <c r="AH479" s="9">
        <f t="shared" si="307"/>
        <v>1006</v>
      </c>
      <c r="AI479" s="7">
        <f t="shared" si="283"/>
        <v>2045962.4483333332</v>
      </c>
      <c r="AJ479" s="7">
        <f t="shared" si="314"/>
        <v>2045962.4483333332</v>
      </c>
      <c r="AK479" s="7">
        <f t="shared" si="314"/>
        <v>2045962.4483333332</v>
      </c>
      <c r="AL479" s="7">
        <f t="shared" si="314"/>
        <v>2045962.4483333332</v>
      </c>
      <c r="AM479" s="7">
        <f t="shared" si="314"/>
        <v>2045962.4483333332</v>
      </c>
      <c r="AN479" s="7">
        <f t="shared" si="314"/>
        <v>2045962.4483333332</v>
      </c>
      <c r="AO479" s="16"/>
      <c r="AP479" s="7"/>
      <c r="AQ479" s="9">
        <v>8</v>
      </c>
      <c r="AR479" s="9">
        <f t="shared" si="308"/>
        <v>1269</v>
      </c>
      <c r="AS479" s="7">
        <f t="shared" si="320"/>
        <v>338</v>
      </c>
      <c r="AT479" s="7"/>
      <c r="AU479" s="16"/>
      <c r="AV479" s="7"/>
      <c r="AW479" s="7"/>
      <c r="AX479" s="7"/>
      <c r="AZ479" s="7"/>
      <c r="BA479" s="9">
        <f t="shared" si="313"/>
        <v>1517453.6000000022</v>
      </c>
      <c r="BC479" s="5" t="e">
        <f t="shared" si="309"/>
        <v>#N/A</v>
      </c>
      <c r="BR479" s="5">
        <v>2303024</v>
      </c>
      <c r="BS479" s="18">
        <f>[1]monsters!$N479</f>
        <v>76.27</v>
      </c>
      <c r="BT479" s="18">
        <f>[1]monsters!$O479</f>
        <v>7.63</v>
      </c>
      <c r="BU479" s="18">
        <f>[1]monsters!$P479</f>
        <v>872.73</v>
      </c>
      <c r="BV479" s="18">
        <f>[1]monsters!$Q479</f>
        <v>87.27</v>
      </c>
      <c r="BW479" s="18">
        <f>[1]monsters!$R479</f>
        <v>9.5299999999999994</v>
      </c>
      <c r="BX479" s="18">
        <f>[1]monsters!$S479</f>
        <v>0.95</v>
      </c>
      <c r="BY479" s="18">
        <f>[1]monsters!$K479</f>
        <v>1.3</v>
      </c>
      <c r="BZ479" s="5">
        <f>[1]monsters!$D479</f>
        <v>3</v>
      </c>
      <c r="CA479" s="5">
        <f t="shared" si="310"/>
        <v>0.1</v>
      </c>
      <c r="CB479" s="5">
        <f t="shared" si="311"/>
        <v>101.45999848484848</v>
      </c>
      <c r="CC479" s="5">
        <f t="shared" si="312"/>
        <v>10.145999848484848</v>
      </c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>
        <v>0</v>
      </c>
      <c r="CR479" s="3" t="b">
        <f t="shared" si="284"/>
        <v>1</v>
      </c>
      <c r="CS479" s="3" t="b">
        <f t="shared" si="285"/>
        <v>1</v>
      </c>
      <c r="CT479" s="3" t="b">
        <f t="shared" si="286"/>
        <v>1</v>
      </c>
      <c r="CU479" s="3" t="b">
        <f t="shared" si="287"/>
        <v>1</v>
      </c>
      <c r="CV479" s="3" t="b">
        <f t="shared" si="288"/>
        <v>1</v>
      </c>
      <c r="CW479" s="3" t="b">
        <f t="shared" si="289"/>
        <v>1</v>
      </c>
      <c r="CX479" s="9" t="str">
        <f t="shared" si="290"/>
        <v>5202132</v>
      </c>
      <c r="CY479" s="9" t="str">
        <f t="shared" si="291"/>
        <v>5201132</v>
      </c>
      <c r="CZ479" s="9" t="str">
        <f t="shared" si="292"/>
        <v>5301131</v>
      </c>
      <c r="DA479" s="9" t="str">
        <f t="shared" si="293"/>
        <v>5501134</v>
      </c>
      <c r="DB479" s="9" t="str">
        <f t="shared" si="294"/>
        <v>5500133</v>
      </c>
      <c r="DC479" s="9" t="str">
        <f t="shared" si="295"/>
        <v>5501134</v>
      </c>
      <c r="DD479" s="9">
        <v>13</v>
      </c>
      <c r="DE479" s="9">
        <v>13</v>
      </c>
      <c r="DF479" s="9">
        <v>13</v>
      </c>
      <c r="DG479" s="9">
        <v>13</v>
      </c>
      <c r="DH479" s="9">
        <v>13</v>
      </c>
      <c r="DI479" s="9">
        <v>13</v>
      </c>
      <c r="DJ479" s="9">
        <v>5</v>
      </c>
      <c r="DK479" s="9">
        <v>5</v>
      </c>
      <c r="DL479" s="9">
        <v>5</v>
      </c>
      <c r="DM479" s="9">
        <v>5</v>
      </c>
      <c r="DN479" s="9">
        <v>5</v>
      </c>
      <c r="DO479" s="9">
        <v>5</v>
      </c>
      <c r="DP479" s="25" t="s">
        <v>200</v>
      </c>
      <c r="DQ479" s="25" t="s">
        <v>114</v>
      </c>
      <c r="DR479" s="25" t="s">
        <v>107</v>
      </c>
      <c r="DS479" s="25" t="s">
        <v>214</v>
      </c>
      <c r="DT479" s="25" t="s">
        <v>207</v>
      </c>
      <c r="DU479" s="25" t="s">
        <v>214</v>
      </c>
      <c r="DV479" s="25">
        <f t="shared" si="296"/>
        <v>1</v>
      </c>
      <c r="DW479" s="25">
        <f t="shared" si="297"/>
        <v>1</v>
      </c>
      <c r="DX479" s="25">
        <f t="shared" si="298"/>
        <v>1</v>
      </c>
      <c r="DY479" s="25">
        <f t="shared" si="299"/>
        <v>2</v>
      </c>
      <c r="DZ479" s="25">
        <f t="shared" si="300"/>
        <v>2</v>
      </c>
      <c r="EA479" s="3">
        <f t="shared" si="301"/>
        <v>2</v>
      </c>
      <c r="EB479" s="38"/>
    </row>
    <row r="480" spans="1:132" ht="13.5" customHeight="1">
      <c r="A480" s="9">
        <v>477</v>
      </c>
      <c r="B480" s="9">
        <v>1</v>
      </c>
      <c r="C480" s="9">
        <v>2001</v>
      </c>
      <c r="D480" s="9">
        <f t="shared" si="318"/>
        <v>15966466</v>
      </c>
      <c r="E480" s="9" t="str">
        <f t="shared" si="315"/>
        <v>5202133,5202132,5202133,5500133,5500131,5400135</v>
      </c>
      <c r="F480" s="9" t="str">
        <f t="shared" si="316"/>
        <v>13,13,13,13,13,13</v>
      </c>
      <c r="G480" s="9" t="str">
        <f t="shared" si="317"/>
        <v>943,1020,1020,1020,1020,1020</v>
      </c>
      <c r="H480" s="9">
        <v>230</v>
      </c>
      <c r="I480" s="9" t="s">
        <v>278</v>
      </c>
      <c r="J480" s="9" t="s">
        <v>279</v>
      </c>
      <c r="K480" s="9" t="s">
        <v>279</v>
      </c>
      <c r="L480" s="9" t="s">
        <v>279</v>
      </c>
      <c r="M480" s="36" t="s">
        <v>311</v>
      </c>
      <c r="N480" s="40"/>
      <c r="O480" s="3">
        <f t="shared" si="319"/>
        <v>15966466</v>
      </c>
      <c r="P480" s="9">
        <v>12621712.310000001</v>
      </c>
      <c r="Q480" s="9">
        <v>5202133</v>
      </c>
      <c r="R480" s="9">
        <v>5202132</v>
      </c>
      <c r="S480" s="9">
        <v>5202133</v>
      </c>
      <c r="T480" s="9">
        <v>5500133</v>
      </c>
      <c r="U480" s="9">
        <v>5500131</v>
      </c>
      <c r="V480" s="9">
        <v>5400135</v>
      </c>
      <c r="W480" s="9">
        <v>13</v>
      </c>
      <c r="X480" s="9">
        <v>13</v>
      </c>
      <c r="Y480" s="9">
        <v>13</v>
      </c>
      <c r="Z480" s="9">
        <v>13</v>
      </c>
      <c r="AA480" s="9">
        <v>13</v>
      </c>
      <c r="AB480" s="9">
        <v>13</v>
      </c>
      <c r="AC480" s="9">
        <f t="shared" si="302"/>
        <v>943</v>
      </c>
      <c r="AD480" s="9">
        <f t="shared" si="303"/>
        <v>1020</v>
      </c>
      <c r="AE480" s="9">
        <f t="shared" si="304"/>
        <v>1020</v>
      </c>
      <c r="AF480" s="9">
        <f t="shared" si="305"/>
        <v>1020</v>
      </c>
      <c r="AG480" s="9">
        <f t="shared" si="306"/>
        <v>1020</v>
      </c>
      <c r="AH480" s="9">
        <f t="shared" si="307"/>
        <v>1020</v>
      </c>
      <c r="AI480" s="7">
        <f t="shared" si="283"/>
        <v>2103618.7183333333</v>
      </c>
      <c r="AJ480" s="7">
        <f t="shared" si="314"/>
        <v>2103618.7183333333</v>
      </c>
      <c r="AK480" s="7">
        <f t="shared" si="314"/>
        <v>2103618.7183333333</v>
      </c>
      <c r="AL480" s="7">
        <f t="shared" si="314"/>
        <v>2103618.7183333333</v>
      </c>
      <c r="AM480" s="7">
        <f t="shared" si="314"/>
        <v>2103618.7183333333</v>
      </c>
      <c r="AN480" s="7">
        <f t="shared" si="314"/>
        <v>2103618.7183333333</v>
      </c>
      <c r="AO480" s="16"/>
      <c r="AP480" s="7"/>
      <c r="AQ480" s="9">
        <v>8</v>
      </c>
      <c r="AR480" s="9">
        <f t="shared" si="308"/>
        <v>1287</v>
      </c>
      <c r="AS480" s="7">
        <f t="shared" si="320"/>
        <v>338</v>
      </c>
      <c r="AT480" s="7"/>
      <c r="AU480" s="16"/>
      <c r="AV480" s="7"/>
      <c r="AW480" s="7"/>
      <c r="AX480" s="7"/>
      <c r="AZ480" s="7"/>
      <c r="BA480" s="9">
        <f t="shared" si="313"/>
        <v>1537559.7000000023</v>
      </c>
      <c r="BC480" s="5" t="e">
        <f t="shared" si="309"/>
        <v>#N/A</v>
      </c>
      <c r="BR480" s="5">
        <v>2304024</v>
      </c>
      <c r="BS480" s="18">
        <f>[1]monsters!$N480</f>
        <v>105.6</v>
      </c>
      <c r="BT480" s="18">
        <f>[1]monsters!$O480</f>
        <v>10.56</v>
      </c>
      <c r="BU480" s="18">
        <f>[1]monsters!$P480</f>
        <v>872.73</v>
      </c>
      <c r="BV480" s="18">
        <f>[1]monsters!$Q480</f>
        <v>87.27</v>
      </c>
      <c r="BW480" s="18">
        <f>[1]monsters!$R480</f>
        <v>17.600000000000001</v>
      </c>
      <c r="BX480" s="18">
        <f>[1]monsters!$S480</f>
        <v>1.76</v>
      </c>
      <c r="BY480" s="18">
        <f>[1]monsters!$K480</f>
        <v>1.8</v>
      </c>
      <c r="BZ480" s="5">
        <f>[1]monsters!$D480</f>
        <v>5</v>
      </c>
      <c r="CA480" s="5">
        <f t="shared" si="310"/>
        <v>0.1</v>
      </c>
      <c r="CB480" s="5">
        <f t="shared" si="311"/>
        <v>129.17684848484848</v>
      </c>
      <c r="CC480" s="5">
        <f t="shared" si="312"/>
        <v>12.917684848484848</v>
      </c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>
        <v>0</v>
      </c>
      <c r="CR480" s="3" t="b">
        <f t="shared" si="284"/>
        <v>1</v>
      </c>
      <c r="CS480" s="3" t="b">
        <f t="shared" si="285"/>
        <v>1</v>
      </c>
      <c r="CT480" s="3" t="b">
        <f t="shared" si="286"/>
        <v>1</v>
      </c>
      <c r="CU480" s="3" t="b">
        <f t="shared" si="287"/>
        <v>1</v>
      </c>
      <c r="CV480" s="3" t="b">
        <f t="shared" si="288"/>
        <v>1</v>
      </c>
      <c r="CW480" s="3" t="b">
        <f t="shared" si="289"/>
        <v>1</v>
      </c>
      <c r="CX480" s="9" t="str">
        <f t="shared" si="290"/>
        <v>5202133</v>
      </c>
      <c r="CY480" s="9" t="str">
        <f t="shared" si="291"/>
        <v>5202132</v>
      </c>
      <c r="CZ480" s="9" t="str">
        <f t="shared" si="292"/>
        <v>5202133</v>
      </c>
      <c r="DA480" s="9" t="str">
        <f t="shared" si="293"/>
        <v>5500133</v>
      </c>
      <c r="DB480" s="9" t="str">
        <f t="shared" si="294"/>
        <v>5500131</v>
      </c>
      <c r="DC480" s="9" t="str">
        <f t="shared" si="295"/>
        <v>5400135</v>
      </c>
      <c r="DD480" s="9">
        <v>13</v>
      </c>
      <c r="DE480" s="9">
        <v>13</v>
      </c>
      <c r="DF480" s="9">
        <v>13</v>
      </c>
      <c r="DG480" s="9">
        <v>13</v>
      </c>
      <c r="DH480" s="9">
        <v>13</v>
      </c>
      <c r="DI480" s="9">
        <v>13</v>
      </c>
      <c r="DJ480" s="9">
        <v>5</v>
      </c>
      <c r="DK480" s="9">
        <v>5</v>
      </c>
      <c r="DL480" s="9">
        <v>5</v>
      </c>
      <c r="DM480" s="9">
        <v>5</v>
      </c>
      <c r="DN480" s="9">
        <v>5</v>
      </c>
      <c r="DO480" s="9">
        <v>5</v>
      </c>
      <c r="DP480" s="27" t="s">
        <v>208</v>
      </c>
      <c r="DQ480" s="27" t="s">
        <v>200</v>
      </c>
      <c r="DR480" s="27" t="s">
        <v>208</v>
      </c>
      <c r="DS480" s="25" t="s">
        <v>207</v>
      </c>
      <c r="DT480" s="25" t="s">
        <v>197</v>
      </c>
      <c r="DU480" s="25" t="s">
        <v>210</v>
      </c>
      <c r="DV480" s="25">
        <f t="shared" si="296"/>
        <v>1</v>
      </c>
      <c r="DW480" s="25">
        <f t="shared" si="297"/>
        <v>1</v>
      </c>
      <c r="DX480" s="25">
        <f t="shared" si="298"/>
        <v>1</v>
      </c>
      <c r="DY480" s="25">
        <f t="shared" si="299"/>
        <v>2</v>
      </c>
      <c r="DZ480" s="25">
        <f t="shared" si="300"/>
        <v>2</v>
      </c>
      <c r="EA480" s="3">
        <f t="shared" si="301"/>
        <v>2</v>
      </c>
      <c r="EB480" s="38"/>
    </row>
    <row r="481" spans="1:132" ht="13.5" customHeight="1">
      <c r="A481" s="9">
        <v>478</v>
      </c>
      <c r="B481" s="9">
        <v>1</v>
      </c>
      <c r="C481" s="9">
        <v>2001</v>
      </c>
      <c r="D481" s="9">
        <f t="shared" si="318"/>
        <v>16406990</v>
      </c>
      <c r="E481" s="9" t="str">
        <f t="shared" si="315"/>
        <v>5300135,5202135,5202135,5401133,5402132,5401133</v>
      </c>
      <c r="F481" s="9" t="str">
        <f t="shared" si="316"/>
        <v>13,13,13,13,13,13</v>
      </c>
      <c r="G481" s="9" t="str">
        <f t="shared" si="317"/>
        <v>956,1034,1034,1034,1034,1034</v>
      </c>
      <c r="H481" s="9">
        <v>231</v>
      </c>
      <c r="I481" s="9" t="s">
        <v>278</v>
      </c>
      <c r="J481" s="9" t="s">
        <v>279</v>
      </c>
      <c r="K481" s="9" t="s">
        <v>279</v>
      </c>
      <c r="L481" s="9" t="s">
        <v>279</v>
      </c>
      <c r="M481" s="36" t="s">
        <v>311</v>
      </c>
      <c r="N481" s="40"/>
      <c r="O481" s="3">
        <f t="shared" si="319"/>
        <v>16406990</v>
      </c>
      <c r="P481" s="9">
        <v>12969952.359999999</v>
      </c>
      <c r="Q481" s="9">
        <v>5300135</v>
      </c>
      <c r="R481" s="9">
        <v>5202135</v>
      </c>
      <c r="S481" s="9">
        <v>5202135</v>
      </c>
      <c r="T481" s="9">
        <v>5401133</v>
      </c>
      <c r="U481" s="9">
        <v>5402132</v>
      </c>
      <c r="V481" s="9">
        <v>5401133</v>
      </c>
      <c r="W481" s="9">
        <v>13</v>
      </c>
      <c r="X481" s="9">
        <v>13</v>
      </c>
      <c r="Y481" s="9">
        <v>13</v>
      </c>
      <c r="Z481" s="9">
        <v>13</v>
      </c>
      <c r="AA481" s="9">
        <v>13</v>
      </c>
      <c r="AB481" s="9">
        <v>13</v>
      </c>
      <c r="AC481" s="9">
        <f t="shared" si="302"/>
        <v>956</v>
      </c>
      <c r="AD481" s="9">
        <f t="shared" si="303"/>
        <v>1034</v>
      </c>
      <c r="AE481" s="9">
        <f t="shared" si="304"/>
        <v>1034</v>
      </c>
      <c r="AF481" s="9">
        <f t="shared" si="305"/>
        <v>1034</v>
      </c>
      <c r="AG481" s="9">
        <f t="shared" si="306"/>
        <v>1034</v>
      </c>
      <c r="AH481" s="9">
        <f t="shared" si="307"/>
        <v>1034</v>
      </c>
      <c r="AI481" s="7">
        <f t="shared" si="283"/>
        <v>2161658.7266666666</v>
      </c>
      <c r="AJ481" s="7">
        <f t="shared" si="314"/>
        <v>2161658.7266666666</v>
      </c>
      <c r="AK481" s="7">
        <f t="shared" si="314"/>
        <v>2161658.7266666666</v>
      </c>
      <c r="AL481" s="7">
        <f t="shared" si="314"/>
        <v>2161658.7266666666</v>
      </c>
      <c r="AM481" s="7">
        <f t="shared" si="314"/>
        <v>2161658.7266666666</v>
      </c>
      <c r="AN481" s="7">
        <f t="shared" si="314"/>
        <v>2161658.7266666666</v>
      </c>
      <c r="AO481" s="16"/>
      <c r="AP481" s="7"/>
      <c r="AQ481" s="9">
        <v>8</v>
      </c>
      <c r="AR481" s="9">
        <f t="shared" si="308"/>
        <v>1305</v>
      </c>
      <c r="AS481" s="7">
        <f t="shared" si="320"/>
        <v>339</v>
      </c>
      <c r="AT481" s="7"/>
      <c r="AU481" s="16"/>
      <c r="AV481" s="7"/>
      <c r="AW481" s="7"/>
      <c r="AX481" s="7"/>
      <c r="AZ481" s="7"/>
      <c r="BA481" s="9">
        <f t="shared" si="313"/>
        <v>1557665.8000000024</v>
      </c>
      <c r="BC481" s="5" t="e">
        <f t="shared" si="309"/>
        <v>#N/A</v>
      </c>
      <c r="BR481" s="5">
        <v>2503024</v>
      </c>
      <c r="BS481" s="18">
        <f>[1]monsters!$N481</f>
        <v>76.8</v>
      </c>
      <c r="BT481" s="18">
        <f>[1]monsters!$O481</f>
        <v>7.68</v>
      </c>
      <c r="BU481" s="18">
        <f>[1]monsters!$P481</f>
        <v>1066.67</v>
      </c>
      <c r="BV481" s="18">
        <f>[1]monsters!$Q481</f>
        <v>106.67</v>
      </c>
      <c r="BW481" s="18">
        <f>[1]monsters!$R481</f>
        <v>15.36</v>
      </c>
      <c r="BX481" s="18">
        <f>[1]monsters!$S481</f>
        <v>1.54</v>
      </c>
      <c r="BY481" s="18">
        <f>[1]monsters!$K481</f>
        <v>1.6</v>
      </c>
      <c r="BZ481" s="5">
        <f>[1]monsters!$D481</f>
        <v>2</v>
      </c>
      <c r="CA481" s="5">
        <f t="shared" si="310"/>
        <v>0.1</v>
      </c>
      <c r="CB481" s="5">
        <f t="shared" si="311"/>
        <v>108.49081481481483</v>
      </c>
      <c r="CC481" s="5">
        <f t="shared" si="312"/>
        <v>10.849081481481484</v>
      </c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>
        <v>0</v>
      </c>
      <c r="CR481" s="3" t="b">
        <f t="shared" si="284"/>
        <v>1</v>
      </c>
      <c r="CS481" s="3" t="b">
        <f t="shared" si="285"/>
        <v>1</v>
      </c>
      <c r="CT481" s="3" t="b">
        <f t="shared" si="286"/>
        <v>1</v>
      </c>
      <c r="CU481" s="3" t="b">
        <f t="shared" si="287"/>
        <v>1</v>
      </c>
      <c r="CV481" s="3" t="b">
        <f t="shared" si="288"/>
        <v>1</v>
      </c>
      <c r="CW481" s="3" t="b">
        <f t="shared" si="289"/>
        <v>1</v>
      </c>
      <c r="CX481" s="9" t="str">
        <f t="shared" si="290"/>
        <v>5300135</v>
      </c>
      <c r="CY481" s="9" t="str">
        <f t="shared" si="291"/>
        <v>5202135</v>
      </c>
      <c r="CZ481" s="9" t="str">
        <f t="shared" si="292"/>
        <v>5202135</v>
      </c>
      <c r="DA481" s="9" t="str">
        <f t="shared" si="293"/>
        <v>5401133</v>
      </c>
      <c r="DB481" s="9" t="str">
        <f t="shared" si="294"/>
        <v>5402132</v>
      </c>
      <c r="DC481" s="9" t="str">
        <f t="shared" si="295"/>
        <v>5401133</v>
      </c>
      <c r="DD481" s="9">
        <v>13</v>
      </c>
      <c r="DE481" s="9">
        <v>13</v>
      </c>
      <c r="DF481" s="9">
        <v>13</v>
      </c>
      <c r="DG481" s="9">
        <v>13</v>
      </c>
      <c r="DH481" s="9">
        <v>13</v>
      </c>
      <c r="DI481" s="9">
        <v>13</v>
      </c>
      <c r="DJ481" s="9">
        <v>5</v>
      </c>
      <c r="DK481" s="9">
        <v>5</v>
      </c>
      <c r="DL481" s="9">
        <v>5</v>
      </c>
      <c r="DM481" s="9">
        <v>5</v>
      </c>
      <c r="DN481" s="9">
        <v>5</v>
      </c>
      <c r="DO481" s="9">
        <v>5</v>
      </c>
      <c r="DP481" s="25" t="s">
        <v>212</v>
      </c>
      <c r="DQ481" s="25" t="s">
        <v>213</v>
      </c>
      <c r="DR481" s="25" t="s">
        <v>213</v>
      </c>
      <c r="DS481" s="25" t="s">
        <v>211</v>
      </c>
      <c r="DT481" s="25" t="s">
        <v>203</v>
      </c>
      <c r="DU481" s="25" t="s">
        <v>211</v>
      </c>
      <c r="DV481" s="25">
        <f t="shared" si="296"/>
        <v>1</v>
      </c>
      <c r="DW481" s="25">
        <f t="shared" si="297"/>
        <v>1</v>
      </c>
      <c r="DX481" s="25">
        <f t="shared" si="298"/>
        <v>1</v>
      </c>
      <c r="DY481" s="25">
        <f t="shared" si="299"/>
        <v>2</v>
      </c>
      <c r="DZ481" s="25">
        <f t="shared" si="300"/>
        <v>2</v>
      </c>
      <c r="EA481" s="3">
        <f t="shared" si="301"/>
        <v>2</v>
      </c>
      <c r="EB481" s="49"/>
    </row>
    <row r="482" spans="1:132" ht="13.5" customHeight="1">
      <c r="A482" s="9">
        <v>479</v>
      </c>
      <c r="B482" s="9">
        <v>1</v>
      </c>
      <c r="C482" s="9">
        <v>2001</v>
      </c>
      <c r="D482" s="9">
        <f t="shared" si="318"/>
        <v>16850481</v>
      </c>
      <c r="E482" s="9" t="str">
        <f t="shared" si="315"/>
        <v>5202133,5202132,5202133,5501135,5500132,5500133</v>
      </c>
      <c r="F482" s="9" t="str">
        <f t="shared" si="316"/>
        <v>13,13,13,13,13,13</v>
      </c>
      <c r="G482" s="9" t="str">
        <f t="shared" si="317"/>
        <v>969,1048,1048,1048,1048,1048</v>
      </c>
      <c r="H482" s="9">
        <v>231</v>
      </c>
      <c r="I482" s="9" t="s">
        <v>278</v>
      </c>
      <c r="J482" s="9" t="s">
        <v>279</v>
      </c>
      <c r="K482" s="9" t="s">
        <v>279</v>
      </c>
      <c r="L482" s="9" t="s">
        <v>279</v>
      </c>
      <c r="M482" s="36" t="s">
        <v>311</v>
      </c>
      <c r="N482" s="40"/>
      <c r="O482" s="3">
        <f t="shared" si="319"/>
        <v>16850481</v>
      </c>
      <c r="P482" s="9">
        <v>13320538.619999999</v>
      </c>
      <c r="Q482" s="9">
        <v>5202133</v>
      </c>
      <c r="R482" s="9">
        <v>5202132</v>
      </c>
      <c r="S482" s="9">
        <v>5202133</v>
      </c>
      <c r="T482" s="9">
        <v>5501135</v>
      </c>
      <c r="U482" s="9">
        <v>5500132</v>
      </c>
      <c r="V482" s="9">
        <v>5500133</v>
      </c>
      <c r="W482" s="9">
        <v>13</v>
      </c>
      <c r="X482" s="9">
        <v>13</v>
      </c>
      <c r="Y482" s="9">
        <v>13</v>
      </c>
      <c r="Z482" s="9">
        <v>13</v>
      </c>
      <c r="AA482" s="9">
        <v>13</v>
      </c>
      <c r="AB482" s="9">
        <v>13</v>
      </c>
      <c r="AC482" s="9">
        <f t="shared" si="302"/>
        <v>969</v>
      </c>
      <c r="AD482" s="9">
        <f t="shared" si="303"/>
        <v>1048</v>
      </c>
      <c r="AE482" s="9">
        <f t="shared" si="304"/>
        <v>1048</v>
      </c>
      <c r="AF482" s="9">
        <f t="shared" si="305"/>
        <v>1048</v>
      </c>
      <c r="AG482" s="9">
        <f t="shared" si="306"/>
        <v>1048</v>
      </c>
      <c r="AH482" s="9">
        <f t="shared" si="307"/>
        <v>1048</v>
      </c>
      <c r="AI482" s="7">
        <f t="shared" si="283"/>
        <v>2220089.77</v>
      </c>
      <c r="AJ482" s="7">
        <f t="shared" si="314"/>
        <v>2220089.77</v>
      </c>
      <c r="AK482" s="7">
        <f t="shared" si="314"/>
        <v>2220089.77</v>
      </c>
      <c r="AL482" s="7">
        <f t="shared" si="314"/>
        <v>2220089.77</v>
      </c>
      <c r="AM482" s="7">
        <f t="shared" si="314"/>
        <v>2220089.77</v>
      </c>
      <c r="AN482" s="7">
        <f t="shared" si="314"/>
        <v>2220089.77</v>
      </c>
      <c r="AO482" s="16"/>
      <c r="AP482" s="7"/>
      <c r="AQ482" s="9">
        <v>8</v>
      </c>
      <c r="AR482" s="9">
        <f t="shared" si="308"/>
        <v>1323</v>
      </c>
      <c r="AS482" s="7">
        <f t="shared" si="320"/>
        <v>339</v>
      </c>
      <c r="AT482" s="7"/>
      <c r="AU482" s="16"/>
      <c r="AV482" s="7"/>
      <c r="AW482" s="7"/>
      <c r="AX482" s="7"/>
      <c r="AZ482" s="7"/>
      <c r="BA482" s="9">
        <f t="shared" si="313"/>
        <v>1577771.9000000025</v>
      </c>
      <c r="BC482" s="5" t="e">
        <f t="shared" si="309"/>
        <v>#N/A</v>
      </c>
      <c r="BR482" s="5">
        <v>2504024</v>
      </c>
      <c r="BS482" s="18">
        <f>[1]monsters!$N482</f>
        <v>97.07</v>
      </c>
      <c r="BT482" s="18">
        <f>[1]monsters!$O482</f>
        <v>9.7100000000000009</v>
      </c>
      <c r="BU482" s="18">
        <f>[1]monsters!$P482</f>
        <v>738.46</v>
      </c>
      <c r="BV482" s="18">
        <f>[1]monsters!$Q482</f>
        <v>73.849999999999994</v>
      </c>
      <c r="BW482" s="18">
        <f>[1]monsters!$R482</f>
        <v>9.7100000000000009</v>
      </c>
      <c r="BX482" s="18">
        <f>[1]monsters!$S482</f>
        <v>0.97</v>
      </c>
      <c r="BY482" s="18">
        <f>[1]monsters!$K482</f>
        <v>1.4</v>
      </c>
      <c r="BZ482" s="5">
        <f>[1]monsters!$D482</f>
        <v>4</v>
      </c>
      <c r="CA482" s="5">
        <f t="shared" si="310"/>
        <v>0.1</v>
      </c>
      <c r="CB482" s="5">
        <f t="shared" si="311"/>
        <v>116.59512306397306</v>
      </c>
      <c r="CC482" s="5">
        <f t="shared" si="312"/>
        <v>11.659512306397307</v>
      </c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>
        <v>0</v>
      </c>
      <c r="CR482" s="3" t="b">
        <f t="shared" si="284"/>
        <v>1</v>
      </c>
      <c r="CS482" s="3" t="b">
        <f t="shared" si="285"/>
        <v>1</v>
      </c>
      <c r="CT482" s="3" t="b">
        <f t="shared" si="286"/>
        <v>1</v>
      </c>
      <c r="CU482" s="3" t="b">
        <f t="shared" si="287"/>
        <v>1</v>
      </c>
      <c r="CV482" s="3" t="b">
        <f t="shared" si="288"/>
        <v>1</v>
      </c>
      <c r="CW482" s="3" t="b">
        <f t="shared" si="289"/>
        <v>1</v>
      </c>
      <c r="CX482" s="9" t="str">
        <f t="shared" si="290"/>
        <v>5202133</v>
      </c>
      <c r="CY482" s="9" t="str">
        <f t="shared" si="291"/>
        <v>5202132</v>
      </c>
      <c r="CZ482" s="9" t="str">
        <f t="shared" si="292"/>
        <v>5202133</v>
      </c>
      <c r="DA482" s="9" t="str">
        <f t="shared" si="293"/>
        <v>5501135</v>
      </c>
      <c r="DB482" s="9" t="str">
        <f t="shared" si="294"/>
        <v>5500132</v>
      </c>
      <c r="DC482" s="9" t="str">
        <f t="shared" si="295"/>
        <v>5500133</v>
      </c>
      <c r="DD482" s="9">
        <v>13</v>
      </c>
      <c r="DE482" s="9">
        <v>13</v>
      </c>
      <c r="DF482" s="9">
        <v>13</v>
      </c>
      <c r="DG482" s="9">
        <v>13</v>
      </c>
      <c r="DH482" s="9">
        <v>13</v>
      </c>
      <c r="DI482" s="9">
        <v>13</v>
      </c>
      <c r="DJ482" s="9">
        <v>5</v>
      </c>
      <c r="DK482" s="9">
        <v>5</v>
      </c>
      <c r="DL482" s="9">
        <v>5</v>
      </c>
      <c r="DM482" s="9">
        <v>5</v>
      </c>
      <c r="DN482" s="9">
        <v>5</v>
      </c>
      <c r="DO482" s="9">
        <v>5</v>
      </c>
      <c r="DP482" s="25" t="s">
        <v>208</v>
      </c>
      <c r="DQ482" s="25" t="s">
        <v>200</v>
      </c>
      <c r="DR482" s="25" t="s">
        <v>208</v>
      </c>
      <c r="DS482" s="25" t="s">
        <v>209</v>
      </c>
      <c r="DT482" s="25" t="s">
        <v>109</v>
      </c>
      <c r="DU482" s="25" t="s">
        <v>207</v>
      </c>
      <c r="DV482" s="25">
        <f t="shared" si="296"/>
        <v>1</v>
      </c>
      <c r="DW482" s="25">
        <f t="shared" si="297"/>
        <v>1</v>
      </c>
      <c r="DX482" s="25">
        <f t="shared" si="298"/>
        <v>1</v>
      </c>
      <c r="DY482" s="25">
        <f t="shared" si="299"/>
        <v>2</v>
      </c>
      <c r="DZ482" s="25">
        <f t="shared" si="300"/>
        <v>2</v>
      </c>
      <c r="EA482" s="3">
        <f t="shared" si="301"/>
        <v>2</v>
      </c>
      <c r="EB482" s="38"/>
    </row>
    <row r="483" spans="1:132" ht="13.5" customHeight="1">
      <c r="A483" s="9">
        <v>480</v>
      </c>
      <c r="B483" s="9">
        <v>1</v>
      </c>
      <c r="C483" s="9">
        <v>2001</v>
      </c>
      <c r="D483" s="9">
        <f t="shared" si="318"/>
        <v>17296908</v>
      </c>
      <c r="E483" s="9" t="str">
        <f t="shared" si="315"/>
        <v>5201131,5201131,5200131,5601131,5501134,5501134</v>
      </c>
      <c r="F483" s="9" t="str">
        <f t="shared" si="316"/>
        <v>13,13,13,13,13,13</v>
      </c>
      <c r="G483" s="9" t="str">
        <f t="shared" si="317"/>
        <v>982,1062,1062,1062,1062,1062</v>
      </c>
      <c r="H483" s="9">
        <v>232</v>
      </c>
      <c r="I483" s="9" t="s">
        <v>278</v>
      </c>
      <c r="J483" s="9" t="s">
        <v>279</v>
      </c>
      <c r="K483" s="9" t="s">
        <v>279</v>
      </c>
      <c r="L483" s="9" t="s">
        <v>279</v>
      </c>
      <c r="M483" s="36" t="s">
        <v>311</v>
      </c>
      <c r="O483" s="3">
        <f t="shared" si="319"/>
        <v>17296908</v>
      </c>
      <c r="P483" s="9">
        <v>13673445.220000001</v>
      </c>
      <c r="Q483" s="9">
        <v>5201131</v>
      </c>
      <c r="R483" s="9">
        <v>5201131</v>
      </c>
      <c r="S483" s="9">
        <v>5200131</v>
      </c>
      <c r="T483" s="9">
        <v>5601131</v>
      </c>
      <c r="U483" s="9">
        <v>5501134</v>
      </c>
      <c r="V483" s="9">
        <v>5501134</v>
      </c>
      <c r="W483" s="9">
        <v>13</v>
      </c>
      <c r="X483" s="9">
        <v>13</v>
      </c>
      <c r="Y483" s="9">
        <v>13</v>
      </c>
      <c r="Z483" s="9">
        <v>13</v>
      </c>
      <c r="AA483" s="9">
        <v>13</v>
      </c>
      <c r="AB483" s="9">
        <v>13</v>
      </c>
      <c r="AC483" s="9">
        <f t="shared" si="302"/>
        <v>982</v>
      </c>
      <c r="AD483" s="9">
        <f t="shared" si="303"/>
        <v>1062</v>
      </c>
      <c r="AE483" s="9">
        <f t="shared" si="304"/>
        <v>1062</v>
      </c>
      <c r="AF483" s="9">
        <f t="shared" si="305"/>
        <v>1062</v>
      </c>
      <c r="AG483" s="9">
        <f t="shared" si="306"/>
        <v>1062</v>
      </c>
      <c r="AH483" s="9">
        <f t="shared" si="307"/>
        <v>1062</v>
      </c>
      <c r="AI483" s="7">
        <f t="shared" si="283"/>
        <v>2278907.5366666666</v>
      </c>
      <c r="AJ483" s="7">
        <f t="shared" si="314"/>
        <v>2278907.5366666666</v>
      </c>
      <c r="AK483" s="7">
        <f t="shared" si="314"/>
        <v>2278907.5366666666</v>
      </c>
      <c r="AL483" s="7">
        <f t="shared" si="314"/>
        <v>2278907.5366666666</v>
      </c>
      <c r="AM483" s="7">
        <f t="shared" si="314"/>
        <v>2278907.5366666666</v>
      </c>
      <c r="AN483" s="7">
        <f t="shared" si="314"/>
        <v>2278907.5366666666</v>
      </c>
      <c r="AO483" s="16"/>
      <c r="AP483" s="7"/>
      <c r="AQ483" s="9">
        <v>8</v>
      </c>
      <c r="AR483" s="9">
        <f t="shared" si="308"/>
        <v>1340</v>
      </c>
      <c r="AS483" s="7">
        <f t="shared" si="320"/>
        <v>340</v>
      </c>
      <c r="AT483" s="7"/>
      <c r="AU483" s="16"/>
      <c r="AV483" s="7"/>
      <c r="AW483" s="7"/>
      <c r="AX483" s="7"/>
      <c r="AZ483" s="7"/>
      <c r="BA483" s="9">
        <f t="shared" si="313"/>
        <v>1597878.0000000026</v>
      </c>
      <c r="BC483" s="5" t="e">
        <f t="shared" si="309"/>
        <v>#N/A</v>
      </c>
      <c r="BR483" s="5">
        <v>2101024</v>
      </c>
      <c r="BS483" s="18">
        <f>[1]monsters!$N483</f>
        <v>67.2</v>
      </c>
      <c r="BT483" s="18">
        <f>[1]monsters!$O483</f>
        <v>6.72</v>
      </c>
      <c r="BU483" s="18">
        <f>[1]monsters!$P483</f>
        <v>1066.67</v>
      </c>
      <c r="BV483" s="18">
        <f>[1]monsters!$Q483</f>
        <v>106.67</v>
      </c>
      <c r="BW483" s="18">
        <f>[1]monsters!$R483</f>
        <v>13.44</v>
      </c>
      <c r="BX483" s="18">
        <f>[1]monsters!$S483</f>
        <v>1.34</v>
      </c>
      <c r="BY483" s="18">
        <f>[1]monsters!$K483</f>
        <v>1.4</v>
      </c>
      <c r="BZ483" s="5">
        <f>[1]monsters!$D483</f>
        <v>2</v>
      </c>
      <c r="CA483" s="5">
        <f t="shared" si="310"/>
        <v>0.1</v>
      </c>
      <c r="CB483" s="5">
        <f t="shared" si="311"/>
        <v>99.418814814814823</v>
      </c>
      <c r="CC483" s="5">
        <f t="shared" si="312"/>
        <v>9.9418814814814827</v>
      </c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>
        <v>1</v>
      </c>
      <c r="CR483" s="3" t="b">
        <f t="shared" si="284"/>
        <v>1</v>
      </c>
      <c r="CS483" s="3" t="b">
        <f t="shared" si="285"/>
        <v>1</v>
      </c>
      <c r="CT483" s="3" t="b">
        <f t="shared" si="286"/>
        <v>1</v>
      </c>
      <c r="CU483" s="3" t="b">
        <f t="shared" si="287"/>
        <v>1</v>
      </c>
      <c r="CV483" s="3" t="b">
        <f t="shared" si="288"/>
        <v>1</v>
      </c>
      <c r="CW483" s="3" t="b">
        <f t="shared" si="289"/>
        <v>1</v>
      </c>
      <c r="CX483" s="9" t="str">
        <f t="shared" si="290"/>
        <v>5201131</v>
      </c>
      <c r="CY483" s="9" t="str">
        <f t="shared" si="291"/>
        <v>5201131</v>
      </c>
      <c r="CZ483" s="9" t="str">
        <f t="shared" si="292"/>
        <v>5200131</v>
      </c>
      <c r="DA483" s="9" t="str">
        <f t="shared" si="293"/>
        <v>5601131</v>
      </c>
      <c r="DB483" s="9" t="str">
        <f t="shared" si="294"/>
        <v>5501134</v>
      </c>
      <c r="DC483" s="9" t="str">
        <f t="shared" si="295"/>
        <v>5501134</v>
      </c>
      <c r="DD483" s="9">
        <v>13</v>
      </c>
      <c r="DE483" s="9">
        <v>13</v>
      </c>
      <c r="DF483" s="9">
        <v>13</v>
      </c>
      <c r="DG483" s="9">
        <v>13</v>
      </c>
      <c r="DH483" s="9">
        <v>13</v>
      </c>
      <c r="DI483" s="9">
        <v>13</v>
      </c>
      <c r="DJ483" s="9">
        <v>5</v>
      </c>
      <c r="DK483" s="9">
        <v>5</v>
      </c>
      <c r="DL483" s="9">
        <v>5</v>
      </c>
      <c r="DM483" s="9">
        <v>5</v>
      </c>
      <c r="DN483" s="9">
        <v>5</v>
      </c>
      <c r="DO483" s="9">
        <v>5</v>
      </c>
      <c r="DP483" s="25" t="s">
        <v>195</v>
      </c>
      <c r="DQ483" s="25" t="s">
        <v>195</v>
      </c>
      <c r="DR483" s="25" t="s">
        <v>194</v>
      </c>
      <c r="DS483" s="25" t="s">
        <v>198</v>
      </c>
      <c r="DT483" s="25" t="s">
        <v>214</v>
      </c>
      <c r="DU483" s="25" t="s">
        <v>214</v>
      </c>
      <c r="DV483" s="25">
        <f t="shared" si="296"/>
        <v>1</v>
      </c>
      <c r="DW483" s="25">
        <f t="shared" si="297"/>
        <v>1</v>
      </c>
      <c r="DX483" s="25">
        <f t="shared" si="298"/>
        <v>1</v>
      </c>
      <c r="DY483" s="25">
        <f t="shared" si="299"/>
        <v>2</v>
      </c>
      <c r="DZ483" s="25">
        <f t="shared" si="300"/>
        <v>2</v>
      </c>
      <c r="EA483" s="3">
        <f t="shared" si="301"/>
        <v>2</v>
      </c>
      <c r="EB483" s="38"/>
    </row>
    <row r="484" spans="1:132" ht="13.5" customHeight="1">
      <c r="A484" s="9">
        <v>481</v>
      </c>
      <c r="B484" s="9">
        <v>1</v>
      </c>
      <c r="C484" s="9">
        <v>2001</v>
      </c>
      <c r="D484" s="9">
        <f t="shared" si="318"/>
        <v>17351809</v>
      </c>
      <c r="E484" s="9" t="str">
        <f t="shared" si="315"/>
        <v>5302135,5202135,5202135,5400135,5400135,5400135</v>
      </c>
      <c r="F484" s="9" t="str">
        <f t="shared" si="316"/>
        <v>13,13,13,13,13,13</v>
      </c>
      <c r="G484" s="9" t="str">
        <f t="shared" si="317"/>
        <v>984,1064,1064,1064,1064,1064</v>
      </c>
      <c r="H484" s="9">
        <v>232</v>
      </c>
      <c r="I484" s="9" t="s">
        <v>278</v>
      </c>
      <c r="J484" s="9" t="s">
        <v>279</v>
      </c>
      <c r="K484" s="9" t="s">
        <v>279</v>
      </c>
      <c r="L484" s="9" t="s">
        <v>279</v>
      </c>
      <c r="M484" s="36" t="s">
        <v>312</v>
      </c>
      <c r="N484" s="40"/>
      <c r="O484" s="3">
        <f t="shared" si="319"/>
        <v>17351809</v>
      </c>
      <c r="P484" s="9">
        <v>13716845.130000001</v>
      </c>
      <c r="Q484" s="9">
        <v>5302135</v>
      </c>
      <c r="R484" s="9">
        <v>5202135</v>
      </c>
      <c r="S484" s="9">
        <v>5202135</v>
      </c>
      <c r="T484" s="9">
        <v>5400135</v>
      </c>
      <c r="U484" s="9">
        <v>5400135</v>
      </c>
      <c r="V484" s="9">
        <v>5400135</v>
      </c>
      <c r="W484" s="9">
        <v>13</v>
      </c>
      <c r="X484" s="9">
        <v>13</v>
      </c>
      <c r="Y484" s="9">
        <v>13</v>
      </c>
      <c r="Z484" s="9">
        <v>13</v>
      </c>
      <c r="AA484" s="9">
        <v>13</v>
      </c>
      <c r="AB484" s="9">
        <v>13</v>
      </c>
      <c r="AC484" s="9">
        <f t="shared" si="302"/>
        <v>984</v>
      </c>
      <c r="AD484" s="9">
        <f t="shared" si="303"/>
        <v>1064</v>
      </c>
      <c r="AE484" s="9">
        <f t="shared" si="304"/>
        <v>1064</v>
      </c>
      <c r="AF484" s="9">
        <f t="shared" si="305"/>
        <v>1064</v>
      </c>
      <c r="AG484" s="9">
        <f t="shared" si="306"/>
        <v>1064</v>
      </c>
      <c r="AH484" s="9">
        <f t="shared" si="307"/>
        <v>1064</v>
      </c>
      <c r="AI484" s="7">
        <f t="shared" si="283"/>
        <v>2286140.855</v>
      </c>
      <c r="AJ484" s="7">
        <f t="shared" si="314"/>
        <v>2286140.855</v>
      </c>
      <c r="AK484" s="7">
        <f t="shared" si="314"/>
        <v>2286140.855</v>
      </c>
      <c r="AL484" s="7">
        <f t="shared" si="314"/>
        <v>2286140.855</v>
      </c>
      <c r="AM484" s="7">
        <f t="shared" si="314"/>
        <v>2286140.855</v>
      </c>
      <c r="AN484" s="7">
        <f t="shared" si="314"/>
        <v>2286140.855</v>
      </c>
      <c r="AO484" s="16"/>
      <c r="AP484" s="7"/>
      <c r="AQ484" s="9">
        <v>8</v>
      </c>
      <c r="AR484" s="9">
        <f t="shared" si="308"/>
        <v>1342</v>
      </c>
      <c r="AS484" s="7">
        <f t="shared" si="320"/>
        <v>340</v>
      </c>
      <c r="AT484" s="7"/>
      <c r="AU484" s="16"/>
      <c r="AV484" s="7"/>
      <c r="AW484" s="7"/>
      <c r="AX484" s="7"/>
      <c r="AZ484" s="7"/>
      <c r="BA484" s="9">
        <f t="shared" si="313"/>
        <v>1617984.1000000027</v>
      </c>
      <c r="BC484" s="5" t="e">
        <f t="shared" si="309"/>
        <v>#N/A</v>
      </c>
      <c r="BR484" s="5">
        <v>2102024</v>
      </c>
      <c r="BS484" s="18">
        <f>[1]monsters!$N484</f>
        <v>110.93</v>
      </c>
      <c r="BT484" s="18">
        <f>[1]monsters!$O484</f>
        <v>11.09</v>
      </c>
      <c r="BU484" s="18">
        <f>[1]monsters!$P484</f>
        <v>738.46</v>
      </c>
      <c r="BV484" s="18">
        <f>[1]monsters!$Q484</f>
        <v>73.849999999999994</v>
      </c>
      <c r="BW484" s="18">
        <f>[1]monsters!$R484</f>
        <v>11.09</v>
      </c>
      <c r="BX484" s="18">
        <f>[1]monsters!$S484</f>
        <v>1.1100000000000001</v>
      </c>
      <c r="BY484" s="18">
        <f>[1]monsters!$K484</f>
        <v>1.6</v>
      </c>
      <c r="BZ484" s="5">
        <f>[1]monsters!$D484</f>
        <v>4</v>
      </c>
      <c r="CA484" s="5">
        <f t="shared" si="310"/>
        <v>0.1</v>
      </c>
      <c r="CB484" s="5">
        <f t="shared" si="311"/>
        <v>129.69282306397309</v>
      </c>
      <c r="CC484" s="5">
        <f t="shared" si="312"/>
        <v>12.969282306397311</v>
      </c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>
        <v>0</v>
      </c>
      <c r="CR484" s="3" t="b">
        <f t="shared" si="284"/>
        <v>1</v>
      </c>
      <c r="CS484" s="3" t="b">
        <f t="shared" si="285"/>
        <v>1</v>
      </c>
      <c r="CT484" s="3" t="b">
        <f t="shared" si="286"/>
        <v>1</v>
      </c>
      <c r="CU484" s="3" t="b">
        <f t="shared" si="287"/>
        <v>1</v>
      </c>
      <c r="CV484" s="3" t="b">
        <f t="shared" si="288"/>
        <v>1</v>
      </c>
      <c r="CW484" s="3" t="b">
        <f t="shared" si="289"/>
        <v>1</v>
      </c>
      <c r="CX484" s="9" t="str">
        <f t="shared" si="290"/>
        <v>5302135</v>
      </c>
      <c r="CY484" s="9" t="str">
        <f t="shared" si="291"/>
        <v>5202135</v>
      </c>
      <c r="CZ484" s="9" t="str">
        <f t="shared" si="292"/>
        <v>5202135</v>
      </c>
      <c r="DA484" s="9" t="str">
        <f t="shared" si="293"/>
        <v>5400135</v>
      </c>
      <c r="DB484" s="9" t="str">
        <f t="shared" si="294"/>
        <v>5400135</v>
      </c>
      <c r="DC484" s="9" t="str">
        <f t="shared" si="295"/>
        <v>5400135</v>
      </c>
      <c r="DD484" s="9">
        <v>13</v>
      </c>
      <c r="DE484" s="9">
        <v>13</v>
      </c>
      <c r="DF484" s="9">
        <v>13</v>
      </c>
      <c r="DG484" s="9">
        <v>13</v>
      </c>
      <c r="DH484" s="9">
        <v>13</v>
      </c>
      <c r="DI484" s="9">
        <v>13</v>
      </c>
      <c r="DJ484" s="9">
        <v>5</v>
      </c>
      <c r="DK484" s="9">
        <v>5</v>
      </c>
      <c r="DL484" s="9">
        <v>5</v>
      </c>
      <c r="DM484" s="9">
        <v>5</v>
      </c>
      <c r="DN484" s="9">
        <v>5</v>
      </c>
      <c r="DO484" s="9">
        <v>5</v>
      </c>
      <c r="DP484" s="25" t="s">
        <v>221</v>
      </c>
      <c r="DQ484" s="25" t="s">
        <v>213</v>
      </c>
      <c r="DR484" s="25" t="s">
        <v>213</v>
      </c>
      <c r="DS484" s="25" t="s">
        <v>210</v>
      </c>
      <c r="DT484" s="25" t="s">
        <v>210</v>
      </c>
      <c r="DU484" s="25" t="s">
        <v>210</v>
      </c>
      <c r="DV484" s="25">
        <f t="shared" si="296"/>
        <v>1</v>
      </c>
      <c r="DW484" s="25">
        <f t="shared" si="297"/>
        <v>1</v>
      </c>
      <c r="DX484" s="25">
        <f t="shared" si="298"/>
        <v>1</v>
      </c>
      <c r="DY484" s="25">
        <f t="shared" si="299"/>
        <v>2</v>
      </c>
      <c r="DZ484" s="25">
        <f t="shared" si="300"/>
        <v>2</v>
      </c>
      <c r="EA484" s="3">
        <f t="shared" si="301"/>
        <v>2</v>
      </c>
      <c r="EB484" s="38"/>
    </row>
    <row r="485" spans="1:132" ht="13.5" customHeight="1">
      <c r="A485" s="9">
        <v>482</v>
      </c>
      <c r="B485" s="9">
        <v>1</v>
      </c>
      <c r="C485" s="9">
        <v>2001</v>
      </c>
      <c r="D485" s="9">
        <f t="shared" si="318"/>
        <v>17406796</v>
      </c>
      <c r="E485" s="9" t="str">
        <f t="shared" si="315"/>
        <v>5301131,5301132,5301132,5500132,5501135,5502133</v>
      </c>
      <c r="F485" s="9" t="str">
        <f t="shared" si="316"/>
        <v>13,13,13,13,13,13</v>
      </c>
      <c r="G485" s="9" t="str">
        <f t="shared" si="317"/>
        <v>985,1065,1065,1065,1065,1065</v>
      </c>
      <c r="H485" s="9">
        <v>232</v>
      </c>
      <c r="I485" s="9" t="s">
        <v>278</v>
      </c>
      <c r="J485" s="9" t="s">
        <v>279</v>
      </c>
      <c r="K485" s="9" t="s">
        <v>279</v>
      </c>
      <c r="L485" s="9" t="s">
        <v>279</v>
      </c>
      <c r="M485" s="36" t="s">
        <v>312</v>
      </c>
      <c r="N485" s="40"/>
      <c r="O485" s="3">
        <f t="shared" si="319"/>
        <v>17406796</v>
      </c>
      <c r="P485" s="9">
        <v>13760312.699999999</v>
      </c>
      <c r="Q485" s="9">
        <v>5301131</v>
      </c>
      <c r="R485" s="9">
        <v>5301132</v>
      </c>
      <c r="S485" s="9">
        <v>5301132</v>
      </c>
      <c r="T485" s="9">
        <v>5500132</v>
      </c>
      <c r="U485" s="9">
        <v>5501135</v>
      </c>
      <c r="V485" s="9">
        <v>5502133</v>
      </c>
      <c r="W485" s="9">
        <v>13</v>
      </c>
      <c r="X485" s="9">
        <v>13</v>
      </c>
      <c r="Y485" s="9">
        <v>13</v>
      </c>
      <c r="Z485" s="9">
        <v>13</v>
      </c>
      <c r="AA485" s="9">
        <v>13</v>
      </c>
      <c r="AB485" s="9">
        <v>13</v>
      </c>
      <c r="AC485" s="9">
        <f t="shared" si="302"/>
        <v>985</v>
      </c>
      <c r="AD485" s="9">
        <f t="shared" si="303"/>
        <v>1065</v>
      </c>
      <c r="AE485" s="9">
        <f t="shared" si="304"/>
        <v>1065</v>
      </c>
      <c r="AF485" s="9">
        <f t="shared" si="305"/>
        <v>1065</v>
      </c>
      <c r="AG485" s="9">
        <f t="shared" si="306"/>
        <v>1065</v>
      </c>
      <c r="AH485" s="9">
        <f t="shared" si="307"/>
        <v>1065</v>
      </c>
      <c r="AI485" s="7">
        <f t="shared" si="283"/>
        <v>2293385.4499999997</v>
      </c>
      <c r="AJ485" s="7">
        <f t="shared" si="314"/>
        <v>2293385.4499999997</v>
      </c>
      <c r="AK485" s="7">
        <f t="shared" si="314"/>
        <v>2293385.4499999997</v>
      </c>
      <c r="AL485" s="7">
        <f t="shared" si="314"/>
        <v>2293385.4499999997</v>
      </c>
      <c r="AM485" s="7">
        <f t="shared" si="314"/>
        <v>2293385.4499999997</v>
      </c>
      <c r="AN485" s="7">
        <f t="shared" si="314"/>
        <v>2293385.4499999997</v>
      </c>
      <c r="AO485" s="16"/>
      <c r="AP485" s="7"/>
      <c r="AQ485" s="9">
        <v>8</v>
      </c>
      <c r="AR485" s="9">
        <f t="shared" si="308"/>
        <v>1345</v>
      </c>
      <c r="AS485" s="7">
        <f t="shared" si="320"/>
        <v>341</v>
      </c>
      <c r="AT485" s="7"/>
      <c r="AU485" s="16"/>
      <c r="AV485" s="7"/>
      <c r="AW485" s="7"/>
      <c r="AX485" s="7"/>
      <c r="AZ485" s="7"/>
      <c r="BA485" s="9">
        <f t="shared" si="313"/>
        <v>1638090.2000000027</v>
      </c>
      <c r="BC485" s="5" t="e">
        <f t="shared" si="309"/>
        <v>#N/A</v>
      </c>
      <c r="BR485" s="5">
        <v>2206025</v>
      </c>
      <c r="BS485" s="18">
        <f>[1]monsters!$N485</f>
        <v>102.4</v>
      </c>
      <c r="BT485" s="18">
        <f>[1]monsters!$O485</f>
        <v>10.24</v>
      </c>
      <c r="BU485" s="18">
        <f>[1]monsters!$P485</f>
        <v>800</v>
      </c>
      <c r="BV485" s="18">
        <f>[1]monsters!$Q485</f>
        <v>80</v>
      </c>
      <c r="BW485" s="18">
        <f>[1]monsters!$R485</f>
        <v>17.07</v>
      </c>
      <c r="BX485" s="18">
        <f>[1]monsters!$S485</f>
        <v>1.71</v>
      </c>
      <c r="BY485" s="18">
        <f>[1]monsters!$K485</f>
        <v>1.6</v>
      </c>
      <c r="BZ485" s="5">
        <f>[1]monsters!$D485</f>
        <v>5</v>
      </c>
      <c r="CA485" s="5">
        <f t="shared" si="310"/>
        <v>0.1</v>
      </c>
      <c r="CB485" s="5">
        <f t="shared" si="311"/>
        <v>123.70402693602695</v>
      </c>
      <c r="CC485" s="5">
        <f t="shared" si="312"/>
        <v>12.370402693602696</v>
      </c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>
        <v>0</v>
      </c>
      <c r="CR485" s="3" t="b">
        <f t="shared" si="284"/>
        <v>1</v>
      </c>
      <c r="CS485" s="3" t="b">
        <f t="shared" si="285"/>
        <v>1</v>
      </c>
      <c r="CT485" s="3" t="b">
        <f t="shared" si="286"/>
        <v>1</v>
      </c>
      <c r="CU485" s="3" t="b">
        <f t="shared" si="287"/>
        <v>1</v>
      </c>
      <c r="CV485" s="3" t="b">
        <f t="shared" si="288"/>
        <v>1</v>
      </c>
      <c r="CW485" s="3" t="b">
        <f t="shared" si="289"/>
        <v>1</v>
      </c>
      <c r="CX485" s="9" t="str">
        <f t="shared" si="290"/>
        <v>5301131</v>
      </c>
      <c r="CY485" s="9" t="str">
        <f t="shared" si="291"/>
        <v>5301132</v>
      </c>
      <c r="CZ485" s="9" t="str">
        <f t="shared" si="292"/>
        <v>5301132</v>
      </c>
      <c r="DA485" s="9" t="str">
        <f t="shared" si="293"/>
        <v>5500132</v>
      </c>
      <c r="DB485" s="9" t="str">
        <f t="shared" si="294"/>
        <v>5501135</v>
      </c>
      <c r="DC485" s="9" t="str">
        <f t="shared" si="295"/>
        <v>5502133</v>
      </c>
      <c r="DD485" s="9">
        <v>13</v>
      </c>
      <c r="DE485" s="9">
        <v>13</v>
      </c>
      <c r="DF485" s="9">
        <v>13</v>
      </c>
      <c r="DG485" s="9">
        <v>13</v>
      </c>
      <c r="DH485" s="9">
        <v>13</v>
      </c>
      <c r="DI485" s="9">
        <v>13</v>
      </c>
      <c r="DJ485" s="9">
        <v>5</v>
      </c>
      <c r="DK485" s="9">
        <v>5</v>
      </c>
      <c r="DL485" s="9">
        <v>5</v>
      </c>
      <c r="DM485" s="9">
        <v>5</v>
      </c>
      <c r="DN485" s="9">
        <v>5</v>
      </c>
      <c r="DO485" s="9">
        <v>5</v>
      </c>
      <c r="DP485" s="25" t="s">
        <v>107</v>
      </c>
      <c r="DQ485" s="25" t="s">
        <v>201</v>
      </c>
      <c r="DR485" s="25" t="s">
        <v>201</v>
      </c>
      <c r="DS485" s="25" t="s">
        <v>109</v>
      </c>
      <c r="DT485" s="25" t="s">
        <v>209</v>
      </c>
      <c r="DU485" s="25" t="s">
        <v>215</v>
      </c>
      <c r="DV485" s="25">
        <f t="shared" si="296"/>
        <v>1</v>
      </c>
      <c r="DW485" s="25">
        <f t="shared" si="297"/>
        <v>1</v>
      </c>
      <c r="DX485" s="25">
        <f t="shared" si="298"/>
        <v>1</v>
      </c>
      <c r="DY485" s="25">
        <f t="shared" si="299"/>
        <v>2</v>
      </c>
      <c r="DZ485" s="25">
        <f t="shared" si="300"/>
        <v>2</v>
      </c>
      <c r="EA485" s="3">
        <f t="shared" si="301"/>
        <v>2</v>
      </c>
      <c r="EB485" s="50"/>
    </row>
    <row r="486" spans="1:132" ht="13.5" customHeight="1">
      <c r="A486" s="9">
        <v>483</v>
      </c>
      <c r="B486" s="9">
        <v>1</v>
      </c>
      <c r="C486" s="9">
        <v>2001</v>
      </c>
      <c r="D486" s="9">
        <f t="shared" si="318"/>
        <v>17461868</v>
      </c>
      <c r="E486" s="9" t="str">
        <f t="shared" si="315"/>
        <v>5201133,5200133,5301132,5501134,5500133,5501134</v>
      </c>
      <c r="F486" s="9" t="str">
        <f t="shared" si="316"/>
        <v>13,13,13,13,13,13</v>
      </c>
      <c r="G486" s="9" t="str">
        <f t="shared" si="317"/>
        <v>987,1067,1067,1067,1067,1067</v>
      </c>
      <c r="H486" s="9">
        <v>233</v>
      </c>
      <c r="I486" s="9" t="s">
        <v>278</v>
      </c>
      <c r="J486" s="9" t="s">
        <v>279</v>
      </c>
      <c r="K486" s="9" t="s">
        <v>279</v>
      </c>
      <c r="L486" s="9" t="s">
        <v>279</v>
      </c>
      <c r="M486" s="36" t="s">
        <v>312</v>
      </c>
      <c r="N486" s="40"/>
      <c r="O486" s="3">
        <f t="shared" si="319"/>
        <v>17461868</v>
      </c>
      <c r="P486" s="9">
        <v>13803847.93</v>
      </c>
      <c r="Q486" s="9">
        <v>5201133</v>
      </c>
      <c r="R486" s="9">
        <v>5200133</v>
      </c>
      <c r="S486" s="9">
        <v>5301132</v>
      </c>
      <c r="T486" s="9">
        <v>5501134</v>
      </c>
      <c r="U486" s="9">
        <v>5500133</v>
      </c>
      <c r="V486" s="9">
        <v>5501134</v>
      </c>
      <c r="W486" s="9">
        <v>13</v>
      </c>
      <c r="X486" s="9">
        <v>13</v>
      </c>
      <c r="Y486" s="9">
        <v>13</v>
      </c>
      <c r="Z486" s="9">
        <v>13</v>
      </c>
      <c r="AA486" s="9">
        <v>13</v>
      </c>
      <c r="AB486" s="9">
        <v>13</v>
      </c>
      <c r="AC486" s="9">
        <f t="shared" si="302"/>
        <v>987</v>
      </c>
      <c r="AD486" s="9">
        <f t="shared" si="303"/>
        <v>1067</v>
      </c>
      <c r="AE486" s="9">
        <f t="shared" si="304"/>
        <v>1067</v>
      </c>
      <c r="AF486" s="9">
        <f t="shared" si="305"/>
        <v>1067</v>
      </c>
      <c r="AG486" s="9">
        <f t="shared" si="306"/>
        <v>1067</v>
      </c>
      <c r="AH486" s="9">
        <f t="shared" si="307"/>
        <v>1067</v>
      </c>
      <c r="AI486" s="7">
        <f t="shared" si="283"/>
        <v>2300641.3216666668</v>
      </c>
      <c r="AJ486" s="7">
        <f t="shared" si="314"/>
        <v>2300641.3216666668</v>
      </c>
      <c r="AK486" s="7">
        <f t="shared" si="314"/>
        <v>2300641.3216666668</v>
      </c>
      <c r="AL486" s="7">
        <f t="shared" si="314"/>
        <v>2300641.3216666668</v>
      </c>
      <c r="AM486" s="7">
        <f t="shared" si="314"/>
        <v>2300641.3216666668</v>
      </c>
      <c r="AN486" s="7">
        <f t="shared" si="314"/>
        <v>2300641.3216666668</v>
      </c>
      <c r="AO486" s="16"/>
      <c r="AP486" s="7"/>
      <c r="AQ486" s="9">
        <v>8</v>
      </c>
      <c r="AR486" s="9">
        <f t="shared" si="308"/>
        <v>1347</v>
      </c>
      <c r="AS486" s="7">
        <f t="shared" si="320"/>
        <v>341</v>
      </c>
      <c r="AT486" s="7"/>
      <c r="AU486" s="16"/>
      <c r="AV486" s="7"/>
      <c r="AW486" s="7"/>
      <c r="AX486" s="7"/>
      <c r="AZ486" s="7"/>
      <c r="BA486" s="9">
        <f t="shared" si="313"/>
        <v>1658196.3000000028</v>
      </c>
      <c r="BC486" s="5" t="e">
        <f t="shared" si="309"/>
        <v>#N/A</v>
      </c>
      <c r="BR486" s="5">
        <v>2406025</v>
      </c>
      <c r="BS486" s="18">
        <f>[1]monsters!$N486</f>
        <v>85.87</v>
      </c>
      <c r="BT486" s="18">
        <f>[1]monsters!$O486</f>
        <v>8.59</v>
      </c>
      <c r="BU486" s="18">
        <f>[1]monsters!$P486</f>
        <v>834.78</v>
      </c>
      <c r="BV486" s="18">
        <f>[1]monsters!$Q486</f>
        <v>83.48</v>
      </c>
      <c r="BW486" s="18">
        <f>[1]monsters!$R486</f>
        <v>10.73</v>
      </c>
      <c r="BX486" s="18">
        <f>[1]monsters!$S486</f>
        <v>1.07</v>
      </c>
      <c r="BY486" s="18">
        <f>[1]monsters!$K486</f>
        <v>1.4</v>
      </c>
      <c r="BZ486" s="5">
        <f>[1]monsters!$D486</f>
        <v>3</v>
      </c>
      <c r="CA486" s="5">
        <f t="shared" si="310"/>
        <v>0.1</v>
      </c>
      <c r="CB486" s="5">
        <f t="shared" si="311"/>
        <v>109.25422070707071</v>
      </c>
      <c r="CC486" s="5">
        <f t="shared" si="312"/>
        <v>10.925422070707071</v>
      </c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>
        <v>0</v>
      </c>
      <c r="CR486" s="3" t="b">
        <f t="shared" si="284"/>
        <v>1</v>
      </c>
      <c r="CS486" s="3" t="b">
        <f t="shared" si="285"/>
        <v>1</v>
      </c>
      <c r="CT486" s="3" t="b">
        <f t="shared" si="286"/>
        <v>1</v>
      </c>
      <c r="CU486" s="3" t="b">
        <f t="shared" si="287"/>
        <v>1</v>
      </c>
      <c r="CV486" s="3" t="b">
        <f t="shared" si="288"/>
        <v>1</v>
      </c>
      <c r="CW486" s="3" t="b">
        <f t="shared" si="289"/>
        <v>1</v>
      </c>
      <c r="CX486" s="9" t="str">
        <f t="shared" si="290"/>
        <v>5201133</v>
      </c>
      <c r="CY486" s="9" t="str">
        <f t="shared" si="291"/>
        <v>5200133</v>
      </c>
      <c r="CZ486" s="9" t="str">
        <f t="shared" si="292"/>
        <v>5301132</v>
      </c>
      <c r="DA486" s="9" t="str">
        <f t="shared" si="293"/>
        <v>5501134</v>
      </c>
      <c r="DB486" s="9" t="str">
        <f t="shared" si="294"/>
        <v>5500133</v>
      </c>
      <c r="DC486" s="9" t="str">
        <f t="shared" si="295"/>
        <v>5501134</v>
      </c>
      <c r="DD486" s="9">
        <v>13</v>
      </c>
      <c r="DE486" s="9">
        <v>13</v>
      </c>
      <c r="DF486" s="9">
        <v>13</v>
      </c>
      <c r="DG486" s="9">
        <v>13</v>
      </c>
      <c r="DH486" s="9">
        <v>13</v>
      </c>
      <c r="DI486" s="9">
        <v>13</v>
      </c>
      <c r="DJ486" s="9">
        <v>5</v>
      </c>
      <c r="DK486" s="9">
        <v>5</v>
      </c>
      <c r="DL486" s="9">
        <v>5</v>
      </c>
      <c r="DM486" s="9">
        <v>5</v>
      </c>
      <c r="DN486" s="9">
        <v>5</v>
      </c>
      <c r="DO486" s="9">
        <v>5</v>
      </c>
      <c r="DP486" s="25" t="s">
        <v>205</v>
      </c>
      <c r="DQ486" s="25" t="s">
        <v>113</v>
      </c>
      <c r="DR486" s="25" t="s">
        <v>201</v>
      </c>
      <c r="DS486" s="25" t="s">
        <v>214</v>
      </c>
      <c r="DT486" s="25" t="s">
        <v>207</v>
      </c>
      <c r="DU486" s="25" t="s">
        <v>214</v>
      </c>
      <c r="DV486" s="25">
        <f t="shared" si="296"/>
        <v>1</v>
      </c>
      <c r="DW486" s="25">
        <f t="shared" si="297"/>
        <v>1</v>
      </c>
      <c r="DX486" s="25">
        <f t="shared" si="298"/>
        <v>1</v>
      </c>
      <c r="DY486" s="25">
        <f t="shared" si="299"/>
        <v>2</v>
      </c>
      <c r="DZ486" s="25">
        <f t="shared" si="300"/>
        <v>2</v>
      </c>
      <c r="EA486" s="3">
        <f t="shared" si="301"/>
        <v>2</v>
      </c>
      <c r="EB486" s="50"/>
    </row>
    <row r="487" spans="1:132" ht="13.5" customHeight="1">
      <c r="A487" s="9">
        <v>484</v>
      </c>
      <c r="B487" s="9">
        <v>1</v>
      </c>
      <c r="C487" s="9">
        <v>2001</v>
      </c>
      <c r="D487" s="9">
        <f t="shared" si="318"/>
        <v>17517028</v>
      </c>
      <c r="E487" s="9" t="str">
        <f t="shared" si="315"/>
        <v>5200133,5200133,5201132,5401133,5402132,5401133</v>
      </c>
      <c r="F487" s="9" t="str">
        <f t="shared" si="316"/>
        <v>13,13,13,13,13,13</v>
      </c>
      <c r="G487" s="9" t="str">
        <f t="shared" si="317"/>
        <v>989,1069,1069,1069,1069,1069</v>
      </c>
      <c r="H487" s="9">
        <v>233</v>
      </c>
      <c r="I487" s="9" t="s">
        <v>278</v>
      </c>
      <c r="J487" s="9" t="s">
        <v>279</v>
      </c>
      <c r="K487" s="9" t="s">
        <v>279</v>
      </c>
      <c r="L487" s="9" t="s">
        <v>279</v>
      </c>
      <c r="M487" s="36" t="s">
        <v>312</v>
      </c>
      <c r="N487" s="40"/>
      <c r="O487" s="3">
        <f t="shared" si="319"/>
        <v>17517028</v>
      </c>
      <c r="P487" s="9">
        <v>13847452.810000001</v>
      </c>
      <c r="Q487" s="9">
        <v>5200133</v>
      </c>
      <c r="R487" s="9">
        <v>5200133</v>
      </c>
      <c r="S487" s="9">
        <v>5201132</v>
      </c>
      <c r="T487" s="9">
        <v>5401133</v>
      </c>
      <c r="U487" s="9">
        <v>5402132</v>
      </c>
      <c r="V487" s="9">
        <v>5401133</v>
      </c>
      <c r="W487" s="9">
        <v>13</v>
      </c>
      <c r="X487" s="9">
        <v>13</v>
      </c>
      <c r="Y487" s="9">
        <v>13</v>
      </c>
      <c r="Z487" s="9">
        <v>13</v>
      </c>
      <c r="AA487" s="9">
        <v>13</v>
      </c>
      <c r="AB487" s="9">
        <v>13</v>
      </c>
      <c r="AC487" s="9">
        <f t="shared" si="302"/>
        <v>989</v>
      </c>
      <c r="AD487" s="9">
        <f t="shared" si="303"/>
        <v>1069</v>
      </c>
      <c r="AE487" s="9">
        <f t="shared" si="304"/>
        <v>1069</v>
      </c>
      <c r="AF487" s="9">
        <f t="shared" si="305"/>
        <v>1069</v>
      </c>
      <c r="AG487" s="9">
        <f t="shared" si="306"/>
        <v>1069</v>
      </c>
      <c r="AH487" s="9">
        <f t="shared" si="307"/>
        <v>1069</v>
      </c>
      <c r="AI487" s="7">
        <f t="shared" ref="AI487:AN504" si="321">$P487/6</f>
        <v>2307908.8016666668</v>
      </c>
      <c r="AJ487" s="7">
        <f t="shared" si="314"/>
        <v>2307908.8016666668</v>
      </c>
      <c r="AK487" s="7">
        <f t="shared" si="314"/>
        <v>2307908.8016666668</v>
      </c>
      <c r="AL487" s="7">
        <f t="shared" si="314"/>
        <v>2307908.8016666668</v>
      </c>
      <c r="AM487" s="7">
        <f t="shared" si="314"/>
        <v>2307908.8016666668</v>
      </c>
      <c r="AN487" s="7">
        <f t="shared" si="314"/>
        <v>2307908.8016666668</v>
      </c>
      <c r="AO487" s="16"/>
      <c r="AP487" s="7"/>
      <c r="AQ487" s="9">
        <v>8</v>
      </c>
      <c r="AR487" s="9">
        <f t="shared" si="308"/>
        <v>1349</v>
      </c>
      <c r="AS487" s="7">
        <f t="shared" si="320"/>
        <v>342</v>
      </c>
      <c r="AT487" s="7"/>
      <c r="AU487" s="16"/>
      <c r="AV487" s="7"/>
      <c r="AW487" s="7"/>
      <c r="AX487" s="7"/>
      <c r="AZ487" s="7"/>
      <c r="BA487" s="9">
        <f t="shared" si="313"/>
        <v>1678302.4000000029</v>
      </c>
      <c r="BC487" s="5" t="e">
        <f t="shared" si="309"/>
        <v>#N/A</v>
      </c>
      <c r="BR487" s="5">
        <v>2205025</v>
      </c>
      <c r="BS487" s="18">
        <f>[1]monsters!$N487</f>
        <v>74.88</v>
      </c>
      <c r="BT487" s="18">
        <f>[1]monsters!$O487</f>
        <v>7.49</v>
      </c>
      <c r="BU487" s="18">
        <f>[1]monsters!$P487</f>
        <v>1280</v>
      </c>
      <c r="BV487" s="18">
        <f>[1]monsters!$Q487</f>
        <v>128</v>
      </c>
      <c r="BW487" s="18">
        <f>[1]monsters!$R487</f>
        <v>14.98</v>
      </c>
      <c r="BX487" s="18">
        <f>[1]monsters!$S487</f>
        <v>1.5</v>
      </c>
      <c r="BY487" s="18">
        <f>[1]monsters!$K487</f>
        <v>1.3</v>
      </c>
      <c r="BZ487" s="5">
        <f>[1]monsters!$D487</f>
        <v>2</v>
      </c>
      <c r="CA487" s="5">
        <f t="shared" si="310"/>
        <v>0.1</v>
      </c>
      <c r="CB487" s="5">
        <f t="shared" si="311"/>
        <v>113.8592430976431</v>
      </c>
      <c r="CC487" s="5">
        <f t="shared" si="312"/>
        <v>11.385924309764311</v>
      </c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>
        <v>0</v>
      </c>
      <c r="CR487" s="3" t="b">
        <f t="shared" si="284"/>
        <v>1</v>
      </c>
      <c r="CS487" s="3" t="b">
        <f t="shared" si="285"/>
        <v>1</v>
      </c>
      <c r="CT487" s="3" t="b">
        <f t="shared" si="286"/>
        <v>1</v>
      </c>
      <c r="CU487" s="3" t="b">
        <f t="shared" si="287"/>
        <v>1</v>
      </c>
      <c r="CV487" s="3" t="b">
        <f t="shared" si="288"/>
        <v>1</v>
      </c>
      <c r="CW487" s="3" t="b">
        <f t="shared" si="289"/>
        <v>1</v>
      </c>
      <c r="CX487" s="9" t="str">
        <f t="shared" si="290"/>
        <v>5200133</v>
      </c>
      <c r="CY487" s="9" t="str">
        <f t="shared" si="291"/>
        <v>5200133</v>
      </c>
      <c r="CZ487" s="9" t="str">
        <f t="shared" si="292"/>
        <v>5201132</v>
      </c>
      <c r="DA487" s="9" t="str">
        <f t="shared" si="293"/>
        <v>5401133</v>
      </c>
      <c r="DB487" s="9" t="str">
        <f t="shared" si="294"/>
        <v>5402132</v>
      </c>
      <c r="DC487" s="9" t="str">
        <f t="shared" si="295"/>
        <v>5401133</v>
      </c>
      <c r="DD487" s="9">
        <v>13</v>
      </c>
      <c r="DE487" s="9">
        <v>13</v>
      </c>
      <c r="DF487" s="9">
        <v>13</v>
      </c>
      <c r="DG487" s="9">
        <v>13</v>
      </c>
      <c r="DH487" s="9">
        <v>13</v>
      </c>
      <c r="DI487" s="9">
        <v>13</v>
      </c>
      <c r="DJ487" s="9">
        <v>5</v>
      </c>
      <c r="DK487" s="9">
        <v>5</v>
      </c>
      <c r="DL487" s="9">
        <v>5</v>
      </c>
      <c r="DM487" s="9">
        <v>5</v>
      </c>
      <c r="DN487" s="9">
        <v>5</v>
      </c>
      <c r="DO487" s="9">
        <v>5</v>
      </c>
      <c r="DP487" s="25" t="s">
        <v>113</v>
      </c>
      <c r="DQ487" s="25" t="s">
        <v>113</v>
      </c>
      <c r="DR487" s="25" t="s">
        <v>114</v>
      </c>
      <c r="DS487" s="25" t="s">
        <v>211</v>
      </c>
      <c r="DT487" s="25" t="s">
        <v>203</v>
      </c>
      <c r="DU487" s="25" t="s">
        <v>211</v>
      </c>
      <c r="DV487" s="25">
        <f t="shared" si="296"/>
        <v>1</v>
      </c>
      <c r="DW487" s="25">
        <f t="shared" si="297"/>
        <v>1</v>
      </c>
      <c r="DX487" s="25">
        <f t="shared" si="298"/>
        <v>1</v>
      </c>
      <c r="DY487" s="25">
        <f t="shared" si="299"/>
        <v>2</v>
      </c>
      <c r="DZ487" s="25">
        <f t="shared" si="300"/>
        <v>2</v>
      </c>
      <c r="EA487" s="3">
        <f t="shared" si="301"/>
        <v>2</v>
      </c>
      <c r="EB487" s="50"/>
    </row>
    <row r="488" spans="1:132" ht="13.5" customHeight="1">
      <c r="A488" s="9">
        <v>485</v>
      </c>
      <c r="B488" s="9">
        <v>1</v>
      </c>
      <c r="C488" s="9">
        <v>2001</v>
      </c>
      <c r="D488" s="9">
        <f t="shared" si="318"/>
        <v>17572276</v>
      </c>
      <c r="E488" s="9" t="str">
        <f t="shared" si="315"/>
        <v>5201131,5201131,5201131,5502131,5502131,5502131</v>
      </c>
      <c r="F488" s="9" t="str">
        <f t="shared" si="316"/>
        <v>13,13,13,13,13,13</v>
      </c>
      <c r="G488" s="9" t="str">
        <f t="shared" si="317"/>
        <v>990,1070,1070,1070,1070,1070</v>
      </c>
      <c r="H488" s="9">
        <v>234</v>
      </c>
      <c r="I488" s="9" t="s">
        <v>278</v>
      </c>
      <c r="J488" s="9" t="s">
        <v>279</v>
      </c>
      <c r="K488" s="9" t="s">
        <v>279</v>
      </c>
      <c r="L488" s="9" t="s">
        <v>279</v>
      </c>
      <c r="M488" s="36" t="s">
        <v>312</v>
      </c>
      <c r="O488" s="3">
        <f t="shared" si="319"/>
        <v>17572276</v>
      </c>
      <c r="P488" s="9">
        <v>13891127.34</v>
      </c>
      <c r="Q488" s="9">
        <v>5201131</v>
      </c>
      <c r="R488" s="9">
        <v>5201131</v>
      </c>
      <c r="S488" s="9">
        <v>5201131</v>
      </c>
      <c r="T488" s="9">
        <v>5502131</v>
      </c>
      <c r="U488" s="9">
        <v>5502131</v>
      </c>
      <c r="V488" s="9">
        <v>5502131</v>
      </c>
      <c r="W488" s="9">
        <v>13</v>
      </c>
      <c r="X488" s="9">
        <v>13</v>
      </c>
      <c r="Y488" s="9">
        <v>13</v>
      </c>
      <c r="Z488" s="9">
        <v>13</v>
      </c>
      <c r="AA488" s="9">
        <v>13</v>
      </c>
      <c r="AB488" s="9">
        <v>13</v>
      </c>
      <c r="AC488" s="9">
        <f t="shared" si="302"/>
        <v>990</v>
      </c>
      <c r="AD488" s="9">
        <f t="shared" si="303"/>
        <v>1070</v>
      </c>
      <c r="AE488" s="9">
        <f t="shared" si="304"/>
        <v>1070</v>
      </c>
      <c r="AF488" s="9">
        <f t="shared" si="305"/>
        <v>1070</v>
      </c>
      <c r="AG488" s="9">
        <f t="shared" si="306"/>
        <v>1070</v>
      </c>
      <c r="AH488" s="9">
        <f t="shared" si="307"/>
        <v>1070</v>
      </c>
      <c r="AI488" s="7">
        <f t="shared" si="321"/>
        <v>2315187.89</v>
      </c>
      <c r="AJ488" s="7">
        <f t="shared" si="314"/>
        <v>2315187.89</v>
      </c>
      <c r="AK488" s="7">
        <f t="shared" si="314"/>
        <v>2315187.89</v>
      </c>
      <c r="AL488" s="7">
        <f t="shared" si="314"/>
        <v>2315187.89</v>
      </c>
      <c r="AM488" s="7">
        <f t="shared" si="314"/>
        <v>2315187.89</v>
      </c>
      <c r="AN488" s="7">
        <f t="shared" si="314"/>
        <v>2315187.89</v>
      </c>
      <c r="AO488" s="16"/>
      <c r="AP488" s="7"/>
      <c r="AQ488" s="9">
        <v>8</v>
      </c>
      <c r="AR488" s="9">
        <f t="shared" si="308"/>
        <v>1351</v>
      </c>
      <c r="AS488" s="7">
        <f t="shared" si="320"/>
        <v>342</v>
      </c>
      <c r="AT488" s="7"/>
      <c r="AU488" s="16"/>
      <c r="AV488" s="7"/>
      <c r="AW488" s="7"/>
      <c r="AX488" s="7"/>
      <c r="AZ488" s="7"/>
      <c r="BA488" s="9">
        <f t="shared" si="313"/>
        <v>1698408.500000003</v>
      </c>
      <c r="BC488" s="5" t="e">
        <f t="shared" si="309"/>
        <v>#N/A</v>
      </c>
      <c r="BR488" s="5">
        <v>2405025</v>
      </c>
      <c r="BS488" s="18">
        <f>[1]monsters!$N488</f>
        <v>99.84</v>
      </c>
      <c r="BT488" s="18">
        <f>[1]monsters!$O488</f>
        <v>9.98</v>
      </c>
      <c r="BU488" s="18">
        <f>[1]monsters!$P488</f>
        <v>960</v>
      </c>
      <c r="BV488" s="18">
        <f>[1]monsters!$Q488</f>
        <v>96</v>
      </c>
      <c r="BW488" s="18">
        <f>[1]monsters!$R488</f>
        <v>9.98</v>
      </c>
      <c r="BX488" s="18">
        <f>[1]monsters!$S488</f>
        <v>1</v>
      </c>
      <c r="BY488" s="18">
        <f>[1]monsters!$K488</f>
        <v>1.3</v>
      </c>
      <c r="BZ488" s="5">
        <f>[1]monsters!$D488</f>
        <v>4</v>
      </c>
      <c r="CA488" s="5">
        <f t="shared" si="310"/>
        <v>0.1</v>
      </c>
      <c r="CB488" s="5">
        <f t="shared" si="311"/>
        <v>126.67203232323233</v>
      </c>
      <c r="CC488" s="5">
        <f t="shared" si="312"/>
        <v>12.667203232323233</v>
      </c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>
        <v>1</v>
      </c>
      <c r="CR488" s="3" t="b">
        <f t="shared" si="284"/>
        <v>1</v>
      </c>
      <c r="CS488" s="3" t="b">
        <f t="shared" si="285"/>
        <v>1</v>
      </c>
      <c r="CT488" s="3" t="b">
        <f t="shared" si="286"/>
        <v>1</v>
      </c>
      <c r="CU488" s="3" t="b">
        <f t="shared" si="287"/>
        <v>1</v>
      </c>
      <c r="CV488" s="3" t="b">
        <f t="shared" si="288"/>
        <v>1</v>
      </c>
      <c r="CW488" s="3" t="b">
        <f t="shared" si="289"/>
        <v>1</v>
      </c>
      <c r="CX488" s="9" t="str">
        <f t="shared" si="290"/>
        <v>5201131</v>
      </c>
      <c r="CY488" s="9" t="str">
        <f t="shared" si="291"/>
        <v>5201131</v>
      </c>
      <c r="CZ488" s="9" t="str">
        <f t="shared" si="292"/>
        <v>5201131</v>
      </c>
      <c r="DA488" s="9" t="str">
        <f t="shared" si="293"/>
        <v>5502131</v>
      </c>
      <c r="DB488" s="9" t="str">
        <f t="shared" si="294"/>
        <v>5502131</v>
      </c>
      <c r="DC488" s="9" t="str">
        <f t="shared" si="295"/>
        <v>5502131</v>
      </c>
      <c r="DD488" s="9">
        <v>13</v>
      </c>
      <c r="DE488" s="9">
        <v>13</v>
      </c>
      <c r="DF488" s="9">
        <v>13</v>
      </c>
      <c r="DG488" s="9">
        <v>13</v>
      </c>
      <c r="DH488" s="9">
        <v>13</v>
      </c>
      <c r="DI488" s="9">
        <v>13</v>
      </c>
      <c r="DJ488" s="9">
        <v>5</v>
      </c>
      <c r="DK488" s="9">
        <v>5</v>
      </c>
      <c r="DL488" s="9">
        <v>5</v>
      </c>
      <c r="DM488" s="9">
        <v>5</v>
      </c>
      <c r="DN488" s="9">
        <v>5</v>
      </c>
      <c r="DO488" s="9">
        <v>5</v>
      </c>
      <c r="DP488" s="25" t="s">
        <v>195</v>
      </c>
      <c r="DQ488" s="25" t="s">
        <v>195</v>
      </c>
      <c r="DR488" s="25" t="s">
        <v>195</v>
      </c>
      <c r="DS488" s="25" t="s">
        <v>119</v>
      </c>
      <c r="DT488" s="25" t="s">
        <v>119</v>
      </c>
      <c r="DU488" s="25" t="s">
        <v>119</v>
      </c>
      <c r="DV488" s="25">
        <f t="shared" si="296"/>
        <v>1</v>
      </c>
      <c r="DW488" s="25">
        <f t="shared" si="297"/>
        <v>1</v>
      </c>
      <c r="DX488" s="25">
        <f t="shared" si="298"/>
        <v>1</v>
      </c>
      <c r="DY488" s="25">
        <f t="shared" si="299"/>
        <v>2</v>
      </c>
      <c r="DZ488" s="25">
        <f t="shared" si="300"/>
        <v>2</v>
      </c>
      <c r="EA488" s="3">
        <f t="shared" si="301"/>
        <v>2</v>
      </c>
      <c r="EB488" s="51"/>
    </row>
    <row r="489" spans="1:132" ht="13.5" customHeight="1">
      <c r="A489" s="9">
        <v>486</v>
      </c>
      <c r="B489" s="9">
        <v>1</v>
      </c>
      <c r="C489" s="9">
        <v>2001</v>
      </c>
      <c r="D489" s="9">
        <f t="shared" si="318"/>
        <v>17627610</v>
      </c>
      <c r="E489" s="9" t="str">
        <f t="shared" si="315"/>
        <v>5202133,5201133,5302134,5501134,5400135,5500132</v>
      </c>
      <c r="F489" s="9" t="str">
        <f t="shared" si="316"/>
        <v>13,13,13,13,13,13</v>
      </c>
      <c r="G489" s="9" t="str">
        <f t="shared" si="317"/>
        <v>992,1072,1072,1072,1072,1072</v>
      </c>
      <c r="H489" s="9">
        <v>234</v>
      </c>
      <c r="I489" s="9" t="s">
        <v>278</v>
      </c>
      <c r="J489" s="9" t="s">
        <v>279</v>
      </c>
      <c r="K489" s="9" t="s">
        <v>279</v>
      </c>
      <c r="L489" s="9" t="s">
        <v>279</v>
      </c>
      <c r="M489" s="36" t="s">
        <v>312</v>
      </c>
      <c r="N489" s="40"/>
      <c r="O489" s="3">
        <f t="shared" si="319"/>
        <v>17627610</v>
      </c>
      <c r="P489" s="9">
        <v>13934869.529999999</v>
      </c>
      <c r="Q489" s="9">
        <v>5202133</v>
      </c>
      <c r="R489" s="9">
        <v>5201133</v>
      </c>
      <c r="S489" s="9">
        <v>5302134</v>
      </c>
      <c r="T489" s="9">
        <v>5501134</v>
      </c>
      <c r="U489" s="9">
        <v>5400135</v>
      </c>
      <c r="V489" s="9">
        <v>5500132</v>
      </c>
      <c r="W489" s="9">
        <v>13</v>
      </c>
      <c r="X489" s="9">
        <v>13</v>
      </c>
      <c r="Y489" s="9">
        <v>13</v>
      </c>
      <c r="Z489" s="9">
        <v>13</v>
      </c>
      <c r="AA489" s="9">
        <v>13</v>
      </c>
      <c r="AB489" s="9">
        <v>13</v>
      </c>
      <c r="AC489" s="9">
        <f t="shared" si="302"/>
        <v>992</v>
      </c>
      <c r="AD489" s="9">
        <f t="shared" si="303"/>
        <v>1072</v>
      </c>
      <c r="AE489" s="9">
        <f t="shared" si="304"/>
        <v>1072</v>
      </c>
      <c r="AF489" s="9">
        <f t="shared" si="305"/>
        <v>1072</v>
      </c>
      <c r="AG489" s="9">
        <f t="shared" si="306"/>
        <v>1072</v>
      </c>
      <c r="AH489" s="9">
        <f t="shared" si="307"/>
        <v>1072</v>
      </c>
      <c r="AI489" s="7">
        <f t="shared" si="321"/>
        <v>2322478.2549999999</v>
      </c>
      <c r="AJ489" s="7">
        <f t="shared" si="314"/>
        <v>2322478.2549999999</v>
      </c>
      <c r="AK489" s="7">
        <f t="shared" si="314"/>
        <v>2322478.2549999999</v>
      </c>
      <c r="AL489" s="7">
        <f t="shared" si="314"/>
        <v>2322478.2549999999</v>
      </c>
      <c r="AM489" s="7">
        <f t="shared" si="314"/>
        <v>2322478.2549999999</v>
      </c>
      <c r="AN489" s="7">
        <f t="shared" si="314"/>
        <v>2322478.2549999999</v>
      </c>
      <c r="AO489" s="16"/>
      <c r="AP489" s="7"/>
      <c r="AQ489" s="9">
        <v>8</v>
      </c>
      <c r="AR489" s="9">
        <f t="shared" si="308"/>
        <v>1353</v>
      </c>
      <c r="AS489" s="7">
        <f t="shared" si="320"/>
        <v>343</v>
      </c>
      <c r="AT489" s="7"/>
      <c r="AU489" s="16"/>
      <c r="AV489" s="7"/>
      <c r="AW489" s="7"/>
      <c r="AX489" s="7"/>
      <c r="AZ489" s="7"/>
      <c r="BA489" s="9">
        <f t="shared" si="313"/>
        <v>1718514.6000000031</v>
      </c>
      <c r="BC489" s="5" t="e">
        <f t="shared" si="309"/>
        <v>#N/A</v>
      </c>
      <c r="BR489" s="5">
        <v>2203025</v>
      </c>
      <c r="BS489" s="18">
        <f>[1]monsters!$N489</f>
        <v>103.68</v>
      </c>
      <c r="BT489" s="18">
        <f>[1]monsters!$O489</f>
        <v>10.37</v>
      </c>
      <c r="BU489" s="18">
        <f>[1]monsters!$P489</f>
        <v>1280</v>
      </c>
      <c r="BV489" s="18">
        <f>[1]monsters!$Q489</f>
        <v>128</v>
      </c>
      <c r="BW489" s="18">
        <f>[1]monsters!$R489</f>
        <v>20.74</v>
      </c>
      <c r="BX489" s="18">
        <f>[1]monsters!$S489</f>
        <v>2.0699999999999998</v>
      </c>
      <c r="BY489" s="18">
        <f>[1]monsters!$K489</f>
        <v>1.8</v>
      </c>
      <c r="BZ489" s="5">
        <f>[1]monsters!$D489</f>
        <v>2</v>
      </c>
      <c r="CA489" s="5">
        <f t="shared" si="310"/>
        <v>0.1</v>
      </c>
      <c r="CB489" s="5">
        <f t="shared" si="311"/>
        <v>141.07524309764312</v>
      </c>
      <c r="CC489" s="5">
        <f t="shared" si="312"/>
        <v>14.107524309764313</v>
      </c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>
        <v>0</v>
      </c>
      <c r="CR489" s="3" t="b">
        <f t="shared" si="284"/>
        <v>1</v>
      </c>
      <c r="CS489" s="3" t="b">
        <f t="shared" si="285"/>
        <v>1</v>
      </c>
      <c r="CT489" s="3" t="b">
        <f t="shared" si="286"/>
        <v>1</v>
      </c>
      <c r="CU489" s="3" t="b">
        <f t="shared" si="287"/>
        <v>1</v>
      </c>
      <c r="CV489" s="3" t="b">
        <f t="shared" si="288"/>
        <v>1</v>
      </c>
      <c r="CW489" s="3" t="b">
        <f t="shared" si="289"/>
        <v>1</v>
      </c>
      <c r="CX489" s="9" t="str">
        <f t="shared" si="290"/>
        <v>5202133</v>
      </c>
      <c r="CY489" s="9" t="str">
        <f t="shared" si="291"/>
        <v>5201133</v>
      </c>
      <c r="CZ489" s="9" t="str">
        <f t="shared" si="292"/>
        <v>5302134</v>
      </c>
      <c r="DA489" s="9" t="str">
        <f t="shared" si="293"/>
        <v>5501134</v>
      </c>
      <c r="DB489" s="9" t="str">
        <f t="shared" si="294"/>
        <v>5400135</v>
      </c>
      <c r="DC489" s="9" t="str">
        <f t="shared" si="295"/>
        <v>5500132</v>
      </c>
      <c r="DD489" s="9">
        <v>13</v>
      </c>
      <c r="DE489" s="9">
        <v>13</v>
      </c>
      <c r="DF489" s="9">
        <v>13</v>
      </c>
      <c r="DG489" s="9">
        <v>13</v>
      </c>
      <c r="DH489" s="9">
        <v>13</v>
      </c>
      <c r="DI489" s="9">
        <v>13</v>
      </c>
      <c r="DJ489" s="9">
        <v>5</v>
      </c>
      <c r="DK489" s="9">
        <v>5</v>
      </c>
      <c r="DL489" s="9">
        <v>5</v>
      </c>
      <c r="DM489" s="9">
        <v>5</v>
      </c>
      <c r="DN489" s="9">
        <v>5</v>
      </c>
      <c r="DO489" s="9">
        <v>5</v>
      </c>
      <c r="DP489" s="25" t="s">
        <v>208</v>
      </c>
      <c r="DQ489" s="25" t="s">
        <v>205</v>
      </c>
      <c r="DR489" s="25" t="s">
        <v>218</v>
      </c>
      <c r="DS489" s="25" t="s">
        <v>214</v>
      </c>
      <c r="DT489" s="25" t="s">
        <v>210</v>
      </c>
      <c r="DU489" s="25" t="s">
        <v>109</v>
      </c>
      <c r="DV489" s="25">
        <f t="shared" si="296"/>
        <v>1</v>
      </c>
      <c r="DW489" s="25">
        <f t="shared" si="297"/>
        <v>1</v>
      </c>
      <c r="DX489" s="25">
        <f t="shared" si="298"/>
        <v>1</v>
      </c>
      <c r="DY489" s="25">
        <f t="shared" si="299"/>
        <v>2</v>
      </c>
      <c r="DZ489" s="25">
        <f t="shared" si="300"/>
        <v>2</v>
      </c>
      <c r="EA489" s="3">
        <f t="shared" si="301"/>
        <v>2</v>
      </c>
      <c r="EB489" s="50"/>
    </row>
    <row r="490" spans="1:132" ht="13.5" customHeight="1">
      <c r="A490" s="9">
        <v>487</v>
      </c>
      <c r="B490" s="9">
        <v>1</v>
      </c>
      <c r="C490" s="9">
        <v>2001</v>
      </c>
      <c r="D490" s="9">
        <f t="shared" si="318"/>
        <v>17683032</v>
      </c>
      <c r="E490" s="9" t="str">
        <f t="shared" si="315"/>
        <v>5201133,5202135,5200131,5501134,5402132,5400135</v>
      </c>
      <c r="F490" s="9" t="str">
        <f t="shared" si="316"/>
        <v>13,13,13,13,13,13</v>
      </c>
      <c r="G490" s="9" t="str">
        <f t="shared" si="317"/>
        <v>993,1074,1074,1074,1074,1074</v>
      </c>
      <c r="H490" s="9">
        <v>234</v>
      </c>
      <c r="I490" s="9" t="s">
        <v>278</v>
      </c>
      <c r="J490" s="9" t="s">
        <v>279</v>
      </c>
      <c r="K490" s="9" t="s">
        <v>279</v>
      </c>
      <c r="L490" s="9" t="s">
        <v>279</v>
      </c>
      <c r="M490" s="36" t="s">
        <v>312</v>
      </c>
      <c r="N490" s="40"/>
      <c r="O490" s="3">
        <f t="shared" si="319"/>
        <v>17683032</v>
      </c>
      <c r="P490" s="9">
        <v>13978681.369999999</v>
      </c>
      <c r="Q490" s="9">
        <v>5201133</v>
      </c>
      <c r="R490" s="9">
        <v>5202135</v>
      </c>
      <c r="S490" s="9">
        <v>5200131</v>
      </c>
      <c r="T490" s="9">
        <v>5501134</v>
      </c>
      <c r="U490" s="9">
        <v>5402132</v>
      </c>
      <c r="V490" s="9">
        <v>5400135</v>
      </c>
      <c r="W490" s="9">
        <v>13</v>
      </c>
      <c r="X490" s="9">
        <v>13</v>
      </c>
      <c r="Y490" s="9">
        <v>13</v>
      </c>
      <c r="Z490" s="9">
        <v>13</v>
      </c>
      <c r="AA490" s="9">
        <v>13</v>
      </c>
      <c r="AB490" s="9">
        <v>13</v>
      </c>
      <c r="AC490" s="9">
        <f t="shared" si="302"/>
        <v>993</v>
      </c>
      <c r="AD490" s="9">
        <f t="shared" si="303"/>
        <v>1074</v>
      </c>
      <c r="AE490" s="9">
        <f t="shared" si="304"/>
        <v>1074</v>
      </c>
      <c r="AF490" s="9">
        <f t="shared" si="305"/>
        <v>1074</v>
      </c>
      <c r="AG490" s="9">
        <f t="shared" si="306"/>
        <v>1074</v>
      </c>
      <c r="AH490" s="9">
        <f t="shared" si="307"/>
        <v>1074</v>
      </c>
      <c r="AI490" s="7">
        <f t="shared" si="321"/>
        <v>2329780.228333333</v>
      </c>
      <c r="AJ490" s="7">
        <f t="shared" si="314"/>
        <v>2329780.228333333</v>
      </c>
      <c r="AK490" s="7">
        <f t="shared" si="314"/>
        <v>2329780.228333333</v>
      </c>
      <c r="AL490" s="7">
        <f t="shared" si="314"/>
        <v>2329780.228333333</v>
      </c>
      <c r="AM490" s="7">
        <f t="shared" si="314"/>
        <v>2329780.228333333</v>
      </c>
      <c r="AN490" s="7">
        <f t="shared" si="314"/>
        <v>2329780.228333333</v>
      </c>
      <c r="AO490" s="16"/>
      <c r="AP490" s="7"/>
      <c r="AQ490" s="9">
        <v>8</v>
      </c>
      <c r="AR490" s="9">
        <f t="shared" si="308"/>
        <v>1355</v>
      </c>
      <c r="AS490" s="7">
        <f t="shared" si="320"/>
        <v>343</v>
      </c>
      <c r="AT490" s="7"/>
      <c r="AU490" s="16"/>
      <c r="AV490" s="7"/>
      <c r="AW490" s="7"/>
      <c r="AX490" s="7"/>
      <c r="AZ490" s="7"/>
      <c r="BA490" s="9">
        <f t="shared" si="313"/>
        <v>1738620.7000000032</v>
      </c>
      <c r="BC490" s="5" t="e">
        <f t="shared" si="309"/>
        <v>#N/A</v>
      </c>
      <c r="BR490" s="5">
        <v>2403025</v>
      </c>
      <c r="BS490" s="18">
        <f>[1]monsters!$N490</f>
        <v>120</v>
      </c>
      <c r="BT490" s="18">
        <f>[1]monsters!$O490</f>
        <v>12</v>
      </c>
      <c r="BU490" s="18">
        <f>[1]monsters!$P490</f>
        <v>921.6</v>
      </c>
      <c r="BV490" s="18">
        <f>[1]monsters!$Q490</f>
        <v>92.16</v>
      </c>
      <c r="BW490" s="18">
        <f>[1]monsters!$R490</f>
        <v>12</v>
      </c>
      <c r="BX490" s="18">
        <f>[1]monsters!$S490</f>
        <v>1.2</v>
      </c>
      <c r="BY490" s="18">
        <f>[1]monsters!$K490</f>
        <v>1.5</v>
      </c>
      <c r="BZ490" s="5">
        <f>[1]monsters!$D490</f>
        <v>4</v>
      </c>
      <c r="CA490" s="5">
        <f t="shared" si="310"/>
        <v>0.1</v>
      </c>
      <c r="CB490" s="5">
        <f t="shared" si="311"/>
        <v>144.43030303030304</v>
      </c>
      <c r="CC490" s="5">
        <f t="shared" si="312"/>
        <v>14.443030303030305</v>
      </c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>
        <v>0</v>
      </c>
      <c r="CR490" s="3" t="b">
        <f t="shared" si="284"/>
        <v>1</v>
      </c>
      <c r="CS490" s="3" t="b">
        <f t="shared" si="285"/>
        <v>1</v>
      </c>
      <c r="CT490" s="3" t="b">
        <f t="shared" si="286"/>
        <v>1</v>
      </c>
      <c r="CU490" s="3" t="b">
        <f t="shared" si="287"/>
        <v>1</v>
      </c>
      <c r="CV490" s="3" t="b">
        <f t="shared" si="288"/>
        <v>1</v>
      </c>
      <c r="CW490" s="3" t="b">
        <f t="shared" si="289"/>
        <v>1</v>
      </c>
      <c r="CX490" s="9" t="str">
        <f t="shared" si="290"/>
        <v>5201133</v>
      </c>
      <c r="CY490" s="9" t="str">
        <f t="shared" si="291"/>
        <v>5202135</v>
      </c>
      <c r="CZ490" s="9" t="str">
        <f t="shared" si="292"/>
        <v>5200131</v>
      </c>
      <c r="DA490" s="9" t="str">
        <f t="shared" si="293"/>
        <v>5501134</v>
      </c>
      <c r="DB490" s="9" t="str">
        <f t="shared" si="294"/>
        <v>5402132</v>
      </c>
      <c r="DC490" s="9" t="str">
        <f t="shared" si="295"/>
        <v>5400135</v>
      </c>
      <c r="DD490" s="9">
        <v>13</v>
      </c>
      <c r="DE490" s="9">
        <v>13</v>
      </c>
      <c r="DF490" s="9">
        <v>13</v>
      </c>
      <c r="DG490" s="9">
        <v>13</v>
      </c>
      <c r="DH490" s="9">
        <v>13</v>
      </c>
      <c r="DI490" s="9">
        <v>13</v>
      </c>
      <c r="DJ490" s="9">
        <v>5</v>
      </c>
      <c r="DK490" s="9">
        <v>5</v>
      </c>
      <c r="DL490" s="9">
        <v>5</v>
      </c>
      <c r="DM490" s="9">
        <v>5</v>
      </c>
      <c r="DN490" s="9">
        <v>5</v>
      </c>
      <c r="DO490" s="9">
        <v>5</v>
      </c>
      <c r="DP490" s="25" t="s">
        <v>205</v>
      </c>
      <c r="DQ490" s="25" t="s">
        <v>213</v>
      </c>
      <c r="DR490" s="25" t="s">
        <v>194</v>
      </c>
      <c r="DS490" s="25" t="s">
        <v>214</v>
      </c>
      <c r="DT490" s="25" t="s">
        <v>203</v>
      </c>
      <c r="DU490" s="25" t="s">
        <v>210</v>
      </c>
      <c r="DV490" s="25">
        <f t="shared" si="296"/>
        <v>1</v>
      </c>
      <c r="DW490" s="25">
        <f t="shared" si="297"/>
        <v>1</v>
      </c>
      <c r="DX490" s="25">
        <f t="shared" si="298"/>
        <v>1</v>
      </c>
      <c r="DY490" s="25">
        <f t="shared" si="299"/>
        <v>2</v>
      </c>
      <c r="DZ490" s="25">
        <f t="shared" si="300"/>
        <v>2</v>
      </c>
      <c r="EA490" s="3">
        <f t="shared" si="301"/>
        <v>2</v>
      </c>
      <c r="EB490" s="50"/>
    </row>
    <row r="491" spans="1:132" ht="13.5" customHeight="1">
      <c r="A491" s="9">
        <v>488</v>
      </c>
      <c r="B491" s="9">
        <v>1</v>
      </c>
      <c r="C491" s="9">
        <v>2001</v>
      </c>
      <c r="D491" s="9">
        <f t="shared" si="318"/>
        <v>17738540</v>
      </c>
      <c r="E491" s="9" t="str">
        <f t="shared" si="315"/>
        <v>5300135,5202135,5202133,5401133,5400135,5400135</v>
      </c>
      <c r="F491" s="9" t="str">
        <f t="shared" si="316"/>
        <v>13,13,13,13,13,13</v>
      </c>
      <c r="G491" s="9" t="str">
        <f t="shared" si="317"/>
        <v>995,1075,1075,1075,1075,1075</v>
      </c>
      <c r="H491" s="9">
        <v>235</v>
      </c>
      <c r="I491" s="9" t="s">
        <v>278</v>
      </c>
      <c r="J491" s="9" t="s">
        <v>279</v>
      </c>
      <c r="K491" s="9" t="s">
        <v>279</v>
      </c>
      <c r="L491" s="9" t="s">
        <v>279</v>
      </c>
      <c r="M491" s="36" t="s">
        <v>312</v>
      </c>
      <c r="N491" s="40"/>
      <c r="O491" s="3">
        <f t="shared" si="319"/>
        <v>17738540</v>
      </c>
      <c r="P491" s="9">
        <v>14022560.869999999</v>
      </c>
      <c r="Q491" s="9">
        <v>5300135</v>
      </c>
      <c r="R491" s="9">
        <v>5202135</v>
      </c>
      <c r="S491" s="9">
        <v>5202133</v>
      </c>
      <c r="T491" s="9">
        <v>5401133</v>
      </c>
      <c r="U491" s="9">
        <v>5400135</v>
      </c>
      <c r="V491" s="9">
        <v>5400135</v>
      </c>
      <c r="W491" s="9">
        <v>13</v>
      </c>
      <c r="X491" s="9">
        <v>13</v>
      </c>
      <c r="Y491" s="9">
        <v>13</v>
      </c>
      <c r="Z491" s="9">
        <v>13</v>
      </c>
      <c r="AA491" s="9">
        <v>13</v>
      </c>
      <c r="AB491" s="9">
        <v>13</v>
      </c>
      <c r="AC491" s="9">
        <f t="shared" si="302"/>
        <v>995</v>
      </c>
      <c r="AD491" s="9">
        <f t="shared" si="303"/>
        <v>1075</v>
      </c>
      <c r="AE491" s="9">
        <f t="shared" si="304"/>
        <v>1075</v>
      </c>
      <c r="AF491" s="9">
        <f t="shared" si="305"/>
        <v>1075</v>
      </c>
      <c r="AG491" s="9">
        <f t="shared" si="306"/>
        <v>1075</v>
      </c>
      <c r="AH491" s="9">
        <f t="shared" si="307"/>
        <v>1075</v>
      </c>
      <c r="AI491" s="7">
        <f t="shared" si="321"/>
        <v>2337093.478333333</v>
      </c>
      <c r="AJ491" s="7">
        <f t="shared" si="314"/>
        <v>2337093.478333333</v>
      </c>
      <c r="AK491" s="7">
        <f t="shared" si="314"/>
        <v>2337093.478333333</v>
      </c>
      <c r="AL491" s="7">
        <f t="shared" si="314"/>
        <v>2337093.478333333</v>
      </c>
      <c r="AM491" s="7">
        <f t="shared" si="314"/>
        <v>2337093.478333333</v>
      </c>
      <c r="AN491" s="7">
        <f t="shared" si="314"/>
        <v>2337093.478333333</v>
      </c>
      <c r="AO491" s="16"/>
      <c r="AP491" s="7"/>
      <c r="AQ491" s="9">
        <v>8</v>
      </c>
      <c r="AR491" s="9">
        <f t="shared" si="308"/>
        <v>1357</v>
      </c>
      <c r="AS491" s="7">
        <f t="shared" si="320"/>
        <v>344</v>
      </c>
      <c r="AT491" s="7"/>
      <c r="AU491" s="16"/>
      <c r="AV491" s="7"/>
      <c r="AW491" s="7"/>
      <c r="AX491" s="7"/>
      <c r="AZ491" s="7"/>
      <c r="BA491" s="9">
        <f t="shared" si="313"/>
        <v>1758726.8000000033</v>
      </c>
      <c r="BC491" s="5" t="e">
        <f t="shared" si="309"/>
        <v>#N/A</v>
      </c>
      <c r="BR491" s="5">
        <v>2204025</v>
      </c>
      <c r="BS491" s="18">
        <f>[1]monsters!$N491</f>
        <v>91.52</v>
      </c>
      <c r="BT491" s="18">
        <f>[1]monsters!$O491</f>
        <v>9.15</v>
      </c>
      <c r="BU491" s="18">
        <f>[1]monsters!$P491</f>
        <v>1047.27</v>
      </c>
      <c r="BV491" s="18">
        <f>[1]monsters!$Q491</f>
        <v>104.73</v>
      </c>
      <c r="BW491" s="18">
        <f>[1]monsters!$R491</f>
        <v>11.44</v>
      </c>
      <c r="BX491" s="18">
        <f>[1]monsters!$S491</f>
        <v>1.1399999999999999</v>
      </c>
      <c r="BY491" s="18">
        <f>[1]monsters!$K491</f>
        <v>1.3</v>
      </c>
      <c r="BZ491" s="5">
        <f>[1]monsters!$D491</f>
        <v>3</v>
      </c>
      <c r="CA491" s="5">
        <f t="shared" si="310"/>
        <v>0.1</v>
      </c>
      <c r="CB491" s="5">
        <f t="shared" si="311"/>
        <v>121.74801616161616</v>
      </c>
      <c r="CC491" s="5">
        <f t="shared" si="312"/>
        <v>12.174801616161616</v>
      </c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>
        <v>0</v>
      </c>
      <c r="CR491" s="3" t="b">
        <f t="shared" si="284"/>
        <v>1</v>
      </c>
      <c r="CS491" s="3" t="b">
        <f t="shared" si="285"/>
        <v>1</v>
      </c>
      <c r="CT491" s="3" t="b">
        <f t="shared" si="286"/>
        <v>1</v>
      </c>
      <c r="CU491" s="3" t="b">
        <f t="shared" si="287"/>
        <v>1</v>
      </c>
      <c r="CV491" s="3" t="b">
        <f t="shared" si="288"/>
        <v>1</v>
      </c>
      <c r="CW491" s="3" t="b">
        <f t="shared" si="289"/>
        <v>1</v>
      </c>
      <c r="CX491" s="9" t="str">
        <f t="shared" si="290"/>
        <v>5300135</v>
      </c>
      <c r="CY491" s="9" t="str">
        <f t="shared" si="291"/>
        <v>5202135</v>
      </c>
      <c r="CZ491" s="9" t="str">
        <f t="shared" si="292"/>
        <v>5202133</v>
      </c>
      <c r="DA491" s="9" t="str">
        <f t="shared" si="293"/>
        <v>5401133</v>
      </c>
      <c r="DB491" s="9" t="str">
        <f t="shared" si="294"/>
        <v>5400135</v>
      </c>
      <c r="DC491" s="9" t="str">
        <f t="shared" si="295"/>
        <v>5400135</v>
      </c>
      <c r="DD491" s="9">
        <v>13</v>
      </c>
      <c r="DE491" s="9">
        <v>13</v>
      </c>
      <c r="DF491" s="9">
        <v>13</v>
      </c>
      <c r="DG491" s="9">
        <v>13</v>
      </c>
      <c r="DH491" s="9">
        <v>13</v>
      </c>
      <c r="DI491" s="9">
        <v>13</v>
      </c>
      <c r="DJ491" s="9">
        <v>5</v>
      </c>
      <c r="DK491" s="9">
        <v>5</v>
      </c>
      <c r="DL491" s="9">
        <v>5</v>
      </c>
      <c r="DM491" s="9">
        <v>5</v>
      </c>
      <c r="DN491" s="9">
        <v>5</v>
      </c>
      <c r="DO491" s="9">
        <v>5</v>
      </c>
      <c r="DP491" s="25" t="s">
        <v>212</v>
      </c>
      <c r="DQ491" s="25" t="s">
        <v>213</v>
      </c>
      <c r="DR491" s="25" t="s">
        <v>208</v>
      </c>
      <c r="DS491" s="25" t="s">
        <v>211</v>
      </c>
      <c r="DT491" s="25" t="s">
        <v>210</v>
      </c>
      <c r="DU491" s="25" t="s">
        <v>210</v>
      </c>
      <c r="DV491" s="25">
        <f t="shared" si="296"/>
        <v>1</v>
      </c>
      <c r="DW491" s="25">
        <f t="shared" si="297"/>
        <v>1</v>
      </c>
      <c r="DX491" s="25">
        <f t="shared" si="298"/>
        <v>1</v>
      </c>
      <c r="DY491" s="25">
        <f t="shared" si="299"/>
        <v>2</v>
      </c>
      <c r="DZ491" s="25">
        <f t="shared" si="300"/>
        <v>2</v>
      </c>
      <c r="EA491" s="3">
        <f t="shared" si="301"/>
        <v>2</v>
      </c>
      <c r="EB491" s="50"/>
    </row>
    <row r="492" spans="1:132" ht="13.5" customHeight="1">
      <c r="A492" s="9">
        <v>489</v>
      </c>
      <c r="B492" s="9">
        <v>1</v>
      </c>
      <c r="C492" s="9">
        <v>2001</v>
      </c>
      <c r="D492" s="9">
        <f t="shared" si="318"/>
        <v>17794135</v>
      </c>
      <c r="E492" s="9" t="str">
        <f t="shared" si="315"/>
        <v>5202132,5202132,5301132,5502132,5500131,5502131</v>
      </c>
      <c r="F492" s="9" t="str">
        <f t="shared" si="316"/>
        <v>13,13,13,13,13,13</v>
      </c>
      <c r="G492" s="9" t="str">
        <f t="shared" si="317"/>
        <v>996,1077,1077,1077,1077,1077</v>
      </c>
      <c r="H492" s="9">
        <v>235</v>
      </c>
      <c r="I492" s="9" t="s">
        <v>278</v>
      </c>
      <c r="J492" s="9" t="s">
        <v>279</v>
      </c>
      <c r="K492" s="9" t="s">
        <v>279</v>
      </c>
      <c r="L492" s="9" t="s">
        <v>279</v>
      </c>
      <c r="M492" s="36" t="s">
        <v>312</v>
      </c>
      <c r="N492" s="40"/>
      <c r="O492" s="3">
        <f t="shared" si="319"/>
        <v>17794135</v>
      </c>
      <c r="P492" s="9">
        <v>14066510.02</v>
      </c>
      <c r="Q492" s="9">
        <v>5202132</v>
      </c>
      <c r="R492" s="9">
        <v>5202132</v>
      </c>
      <c r="S492" s="9">
        <v>5301132</v>
      </c>
      <c r="T492" s="9">
        <v>5502132</v>
      </c>
      <c r="U492" s="9">
        <v>5500131</v>
      </c>
      <c r="V492" s="9">
        <v>5502131</v>
      </c>
      <c r="W492" s="9">
        <v>13</v>
      </c>
      <c r="X492" s="9">
        <v>13</v>
      </c>
      <c r="Y492" s="9">
        <v>13</v>
      </c>
      <c r="Z492" s="9">
        <v>13</v>
      </c>
      <c r="AA492" s="9">
        <v>13</v>
      </c>
      <c r="AB492" s="9">
        <v>13</v>
      </c>
      <c r="AC492" s="9">
        <f t="shared" si="302"/>
        <v>996</v>
      </c>
      <c r="AD492" s="9">
        <f t="shared" si="303"/>
        <v>1077</v>
      </c>
      <c r="AE492" s="9">
        <f t="shared" si="304"/>
        <v>1077</v>
      </c>
      <c r="AF492" s="9">
        <f t="shared" si="305"/>
        <v>1077</v>
      </c>
      <c r="AG492" s="9">
        <f t="shared" si="306"/>
        <v>1077</v>
      </c>
      <c r="AH492" s="9">
        <f t="shared" si="307"/>
        <v>1077</v>
      </c>
      <c r="AI492" s="7">
        <f t="shared" si="321"/>
        <v>2344418.3366666664</v>
      </c>
      <c r="AJ492" s="7">
        <f t="shared" si="314"/>
        <v>2344418.3366666664</v>
      </c>
      <c r="AK492" s="7">
        <f t="shared" si="314"/>
        <v>2344418.3366666664</v>
      </c>
      <c r="AL492" s="7">
        <f t="shared" si="314"/>
        <v>2344418.3366666664</v>
      </c>
      <c r="AM492" s="7">
        <f t="shared" si="314"/>
        <v>2344418.3366666664</v>
      </c>
      <c r="AN492" s="7">
        <f t="shared" si="314"/>
        <v>2344418.3366666664</v>
      </c>
      <c r="AO492" s="16"/>
      <c r="AP492" s="7"/>
      <c r="AQ492" s="9">
        <v>8</v>
      </c>
      <c r="AR492" s="9">
        <f t="shared" si="308"/>
        <v>1360</v>
      </c>
      <c r="AS492" s="7">
        <f t="shared" si="320"/>
        <v>344</v>
      </c>
      <c r="AT492" s="7"/>
      <c r="AU492" s="16"/>
      <c r="AV492" s="7"/>
      <c r="AW492" s="7"/>
      <c r="AX492" s="7"/>
      <c r="AZ492" s="7"/>
      <c r="BA492" s="9">
        <f t="shared" si="313"/>
        <v>1778832.9000000034</v>
      </c>
      <c r="BC492" s="5" t="e">
        <f t="shared" si="309"/>
        <v>#N/A</v>
      </c>
      <c r="BR492" s="5">
        <v>2404025</v>
      </c>
      <c r="BS492" s="18">
        <f>[1]monsters!$N492</f>
        <v>126.72</v>
      </c>
      <c r="BT492" s="18">
        <f>[1]monsters!$O492</f>
        <v>12.67</v>
      </c>
      <c r="BU492" s="18">
        <f>[1]monsters!$P492</f>
        <v>1047.27</v>
      </c>
      <c r="BV492" s="18">
        <f>[1]monsters!$Q492</f>
        <v>104.73</v>
      </c>
      <c r="BW492" s="18">
        <f>[1]monsters!$R492</f>
        <v>21.12</v>
      </c>
      <c r="BX492" s="18">
        <f>[1]monsters!$S492</f>
        <v>2.11</v>
      </c>
      <c r="BY492" s="18">
        <f>[1]monsters!$K492</f>
        <v>1.8</v>
      </c>
      <c r="BZ492" s="5">
        <f>[1]monsters!$D492</f>
        <v>5</v>
      </c>
      <c r="CA492" s="5">
        <f t="shared" si="310"/>
        <v>0.1</v>
      </c>
      <c r="CB492" s="5">
        <f t="shared" si="311"/>
        <v>155.01201616161617</v>
      </c>
      <c r="CC492" s="5">
        <f t="shared" si="312"/>
        <v>15.501201616161618</v>
      </c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>
        <v>0</v>
      </c>
      <c r="CR492" s="3" t="b">
        <f t="shared" si="284"/>
        <v>1</v>
      </c>
      <c r="CS492" s="3" t="b">
        <f t="shared" si="285"/>
        <v>1</v>
      </c>
      <c r="CT492" s="3" t="b">
        <f t="shared" si="286"/>
        <v>1</v>
      </c>
      <c r="CU492" s="3" t="b">
        <f t="shared" si="287"/>
        <v>1</v>
      </c>
      <c r="CV492" s="3" t="b">
        <f t="shared" si="288"/>
        <v>1</v>
      </c>
      <c r="CW492" s="3" t="b">
        <f t="shared" si="289"/>
        <v>1</v>
      </c>
      <c r="CX492" s="9" t="str">
        <f t="shared" si="290"/>
        <v>5202132</v>
      </c>
      <c r="CY492" s="9" t="str">
        <f t="shared" si="291"/>
        <v>5202132</v>
      </c>
      <c r="CZ492" s="9" t="str">
        <f t="shared" si="292"/>
        <v>5301132</v>
      </c>
      <c r="DA492" s="9" t="str">
        <f t="shared" si="293"/>
        <v>5502132</v>
      </c>
      <c r="DB492" s="9" t="str">
        <f t="shared" si="294"/>
        <v>5500131</v>
      </c>
      <c r="DC492" s="9" t="str">
        <f t="shared" si="295"/>
        <v>5502131</v>
      </c>
      <c r="DD492" s="9">
        <v>13</v>
      </c>
      <c r="DE492" s="9">
        <v>13</v>
      </c>
      <c r="DF492" s="9">
        <v>13</v>
      </c>
      <c r="DG492" s="9">
        <v>13</v>
      </c>
      <c r="DH492" s="9">
        <v>13</v>
      </c>
      <c r="DI492" s="9">
        <v>13</v>
      </c>
      <c r="DJ492" s="9">
        <v>5</v>
      </c>
      <c r="DK492" s="9">
        <v>5</v>
      </c>
      <c r="DL492" s="9">
        <v>5</v>
      </c>
      <c r="DM492" s="9">
        <v>5</v>
      </c>
      <c r="DN492" s="9">
        <v>5</v>
      </c>
      <c r="DO492" s="9">
        <v>5</v>
      </c>
      <c r="DP492" s="25" t="s">
        <v>200</v>
      </c>
      <c r="DQ492" s="25" t="s">
        <v>200</v>
      </c>
      <c r="DR492" s="25" t="s">
        <v>201</v>
      </c>
      <c r="DS492" s="25" t="s">
        <v>204</v>
      </c>
      <c r="DT492" s="25" t="s">
        <v>197</v>
      </c>
      <c r="DU492" s="25" t="s">
        <v>119</v>
      </c>
      <c r="DV492" s="25">
        <f t="shared" si="296"/>
        <v>1</v>
      </c>
      <c r="DW492" s="25">
        <f t="shared" si="297"/>
        <v>1</v>
      </c>
      <c r="DX492" s="25">
        <f t="shared" si="298"/>
        <v>1</v>
      </c>
      <c r="DY492" s="25">
        <f t="shared" si="299"/>
        <v>2</v>
      </c>
      <c r="DZ492" s="25">
        <f t="shared" si="300"/>
        <v>2</v>
      </c>
      <c r="EA492" s="3">
        <f t="shared" si="301"/>
        <v>2</v>
      </c>
      <c r="EB492" s="51"/>
    </row>
    <row r="493" spans="1:132" ht="13.5" customHeight="1">
      <c r="A493" s="9">
        <v>490</v>
      </c>
      <c r="B493" s="9">
        <v>1</v>
      </c>
      <c r="C493" s="9">
        <v>2001</v>
      </c>
      <c r="D493" s="9">
        <f t="shared" si="318"/>
        <v>17849816</v>
      </c>
      <c r="E493" s="9" t="str">
        <f t="shared" si="315"/>
        <v>5202133,5201133,5302134,5400135,5601131,5501134</v>
      </c>
      <c r="F493" s="9" t="str">
        <f t="shared" si="316"/>
        <v>13,13,13,13,13,13</v>
      </c>
      <c r="G493" s="9" t="str">
        <f t="shared" si="317"/>
        <v>998,1079,1079,1079,1079,1079</v>
      </c>
      <c r="H493" s="9">
        <v>236</v>
      </c>
      <c r="I493" s="9" t="s">
        <v>278</v>
      </c>
      <c r="J493" s="9" t="s">
        <v>279</v>
      </c>
      <c r="K493" s="9" t="s">
        <v>279</v>
      </c>
      <c r="L493" s="9" t="s">
        <v>279</v>
      </c>
      <c r="M493" s="36" t="s">
        <v>312</v>
      </c>
      <c r="O493" s="3">
        <f t="shared" si="319"/>
        <v>17849816</v>
      </c>
      <c r="P493" s="9">
        <v>14110526.83</v>
      </c>
      <c r="Q493" s="9">
        <v>5202133</v>
      </c>
      <c r="R493" s="9">
        <v>5201133</v>
      </c>
      <c r="S493" s="9">
        <v>5302134</v>
      </c>
      <c r="T493" s="9">
        <v>5400135</v>
      </c>
      <c r="U493" s="9">
        <v>5601131</v>
      </c>
      <c r="V493" s="9">
        <v>5501134</v>
      </c>
      <c r="W493" s="9">
        <v>13</v>
      </c>
      <c r="X493" s="9">
        <v>13</v>
      </c>
      <c r="Y493" s="9">
        <v>13</v>
      </c>
      <c r="Z493" s="9">
        <v>13</v>
      </c>
      <c r="AA493" s="9">
        <v>13</v>
      </c>
      <c r="AB493" s="9">
        <v>13</v>
      </c>
      <c r="AC493" s="9">
        <f t="shared" si="302"/>
        <v>998</v>
      </c>
      <c r="AD493" s="9">
        <f t="shared" si="303"/>
        <v>1079</v>
      </c>
      <c r="AE493" s="9">
        <f t="shared" si="304"/>
        <v>1079</v>
      </c>
      <c r="AF493" s="9">
        <f t="shared" si="305"/>
        <v>1079</v>
      </c>
      <c r="AG493" s="9">
        <f t="shared" si="306"/>
        <v>1079</v>
      </c>
      <c r="AH493" s="9">
        <f t="shared" si="307"/>
        <v>1079</v>
      </c>
      <c r="AI493" s="7">
        <f t="shared" si="321"/>
        <v>2351754.4716666667</v>
      </c>
      <c r="AJ493" s="7">
        <f t="shared" si="314"/>
        <v>2351754.4716666667</v>
      </c>
      <c r="AK493" s="7">
        <f t="shared" si="314"/>
        <v>2351754.4716666667</v>
      </c>
      <c r="AL493" s="7">
        <f t="shared" si="314"/>
        <v>2351754.4716666667</v>
      </c>
      <c r="AM493" s="7">
        <f t="shared" si="314"/>
        <v>2351754.4716666667</v>
      </c>
      <c r="AN493" s="7">
        <f t="shared" si="314"/>
        <v>2351754.4716666667</v>
      </c>
      <c r="AO493" s="16"/>
      <c r="AP493" s="7"/>
      <c r="AQ493" s="9">
        <v>8</v>
      </c>
      <c r="AR493" s="9">
        <f t="shared" si="308"/>
        <v>1362</v>
      </c>
      <c r="AS493" s="7">
        <f t="shared" si="320"/>
        <v>345</v>
      </c>
      <c r="AT493" s="7"/>
      <c r="AU493" s="16"/>
      <c r="AV493" s="7"/>
      <c r="AW493" s="7"/>
      <c r="AX493" s="7"/>
      <c r="AZ493" s="7"/>
      <c r="BA493" s="9">
        <f t="shared" si="313"/>
        <v>1798939.0000000035</v>
      </c>
      <c r="BC493" s="5" t="e">
        <f t="shared" si="309"/>
        <v>#N/A</v>
      </c>
      <c r="BR493" s="5">
        <v>2303025</v>
      </c>
      <c r="BS493" s="18">
        <f>[1]monsters!$N493</f>
        <v>92.16</v>
      </c>
      <c r="BT493" s="18">
        <f>[1]monsters!$O493</f>
        <v>9.2200000000000006</v>
      </c>
      <c r="BU493" s="18">
        <f>[1]monsters!$P493</f>
        <v>1280</v>
      </c>
      <c r="BV493" s="18">
        <f>[1]monsters!$Q493</f>
        <v>128</v>
      </c>
      <c r="BW493" s="18">
        <f>[1]monsters!$R493</f>
        <v>18.43</v>
      </c>
      <c r="BX493" s="18">
        <f>[1]monsters!$S493</f>
        <v>1.84</v>
      </c>
      <c r="BY493" s="18">
        <f>[1]monsters!$K493</f>
        <v>1.6</v>
      </c>
      <c r="BZ493" s="5">
        <f>[1]monsters!$D493</f>
        <v>2</v>
      </c>
      <c r="CA493" s="5">
        <f t="shared" si="310"/>
        <v>0.1</v>
      </c>
      <c r="CB493" s="5">
        <f t="shared" si="311"/>
        <v>130.18884309764309</v>
      </c>
      <c r="CC493" s="5">
        <f t="shared" si="312"/>
        <v>13.01888430976431</v>
      </c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>
        <v>1</v>
      </c>
      <c r="CR493" s="3" t="b">
        <f t="shared" si="284"/>
        <v>1</v>
      </c>
      <c r="CS493" s="3" t="b">
        <f t="shared" si="285"/>
        <v>1</v>
      </c>
      <c r="CT493" s="3" t="b">
        <f t="shared" si="286"/>
        <v>1</v>
      </c>
      <c r="CU493" s="3" t="b">
        <f t="shared" si="287"/>
        <v>1</v>
      </c>
      <c r="CV493" s="3" t="b">
        <f t="shared" si="288"/>
        <v>1</v>
      </c>
      <c r="CW493" s="3" t="b">
        <f t="shared" si="289"/>
        <v>1</v>
      </c>
      <c r="CX493" s="9" t="str">
        <f t="shared" si="290"/>
        <v>5202133</v>
      </c>
      <c r="CY493" s="9" t="str">
        <f t="shared" si="291"/>
        <v>5201133</v>
      </c>
      <c r="CZ493" s="9" t="str">
        <f t="shared" si="292"/>
        <v>5302134</v>
      </c>
      <c r="DA493" s="9" t="str">
        <f t="shared" si="293"/>
        <v>5400135</v>
      </c>
      <c r="DB493" s="9" t="str">
        <f t="shared" si="294"/>
        <v>5601131</v>
      </c>
      <c r="DC493" s="9" t="str">
        <f t="shared" si="295"/>
        <v>5501134</v>
      </c>
      <c r="DD493" s="9">
        <v>13</v>
      </c>
      <c r="DE493" s="9">
        <v>13</v>
      </c>
      <c r="DF493" s="9">
        <v>13</v>
      </c>
      <c r="DG493" s="9">
        <v>13</v>
      </c>
      <c r="DH493" s="9">
        <v>13</v>
      </c>
      <c r="DI493" s="9">
        <v>13</v>
      </c>
      <c r="DJ493" s="9">
        <v>5</v>
      </c>
      <c r="DK493" s="9">
        <v>5</v>
      </c>
      <c r="DL493" s="9">
        <v>5</v>
      </c>
      <c r="DM493" s="9">
        <v>5</v>
      </c>
      <c r="DN493" s="9">
        <v>5</v>
      </c>
      <c r="DO493" s="9">
        <v>5</v>
      </c>
      <c r="DP493" s="25" t="s">
        <v>208</v>
      </c>
      <c r="DQ493" s="25" t="s">
        <v>205</v>
      </c>
      <c r="DR493" s="25" t="s">
        <v>218</v>
      </c>
      <c r="DS493" s="25" t="s">
        <v>210</v>
      </c>
      <c r="DT493" s="25" t="s">
        <v>198</v>
      </c>
      <c r="DU493" s="25" t="s">
        <v>214</v>
      </c>
      <c r="DV493" s="25">
        <f t="shared" si="296"/>
        <v>1</v>
      </c>
      <c r="DW493" s="25">
        <f t="shared" si="297"/>
        <v>1</v>
      </c>
      <c r="DX493" s="25">
        <f t="shared" si="298"/>
        <v>1</v>
      </c>
      <c r="DY493" s="25">
        <f t="shared" si="299"/>
        <v>2</v>
      </c>
      <c r="DZ493" s="25">
        <f t="shared" si="300"/>
        <v>2</v>
      </c>
      <c r="EA493" s="3">
        <f t="shared" si="301"/>
        <v>2</v>
      </c>
      <c r="EB493" s="50"/>
    </row>
    <row r="494" spans="1:132" ht="13.5" customHeight="1">
      <c r="A494" s="9">
        <v>491</v>
      </c>
      <c r="B494" s="9">
        <v>1</v>
      </c>
      <c r="C494" s="9">
        <v>2001</v>
      </c>
      <c r="D494" s="9">
        <f t="shared" si="318"/>
        <v>17905586</v>
      </c>
      <c r="E494" s="9" t="str">
        <f t="shared" si="315"/>
        <v>5200133,5202135,5301133,5401133,5501135,5501135</v>
      </c>
      <c r="F494" s="9" t="str">
        <f t="shared" si="316"/>
        <v>13,13,13,13,13,13</v>
      </c>
      <c r="G494" s="9" t="str">
        <f t="shared" si="317"/>
        <v>1000,1081,1081,1081,1081,1081</v>
      </c>
      <c r="H494" s="9">
        <v>236</v>
      </c>
      <c r="I494" s="9" t="s">
        <v>278</v>
      </c>
      <c r="J494" s="9" t="s">
        <v>279</v>
      </c>
      <c r="K494" s="9" t="s">
        <v>279</v>
      </c>
      <c r="L494" s="9" t="s">
        <v>279</v>
      </c>
      <c r="M494" s="36" t="s">
        <v>312</v>
      </c>
      <c r="N494" s="40"/>
      <c r="O494" s="3">
        <f t="shared" si="319"/>
        <v>17905586</v>
      </c>
      <c r="P494" s="9">
        <v>14154613.289999999</v>
      </c>
      <c r="Q494" s="9">
        <v>5200133</v>
      </c>
      <c r="R494" s="9">
        <v>5202135</v>
      </c>
      <c r="S494" s="9">
        <v>5301133</v>
      </c>
      <c r="T494" s="9">
        <v>5401133</v>
      </c>
      <c r="U494" s="9">
        <v>5501135</v>
      </c>
      <c r="V494" s="9">
        <v>5501135</v>
      </c>
      <c r="W494" s="9">
        <v>13</v>
      </c>
      <c r="X494" s="9">
        <v>13</v>
      </c>
      <c r="Y494" s="9">
        <v>13</v>
      </c>
      <c r="Z494" s="9">
        <v>13</v>
      </c>
      <c r="AA494" s="9">
        <v>13</v>
      </c>
      <c r="AB494" s="9">
        <v>13</v>
      </c>
      <c r="AC494" s="9">
        <f t="shared" si="302"/>
        <v>1000</v>
      </c>
      <c r="AD494" s="9">
        <f t="shared" si="303"/>
        <v>1081</v>
      </c>
      <c r="AE494" s="9">
        <f t="shared" si="304"/>
        <v>1081</v>
      </c>
      <c r="AF494" s="9">
        <f t="shared" si="305"/>
        <v>1081</v>
      </c>
      <c r="AG494" s="9">
        <f t="shared" si="306"/>
        <v>1081</v>
      </c>
      <c r="AH494" s="9">
        <f t="shared" si="307"/>
        <v>1081</v>
      </c>
      <c r="AI494" s="7">
        <f t="shared" si="321"/>
        <v>2359102.2149999999</v>
      </c>
      <c r="AJ494" s="7">
        <f t="shared" si="314"/>
        <v>2359102.2149999999</v>
      </c>
      <c r="AK494" s="7">
        <f t="shared" si="314"/>
        <v>2359102.2149999999</v>
      </c>
      <c r="AL494" s="7">
        <f t="shared" si="314"/>
        <v>2359102.2149999999</v>
      </c>
      <c r="AM494" s="7">
        <f t="shared" si="314"/>
        <v>2359102.2149999999</v>
      </c>
      <c r="AN494" s="7">
        <f t="shared" si="314"/>
        <v>2359102.2149999999</v>
      </c>
      <c r="AO494" s="16"/>
      <c r="AP494" s="7"/>
      <c r="AQ494" s="9">
        <v>8</v>
      </c>
      <c r="AR494" s="9">
        <f t="shared" si="308"/>
        <v>1364</v>
      </c>
      <c r="AS494" s="7">
        <f t="shared" si="320"/>
        <v>345</v>
      </c>
      <c r="AT494" s="7"/>
      <c r="AU494" s="16"/>
      <c r="AV494" s="7"/>
      <c r="AW494" s="7"/>
      <c r="AX494" s="7"/>
      <c r="AZ494" s="7"/>
      <c r="BA494" s="9">
        <f t="shared" si="313"/>
        <v>1819045.1000000036</v>
      </c>
      <c r="BC494" s="5" t="e">
        <f t="shared" si="309"/>
        <v>#N/A</v>
      </c>
      <c r="BR494" s="5">
        <v>2304025</v>
      </c>
      <c r="BS494" s="18">
        <f>[1]monsters!$N494</f>
        <v>116.48</v>
      </c>
      <c r="BT494" s="18">
        <f>[1]monsters!$O494</f>
        <v>11.65</v>
      </c>
      <c r="BU494" s="18">
        <f>[1]monsters!$P494</f>
        <v>886.15</v>
      </c>
      <c r="BV494" s="18">
        <f>[1]monsters!$Q494</f>
        <v>88.62</v>
      </c>
      <c r="BW494" s="18">
        <f>[1]monsters!$R494</f>
        <v>11.65</v>
      </c>
      <c r="BX494" s="18">
        <f>[1]monsters!$S494</f>
        <v>1.1599999999999999</v>
      </c>
      <c r="BY494" s="18">
        <f>[1]monsters!$K494</f>
        <v>1.4</v>
      </c>
      <c r="BZ494" s="5">
        <f>[1]monsters!$D494</f>
        <v>4</v>
      </c>
      <c r="CA494" s="5">
        <f t="shared" si="310"/>
        <v>0.1</v>
      </c>
      <c r="CB494" s="5">
        <f t="shared" si="311"/>
        <v>139.91030033670035</v>
      </c>
      <c r="CC494" s="5">
        <f t="shared" si="312"/>
        <v>13.991030033670036</v>
      </c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>
        <v>0</v>
      </c>
      <c r="CR494" s="3" t="b">
        <f t="shared" si="284"/>
        <v>1</v>
      </c>
      <c r="CS494" s="3" t="b">
        <f t="shared" si="285"/>
        <v>1</v>
      </c>
      <c r="CT494" s="3" t="b">
        <f t="shared" si="286"/>
        <v>1</v>
      </c>
      <c r="CU494" s="3" t="b">
        <f t="shared" si="287"/>
        <v>1</v>
      </c>
      <c r="CV494" s="3" t="b">
        <f t="shared" si="288"/>
        <v>1</v>
      </c>
      <c r="CW494" s="3" t="b">
        <f t="shared" si="289"/>
        <v>1</v>
      </c>
      <c r="CX494" s="9" t="str">
        <f t="shared" si="290"/>
        <v>5200133</v>
      </c>
      <c r="CY494" s="9" t="str">
        <f t="shared" si="291"/>
        <v>5202135</v>
      </c>
      <c r="CZ494" s="9" t="str">
        <f t="shared" si="292"/>
        <v>5301133</v>
      </c>
      <c r="DA494" s="9" t="str">
        <f t="shared" si="293"/>
        <v>5401133</v>
      </c>
      <c r="DB494" s="9" t="str">
        <f t="shared" si="294"/>
        <v>5501135</v>
      </c>
      <c r="DC494" s="9" t="str">
        <f t="shared" si="295"/>
        <v>5501135</v>
      </c>
      <c r="DD494" s="9">
        <v>13</v>
      </c>
      <c r="DE494" s="9">
        <v>13</v>
      </c>
      <c r="DF494" s="9">
        <v>13</v>
      </c>
      <c r="DG494" s="9">
        <v>13</v>
      </c>
      <c r="DH494" s="9">
        <v>13</v>
      </c>
      <c r="DI494" s="9">
        <v>13</v>
      </c>
      <c r="DJ494" s="9">
        <v>5</v>
      </c>
      <c r="DK494" s="9">
        <v>5</v>
      </c>
      <c r="DL494" s="9">
        <v>5</v>
      </c>
      <c r="DM494" s="9">
        <v>5</v>
      </c>
      <c r="DN494" s="9">
        <v>5</v>
      </c>
      <c r="DO494" s="9">
        <v>5</v>
      </c>
      <c r="DP494" s="25" t="s">
        <v>113</v>
      </c>
      <c r="DQ494" s="25" t="s">
        <v>213</v>
      </c>
      <c r="DR494" s="25" t="s">
        <v>206</v>
      </c>
      <c r="DS494" s="25" t="s">
        <v>211</v>
      </c>
      <c r="DT494" s="25" t="s">
        <v>209</v>
      </c>
      <c r="DU494" s="25" t="s">
        <v>209</v>
      </c>
      <c r="DV494" s="25">
        <f t="shared" si="296"/>
        <v>1</v>
      </c>
      <c r="DW494" s="25">
        <f t="shared" si="297"/>
        <v>1</v>
      </c>
      <c r="DX494" s="25">
        <f t="shared" si="298"/>
        <v>1</v>
      </c>
      <c r="DY494" s="25">
        <f t="shared" si="299"/>
        <v>2</v>
      </c>
      <c r="DZ494" s="25">
        <f t="shared" si="300"/>
        <v>2</v>
      </c>
      <c r="EA494" s="3">
        <f t="shared" si="301"/>
        <v>2</v>
      </c>
      <c r="EB494" s="50"/>
    </row>
    <row r="495" spans="1:132" ht="13.5" customHeight="1">
      <c r="A495" s="9">
        <v>492</v>
      </c>
      <c r="B495" s="9">
        <v>1</v>
      </c>
      <c r="C495" s="9">
        <v>2001</v>
      </c>
      <c r="D495" s="9">
        <f t="shared" si="318"/>
        <v>17961443</v>
      </c>
      <c r="E495" s="9" t="str">
        <f t="shared" si="315"/>
        <v>5301131,5301132,5301133,5500131,5500132,5500133</v>
      </c>
      <c r="F495" s="9" t="str">
        <f t="shared" si="316"/>
        <v>13,13,13,13,13,13</v>
      </c>
      <c r="G495" s="9" t="str">
        <f t="shared" si="317"/>
        <v>1001,1082,1082,1082,1082,1082</v>
      </c>
      <c r="H495" s="9">
        <v>236</v>
      </c>
      <c r="I495" s="9" t="s">
        <v>278</v>
      </c>
      <c r="J495" s="9" t="s">
        <v>279</v>
      </c>
      <c r="K495" s="9" t="s">
        <v>279</v>
      </c>
      <c r="L495" s="9" t="s">
        <v>279</v>
      </c>
      <c r="M495" s="36" t="s">
        <v>312</v>
      </c>
      <c r="N495" s="40"/>
      <c r="O495" s="3">
        <f t="shared" si="319"/>
        <v>17961443</v>
      </c>
      <c r="P495" s="9">
        <v>14198769.4</v>
      </c>
      <c r="Q495" s="9">
        <v>5301131</v>
      </c>
      <c r="R495" s="9">
        <v>5301132</v>
      </c>
      <c r="S495" s="9">
        <v>5301133</v>
      </c>
      <c r="T495" s="9">
        <v>5500131</v>
      </c>
      <c r="U495" s="9">
        <v>5500132</v>
      </c>
      <c r="V495" s="9">
        <v>5500133</v>
      </c>
      <c r="W495" s="9">
        <v>13</v>
      </c>
      <c r="X495" s="9">
        <v>13</v>
      </c>
      <c r="Y495" s="9">
        <v>13</v>
      </c>
      <c r="Z495" s="9">
        <v>13</v>
      </c>
      <c r="AA495" s="9">
        <v>13</v>
      </c>
      <c r="AB495" s="9">
        <v>13</v>
      </c>
      <c r="AC495" s="9">
        <f t="shared" si="302"/>
        <v>1001</v>
      </c>
      <c r="AD495" s="9">
        <f t="shared" si="303"/>
        <v>1082</v>
      </c>
      <c r="AE495" s="9">
        <f t="shared" si="304"/>
        <v>1082</v>
      </c>
      <c r="AF495" s="9">
        <f t="shared" si="305"/>
        <v>1082</v>
      </c>
      <c r="AG495" s="9">
        <f t="shared" si="306"/>
        <v>1082</v>
      </c>
      <c r="AH495" s="9">
        <f t="shared" si="307"/>
        <v>1082</v>
      </c>
      <c r="AI495" s="7">
        <f t="shared" si="321"/>
        <v>2366461.5666666669</v>
      </c>
      <c r="AJ495" s="7">
        <f t="shared" si="314"/>
        <v>2366461.5666666669</v>
      </c>
      <c r="AK495" s="7">
        <f t="shared" si="314"/>
        <v>2366461.5666666669</v>
      </c>
      <c r="AL495" s="7">
        <f t="shared" si="314"/>
        <v>2366461.5666666669</v>
      </c>
      <c r="AM495" s="7">
        <f t="shared" si="314"/>
        <v>2366461.5666666669</v>
      </c>
      <c r="AN495" s="7">
        <f t="shared" si="314"/>
        <v>2366461.5666666669</v>
      </c>
      <c r="AO495" s="16"/>
      <c r="AP495" s="7"/>
      <c r="AQ495" s="9">
        <v>8</v>
      </c>
      <c r="AR495" s="9">
        <f t="shared" si="308"/>
        <v>1366</v>
      </c>
      <c r="AS495" s="7">
        <f t="shared" si="320"/>
        <v>346</v>
      </c>
      <c r="AT495" s="7"/>
      <c r="AU495" s="16"/>
      <c r="AV495" s="7"/>
      <c r="AW495" s="7"/>
      <c r="AX495" s="7"/>
      <c r="AZ495" s="7"/>
      <c r="BA495" s="9">
        <f t="shared" si="313"/>
        <v>1839151.2000000037</v>
      </c>
      <c r="BC495" s="5" t="e">
        <f t="shared" si="309"/>
        <v>#N/A</v>
      </c>
      <c r="BR495" s="5">
        <v>2503025</v>
      </c>
      <c r="BS495" s="18">
        <f>[1]monsters!$N495</f>
        <v>80.64</v>
      </c>
      <c r="BT495" s="18">
        <f>[1]monsters!$O495</f>
        <v>8.06</v>
      </c>
      <c r="BU495" s="18">
        <f>[1]monsters!$P495</f>
        <v>1280</v>
      </c>
      <c r="BV495" s="18">
        <f>[1]monsters!$Q495</f>
        <v>128</v>
      </c>
      <c r="BW495" s="18">
        <f>[1]monsters!$R495</f>
        <v>16.13</v>
      </c>
      <c r="BX495" s="18">
        <f>[1]monsters!$S495</f>
        <v>1.61</v>
      </c>
      <c r="BY495" s="18">
        <f>[1]monsters!$K495</f>
        <v>1.4</v>
      </c>
      <c r="BZ495" s="5">
        <f>[1]monsters!$D495</f>
        <v>2</v>
      </c>
      <c r="CA495" s="5">
        <f t="shared" si="310"/>
        <v>0.1</v>
      </c>
      <c r="CB495" s="5">
        <f t="shared" si="311"/>
        <v>119.30244309764311</v>
      </c>
      <c r="CC495" s="5">
        <f t="shared" si="312"/>
        <v>11.930244309764312</v>
      </c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>
        <v>0</v>
      </c>
      <c r="CR495" s="3" t="b">
        <f t="shared" si="284"/>
        <v>1</v>
      </c>
      <c r="CS495" s="3" t="b">
        <f t="shared" si="285"/>
        <v>1</v>
      </c>
      <c r="CT495" s="3" t="b">
        <f t="shared" si="286"/>
        <v>1</v>
      </c>
      <c r="CU495" s="3" t="b">
        <f t="shared" si="287"/>
        <v>1</v>
      </c>
      <c r="CV495" s="3" t="b">
        <f t="shared" si="288"/>
        <v>1</v>
      </c>
      <c r="CW495" s="3" t="b">
        <f t="shared" si="289"/>
        <v>1</v>
      </c>
      <c r="CX495" s="9" t="str">
        <f t="shared" si="290"/>
        <v>5301131</v>
      </c>
      <c r="CY495" s="9" t="str">
        <f t="shared" si="291"/>
        <v>5301132</v>
      </c>
      <c r="CZ495" s="9" t="str">
        <f t="shared" si="292"/>
        <v>5301133</v>
      </c>
      <c r="DA495" s="9" t="str">
        <f t="shared" si="293"/>
        <v>5500131</v>
      </c>
      <c r="DB495" s="9" t="str">
        <f t="shared" si="294"/>
        <v>5500132</v>
      </c>
      <c r="DC495" s="9" t="str">
        <f t="shared" si="295"/>
        <v>5500133</v>
      </c>
      <c r="DD495" s="9">
        <v>13</v>
      </c>
      <c r="DE495" s="9">
        <v>13</v>
      </c>
      <c r="DF495" s="9">
        <v>13</v>
      </c>
      <c r="DG495" s="9">
        <v>13</v>
      </c>
      <c r="DH495" s="9">
        <v>13</v>
      </c>
      <c r="DI495" s="9">
        <v>13</v>
      </c>
      <c r="DJ495" s="9">
        <v>5</v>
      </c>
      <c r="DK495" s="9">
        <v>5</v>
      </c>
      <c r="DL495" s="9">
        <v>5</v>
      </c>
      <c r="DM495" s="9">
        <v>5</v>
      </c>
      <c r="DN495" s="9">
        <v>5</v>
      </c>
      <c r="DO495" s="9">
        <v>5</v>
      </c>
      <c r="DP495" s="3" t="s">
        <v>107</v>
      </c>
      <c r="DQ495" s="3" t="s">
        <v>201</v>
      </c>
      <c r="DR495" s="3" t="s">
        <v>206</v>
      </c>
      <c r="DS495" s="3" t="s">
        <v>197</v>
      </c>
      <c r="DT495" s="3" t="s">
        <v>109</v>
      </c>
      <c r="DU495" s="3" t="s">
        <v>207</v>
      </c>
      <c r="DV495" s="3">
        <f t="shared" si="296"/>
        <v>1</v>
      </c>
      <c r="DW495" s="3">
        <f t="shared" si="297"/>
        <v>1</v>
      </c>
      <c r="DX495" s="3">
        <f t="shared" si="298"/>
        <v>1</v>
      </c>
      <c r="DY495" s="3">
        <f t="shared" si="299"/>
        <v>2</v>
      </c>
      <c r="DZ495" s="3">
        <f t="shared" si="300"/>
        <v>2</v>
      </c>
      <c r="EA495" s="3">
        <f t="shared" si="301"/>
        <v>2</v>
      </c>
      <c r="EB495" s="51"/>
    </row>
    <row r="496" spans="1:132" ht="13.5" customHeight="1">
      <c r="A496" s="9">
        <v>493</v>
      </c>
      <c r="B496" s="9">
        <v>1</v>
      </c>
      <c r="C496" s="9">
        <v>2001</v>
      </c>
      <c r="D496" s="9">
        <f t="shared" si="318"/>
        <v>18017386</v>
      </c>
      <c r="E496" s="9" t="str">
        <f t="shared" si="315"/>
        <v>5200132,5200133,5200132,5400135,5500132,5500133</v>
      </c>
      <c r="F496" s="9" t="str">
        <f t="shared" si="316"/>
        <v>13,13,13,13,13,13</v>
      </c>
      <c r="G496" s="9" t="str">
        <f t="shared" si="317"/>
        <v>1003,1084,1084,1084,1084,1084</v>
      </c>
      <c r="H496" s="9">
        <v>237</v>
      </c>
      <c r="I496" s="9" t="s">
        <v>278</v>
      </c>
      <c r="J496" s="9" t="s">
        <v>279</v>
      </c>
      <c r="K496" s="9" t="s">
        <v>279</v>
      </c>
      <c r="L496" s="9" t="s">
        <v>279</v>
      </c>
      <c r="M496" s="36" t="s">
        <v>312</v>
      </c>
      <c r="N496" s="40"/>
      <c r="O496" s="3">
        <f t="shared" si="319"/>
        <v>18017386</v>
      </c>
      <c r="P496" s="9">
        <v>14242993.17</v>
      </c>
      <c r="Q496" s="9">
        <v>5200132</v>
      </c>
      <c r="R496" s="9">
        <v>5200133</v>
      </c>
      <c r="S496" s="9">
        <v>5200132</v>
      </c>
      <c r="T496" s="9">
        <v>5400135</v>
      </c>
      <c r="U496" s="9">
        <v>5500132</v>
      </c>
      <c r="V496" s="9">
        <v>5500133</v>
      </c>
      <c r="W496" s="9">
        <v>13</v>
      </c>
      <c r="X496" s="9">
        <v>13</v>
      </c>
      <c r="Y496" s="9">
        <v>13</v>
      </c>
      <c r="Z496" s="9">
        <v>13</v>
      </c>
      <c r="AA496" s="9">
        <v>13</v>
      </c>
      <c r="AB496" s="9">
        <v>13</v>
      </c>
      <c r="AC496" s="9">
        <f t="shared" si="302"/>
        <v>1003</v>
      </c>
      <c r="AD496" s="9">
        <f t="shared" si="303"/>
        <v>1084</v>
      </c>
      <c r="AE496" s="9">
        <f t="shared" si="304"/>
        <v>1084</v>
      </c>
      <c r="AF496" s="9">
        <f t="shared" si="305"/>
        <v>1084</v>
      </c>
      <c r="AG496" s="9">
        <f t="shared" si="306"/>
        <v>1084</v>
      </c>
      <c r="AH496" s="9">
        <f t="shared" si="307"/>
        <v>1084</v>
      </c>
      <c r="AI496" s="7">
        <f t="shared" si="321"/>
        <v>2373832.1949999998</v>
      </c>
      <c r="AJ496" s="7">
        <f t="shared" si="314"/>
        <v>2373832.1949999998</v>
      </c>
      <c r="AK496" s="7">
        <f t="shared" si="314"/>
        <v>2373832.1949999998</v>
      </c>
      <c r="AL496" s="7">
        <f t="shared" si="314"/>
        <v>2373832.1949999998</v>
      </c>
      <c r="AM496" s="7">
        <f t="shared" si="314"/>
        <v>2373832.1949999998</v>
      </c>
      <c r="AN496" s="7">
        <f t="shared" si="314"/>
        <v>2373832.1949999998</v>
      </c>
      <c r="AO496" s="16"/>
      <c r="AP496" s="7"/>
      <c r="AQ496" s="9">
        <v>8</v>
      </c>
      <c r="AR496" s="9">
        <f t="shared" si="308"/>
        <v>1368</v>
      </c>
      <c r="AS496" s="7">
        <f t="shared" si="320"/>
        <v>346</v>
      </c>
      <c r="AT496" s="7"/>
      <c r="AU496" s="16"/>
      <c r="AV496" s="7"/>
      <c r="AW496" s="7"/>
      <c r="AX496" s="7"/>
      <c r="AZ496" s="7"/>
      <c r="BA496" s="9">
        <f t="shared" si="313"/>
        <v>1859257.3000000038</v>
      </c>
      <c r="BC496" s="5" t="e">
        <f t="shared" si="309"/>
        <v>#N/A</v>
      </c>
      <c r="BR496" s="5">
        <v>2504025</v>
      </c>
      <c r="BS496" s="18">
        <f>[1]monsters!$N496</f>
        <v>133.12</v>
      </c>
      <c r="BT496" s="18">
        <f>[1]monsters!$O496</f>
        <v>13.31</v>
      </c>
      <c r="BU496" s="18">
        <f>[1]monsters!$P496</f>
        <v>886.15</v>
      </c>
      <c r="BV496" s="18">
        <f>[1]monsters!$Q496</f>
        <v>88.62</v>
      </c>
      <c r="BW496" s="18">
        <f>[1]monsters!$R496</f>
        <v>13.31</v>
      </c>
      <c r="BX496" s="18">
        <f>[1]monsters!$S496</f>
        <v>1.33</v>
      </c>
      <c r="BY496" s="18">
        <f>[1]monsters!$K496</f>
        <v>1.6</v>
      </c>
      <c r="BZ496" s="5">
        <f>[1]monsters!$D496</f>
        <v>4</v>
      </c>
      <c r="CA496" s="5">
        <f t="shared" si="310"/>
        <v>0.1</v>
      </c>
      <c r="CB496" s="5">
        <f t="shared" si="311"/>
        <v>155.63510033670036</v>
      </c>
      <c r="CC496" s="5">
        <f t="shared" si="312"/>
        <v>15.563510033670036</v>
      </c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>
        <v>0</v>
      </c>
      <c r="CR496" s="3" t="b">
        <f t="shared" si="284"/>
        <v>1</v>
      </c>
      <c r="CS496" s="3" t="b">
        <f t="shared" si="285"/>
        <v>1</v>
      </c>
      <c r="CT496" s="3" t="b">
        <f t="shared" si="286"/>
        <v>1</v>
      </c>
      <c r="CU496" s="3" t="b">
        <f t="shared" si="287"/>
        <v>1</v>
      </c>
      <c r="CV496" s="3" t="b">
        <f t="shared" si="288"/>
        <v>1</v>
      </c>
      <c r="CW496" s="3" t="b">
        <f t="shared" si="289"/>
        <v>1</v>
      </c>
      <c r="CX496" s="9" t="str">
        <f t="shared" si="290"/>
        <v>5200132</v>
      </c>
      <c r="CY496" s="9" t="str">
        <f t="shared" si="291"/>
        <v>5200133</v>
      </c>
      <c r="CZ496" s="9" t="str">
        <f t="shared" si="292"/>
        <v>5200132</v>
      </c>
      <c r="DA496" s="9" t="str">
        <f t="shared" si="293"/>
        <v>5400135</v>
      </c>
      <c r="DB496" s="9" t="str">
        <f t="shared" si="294"/>
        <v>5500132</v>
      </c>
      <c r="DC496" s="9" t="str">
        <f t="shared" si="295"/>
        <v>5500133</v>
      </c>
      <c r="DD496" s="9">
        <v>13</v>
      </c>
      <c r="DE496" s="9">
        <v>13</v>
      </c>
      <c r="DF496" s="9">
        <v>13</v>
      </c>
      <c r="DG496" s="9">
        <v>13</v>
      </c>
      <c r="DH496" s="9">
        <v>13</v>
      </c>
      <c r="DI496" s="9">
        <v>13</v>
      </c>
      <c r="DJ496" s="9">
        <v>5</v>
      </c>
      <c r="DK496" s="9">
        <v>5</v>
      </c>
      <c r="DL496" s="9">
        <v>5</v>
      </c>
      <c r="DM496" s="9">
        <v>5</v>
      </c>
      <c r="DN496" s="9">
        <v>5</v>
      </c>
      <c r="DO496" s="9">
        <v>5</v>
      </c>
      <c r="DP496" s="3" t="s">
        <v>199</v>
      </c>
      <c r="DQ496" s="3" t="s">
        <v>113</v>
      </c>
      <c r="DR496" s="3" t="s">
        <v>199</v>
      </c>
      <c r="DS496" s="25" t="s">
        <v>210</v>
      </c>
      <c r="DT496" s="25" t="s">
        <v>109</v>
      </c>
      <c r="DU496" s="25" t="s">
        <v>207</v>
      </c>
      <c r="DV496" s="25">
        <f t="shared" si="296"/>
        <v>1</v>
      </c>
      <c r="DW496" s="25">
        <f t="shared" si="297"/>
        <v>1</v>
      </c>
      <c r="DX496" s="25">
        <f t="shared" si="298"/>
        <v>1</v>
      </c>
      <c r="DY496" s="25">
        <f t="shared" si="299"/>
        <v>2</v>
      </c>
      <c r="DZ496" s="25">
        <f t="shared" si="300"/>
        <v>2</v>
      </c>
      <c r="EA496" s="3">
        <f t="shared" si="301"/>
        <v>2</v>
      </c>
      <c r="EB496" s="50"/>
    </row>
    <row r="497" spans="1:132" ht="13.5" customHeight="1">
      <c r="A497" s="9">
        <v>494</v>
      </c>
      <c r="B497" s="9">
        <v>1</v>
      </c>
      <c r="C497" s="9">
        <v>2001</v>
      </c>
      <c r="D497" s="9">
        <f t="shared" si="318"/>
        <v>18073415</v>
      </c>
      <c r="E497" s="9" t="str">
        <f t="shared" si="315"/>
        <v>5201131,5201132,5202131,5401131,5501135,5400135</v>
      </c>
      <c r="F497" s="9" t="str">
        <f t="shared" si="316"/>
        <v>13,13,13,13,13,13</v>
      </c>
      <c r="G497" s="9" t="str">
        <f t="shared" si="317"/>
        <v>1004,1086,1086,1086,1086,1086</v>
      </c>
      <c r="H497" s="9">
        <v>237</v>
      </c>
      <c r="I497" s="9" t="s">
        <v>278</v>
      </c>
      <c r="J497" s="9" t="s">
        <v>279</v>
      </c>
      <c r="K497" s="9" t="s">
        <v>279</v>
      </c>
      <c r="L497" s="9" t="s">
        <v>279</v>
      </c>
      <c r="M497" s="36" t="s">
        <v>312</v>
      </c>
      <c r="N497" s="40"/>
      <c r="O497" s="3">
        <f t="shared" si="319"/>
        <v>18073415</v>
      </c>
      <c r="P497" s="9">
        <v>14287284.6</v>
      </c>
      <c r="Q497" s="9">
        <v>5201131</v>
      </c>
      <c r="R497" s="9">
        <v>5201132</v>
      </c>
      <c r="S497" s="9">
        <v>5202131</v>
      </c>
      <c r="T497" s="9">
        <v>5401131</v>
      </c>
      <c r="U497" s="9">
        <v>5501135</v>
      </c>
      <c r="V497" s="9">
        <v>5400135</v>
      </c>
      <c r="W497" s="9">
        <v>13</v>
      </c>
      <c r="X497" s="9">
        <v>13</v>
      </c>
      <c r="Y497" s="9">
        <v>13</v>
      </c>
      <c r="Z497" s="9">
        <v>13</v>
      </c>
      <c r="AA497" s="9">
        <v>13</v>
      </c>
      <c r="AB497" s="9">
        <v>13</v>
      </c>
      <c r="AC497" s="9">
        <f t="shared" si="302"/>
        <v>1004</v>
      </c>
      <c r="AD497" s="9">
        <f t="shared" si="303"/>
        <v>1086</v>
      </c>
      <c r="AE497" s="9">
        <f t="shared" si="304"/>
        <v>1086</v>
      </c>
      <c r="AF497" s="9">
        <f t="shared" si="305"/>
        <v>1086</v>
      </c>
      <c r="AG497" s="9">
        <f t="shared" si="306"/>
        <v>1086</v>
      </c>
      <c r="AH497" s="9">
        <f t="shared" si="307"/>
        <v>1086</v>
      </c>
      <c r="AI497" s="7">
        <f t="shared" si="321"/>
        <v>2381214.1</v>
      </c>
      <c r="AJ497" s="7">
        <f t="shared" si="314"/>
        <v>2381214.1</v>
      </c>
      <c r="AK497" s="7">
        <f t="shared" si="314"/>
        <v>2381214.1</v>
      </c>
      <c r="AL497" s="7">
        <f t="shared" si="314"/>
        <v>2381214.1</v>
      </c>
      <c r="AM497" s="7">
        <f t="shared" si="314"/>
        <v>2381214.1</v>
      </c>
      <c r="AN497" s="7">
        <f t="shared" si="314"/>
        <v>2381214.1</v>
      </c>
      <c r="AO497" s="16"/>
      <c r="AP497" s="7"/>
      <c r="AQ497" s="9">
        <v>8</v>
      </c>
      <c r="AR497" s="9">
        <f t="shared" si="308"/>
        <v>1370</v>
      </c>
      <c r="AS497" s="7">
        <f t="shared" si="320"/>
        <v>347</v>
      </c>
      <c r="AT497" s="7"/>
      <c r="AU497" s="16"/>
      <c r="AV497" s="7"/>
      <c r="AW497" s="7"/>
      <c r="AX497" s="7"/>
      <c r="AZ497" s="7"/>
      <c r="BA497" s="9">
        <f t="shared" si="313"/>
        <v>1879363.4000000039</v>
      </c>
      <c r="BC497" s="5" t="e">
        <f t="shared" si="309"/>
        <v>#N/A</v>
      </c>
      <c r="BR497" s="5">
        <v>2101025</v>
      </c>
      <c r="BS497" s="18">
        <f>[1]monsters!$N497</f>
        <v>122.88</v>
      </c>
      <c r="BT497" s="18">
        <f>[1]monsters!$O497</f>
        <v>12.29</v>
      </c>
      <c r="BU497" s="18">
        <f>[1]monsters!$P497</f>
        <v>960</v>
      </c>
      <c r="BV497" s="18">
        <f>[1]monsters!$Q497</f>
        <v>96</v>
      </c>
      <c r="BW497" s="18">
        <f>[1]monsters!$R497</f>
        <v>20.48</v>
      </c>
      <c r="BX497" s="18">
        <f>[1]monsters!$S497</f>
        <v>2.0499999999999998</v>
      </c>
      <c r="BY497" s="18">
        <f>[1]monsters!$K497</f>
        <v>1.6</v>
      </c>
      <c r="BZ497" s="5">
        <f>[1]monsters!$D497</f>
        <v>5</v>
      </c>
      <c r="CA497" s="5">
        <f t="shared" si="310"/>
        <v>0.1</v>
      </c>
      <c r="CB497" s="5">
        <f t="shared" si="311"/>
        <v>148.44483232323233</v>
      </c>
      <c r="CC497" s="5">
        <f t="shared" si="312"/>
        <v>14.844483232323235</v>
      </c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>
        <v>0</v>
      </c>
      <c r="CR497" s="3" t="b">
        <f t="shared" si="284"/>
        <v>1</v>
      </c>
      <c r="CS497" s="3" t="b">
        <f t="shared" si="285"/>
        <v>1</v>
      </c>
      <c r="CT497" s="3" t="b">
        <f t="shared" si="286"/>
        <v>1</v>
      </c>
      <c r="CU497" s="3" t="b">
        <f t="shared" si="287"/>
        <v>1</v>
      </c>
      <c r="CV497" s="3" t="b">
        <f t="shared" si="288"/>
        <v>1</v>
      </c>
      <c r="CW497" s="3" t="b">
        <f t="shared" si="289"/>
        <v>1</v>
      </c>
      <c r="CX497" s="9" t="str">
        <f t="shared" si="290"/>
        <v>5201131</v>
      </c>
      <c r="CY497" s="9" t="str">
        <f t="shared" si="291"/>
        <v>5201132</v>
      </c>
      <c r="CZ497" s="9" t="str">
        <f t="shared" si="292"/>
        <v>5202131</v>
      </c>
      <c r="DA497" s="9" t="str">
        <f t="shared" si="293"/>
        <v>5401131</v>
      </c>
      <c r="DB497" s="9" t="str">
        <f t="shared" si="294"/>
        <v>5501135</v>
      </c>
      <c r="DC497" s="9" t="str">
        <f t="shared" si="295"/>
        <v>5400135</v>
      </c>
      <c r="DD497" s="9">
        <v>13</v>
      </c>
      <c r="DE497" s="9">
        <v>13</v>
      </c>
      <c r="DF497" s="9">
        <v>13</v>
      </c>
      <c r="DG497" s="9">
        <v>13</v>
      </c>
      <c r="DH497" s="9">
        <v>13</v>
      </c>
      <c r="DI497" s="9">
        <v>13</v>
      </c>
      <c r="DJ497" s="9">
        <v>5</v>
      </c>
      <c r="DK497" s="9">
        <v>5</v>
      </c>
      <c r="DL497" s="9">
        <v>5</v>
      </c>
      <c r="DM497" s="9">
        <v>5</v>
      </c>
      <c r="DN497" s="9">
        <v>5</v>
      </c>
      <c r="DO497" s="9">
        <v>5</v>
      </c>
      <c r="DP497" s="3" t="s">
        <v>195</v>
      </c>
      <c r="DQ497" s="3" t="s">
        <v>114</v>
      </c>
      <c r="DR497" s="3" t="s">
        <v>111</v>
      </c>
      <c r="DS497" s="3" t="s">
        <v>117</v>
      </c>
      <c r="DT497" s="3" t="s">
        <v>209</v>
      </c>
      <c r="DU497" s="3" t="s">
        <v>210</v>
      </c>
      <c r="DV497" s="3">
        <f t="shared" si="296"/>
        <v>1</v>
      </c>
      <c r="DW497" s="3">
        <f t="shared" si="297"/>
        <v>1</v>
      </c>
      <c r="DX497" s="3">
        <f t="shared" si="298"/>
        <v>1</v>
      </c>
      <c r="DY497" s="3">
        <f t="shared" si="299"/>
        <v>2</v>
      </c>
      <c r="DZ497" s="3">
        <f t="shared" si="300"/>
        <v>2</v>
      </c>
      <c r="EA497" s="3">
        <f t="shared" si="301"/>
        <v>2</v>
      </c>
      <c r="EB497" s="50"/>
    </row>
    <row r="498" spans="1:132" ht="13.5" customHeight="1">
      <c r="A498" s="9">
        <v>495</v>
      </c>
      <c r="B498" s="9">
        <v>1</v>
      </c>
      <c r="C498" s="9">
        <v>2001</v>
      </c>
      <c r="D498" s="9">
        <f t="shared" si="318"/>
        <v>18129532</v>
      </c>
      <c r="E498" s="9" t="str">
        <f t="shared" si="315"/>
        <v>5302135,5201132,5301131,5501134,5500133,5501134</v>
      </c>
      <c r="F498" s="9" t="str">
        <f t="shared" si="316"/>
        <v>13,13,13,13,13,13</v>
      </c>
      <c r="G498" s="9" t="str">
        <f t="shared" si="317"/>
        <v>1006,1087,1087,1087,1087,1087</v>
      </c>
      <c r="H498" s="9">
        <v>238</v>
      </c>
      <c r="I498" s="9" t="s">
        <v>278</v>
      </c>
      <c r="J498" s="9" t="s">
        <v>279</v>
      </c>
      <c r="K498" s="9" t="s">
        <v>279</v>
      </c>
      <c r="L498" s="9" t="s">
        <v>279</v>
      </c>
      <c r="M498" s="36" t="s">
        <v>312</v>
      </c>
      <c r="O498" s="3">
        <f t="shared" si="319"/>
        <v>18129532</v>
      </c>
      <c r="P498" s="9">
        <v>14331645.68</v>
      </c>
      <c r="Q498" s="9">
        <v>5302135</v>
      </c>
      <c r="R498" s="9">
        <v>5201132</v>
      </c>
      <c r="S498" s="9">
        <v>5301131</v>
      </c>
      <c r="T498" s="9">
        <v>5501134</v>
      </c>
      <c r="U498" s="9">
        <v>5500133</v>
      </c>
      <c r="V498" s="9">
        <v>5501134</v>
      </c>
      <c r="W498" s="9">
        <v>13</v>
      </c>
      <c r="X498" s="9">
        <v>13</v>
      </c>
      <c r="Y498" s="9">
        <v>13</v>
      </c>
      <c r="Z498" s="9">
        <v>13</v>
      </c>
      <c r="AA498" s="9">
        <v>13</v>
      </c>
      <c r="AB498" s="9">
        <v>13</v>
      </c>
      <c r="AC498" s="9">
        <f t="shared" si="302"/>
        <v>1006</v>
      </c>
      <c r="AD498" s="9">
        <f t="shared" si="303"/>
        <v>1087</v>
      </c>
      <c r="AE498" s="9">
        <f t="shared" si="304"/>
        <v>1087</v>
      </c>
      <c r="AF498" s="9">
        <f t="shared" si="305"/>
        <v>1087</v>
      </c>
      <c r="AG498" s="9">
        <f t="shared" si="306"/>
        <v>1087</v>
      </c>
      <c r="AH498" s="9">
        <f t="shared" si="307"/>
        <v>1087</v>
      </c>
      <c r="AI498" s="7">
        <f t="shared" si="321"/>
        <v>2388607.6133333333</v>
      </c>
      <c r="AJ498" s="7">
        <f t="shared" si="314"/>
        <v>2388607.6133333333</v>
      </c>
      <c r="AK498" s="7">
        <f t="shared" si="314"/>
        <v>2388607.6133333333</v>
      </c>
      <c r="AL498" s="7">
        <f t="shared" si="314"/>
        <v>2388607.6133333333</v>
      </c>
      <c r="AM498" s="7">
        <f t="shared" si="314"/>
        <v>2388607.6133333333</v>
      </c>
      <c r="AN498" s="7">
        <f t="shared" si="314"/>
        <v>2388607.6133333333</v>
      </c>
      <c r="AO498" s="16"/>
      <c r="AP498" s="7"/>
      <c r="AQ498" s="9">
        <v>8</v>
      </c>
      <c r="AR498" s="9">
        <f t="shared" si="308"/>
        <v>1372</v>
      </c>
      <c r="AS498" s="7">
        <f t="shared" si="320"/>
        <v>347</v>
      </c>
      <c r="AT498" s="7"/>
      <c r="AU498" s="16"/>
      <c r="AV498" s="7"/>
      <c r="AW498" s="7"/>
      <c r="AX498" s="7"/>
      <c r="AZ498" s="7"/>
      <c r="BA498" s="9">
        <f t="shared" si="313"/>
        <v>1899469.500000004</v>
      </c>
      <c r="BC498" s="5" t="e">
        <f t="shared" si="309"/>
        <v>#N/A</v>
      </c>
      <c r="BR498" s="5">
        <v>2102025</v>
      </c>
      <c r="BS498" s="18">
        <f>[1]monsters!$N498</f>
        <v>103.04</v>
      </c>
      <c r="BT498" s="18">
        <f>[1]monsters!$O498</f>
        <v>10.3</v>
      </c>
      <c r="BU498" s="18">
        <f>[1]monsters!$P498</f>
        <v>1001.74</v>
      </c>
      <c r="BV498" s="18">
        <f>[1]monsters!$Q498</f>
        <v>100.17</v>
      </c>
      <c r="BW498" s="18">
        <f>[1]monsters!$R498</f>
        <v>12.88</v>
      </c>
      <c r="BX498" s="18">
        <f>[1]monsters!$S498</f>
        <v>1.29</v>
      </c>
      <c r="BY498" s="18">
        <f>[1]monsters!$K498</f>
        <v>1.4</v>
      </c>
      <c r="BZ498" s="5">
        <f>[1]monsters!$D498</f>
        <v>3</v>
      </c>
      <c r="CA498" s="5">
        <f t="shared" si="310"/>
        <v>0.1</v>
      </c>
      <c r="CB498" s="5">
        <f t="shared" si="311"/>
        <v>131.10141952861954</v>
      </c>
      <c r="CC498" s="5">
        <f t="shared" si="312"/>
        <v>13.110141952861955</v>
      </c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>
        <v>1</v>
      </c>
      <c r="CR498" s="3" t="b">
        <f t="shared" si="284"/>
        <v>1</v>
      </c>
      <c r="CS498" s="3" t="b">
        <f t="shared" si="285"/>
        <v>1</v>
      </c>
      <c r="CT498" s="3" t="b">
        <f t="shared" si="286"/>
        <v>1</v>
      </c>
      <c r="CU498" s="3" t="b">
        <f t="shared" si="287"/>
        <v>1</v>
      </c>
      <c r="CV498" s="3" t="b">
        <f t="shared" si="288"/>
        <v>1</v>
      </c>
      <c r="CW498" s="3" t="b">
        <f t="shared" si="289"/>
        <v>1</v>
      </c>
      <c r="CX498" s="9" t="str">
        <f t="shared" si="290"/>
        <v>5302135</v>
      </c>
      <c r="CY498" s="9" t="str">
        <f t="shared" si="291"/>
        <v>5201132</v>
      </c>
      <c r="CZ498" s="9" t="str">
        <f t="shared" si="292"/>
        <v>5301131</v>
      </c>
      <c r="DA498" s="9" t="str">
        <f t="shared" si="293"/>
        <v>5501134</v>
      </c>
      <c r="DB498" s="9" t="str">
        <f t="shared" si="294"/>
        <v>5500133</v>
      </c>
      <c r="DC498" s="9" t="str">
        <f t="shared" si="295"/>
        <v>5501134</v>
      </c>
      <c r="DD498" s="9">
        <v>13</v>
      </c>
      <c r="DE498" s="9">
        <v>13</v>
      </c>
      <c r="DF498" s="9">
        <v>13</v>
      </c>
      <c r="DG498" s="9">
        <v>13</v>
      </c>
      <c r="DH498" s="9">
        <v>13</v>
      </c>
      <c r="DI498" s="9">
        <v>13</v>
      </c>
      <c r="DJ498" s="9">
        <v>5</v>
      </c>
      <c r="DK498" s="9">
        <v>5</v>
      </c>
      <c r="DL498" s="9">
        <v>5</v>
      </c>
      <c r="DM498" s="9">
        <v>5</v>
      </c>
      <c r="DN498" s="9">
        <v>5</v>
      </c>
      <c r="DO498" s="9">
        <v>5</v>
      </c>
      <c r="DP498" s="3" t="s">
        <v>221</v>
      </c>
      <c r="DQ498" s="3" t="s">
        <v>114</v>
      </c>
      <c r="DR498" s="3" t="s">
        <v>107</v>
      </c>
      <c r="DS498" s="3" t="s">
        <v>214</v>
      </c>
      <c r="DT498" s="3" t="s">
        <v>207</v>
      </c>
      <c r="DU498" s="3" t="s">
        <v>214</v>
      </c>
      <c r="DV498" s="3">
        <f t="shared" si="296"/>
        <v>1</v>
      </c>
      <c r="DW498" s="3">
        <f t="shared" si="297"/>
        <v>1</v>
      </c>
      <c r="DX498" s="3">
        <f t="shared" si="298"/>
        <v>1</v>
      </c>
      <c r="DY498" s="3">
        <f t="shared" si="299"/>
        <v>2</v>
      </c>
      <c r="DZ498" s="3">
        <f t="shared" si="300"/>
        <v>2</v>
      </c>
      <c r="EA498" s="3">
        <f t="shared" si="301"/>
        <v>2</v>
      </c>
      <c r="EB498" s="50"/>
    </row>
    <row r="499" spans="1:132" ht="13.5" customHeight="1">
      <c r="A499" s="9">
        <v>496</v>
      </c>
      <c r="B499" s="9">
        <v>1</v>
      </c>
      <c r="C499" s="9">
        <v>2001</v>
      </c>
      <c r="D499" s="9">
        <f t="shared" si="318"/>
        <v>18185737</v>
      </c>
      <c r="E499" s="9" t="str">
        <f t="shared" si="315"/>
        <v>5201131,5201132,5200132,5502132,5500133,5501134</v>
      </c>
      <c r="F499" s="9" t="str">
        <f t="shared" si="316"/>
        <v>13,13,13,13,13,13</v>
      </c>
      <c r="G499" s="9" t="str">
        <f t="shared" si="317"/>
        <v>1007,1089,1089,1089,1089,1089</v>
      </c>
      <c r="H499" s="9">
        <v>238</v>
      </c>
      <c r="I499" s="9" t="s">
        <v>278</v>
      </c>
      <c r="J499" s="9" t="s">
        <v>279</v>
      </c>
      <c r="K499" s="9" t="s">
        <v>279</v>
      </c>
      <c r="L499" s="9" t="s">
        <v>279</v>
      </c>
      <c r="M499" s="36" t="s">
        <v>313</v>
      </c>
      <c r="N499" s="40"/>
      <c r="O499" s="3">
        <f t="shared" si="319"/>
        <v>18185737</v>
      </c>
      <c r="P499" s="9">
        <v>14376076.41</v>
      </c>
      <c r="Q499" s="9">
        <v>5201131</v>
      </c>
      <c r="R499" s="9">
        <v>5201132</v>
      </c>
      <c r="S499" s="9">
        <v>5200132</v>
      </c>
      <c r="T499" s="9">
        <v>5502132</v>
      </c>
      <c r="U499" s="9">
        <v>5500133</v>
      </c>
      <c r="V499" s="9">
        <v>5501134</v>
      </c>
      <c r="W499" s="9">
        <v>13</v>
      </c>
      <c r="X499" s="9">
        <v>13</v>
      </c>
      <c r="Y499" s="9">
        <v>13</v>
      </c>
      <c r="Z499" s="9">
        <v>13</v>
      </c>
      <c r="AA499" s="9">
        <v>13</v>
      </c>
      <c r="AB499" s="9">
        <v>13</v>
      </c>
      <c r="AC499" s="9">
        <f t="shared" si="302"/>
        <v>1007</v>
      </c>
      <c r="AD499" s="9">
        <f t="shared" si="303"/>
        <v>1089</v>
      </c>
      <c r="AE499" s="9">
        <f t="shared" si="304"/>
        <v>1089</v>
      </c>
      <c r="AF499" s="9">
        <f t="shared" si="305"/>
        <v>1089</v>
      </c>
      <c r="AG499" s="9">
        <f t="shared" si="306"/>
        <v>1089</v>
      </c>
      <c r="AH499" s="9">
        <f t="shared" si="307"/>
        <v>1089</v>
      </c>
      <c r="AI499" s="7">
        <f t="shared" si="321"/>
        <v>2396012.7349999999</v>
      </c>
      <c r="AJ499" s="7">
        <f t="shared" si="314"/>
        <v>2396012.7349999999</v>
      </c>
      <c r="AK499" s="7">
        <f t="shared" si="314"/>
        <v>2396012.7349999999</v>
      </c>
      <c r="AL499" s="7">
        <f t="shared" si="314"/>
        <v>2396012.7349999999</v>
      </c>
      <c r="AM499" s="7">
        <f t="shared" si="314"/>
        <v>2396012.7349999999</v>
      </c>
      <c r="AN499" s="7">
        <f t="shared" si="314"/>
        <v>2396012.7349999999</v>
      </c>
      <c r="AO499" s="16"/>
      <c r="AP499" s="7"/>
      <c r="AQ499" s="9">
        <v>8</v>
      </c>
      <c r="AR499" s="9">
        <f t="shared" si="308"/>
        <v>1375</v>
      </c>
      <c r="AS499" s="7">
        <f t="shared" si="320"/>
        <v>348</v>
      </c>
      <c r="AT499" s="7"/>
      <c r="AU499" s="16"/>
      <c r="AV499" s="7"/>
      <c r="AW499" s="7"/>
      <c r="AX499" s="7"/>
      <c r="AZ499" s="7"/>
      <c r="BA499" s="9">
        <f t="shared" si="313"/>
        <v>1919575.6000000041</v>
      </c>
      <c r="BC499" s="5" t="e">
        <f t="shared" si="309"/>
        <v>#N/A</v>
      </c>
      <c r="BR499" s="5">
        <v>3206031</v>
      </c>
      <c r="BS499" s="18">
        <f>[1]monsters!$N499</f>
        <v>74.88</v>
      </c>
      <c r="BT499" s="18">
        <f>[1]monsters!$O499</f>
        <v>7.49</v>
      </c>
      <c r="BU499" s="18">
        <f>[1]monsters!$P499</f>
        <v>1280</v>
      </c>
      <c r="BV499" s="18">
        <f>[1]monsters!$Q499</f>
        <v>128</v>
      </c>
      <c r="BW499" s="18">
        <f>[1]monsters!$R499</f>
        <v>14.98</v>
      </c>
      <c r="BX499" s="18">
        <f>[1]monsters!$S499</f>
        <v>1.5</v>
      </c>
      <c r="BY499" s="18">
        <f>[1]monsters!$K499</f>
        <v>1.3</v>
      </c>
      <c r="BZ499" s="5">
        <f>[1]monsters!$D499</f>
        <v>2</v>
      </c>
      <c r="CA499" s="5">
        <f t="shared" si="310"/>
        <v>0.1</v>
      </c>
      <c r="CB499" s="5">
        <f t="shared" si="311"/>
        <v>113.8592430976431</v>
      </c>
      <c r="CC499" s="5">
        <f t="shared" si="312"/>
        <v>11.385924309764311</v>
      </c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>
        <v>0</v>
      </c>
      <c r="CR499" s="3" t="b">
        <f t="shared" si="284"/>
        <v>1</v>
      </c>
      <c r="CS499" s="3" t="b">
        <f t="shared" si="285"/>
        <v>1</v>
      </c>
      <c r="CT499" s="3" t="b">
        <f t="shared" si="286"/>
        <v>1</v>
      </c>
      <c r="CU499" s="3" t="b">
        <f t="shared" si="287"/>
        <v>1</v>
      </c>
      <c r="CV499" s="3" t="b">
        <f t="shared" si="288"/>
        <v>1</v>
      </c>
      <c r="CW499" s="3" t="b">
        <f t="shared" si="289"/>
        <v>1</v>
      </c>
      <c r="CX499" s="9" t="str">
        <f t="shared" si="290"/>
        <v>5201131</v>
      </c>
      <c r="CY499" s="9" t="str">
        <f t="shared" si="291"/>
        <v>5201132</v>
      </c>
      <c r="CZ499" s="9" t="str">
        <f t="shared" si="292"/>
        <v>5200132</v>
      </c>
      <c r="DA499" s="9" t="str">
        <f t="shared" si="293"/>
        <v>5502132</v>
      </c>
      <c r="DB499" s="9" t="str">
        <f t="shared" si="294"/>
        <v>5500133</v>
      </c>
      <c r="DC499" s="9" t="str">
        <f t="shared" si="295"/>
        <v>5501134</v>
      </c>
      <c r="DD499" s="9">
        <v>13</v>
      </c>
      <c r="DE499" s="9">
        <v>13</v>
      </c>
      <c r="DF499" s="9">
        <v>13</v>
      </c>
      <c r="DG499" s="9">
        <v>13</v>
      </c>
      <c r="DH499" s="9">
        <v>13</v>
      </c>
      <c r="DI499" s="9">
        <v>13</v>
      </c>
      <c r="DJ499" s="9">
        <v>5</v>
      </c>
      <c r="DK499" s="9">
        <v>5</v>
      </c>
      <c r="DL499" s="9">
        <v>5</v>
      </c>
      <c r="DM499" s="9">
        <v>5</v>
      </c>
      <c r="DN499" s="9">
        <v>5</v>
      </c>
      <c r="DO499" s="9">
        <v>5</v>
      </c>
      <c r="DP499" s="3" t="s">
        <v>195</v>
      </c>
      <c r="DQ499" s="3" t="s">
        <v>114</v>
      </c>
      <c r="DR499" s="3" t="s">
        <v>199</v>
      </c>
      <c r="DS499" s="3" t="s">
        <v>204</v>
      </c>
      <c r="DT499" s="3" t="s">
        <v>207</v>
      </c>
      <c r="DU499" s="3" t="s">
        <v>214</v>
      </c>
      <c r="DV499" s="3">
        <f t="shared" si="296"/>
        <v>1</v>
      </c>
      <c r="DW499" s="3">
        <f t="shared" si="297"/>
        <v>1</v>
      </c>
      <c r="DX499" s="3">
        <f t="shared" si="298"/>
        <v>1</v>
      </c>
      <c r="DY499" s="3">
        <f t="shared" si="299"/>
        <v>2</v>
      </c>
      <c r="DZ499" s="3">
        <f t="shared" si="300"/>
        <v>2</v>
      </c>
      <c r="EA499" s="3">
        <f t="shared" si="301"/>
        <v>2</v>
      </c>
      <c r="EB499" s="45"/>
    </row>
    <row r="500" spans="1:132" ht="13.5" customHeight="1">
      <c r="A500" s="9">
        <v>497</v>
      </c>
      <c r="B500" s="9">
        <v>1</v>
      </c>
      <c r="C500" s="9">
        <v>2001</v>
      </c>
      <c r="D500" s="9">
        <f t="shared" si="318"/>
        <v>18242027</v>
      </c>
      <c r="E500" s="9" t="str">
        <f t="shared" si="315"/>
        <v>5202133,5202132,5202133,5501135,5500132,5500133</v>
      </c>
      <c r="F500" s="9" t="str">
        <f t="shared" si="316"/>
        <v>13,13,13,13,13,13</v>
      </c>
      <c r="G500" s="9" t="str">
        <f t="shared" si="317"/>
        <v>1009,1091,1091,1091,1091,1091</v>
      </c>
      <c r="H500" s="9">
        <v>238</v>
      </c>
      <c r="I500" s="9" t="s">
        <v>278</v>
      </c>
      <c r="J500" s="9" t="s">
        <v>279</v>
      </c>
      <c r="K500" s="9" t="s">
        <v>279</v>
      </c>
      <c r="L500" s="9" t="s">
        <v>279</v>
      </c>
      <c r="M500" s="36" t="s">
        <v>313</v>
      </c>
      <c r="N500" s="40"/>
      <c r="O500" s="3">
        <f t="shared" si="319"/>
        <v>18242027</v>
      </c>
      <c r="P500" s="9">
        <v>14420574.800000001</v>
      </c>
      <c r="Q500" s="9">
        <v>5202133</v>
      </c>
      <c r="R500" s="9">
        <v>5202132</v>
      </c>
      <c r="S500" s="9">
        <v>5202133</v>
      </c>
      <c r="T500" s="9">
        <v>5501135</v>
      </c>
      <c r="U500" s="9">
        <v>5500132</v>
      </c>
      <c r="V500" s="9">
        <v>5500133</v>
      </c>
      <c r="W500" s="9">
        <v>13</v>
      </c>
      <c r="X500" s="9">
        <v>13</v>
      </c>
      <c r="Y500" s="9">
        <v>13</v>
      </c>
      <c r="Z500" s="9">
        <v>13</v>
      </c>
      <c r="AA500" s="9">
        <v>13</v>
      </c>
      <c r="AB500" s="9">
        <v>13</v>
      </c>
      <c r="AC500" s="9">
        <f t="shared" si="302"/>
        <v>1009</v>
      </c>
      <c r="AD500" s="9">
        <f t="shared" si="303"/>
        <v>1091</v>
      </c>
      <c r="AE500" s="9">
        <f t="shared" si="304"/>
        <v>1091</v>
      </c>
      <c r="AF500" s="9">
        <f t="shared" si="305"/>
        <v>1091</v>
      </c>
      <c r="AG500" s="9">
        <f t="shared" si="306"/>
        <v>1091</v>
      </c>
      <c r="AH500" s="9">
        <f t="shared" si="307"/>
        <v>1091</v>
      </c>
      <c r="AI500" s="7">
        <f t="shared" si="321"/>
        <v>2403429.1333333333</v>
      </c>
      <c r="AJ500" s="7">
        <f t="shared" si="314"/>
        <v>2403429.1333333333</v>
      </c>
      <c r="AK500" s="7">
        <f t="shared" si="314"/>
        <v>2403429.1333333333</v>
      </c>
      <c r="AL500" s="7">
        <f t="shared" si="314"/>
        <v>2403429.1333333333</v>
      </c>
      <c r="AM500" s="7">
        <f t="shared" si="314"/>
        <v>2403429.1333333333</v>
      </c>
      <c r="AN500" s="7">
        <f t="shared" si="314"/>
        <v>2403429.1333333333</v>
      </c>
      <c r="AO500" s="16"/>
      <c r="AP500" s="7"/>
      <c r="AQ500" s="9">
        <v>8</v>
      </c>
      <c r="AR500" s="9">
        <f t="shared" si="308"/>
        <v>1377</v>
      </c>
      <c r="AS500" s="7">
        <f t="shared" si="320"/>
        <v>348</v>
      </c>
      <c r="AT500" s="7"/>
      <c r="AU500" s="16"/>
      <c r="AV500" s="7"/>
      <c r="AW500" s="7"/>
      <c r="AX500" s="7"/>
      <c r="AZ500" s="7"/>
      <c r="BA500" s="9">
        <f t="shared" si="313"/>
        <v>1939681.7000000041</v>
      </c>
      <c r="BC500" s="5" t="e">
        <f t="shared" si="309"/>
        <v>#N/A</v>
      </c>
      <c r="BR500" s="5">
        <v>3406031</v>
      </c>
      <c r="BS500" s="18">
        <f>[1]monsters!$N500</f>
        <v>99.84</v>
      </c>
      <c r="BT500" s="18">
        <f>[1]monsters!$O500</f>
        <v>9.98</v>
      </c>
      <c r="BU500" s="18">
        <f>[1]monsters!$P500</f>
        <v>960</v>
      </c>
      <c r="BV500" s="18">
        <f>[1]monsters!$Q500</f>
        <v>96</v>
      </c>
      <c r="BW500" s="18">
        <f>[1]monsters!$R500</f>
        <v>9.98</v>
      </c>
      <c r="BX500" s="18">
        <f>[1]monsters!$S500</f>
        <v>1</v>
      </c>
      <c r="BY500" s="18">
        <f>[1]monsters!$K500</f>
        <v>1.3</v>
      </c>
      <c r="BZ500" s="5">
        <f>[1]monsters!$D500</f>
        <v>4</v>
      </c>
      <c r="CA500" s="5">
        <f t="shared" si="310"/>
        <v>0.1</v>
      </c>
      <c r="CB500" s="5">
        <f t="shared" si="311"/>
        <v>126.67203232323233</v>
      </c>
      <c r="CC500" s="5">
        <f t="shared" si="312"/>
        <v>12.667203232323233</v>
      </c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>
        <v>0</v>
      </c>
      <c r="CR500" s="3" t="b">
        <f t="shared" si="284"/>
        <v>1</v>
      </c>
      <c r="CS500" s="3" t="b">
        <f t="shared" si="285"/>
        <v>1</v>
      </c>
      <c r="CT500" s="3" t="b">
        <f t="shared" si="286"/>
        <v>1</v>
      </c>
      <c r="CU500" s="3" t="b">
        <f t="shared" si="287"/>
        <v>1</v>
      </c>
      <c r="CV500" s="3" t="b">
        <f t="shared" si="288"/>
        <v>1</v>
      </c>
      <c r="CW500" s="3" t="b">
        <f t="shared" si="289"/>
        <v>1</v>
      </c>
      <c r="CX500" s="9" t="str">
        <f t="shared" si="290"/>
        <v>5202133</v>
      </c>
      <c r="CY500" s="9" t="str">
        <f t="shared" si="291"/>
        <v>5202132</v>
      </c>
      <c r="CZ500" s="9" t="str">
        <f t="shared" si="292"/>
        <v>5202133</v>
      </c>
      <c r="DA500" s="9" t="str">
        <f t="shared" si="293"/>
        <v>5501135</v>
      </c>
      <c r="DB500" s="9" t="str">
        <f t="shared" si="294"/>
        <v>5500132</v>
      </c>
      <c r="DC500" s="9" t="str">
        <f t="shared" si="295"/>
        <v>5500133</v>
      </c>
      <c r="DD500" s="9">
        <v>13</v>
      </c>
      <c r="DE500" s="9">
        <v>13</v>
      </c>
      <c r="DF500" s="9">
        <v>13</v>
      </c>
      <c r="DG500" s="9">
        <v>13</v>
      </c>
      <c r="DH500" s="9">
        <v>13</v>
      </c>
      <c r="DI500" s="9">
        <v>13</v>
      </c>
      <c r="DJ500" s="9">
        <v>5</v>
      </c>
      <c r="DK500" s="9">
        <v>5</v>
      </c>
      <c r="DL500" s="9">
        <v>5</v>
      </c>
      <c r="DM500" s="9">
        <v>5</v>
      </c>
      <c r="DN500" s="9">
        <v>5</v>
      </c>
      <c r="DO500" s="9">
        <v>5</v>
      </c>
      <c r="DP500" s="25" t="s">
        <v>208</v>
      </c>
      <c r="DQ500" s="25" t="s">
        <v>200</v>
      </c>
      <c r="DR500" s="25" t="s">
        <v>208</v>
      </c>
      <c r="DS500" s="25" t="s">
        <v>209</v>
      </c>
      <c r="DT500" s="25" t="s">
        <v>109</v>
      </c>
      <c r="DU500" s="25" t="s">
        <v>207</v>
      </c>
      <c r="DV500" s="25">
        <f t="shared" si="296"/>
        <v>1</v>
      </c>
      <c r="DW500" s="25">
        <f t="shared" si="297"/>
        <v>1</v>
      </c>
      <c r="DX500" s="25">
        <f t="shared" si="298"/>
        <v>1</v>
      </c>
      <c r="DY500" s="25">
        <f t="shared" si="299"/>
        <v>2</v>
      </c>
      <c r="DZ500" s="25">
        <f t="shared" si="300"/>
        <v>2</v>
      </c>
      <c r="EA500" s="3">
        <f t="shared" si="301"/>
        <v>2</v>
      </c>
      <c r="EB500" s="45"/>
    </row>
    <row r="501" spans="1:132" ht="13.5" customHeight="1">
      <c r="A501" s="9">
        <v>498</v>
      </c>
      <c r="B501" s="9">
        <v>1</v>
      </c>
      <c r="C501" s="9">
        <v>2001</v>
      </c>
      <c r="D501" s="9">
        <f t="shared" si="318"/>
        <v>18298406</v>
      </c>
      <c r="E501" s="9" t="str">
        <f t="shared" si="315"/>
        <v>5301131,5301132,5301133,5501134,5501135,5502133</v>
      </c>
      <c r="F501" s="9" t="str">
        <f t="shared" si="316"/>
        <v>13,13,13,13,13,13</v>
      </c>
      <c r="G501" s="9" t="str">
        <f t="shared" si="317"/>
        <v>1011,1092,1092,1092,1092,1092</v>
      </c>
      <c r="H501" s="9">
        <v>239</v>
      </c>
      <c r="I501" s="9" t="s">
        <v>278</v>
      </c>
      <c r="J501" s="9" t="s">
        <v>279</v>
      </c>
      <c r="K501" s="9" t="s">
        <v>279</v>
      </c>
      <c r="L501" s="9" t="s">
        <v>279</v>
      </c>
      <c r="M501" s="36" t="s">
        <v>313</v>
      </c>
      <c r="N501" s="40"/>
      <c r="O501" s="3">
        <f t="shared" si="319"/>
        <v>18298406</v>
      </c>
      <c r="P501" s="9">
        <v>14465142.84</v>
      </c>
      <c r="Q501" s="9">
        <v>5301131</v>
      </c>
      <c r="R501" s="9">
        <v>5301132</v>
      </c>
      <c r="S501" s="9">
        <v>5301133</v>
      </c>
      <c r="T501" s="9">
        <v>5501134</v>
      </c>
      <c r="U501" s="9">
        <v>5501135</v>
      </c>
      <c r="V501" s="9">
        <v>5502133</v>
      </c>
      <c r="W501" s="9">
        <v>13</v>
      </c>
      <c r="X501" s="9">
        <v>13</v>
      </c>
      <c r="Y501" s="9">
        <v>13</v>
      </c>
      <c r="Z501" s="9">
        <v>13</v>
      </c>
      <c r="AA501" s="9">
        <v>13</v>
      </c>
      <c r="AB501" s="9">
        <v>13</v>
      </c>
      <c r="AC501" s="9">
        <f t="shared" si="302"/>
        <v>1011</v>
      </c>
      <c r="AD501" s="9">
        <f t="shared" si="303"/>
        <v>1092</v>
      </c>
      <c r="AE501" s="9">
        <f t="shared" si="304"/>
        <v>1092</v>
      </c>
      <c r="AF501" s="9">
        <f t="shared" si="305"/>
        <v>1092</v>
      </c>
      <c r="AG501" s="9">
        <f t="shared" si="306"/>
        <v>1092</v>
      </c>
      <c r="AH501" s="9">
        <f t="shared" si="307"/>
        <v>1092</v>
      </c>
      <c r="AI501" s="7">
        <f t="shared" si="321"/>
        <v>2410857.14</v>
      </c>
      <c r="AJ501" s="7">
        <f t="shared" si="314"/>
        <v>2410857.14</v>
      </c>
      <c r="AK501" s="7">
        <f t="shared" si="314"/>
        <v>2410857.14</v>
      </c>
      <c r="AL501" s="7">
        <f t="shared" si="314"/>
        <v>2410857.14</v>
      </c>
      <c r="AM501" s="7">
        <f t="shared" si="314"/>
        <v>2410857.14</v>
      </c>
      <c r="AN501" s="7">
        <f t="shared" si="314"/>
        <v>2410857.14</v>
      </c>
      <c r="AO501" s="16"/>
      <c r="AP501" s="7"/>
      <c r="AQ501" s="9">
        <v>8</v>
      </c>
      <c r="AR501" s="9">
        <f t="shared" si="308"/>
        <v>1379</v>
      </c>
      <c r="AS501" s="7">
        <f t="shared" si="320"/>
        <v>349</v>
      </c>
      <c r="AT501" s="7"/>
      <c r="AU501" s="16"/>
      <c r="AV501" s="7"/>
      <c r="AW501" s="7"/>
      <c r="AX501" s="7"/>
      <c r="AZ501" s="7"/>
      <c r="BA501" s="9">
        <f t="shared" si="313"/>
        <v>1959787.8000000042</v>
      </c>
      <c r="BC501" s="5" t="e">
        <f t="shared" si="309"/>
        <v>#N/A</v>
      </c>
      <c r="BR501" s="5">
        <v>3205031</v>
      </c>
      <c r="BS501" s="18">
        <f>[1]monsters!$N501</f>
        <v>103.68</v>
      </c>
      <c r="BT501" s="18">
        <f>[1]monsters!$O501</f>
        <v>10.37</v>
      </c>
      <c r="BU501" s="18">
        <f>[1]monsters!$P501</f>
        <v>1280</v>
      </c>
      <c r="BV501" s="18">
        <f>[1]monsters!$Q501</f>
        <v>128</v>
      </c>
      <c r="BW501" s="18">
        <f>[1]monsters!$R501</f>
        <v>20.74</v>
      </c>
      <c r="BX501" s="18">
        <f>[1]monsters!$S501</f>
        <v>2.0699999999999998</v>
      </c>
      <c r="BY501" s="18">
        <f>[1]monsters!$K501</f>
        <v>1.8</v>
      </c>
      <c r="BZ501" s="5">
        <f>[1]monsters!$D501</f>
        <v>2</v>
      </c>
      <c r="CA501" s="5">
        <f t="shared" si="310"/>
        <v>0.1</v>
      </c>
      <c r="CB501" s="5">
        <f t="shared" si="311"/>
        <v>141.07524309764312</v>
      </c>
      <c r="CC501" s="5">
        <f t="shared" si="312"/>
        <v>14.107524309764313</v>
      </c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>
        <v>0</v>
      </c>
      <c r="CR501" s="3" t="b">
        <f t="shared" si="284"/>
        <v>1</v>
      </c>
      <c r="CS501" s="3" t="b">
        <f t="shared" si="285"/>
        <v>1</v>
      </c>
      <c r="CT501" s="3" t="b">
        <f t="shared" si="286"/>
        <v>1</v>
      </c>
      <c r="CU501" s="3" t="b">
        <f t="shared" si="287"/>
        <v>1</v>
      </c>
      <c r="CV501" s="3" t="b">
        <f t="shared" si="288"/>
        <v>1</v>
      </c>
      <c r="CW501" s="3" t="b">
        <f t="shared" si="289"/>
        <v>1</v>
      </c>
      <c r="CX501" s="9" t="str">
        <f t="shared" si="290"/>
        <v>5301131</v>
      </c>
      <c r="CY501" s="9" t="str">
        <f t="shared" si="291"/>
        <v>5301132</v>
      </c>
      <c r="CZ501" s="9" t="str">
        <f t="shared" si="292"/>
        <v>5301133</v>
      </c>
      <c r="DA501" s="9" t="str">
        <f t="shared" si="293"/>
        <v>5501134</v>
      </c>
      <c r="DB501" s="9" t="str">
        <f t="shared" si="294"/>
        <v>5501135</v>
      </c>
      <c r="DC501" s="9" t="str">
        <f t="shared" si="295"/>
        <v>5502133</v>
      </c>
      <c r="DD501" s="9">
        <v>13</v>
      </c>
      <c r="DE501" s="9">
        <v>13</v>
      </c>
      <c r="DF501" s="9">
        <v>13</v>
      </c>
      <c r="DG501" s="9">
        <v>13</v>
      </c>
      <c r="DH501" s="9">
        <v>13</v>
      </c>
      <c r="DI501" s="9">
        <v>13</v>
      </c>
      <c r="DJ501" s="9">
        <v>5</v>
      </c>
      <c r="DK501" s="9">
        <v>5</v>
      </c>
      <c r="DL501" s="9">
        <v>5</v>
      </c>
      <c r="DM501" s="9">
        <v>5</v>
      </c>
      <c r="DN501" s="9">
        <v>5</v>
      </c>
      <c r="DO501" s="9">
        <v>5</v>
      </c>
      <c r="DP501" s="26" t="s">
        <v>107</v>
      </c>
      <c r="DQ501" s="26" t="s">
        <v>201</v>
      </c>
      <c r="DR501" s="26" t="s">
        <v>206</v>
      </c>
      <c r="DS501" s="26" t="s">
        <v>214</v>
      </c>
      <c r="DT501" s="26" t="s">
        <v>209</v>
      </c>
      <c r="DU501" s="26" t="s">
        <v>215</v>
      </c>
      <c r="DV501" s="26">
        <f t="shared" si="296"/>
        <v>1</v>
      </c>
      <c r="DW501" s="26">
        <f t="shared" si="297"/>
        <v>1</v>
      </c>
      <c r="DX501" s="26">
        <f t="shared" si="298"/>
        <v>1</v>
      </c>
      <c r="DY501" s="26">
        <f t="shared" si="299"/>
        <v>2</v>
      </c>
      <c r="DZ501" s="26">
        <f t="shared" si="300"/>
        <v>2</v>
      </c>
      <c r="EA501" s="3">
        <f t="shared" si="301"/>
        <v>2</v>
      </c>
      <c r="EB501" s="45"/>
    </row>
    <row r="502" spans="1:132" ht="13.5" customHeight="1">
      <c r="A502" s="9">
        <v>499</v>
      </c>
      <c r="B502" s="9">
        <v>1</v>
      </c>
      <c r="C502" s="9">
        <v>2001</v>
      </c>
      <c r="D502" s="9">
        <f t="shared" si="318"/>
        <v>18354872</v>
      </c>
      <c r="E502" s="9" t="str">
        <f t="shared" si="315"/>
        <v>5200132,5200133,5202132,5402132,5500133,5501134</v>
      </c>
      <c r="F502" s="9" t="str">
        <f t="shared" si="316"/>
        <v>13,13,13,13,13,13</v>
      </c>
      <c r="G502" s="9" t="str">
        <f t="shared" si="317"/>
        <v>1012,1094,1094,1094,1094,1094</v>
      </c>
      <c r="H502" s="9">
        <v>239</v>
      </c>
      <c r="I502" s="9" t="s">
        <v>278</v>
      </c>
      <c r="J502" s="9" t="s">
        <v>279</v>
      </c>
      <c r="K502" s="9" t="s">
        <v>279</v>
      </c>
      <c r="L502" s="9" t="s">
        <v>279</v>
      </c>
      <c r="M502" s="36" t="s">
        <v>313</v>
      </c>
      <c r="N502" s="40"/>
      <c r="O502" s="3">
        <f t="shared" si="319"/>
        <v>18354872</v>
      </c>
      <c r="P502" s="9">
        <v>14509780.529999999</v>
      </c>
      <c r="Q502" s="9">
        <v>5200132</v>
      </c>
      <c r="R502" s="9">
        <v>5200133</v>
      </c>
      <c r="S502" s="9">
        <v>5202132</v>
      </c>
      <c r="T502" s="9">
        <v>5402132</v>
      </c>
      <c r="U502" s="9">
        <v>5500133</v>
      </c>
      <c r="V502" s="9">
        <v>5501134</v>
      </c>
      <c r="W502" s="9">
        <v>13</v>
      </c>
      <c r="X502" s="9">
        <v>13</v>
      </c>
      <c r="Y502" s="9">
        <v>13</v>
      </c>
      <c r="Z502" s="9">
        <v>13</v>
      </c>
      <c r="AA502" s="9">
        <v>13</v>
      </c>
      <c r="AB502" s="9">
        <v>13</v>
      </c>
      <c r="AC502" s="9">
        <f t="shared" si="302"/>
        <v>1012</v>
      </c>
      <c r="AD502" s="9">
        <f t="shared" si="303"/>
        <v>1094</v>
      </c>
      <c r="AE502" s="9">
        <f t="shared" si="304"/>
        <v>1094</v>
      </c>
      <c r="AF502" s="9">
        <f t="shared" si="305"/>
        <v>1094</v>
      </c>
      <c r="AG502" s="9">
        <f t="shared" si="306"/>
        <v>1094</v>
      </c>
      <c r="AH502" s="9">
        <f t="shared" si="307"/>
        <v>1094</v>
      </c>
      <c r="AI502" s="7">
        <f t="shared" si="321"/>
        <v>2418296.7549999999</v>
      </c>
      <c r="AJ502" s="7">
        <f t="shared" si="314"/>
        <v>2418296.7549999999</v>
      </c>
      <c r="AK502" s="7">
        <f t="shared" si="314"/>
        <v>2418296.7549999999</v>
      </c>
      <c r="AL502" s="7">
        <f t="shared" si="314"/>
        <v>2418296.7549999999</v>
      </c>
      <c r="AM502" s="7">
        <f t="shared" si="314"/>
        <v>2418296.7549999999</v>
      </c>
      <c r="AN502" s="7">
        <f t="shared" si="314"/>
        <v>2418296.7549999999</v>
      </c>
      <c r="AO502" s="16"/>
      <c r="AP502" s="7"/>
      <c r="AQ502" s="9">
        <v>8</v>
      </c>
      <c r="AR502" s="9">
        <f t="shared" si="308"/>
        <v>1381</v>
      </c>
      <c r="AS502" s="7">
        <f t="shared" si="320"/>
        <v>349</v>
      </c>
      <c r="AT502" s="7"/>
      <c r="AU502" s="16"/>
      <c r="AV502" s="7"/>
      <c r="AW502" s="7"/>
      <c r="AX502" s="7"/>
      <c r="AZ502" s="7"/>
      <c r="BA502" s="9">
        <f t="shared" si="313"/>
        <v>1979893.9000000043</v>
      </c>
      <c r="BC502" s="5" t="e">
        <f t="shared" si="309"/>
        <v>#N/A</v>
      </c>
      <c r="BR502" s="5">
        <v>3405031</v>
      </c>
      <c r="BS502" s="18">
        <f>[1]monsters!$N502</f>
        <v>120</v>
      </c>
      <c r="BT502" s="18">
        <f>[1]monsters!$O502</f>
        <v>12</v>
      </c>
      <c r="BU502" s="18">
        <f>[1]monsters!$P502</f>
        <v>921.6</v>
      </c>
      <c r="BV502" s="18">
        <f>[1]monsters!$Q502</f>
        <v>92.16</v>
      </c>
      <c r="BW502" s="18">
        <f>[1]monsters!$R502</f>
        <v>12</v>
      </c>
      <c r="BX502" s="18">
        <f>[1]monsters!$S502</f>
        <v>1.2</v>
      </c>
      <c r="BY502" s="18">
        <f>[1]monsters!$K502</f>
        <v>1.5</v>
      </c>
      <c r="BZ502" s="5">
        <f>[1]monsters!$D502</f>
        <v>4</v>
      </c>
      <c r="CA502" s="5">
        <f t="shared" si="310"/>
        <v>0.1</v>
      </c>
      <c r="CB502" s="5">
        <f t="shared" si="311"/>
        <v>144.43030303030304</v>
      </c>
      <c r="CC502" s="5">
        <f t="shared" si="312"/>
        <v>14.443030303030305</v>
      </c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>
        <v>0</v>
      </c>
      <c r="CR502" s="3" t="b">
        <f t="shared" si="284"/>
        <v>1</v>
      </c>
      <c r="CS502" s="3" t="b">
        <f t="shared" si="285"/>
        <v>1</v>
      </c>
      <c r="CT502" s="3" t="b">
        <f t="shared" si="286"/>
        <v>1</v>
      </c>
      <c r="CU502" s="3" t="b">
        <f t="shared" si="287"/>
        <v>1</v>
      </c>
      <c r="CV502" s="3" t="b">
        <f t="shared" si="288"/>
        <v>1</v>
      </c>
      <c r="CW502" s="3" t="b">
        <f t="shared" si="289"/>
        <v>1</v>
      </c>
      <c r="CX502" s="9" t="str">
        <f t="shared" si="290"/>
        <v>5200132</v>
      </c>
      <c r="CY502" s="9" t="str">
        <f t="shared" si="291"/>
        <v>5200133</v>
      </c>
      <c r="CZ502" s="9" t="str">
        <f t="shared" si="292"/>
        <v>5202132</v>
      </c>
      <c r="DA502" s="9" t="str">
        <f t="shared" si="293"/>
        <v>5402132</v>
      </c>
      <c r="DB502" s="9" t="str">
        <f t="shared" si="294"/>
        <v>5500133</v>
      </c>
      <c r="DC502" s="9" t="str">
        <f t="shared" si="295"/>
        <v>5501134</v>
      </c>
      <c r="DD502" s="9">
        <v>13</v>
      </c>
      <c r="DE502" s="9">
        <v>13</v>
      </c>
      <c r="DF502" s="9">
        <v>13</v>
      </c>
      <c r="DG502" s="9">
        <v>13</v>
      </c>
      <c r="DH502" s="9">
        <v>13</v>
      </c>
      <c r="DI502" s="9">
        <v>13</v>
      </c>
      <c r="DJ502" s="9">
        <v>5</v>
      </c>
      <c r="DK502" s="9">
        <v>5</v>
      </c>
      <c r="DL502" s="9">
        <v>5</v>
      </c>
      <c r="DM502" s="9">
        <v>5</v>
      </c>
      <c r="DN502" s="9">
        <v>5</v>
      </c>
      <c r="DO502" s="9">
        <v>5</v>
      </c>
      <c r="DP502" s="25" t="s">
        <v>199</v>
      </c>
      <c r="DQ502" s="25" t="s">
        <v>113</v>
      </c>
      <c r="DR502" s="26" t="s">
        <v>200</v>
      </c>
      <c r="DS502" s="26" t="s">
        <v>203</v>
      </c>
      <c r="DT502" s="26" t="s">
        <v>207</v>
      </c>
      <c r="DU502" s="26" t="s">
        <v>214</v>
      </c>
      <c r="DV502" s="26">
        <f t="shared" si="296"/>
        <v>1</v>
      </c>
      <c r="DW502" s="26">
        <f t="shared" si="297"/>
        <v>1</v>
      </c>
      <c r="DX502" s="26">
        <f t="shared" si="298"/>
        <v>1</v>
      </c>
      <c r="DY502" s="26">
        <f t="shared" si="299"/>
        <v>2</v>
      </c>
      <c r="DZ502" s="26">
        <f t="shared" si="300"/>
        <v>2</v>
      </c>
      <c r="EA502" s="3">
        <f t="shared" si="301"/>
        <v>2</v>
      </c>
      <c r="EB502" s="46"/>
    </row>
    <row r="503" spans="1:132" ht="13.5" customHeight="1">
      <c r="A503" s="9">
        <v>500</v>
      </c>
      <c r="B503" s="9">
        <v>1</v>
      </c>
      <c r="C503" s="9">
        <v>2001</v>
      </c>
      <c r="D503" s="9">
        <f t="shared" si="318"/>
        <v>19211921</v>
      </c>
      <c r="E503" s="9" t="str">
        <f t="shared" si="315"/>
        <v>5300135,5201132,5301131,5400135,5400135,5400135</v>
      </c>
      <c r="F503" s="9" t="str">
        <f t="shared" si="316"/>
        <v>13,13,13,13,13,13</v>
      </c>
      <c r="G503" s="9" t="str">
        <f t="shared" si="317"/>
        <v>1014,1096,1096,1096,1096,1096</v>
      </c>
      <c r="H503" s="9">
        <v>240</v>
      </c>
      <c r="I503" s="9" t="s">
        <v>278</v>
      </c>
      <c r="J503" s="9" t="s">
        <v>279</v>
      </c>
      <c r="K503" s="9" t="s">
        <v>279</v>
      </c>
      <c r="L503" s="9" t="s">
        <v>279</v>
      </c>
      <c r="M503" s="36" t="s">
        <v>313</v>
      </c>
      <c r="O503" s="3">
        <f>ROUND(P503*1.1*1.2,0)</f>
        <v>19211921</v>
      </c>
      <c r="P503" s="9">
        <v>14554485.880000001</v>
      </c>
      <c r="Q503" s="9">
        <v>5300135</v>
      </c>
      <c r="R503" s="9">
        <v>5201132</v>
      </c>
      <c r="S503" s="9">
        <v>5301131</v>
      </c>
      <c r="T503" s="9">
        <v>5400135</v>
      </c>
      <c r="U503" s="9">
        <v>5400135</v>
      </c>
      <c r="V503" s="9">
        <v>5400135</v>
      </c>
      <c r="W503" s="9">
        <v>13</v>
      </c>
      <c r="X503" s="9">
        <v>13</v>
      </c>
      <c r="Y503" s="9">
        <v>13</v>
      </c>
      <c r="Z503" s="9">
        <v>13</v>
      </c>
      <c r="AA503" s="9">
        <v>13</v>
      </c>
      <c r="AB503" s="9">
        <v>13</v>
      </c>
      <c r="AC503" s="9">
        <f t="shared" si="302"/>
        <v>1014</v>
      </c>
      <c r="AD503" s="9">
        <f t="shared" si="303"/>
        <v>1096</v>
      </c>
      <c r="AE503" s="9">
        <f t="shared" si="304"/>
        <v>1096</v>
      </c>
      <c r="AF503" s="9">
        <f t="shared" si="305"/>
        <v>1096</v>
      </c>
      <c r="AG503" s="9">
        <f t="shared" si="306"/>
        <v>1096</v>
      </c>
      <c r="AH503" s="9">
        <f t="shared" si="307"/>
        <v>1096</v>
      </c>
      <c r="AI503" s="7">
        <f t="shared" si="321"/>
        <v>2425747.646666667</v>
      </c>
      <c r="AJ503" s="7">
        <f t="shared" si="314"/>
        <v>2425747.646666667</v>
      </c>
      <c r="AK503" s="7">
        <f t="shared" si="314"/>
        <v>2425747.646666667</v>
      </c>
      <c r="AL503" s="7">
        <f t="shared" si="314"/>
        <v>2425747.646666667</v>
      </c>
      <c r="AM503" s="7">
        <f t="shared" si="314"/>
        <v>2425747.646666667</v>
      </c>
      <c r="AN503" s="7">
        <f t="shared" si="314"/>
        <v>2425747.646666667</v>
      </c>
      <c r="AO503" s="16"/>
      <c r="AP503" s="7"/>
      <c r="AQ503" s="9">
        <v>8</v>
      </c>
      <c r="AR503" s="9">
        <f t="shared" si="308"/>
        <v>1383</v>
      </c>
      <c r="AS503" s="7">
        <f t="shared" si="320"/>
        <v>350</v>
      </c>
      <c r="AT503" s="7"/>
      <c r="AU503" s="16"/>
      <c r="AV503" s="7"/>
      <c r="AW503" s="7"/>
      <c r="AX503" s="7"/>
      <c r="AY503" s="9">
        <v>9</v>
      </c>
      <c r="AZ503" s="7">
        <v>200</v>
      </c>
      <c r="BA503" s="9">
        <v>2000000</v>
      </c>
      <c r="BC503" s="5" t="e">
        <f t="shared" si="309"/>
        <v>#N/A</v>
      </c>
      <c r="BR503" s="5">
        <v>3203031</v>
      </c>
      <c r="BS503" s="18">
        <f>[1]monsters!$N503</f>
        <v>91.52</v>
      </c>
      <c r="BT503" s="18">
        <f>[1]monsters!$O503</f>
        <v>9.15</v>
      </c>
      <c r="BU503" s="18">
        <f>[1]monsters!$P503</f>
        <v>1047.27</v>
      </c>
      <c r="BV503" s="18">
        <f>[1]monsters!$Q503</f>
        <v>104.73</v>
      </c>
      <c r="BW503" s="18">
        <f>[1]monsters!$R503</f>
        <v>11.44</v>
      </c>
      <c r="BX503" s="18">
        <f>[1]monsters!$S503</f>
        <v>1.1399999999999999</v>
      </c>
      <c r="BY503" s="18">
        <f>[1]monsters!$K503</f>
        <v>1.3</v>
      </c>
      <c r="BZ503" s="5">
        <f>[1]monsters!$D503</f>
        <v>3</v>
      </c>
      <c r="CA503" s="5">
        <f t="shared" si="310"/>
        <v>0.1</v>
      </c>
      <c r="CB503" s="5">
        <f t="shared" si="311"/>
        <v>121.74801616161616</v>
      </c>
      <c r="CC503" s="5">
        <f t="shared" si="312"/>
        <v>12.174801616161616</v>
      </c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>
        <v>1</v>
      </c>
      <c r="CR503" s="3" t="b">
        <f t="shared" si="284"/>
        <v>1</v>
      </c>
      <c r="CS503" s="3" t="b">
        <f t="shared" si="285"/>
        <v>1</v>
      </c>
      <c r="CT503" s="3" t="b">
        <f t="shared" si="286"/>
        <v>1</v>
      </c>
      <c r="CU503" s="3" t="b">
        <f t="shared" si="287"/>
        <v>1</v>
      </c>
      <c r="CV503" s="3" t="b">
        <f t="shared" si="288"/>
        <v>1</v>
      </c>
      <c r="CW503" s="3" t="b">
        <f t="shared" si="289"/>
        <v>1</v>
      </c>
      <c r="CX503" s="9" t="str">
        <f t="shared" si="290"/>
        <v>5300135</v>
      </c>
      <c r="CY503" s="9" t="str">
        <f t="shared" si="291"/>
        <v>5201132</v>
      </c>
      <c r="CZ503" s="9" t="str">
        <f t="shared" si="292"/>
        <v>5301131</v>
      </c>
      <c r="DA503" s="9" t="str">
        <f t="shared" si="293"/>
        <v>5400135</v>
      </c>
      <c r="DB503" s="9" t="str">
        <f t="shared" si="294"/>
        <v>5400135</v>
      </c>
      <c r="DC503" s="9" t="str">
        <f t="shared" si="295"/>
        <v>5400135</v>
      </c>
      <c r="DD503" s="9">
        <v>13</v>
      </c>
      <c r="DE503" s="9">
        <v>13</v>
      </c>
      <c r="DF503" s="9">
        <v>13</v>
      </c>
      <c r="DG503" s="9">
        <v>13</v>
      </c>
      <c r="DH503" s="9">
        <v>13</v>
      </c>
      <c r="DI503" s="9">
        <v>13</v>
      </c>
      <c r="DJ503" s="9">
        <v>5</v>
      </c>
      <c r="DK503" s="9">
        <v>5</v>
      </c>
      <c r="DL503" s="9">
        <v>5</v>
      </c>
      <c r="DM503" s="9">
        <v>5</v>
      </c>
      <c r="DN503" s="9">
        <v>5</v>
      </c>
      <c r="DO503" s="9">
        <v>5</v>
      </c>
      <c r="DP503" s="25" t="s">
        <v>212</v>
      </c>
      <c r="DQ503" s="25" t="s">
        <v>114</v>
      </c>
      <c r="DR503" s="25" t="s">
        <v>107</v>
      </c>
      <c r="DS503" s="26" t="s">
        <v>210</v>
      </c>
      <c r="DT503" s="26" t="s">
        <v>210</v>
      </c>
      <c r="DU503" s="26" t="s">
        <v>210</v>
      </c>
      <c r="DV503" s="26">
        <f t="shared" si="296"/>
        <v>1</v>
      </c>
      <c r="DW503" s="26">
        <f t="shared" si="297"/>
        <v>1</v>
      </c>
      <c r="DX503" s="26">
        <f t="shared" si="298"/>
        <v>1</v>
      </c>
      <c r="DY503" s="26">
        <f t="shared" si="299"/>
        <v>2</v>
      </c>
      <c r="DZ503" s="26">
        <f t="shared" si="300"/>
        <v>2</v>
      </c>
      <c r="EA503" s="3">
        <f t="shared" si="301"/>
        <v>2</v>
      </c>
      <c r="EB503" s="45"/>
    </row>
    <row r="504" spans="1:132" ht="13.5" customHeight="1">
      <c r="A504" s="9">
        <v>501</v>
      </c>
      <c r="B504" s="9">
        <v>1</v>
      </c>
      <c r="C504" s="9">
        <v>2001</v>
      </c>
      <c r="D504" s="9">
        <f t="shared" si="318"/>
        <v>19631734</v>
      </c>
      <c r="E504" s="9" t="str">
        <f t="shared" si="315"/>
        <v>5201131,5200133,5202131,5502132,5500131,5601132</v>
      </c>
      <c r="F504" s="9" t="str">
        <f t="shared" si="316"/>
        <v>13,13,13,13,13,13</v>
      </c>
      <c r="G504" s="9" t="str">
        <f t="shared" si="317"/>
        <v>1025,1108,1108,1108,1108,1108</v>
      </c>
      <c r="H504" s="9">
        <v>240</v>
      </c>
      <c r="I504" s="9" t="s">
        <v>278</v>
      </c>
      <c r="J504" s="9" t="s">
        <v>279</v>
      </c>
      <c r="K504" s="9" t="s">
        <v>279</v>
      </c>
      <c r="L504" s="9" t="s">
        <v>279</v>
      </c>
      <c r="M504" s="36" t="s">
        <v>313</v>
      </c>
      <c r="N504" s="40"/>
      <c r="O504" s="3">
        <f t="shared" ref="O504:O567" si="322">ROUND(P504*1.1*1.2,0)</f>
        <v>19631734</v>
      </c>
      <c r="P504" s="9">
        <v>14872525.689999999</v>
      </c>
      <c r="Q504" s="9">
        <v>5201131</v>
      </c>
      <c r="R504" s="9">
        <v>5200133</v>
      </c>
      <c r="S504" s="9">
        <v>5202131</v>
      </c>
      <c r="T504" s="9">
        <v>5502132</v>
      </c>
      <c r="U504" s="9">
        <v>5500131</v>
      </c>
      <c r="V504" s="9">
        <v>5601132</v>
      </c>
      <c r="W504" s="9">
        <v>13</v>
      </c>
      <c r="X504" s="9">
        <v>13</v>
      </c>
      <c r="Y504" s="9">
        <v>13</v>
      </c>
      <c r="Z504" s="9">
        <v>13</v>
      </c>
      <c r="AA504" s="9">
        <v>13</v>
      </c>
      <c r="AB504" s="9">
        <v>13</v>
      </c>
      <c r="AC504" s="9">
        <f t="shared" si="302"/>
        <v>1025</v>
      </c>
      <c r="AD504" s="9">
        <f t="shared" si="303"/>
        <v>1108</v>
      </c>
      <c r="AE504" s="9">
        <f t="shared" si="304"/>
        <v>1108</v>
      </c>
      <c r="AF504" s="9">
        <f t="shared" si="305"/>
        <v>1108</v>
      </c>
      <c r="AG504" s="9">
        <f t="shared" si="306"/>
        <v>1108</v>
      </c>
      <c r="AH504" s="9">
        <f t="shared" si="307"/>
        <v>1108</v>
      </c>
      <c r="AI504" s="7">
        <f t="shared" si="321"/>
        <v>2478754.2816666667</v>
      </c>
      <c r="AJ504" s="7">
        <f t="shared" si="321"/>
        <v>2478754.2816666667</v>
      </c>
      <c r="AK504" s="7">
        <f t="shared" si="321"/>
        <v>2478754.2816666667</v>
      </c>
      <c r="AL504" s="7">
        <f t="shared" si="321"/>
        <v>2478754.2816666667</v>
      </c>
      <c r="AM504" s="7">
        <f t="shared" si="321"/>
        <v>2478754.2816666667</v>
      </c>
      <c r="AN504" s="7">
        <f t="shared" si="321"/>
        <v>2478754.2816666667</v>
      </c>
      <c r="AO504" s="16"/>
      <c r="AP504" s="7"/>
      <c r="AQ504" s="9">
        <v>8</v>
      </c>
      <c r="AR504" s="9">
        <f t="shared" si="308"/>
        <v>1398</v>
      </c>
      <c r="AS504" s="7">
        <f t="shared" si="320"/>
        <v>350</v>
      </c>
      <c r="AT504" s="7"/>
      <c r="AU504" s="16"/>
      <c r="AV504" s="7"/>
      <c r="AW504" s="7"/>
      <c r="AX504" s="7"/>
      <c r="AZ504" s="7"/>
      <c r="BA504" s="9">
        <f t="shared" ref="BA504:BA552" si="323">BA503+($BA$553-$BA$503)/($A$553-$A$503)</f>
        <v>2010592.62</v>
      </c>
      <c r="BC504" s="5" t="e">
        <f t="shared" si="309"/>
        <v>#N/A</v>
      </c>
      <c r="BR504" s="5">
        <v>3403031</v>
      </c>
      <c r="BS504" s="18">
        <f>[1]monsters!$N504</f>
        <v>126.72</v>
      </c>
      <c r="BT504" s="18">
        <f>[1]monsters!$O504</f>
        <v>12.67</v>
      </c>
      <c r="BU504" s="18">
        <f>[1]monsters!$P504</f>
        <v>1047.27</v>
      </c>
      <c r="BV504" s="18">
        <f>[1]monsters!$Q504</f>
        <v>104.73</v>
      </c>
      <c r="BW504" s="18">
        <f>[1]monsters!$R504</f>
        <v>21.12</v>
      </c>
      <c r="BX504" s="18">
        <f>[1]monsters!$S504</f>
        <v>2.11</v>
      </c>
      <c r="BY504" s="18">
        <f>[1]monsters!$K504</f>
        <v>1.8</v>
      </c>
      <c r="BZ504" s="5">
        <f>[1]monsters!$D504</f>
        <v>5</v>
      </c>
      <c r="CA504" s="5">
        <f t="shared" si="310"/>
        <v>0.1</v>
      </c>
      <c r="CB504" s="5">
        <f t="shared" si="311"/>
        <v>155.01201616161617</v>
      </c>
      <c r="CC504" s="5">
        <f t="shared" si="312"/>
        <v>15.501201616161618</v>
      </c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>
        <v>0</v>
      </c>
      <c r="CR504" s="3" t="b">
        <f t="shared" si="284"/>
        <v>1</v>
      </c>
      <c r="CS504" s="3" t="b">
        <f t="shared" si="285"/>
        <v>1</v>
      </c>
      <c r="CT504" s="3" t="b">
        <f t="shared" si="286"/>
        <v>1</v>
      </c>
      <c r="CU504" s="3" t="b">
        <f t="shared" si="287"/>
        <v>1</v>
      </c>
      <c r="CV504" s="3" t="b">
        <f t="shared" si="288"/>
        <v>1</v>
      </c>
      <c r="CW504" s="3" t="b">
        <f t="shared" si="289"/>
        <v>1</v>
      </c>
      <c r="CX504" s="9" t="str">
        <f t="shared" si="290"/>
        <v>5201131</v>
      </c>
      <c r="CY504" s="9" t="str">
        <f t="shared" si="291"/>
        <v>5200133</v>
      </c>
      <c r="CZ504" s="9" t="str">
        <f t="shared" si="292"/>
        <v>5202131</v>
      </c>
      <c r="DA504" s="9" t="str">
        <f t="shared" si="293"/>
        <v>5502132</v>
      </c>
      <c r="DB504" s="9" t="str">
        <f t="shared" si="294"/>
        <v>5500131</v>
      </c>
      <c r="DC504" s="9" t="str">
        <f t="shared" si="295"/>
        <v>5601132</v>
      </c>
      <c r="DD504" s="9">
        <v>13</v>
      </c>
      <c r="DE504" s="9">
        <v>13</v>
      </c>
      <c r="DF504" s="9">
        <v>13</v>
      </c>
      <c r="DG504" s="9">
        <v>13</v>
      </c>
      <c r="DH504" s="9">
        <v>13</v>
      </c>
      <c r="DI504" s="9">
        <v>13</v>
      </c>
      <c r="DJ504" s="9">
        <v>5</v>
      </c>
      <c r="DK504" s="9">
        <v>5</v>
      </c>
      <c r="DL504" s="9">
        <v>5</v>
      </c>
      <c r="DM504" s="9">
        <v>5</v>
      </c>
      <c r="DN504" s="9">
        <v>5</v>
      </c>
      <c r="DO504" s="9">
        <v>5</v>
      </c>
      <c r="DP504" s="25" t="s">
        <v>195</v>
      </c>
      <c r="DQ504" s="25" t="s">
        <v>113</v>
      </c>
      <c r="DR504" s="26" t="s">
        <v>111</v>
      </c>
      <c r="DS504" s="28" t="s">
        <v>204</v>
      </c>
      <c r="DT504" s="26" t="s">
        <v>197</v>
      </c>
      <c r="DU504" s="26" t="s">
        <v>124</v>
      </c>
      <c r="DV504" s="26">
        <f t="shared" si="296"/>
        <v>1</v>
      </c>
      <c r="DW504" s="26">
        <f t="shared" si="297"/>
        <v>1</v>
      </c>
      <c r="DX504" s="26">
        <f t="shared" si="298"/>
        <v>1</v>
      </c>
      <c r="DY504" s="26">
        <f t="shared" si="299"/>
        <v>2</v>
      </c>
      <c r="DZ504" s="26">
        <f t="shared" si="300"/>
        <v>2</v>
      </c>
      <c r="EA504" s="3">
        <f t="shared" si="301"/>
        <v>2</v>
      </c>
      <c r="EB504" s="45"/>
    </row>
    <row r="505" spans="1:132" ht="13.5" customHeight="1">
      <c r="A505" s="9">
        <v>502</v>
      </c>
      <c r="B505" s="9">
        <v>1</v>
      </c>
      <c r="C505" s="9">
        <v>2001</v>
      </c>
      <c r="D505" s="9">
        <f t="shared" si="318"/>
        <v>20054105</v>
      </c>
      <c r="E505" s="9" t="str">
        <f t="shared" si="315"/>
        <v>5200132,5200133,5200132,5501134,5500133,5501134</v>
      </c>
      <c r="F505" s="9" t="str">
        <f t="shared" si="316"/>
        <v>13,13,13,13,13,13</v>
      </c>
      <c r="G505" s="9" t="str">
        <f t="shared" si="317"/>
        <v>1036,1120,1120,1120,1120,1120</v>
      </c>
      <c r="H505" s="9">
        <v>240</v>
      </c>
      <c r="I505" s="9" t="s">
        <v>278</v>
      </c>
      <c r="J505" s="9" t="s">
        <v>279</v>
      </c>
      <c r="K505" s="9" t="s">
        <v>279</v>
      </c>
      <c r="L505" s="9" t="s">
        <v>279</v>
      </c>
      <c r="M505" s="36" t="s">
        <v>313</v>
      </c>
      <c r="N505" s="40"/>
      <c r="O505" s="3">
        <f t="shared" si="322"/>
        <v>20054105</v>
      </c>
      <c r="P505" s="9">
        <v>15192503.76</v>
      </c>
      <c r="Q505" s="9">
        <v>5200132</v>
      </c>
      <c r="R505" s="9">
        <v>5200133</v>
      </c>
      <c r="S505" s="9">
        <v>5200132</v>
      </c>
      <c r="T505" s="9">
        <v>5501134</v>
      </c>
      <c r="U505" s="9">
        <v>5500133</v>
      </c>
      <c r="V505" s="9">
        <v>5501134</v>
      </c>
      <c r="W505" s="9">
        <v>13</v>
      </c>
      <c r="X505" s="9">
        <v>13</v>
      </c>
      <c r="Y505" s="9">
        <v>13</v>
      </c>
      <c r="Z505" s="9">
        <v>13</v>
      </c>
      <c r="AA505" s="9">
        <v>13</v>
      </c>
      <c r="AB505" s="9">
        <v>13</v>
      </c>
      <c r="AC505" s="9">
        <f t="shared" si="302"/>
        <v>1036</v>
      </c>
      <c r="AD505" s="9">
        <f t="shared" si="303"/>
        <v>1120</v>
      </c>
      <c r="AE505" s="9">
        <f t="shared" si="304"/>
        <v>1120</v>
      </c>
      <c r="AF505" s="9">
        <f t="shared" si="305"/>
        <v>1120</v>
      </c>
      <c r="AG505" s="9">
        <f t="shared" si="306"/>
        <v>1120</v>
      </c>
      <c r="AH505" s="9">
        <f t="shared" si="307"/>
        <v>1120</v>
      </c>
      <c r="AI505" s="7">
        <f t="shared" ref="AI505:AN547" si="324">$P505/6</f>
        <v>2532083.96</v>
      </c>
      <c r="AJ505" s="7">
        <f t="shared" si="324"/>
        <v>2532083.96</v>
      </c>
      <c r="AK505" s="7">
        <f t="shared" si="324"/>
        <v>2532083.96</v>
      </c>
      <c r="AL505" s="7">
        <f t="shared" si="324"/>
        <v>2532083.96</v>
      </c>
      <c r="AM505" s="7">
        <f t="shared" si="324"/>
        <v>2532083.96</v>
      </c>
      <c r="AN505" s="7">
        <f t="shared" si="324"/>
        <v>2532083.96</v>
      </c>
      <c r="AO505" s="16"/>
      <c r="AP505" s="7"/>
      <c r="AQ505" s="9">
        <v>8</v>
      </c>
      <c r="AR505" s="9">
        <f t="shared" si="308"/>
        <v>1413</v>
      </c>
      <c r="AS505" s="7">
        <f t="shared" si="320"/>
        <v>351</v>
      </c>
      <c r="AT505" s="7"/>
      <c r="AU505" s="16"/>
      <c r="AV505" s="7"/>
      <c r="AW505" s="7"/>
      <c r="AX505" s="7"/>
      <c r="AZ505" s="7"/>
      <c r="BA505" s="9">
        <f t="shared" si="323"/>
        <v>2021185.2400000002</v>
      </c>
      <c r="BC505" s="5" t="e">
        <f t="shared" si="309"/>
        <v>#N/A</v>
      </c>
      <c r="BR505" s="5">
        <v>3204031</v>
      </c>
      <c r="BS505" s="18">
        <f>[1]monsters!$N505</f>
        <v>92.16</v>
      </c>
      <c r="BT505" s="18">
        <f>[1]monsters!$O505</f>
        <v>9.2200000000000006</v>
      </c>
      <c r="BU505" s="18">
        <f>[1]monsters!$P505</f>
        <v>1280</v>
      </c>
      <c r="BV505" s="18">
        <f>[1]monsters!$Q505</f>
        <v>128</v>
      </c>
      <c r="BW505" s="18">
        <f>[1]monsters!$R505</f>
        <v>18.43</v>
      </c>
      <c r="BX505" s="18">
        <f>[1]monsters!$S505</f>
        <v>1.84</v>
      </c>
      <c r="BY505" s="18">
        <f>[1]monsters!$K505</f>
        <v>1.6</v>
      </c>
      <c r="BZ505" s="5">
        <f>[1]monsters!$D505</f>
        <v>2</v>
      </c>
      <c r="CA505" s="5">
        <f t="shared" si="310"/>
        <v>0.1</v>
      </c>
      <c r="CB505" s="5">
        <f t="shared" si="311"/>
        <v>130.18884309764309</v>
      </c>
      <c r="CC505" s="5">
        <f t="shared" si="312"/>
        <v>13.01888430976431</v>
      </c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>
        <v>0</v>
      </c>
      <c r="CR505" s="3" t="b">
        <f t="shared" si="284"/>
        <v>1</v>
      </c>
      <c r="CS505" s="3" t="b">
        <f t="shared" si="285"/>
        <v>1</v>
      </c>
      <c r="CT505" s="3" t="b">
        <f t="shared" si="286"/>
        <v>1</v>
      </c>
      <c r="CU505" s="3" t="b">
        <f t="shared" si="287"/>
        <v>1</v>
      </c>
      <c r="CV505" s="3" t="b">
        <f t="shared" si="288"/>
        <v>1</v>
      </c>
      <c r="CW505" s="3" t="b">
        <f t="shared" si="289"/>
        <v>1</v>
      </c>
      <c r="CX505" s="9" t="str">
        <f t="shared" si="290"/>
        <v>5200132</v>
      </c>
      <c r="CY505" s="9" t="str">
        <f t="shared" si="291"/>
        <v>5200133</v>
      </c>
      <c r="CZ505" s="9" t="str">
        <f t="shared" si="292"/>
        <v>5200132</v>
      </c>
      <c r="DA505" s="9" t="str">
        <f t="shared" si="293"/>
        <v>5501134</v>
      </c>
      <c r="DB505" s="9" t="str">
        <f t="shared" si="294"/>
        <v>5500133</v>
      </c>
      <c r="DC505" s="9" t="str">
        <f t="shared" si="295"/>
        <v>5501134</v>
      </c>
      <c r="DD505" s="9">
        <v>13</v>
      </c>
      <c r="DE505" s="9">
        <v>13</v>
      </c>
      <c r="DF505" s="9">
        <v>13</v>
      </c>
      <c r="DG505" s="9">
        <v>13</v>
      </c>
      <c r="DH505" s="9">
        <v>13</v>
      </c>
      <c r="DI505" s="9">
        <v>13</v>
      </c>
      <c r="DJ505" s="9">
        <v>5</v>
      </c>
      <c r="DK505" s="9">
        <v>5</v>
      </c>
      <c r="DL505" s="9">
        <v>5</v>
      </c>
      <c r="DM505" s="9">
        <v>5</v>
      </c>
      <c r="DN505" s="9">
        <v>5</v>
      </c>
      <c r="DO505" s="9">
        <v>5</v>
      </c>
      <c r="DP505" s="25" t="s">
        <v>199</v>
      </c>
      <c r="DQ505" s="25" t="s">
        <v>113</v>
      </c>
      <c r="DR505" s="25" t="s">
        <v>199</v>
      </c>
      <c r="DS505" s="26" t="s">
        <v>214</v>
      </c>
      <c r="DT505" s="26" t="s">
        <v>207</v>
      </c>
      <c r="DU505" s="26" t="s">
        <v>214</v>
      </c>
      <c r="DV505" s="26">
        <f t="shared" si="296"/>
        <v>1</v>
      </c>
      <c r="DW505" s="26">
        <f t="shared" si="297"/>
        <v>1</v>
      </c>
      <c r="DX505" s="26">
        <f t="shared" si="298"/>
        <v>1</v>
      </c>
      <c r="DY505" s="26">
        <f t="shared" si="299"/>
        <v>2</v>
      </c>
      <c r="DZ505" s="26">
        <f t="shared" si="300"/>
        <v>2</v>
      </c>
      <c r="EA505" s="3">
        <f t="shared" si="301"/>
        <v>2</v>
      </c>
      <c r="EB505" s="45"/>
    </row>
    <row r="506" spans="1:132" ht="13.5" customHeight="1">
      <c r="A506" s="9">
        <v>503</v>
      </c>
      <c r="B506" s="9">
        <v>1</v>
      </c>
      <c r="C506" s="9">
        <v>2001</v>
      </c>
      <c r="D506" s="9">
        <f t="shared" si="318"/>
        <v>20479042</v>
      </c>
      <c r="E506" s="9" t="str">
        <f t="shared" si="315"/>
        <v>5202132,5201132,5301131,5400135,5500132,5500133</v>
      </c>
      <c r="F506" s="9" t="str">
        <f t="shared" si="316"/>
        <v>13,13,13,13,13,13</v>
      </c>
      <c r="G506" s="9" t="str">
        <f t="shared" si="317"/>
        <v>1047,1132,1132,1132,1132,1132</v>
      </c>
      <c r="H506" s="9">
        <v>241</v>
      </c>
      <c r="I506" s="9" t="s">
        <v>278</v>
      </c>
      <c r="J506" s="9" t="s">
        <v>279</v>
      </c>
      <c r="K506" s="9" t="s">
        <v>279</v>
      </c>
      <c r="L506" s="9" t="s">
        <v>279</v>
      </c>
      <c r="M506" s="36" t="s">
        <v>313</v>
      </c>
      <c r="N506" s="40"/>
      <c r="O506" s="3">
        <f t="shared" si="322"/>
        <v>20479042</v>
      </c>
      <c r="P506" s="9">
        <v>15514426.060000001</v>
      </c>
      <c r="Q506" s="9">
        <v>5202132</v>
      </c>
      <c r="R506" s="9">
        <v>5201132</v>
      </c>
      <c r="S506" s="9">
        <v>5301131</v>
      </c>
      <c r="T506" s="9">
        <v>5400135</v>
      </c>
      <c r="U506" s="9">
        <v>5500132</v>
      </c>
      <c r="V506" s="9">
        <v>5500133</v>
      </c>
      <c r="W506" s="9">
        <v>13</v>
      </c>
      <c r="X506" s="9">
        <v>13</v>
      </c>
      <c r="Y506" s="9">
        <v>13</v>
      </c>
      <c r="Z506" s="9">
        <v>13</v>
      </c>
      <c r="AA506" s="9">
        <v>13</v>
      </c>
      <c r="AB506" s="9">
        <v>13</v>
      </c>
      <c r="AC506" s="9">
        <f t="shared" si="302"/>
        <v>1047</v>
      </c>
      <c r="AD506" s="9">
        <f t="shared" si="303"/>
        <v>1132</v>
      </c>
      <c r="AE506" s="9">
        <f t="shared" si="304"/>
        <v>1132</v>
      </c>
      <c r="AF506" s="9">
        <f t="shared" si="305"/>
        <v>1132</v>
      </c>
      <c r="AG506" s="9">
        <f t="shared" si="306"/>
        <v>1132</v>
      </c>
      <c r="AH506" s="9">
        <f t="shared" si="307"/>
        <v>1132</v>
      </c>
      <c r="AI506" s="7">
        <f t="shared" si="324"/>
        <v>2585737.6766666668</v>
      </c>
      <c r="AJ506" s="7">
        <f t="shared" si="324"/>
        <v>2585737.6766666668</v>
      </c>
      <c r="AK506" s="7">
        <f t="shared" si="324"/>
        <v>2585737.6766666668</v>
      </c>
      <c r="AL506" s="7">
        <f t="shared" si="324"/>
        <v>2585737.6766666668</v>
      </c>
      <c r="AM506" s="7">
        <f t="shared" si="324"/>
        <v>2585737.6766666668</v>
      </c>
      <c r="AN506" s="7">
        <f t="shared" si="324"/>
        <v>2585737.6766666668</v>
      </c>
      <c r="AO506" s="16"/>
      <c r="AP506" s="7"/>
      <c r="AQ506" s="9">
        <v>8</v>
      </c>
      <c r="AR506" s="9">
        <f t="shared" si="308"/>
        <v>1428</v>
      </c>
      <c r="AS506" s="7">
        <f t="shared" si="320"/>
        <v>351</v>
      </c>
      <c r="AT506" s="7"/>
      <c r="AU506" s="16"/>
      <c r="AV506" s="7"/>
      <c r="AW506" s="7"/>
      <c r="AX506" s="7"/>
      <c r="AZ506" s="7"/>
      <c r="BA506" s="9">
        <f t="shared" si="323"/>
        <v>2031777.8600000003</v>
      </c>
      <c r="BC506" s="5" t="e">
        <f t="shared" si="309"/>
        <v>#N/A</v>
      </c>
      <c r="BR506" s="5">
        <v>3404031</v>
      </c>
      <c r="BS506" s="18">
        <f>[1]monsters!$N506</f>
        <v>116.48</v>
      </c>
      <c r="BT506" s="18">
        <f>[1]monsters!$O506</f>
        <v>11.65</v>
      </c>
      <c r="BU506" s="18">
        <f>[1]monsters!$P506</f>
        <v>886.15</v>
      </c>
      <c r="BV506" s="18">
        <f>[1]monsters!$Q506</f>
        <v>88.62</v>
      </c>
      <c r="BW506" s="18">
        <f>[1]monsters!$R506</f>
        <v>11.65</v>
      </c>
      <c r="BX506" s="18">
        <f>[1]monsters!$S506</f>
        <v>1.1599999999999999</v>
      </c>
      <c r="BY506" s="18">
        <f>[1]monsters!$K506</f>
        <v>1.4</v>
      </c>
      <c r="BZ506" s="5">
        <f>[1]monsters!$D506</f>
        <v>4</v>
      </c>
      <c r="CA506" s="5">
        <f t="shared" si="310"/>
        <v>0.1</v>
      </c>
      <c r="CB506" s="5">
        <f t="shared" si="311"/>
        <v>139.91030033670035</v>
      </c>
      <c r="CC506" s="5">
        <f t="shared" si="312"/>
        <v>13.991030033670036</v>
      </c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>
        <v>0</v>
      </c>
      <c r="CR506" s="3" t="b">
        <f t="shared" si="284"/>
        <v>1</v>
      </c>
      <c r="CS506" s="3" t="b">
        <f t="shared" si="285"/>
        <v>1</v>
      </c>
      <c r="CT506" s="3" t="b">
        <f t="shared" si="286"/>
        <v>1</v>
      </c>
      <c r="CU506" s="3" t="b">
        <f t="shared" si="287"/>
        <v>1</v>
      </c>
      <c r="CV506" s="3" t="b">
        <f t="shared" si="288"/>
        <v>1</v>
      </c>
      <c r="CW506" s="3" t="b">
        <f t="shared" si="289"/>
        <v>1</v>
      </c>
      <c r="CX506" s="9" t="str">
        <f t="shared" si="290"/>
        <v>5202132</v>
      </c>
      <c r="CY506" s="9" t="str">
        <f t="shared" si="291"/>
        <v>5201132</v>
      </c>
      <c r="CZ506" s="9" t="str">
        <f t="shared" si="292"/>
        <v>5301131</v>
      </c>
      <c r="DA506" s="9" t="str">
        <f t="shared" si="293"/>
        <v>5400135</v>
      </c>
      <c r="DB506" s="9" t="str">
        <f t="shared" si="294"/>
        <v>5500132</v>
      </c>
      <c r="DC506" s="9" t="str">
        <f t="shared" si="295"/>
        <v>5500133</v>
      </c>
      <c r="DD506" s="9">
        <v>13</v>
      </c>
      <c r="DE506" s="9">
        <v>13</v>
      </c>
      <c r="DF506" s="9">
        <v>13</v>
      </c>
      <c r="DG506" s="9">
        <v>13</v>
      </c>
      <c r="DH506" s="9">
        <v>13</v>
      </c>
      <c r="DI506" s="9">
        <v>13</v>
      </c>
      <c r="DJ506" s="9">
        <v>5</v>
      </c>
      <c r="DK506" s="9">
        <v>5</v>
      </c>
      <c r="DL506" s="9">
        <v>5</v>
      </c>
      <c r="DM506" s="9">
        <v>5</v>
      </c>
      <c r="DN506" s="9">
        <v>5</v>
      </c>
      <c r="DO506" s="9">
        <v>5</v>
      </c>
      <c r="DP506" s="25" t="s">
        <v>200</v>
      </c>
      <c r="DQ506" s="25" t="s">
        <v>114</v>
      </c>
      <c r="DR506" s="25" t="s">
        <v>107</v>
      </c>
      <c r="DS506" s="25" t="s">
        <v>210</v>
      </c>
      <c r="DT506" s="25" t="s">
        <v>109</v>
      </c>
      <c r="DU506" s="25" t="s">
        <v>207</v>
      </c>
      <c r="DV506" s="25">
        <f t="shared" si="296"/>
        <v>1</v>
      </c>
      <c r="DW506" s="25">
        <f t="shared" si="297"/>
        <v>1</v>
      </c>
      <c r="DX506" s="25">
        <f t="shared" si="298"/>
        <v>1</v>
      </c>
      <c r="DY506" s="25">
        <f t="shared" si="299"/>
        <v>2</v>
      </c>
      <c r="DZ506" s="25">
        <f t="shared" si="300"/>
        <v>2</v>
      </c>
      <c r="EA506" s="3">
        <f t="shared" si="301"/>
        <v>2</v>
      </c>
      <c r="EB506" s="46"/>
    </row>
    <row r="507" spans="1:132" ht="13.5" customHeight="1">
      <c r="A507" s="9">
        <v>504</v>
      </c>
      <c r="B507" s="9">
        <v>1</v>
      </c>
      <c r="C507" s="9">
        <v>2001</v>
      </c>
      <c r="D507" s="9">
        <f t="shared" si="318"/>
        <v>20906549</v>
      </c>
      <c r="E507" s="9" t="str">
        <f t="shared" si="315"/>
        <v>5301131,5301132,5301133,5500132,5500131,5500132</v>
      </c>
      <c r="F507" s="9" t="str">
        <f t="shared" si="316"/>
        <v>13,13,13,13,13,13</v>
      </c>
      <c r="G507" s="9" t="str">
        <f t="shared" si="317"/>
        <v>1058,1144,1144,1144,1144,1144</v>
      </c>
      <c r="H507" s="9">
        <v>241</v>
      </c>
      <c r="I507" s="9" t="s">
        <v>278</v>
      </c>
      <c r="J507" s="9" t="s">
        <v>279</v>
      </c>
      <c r="K507" s="9" t="s">
        <v>279</v>
      </c>
      <c r="L507" s="9" t="s">
        <v>279</v>
      </c>
      <c r="M507" s="36" t="s">
        <v>313</v>
      </c>
      <c r="N507" s="40"/>
      <c r="O507" s="3">
        <f t="shared" si="322"/>
        <v>20906549</v>
      </c>
      <c r="P507" s="9">
        <v>15838294.58</v>
      </c>
      <c r="Q507" s="9">
        <v>5301131</v>
      </c>
      <c r="R507" s="9">
        <v>5301132</v>
      </c>
      <c r="S507" s="9">
        <v>5301133</v>
      </c>
      <c r="T507" s="9">
        <v>5500132</v>
      </c>
      <c r="U507" s="9">
        <v>5500131</v>
      </c>
      <c r="V507" s="9">
        <v>5500132</v>
      </c>
      <c r="W507" s="9">
        <v>13</v>
      </c>
      <c r="X507" s="9">
        <v>13</v>
      </c>
      <c r="Y507" s="9">
        <v>13</v>
      </c>
      <c r="Z507" s="9">
        <v>13</v>
      </c>
      <c r="AA507" s="9">
        <v>13</v>
      </c>
      <c r="AB507" s="9">
        <v>13</v>
      </c>
      <c r="AC507" s="9">
        <f t="shared" si="302"/>
        <v>1058</v>
      </c>
      <c r="AD507" s="9">
        <f t="shared" si="303"/>
        <v>1144</v>
      </c>
      <c r="AE507" s="9">
        <f t="shared" si="304"/>
        <v>1144</v>
      </c>
      <c r="AF507" s="9">
        <f t="shared" si="305"/>
        <v>1144</v>
      </c>
      <c r="AG507" s="9">
        <f t="shared" si="306"/>
        <v>1144</v>
      </c>
      <c r="AH507" s="9">
        <f t="shared" si="307"/>
        <v>1144</v>
      </c>
      <c r="AI507" s="7">
        <f t="shared" si="324"/>
        <v>2639715.7633333332</v>
      </c>
      <c r="AJ507" s="7">
        <f t="shared" si="324"/>
        <v>2639715.7633333332</v>
      </c>
      <c r="AK507" s="7">
        <f t="shared" si="324"/>
        <v>2639715.7633333332</v>
      </c>
      <c r="AL507" s="7">
        <f t="shared" si="324"/>
        <v>2639715.7633333332</v>
      </c>
      <c r="AM507" s="7">
        <f t="shared" si="324"/>
        <v>2639715.7633333332</v>
      </c>
      <c r="AN507" s="7">
        <f t="shared" si="324"/>
        <v>2639715.7633333332</v>
      </c>
      <c r="AO507" s="16"/>
      <c r="AP507" s="7"/>
      <c r="AQ507" s="9">
        <v>8</v>
      </c>
      <c r="AR507" s="9">
        <f t="shared" si="308"/>
        <v>1443</v>
      </c>
      <c r="AS507" s="7">
        <f t="shared" si="320"/>
        <v>352</v>
      </c>
      <c r="AT507" s="7"/>
      <c r="AU507" s="16"/>
      <c r="AV507" s="7"/>
      <c r="AW507" s="7"/>
      <c r="AX507" s="7"/>
      <c r="AZ507" s="7"/>
      <c r="BA507" s="9">
        <f t="shared" si="323"/>
        <v>2042370.4800000004</v>
      </c>
      <c r="BC507" s="5" t="e">
        <f t="shared" si="309"/>
        <v>#N/A</v>
      </c>
      <c r="BR507" s="5">
        <v>3303031</v>
      </c>
      <c r="BS507" s="18">
        <f>[1]monsters!$N507</f>
        <v>80.64</v>
      </c>
      <c r="BT507" s="18">
        <f>[1]monsters!$O507</f>
        <v>8.06</v>
      </c>
      <c r="BU507" s="18">
        <f>[1]monsters!$P507</f>
        <v>1280</v>
      </c>
      <c r="BV507" s="18">
        <f>[1]monsters!$Q507</f>
        <v>128</v>
      </c>
      <c r="BW507" s="18">
        <f>[1]monsters!$R507</f>
        <v>16.13</v>
      </c>
      <c r="BX507" s="18">
        <f>[1]monsters!$S507</f>
        <v>1.61</v>
      </c>
      <c r="BY507" s="18">
        <f>[1]monsters!$K507</f>
        <v>1.4</v>
      </c>
      <c r="BZ507" s="5">
        <f>[1]monsters!$D507</f>
        <v>2</v>
      </c>
      <c r="CA507" s="5">
        <f t="shared" si="310"/>
        <v>0.1</v>
      </c>
      <c r="CB507" s="5">
        <f t="shared" si="311"/>
        <v>119.30244309764311</v>
      </c>
      <c r="CC507" s="5">
        <f t="shared" si="312"/>
        <v>11.930244309764312</v>
      </c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>
        <v>0</v>
      </c>
      <c r="CR507" s="3" t="b">
        <f t="shared" si="284"/>
        <v>1</v>
      </c>
      <c r="CS507" s="3" t="b">
        <f t="shared" si="285"/>
        <v>1</v>
      </c>
      <c r="CT507" s="3" t="b">
        <f t="shared" si="286"/>
        <v>1</v>
      </c>
      <c r="CU507" s="3" t="b">
        <f t="shared" si="287"/>
        <v>1</v>
      </c>
      <c r="CV507" s="3" t="b">
        <f t="shared" si="288"/>
        <v>1</v>
      </c>
      <c r="CW507" s="3" t="b">
        <f t="shared" si="289"/>
        <v>1</v>
      </c>
      <c r="CX507" s="9" t="str">
        <f t="shared" si="290"/>
        <v>5301131</v>
      </c>
      <c r="CY507" s="9" t="str">
        <f t="shared" si="291"/>
        <v>5301132</v>
      </c>
      <c r="CZ507" s="9" t="str">
        <f t="shared" si="292"/>
        <v>5301133</v>
      </c>
      <c r="DA507" s="9" t="str">
        <f t="shared" si="293"/>
        <v>5500132</v>
      </c>
      <c r="DB507" s="9" t="str">
        <f t="shared" si="294"/>
        <v>5500131</v>
      </c>
      <c r="DC507" s="9" t="str">
        <f t="shared" si="295"/>
        <v>5500132</v>
      </c>
      <c r="DD507" s="9">
        <v>13</v>
      </c>
      <c r="DE507" s="9">
        <v>13</v>
      </c>
      <c r="DF507" s="9">
        <v>13</v>
      </c>
      <c r="DG507" s="9">
        <v>13</v>
      </c>
      <c r="DH507" s="9">
        <v>13</v>
      </c>
      <c r="DI507" s="9">
        <v>13</v>
      </c>
      <c r="DJ507" s="9">
        <v>5</v>
      </c>
      <c r="DK507" s="9">
        <v>5</v>
      </c>
      <c r="DL507" s="9">
        <v>5</v>
      </c>
      <c r="DM507" s="9">
        <v>5</v>
      </c>
      <c r="DN507" s="9">
        <v>5</v>
      </c>
      <c r="DO507" s="9">
        <v>5</v>
      </c>
      <c r="DP507" s="26" t="s">
        <v>107</v>
      </c>
      <c r="DQ507" s="26" t="s">
        <v>201</v>
      </c>
      <c r="DR507" s="26" t="s">
        <v>206</v>
      </c>
      <c r="DS507" s="26" t="s">
        <v>109</v>
      </c>
      <c r="DT507" s="26" t="s">
        <v>197</v>
      </c>
      <c r="DU507" s="26" t="s">
        <v>109</v>
      </c>
      <c r="DV507" s="26">
        <f t="shared" si="296"/>
        <v>1</v>
      </c>
      <c r="DW507" s="26">
        <f t="shared" si="297"/>
        <v>1</v>
      </c>
      <c r="DX507" s="26">
        <f t="shared" si="298"/>
        <v>1</v>
      </c>
      <c r="DY507" s="26">
        <f t="shared" si="299"/>
        <v>2</v>
      </c>
      <c r="DZ507" s="26">
        <f t="shared" si="300"/>
        <v>2</v>
      </c>
      <c r="EA507" s="3">
        <f t="shared" si="301"/>
        <v>2</v>
      </c>
      <c r="EB507" s="45"/>
    </row>
    <row r="508" spans="1:132" ht="13.5" customHeight="1">
      <c r="A508" s="9">
        <v>505</v>
      </c>
      <c r="B508" s="9">
        <v>1</v>
      </c>
      <c r="C508" s="9">
        <v>2001</v>
      </c>
      <c r="D508" s="9">
        <f t="shared" si="318"/>
        <v>21336635</v>
      </c>
      <c r="E508" s="9" t="str">
        <f t="shared" si="315"/>
        <v>5201132,5201132,5201132,5400135,5400135,5501135</v>
      </c>
      <c r="F508" s="9" t="str">
        <f t="shared" si="316"/>
        <v>13,13,13,13,13,13</v>
      </c>
      <c r="G508" s="9" t="str">
        <f t="shared" si="317"/>
        <v>1069,1155,1155,1155,1155,1155</v>
      </c>
      <c r="H508" s="9">
        <v>242</v>
      </c>
      <c r="I508" s="9" t="s">
        <v>278</v>
      </c>
      <c r="J508" s="9" t="s">
        <v>279</v>
      </c>
      <c r="K508" s="9" t="s">
        <v>279</v>
      </c>
      <c r="L508" s="9" t="s">
        <v>279</v>
      </c>
      <c r="M508" s="36" t="s">
        <v>313</v>
      </c>
      <c r="O508" s="3">
        <f t="shared" si="322"/>
        <v>21336635</v>
      </c>
      <c r="P508" s="9">
        <v>16164117.279999999</v>
      </c>
      <c r="Q508" s="9">
        <v>5201132</v>
      </c>
      <c r="R508" s="9">
        <v>5201132</v>
      </c>
      <c r="S508" s="9">
        <v>5201132</v>
      </c>
      <c r="T508" s="9">
        <v>5400135</v>
      </c>
      <c r="U508" s="9">
        <v>5400135</v>
      </c>
      <c r="V508" s="9">
        <v>5501135</v>
      </c>
      <c r="W508" s="9">
        <v>13</v>
      </c>
      <c r="X508" s="9">
        <v>13</v>
      </c>
      <c r="Y508" s="9">
        <v>13</v>
      </c>
      <c r="Z508" s="9">
        <v>13</v>
      </c>
      <c r="AA508" s="9">
        <v>13</v>
      </c>
      <c r="AB508" s="9">
        <v>13</v>
      </c>
      <c r="AC508" s="9">
        <f t="shared" si="302"/>
        <v>1069</v>
      </c>
      <c r="AD508" s="9">
        <f t="shared" si="303"/>
        <v>1155</v>
      </c>
      <c r="AE508" s="9">
        <f t="shared" si="304"/>
        <v>1155</v>
      </c>
      <c r="AF508" s="9">
        <f t="shared" si="305"/>
        <v>1155</v>
      </c>
      <c r="AG508" s="9">
        <f t="shared" si="306"/>
        <v>1155</v>
      </c>
      <c r="AH508" s="9">
        <f t="shared" si="307"/>
        <v>1155</v>
      </c>
      <c r="AI508" s="7">
        <f t="shared" si="324"/>
        <v>2694019.5466666664</v>
      </c>
      <c r="AJ508" s="7">
        <f t="shared" si="324"/>
        <v>2694019.5466666664</v>
      </c>
      <c r="AK508" s="7">
        <f t="shared" si="324"/>
        <v>2694019.5466666664</v>
      </c>
      <c r="AL508" s="7">
        <f t="shared" si="324"/>
        <v>2694019.5466666664</v>
      </c>
      <c r="AM508" s="7">
        <f t="shared" si="324"/>
        <v>2694019.5466666664</v>
      </c>
      <c r="AN508" s="7">
        <f t="shared" si="324"/>
        <v>2694019.5466666664</v>
      </c>
      <c r="AO508" s="16"/>
      <c r="AP508" s="7"/>
      <c r="AQ508" s="9">
        <v>8</v>
      </c>
      <c r="AR508" s="9">
        <f t="shared" si="308"/>
        <v>1458</v>
      </c>
      <c r="AS508" s="7">
        <f t="shared" si="320"/>
        <v>352</v>
      </c>
      <c r="AT508" s="7"/>
      <c r="AU508" s="16"/>
      <c r="AV508" s="7"/>
      <c r="AW508" s="7"/>
      <c r="AX508" s="7"/>
      <c r="AZ508" s="7"/>
      <c r="BA508" s="9">
        <f t="shared" si="323"/>
        <v>2052963.1000000006</v>
      </c>
      <c r="BC508" s="5" t="e">
        <f t="shared" si="309"/>
        <v>#N/A</v>
      </c>
      <c r="BR508" s="5">
        <v>3304031</v>
      </c>
      <c r="BS508" s="18">
        <f>[1]monsters!$N508</f>
        <v>133.12</v>
      </c>
      <c r="BT508" s="18">
        <f>[1]monsters!$O508</f>
        <v>13.31</v>
      </c>
      <c r="BU508" s="18">
        <f>[1]monsters!$P508</f>
        <v>886.15</v>
      </c>
      <c r="BV508" s="18">
        <f>[1]monsters!$Q508</f>
        <v>88.62</v>
      </c>
      <c r="BW508" s="18">
        <f>[1]monsters!$R508</f>
        <v>13.31</v>
      </c>
      <c r="BX508" s="18">
        <f>[1]monsters!$S508</f>
        <v>1.33</v>
      </c>
      <c r="BY508" s="18">
        <f>[1]monsters!$K508</f>
        <v>1.6</v>
      </c>
      <c r="BZ508" s="5">
        <f>[1]monsters!$D508</f>
        <v>4</v>
      </c>
      <c r="CA508" s="5">
        <f t="shared" si="310"/>
        <v>0.1</v>
      </c>
      <c r="CB508" s="5">
        <f t="shared" si="311"/>
        <v>155.63510033670036</v>
      </c>
      <c r="CC508" s="5">
        <f t="shared" si="312"/>
        <v>15.563510033670036</v>
      </c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>
        <v>1</v>
      </c>
      <c r="CR508" s="3" t="b">
        <f t="shared" si="284"/>
        <v>1</v>
      </c>
      <c r="CS508" s="3" t="b">
        <f t="shared" si="285"/>
        <v>1</v>
      </c>
      <c r="CT508" s="3" t="b">
        <f t="shared" si="286"/>
        <v>1</v>
      </c>
      <c r="CU508" s="3" t="b">
        <f t="shared" si="287"/>
        <v>1</v>
      </c>
      <c r="CV508" s="3" t="b">
        <f t="shared" si="288"/>
        <v>1</v>
      </c>
      <c r="CW508" s="3" t="b">
        <f t="shared" si="289"/>
        <v>1</v>
      </c>
      <c r="CX508" s="9" t="str">
        <f t="shared" si="290"/>
        <v>5201132</v>
      </c>
      <c r="CY508" s="9" t="str">
        <f t="shared" si="291"/>
        <v>5201132</v>
      </c>
      <c r="CZ508" s="9" t="str">
        <f t="shared" si="292"/>
        <v>5201132</v>
      </c>
      <c r="DA508" s="9" t="str">
        <f t="shared" si="293"/>
        <v>5400135</v>
      </c>
      <c r="DB508" s="9" t="str">
        <f t="shared" si="294"/>
        <v>5400135</v>
      </c>
      <c r="DC508" s="9" t="str">
        <f t="shared" si="295"/>
        <v>5501135</v>
      </c>
      <c r="DD508" s="9">
        <v>13</v>
      </c>
      <c r="DE508" s="9">
        <v>13</v>
      </c>
      <c r="DF508" s="9">
        <v>13</v>
      </c>
      <c r="DG508" s="9">
        <v>13</v>
      </c>
      <c r="DH508" s="9">
        <v>13</v>
      </c>
      <c r="DI508" s="9">
        <v>13</v>
      </c>
      <c r="DJ508" s="9">
        <v>5</v>
      </c>
      <c r="DK508" s="9">
        <v>5</v>
      </c>
      <c r="DL508" s="9">
        <v>5</v>
      </c>
      <c r="DM508" s="9">
        <v>5</v>
      </c>
      <c r="DN508" s="9">
        <v>5</v>
      </c>
      <c r="DO508" s="9">
        <v>5</v>
      </c>
      <c r="DP508" s="25" t="s">
        <v>114</v>
      </c>
      <c r="DQ508" s="25" t="s">
        <v>114</v>
      </c>
      <c r="DR508" s="25" t="s">
        <v>114</v>
      </c>
      <c r="DS508" s="25" t="s">
        <v>210</v>
      </c>
      <c r="DT508" s="25" t="s">
        <v>210</v>
      </c>
      <c r="DU508" s="25" t="s">
        <v>209</v>
      </c>
      <c r="DV508" s="25">
        <f t="shared" si="296"/>
        <v>1</v>
      </c>
      <c r="DW508" s="25">
        <f t="shared" si="297"/>
        <v>1</v>
      </c>
      <c r="DX508" s="25">
        <f t="shared" si="298"/>
        <v>1</v>
      </c>
      <c r="DY508" s="25">
        <f t="shared" si="299"/>
        <v>2</v>
      </c>
      <c r="DZ508" s="25">
        <f t="shared" si="300"/>
        <v>2</v>
      </c>
      <c r="EA508" s="3">
        <f t="shared" si="301"/>
        <v>2</v>
      </c>
      <c r="EB508" s="45"/>
    </row>
    <row r="509" spans="1:132" ht="13.5" customHeight="1">
      <c r="A509" s="9">
        <v>506</v>
      </c>
      <c r="B509" s="9">
        <v>1</v>
      </c>
      <c r="C509" s="9">
        <v>2001</v>
      </c>
      <c r="D509" s="9">
        <f t="shared" si="318"/>
        <v>21401774</v>
      </c>
      <c r="E509" s="9" t="str">
        <f t="shared" si="315"/>
        <v>5600134,5202132,5302134,5501134,5500133,5501134</v>
      </c>
      <c r="F509" s="9" t="str">
        <f t="shared" si="316"/>
        <v>13,13,13,13,13,13</v>
      </c>
      <c r="G509" s="9" t="str">
        <f t="shared" si="317"/>
        <v>1071,1157,1157,1157,1157,1157</v>
      </c>
      <c r="H509" s="9">
        <v>242</v>
      </c>
      <c r="I509" s="9" t="s">
        <v>278</v>
      </c>
      <c r="J509" s="9" t="s">
        <v>279</v>
      </c>
      <c r="K509" s="9" t="s">
        <v>279</v>
      </c>
      <c r="L509" s="9" t="s">
        <v>279</v>
      </c>
      <c r="M509" s="36" t="s">
        <v>313</v>
      </c>
      <c r="N509" s="40"/>
      <c r="O509" s="3">
        <f t="shared" si="322"/>
        <v>21401774</v>
      </c>
      <c r="P509" s="9">
        <v>16213465.300000001</v>
      </c>
      <c r="Q509" s="9">
        <v>5600134</v>
      </c>
      <c r="R509" s="9">
        <v>5202132</v>
      </c>
      <c r="S509" s="9">
        <v>5302134</v>
      </c>
      <c r="T509" s="9">
        <v>5501134</v>
      </c>
      <c r="U509" s="9">
        <v>5500133</v>
      </c>
      <c r="V509" s="9">
        <v>5501134</v>
      </c>
      <c r="W509" s="9">
        <v>13</v>
      </c>
      <c r="X509" s="9">
        <v>13</v>
      </c>
      <c r="Y509" s="9">
        <v>13</v>
      </c>
      <c r="Z509" s="9">
        <v>13</v>
      </c>
      <c r="AA509" s="9">
        <v>13</v>
      </c>
      <c r="AB509" s="9">
        <v>13</v>
      </c>
      <c r="AC509" s="9">
        <f t="shared" si="302"/>
        <v>1071</v>
      </c>
      <c r="AD509" s="9">
        <f t="shared" si="303"/>
        <v>1157</v>
      </c>
      <c r="AE509" s="9">
        <f t="shared" si="304"/>
        <v>1157</v>
      </c>
      <c r="AF509" s="9">
        <f t="shared" si="305"/>
        <v>1157</v>
      </c>
      <c r="AG509" s="9">
        <f t="shared" si="306"/>
        <v>1157</v>
      </c>
      <c r="AH509" s="9">
        <f t="shared" si="307"/>
        <v>1157</v>
      </c>
      <c r="AI509" s="7">
        <f t="shared" si="324"/>
        <v>2702244.2166666668</v>
      </c>
      <c r="AJ509" s="7">
        <f t="shared" si="324"/>
        <v>2702244.2166666668</v>
      </c>
      <c r="AK509" s="7">
        <f t="shared" si="324"/>
        <v>2702244.2166666668</v>
      </c>
      <c r="AL509" s="7">
        <f t="shared" si="324"/>
        <v>2702244.2166666668</v>
      </c>
      <c r="AM509" s="7">
        <f t="shared" si="324"/>
        <v>2702244.2166666668</v>
      </c>
      <c r="AN509" s="7">
        <f t="shared" si="324"/>
        <v>2702244.2166666668</v>
      </c>
      <c r="AO509" s="16"/>
      <c r="AP509" s="7"/>
      <c r="AQ509" s="9">
        <v>8</v>
      </c>
      <c r="AR509" s="9">
        <f t="shared" si="308"/>
        <v>1460</v>
      </c>
      <c r="AS509" s="7">
        <f t="shared" si="320"/>
        <v>353</v>
      </c>
      <c r="AT509" s="7"/>
      <c r="AU509" s="16"/>
      <c r="AV509" s="7"/>
      <c r="AW509" s="7"/>
      <c r="AX509" s="7"/>
      <c r="AZ509" s="7"/>
      <c r="BA509" s="9">
        <f t="shared" si="323"/>
        <v>2063555.7200000007</v>
      </c>
      <c r="BC509" s="5" t="e">
        <f t="shared" si="309"/>
        <v>#N/A</v>
      </c>
      <c r="BR509" s="5">
        <v>3503031</v>
      </c>
      <c r="BS509" s="18">
        <f>[1]monsters!$N509</f>
        <v>122.88</v>
      </c>
      <c r="BT509" s="18">
        <f>[1]monsters!$O509</f>
        <v>12.29</v>
      </c>
      <c r="BU509" s="18">
        <f>[1]monsters!$P509</f>
        <v>960</v>
      </c>
      <c r="BV509" s="18">
        <f>[1]monsters!$Q509</f>
        <v>96</v>
      </c>
      <c r="BW509" s="18">
        <f>[1]monsters!$R509</f>
        <v>20.48</v>
      </c>
      <c r="BX509" s="18">
        <f>[1]monsters!$S509</f>
        <v>2.0499999999999998</v>
      </c>
      <c r="BY509" s="18">
        <f>[1]monsters!$K509</f>
        <v>1.6</v>
      </c>
      <c r="BZ509" s="5">
        <f>[1]monsters!$D509</f>
        <v>5</v>
      </c>
      <c r="CA509" s="5">
        <f t="shared" si="310"/>
        <v>0.1</v>
      </c>
      <c r="CB509" s="5">
        <f t="shared" si="311"/>
        <v>148.44483232323233</v>
      </c>
      <c r="CC509" s="5">
        <f t="shared" si="312"/>
        <v>14.844483232323235</v>
      </c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>
        <v>0</v>
      </c>
      <c r="CR509" s="3" t="b">
        <f t="shared" si="284"/>
        <v>1</v>
      </c>
      <c r="CS509" s="3" t="b">
        <f t="shared" si="285"/>
        <v>1</v>
      </c>
      <c r="CT509" s="3" t="b">
        <f t="shared" si="286"/>
        <v>1</v>
      </c>
      <c r="CU509" s="3" t="b">
        <f t="shared" si="287"/>
        <v>1</v>
      </c>
      <c r="CV509" s="3" t="b">
        <f t="shared" si="288"/>
        <v>1</v>
      </c>
      <c r="CW509" s="3" t="b">
        <f t="shared" si="289"/>
        <v>1</v>
      </c>
      <c r="CX509" s="9" t="str">
        <f t="shared" si="290"/>
        <v>5600134</v>
      </c>
      <c r="CY509" s="9" t="str">
        <f t="shared" si="291"/>
        <v>5202132</v>
      </c>
      <c r="CZ509" s="9" t="str">
        <f t="shared" si="292"/>
        <v>5302134</v>
      </c>
      <c r="DA509" s="9" t="str">
        <f t="shared" si="293"/>
        <v>5501134</v>
      </c>
      <c r="DB509" s="9" t="str">
        <f t="shared" si="294"/>
        <v>5500133</v>
      </c>
      <c r="DC509" s="9" t="str">
        <f t="shared" si="295"/>
        <v>5501134</v>
      </c>
      <c r="DD509" s="9">
        <v>13</v>
      </c>
      <c r="DE509" s="9">
        <v>13</v>
      </c>
      <c r="DF509" s="9">
        <v>13</v>
      </c>
      <c r="DG509" s="9">
        <v>13</v>
      </c>
      <c r="DH509" s="9">
        <v>13</v>
      </c>
      <c r="DI509" s="9">
        <v>13</v>
      </c>
      <c r="DJ509" s="9">
        <v>5</v>
      </c>
      <c r="DK509" s="9">
        <v>5</v>
      </c>
      <c r="DL509" s="9">
        <v>5</v>
      </c>
      <c r="DM509" s="9">
        <v>5</v>
      </c>
      <c r="DN509" s="9">
        <v>5</v>
      </c>
      <c r="DO509" s="9">
        <v>5</v>
      </c>
      <c r="DP509" s="27" t="s">
        <v>219</v>
      </c>
      <c r="DQ509" s="25" t="s">
        <v>200</v>
      </c>
      <c r="DR509" s="27" t="s">
        <v>218</v>
      </c>
      <c r="DS509" s="25" t="s">
        <v>214</v>
      </c>
      <c r="DT509" s="25" t="s">
        <v>207</v>
      </c>
      <c r="DU509" s="25" t="s">
        <v>214</v>
      </c>
      <c r="DV509" s="25">
        <f t="shared" si="296"/>
        <v>1</v>
      </c>
      <c r="DW509" s="25">
        <f t="shared" si="297"/>
        <v>1</v>
      </c>
      <c r="DX509" s="25">
        <f t="shared" si="298"/>
        <v>1</v>
      </c>
      <c r="DY509" s="25">
        <f t="shared" si="299"/>
        <v>2</v>
      </c>
      <c r="DZ509" s="25">
        <f t="shared" si="300"/>
        <v>2</v>
      </c>
      <c r="EA509" s="3">
        <f t="shared" si="301"/>
        <v>2</v>
      </c>
      <c r="EB509" s="46"/>
    </row>
    <row r="510" spans="1:132" ht="13.5" customHeight="1">
      <c r="A510" s="9">
        <v>507</v>
      </c>
      <c r="B510" s="9">
        <v>1</v>
      </c>
      <c r="C510" s="9">
        <v>2001</v>
      </c>
      <c r="D510" s="9">
        <f t="shared" si="318"/>
        <v>21467013</v>
      </c>
      <c r="E510" s="9" t="str">
        <f t="shared" si="315"/>
        <v>5200132,5200133,5200132,5500132,5402132,5500132</v>
      </c>
      <c r="F510" s="9" t="str">
        <f t="shared" si="316"/>
        <v>13,13,13,13,13,13</v>
      </c>
      <c r="G510" s="9" t="str">
        <f t="shared" si="317"/>
        <v>1072,1159,1159,1159,1159,1159</v>
      </c>
      <c r="H510" s="9">
        <v>242</v>
      </c>
      <c r="I510" s="9" t="s">
        <v>278</v>
      </c>
      <c r="J510" s="9" t="s">
        <v>279</v>
      </c>
      <c r="K510" s="9" t="s">
        <v>279</v>
      </c>
      <c r="L510" s="9" t="s">
        <v>279</v>
      </c>
      <c r="M510" s="36" t="s">
        <v>313</v>
      </c>
      <c r="N510" s="40"/>
      <c r="O510" s="3">
        <f t="shared" si="322"/>
        <v>21467013</v>
      </c>
      <c r="P510" s="9">
        <v>16262888.939999999</v>
      </c>
      <c r="Q510" s="9">
        <v>5200132</v>
      </c>
      <c r="R510" s="9">
        <v>5200133</v>
      </c>
      <c r="S510" s="9">
        <v>5200132</v>
      </c>
      <c r="T510" s="9">
        <v>5500132</v>
      </c>
      <c r="U510" s="9">
        <v>5402132</v>
      </c>
      <c r="V510" s="9">
        <v>5500132</v>
      </c>
      <c r="W510" s="9">
        <v>13</v>
      </c>
      <c r="X510" s="9">
        <v>13</v>
      </c>
      <c r="Y510" s="9">
        <v>13</v>
      </c>
      <c r="Z510" s="9">
        <v>13</v>
      </c>
      <c r="AA510" s="9">
        <v>13</v>
      </c>
      <c r="AB510" s="9">
        <v>13</v>
      </c>
      <c r="AC510" s="9">
        <f t="shared" si="302"/>
        <v>1072</v>
      </c>
      <c r="AD510" s="9">
        <f t="shared" si="303"/>
        <v>1159</v>
      </c>
      <c r="AE510" s="9">
        <f t="shared" si="304"/>
        <v>1159</v>
      </c>
      <c r="AF510" s="9">
        <f t="shared" si="305"/>
        <v>1159</v>
      </c>
      <c r="AG510" s="9">
        <f t="shared" si="306"/>
        <v>1159</v>
      </c>
      <c r="AH510" s="9">
        <f t="shared" si="307"/>
        <v>1159</v>
      </c>
      <c r="AI510" s="7">
        <f t="shared" si="324"/>
        <v>2710481.4899999998</v>
      </c>
      <c r="AJ510" s="7">
        <f t="shared" si="324"/>
        <v>2710481.4899999998</v>
      </c>
      <c r="AK510" s="7">
        <f t="shared" si="324"/>
        <v>2710481.4899999998</v>
      </c>
      <c r="AL510" s="7">
        <f t="shared" si="324"/>
        <v>2710481.4899999998</v>
      </c>
      <c r="AM510" s="7">
        <f t="shared" si="324"/>
        <v>2710481.4899999998</v>
      </c>
      <c r="AN510" s="7">
        <f t="shared" si="324"/>
        <v>2710481.4899999998</v>
      </c>
      <c r="AO510" s="16"/>
      <c r="AP510" s="7"/>
      <c r="AQ510" s="9">
        <v>8</v>
      </c>
      <c r="AR510" s="9">
        <f t="shared" si="308"/>
        <v>1463</v>
      </c>
      <c r="AS510" s="7">
        <f t="shared" si="320"/>
        <v>353</v>
      </c>
      <c r="AT510" s="7"/>
      <c r="AU510" s="16"/>
      <c r="AV510" s="7"/>
      <c r="AW510" s="7"/>
      <c r="AX510" s="7"/>
      <c r="AZ510" s="7"/>
      <c r="BA510" s="9">
        <f t="shared" si="323"/>
        <v>2074148.3400000008</v>
      </c>
      <c r="BC510" s="5" t="e">
        <f t="shared" si="309"/>
        <v>#N/A</v>
      </c>
      <c r="BR510" s="5">
        <v>3504031</v>
      </c>
      <c r="BS510" s="18">
        <f>[1]monsters!$N510</f>
        <v>103.04</v>
      </c>
      <c r="BT510" s="18">
        <f>[1]monsters!$O510</f>
        <v>10.3</v>
      </c>
      <c r="BU510" s="18">
        <f>[1]monsters!$P510</f>
        <v>1001.74</v>
      </c>
      <c r="BV510" s="18">
        <f>[1]monsters!$Q510</f>
        <v>100.17</v>
      </c>
      <c r="BW510" s="18">
        <f>[1]monsters!$R510</f>
        <v>12.88</v>
      </c>
      <c r="BX510" s="18">
        <f>[1]monsters!$S510</f>
        <v>1.29</v>
      </c>
      <c r="BY510" s="18">
        <f>[1]monsters!$K510</f>
        <v>1.4</v>
      </c>
      <c r="BZ510" s="5">
        <f>[1]monsters!$D510</f>
        <v>3</v>
      </c>
      <c r="CA510" s="5">
        <f t="shared" si="310"/>
        <v>0.1</v>
      </c>
      <c r="CB510" s="5">
        <f t="shared" si="311"/>
        <v>131.10141952861954</v>
      </c>
      <c r="CC510" s="5">
        <f t="shared" si="312"/>
        <v>13.110141952861955</v>
      </c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>
        <v>0</v>
      </c>
      <c r="CR510" s="3" t="b">
        <f t="shared" si="284"/>
        <v>1</v>
      </c>
      <c r="CS510" s="3" t="b">
        <f t="shared" si="285"/>
        <v>1</v>
      </c>
      <c r="CT510" s="3" t="b">
        <f t="shared" si="286"/>
        <v>1</v>
      </c>
      <c r="CU510" s="3" t="b">
        <f t="shared" si="287"/>
        <v>1</v>
      </c>
      <c r="CV510" s="3" t="b">
        <f t="shared" si="288"/>
        <v>1</v>
      </c>
      <c r="CW510" s="3" t="b">
        <f t="shared" si="289"/>
        <v>1</v>
      </c>
      <c r="CX510" s="9" t="str">
        <f t="shared" si="290"/>
        <v>5200132</v>
      </c>
      <c r="CY510" s="9" t="str">
        <f t="shared" si="291"/>
        <v>5200133</v>
      </c>
      <c r="CZ510" s="9" t="str">
        <f t="shared" si="292"/>
        <v>5200132</v>
      </c>
      <c r="DA510" s="9" t="str">
        <f t="shared" si="293"/>
        <v>5500132</v>
      </c>
      <c r="DB510" s="9" t="str">
        <f t="shared" si="294"/>
        <v>5402132</v>
      </c>
      <c r="DC510" s="9" t="str">
        <f t="shared" si="295"/>
        <v>5500132</v>
      </c>
      <c r="DD510" s="9">
        <v>13</v>
      </c>
      <c r="DE510" s="9">
        <v>13</v>
      </c>
      <c r="DF510" s="9">
        <v>13</v>
      </c>
      <c r="DG510" s="9">
        <v>13</v>
      </c>
      <c r="DH510" s="9">
        <v>13</v>
      </c>
      <c r="DI510" s="9">
        <v>13</v>
      </c>
      <c r="DJ510" s="9">
        <v>5</v>
      </c>
      <c r="DK510" s="9">
        <v>5</v>
      </c>
      <c r="DL510" s="9">
        <v>5</v>
      </c>
      <c r="DM510" s="9">
        <v>5</v>
      </c>
      <c r="DN510" s="9">
        <v>5</v>
      </c>
      <c r="DO510" s="9">
        <v>5</v>
      </c>
      <c r="DP510" s="26" t="s">
        <v>199</v>
      </c>
      <c r="DQ510" s="26" t="s">
        <v>113</v>
      </c>
      <c r="DR510" s="26" t="s">
        <v>199</v>
      </c>
      <c r="DS510" s="26" t="s">
        <v>109</v>
      </c>
      <c r="DT510" s="26" t="s">
        <v>203</v>
      </c>
      <c r="DU510" s="26" t="s">
        <v>109</v>
      </c>
      <c r="DV510" s="26">
        <f t="shared" si="296"/>
        <v>1</v>
      </c>
      <c r="DW510" s="26">
        <f t="shared" si="297"/>
        <v>1</v>
      </c>
      <c r="DX510" s="26">
        <f t="shared" si="298"/>
        <v>1</v>
      </c>
      <c r="DY510" s="26">
        <f t="shared" si="299"/>
        <v>2</v>
      </c>
      <c r="DZ510" s="26">
        <f t="shared" si="300"/>
        <v>2</v>
      </c>
      <c r="EA510" s="3">
        <f t="shared" si="301"/>
        <v>2</v>
      </c>
      <c r="EB510" s="45"/>
    </row>
    <row r="511" spans="1:132" ht="13.5" customHeight="1">
      <c r="A511" s="9">
        <v>508</v>
      </c>
      <c r="B511" s="9">
        <v>1</v>
      </c>
      <c r="C511" s="9">
        <v>2001</v>
      </c>
      <c r="D511" s="9">
        <f t="shared" si="318"/>
        <v>21532352</v>
      </c>
      <c r="E511" s="9" t="str">
        <f t="shared" si="315"/>
        <v>5302135,5202135,5301132,5500132,5501135,5400135</v>
      </c>
      <c r="F511" s="9" t="str">
        <f t="shared" si="316"/>
        <v>13,13,13,13,13,13</v>
      </c>
      <c r="G511" s="9" t="str">
        <f t="shared" si="317"/>
        <v>1074,1161,1161,1161,1161,1161</v>
      </c>
      <c r="H511" s="9">
        <v>243</v>
      </c>
      <c r="I511" s="9" t="s">
        <v>278</v>
      </c>
      <c r="J511" s="9" t="s">
        <v>279</v>
      </c>
      <c r="K511" s="9" t="s">
        <v>279</v>
      </c>
      <c r="L511" s="9" t="s">
        <v>279</v>
      </c>
      <c r="M511" s="36" t="s">
        <v>313</v>
      </c>
      <c r="N511" s="40"/>
      <c r="O511" s="3">
        <f t="shared" si="322"/>
        <v>21532352</v>
      </c>
      <c r="P511" s="9">
        <v>16312388.199999999</v>
      </c>
      <c r="Q511" s="9">
        <v>5302135</v>
      </c>
      <c r="R511" s="9">
        <v>5202135</v>
      </c>
      <c r="S511" s="9">
        <v>5301132</v>
      </c>
      <c r="T511" s="9">
        <v>5500132</v>
      </c>
      <c r="U511" s="9">
        <v>5501135</v>
      </c>
      <c r="V511" s="9">
        <v>5400135</v>
      </c>
      <c r="W511" s="9">
        <v>13</v>
      </c>
      <c r="X511" s="9">
        <v>13</v>
      </c>
      <c r="Y511" s="9">
        <v>13</v>
      </c>
      <c r="Z511" s="9">
        <v>13</v>
      </c>
      <c r="AA511" s="9">
        <v>13</v>
      </c>
      <c r="AB511" s="9">
        <v>13</v>
      </c>
      <c r="AC511" s="9">
        <f t="shared" si="302"/>
        <v>1074</v>
      </c>
      <c r="AD511" s="9">
        <f t="shared" si="303"/>
        <v>1161</v>
      </c>
      <c r="AE511" s="9">
        <f t="shared" si="304"/>
        <v>1161</v>
      </c>
      <c r="AF511" s="9">
        <f t="shared" si="305"/>
        <v>1161</v>
      </c>
      <c r="AG511" s="9">
        <f t="shared" si="306"/>
        <v>1161</v>
      </c>
      <c r="AH511" s="9">
        <f t="shared" si="307"/>
        <v>1161</v>
      </c>
      <c r="AI511" s="7">
        <f t="shared" si="324"/>
        <v>2718731.3666666667</v>
      </c>
      <c r="AJ511" s="7">
        <f t="shared" si="324"/>
        <v>2718731.3666666667</v>
      </c>
      <c r="AK511" s="7">
        <f t="shared" si="324"/>
        <v>2718731.3666666667</v>
      </c>
      <c r="AL511" s="7">
        <f t="shared" si="324"/>
        <v>2718731.3666666667</v>
      </c>
      <c r="AM511" s="7">
        <f t="shared" si="324"/>
        <v>2718731.3666666667</v>
      </c>
      <c r="AN511" s="7">
        <f t="shared" si="324"/>
        <v>2718731.3666666667</v>
      </c>
      <c r="AO511" s="16"/>
      <c r="AP511" s="7"/>
      <c r="AQ511" s="9">
        <v>8</v>
      </c>
      <c r="AR511" s="9">
        <f t="shared" si="308"/>
        <v>1465</v>
      </c>
      <c r="AS511" s="7">
        <f t="shared" si="320"/>
        <v>354</v>
      </c>
      <c r="AT511" s="7"/>
      <c r="AU511" s="16"/>
      <c r="AV511" s="7"/>
      <c r="AW511" s="7"/>
      <c r="AX511" s="7"/>
      <c r="AZ511" s="7"/>
      <c r="BA511" s="9">
        <f t="shared" si="323"/>
        <v>2084740.9600000009</v>
      </c>
      <c r="BC511" s="5" t="e">
        <f t="shared" si="309"/>
        <v>#N/A</v>
      </c>
      <c r="BR511" s="5">
        <v>3101031</v>
      </c>
      <c r="BS511" s="18">
        <f>[1]monsters!$N511</f>
        <v>74.88</v>
      </c>
      <c r="BT511" s="18">
        <f>[1]monsters!$O511</f>
        <v>7.49</v>
      </c>
      <c r="BU511" s="18">
        <f>[1]monsters!$P511</f>
        <v>1280</v>
      </c>
      <c r="BV511" s="18">
        <f>[1]monsters!$Q511</f>
        <v>128</v>
      </c>
      <c r="BW511" s="18">
        <f>[1]monsters!$R511</f>
        <v>14.98</v>
      </c>
      <c r="BX511" s="18">
        <f>[1]monsters!$S511</f>
        <v>1.5</v>
      </c>
      <c r="BY511" s="18">
        <f>[1]monsters!$K511</f>
        <v>1.3</v>
      </c>
      <c r="BZ511" s="5">
        <f>[1]monsters!$D511</f>
        <v>2</v>
      </c>
      <c r="CA511" s="5">
        <f t="shared" si="310"/>
        <v>0.1</v>
      </c>
      <c r="CB511" s="5">
        <f t="shared" si="311"/>
        <v>113.8592430976431</v>
      </c>
      <c r="CC511" s="5">
        <f t="shared" si="312"/>
        <v>11.385924309764311</v>
      </c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>
        <v>0</v>
      </c>
      <c r="CR511" s="3" t="b">
        <f t="shared" si="284"/>
        <v>1</v>
      </c>
      <c r="CS511" s="3" t="b">
        <f t="shared" si="285"/>
        <v>1</v>
      </c>
      <c r="CT511" s="3" t="b">
        <f t="shared" si="286"/>
        <v>1</v>
      </c>
      <c r="CU511" s="3" t="b">
        <f t="shared" si="287"/>
        <v>1</v>
      </c>
      <c r="CV511" s="3" t="b">
        <f t="shared" si="288"/>
        <v>1</v>
      </c>
      <c r="CW511" s="3" t="b">
        <f t="shared" si="289"/>
        <v>1</v>
      </c>
      <c r="CX511" s="9" t="str">
        <f t="shared" si="290"/>
        <v>5302135</v>
      </c>
      <c r="CY511" s="9" t="str">
        <f t="shared" si="291"/>
        <v>5202135</v>
      </c>
      <c r="CZ511" s="9" t="str">
        <f t="shared" si="292"/>
        <v>5301132</v>
      </c>
      <c r="DA511" s="9" t="str">
        <f t="shared" si="293"/>
        <v>5500132</v>
      </c>
      <c r="DB511" s="9" t="str">
        <f t="shared" si="294"/>
        <v>5501135</v>
      </c>
      <c r="DC511" s="9" t="str">
        <f t="shared" si="295"/>
        <v>5400135</v>
      </c>
      <c r="DD511" s="9">
        <v>13</v>
      </c>
      <c r="DE511" s="9">
        <v>13</v>
      </c>
      <c r="DF511" s="9">
        <v>13</v>
      </c>
      <c r="DG511" s="9">
        <v>13</v>
      </c>
      <c r="DH511" s="9">
        <v>13</v>
      </c>
      <c r="DI511" s="9">
        <v>13</v>
      </c>
      <c r="DJ511" s="9">
        <v>5</v>
      </c>
      <c r="DK511" s="9">
        <v>5</v>
      </c>
      <c r="DL511" s="9">
        <v>5</v>
      </c>
      <c r="DM511" s="9">
        <v>5</v>
      </c>
      <c r="DN511" s="9">
        <v>5</v>
      </c>
      <c r="DO511" s="9">
        <v>5</v>
      </c>
      <c r="DP511" s="25" t="s">
        <v>221</v>
      </c>
      <c r="DQ511" s="25" t="s">
        <v>213</v>
      </c>
      <c r="DR511" s="26" t="s">
        <v>201</v>
      </c>
      <c r="DS511" s="26" t="s">
        <v>109</v>
      </c>
      <c r="DT511" s="25" t="s">
        <v>209</v>
      </c>
      <c r="DU511" s="25" t="s">
        <v>210</v>
      </c>
      <c r="DV511" s="25">
        <f t="shared" si="296"/>
        <v>1</v>
      </c>
      <c r="DW511" s="25">
        <f t="shared" si="297"/>
        <v>1</v>
      </c>
      <c r="DX511" s="25">
        <f t="shared" si="298"/>
        <v>1</v>
      </c>
      <c r="DY511" s="25">
        <f t="shared" si="299"/>
        <v>2</v>
      </c>
      <c r="DZ511" s="25">
        <f t="shared" si="300"/>
        <v>2</v>
      </c>
      <c r="EA511" s="3">
        <f t="shared" si="301"/>
        <v>2</v>
      </c>
      <c r="EB511" s="45"/>
    </row>
    <row r="512" spans="1:132" ht="13.5" customHeight="1">
      <c r="A512" s="9">
        <v>509</v>
      </c>
      <c r="B512" s="9">
        <v>1</v>
      </c>
      <c r="C512" s="9">
        <v>2001</v>
      </c>
      <c r="D512" s="9">
        <f t="shared" si="318"/>
        <v>21597791</v>
      </c>
      <c r="E512" s="9" t="str">
        <f t="shared" si="315"/>
        <v>5202133,5202132,5201134,5501134,5500133,5501134</v>
      </c>
      <c r="F512" s="9" t="str">
        <f t="shared" si="316"/>
        <v>13,13,13,13,13,13</v>
      </c>
      <c r="G512" s="9" t="str">
        <f t="shared" si="317"/>
        <v>1076,1163,1163,1163,1163,1163</v>
      </c>
      <c r="H512" s="9">
        <v>243</v>
      </c>
      <c r="I512" s="9" t="s">
        <v>278</v>
      </c>
      <c r="J512" s="9" t="s">
        <v>279</v>
      </c>
      <c r="K512" s="9" t="s">
        <v>279</v>
      </c>
      <c r="L512" s="9" t="s">
        <v>279</v>
      </c>
      <c r="M512" s="36" t="s">
        <v>313</v>
      </c>
      <c r="N512" s="40"/>
      <c r="O512" s="3">
        <f t="shared" si="322"/>
        <v>21597791</v>
      </c>
      <c r="P512" s="9">
        <v>16361963.08</v>
      </c>
      <c r="Q512" s="9">
        <v>5202133</v>
      </c>
      <c r="R512" s="9">
        <v>5202132</v>
      </c>
      <c r="S512" s="9">
        <v>5201134</v>
      </c>
      <c r="T512" s="9">
        <v>5501134</v>
      </c>
      <c r="U512" s="9">
        <v>5500133</v>
      </c>
      <c r="V512" s="9">
        <v>5501134</v>
      </c>
      <c r="W512" s="9">
        <v>13</v>
      </c>
      <c r="X512" s="9">
        <v>13</v>
      </c>
      <c r="Y512" s="9">
        <v>13</v>
      </c>
      <c r="Z512" s="9">
        <v>13</v>
      </c>
      <c r="AA512" s="9">
        <v>13</v>
      </c>
      <c r="AB512" s="9">
        <v>13</v>
      </c>
      <c r="AC512" s="9">
        <f t="shared" si="302"/>
        <v>1076</v>
      </c>
      <c r="AD512" s="9">
        <f t="shared" si="303"/>
        <v>1163</v>
      </c>
      <c r="AE512" s="9">
        <f t="shared" si="304"/>
        <v>1163</v>
      </c>
      <c r="AF512" s="9">
        <f t="shared" si="305"/>
        <v>1163</v>
      </c>
      <c r="AG512" s="9">
        <f t="shared" si="306"/>
        <v>1163</v>
      </c>
      <c r="AH512" s="9">
        <f t="shared" si="307"/>
        <v>1163</v>
      </c>
      <c r="AI512" s="7">
        <f t="shared" si="324"/>
        <v>2726993.8466666667</v>
      </c>
      <c r="AJ512" s="7">
        <f t="shared" si="324"/>
        <v>2726993.8466666667</v>
      </c>
      <c r="AK512" s="7">
        <f t="shared" si="324"/>
        <v>2726993.8466666667</v>
      </c>
      <c r="AL512" s="7">
        <f t="shared" si="324"/>
        <v>2726993.8466666667</v>
      </c>
      <c r="AM512" s="7">
        <f t="shared" si="324"/>
        <v>2726993.8466666667</v>
      </c>
      <c r="AN512" s="7">
        <f t="shared" si="324"/>
        <v>2726993.8466666667</v>
      </c>
      <c r="AO512" s="16"/>
      <c r="AP512" s="7"/>
      <c r="AQ512" s="9">
        <v>8</v>
      </c>
      <c r="AR512" s="9">
        <f t="shared" si="308"/>
        <v>1467</v>
      </c>
      <c r="AS512" s="7">
        <f t="shared" si="320"/>
        <v>354</v>
      </c>
      <c r="AT512" s="7"/>
      <c r="AU512" s="16"/>
      <c r="AV512" s="7"/>
      <c r="AW512" s="7"/>
      <c r="AX512" s="7"/>
      <c r="AZ512" s="7"/>
      <c r="BA512" s="9">
        <f t="shared" si="323"/>
        <v>2095333.580000001</v>
      </c>
      <c r="BC512" s="5" t="e">
        <f t="shared" si="309"/>
        <v>#N/A</v>
      </c>
      <c r="BR512" s="5">
        <v>3102031</v>
      </c>
      <c r="BS512" s="18">
        <f>[1]monsters!$N512</f>
        <v>99.84</v>
      </c>
      <c r="BT512" s="18">
        <f>[1]monsters!$O512</f>
        <v>9.98</v>
      </c>
      <c r="BU512" s="18">
        <f>[1]monsters!$P512</f>
        <v>960</v>
      </c>
      <c r="BV512" s="18">
        <f>[1]monsters!$Q512</f>
        <v>96</v>
      </c>
      <c r="BW512" s="18">
        <f>[1]monsters!$R512</f>
        <v>9.98</v>
      </c>
      <c r="BX512" s="18">
        <f>[1]monsters!$S512</f>
        <v>1</v>
      </c>
      <c r="BY512" s="18">
        <f>[1]monsters!$K512</f>
        <v>1.3</v>
      </c>
      <c r="BZ512" s="5">
        <f>[1]monsters!$D512</f>
        <v>4</v>
      </c>
      <c r="CA512" s="5">
        <f t="shared" si="310"/>
        <v>0.1</v>
      </c>
      <c r="CB512" s="5">
        <f t="shared" si="311"/>
        <v>126.67203232323233</v>
      </c>
      <c r="CC512" s="5">
        <f t="shared" si="312"/>
        <v>12.667203232323233</v>
      </c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>
        <v>0</v>
      </c>
      <c r="CR512" s="3" t="b">
        <f t="shared" si="284"/>
        <v>1</v>
      </c>
      <c r="CS512" s="3" t="b">
        <f t="shared" si="285"/>
        <v>1</v>
      </c>
      <c r="CT512" s="3" t="b">
        <f t="shared" si="286"/>
        <v>1</v>
      </c>
      <c r="CU512" s="3" t="b">
        <f t="shared" si="287"/>
        <v>1</v>
      </c>
      <c r="CV512" s="3" t="b">
        <f t="shared" si="288"/>
        <v>1</v>
      </c>
      <c r="CW512" s="3" t="b">
        <f t="shared" si="289"/>
        <v>1</v>
      </c>
      <c r="CX512" s="9" t="str">
        <f t="shared" si="290"/>
        <v>5202133</v>
      </c>
      <c r="CY512" s="9" t="str">
        <f t="shared" si="291"/>
        <v>5202132</v>
      </c>
      <c r="CZ512" s="9" t="str">
        <f t="shared" si="292"/>
        <v>5201134</v>
      </c>
      <c r="DA512" s="9" t="str">
        <f t="shared" si="293"/>
        <v>5501134</v>
      </c>
      <c r="DB512" s="9" t="str">
        <f t="shared" si="294"/>
        <v>5500133</v>
      </c>
      <c r="DC512" s="9" t="str">
        <f t="shared" si="295"/>
        <v>5501134</v>
      </c>
      <c r="DD512" s="9">
        <v>13</v>
      </c>
      <c r="DE512" s="9">
        <v>13</v>
      </c>
      <c r="DF512" s="9">
        <v>13</v>
      </c>
      <c r="DG512" s="9">
        <v>13</v>
      </c>
      <c r="DH512" s="9">
        <v>13</v>
      </c>
      <c r="DI512" s="9">
        <v>13</v>
      </c>
      <c r="DJ512" s="9">
        <v>5</v>
      </c>
      <c r="DK512" s="9">
        <v>5</v>
      </c>
      <c r="DL512" s="9">
        <v>5</v>
      </c>
      <c r="DM512" s="9">
        <v>5</v>
      </c>
      <c r="DN512" s="9">
        <v>5</v>
      </c>
      <c r="DO512" s="9">
        <v>5</v>
      </c>
      <c r="DP512" s="25" t="s">
        <v>208</v>
      </c>
      <c r="DQ512" s="25" t="s">
        <v>200</v>
      </c>
      <c r="DR512" s="26" t="s">
        <v>217</v>
      </c>
      <c r="DS512" s="26" t="s">
        <v>214</v>
      </c>
      <c r="DT512" s="26" t="s">
        <v>207</v>
      </c>
      <c r="DU512" s="26" t="s">
        <v>214</v>
      </c>
      <c r="DV512" s="26">
        <f t="shared" si="296"/>
        <v>1</v>
      </c>
      <c r="DW512" s="26">
        <f t="shared" si="297"/>
        <v>1</v>
      </c>
      <c r="DX512" s="26">
        <f t="shared" si="298"/>
        <v>1</v>
      </c>
      <c r="DY512" s="26">
        <f t="shared" si="299"/>
        <v>2</v>
      </c>
      <c r="DZ512" s="26">
        <f t="shared" si="300"/>
        <v>2</v>
      </c>
      <c r="EA512" s="3">
        <f t="shared" si="301"/>
        <v>2</v>
      </c>
      <c r="EB512" s="45"/>
    </row>
    <row r="513" spans="1:132" ht="13.5" customHeight="1">
      <c r="A513" s="9">
        <v>510</v>
      </c>
      <c r="B513" s="9">
        <v>1</v>
      </c>
      <c r="C513" s="9">
        <v>2001</v>
      </c>
      <c r="D513" s="9">
        <f t="shared" si="318"/>
        <v>21663327</v>
      </c>
      <c r="E513" s="9" t="str">
        <f t="shared" si="315"/>
        <v>5202133,5202133,5301133,5601133,5500133,5500133</v>
      </c>
      <c r="F513" s="9" t="str">
        <f t="shared" si="316"/>
        <v>13,13,13,13,13,13</v>
      </c>
      <c r="G513" s="9" t="str">
        <f t="shared" si="317"/>
        <v>1077,1164,1164,1164,1164,1164</v>
      </c>
      <c r="H513" s="9">
        <v>244</v>
      </c>
      <c r="I513" s="9" t="s">
        <v>278</v>
      </c>
      <c r="J513" s="9" t="s">
        <v>279</v>
      </c>
      <c r="K513" s="9" t="s">
        <v>279</v>
      </c>
      <c r="L513" s="9" t="s">
        <v>279</v>
      </c>
      <c r="M513" s="36" t="s">
        <v>313</v>
      </c>
      <c r="O513" s="3">
        <f t="shared" si="322"/>
        <v>21663327</v>
      </c>
      <c r="P513" s="9">
        <v>16411611.59</v>
      </c>
      <c r="Q513" s="9">
        <v>5202133</v>
      </c>
      <c r="R513" s="9">
        <v>5202133</v>
      </c>
      <c r="S513" s="9">
        <v>5301133</v>
      </c>
      <c r="T513" s="9">
        <v>5601133</v>
      </c>
      <c r="U513" s="9">
        <v>5500133</v>
      </c>
      <c r="V513" s="9">
        <v>5500133</v>
      </c>
      <c r="W513" s="9">
        <v>13</v>
      </c>
      <c r="X513" s="9">
        <v>13</v>
      </c>
      <c r="Y513" s="9">
        <v>13</v>
      </c>
      <c r="Z513" s="9">
        <v>13</v>
      </c>
      <c r="AA513" s="9">
        <v>13</v>
      </c>
      <c r="AB513" s="9">
        <v>13</v>
      </c>
      <c r="AC513" s="9">
        <f t="shared" si="302"/>
        <v>1077</v>
      </c>
      <c r="AD513" s="9">
        <f t="shared" si="303"/>
        <v>1164</v>
      </c>
      <c r="AE513" s="9">
        <f t="shared" si="304"/>
        <v>1164</v>
      </c>
      <c r="AF513" s="9">
        <f t="shared" si="305"/>
        <v>1164</v>
      </c>
      <c r="AG513" s="9">
        <f t="shared" si="306"/>
        <v>1164</v>
      </c>
      <c r="AH513" s="9">
        <f t="shared" si="307"/>
        <v>1164</v>
      </c>
      <c r="AI513" s="7">
        <f t="shared" si="324"/>
        <v>2735268.5983333332</v>
      </c>
      <c r="AJ513" s="7">
        <f t="shared" si="324"/>
        <v>2735268.5983333332</v>
      </c>
      <c r="AK513" s="7">
        <f t="shared" si="324"/>
        <v>2735268.5983333332</v>
      </c>
      <c r="AL513" s="7">
        <f t="shared" si="324"/>
        <v>2735268.5983333332</v>
      </c>
      <c r="AM513" s="7">
        <f t="shared" si="324"/>
        <v>2735268.5983333332</v>
      </c>
      <c r="AN513" s="7">
        <f t="shared" si="324"/>
        <v>2735268.5983333332</v>
      </c>
      <c r="AO513" s="16"/>
      <c r="AP513" s="7"/>
      <c r="AQ513" s="9">
        <v>8</v>
      </c>
      <c r="AR513" s="9">
        <f t="shared" si="308"/>
        <v>1469</v>
      </c>
      <c r="AS513" s="7">
        <f t="shared" si="320"/>
        <v>355</v>
      </c>
      <c r="AT513" s="7"/>
      <c r="AU513" s="16"/>
      <c r="AV513" s="7"/>
      <c r="AW513" s="7"/>
      <c r="AX513" s="7"/>
      <c r="AZ513" s="7"/>
      <c r="BA513" s="9">
        <f t="shared" si="323"/>
        <v>2105926.2000000011</v>
      </c>
      <c r="BC513" s="5" t="e">
        <f t="shared" si="309"/>
        <v>#N/A</v>
      </c>
      <c r="BR513" s="5">
        <v>3206032</v>
      </c>
      <c r="BS513" s="18">
        <f>[1]monsters!$N513</f>
        <v>103.68</v>
      </c>
      <c r="BT513" s="18">
        <f>[1]monsters!$O513</f>
        <v>10.37</v>
      </c>
      <c r="BU513" s="18">
        <f>[1]monsters!$P513</f>
        <v>1280</v>
      </c>
      <c r="BV513" s="18">
        <f>[1]monsters!$Q513</f>
        <v>128</v>
      </c>
      <c r="BW513" s="18">
        <f>[1]monsters!$R513</f>
        <v>20.74</v>
      </c>
      <c r="BX513" s="18">
        <f>[1]monsters!$S513</f>
        <v>2.0699999999999998</v>
      </c>
      <c r="BY513" s="18">
        <f>[1]monsters!$K513</f>
        <v>1.8</v>
      </c>
      <c r="BZ513" s="5">
        <f>[1]monsters!$D513</f>
        <v>2</v>
      </c>
      <c r="CA513" s="5">
        <f t="shared" si="310"/>
        <v>0.1</v>
      </c>
      <c r="CB513" s="5">
        <f t="shared" si="311"/>
        <v>141.07524309764312</v>
      </c>
      <c r="CC513" s="5">
        <f t="shared" si="312"/>
        <v>14.107524309764313</v>
      </c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>
        <v>1</v>
      </c>
      <c r="CR513" s="3" t="b">
        <f t="shared" si="284"/>
        <v>1</v>
      </c>
      <c r="CS513" s="3" t="b">
        <f t="shared" si="285"/>
        <v>1</v>
      </c>
      <c r="CT513" s="3" t="b">
        <f t="shared" si="286"/>
        <v>1</v>
      </c>
      <c r="CU513" s="3" t="b">
        <f t="shared" si="287"/>
        <v>1</v>
      </c>
      <c r="CV513" s="3" t="b">
        <f t="shared" si="288"/>
        <v>1</v>
      </c>
      <c r="CW513" s="3" t="b">
        <f t="shared" si="289"/>
        <v>1</v>
      </c>
      <c r="CX513" s="9" t="str">
        <f t="shared" si="290"/>
        <v>5202133</v>
      </c>
      <c r="CY513" s="9" t="str">
        <f t="shared" si="291"/>
        <v>5202133</v>
      </c>
      <c r="CZ513" s="9" t="str">
        <f t="shared" si="292"/>
        <v>5301133</v>
      </c>
      <c r="DA513" s="9" t="str">
        <f t="shared" si="293"/>
        <v>5601133</v>
      </c>
      <c r="DB513" s="9" t="str">
        <f t="shared" si="294"/>
        <v>5500133</v>
      </c>
      <c r="DC513" s="9" t="str">
        <f t="shared" si="295"/>
        <v>5500133</v>
      </c>
      <c r="DD513" s="9">
        <v>13</v>
      </c>
      <c r="DE513" s="9">
        <v>13</v>
      </c>
      <c r="DF513" s="9">
        <v>13</v>
      </c>
      <c r="DG513" s="9">
        <v>13</v>
      </c>
      <c r="DH513" s="9">
        <v>13</v>
      </c>
      <c r="DI513" s="9">
        <v>13</v>
      </c>
      <c r="DJ513" s="9">
        <v>5</v>
      </c>
      <c r="DK513" s="9">
        <v>5</v>
      </c>
      <c r="DL513" s="9">
        <v>5</v>
      </c>
      <c r="DM513" s="9">
        <v>5</v>
      </c>
      <c r="DN513" s="9">
        <v>5</v>
      </c>
      <c r="DO513" s="9">
        <v>5</v>
      </c>
      <c r="DP513" s="25" t="s">
        <v>208</v>
      </c>
      <c r="DQ513" s="25" t="s">
        <v>208</v>
      </c>
      <c r="DR513" s="25" t="s">
        <v>206</v>
      </c>
      <c r="DS513" s="25" t="s">
        <v>216</v>
      </c>
      <c r="DT513" s="26" t="s">
        <v>207</v>
      </c>
      <c r="DU513" s="26" t="s">
        <v>207</v>
      </c>
      <c r="DV513" s="26">
        <f t="shared" si="296"/>
        <v>1</v>
      </c>
      <c r="DW513" s="26">
        <f t="shared" si="297"/>
        <v>1</v>
      </c>
      <c r="DX513" s="26">
        <f t="shared" si="298"/>
        <v>1</v>
      </c>
      <c r="DY513" s="26">
        <f t="shared" si="299"/>
        <v>2</v>
      </c>
      <c r="DZ513" s="26">
        <f t="shared" si="300"/>
        <v>2</v>
      </c>
      <c r="EA513" s="3">
        <f t="shared" si="301"/>
        <v>2</v>
      </c>
      <c r="EB513" s="47"/>
    </row>
    <row r="514" spans="1:132" ht="13.5" customHeight="1">
      <c r="A514" s="9">
        <v>511</v>
      </c>
      <c r="B514" s="9">
        <v>1</v>
      </c>
      <c r="C514" s="9">
        <v>2001</v>
      </c>
      <c r="D514" s="9">
        <f t="shared" si="318"/>
        <v>21728963</v>
      </c>
      <c r="E514" s="9" t="str">
        <f t="shared" si="315"/>
        <v>5201133,5202135,5200132,5402133,5502132,5402133</v>
      </c>
      <c r="F514" s="9" t="str">
        <f t="shared" si="316"/>
        <v>13,13,13,13,13,13</v>
      </c>
      <c r="G514" s="9" t="str">
        <f t="shared" si="317"/>
        <v>1079,1166,1166,1166,1166,1166</v>
      </c>
      <c r="H514" s="9">
        <v>244</v>
      </c>
      <c r="I514" s="9" t="s">
        <v>278</v>
      </c>
      <c r="J514" s="9" t="s">
        <v>279</v>
      </c>
      <c r="K514" s="9" t="s">
        <v>279</v>
      </c>
      <c r="L514" s="9" t="s">
        <v>279</v>
      </c>
      <c r="M514" s="36" t="s">
        <v>314</v>
      </c>
      <c r="N514" s="40"/>
      <c r="O514" s="3">
        <f t="shared" si="322"/>
        <v>21728963</v>
      </c>
      <c r="P514" s="9">
        <v>16461335.720000001</v>
      </c>
      <c r="Q514" s="9">
        <v>5201133</v>
      </c>
      <c r="R514" s="9">
        <v>5202135</v>
      </c>
      <c r="S514" s="9">
        <v>5200132</v>
      </c>
      <c r="T514" s="9">
        <v>5402133</v>
      </c>
      <c r="U514" s="9">
        <v>5502132</v>
      </c>
      <c r="V514" s="9">
        <v>5402133</v>
      </c>
      <c r="W514" s="9">
        <v>13</v>
      </c>
      <c r="X514" s="9">
        <v>13</v>
      </c>
      <c r="Y514" s="9">
        <v>13</v>
      </c>
      <c r="Z514" s="9">
        <v>13</v>
      </c>
      <c r="AA514" s="9">
        <v>13</v>
      </c>
      <c r="AB514" s="9">
        <v>13</v>
      </c>
      <c r="AC514" s="9">
        <f t="shared" si="302"/>
        <v>1079</v>
      </c>
      <c r="AD514" s="9">
        <f t="shared" si="303"/>
        <v>1166</v>
      </c>
      <c r="AE514" s="9">
        <f t="shared" si="304"/>
        <v>1166</v>
      </c>
      <c r="AF514" s="9">
        <f t="shared" si="305"/>
        <v>1166</v>
      </c>
      <c r="AG514" s="9">
        <f t="shared" si="306"/>
        <v>1166</v>
      </c>
      <c r="AH514" s="9">
        <f t="shared" si="307"/>
        <v>1166</v>
      </c>
      <c r="AI514" s="7">
        <f t="shared" si="324"/>
        <v>2743555.9533333336</v>
      </c>
      <c r="AJ514" s="7">
        <f t="shared" si="324"/>
        <v>2743555.9533333336</v>
      </c>
      <c r="AK514" s="7">
        <f t="shared" si="324"/>
        <v>2743555.9533333336</v>
      </c>
      <c r="AL514" s="7">
        <f t="shared" si="324"/>
        <v>2743555.9533333336</v>
      </c>
      <c r="AM514" s="7">
        <f t="shared" si="324"/>
        <v>2743555.9533333336</v>
      </c>
      <c r="AN514" s="7">
        <f t="shared" si="324"/>
        <v>2743555.9533333336</v>
      </c>
      <c r="AO514" s="16"/>
      <c r="AP514" s="7"/>
      <c r="AQ514" s="9">
        <v>8</v>
      </c>
      <c r="AR514" s="9">
        <f t="shared" si="308"/>
        <v>1472</v>
      </c>
      <c r="AS514" s="7">
        <f t="shared" si="320"/>
        <v>355</v>
      </c>
      <c r="AT514" s="7"/>
      <c r="AU514" s="16"/>
      <c r="AV514" s="7"/>
      <c r="AW514" s="7"/>
      <c r="AX514" s="7"/>
      <c r="AZ514" s="7"/>
      <c r="BA514" s="9">
        <f t="shared" si="323"/>
        <v>2116518.8200000012</v>
      </c>
      <c r="BC514" s="5" t="e">
        <f t="shared" si="309"/>
        <v>#N/A</v>
      </c>
      <c r="BR514" s="5">
        <v>3406032</v>
      </c>
      <c r="BS514" s="18">
        <f>[1]monsters!$N514</f>
        <v>120</v>
      </c>
      <c r="BT514" s="18">
        <f>[1]monsters!$O514</f>
        <v>12</v>
      </c>
      <c r="BU514" s="18">
        <f>[1]monsters!$P514</f>
        <v>921.6</v>
      </c>
      <c r="BV514" s="18">
        <f>[1]monsters!$Q514</f>
        <v>92.16</v>
      </c>
      <c r="BW514" s="18">
        <f>[1]monsters!$R514</f>
        <v>12</v>
      </c>
      <c r="BX514" s="18">
        <f>[1]monsters!$S514</f>
        <v>1.2</v>
      </c>
      <c r="BY514" s="18">
        <f>[1]monsters!$K514</f>
        <v>1.5</v>
      </c>
      <c r="BZ514" s="5">
        <f>[1]monsters!$D514</f>
        <v>4</v>
      </c>
      <c r="CA514" s="5">
        <f t="shared" si="310"/>
        <v>0.1</v>
      </c>
      <c r="CB514" s="5">
        <f t="shared" si="311"/>
        <v>144.43030303030304</v>
      </c>
      <c r="CC514" s="5">
        <f t="shared" si="312"/>
        <v>14.443030303030305</v>
      </c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>
        <v>0</v>
      </c>
      <c r="CR514" s="3" t="b">
        <f t="shared" si="284"/>
        <v>1</v>
      </c>
      <c r="CS514" s="3" t="b">
        <f t="shared" si="285"/>
        <v>1</v>
      </c>
      <c r="CT514" s="3" t="b">
        <f t="shared" si="286"/>
        <v>1</v>
      </c>
      <c r="CU514" s="3" t="b">
        <f t="shared" si="287"/>
        <v>1</v>
      </c>
      <c r="CV514" s="3" t="b">
        <f t="shared" si="288"/>
        <v>1</v>
      </c>
      <c r="CW514" s="3" t="b">
        <f t="shared" si="289"/>
        <v>1</v>
      </c>
      <c r="CX514" s="9" t="str">
        <f t="shared" si="290"/>
        <v>5201133</v>
      </c>
      <c r="CY514" s="9" t="str">
        <f t="shared" si="291"/>
        <v>5202135</v>
      </c>
      <c r="CZ514" s="9" t="str">
        <f t="shared" si="292"/>
        <v>5200132</v>
      </c>
      <c r="DA514" s="9" t="str">
        <f t="shared" si="293"/>
        <v>5402133</v>
      </c>
      <c r="DB514" s="9" t="str">
        <f t="shared" si="294"/>
        <v>5502132</v>
      </c>
      <c r="DC514" s="9" t="str">
        <f t="shared" si="295"/>
        <v>5402133</v>
      </c>
      <c r="DD514" s="9">
        <v>13</v>
      </c>
      <c r="DE514" s="9">
        <v>13</v>
      </c>
      <c r="DF514" s="9">
        <v>13</v>
      </c>
      <c r="DG514" s="9">
        <v>13</v>
      </c>
      <c r="DH514" s="9">
        <v>13</v>
      </c>
      <c r="DI514" s="9">
        <v>13</v>
      </c>
      <c r="DJ514" s="9">
        <v>5</v>
      </c>
      <c r="DK514" s="9">
        <v>5</v>
      </c>
      <c r="DL514" s="9">
        <v>5</v>
      </c>
      <c r="DM514" s="9">
        <v>5</v>
      </c>
      <c r="DN514" s="9">
        <v>5</v>
      </c>
      <c r="DO514" s="9">
        <v>5</v>
      </c>
      <c r="DP514" s="25" t="s">
        <v>205</v>
      </c>
      <c r="DQ514" s="25" t="s">
        <v>213</v>
      </c>
      <c r="DR514" s="25" t="s">
        <v>199</v>
      </c>
      <c r="DS514" s="26" t="s">
        <v>118</v>
      </c>
      <c r="DT514" s="26" t="s">
        <v>204</v>
      </c>
      <c r="DU514" s="26" t="s">
        <v>118</v>
      </c>
      <c r="DV514" s="26">
        <f t="shared" si="296"/>
        <v>1</v>
      </c>
      <c r="DW514" s="26">
        <f t="shared" si="297"/>
        <v>1</v>
      </c>
      <c r="DX514" s="26">
        <f t="shared" si="298"/>
        <v>1</v>
      </c>
      <c r="DY514" s="26">
        <f t="shared" si="299"/>
        <v>2</v>
      </c>
      <c r="DZ514" s="26">
        <f t="shared" si="300"/>
        <v>2</v>
      </c>
      <c r="EA514" s="3">
        <f t="shared" si="301"/>
        <v>2</v>
      </c>
      <c r="EB514" s="47"/>
    </row>
    <row r="515" spans="1:132" ht="13.5" customHeight="1">
      <c r="A515" s="9">
        <v>512</v>
      </c>
      <c r="B515" s="9">
        <v>1</v>
      </c>
      <c r="C515" s="9">
        <v>2001</v>
      </c>
      <c r="D515" s="9">
        <f t="shared" si="318"/>
        <v>21794699</v>
      </c>
      <c r="E515" s="9" t="str">
        <f t="shared" si="315"/>
        <v>5300135,5202135,5202135,5502132,5500132,5502133</v>
      </c>
      <c r="F515" s="9" t="str">
        <f t="shared" si="316"/>
        <v>13,13,13,13,13,13</v>
      </c>
      <c r="G515" s="9" t="str">
        <f t="shared" si="317"/>
        <v>1080,1168,1168,1168,1168,1168</v>
      </c>
      <c r="H515" s="9">
        <v>244</v>
      </c>
      <c r="I515" s="9" t="s">
        <v>278</v>
      </c>
      <c r="J515" s="9" t="s">
        <v>279</v>
      </c>
      <c r="K515" s="9" t="s">
        <v>279</v>
      </c>
      <c r="L515" s="9" t="s">
        <v>279</v>
      </c>
      <c r="M515" s="36" t="s">
        <v>314</v>
      </c>
      <c r="N515" s="40"/>
      <c r="O515" s="3">
        <f t="shared" si="322"/>
        <v>21794699</v>
      </c>
      <c r="P515" s="9">
        <v>16511135.470000001</v>
      </c>
      <c r="Q515" s="9">
        <v>5300135</v>
      </c>
      <c r="R515" s="9">
        <v>5202135</v>
      </c>
      <c r="S515" s="9">
        <v>5202135</v>
      </c>
      <c r="T515" s="9">
        <v>5502132</v>
      </c>
      <c r="U515" s="9">
        <v>5500132</v>
      </c>
      <c r="V515" s="9">
        <v>5502133</v>
      </c>
      <c r="W515" s="9">
        <v>13</v>
      </c>
      <c r="X515" s="9">
        <v>13</v>
      </c>
      <c r="Y515" s="9">
        <v>13</v>
      </c>
      <c r="Z515" s="9">
        <v>13</v>
      </c>
      <c r="AA515" s="9">
        <v>13</v>
      </c>
      <c r="AB515" s="9">
        <v>13</v>
      </c>
      <c r="AC515" s="9">
        <f t="shared" si="302"/>
        <v>1080</v>
      </c>
      <c r="AD515" s="9">
        <f t="shared" si="303"/>
        <v>1168</v>
      </c>
      <c r="AE515" s="9">
        <f t="shared" si="304"/>
        <v>1168</v>
      </c>
      <c r="AF515" s="9">
        <f t="shared" si="305"/>
        <v>1168</v>
      </c>
      <c r="AG515" s="9">
        <f t="shared" si="306"/>
        <v>1168</v>
      </c>
      <c r="AH515" s="9">
        <f t="shared" si="307"/>
        <v>1168</v>
      </c>
      <c r="AI515" s="7">
        <f t="shared" si="324"/>
        <v>2751855.9116666666</v>
      </c>
      <c r="AJ515" s="7">
        <f t="shared" si="324"/>
        <v>2751855.9116666666</v>
      </c>
      <c r="AK515" s="7">
        <f t="shared" si="324"/>
        <v>2751855.9116666666</v>
      </c>
      <c r="AL515" s="7">
        <f t="shared" si="324"/>
        <v>2751855.9116666666</v>
      </c>
      <c r="AM515" s="7">
        <f t="shared" si="324"/>
        <v>2751855.9116666666</v>
      </c>
      <c r="AN515" s="7">
        <f t="shared" si="324"/>
        <v>2751855.9116666666</v>
      </c>
      <c r="AO515" s="16"/>
      <c r="AP515" s="7"/>
      <c r="AQ515" s="9">
        <v>8</v>
      </c>
      <c r="AR515" s="9">
        <f t="shared" si="308"/>
        <v>1474</v>
      </c>
      <c r="AS515" s="7">
        <f t="shared" si="320"/>
        <v>356</v>
      </c>
      <c r="AT515" s="7"/>
      <c r="AU515" s="16"/>
      <c r="AV515" s="7"/>
      <c r="AW515" s="7"/>
      <c r="AX515" s="7"/>
      <c r="AZ515" s="7"/>
      <c r="BA515" s="9">
        <f t="shared" si="323"/>
        <v>2127111.4400000013</v>
      </c>
      <c r="BC515" s="5" t="e">
        <f t="shared" si="309"/>
        <v>#N/A</v>
      </c>
      <c r="BR515" s="5">
        <v>3205032</v>
      </c>
      <c r="BS515" s="18">
        <f>[1]monsters!$N515</f>
        <v>91.52</v>
      </c>
      <c r="BT515" s="18">
        <f>[1]monsters!$O515</f>
        <v>9.15</v>
      </c>
      <c r="BU515" s="18">
        <f>[1]monsters!$P515</f>
        <v>1047.27</v>
      </c>
      <c r="BV515" s="18">
        <f>[1]monsters!$Q515</f>
        <v>104.73</v>
      </c>
      <c r="BW515" s="18">
        <f>[1]monsters!$R515</f>
        <v>11.44</v>
      </c>
      <c r="BX515" s="18">
        <f>[1]monsters!$S515</f>
        <v>1.1399999999999999</v>
      </c>
      <c r="BY515" s="18">
        <f>[1]monsters!$K515</f>
        <v>1.3</v>
      </c>
      <c r="BZ515" s="5">
        <f>[1]monsters!$D515</f>
        <v>3</v>
      </c>
      <c r="CA515" s="5">
        <f t="shared" si="310"/>
        <v>0.1</v>
      </c>
      <c r="CB515" s="5">
        <f t="shared" si="311"/>
        <v>121.74801616161616</v>
      </c>
      <c r="CC515" s="5">
        <f t="shared" si="312"/>
        <v>12.174801616161616</v>
      </c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>
        <v>0</v>
      </c>
      <c r="CR515" s="3" t="b">
        <f t="shared" si="284"/>
        <v>1</v>
      </c>
      <c r="CS515" s="3" t="b">
        <f t="shared" si="285"/>
        <v>1</v>
      </c>
      <c r="CT515" s="3" t="b">
        <f t="shared" si="286"/>
        <v>1</v>
      </c>
      <c r="CU515" s="3" t="b">
        <f t="shared" si="287"/>
        <v>1</v>
      </c>
      <c r="CV515" s="3" t="b">
        <f t="shared" si="288"/>
        <v>1</v>
      </c>
      <c r="CW515" s="3" t="b">
        <f t="shared" si="289"/>
        <v>1</v>
      </c>
      <c r="CX515" s="9" t="str">
        <f t="shared" si="290"/>
        <v>5300135</v>
      </c>
      <c r="CY515" s="9" t="str">
        <f t="shared" si="291"/>
        <v>5202135</v>
      </c>
      <c r="CZ515" s="9" t="str">
        <f t="shared" si="292"/>
        <v>5202135</v>
      </c>
      <c r="DA515" s="9" t="str">
        <f t="shared" si="293"/>
        <v>5502132</v>
      </c>
      <c r="DB515" s="9" t="str">
        <f t="shared" si="294"/>
        <v>5500132</v>
      </c>
      <c r="DC515" s="9" t="str">
        <f t="shared" si="295"/>
        <v>5502133</v>
      </c>
      <c r="DD515" s="9">
        <v>13</v>
      </c>
      <c r="DE515" s="9">
        <v>13</v>
      </c>
      <c r="DF515" s="9">
        <v>13</v>
      </c>
      <c r="DG515" s="9">
        <v>13</v>
      </c>
      <c r="DH515" s="9">
        <v>13</v>
      </c>
      <c r="DI515" s="9">
        <v>13</v>
      </c>
      <c r="DJ515" s="9">
        <v>5</v>
      </c>
      <c r="DK515" s="9">
        <v>5</v>
      </c>
      <c r="DL515" s="9">
        <v>5</v>
      </c>
      <c r="DM515" s="9">
        <v>5</v>
      </c>
      <c r="DN515" s="9">
        <v>5</v>
      </c>
      <c r="DO515" s="9">
        <v>5</v>
      </c>
      <c r="DP515" s="25" t="s">
        <v>212</v>
      </c>
      <c r="DQ515" s="25" t="s">
        <v>213</v>
      </c>
      <c r="DR515" s="25" t="s">
        <v>213</v>
      </c>
      <c r="DS515" s="26" t="s">
        <v>204</v>
      </c>
      <c r="DT515" s="26" t="s">
        <v>109</v>
      </c>
      <c r="DU515" s="26" t="s">
        <v>215</v>
      </c>
      <c r="DV515" s="26">
        <f t="shared" si="296"/>
        <v>1</v>
      </c>
      <c r="DW515" s="26">
        <f t="shared" si="297"/>
        <v>1</v>
      </c>
      <c r="DX515" s="26">
        <f t="shared" si="298"/>
        <v>1</v>
      </c>
      <c r="DY515" s="26">
        <f t="shared" si="299"/>
        <v>2</v>
      </c>
      <c r="DZ515" s="26">
        <f t="shared" si="300"/>
        <v>2</v>
      </c>
      <c r="EA515" s="3">
        <f t="shared" si="301"/>
        <v>2</v>
      </c>
      <c r="EB515" s="47"/>
    </row>
    <row r="516" spans="1:132" ht="13.5" customHeight="1">
      <c r="A516" s="9">
        <v>513</v>
      </c>
      <c r="B516" s="9">
        <v>1</v>
      </c>
      <c r="C516" s="9">
        <v>2001</v>
      </c>
      <c r="D516" s="9">
        <f t="shared" si="318"/>
        <v>21860534</v>
      </c>
      <c r="E516" s="9" t="str">
        <f t="shared" si="315"/>
        <v>5200132,5200133,5200132,5401131,5501135,5400135</v>
      </c>
      <c r="F516" s="9" t="str">
        <f t="shared" si="316"/>
        <v>13,13,13,13,13,13</v>
      </c>
      <c r="G516" s="9" t="str">
        <f t="shared" si="317"/>
        <v>1082,1170,1170,1170,1170,1170</v>
      </c>
      <c r="H516" s="9">
        <v>245</v>
      </c>
      <c r="I516" s="9" t="s">
        <v>278</v>
      </c>
      <c r="J516" s="9" t="s">
        <v>279</v>
      </c>
      <c r="K516" s="9" t="s">
        <v>279</v>
      </c>
      <c r="L516" s="9" t="s">
        <v>279</v>
      </c>
      <c r="M516" s="36" t="s">
        <v>314</v>
      </c>
      <c r="N516" s="40"/>
      <c r="O516" s="3">
        <f t="shared" si="322"/>
        <v>21860534</v>
      </c>
      <c r="P516" s="9">
        <v>16561010.84</v>
      </c>
      <c r="Q516" s="9">
        <v>5200132</v>
      </c>
      <c r="R516" s="9">
        <v>5200133</v>
      </c>
      <c r="S516" s="9">
        <v>5200132</v>
      </c>
      <c r="T516" s="9">
        <v>5401131</v>
      </c>
      <c r="U516" s="9">
        <v>5501135</v>
      </c>
      <c r="V516" s="9">
        <v>5400135</v>
      </c>
      <c r="W516" s="9">
        <v>13</v>
      </c>
      <c r="X516" s="9">
        <v>13</v>
      </c>
      <c r="Y516" s="9">
        <v>13</v>
      </c>
      <c r="Z516" s="9">
        <v>13</v>
      </c>
      <c r="AA516" s="9">
        <v>13</v>
      </c>
      <c r="AB516" s="9">
        <v>13</v>
      </c>
      <c r="AC516" s="9">
        <f t="shared" si="302"/>
        <v>1082</v>
      </c>
      <c r="AD516" s="9">
        <f t="shared" si="303"/>
        <v>1170</v>
      </c>
      <c r="AE516" s="9">
        <f t="shared" si="304"/>
        <v>1170</v>
      </c>
      <c r="AF516" s="9">
        <f t="shared" si="305"/>
        <v>1170</v>
      </c>
      <c r="AG516" s="9">
        <f t="shared" si="306"/>
        <v>1170</v>
      </c>
      <c r="AH516" s="9">
        <f t="shared" si="307"/>
        <v>1170</v>
      </c>
      <c r="AI516" s="7">
        <f t="shared" si="324"/>
        <v>2760168.4733333332</v>
      </c>
      <c r="AJ516" s="7">
        <f t="shared" si="324"/>
        <v>2760168.4733333332</v>
      </c>
      <c r="AK516" s="7">
        <f t="shared" si="324"/>
        <v>2760168.4733333332</v>
      </c>
      <c r="AL516" s="7">
        <f t="shared" si="324"/>
        <v>2760168.4733333332</v>
      </c>
      <c r="AM516" s="7">
        <f t="shared" si="324"/>
        <v>2760168.4733333332</v>
      </c>
      <c r="AN516" s="7">
        <f t="shared" si="324"/>
        <v>2760168.4733333332</v>
      </c>
      <c r="AO516" s="16"/>
      <c r="AP516" s="7"/>
      <c r="AQ516" s="9">
        <v>8</v>
      </c>
      <c r="AR516" s="9">
        <f t="shared" si="308"/>
        <v>1476</v>
      </c>
      <c r="AS516" s="7">
        <f t="shared" si="320"/>
        <v>356</v>
      </c>
      <c r="AT516" s="7"/>
      <c r="AU516" s="16"/>
      <c r="AV516" s="7"/>
      <c r="AW516" s="7"/>
      <c r="AX516" s="7"/>
      <c r="AZ516" s="7"/>
      <c r="BA516" s="9">
        <f t="shared" si="323"/>
        <v>2137704.0600000015</v>
      </c>
      <c r="BC516" s="5" t="e">
        <f t="shared" si="309"/>
        <v>#N/A</v>
      </c>
      <c r="BR516" s="5">
        <v>3405032</v>
      </c>
      <c r="BS516" s="18">
        <f>[1]monsters!$N516</f>
        <v>126.72</v>
      </c>
      <c r="BT516" s="18">
        <f>[1]monsters!$O516</f>
        <v>12.67</v>
      </c>
      <c r="BU516" s="18">
        <f>[1]monsters!$P516</f>
        <v>1047.27</v>
      </c>
      <c r="BV516" s="18">
        <f>[1]monsters!$Q516</f>
        <v>104.73</v>
      </c>
      <c r="BW516" s="18">
        <f>[1]monsters!$R516</f>
        <v>21.12</v>
      </c>
      <c r="BX516" s="18">
        <f>[1]monsters!$S516</f>
        <v>2.11</v>
      </c>
      <c r="BY516" s="18">
        <f>[1]monsters!$K516</f>
        <v>1.8</v>
      </c>
      <c r="BZ516" s="5">
        <f>[1]monsters!$D516</f>
        <v>5</v>
      </c>
      <c r="CA516" s="5">
        <f t="shared" si="310"/>
        <v>0.1</v>
      </c>
      <c r="CB516" s="5">
        <f t="shared" si="311"/>
        <v>155.01201616161617</v>
      </c>
      <c r="CC516" s="5">
        <f t="shared" si="312"/>
        <v>15.501201616161618</v>
      </c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>
        <v>0</v>
      </c>
      <c r="CR516" s="3" t="b">
        <f t="shared" ref="CR516:CR579" si="325">IF(ISERROR(MATCH(INT(CX516),$EC$4:$EC$426,0))=FALSE,TRUE)</f>
        <v>1</v>
      </c>
      <c r="CS516" s="3" t="b">
        <f t="shared" ref="CS516:CS579" si="326">IF(ISERROR(MATCH(INT(CY516),$EC$4:$EC$426,0))=FALSE,TRUE)</f>
        <v>1</v>
      </c>
      <c r="CT516" s="3" t="b">
        <f t="shared" ref="CT516:CT579" si="327">IF(ISERROR(MATCH(INT(CZ516),$EC$4:$EC$426,0))=FALSE,TRUE)</f>
        <v>1</v>
      </c>
      <c r="CU516" s="3" t="b">
        <f t="shared" ref="CU516:CU579" si="328">IF(ISERROR(MATCH(INT(DA516),$EC$4:$EC$426,0))=FALSE,TRUE)</f>
        <v>1</v>
      </c>
      <c r="CV516" s="3" t="b">
        <f t="shared" ref="CV516:CV579" si="329">IF(ISERROR(MATCH(INT(DB516),$EC$4:$EC$426,0))=FALSE,TRUE)</f>
        <v>1</v>
      </c>
      <c r="CW516" s="3" t="b">
        <f t="shared" ref="CW516:CW579" si="330">IF(ISERROR(MATCH(INT(DC516),$EC$4:$EC$426,0))=FALSE,TRUE)</f>
        <v>1</v>
      </c>
      <c r="CX516" s="9" t="str">
        <f t="shared" ref="CX516:CX579" si="331">REPLACE(REPLACE(INDEX($EC$4:$EC$426,MATCH(DP516,$ED$4:$ED$426,0)),IF(DD516&gt;9,5,6),IF(DD516&gt;9,2,1),DD516),1,1,DJ516)</f>
        <v>5200132</v>
      </c>
      <c r="CY516" s="9" t="str">
        <f t="shared" ref="CY516:CY579" si="332">REPLACE(REPLACE(INDEX($EC$4:$EC$426,MATCH(DQ516,$ED$4:$ED$426,0)),IF(DE516&gt;9,5,6),IF(DE516&gt;9,2,1),DE516),1,1,DK516)</f>
        <v>5200133</v>
      </c>
      <c r="CZ516" s="9" t="str">
        <f t="shared" ref="CZ516:CZ579" si="333">REPLACE(REPLACE(INDEX($EC$4:$EC$426,MATCH(DR516,$ED$4:$ED$426,0)),IF(DF516&gt;9,5,6),IF(DF516&gt;9,2,1),DF516),1,1,DL516)</f>
        <v>5200132</v>
      </c>
      <c r="DA516" s="9" t="str">
        <f t="shared" ref="DA516:DA579" si="334">REPLACE(REPLACE(INDEX($EC$4:$EC$426,MATCH(DS516,$ED$4:$ED$426,0)),IF(DG516&gt;9,5,6),IF(DG516&gt;9,2,1),DG516),1,1,DM516)</f>
        <v>5401131</v>
      </c>
      <c r="DB516" s="9" t="str">
        <f t="shared" ref="DB516:DB579" si="335">REPLACE(REPLACE(INDEX($EC$4:$EC$426,MATCH(DT516,$ED$4:$ED$426,0)),IF(DH516&gt;9,5,6),IF(DH516&gt;9,2,1),DH516),1,1,DN516)</f>
        <v>5501135</v>
      </c>
      <c r="DC516" s="9" t="str">
        <f t="shared" ref="DC516:DC579" si="336">REPLACE(REPLACE(INDEX($EC$4:$EC$426,MATCH(DU516,$ED$4:$ED$426,0)),IF(DI516&gt;9,5,6),IF(DI516&gt;9,2,1),DI516),1,1,DO516)</f>
        <v>5400135</v>
      </c>
      <c r="DD516" s="9">
        <v>13</v>
      </c>
      <c r="DE516" s="9">
        <v>13</v>
      </c>
      <c r="DF516" s="9">
        <v>13</v>
      </c>
      <c r="DG516" s="9">
        <v>13</v>
      </c>
      <c r="DH516" s="9">
        <v>13</v>
      </c>
      <c r="DI516" s="9">
        <v>13</v>
      </c>
      <c r="DJ516" s="9">
        <v>5</v>
      </c>
      <c r="DK516" s="9">
        <v>5</v>
      </c>
      <c r="DL516" s="9">
        <v>5</v>
      </c>
      <c r="DM516" s="9">
        <v>5</v>
      </c>
      <c r="DN516" s="9">
        <v>5</v>
      </c>
      <c r="DO516" s="9">
        <v>5</v>
      </c>
      <c r="DP516" s="25" t="s">
        <v>199</v>
      </c>
      <c r="DQ516" s="25" t="s">
        <v>113</v>
      </c>
      <c r="DR516" s="25" t="s">
        <v>199</v>
      </c>
      <c r="DS516" s="26" t="s">
        <v>117</v>
      </c>
      <c r="DT516" s="26" t="s">
        <v>209</v>
      </c>
      <c r="DU516" s="26" t="s">
        <v>210</v>
      </c>
      <c r="DV516" s="26">
        <f t="shared" ref="DV516:DV579" si="337">INDEX($EE$4:$EE$426,MATCH(DP516,$ED$4:$ED$426,0))</f>
        <v>1</v>
      </c>
      <c r="DW516" s="26">
        <f t="shared" ref="DW516:DW579" si="338">INDEX($EE$4:$EE$426,MATCH(DQ516,$ED$4:$ED$426,0))</f>
        <v>1</v>
      </c>
      <c r="DX516" s="26">
        <f t="shared" ref="DX516:DX579" si="339">INDEX($EE$4:$EE$426,MATCH(DR516,$ED$4:$ED$426,0))</f>
        <v>1</v>
      </c>
      <c r="DY516" s="26">
        <f t="shared" ref="DY516:DY579" si="340">INDEX($EE$4:$EE$426,MATCH(DS516,$ED$4:$ED$426,0))</f>
        <v>2</v>
      </c>
      <c r="DZ516" s="26">
        <f t="shared" ref="DZ516:DZ579" si="341">INDEX($EE$4:$EE$426,MATCH(DT516,$ED$4:$ED$426,0))</f>
        <v>2</v>
      </c>
      <c r="EA516" s="3">
        <f t="shared" ref="EA516:EA579" si="342">INDEX($EE$4:$EE$426,MATCH(DU516,$ED$4:$ED$426,0))</f>
        <v>2</v>
      </c>
      <c r="EB516" s="48"/>
    </row>
    <row r="517" spans="1:132" ht="13.5" customHeight="1">
      <c r="A517" s="9">
        <v>514</v>
      </c>
      <c r="B517" s="9">
        <v>1</v>
      </c>
      <c r="C517" s="9">
        <v>2001</v>
      </c>
      <c r="D517" s="9">
        <f t="shared" si="318"/>
        <v>21926470</v>
      </c>
      <c r="E517" s="9" t="str">
        <f t="shared" si="315"/>
        <v>5202131,5202132,5301132,5502131,5500131,5502131</v>
      </c>
      <c r="F517" s="9" t="str">
        <f t="shared" si="316"/>
        <v>13,13,13,13,13,13</v>
      </c>
      <c r="G517" s="9" t="str">
        <f t="shared" si="317"/>
        <v>1084,1171,1171,1171,1171,1171</v>
      </c>
      <c r="H517" s="9">
        <v>245</v>
      </c>
      <c r="I517" s="9" t="s">
        <v>278</v>
      </c>
      <c r="J517" s="9" t="s">
        <v>279</v>
      </c>
      <c r="K517" s="9" t="s">
        <v>279</v>
      </c>
      <c r="L517" s="9" t="s">
        <v>279</v>
      </c>
      <c r="M517" s="36" t="s">
        <v>314</v>
      </c>
      <c r="N517" s="40"/>
      <c r="O517" s="3">
        <f t="shared" si="322"/>
        <v>21926470</v>
      </c>
      <c r="P517" s="9">
        <v>16610961.83</v>
      </c>
      <c r="Q517" s="9">
        <v>5202131</v>
      </c>
      <c r="R517" s="9">
        <v>5202132</v>
      </c>
      <c r="S517" s="9">
        <v>5301132</v>
      </c>
      <c r="T517" s="9">
        <v>5502131</v>
      </c>
      <c r="U517" s="9">
        <v>5500131</v>
      </c>
      <c r="V517" s="9">
        <v>5502131</v>
      </c>
      <c r="W517" s="9">
        <v>13</v>
      </c>
      <c r="X517" s="9">
        <v>13</v>
      </c>
      <c r="Y517" s="9">
        <v>13</v>
      </c>
      <c r="Z517" s="9">
        <v>13</v>
      </c>
      <c r="AA517" s="9">
        <v>13</v>
      </c>
      <c r="AB517" s="9">
        <v>13</v>
      </c>
      <c r="AC517" s="9">
        <f t="shared" ref="AC517:AC580" si="343">IF(AI517&gt;0,FLOOR((POWER((AI517/IF(AND(W517&gt;=2,W517&lt;4),1.1,IF(AND(W517&gt;=4,W517&lt;6),1.2,IF(W517&gt;=6,1.4,1)))/$Z$1),0.5)/INDEX($BD$4:$BQ$4,MATCH(W517,$BD$3:$BQ$3,0))-1)*10,1),"")</f>
        <v>1084</v>
      </c>
      <c r="AD517" s="9">
        <f t="shared" ref="AD517:AD580" si="344">IF(AJ517&gt;0,FLOOR((POWER((AJ517/IF(AND(X517&gt;=2,X517&lt;4),1.1,IF(AND(X517&gt;=4,X517&lt;6),1.15,IF(X517&gt;=6,1.2,1)))/$Z$1),0.5)/INDEX($BD$4:$BQ$4,MATCH(X517,$BD$3:$BQ$3,0))-1)*10,1),"")</f>
        <v>1171</v>
      </c>
      <c r="AE517" s="9">
        <f t="shared" ref="AE517:AE580" si="345">IF(AK517&gt;0,FLOOR((POWER((AK517/IF(AND(Y517&gt;=2,Y517&lt;4),1.1,IF(AND(Y517&gt;=4,Y517&lt;6),1.15,IF(Y517&gt;=6,1.2,1)))/$Z$1),0.5)/INDEX($BD$4:$BQ$4,MATCH(Y517,$BD$3:$BQ$3,0))-1)*10,1),"")</f>
        <v>1171</v>
      </c>
      <c r="AF517" s="9">
        <f t="shared" ref="AF517:AF580" si="346">IF(AL517&gt;0,FLOOR((POWER((AL517/IF(AND(Z517&gt;=2,Z517&lt;4),1.1,IF(AND(Z517&gt;=4,Z517&lt;6),1.15,IF(Z517&gt;=6,1.2,1)))/$Z$1),0.5)/INDEX($BD$4:$BQ$4,MATCH(Z517,$BD$3:$BQ$3,0))-1)*10,1),"")</f>
        <v>1171</v>
      </c>
      <c r="AG517" s="9">
        <f t="shared" ref="AG517:AG580" si="347">IF(AM517&gt;0,FLOOR((POWER((AM517/IF(AND(AA517&gt;=2,AA517&lt;4),1.1,IF(AND(AA517&gt;=4,AA517&lt;6),1.15,IF(AA517&gt;=6,1.2,1)))/$Z$1),0.5)/INDEX($BD$4:$BQ$4,MATCH(AA517,$BD$3:$BQ$3,0))-1)*10,1),"")</f>
        <v>1171</v>
      </c>
      <c r="AH517" s="9">
        <f t="shared" ref="AH517:AH580" si="348">IF(AN517&gt;0,FLOOR((POWER((AN517/IF(AND(AB517&gt;=2,AB517&lt;4),1.1,IF(AND(AB517&gt;=4,AB517&lt;6),1.15,IF(AB517&gt;=6,1.2,1)))/$Z$1),0.5)/INDEX($BD$4:$BQ$4,MATCH(AB517,$BD$3:$BQ$3,0))-1)*10,1),"")</f>
        <v>1171</v>
      </c>
      <c r="AI517" s="7">
        <f t="shared" si="324"/>
        <v>2768493.6383333332</v>
      </c>
      <c r="AJ517" s="7">
        <f t="shared" si="324"/>
        <v>2768493.6383333332</v>
      </c>
      <c r="AK517" s="7">
        <f t="shared" si="324"/>
        <v>2768493.6383333332</v>
      </c>
      <c r="AL517" s="7">
        <f t="shared" si="324"/>
        <v>2768493.6383333332</v>
      </c>
      <c r="AM517" s="7">
        <f t="shared" si="324"/>
        <v>2768493.6383333332</v>
      </c>
      <c r="AN517" s="7">
        <f t="shared" si="324"/>
        <v>2768493.6383333332</v>
      </c>
      <c r="AO517" s="16"/>
      <c r="AP517" s="7"/>
      <c r="AQ517" s="9">
        <v>8</v>
      </c>
      <c r="AR517" s="9">
        <f t="shared" ref="AR517:AR580" si="349">IF(AI517&gt;0,FLOOR((POWER((AI517/IF(AND(AQ517&gt;=2,AQ517&lt;4),1.2,IF(AND(AQ517&gt;=4,AQ517&lt;6),1.4,IF(AQ517&gt;=6,1.6,1)))/$Z$1),0.5)/INDEX($BD$4:$BQ$4,MATCH(AQ517,$BD$3:$BQ$3,0))-1)*10,1),"")</f>
        <v>1478</v>
      </c>
      <c r="AS517" s="7">
        <f t="shared" si="320"/>
        <v>357</v>
      </c>
      <c r="AT517" s="7"/>
      <c r="AU517" s="16"/>
      <c r="AV517" s="7"/>
      <c r="AW517" s="7"/>
      <c r="AX517" s="7"/>
      <c r="AZ517" s="7"/>
      <c r="BA517" s="9">
        <f t="shared" si="323"/>
        <v>2148296.6800000016</v>
      </c>
      <c r="BC517" s="5" t="e">
        <f t="shared" ref="BC517:BC580" si="350">FLOOR(POWER(((3000*1.5/0.9/1.05)/(96*INDEX($BD$4:$BO$4,MATCH(W517,$BD$3:$BO$3,0))*8*INDEX($BD$4:$BO$4,MATCH(W517,$BD$3:$BO$3,0)))*AI517/IF(AND(W517&gt;=2,W517&lt;4),1.2,IF(AND(W517&gt;=4,W517&lt;6),1.4,IF(W517&gt;=6,1.6,1)))),1/2)-10,1)</f>
        <v>#N/A</v>
      </c>
      <c r="BR517" s="5">
        <v>3203032</v>
      </c>
      <c r="BS517" s="18">
        <f>[1]monsters!$N517</f>
        <v>92.16</v>
      </c>
      <c r="BT517" s="18">
        <f>[1]monsters!$O517</f>
        <v>9.2200000000000006</v>
      </c>
      <c r="BU517" s="18">
        <f>[1]monsters!$P517</f>
        <v>1280</v>
      </c>
      <c r="BV517" s="18">
        <f>[1]monsters!$Q517</f>
        <v>128</v>
      </c>
      <c r="BW517" s="18">
        <f>[1]monsters!$R517</f>
        <v>18.43</v>
      </c>
      <c r="BX517" s="18">
        <f>[1]monsters!$S517</f>
        <v>1.84</v>
      </c>
      <c r="BY517" s="18">
        <f>[1]monsters!$K517</f>
        <v>1.6</v>
      </c>
      <c r="BZ517" s="5">
        <f>[1]monsters!$D517</f>
        <v>2</v>
      </c>
      <c r="CA517" s="5">
        <f t="shared" ref="CA517:CA580" si="351">INDEX($CH$5:$CH$10,MATCH($BZ517,$CG$5:$CG$10))</f>
        <v>0.1</v>
      </c>
      <c r="CB517" s="5">
        <f t="shared" ref="CB517:CB580" si="352">(BU517/33/(1-CA517)/(1-0)+BS517*(1+0.5*0.1)*0.9)</f>
        <v>130.18884309764309</v>
      </c>
      <c r="CC517" s="5">
        <f t="shared" ref="CC517:CC580" si="353">(BU517/33/(1-CA517)/(1-0)+BS517*(1+0.5*0.1)*0.9)*0.1</f>
        <v>13.01888430976431</v>
      </c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>
        <v>0</v>
      </c>
      <c r="CR517" s="3" t="b">
        <f t="shared" si="325"/>
        <v>1</v>
      </c>
      <c r="CS517" s="3" t="b">
        <f t="shared" si="326"/>
        <v>1</v>
      </c>
      <c r="CT517" s="3" t="b">
        <f t="shared" si="327"/>
        <v>1</v>
      </c>
      <c r="CU517" s="3" t="b">
        <f t="shared" si="328"/>
        <v>1</v>
      </c>
      <c r="CV517" s="3" t="b">
        <f t="shared" si="329"/>
        <v>1</v>
      </c>
      <c r="CW517" s="3" t="b">
        <f t="shared" si="330"/>
        <v>1</v>
      </c>
      <c r="CX517" s="9" t="str">
        <f t="shared" si="331"/>
        <v>5202131</v>
      </c>
      <c r="CY517" s="9" t="str">
        <f t="shared" si="332"/>
        <v>5202132</v>
      </c>
      <c r="CZ517" s="9" t="str">
        <f t="shared" si="333"/>
        <v>5301132</v>
      </c>
      <c r="DA517" s="9" t="str">
        <f t="shared" si="334"/>
        <v>5502131</v>
      </c>
      <c r="DB517" s="9" t="str">
        <f t="shared" si="335"/>
        <v>5500131</v>
      </c>
      <c r="DC517" s="9" t="str">
        <f t="shared" si="336"/>
        <v>5502131</v>
      </c>
      <c r="DD517" s="9">
        <v>13</v>
      </c>
      <c r="DE517" s="9">
        <v>13</v>
      </c>
      <c r="DF517" s="9">
        <v>13</v>
      </c>
      <c r="DG517" s="9">
        <v>13</v>
      </c>
      <c r="DH517" s="9">
        <v>13</v>
      </c>
      <c r="DI517" s="9">
        <v>13</v>
      </c>
      <c r="DJ517" s="9">
        <v>5</v>
      </c>
      <c r="DK517" s="9">
        <v>5</v>
      </c>
      <c r="DL517" s="9">
        <v>5</v>
      </c>
      <c r="DM517" s="9">
        <v>5</v>
      </c>
      <c r="DN517" s="9">
        <v>5</v>
      </c>
      <c r="DO517" s="9">
        <v>5</v>
      </c>
      <c r="DP517" s="25" t="s">
        <v>111</v>
      </c>
      <c r="DQ517" s="25" t="s">
        <v>200</v>
      </c>
      <c r="DR517" s="25" t="s">
        <v>201</v>
      </c>
      <c r="DS517" s="26" t="s">
        <v>119</v>
      </c>
      <c r="DT517" s="26" t="s">
        <v>197</v>
      </c>
      <c r="DU517" s="26" t="s">
        <v>119</v>
      </c>
      <c r="DV517" s="26">
        <f t="shared" si="337"/>
        <v>1</v>
      </c>
      <c r="DW517" s="26">
        <f t="shared" si="338"/>
        <v>1</v>
      </c>
      <c r="DX517" s="26">
        <f t="shared" si="339"/>
        <v>1</v>
      </c>
      <c r="DY517" s="26">
        <f t="shared" si="340"/>
        <v>2</v>
      </c>
      <c r="DZ517" s="26">
        <f t="shared" si="341"/>
        <v>2</v>
      </c>
      <c r="EA517" s="3">
        <f t="shared" si="342"/>
        <v>2</v>
      </c>
      <c r="EB517" s="47"/>
    </row>
    <row r="518" spans="1:132" ht="13.5" customHeight="1">
      <c r="A518" s="9">
        <v>515</v>
      </c>
      <c r="B518" s="9">
        <v>1</v>
      </c>
      <c r="C518" s="9">
        <v>2001</v>
      </c>
      <c r="D518" s="9">
        <f t="shared" si="318"/>
        <v>21992502</v>
      </c>
      <c r="E518" s="9" t="str">
        <f t="shared" si="315"/>
        <v>5201131,5201131,5201131,5401131,5401131,5401131</v>
      </c>
      <c r="F518" s="9" t="str">
        <f t="shared" si="316"/>
        <v>13,13,13,13,13,13</v>
      </c>
      <c r="G518" s="9" t="str">
        <f t="shared" si="317"/>
        <v>1085,1173,1173,1173,1173,1173</v>
      </c>
      <c r="H518" s="9">
        <v>246</v>
      </c>
      <c r="I518" s="9" t="s">
        <v>278</v>
      </c>
      <c r="J518" s="9" t="s">
        <v>279</v>
      </c>
      <c r="K518" s="9" t="s">
        <v>279</v>
      </c>
      <c r="L518" s="9" t="s">
        <v>279</v>
      </c>
      <c r="M518" s="36" t="s">
        <v>314</v>
      </c>
      <c r="O518" s="3">
        <f t="shared" si="322"/>
        <v>21992502</v>
      </c>
      <c r="P518" s="9">
        <v>16660986.449999999</v>
      </c>
      <c r="Q518" s="9">
        <v>5201131</v>
      </c>
      <c r="R518" s="9">
        <v>5201131</v>
      </c>
      <c r="S518" s="9">
        <v>5201131</v>
      </c>
      <c r="T518" s="9">
        <v>5401131</v>
      </c>
      <c r="U518" s="9">
        <v>5401131</v>
      </c>
      <c r="V518" s="9">
        <v>5401131</v>
      </c>
      <c r="W518" s="9">
        <v>13</v>
      </c>
      <c r="X518" s="9">
        <v>13</v>
      </c>
      <c r="Y518" s="9">
        <v>13</v>
      </c>
      <c r="Z518" s="9">
        <v>13</v>
      </c>
      <c r="AA518" s="9">
        <v>13</v>
      </c>
      <c r="AB518" s="9">
        <v>13</v>
      </c>
      <c r="AC518" s="9">
        <f t="shared" si="343"/>
        <v>1085</v>
      </c>
      <c r="AD518" s="9">
        <f t="shared" si="344"/>
        <v>1173</v>
      </c>
      <c r="AE518" s="9">
        <f t="shared" si="345"/>
        <v>1173</v>
      </c>
      <c r="AF518" s="9">
        <f t="shared" si="346"/>
        <v>1173</v>
      </c>
      <c r="AG518" s="9">
        <f t="shared" si="347"/>
        <v>1173</v>
      </c>
      <c r="AH518" s="9">
        <f t="shared" si="348"/>
        <v>1173</v>
      </c>
      <c r="AI518" s="7">
        <f t="shared" si="324"/>
        <v>2776831.0749999997</v>
      </c>
      <c r="AJ518" s="7">
        <f t="shared" si="324"/>
        <v>2776831.0749999997</v>
      </c>
      <c r="AK518" s="7">
        <f t="shared" si="324"/>
        <v>2776831.0749999997</v>
      </c>
      <c r="AL518" s="7">
        <f t="shared" si="324"/>
        <v>2776831.0749999997</v>
      </c>
      <c r="AM518" s="7">
        <f t="shared" si="324"/>
        <v>2776831.0749999997</v>
      </c>
      <c r="AN518" s="7">
        <f t="shared" si="324"/>
        <v>2776831.0749999997</v>
      </c>
      <c r="AO518" s="16"/>
      <c r="AP518" s="7"/>
      <c r="AQ518" s="9">
        <v>8</v>
      </c>
      <c r="AR518" s="9">
        <f t="shared" si="349"/>
        <v>1481</v>
      </c>
      <c r="AS518" s="7">
        <f t="shared" si="320"/>
        <v>357</v>
      </c>
      <c r="AT518" s="7"/>
      <c r="AU518" s="16"/>
      <c r="AV518" s="7"/>
      <c r="AW518" s="7"/>
      <c r="AX518" s="7"/>
      <c r="AZ518" s="7"/>
      <c r="BA518" s="9">
        <f t="shared" si="323"/>
        <v>2158889.3000000017</v>
      </c>
      <c r="BC518" s="5" t="e">
        <f t="shared" si="350"/>
        <v>#N/A</v>
      </c>
      <c r="BR518" s="5">
        <v>3403032</v>
      </c>
      <c r="BS518" s="18">
        <f>[1]monsters!$N518</f>
        <v>116.48</v>
      </c>
      <c r="BT518" s="18">
        <f>[1]monsters!$O518</f>
        <v>11.65</v>
      </c>
      <c r="BU518" s="18">
        <f>[1]monsters!$P518</f>
        <v>886.15</v>
      </c>
      <c r="BV518" s="18">
        <f>[1]monsters!$Q518</f>
        <v>88.62</v>
      </c>
      <c r="BW518" s="18">
        <f>[1]monsters!$R518</f>
        <v>11.65</v>
      </c>
      <c r="BX518" s="18">
        <f>[1]monsters!$S518</f>
        <v>1.1599999999999999</v>
      </c>
      <c r="BY518" s="18">
        <f>[1]monsters!$K518</f>
        <v>1.4</v>
      </c>
      <c r="BZ518" s="5">
        <f>[1]monsters!$D518</f>
        <v>4</v>
      </c>
      <c r="CA518" s="5">
        <f t="shared" si="351"/>
        <v>0.1</v>
      </c>
      <c r="CB518" s="5">
        <f t="shared" si="352"/>
        <v>139.91030033670035</v>
      </c>
      <c r="CC518" s="5">
        <f t="shared" si="353"/>
        <v>13.991030033670036</v>
      </c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>
        <v>1</v>
      </c>
      <c r="CR518" s="3" t="b">
        <f t="shared" si="325"/>
        <v>1</v>
      </c>
      <c r="CS518" s="3" t="b">
        <f t="shared" si="326"/>
        <v>1</v>
      </c>
      <c r="CT518" s="3" t="b">
        <f t="shared" si="327"/>
        <v>1</v>
      </c>
      <c r="CU518" s="3" t="b">
        <f t="shared" si="328"/>
        <v>1</v>
      </c>
      <c r="CV518" s="3" t="b">
        <f t="shared" si="329"/>
        <v>1</v>
      </c>
      <c r="CW518" s="3" t="b">
        <f t="shared" si="330"/>
        <v>1</v>
      </c>
      <c r="CX518" s="9" t="str">
        <f t="shared" si="331"/>
        <v>5201131</v>
      </c>
      <c r="CY518" s="9" t="str">
        <f t="shared" si="332"/>
        <v>5201131</v>
      </c>
      <c r="CZ518" s="9" t="str">
        <f t="shared" si="333"/>
        <v>5201131</v>
      </c>
      <c r="DA518" s="9" t="str">
        <f t="shared" si="334"/>
        <v>5401131</v>
      </c>
      <c r="DB518" s="9" t="str">
        <f t="shared" si="335"/>
        <v>5401131</v>
      </c>
      <c r="DC518" s="9" t="str">
        <f t="shared" si="336"/>
        <v>5401131</v>
      </c>
      <c r="DD518" s="9">
        <v>13</v>
      </c>
      <c r="DE518" s="9">
        <v>13</v>
      </c>
      <c r="DF518" s="9">
        <v>13</v>
      </c>
      <c r="DG518" s="9">
        <v>13</v>
      </c>
      <c r="DH518" s="9">
        <v>13</v>
      </c>
      <c r="DI518" s="9">
        <v>13</v>
      </c>
      <c r="DJ518" s="9">
        <v>5</v>
      </c>
      <c r="DK518" s="9">
        <v>5</v>
      </c>
      <c r="DL518" s="9">
        <v>5</v>
      </c>
      <c r="DM518" s="9">
        <v>5</v>
      </c>
      <c r="DN518" s="9">
        <v>5</v>
      </c>
      <c r="DO518" s="9">
        <v>5</v>
      </c>
      <c r="DP518" s="25" t="s">
        <v>195</v>
      </c>
      <c r="DQ518" s="25" t="s">
        <v>195</v>
      </c>
      <c r="DR518" s="25" t="s">
        <v>195</v>
      </c>
      <c r="DS518" s="27" t="s">
        <v>117</v>
      </c>
      <c r="DT518" s="27" t="s">
        <v>117</v>
      </c>
      <c r="DU518" s="27" t="s">
        <v>117</v>
      </c>
      <c r="DV518" s="28">
        <f t="shared" si="337"/>
        <v>1</v>
      </c>
      <c r="DW518" s="28">
        <f t="shared" si="338"/>
        <v>1</v>
      </c>
      <c r="DX518" s="28">
        <f t="shared" si="339"/>
        <v>1</v>
      </c>
      <c r="DY518" s="28">
        <f t="shared" si="340"/>
        <v>2</v>
      </c>
      <c r="DZ518" s="28">
        <f t="shared" si="341"/>
        <v>2</v>
      </c>
      <c r="EA518" s="3">
        <f t="shared" si="342"/>
        <v>2</v>
      </c>
      <c r="EB518" s="47"/>
    </row>
    <row r="519" spans="1:132" ht="13.5" customHeight="1">
      <c r="A519" s="9">
        <v>516</v>
      </c>
      <c r="B519" s="9">
        <v>1</v>
      </c>
      <c r="C519" s="9">
        <v>2001</v>
      </c>
      <c r="D519" s="9">
        <f t="shared" si="318"/>
        <v>22058634</v>
      </c>
      <c r="E519" s="9" t="str">
        <f t="shared" si="315"/>
        <v>5201132,5201132,5200132,5402132,5601132,5402132</v>
      </c>
      <c r="F519" s="9" t="str">
        <f t="shared" si="316"/>
        <v>13,13,13,13,13,13</v>
      </c>
      <c r="G519" s="9" t="str">
        <f t="shared" si="317"/>
        <v>1087,1175,1175,1175,1175,1175</v>
      </c>
      <c r="H519" s="9">
        <v>246</v>
      </c>
      <c r="I519" s="9" t="s">
        <v>278</v>
      </c>
      <c r="J519" s="9" t="s">
        <v>279</v>
      </c>
      <c r="K519" s="9" t="s">
        <v>279</v>
      </c>
      <c r="L519" s="9" t="s">
        <v>279</v>
      </c>
      <c r="M519" s="36" t="s">
        <v>314</v>
      </c>
      <c r="N519" s="40"/>
      <c r="O519" s="3">
        <f t="shared" si="322"/>
        <v>22058634</v>
      </c>
      <c r="P519" s="9">
        <v>16711086.689999999</v>
      </c>
      <c r="Q519" s="9">
        <v>5201132</v>
      </c>
      <c r="R519" s="9">
        <v>5201132</v>
      </c>
      <c r="S519" s="9">
        <v>5200132</v>
      </c>
      <c r="T519" s="9">
        <v>5402132</v>
      </c>
      <c r="U519" s="9">
        <v>5601132</v>
      </c>
      <c r="V519" s="9">
        <v>5402132</v>
      </c>
      <c r="W519" s="9">
        <v>13</v>
      </c>
      <c r="X519" s="9">
        <v>13</v>
      </c>
      <c r="Y519" s="9">
        <v>13</v>
      </c>
      <c r="Z519" s="9">
        <v>13</v>
      </c>
      <c r="AA519" s="9">
        <v>13</v>
      </c>
      <c r="AB519" s="9">
        <v>13</v>
      </c>
      <c r="AC519" s="9">
        <f t="shared" si="343"/>
        <v>1087</v>
      </c>
      <c r="AD519" s="9">
        <f t="shared" si="344"/>
        <v>1175</v>
      </c>
      <c r="AE519" s="9">
        <f t="shared" si="345"/>
        <v>1175</v>
      </c>
      <c r="AF519" s="9">
        <f t="shared" si="346"/>
        <v>1175</v>
      </c>
      <c r="AG519" s="9">
        <f t="shared" si="347"/>
        <v>1175</v>
      </c>
      <c r="AH519" s="9">
        <f t="shared" si="348"/>
        <v>1175</v>
      </c>
      <c r="AI519" s="7">
        <f t="shared" si="324"/>
        <v>2785181.1149999998</v>
      </c>
      <c r="AJ519" s="7">
        <f t="shared" si="324"/>
        <v>2785181.1149999998</v>
      </c>
      <c r="AK519" s="7">
        <f t="shared" si="324"/>
        <v>2785181.1149999998</v>
      </c>
      <c r="AL519" s="7">
        <f t="shared" si="324"/>
        <v>2785181.1149999998</v>
      </c>
      <c r="AM519" s="7">
        <f t="shared" si="324"/>
        <v>2785181.1149999998</v>
      </c>
      <c r="AN519" s="7">
        <f t="shared" si="324"/>
        <v>2785181.1149999998</v>
      </c>
      <c r="AO519" s="16"/>
      <c r="AP519" s="7"/>
      <c r="AQ519" s="9">
        <v>8</v>
      </c>
      <c r="AR519" s="9">
        <f t="shared" si="349"/>
        <v>1483</v>
      </c>
      <c r="AS519" s="7">
        <f t="shared" si="320"/>
        <v>358</v>
      </c>
      <c r="AT519" s="7"/>
      <c r="AU519" s="16"/>
      <c r="AV519" s="7"/>
      <c r="AW519" s="7"/>
      <c r="AX519" s="7"/>
      <c r="AZ519" s="7"/>
      <c r="BA519" s="9">
        <f t="shared" si="323"/>
        <v>2169481.9200000018</v>
      </c>
      <c r="BC519" s="5" t="e">
        <f t="shared" si="350"/>
        <v>#N/A</v>
      </c>
      <c r="BR519" s="5">
        <v>3204032</v>
      </c>
      <c r="BS519" s="18">
        <f>[1]monsters!$N519</f>
        <v>80.64</v>
      </c>
      <c r="BT519" s="18">
        <f>[1]monsters!$O519</f>
        <v>8.06</v>
      </c>
      <c r="BU519" s="18">
        <f>[1]monsters!$P519</f>
        <v>1280</v>
      </c>
      <c r="BV519" s="18">
        <f>[1]monsters!$Q519</f>
        <v>128</v>
      </c>
      <c r="BW519" s="18">
        <f>[1]monsters!$R519</f>
        <v>16.13</v>
      </c>
      <c r="BX519" s="18">
        <f>[1]monsters!$S519</f>
        <v>1.61</v>
      </c>
      <c r="BY519" s="18">
        <f>[1]monsters!$K519</f>
        <v>1.4</v>
      </c>
      <c r="BZ519" s="5">
        <f>[1]monsters!$D519</f>
        <v>2</v>
      </c>
      <c r="CA519" s="5">
        <f t="shared" si="351"/>
        <v>0.1</v>
      </c>
      <c r="CB519" s="5">
        <f t="shared" si="352"/>
        <v>119.30244309764311</v>
      </c>
      <c r="CC519" s="5">
        <f t="shared" si="353"/>
        <v>11.930244309764312</v>
      </c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>
        <v>0</v>
      </c>
      <c r="CR519" s="3" t="b">
        <f t="shared" si="325"/>
        <v>1</v>
      </c>
      <c r="CS519" s="3" t="b">
        <f t="shared" si="326"/>
        <v>1</v>
      </c>
      <c r="CT519" s="3" t="b">
        <f t="shared" si="327"/>
        <v>1</v>
      </c>
      <c r="CU519" s="3" t="b">
        <f t="shared" si="328"/>
        <v>1</v>
      </c>
      <c r="CV519" s="3" t="b">
        <f t="shared" si="329"/>
        <v>1</v>
      </c>
      <c r="CW519" s="3" t="b">
        <f t="shared" si="330"/>
        <v>1</v>
      </c>
      <c r="CX519" s="9" t="str">
        <f t="shared" si="331"/>
        <v>5201132</v>
      </c>
      <c r="CY519" s="9" t="str">
        <f t="shared" si="332"/>
        <v>5201132</v>
      </c>
      <c r="CZ519" s="9" t="str">
        <f t="shared" si="333"/>
        <v>5200132</v>
      </c>
      <c r="DA519" s="9" t="str">
        <f t="shared" si="334"/>
        <v>5402132</v>
      </c>
      <c r="DB519" s="9" t="str">
        <f t="shared" si="335"/>
        <v>5601132</v>
      </c>
      <c r="DC519" s="9" t="str">
        <f t="shared" si="336"/>
        <v>5402132</v>
      </c>
      <c r="DD519" s="9">
        <v>13</v>
      </c>
      <c r="DE519" s="9">
        <v>13</v>
      </c>
      <c r="DF519" s="9">
        <v>13</v>
      </c>
      <c r="DG519" s="9">
        <v>13</v>
      </c>
      <c r="DH519" s="9">
        <v>13</v>
      </c>
      <c r="DI519" s="9">
        <v>13</v>
      </c>
      <c r="DJ519" s="9">
        <v>5</v>
      </c>
      <c r="DK519" s="9">
        <v>5</v>
      </c>
      <c r="DL519" s="9">
        <v>5</v>
      </c>
      <c r="DM519" s="9">
        <v>5</v>
      </c>
      <c r="DN519" s="9">
        <v>5</v>
      </c>
      <c r="DO519" s="9">
        <v>5</v>
      </c>
      <c r="DP519" s="25" t="s">
        <v>114</v>
      </c>
      <c r="DQ519" s="25" t="s">
        <v>114</v>
      </c>
      <c r="DR519" s="26" t="s">
        <v>199</v>
      </c>
      <c r="DS519" s="26" t="s">
        <v>203</v>
      </c>
      <c r="DT519" s="25" t="s">
        <v>124</v>
      </c>
      <c r="DU519" s="25" t="s">
        <v>203</v>
      </c>
      <c r="DV519" s="25">
        <f t="shared" si="337"/>
        <v>1</v>
      </c>
      <c r="DW519" s="25">
        <f t="shared" si="338"/>
        <v>1</v>
      </c>
      <c r="DX519" s="25">
        <f t="shared" si="339"/>
        <v>1</v>
      </c>
      <c r="DY519" s="25">
        <f t="shared" si="340"/>
        <v>2</v>
      </c>
      <c r="DZ519" s="25">
        <f t="shared" si="341"/>
        <v>2</v>
      </c>
      <c r="EA519" s="3">
        <f t="shared" si="342"/>
        <v>2</v>
      </c>
      <c r="EB519" s="47"/>
    </row>
    <row r="520" spans="1:132" ht="13.5" customHeight="1">
      <c r="A520" s="9">
        <v>517</v>
      </c>
      <c r="B520" s="9">
        <v>1</v>
      </c>
      <c r="C520" s="9">
        <v>2001</v>
      </c>
      <c r="D520" s="9">
        <f t="shared" si="318"/>
        <v>22124867</v>
      </c>
      <c r="E520" s="9" t="str">
        <f t="shared" si="315"/>
        <v>5200132,5200133,5200132,5502132,5500132,5502133</v>
      </c>
      <c r="F520" s="9" t="str">
        <f t="shared" si="316"/>
        <v>13,13,13,13,13,13</v>
      </c>
      <c r="G520" s="9" t="str">
        <f t="shared" si="317"/>
        <v>1089,1177,1177,1177,1177,1177</v>
      </c>
      <c r="H520" s="9">
        <v>246</v>
      </c>
      <c r="I520" s="9" t="s">
        <v>278</v>
      </c>
      <c r="J520" s="9" t="s">
        <v>279</v>
      </c>
      <c r="K520" s="9" t="s">
        <v>279</v>
      </c>
      <c r="L520" s="9" t="s">
        <v>279</v>
      </c>
      <c r="M520" s="36" t="s">
        <v>314</v>
      </c>
      <c r="N520" s="40"/>
      <c r="O520" s="3">
        <f t="shared" si="322"/>
        <v>22124867</v>
      </c>
      <c r="P520" s="9">
        <v>16761262.550000001</v>
      </c>
      <c r="Q520" s="9">
        <v>5200132</v>
      </c>
      <c r="R520" s="9">
        <v>5200133</v>
      </c>
      <c r="S520" s="9">
        <v>5200132</v>
      </c>
      <c r="T520" s="9">
        <v>5502132</v>
      </c>
      <c r="U520" s="9">
        <v>5500132</v>
      </c>
      <c r="V520" s="9">
        <v>5502133</v>
      </c>
      <c r="W520" s="9">
        <v>13</v>
      </c>
      <c r="X520" s="9">
        <v>13</v>
      </c>
      <c r="Y520" s="9">
        <v>13</v>
      </c>
      <c r="Z520" s="9">
        <v>13</v>
      </c>
      <c r="AA520" s="9">
        <v>13</v>
      </c>
      <c r="AB520" s="9">
        <v>13</v>
      </c>
      <c r="AC520" s="9">
        <f t="shared" si="343"/>
        <v>1089</v>
      </c>
      <c r="AD520" s="9">
        <f t="shared" si="344"/>
        <v>1177</v>
      </c>
      <c r="AE520" s="9">
        <f t="shared" si="345"/>
        <v>1177</v>
      </c>
      <c r="AF520" s="9">
        <f t="shared" si="346"/>
        <v>1177</v>
      </c>
      <c r="AG520" s="9">
        <f t="shared" si="347"/>
        <v>1177</v>
      </c>
      <c r="AH520" s="9">
        <f t="shared" si="348"/>
        <v>1177</v>
      </c>
      <c r="AI520" s="7">
        <f t="shared" si="324"/>
        <v>2793543.7583333333</v>
      </c>
      <c r="AJ520" s="7">
        <f t="shared" si="324"/>
        <v>2793543.7583333333</v>
      </c>
      <c r="AK520" s="7">
        <f t="shared" si="324"/>
        <v>2793543.7583333333</v>
      </c>
      <c r="AL520" s="7">
        <f t="shared" si="324"/>
        <v>2793543.7583333333</v>
      </c>
      <c r="AM520" s="7">
        <f t="shared" si="324"/>
        <v>2793543.7583333333</v>
      </c>
      <c r="AN520" s="7">
        <f t="shared" si="324"/>
        <v>2793543.7583333333</v>
      </c>
      <c r="AO520" s="16"/>
      <c r="AP520" s="7"/>
      <c r="AQ520" s="9">
        <v>8</v>
      </c>
      <c r="AR520" s="9">
        <f t="shared" si="349"/>
        <v>1485</v>
      </c>
      <c r="AS520" s="7">
        <f t="shared" si="320"/>
        <v>358</v>
      </c>
      <c r="AT520" s="7"/>
      <c r="AU520" s="16"/>
      <c r="AV520" s="7"/>
      <c r="AW520" s="7"/>
      <c r="AX520" s="7"/>
      <c r="AZ520" s="7"/>
      <c r="BA520" s="9">
        <f t="shared" si="323"/>
        <v>2180074.5400000019</v>
      </c>
      <c r="BC520" s="5" t="e">
        <f t="shared" si="350"/>
        <v>#N/A</v>
      </c>
      <c r="BR520" s="5">
        <v>3404032</v>
      </c>
      <c r="BS520" s="18">
        <f>[1]monsters!$N520</f>
        <v>133.12</v>
      </c>
      <c r="BT520" s="18">
        <f>[1]monsters!$O520</f>
        <v>13.31</v>
      </c>
      <c r="BU520" s="18">
        <f>[1]monsters!$P520</f>
        <v>886.15</v>
      </c>
      <c r="BV520" s="18">
        <f>[1]monsters!$Q520</f>
        <v>88.62</v>
      </c>
      <c r="BW520" s="18">
        <f>[1]monsters!$R520</f>
        <v>13.31</v>
      </c>
      <c r="BX520" s="18">
        <f>[1]monsters!$S520</f>
        <v>1.33</v>
      </c>
      <c r="BY520" s="18">
        <f>[1]monsters!$K520</f>
        <v>1.6</v>
      </c>
      <c r="BZ520" s="5">
        <f>[1]monsters!$D520</f>
        <v>4</v>
      </c>
      <c r="CA520" s="5">
        <f t="shared" si="351"/>
        <v>0.1</v>
      </c>
      <c r="CB520" s="5">
        <f t="shared" si="352"/>
        <v>155.63510033670036</v>
      </c>
      <c r="CC520" s="5">
        <f t="shared" si="353"/>
        <v>15.563510033670036</v>
      </c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>
        <v>0</v>
      </c>
      <c r="CR520" s="3" t="b">
        <f t="shared" si="325"/>
        <v>1</v>
      </c>
      <c r="CS520" s="3" t="b">
        <f t="shared" si="326"/>
        <v>1</v>
      </c>
      <c r="CT520" s="3" t="b">
        <f t="shared" si="327"/>
        <v>1</v>
      </c>
      <c r="CU520" s="3" t="b">
        <f t="shared" si="328"/>
        <v>1</v>
      </c>
      <c r="CV520" s="3" t="b">
        <f t="shared" si="329"/>
        <v>1</v>
      </c>
      <c r="CW520" s="3" t="b">
        <f t="shared" si="330"/>
        <v>1</v>
      </c>
      <c r="CX520" s="9" t="str">
        <f t="shared" si="331"/>
        <v>5200132</v>
      </c>
      <c r="CY520" s="9" t="str">
        <f t="shared" si="332"/>
        <v>5200133</v>
      </c>
      <c r="CZ520" s="9" t="str">
        <f t="shared" si="333"/>
        <v>5200132</v>
      </c>
      <c r="DA520" s="9" t="str">
        <f t="shared" si="334"/>
        <v>5502132</v>
      </c>
      <c r="DB520" s="9" t="str">
        <f t="shared" si="335"/>
        <v>5500132</v>
      </c>
      <c r="DC520" s="9" t="str">
        <f t="shared" si="336"/>
        <v>5502133</v>
      </c>
      <c r="DD520" s="9">
        <v>13</v>
      </c>
      <c r="DE520" s="9">
        <v>13</v>
      </c>
      <c r="DF520" s="9">
        <v>13</v>
      </c>
      <c r="DG520" s="9">
        <v>13</v>
      </c>
      <c r="DH520" s="9">
        <v>13</v>
      </c>
      <c r="DI520" s="9">
        <v>13</v>
      </c>
      <c r="DJ520" s="9">
        <v>5</v>
      </c>
      <c r="DK520" s="9">
        <v>5</v>
      </c>
      <c r="DL520" s="9">
        <v>5</v>
      </c>
      <c r="DM520" s="9">
        <v>5</v>
      </c>
      <c r="DN520" s="9">
        <v>5</v>
      </c>
      <c r="DO520" s="9">
        <v>5</v>
      </c>
      <c r="DP520" s="25" t="s">
        <v>199</v>
      </c>
      <c r="DQ520" s="25" t="s">
        <v>113</v>
      </c>
      <c r="DR520" s="25" t="s">
        <v>199</v>
      </c>
      <c r="DS520" s="28" t="s">
        <v>204</v>
      </c>
      <c r="DT520" s="28" t="s">
        <v>109</v>
      </c>
      <c r="DU520" s="28" t="s">
        <v>215</v>
      </c>
      <c r="DV520" s="28">
        <f t="shared" si="337"/>
        <v>1</v>
      </c>
      <c r="DW520" s="28">
        <f t="shared" si="338"/>
        <v>1</v>
      </c>
      <c r="DX520" s="28">
        <f t="shared" si="339"/>
        <v>1</v>
      </c>
      <c r="DY520" s="28">
        <f t="shared" si="340"/>
        <v>2</v>
      </c>
      <c r="DZ520" s="28">
        <f t="shared" si="341"/>
        <v>2</v>
      </c>
      <c r="EA520" s="3">
        <f t="shared" si="342"/>
        <v>2</v>
      </c>
      <c r="EB520" s="48"/>
    </row>
    <row r="521" spans="1:132" ht="13.5" customHeight="1">
      <c r="A521" s="9">
        <v>518</v>
      </c>
      <c r="B521" s="9">
        <v>1</v>
      </c>
      <c r="C521" s="9">
        <v>2001</v>
      </c>
      <c r="D521" s="9">
        <f t="shared" si="318"/>
        <v>22191199</v>
      </c>
      <c r="E521" s="9" t="str">
        <f t="shared" si="315"/>
        <v>5202133,5202132,5202133,5401133,5400135,5400135</v>
      </c>
      <c r="F521" s="9" t="str">
        <f t="shared" si="316"/>
        <v>13,13,13,13,13,13</v>
      </c>
      <c r="G521" s="9" t="str">
        <f t="shared" si="317"/>
        <v>1090,1179,1179,1179,1179,1179</v>
      </c>
      <c r="H521" s="9">
        <v>247</v>
      </c>
      <c r="I521" s="9" t="s">
        <v>278</v>
      </c>
      <c r="J521" s="9" t="s">
        <v>279</v>
      </c>
      <c r="K521" s="9" t="s">
        <v>279</v>
      </c>
      <c r="L521" s="9" t="s">
        <v>279</v>
      </c>
      <c r="M521" s="36" t="s">
        <v>314</v>
      </c>
      <c r="N521" s="40"/>
      <c r="O521" s="3">
        <f t="shared" si="322"/>
        <v>22191199</v>
      </c>
      <c r="P521" s="9">
        <v>16811514.030000001</v>
      </c>
      <c r="Q521" s="9">
        <v>5202133</v>
      </c>
      <c r="R521" s="9">
        <v>5202132</v>
      </c>
      <c r="S521" s="9">
        <v>5202133</v>
      </c>
      <c r="T521" s="9">
        <v>5401133</v>
      </c>
      <c r="U521" s="9">
        <v>5400135</v>
      </c>
      <c r="V521" s="9">
        <v>5400135</v>
      </c>
      <c r="W521" s="9">
        <v>13</v>
      </c>
      <c r="X521" s="9">
        <v>13</v>
      </c>
      <c r="Y521" s="9">
        <v>13</v>
      </c>
      <c r="Z521" s="9">
        <v>13</v>
      </c>
      <c r="AA521" s="9">
        <v>13</v>
      </c>
      <c r="AB521" s="9">
        <v>13</v>
      </c>
      <c r="AC521" s="9">
        <f t="shared" si="343"/>
        <v>1090</v>
      </c>
      <c r="AD521" s="9">
        <f t="shared" si="344"/>
        <v>1179</v>
      </c>
      <c r="AE521" s="9">
        <f t="shared" si="345"/>
        <v>1179</v>
      </c>
      <c r="AF521" s="9">
        <f t="shared" si="346"/>
        <v>1179</v>
      </c>
      <c r="AG521" s="9">
        <f t="shared" si="347"/>
        <v>1179</v>
      </c>
      <c r="AH521" s="9">
        <f t="shared" si="348"/>
        <v>1179</v>
      </c>
      <c r="AI521" s="7">
        <f t="shared" si="324"/>
        <v>2801919.0050000004</v>
      </c>
      <c r="AJ521" s="7">
        <f t="shared" si="324"/>
        <v>2801919.0050000004</v>
      </c>
      <c r="AK521" s="7">
        <f t="shared" si="324"/>
        <v>2801919.0050000004</v>
      </c>
      <c r="AL521" s="7">
        <f t="shared" si="324"/>
        <v>2801919.0050000004</v>
      </c>
      <c r="AM521" s="7">
        <f t="shared" si="324"/>
        <v>2801919.0050000004</v>
      </c>
      <c r="AN521" s="7">
        <f t="shared" si="324"/>
        <v>2801919.0050000004</v>
      </c>
      <c r="AO521" s="16"/>
      <c r="AP521" s="7"/>
      <c r="AQ521" s="9">
        <v>8</v>
      </c>
      <c r="AR521" s="9">
        <f t="shared" si="349"/>
        <v>1487</v>
      </c>
      <c r="AS521" s="7">
        <f t="shared" si="320"/>
        <v>359</v>
      </c>
      <c r="AT521" s="7"/>
      <c r="AU521" s="16"/>
      <c r="AV521" s="7"/>
      <c r="AW521" s="7"/>
      <c r="AX521" s="7"/>
      <c r="AZ521" s="7"/>
      <c r="BA521" s="9">
        <f t="shared" si="323"/>
        <v>2190667.160000002</v>
      </c>
      <c r="BC521" s="5" t="e">
        <f t="shared" si="350"/>
        <v>#N/A</v>
      </c>
      <c r="BR521" s="5">
        <v>3303032</v>
      </c>
      <c r="BS521" s="18">
        <f>[1]monsters!$N521</f>
        <v>122.88</v>
      </c>
      <c r="BT521" s="18">
        <f>[1]monsters!$O521</f>
        <v>12.29</v>
      </c>
      <c r="BU521" s="18">
        <f>[1]monsters!$P521</f>
        <v>960</v>
      </c>
      <c r="BV521" s="18">
        <f>[1]monsters!$Q521</f>
        <v>96</v>
      </c>
      <c r="BW521" s="18">
        <f>[1]monsters!$R521</f>
        <v>20.48</v>
      </c>
      <c r="BX521" s="18">
        <f>[1]monsters!$S521</f>
        <v>2.0499999999999998</v>
      </c>
      <c r="BY521" s="18">
        <f>[1]monsters!$K521</f>
        <v>1.6</v>
      </c>
      <c r="BZ521" s="5">
        <f>[1]monsters!$D521</f>
        <v>5</v>
      </c>
      <c r="CA521" s="5">
        <f t="shared" si="351"/>
        <v>0.1</v>
      </c>
      <c r="CB521" s="5">
        <f t="shared" si="352"/>
        <v>148.44483232323233</v>
      </c>
      <c r="CC521" s="5">
        <f t="shared" si="353"/>
        <v>14.844483232323235</v>
      </c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>
        <v>0</v>
      </c>
      <c r="CR521" s="3" t="b">
        <f t="shared" si="325"/>
        <v>1</v>
      </c>
      <c r="CS521" s="3" t="b">
        <f t="shared" si="326"/>
        <v>1</v>
      </c>
      <c r="CT521" s="3" t="b">
        <f t="shared" si="327"/>
        <v>1</v>
      </c>
      <c r="CU521" s="3" t="b">
        <f t="shared" si="328"/>
        <v>1</v>
      </c>
      <c r="CV521" s="3" t="b">
        <f t="shared" si="329"/>
        <v>1</v>
      </c>
      <c r="CW521" s="3" t="b">
        <f t="shared" si="330"/>
        <v>1</v>
      </c>
      <c r="CX521" s="9" t="str">
        <f t="shared" si="331"/>
        <v>5202133</v>
      </c>
      <c r="CY521" s="9" t="str">
        <f t="shared" si="332"/>
        <v>5202132</v>
      </c>
      <c r="CZ521" s="9" t="str">
        <f t="shared" si="333"/>
        <v>5202133</v>
      </c>
      <c r="DA521" s="9" t="str">
        <f t="shared" si="334"/>
        <v>5401133</v>
      </c>
      <c r="DB521" s="9" t="str">
        <f t="shared" si="335"/>
        <v>5400135</v>
      </c>
      <c r="DC521" s="9" t="str">
        <f t="shared" si="336"/>
        <v>5400135</v>
      </c>
      <c r="DD521" s="9">
        <v>13</v>
      </c>
      <c r="DE521" s="9">
        <v>13</v>
      </c>
      <c r="DF521" s="9">
        <v>13</v>
      </c>
      <c r="DG521" s="9">
        <v>13</v>
      </c>
      <c r="DH521" s="9">
        <v>13</v>
      </c>
      <c r="DI521" s="9">
        <v>13</v>
      </c>
      <c r="DJ521" s="9">
        <v>5</v>
      </c>
      <c r="DK521" s="9">
        <v>5</v>
      </c>
      <c r="DL521" s="9">
        <v>5</v>
      </c>
      <c r="DM521" s="9">
        <v>5</v>
      </c>
      <c r="DN521" s="9">
        <v>5</v>
      </c>
      <c r="DO521" s="9">
        <v>5</v>
      </c>
      <c r="DP521" s="25" t="s">
        <v>208</v>
      </c>
      <c r="DQ521" s="25" t="s">
        <v>200</v>
      </c>
      <c r="DR521" s="26" t="s">
        <v>208</v>
      </c>
      <c r="DS521" s="26" t="s">
        <v>211</v>
      </c>
      <c r="DT521" s="25" t="s">
        <v>210</v>
      </c>
      <c r="DU521" s="25" t="s">
        <v>210</v>
      </c>
      <c r="DV521" s="25">
        <f t="shared" si="337"/>
        <v>1</v>
      </c>
      <c r="DW521" s="25">
        <f t="shared" si="338"/>
        <v>1</v>
      </c>
      <c r="DX521" s="25">
        <f t="shared" si="339"/>
        <v>1</v>
      </c>
      <c r="DY521" s="25">
        <f t="shared" si="340"/>
        <v>2</v>
      </c>
      <c r="DZ521" s="25">
        <f t="shared" si="341"/>
        <v>2</v>
      </c>
      <c r="EA521" s="3">
        <f t="shared" si="342"/>
        <v>2</v>
      </c>
      <c r="EB521" s="47"/>
    </row>
    <row r="522" spans="1:132" ht="13.5" customHeight="1">
      <c r="A522" s="9">
        <v>519</v>
      </c>
      <c r="B522" s="9">
        <v>1</v>
      </c>
      <c r="C522" s="9">
        <v>2001</v>
      </c>
      <c r="D522" s="9">
        <f t="shared" si="318"/>
        <v>22257630</v>
      </c>
      <c r="E522" s="9" t="str">
        <f t="shared" si="315"/>
        <v>5201131,5201132,5201134,5501134,5500133,5602134</v>
      </c>
      <c r="F522" s="9" t="str">
        <f t="shared" si="316"/>
        <v>13,13,13,13,13,13</v>
      </c>
      <c r="G522" s="9" t="str">
        <f t="shared" si="317"/>
        <v>1092,1180,1180,1180,1180,1180</v>
      </c>
      <c r="H522" s="9">
        <v>247</v>
      </c>
      <c r="I522" s="9" t="s">
        <v>278</v>
      </c>
      <c r="J522" s="9" t="s">
        <v>279</v>
      </c>
      <c r="K522" s="9" t="s">
        <v>279</v>
      </c>
      <c r="L522" s="9" t="s">
        <v>279</v>
      </c>
      <c r="M522" s="36" t="s">
        <v>314</v>
      </c>
      <c r="N522" s="40"/>
      <c r="O522" s="3">
        <f t="shared" si="322"/>
        <v>22257630</v>
      </c>
      <c r="P522" s="9">
        <v>16861841.129999999</v>
      </c>
      <c r="Q522" s="9">
        <v>5201131</v>
      </c>
      <c r="R522" s="9">
        <v>5201132</v>
      </c>
      <c r="S522" s="9">
        <v>5201134</v>
      </c>
      <c r="T522" s="9">
        <v>5501134</v>
      </c>
      <c r="U522" s="9">
        <v>5500133</v>
      </c>
      <c r="V522" s="9">
        <v>5602134</v>
      </c>
      <c r="W522" s="9">
        <v>13</v>
      </c>
      <c r="X522" s="9">
        <v>13</v>
      </c>
      <c r="Y522" s="9">
        <v>13</v>
      </c>
      <c r="Z522" s="9">
        <v>13</v>
      </c>
      <c r="AA522" s="9">
        <v>13</v>
      </c>
      <c r="AB522" s="9">
        <v>13</v>
      </c>
      <c r="AC522" s="9">
        <f t="shared" si="343"/>
        <v>1092</v>
      </c>
      <c r="AD522" s="9">
        <f t="shared" si="344"/>
        <v>1180</v>
      </c>
      <c r="AE522" s="9">
        <f t="shared" si="345"/>
        <v>1180</v>
      </c>
      <c r="AF522" s="9">
        <f t="shared" si="346"/>
        <v>1180</v>
      </c>
      <c r="AG522" s="9">
        <f t="shared" si="347"/>
        <v>1180</v>
      </c>
      <c r="AH522" s="9">
        <f t="shared" si="348"/>
        <v>1180</v>
      </c>
      <c r="AI522" s="7">
        <f t="shared" si="324"/>
        <v>2810306.855</v>
      </c>
      <c r="AJ522" s="7">
        <f t="shared" si="324"/>
        <v>2810306.855</v>
      </c>
      <c r="AK522" s="7">
        <f t="shared" si="324"/>
        <v>2810306.855</v>
      </c>
      <c r="AL522" s="7">
        <f t="shared" si="324"/>
        <v>2810306.855</v>
      </c>
      <c r="AM522" s="7">
        <f t="shared" si="324"/>
        <v>2810306.855</v>
      </c>
      <c r="AN522" s="7">
        <f t="shared" si="324"/>
        <v>2810306.855</v>
      </c>
      <c r="AO522" s="16"/>
      <c r="AP522" s="7"/>
      <c r="AQ522" s="9">
        <v>8</v>
      </c>
      <c r="AR522" s="9">
        <f t="shared" si="349"/>
        <v>1490</v>
      </c>
      <c r="AS522" s="7">
        <f t="shared" si="320"/>
        <v>359</v>
      </c>
      <c r="AT522" s="7"/>
      <c r="AU522" s="16"/>
      <c r="AV522" s="7"/>
      <c r="AW522" s="7"/>
      <c r="AX522" s="7"/>
      <c r="AZ522" s="7"/>
      <c r="BA522" s="9">
        <f t="shared" si="323"/>
        <v>2201259.7800000021</v>
      </c>
      <c r="BC522" s="5" t="e">
        <f t="shared" si="350"/>
        <v>#N/A</v>
      </c>
      <c r="BR522" s="5">
        <v>3304032</v>
      </c>
      <c r="BS522" s="18">
        <f>[1]monsters!$N522</f>
        <v>103.04</v>
      </c>
      <c r="BT522" s="18">
        <f>[1]monsters!$O522</f>
        <v>10.3</v>
      </c>
      <c r="BU522" s="18">
        <f>[1]monsters!$P522</f>
        <v>1001.74</v>
      </c>
      <c r="BV522" s="18">
        <f>[1]monsters!$Q522</f>
        <v>100.17</v>
      </c>
      <c r="BW522" s="18">
        <f>[1]monsters!$R522</f>
        <v>12.88</v>
      </c>
      <c r="BX522" s="18">
        <f>[1]monsters!$S522</f>
        <v>1.29</v>
      </c>
      <c r="BY522" s="18">
        <f>[1]monsters!$K522</f>
        <v>1.4</v>
      </c>
      <c r="BZ522" s="5">
        <f>[1]monsters!$D522</f>
        <v>3</v>
      </c>
      <c r="CA522" s="5">
        <f t="shared" si="351"/>
        <v>0.1</v>
      </c>
      <c r="CB522" s="5">
        <f t="shared" si="352"/>
        <v>131.10141952861954</v>
      </c>
      <c r="CC522" s="5">
        <f t="shared" si="353"/>
        <v>13.110141952861955</v>
      </c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>
        <v>0</v>
      </c>
      <c r="CR522" s="3" t="b">
        <f t="shared" si="325"/>
        <v>1</v>
      </c>
      <c r="CS522" s="3" t="b">
        <f t="shared" si="326"/>
        <v>1</v>
      </c>
      <c r="CT522" s="3" t="b">
        <f t="shared" si="327"/>
        <v>1</v>
      </c>
      <c r="CU522" s="3" t="b">
        <f t="shared" si="328"/>
        <v>1</v>
      </c>
      <c r="CV522" s="3" t="b">
        <f t="shared" si="329"/>
        <v>1</v>
      </c>
      <c r="CW522" s="3" t="b">
        <f t="shared" si="330"/>
        <v>1</v>
      </c>
      <c r="CX522" s="9" t="str">
        <f t="shared" si="331"/>
        <v>5201131</v>
      </c>
      <c r="CY522" s="9" t="str">
        <f t="shared" si="332"/>
        <v>5201132</v>
      </c>
      <c r="CZ522" s="9" t="str">
        <f t="shared" si="333"/>
        <v>5201134</v>
      </c>
      <c r="DA522" s="9" t="str">
        <f t="shared" si="334"/>
        <v>5501134</v>
      </c>
      <c r="DB522" s="9" t="str">
        <f t="shared" si="335"/>
        <v>5500133</v>
      </c>
      <c r="DC522" s="9" t="str">
        <f t="shared" si="336"/>
        <v>5602134</v>
      </c>
      <c r="DD522" s="9">
        <v>13</v>
      </c>
      <c r="DE522" s="9">
        <v>13</v>
      </c>
      <c r="DF522" s="9">
        <v>13</v>
      </c>
      <c r="DG522" s="9">
        <v>13</v>
      </c>
      <c r="DH522" s="9">
        <v>13</v>
      </c>
      <c r="DI522" s="9">
        <v>13</v>
      </c>
      <c r="DJ522" s="9">
        <v>5</v>
      </c>
      <c r="DK522" s="9">
        <v>5</v>
      </c>
      <c r="DL522" s="9">
        <v>5</v>
      </c>
      <c r="DM522" s="9">
        <v>5</v>
      </c>
      <c r="DN522" s="9">
        <v>5</v>
      </c>
      <c r="DO522" s="9">
        <v>5</v>
      </c>
      <c r="DP522" s="25" t="s">
        <v>195</v>
      </c>
      <c r="DQ522" s="25" t="s">
        <v>114</v>
      </c>
      <c r="DR522" s="26" t="s">
        <v>217</v>
      </c>
      <c r="DS522" s="26" t="s">
        <v>214</v>
      </c>
      <c r="DT522" s="26" t="s">
        <v>207</v>
      </c>
      <c r="DU522" s="26" t="s">
        <v>220</v>
      </c>
      <c r="DV522" s="26">
        <f t="shared" si="337"/>
        <v>1</v>
      </c>
      <c r="DW522" s="26">
        <f t="shared" si="338"/>
        <v>1</v>
      </c>
      <c r="DX522" s="26">
        <f t="shared" si="339"/>
        <v>1</v>
      </c>
      <c r="DY522" s="26">
        <f t="shared" si="340"/>
        <v>2</v>
      </c>
      <c r="DZ522" s="26">
        <f t="shared" si="341"/>
        <v>2</v>
      </c>
      <c r="EA522" s="3">
        <f t="shared" si="342"/>
        <v>2</v>
      </c>
      <c r="EB522" s="47"/>
    </row>
    <row r="523" spans="1:132" ht="13.5" customHeight="1">
      <c r="A523" s="9">
        <v>520</v>
      </c>
      <c r="B523" s="9">
        <v>1</v>
      </c>
      <c r="C523" s="9">
        <v>2001</v>
      </c>
      <c r="D523" s="9">
        <f t="shared" si="318"/>
        <v>22324159</v>
      </c>
      <c r="E523" s="9" t="str">
        <f t="shared" si="315"/>
        <v>5200132,5301131,5202133,5402131,5400135,5500131</v>
      </c>
      <c r="F523" s="9" t="str">
        <f t="shared" si="316"/>
        <v>13,13,13,13,13,13</v>
      </c>
      <c r="G523" s="9" t="str">
        <f t="shared" si="317"/>
        <v>1094,1182,1182,1182,1182,1182</v>
      </c>
      <c r="H523" s="9">
        <v>248</v>
      </c>
      <c r="I523" s="9" t="s">
        <v>278</v>
      </c>
      <c r="J523" s="9" t="s">
        <v>279</v>
      </c>
      <c r="K523" s="9" t="s">
        <v>279</v>
      </c>
      <c r="L523" s="9" t="s">
        <v>279</v>
      </c>
      <c r="M523" s="36" t="s">
        <v>314</v>
      </c>
      <c r="O523" s="3">
        <f t="shared" si="322"/>
        <v>22324159</v>
      </c>
      <c r="P523" s="9">
        <v>16912241.859999999</v>
      </c>
      <c r="Q523" s="9">
        <v>5200132</v>
      </c>
      <c r="R523" s="9">
        <v>5301131</v>
      </c>
      <c r="S523" s="9">
        <v>5202133</v>
      </c>
      <c r="T523" s="9">
        <v>5402131</v>
      </c>
      <c r="U523" s="9">
        <v>5400135</v>
      </c>
      <c r="V523" s="9">
        <v>5500131</v>
      </c>
      <c r="W523" s="9">
        <v>13</v>
      </c>
      <c r="X523" s="9">
        <v>13</v>
      </c>
      <c r="Y523" s="9">
        <v>13</v>
      </c>
      <c r="Z523" s="9">
        <v>13</v>
      </c>
      <c r="AA523" s="9">
        <v>13</v>
      </c>
      <c r="AB523" s="9">
        <v>13</v>
      </c>
      <c r="AC523" s="9">
        <f t="shared" si="343"/>
        <v>1094</v>
      </c>
      <c r="AD523" s="9">
        <f t="shared" si="344"/>
        <v>1182</v>
      </c>
      <c r="AE523" s="9">
        <f t="shared" si="345"/>
        <v>1182</v>
      </c>
      <c r="AF523" s="9">
        <f t="shared" si="346"/>
        <v>1182</v>
      </c>
      <c r="AG523" s="9">
        <f t="shared" si="347"/>
        <v>1182</v>
      </c>
      <c r="AH523" s="9">
        <f t="shared" si="348"/>
        <v>1182</v>
      </c>
      <c r="AI523" s="7">
        <f t="shared" si="324"/>
        <v>2818706.9766666666</v>
      </c>
      <c r="AJ523" s="7">
        <f t="shared" si="324"/>
        <v>2818706.9766666666</v>
      </c>
      <c r="AK523" s="7">
        <f t="shared" si="324"/>
        <v>2818706.9766666666</v>
      </c>
      <c r="AL523" s="7">
        <f t="shared" si="324"/>
        <v>2818706.9766666666</v>
      </c>
      <c r="AM523" s="7">
        <f t="shared" si="324"/>
        <v>2818706.9766666666</v>
      </c>
      <c r="AN523" s="7">
        <f t="shared" si="324"/>
        <v>2818706.9766666666</v>
      </c>
      <c r="AO523" s="16"/>
      <c r="AP523" s="7"/>
      <c r="AQ523" s="9">
        <v>8</v>
      </c>
      <c r="AR523" s="9">
        <f t="shared" si="349"/>
        <v>1492</v>
      </c>
      <c r="AS523" s="7">
        <f t="shared" si="320"/>
        <v>360</v>
      </c>
      <c r="AT523" s="7"/>
      <c r="AU523" s="16"/>
      <c r="AV523" s="7"/>
      <c r="AW523" s="7"/>
      <c r="AX523" s="7"/>
      <c r="AZ523" s="7"/>
      <c r="BA523" s="9">
        <f t="shared" si="323"/>
        <v>2211852.4000000022</v>
      </c>
      <c r="BC523" s="5" t="e">
        <f t="shared" si="350"/>
        <v>#N/A</v>
      </c>
      <c r="BR523" s="5">
        <v>3503032</v>
      </c>
      <c r="BS523" s="18">
        <f>[1]monsters!$N523</f>
        <v>74.88</v>
      </c>
      <c r="BT523" s="18">
        <f>[1]monsters!$O523</f>
        <v>7.49</v>
      </c>
      <c r="BU523" s="18">
        <f>[1]monsters!$P523</f>
        <v>1280</v>
      </c>
      <c r="BV523" s="18">
        <f>[1]monsters!$Q523</f>
        <v>128</v>
      </c>
      <c r="BW523" s="18">
        <f>[1]monsters!$R523</f>
        <v>14.98</v>
      </c>
      <c r="BX523" s="18">
        <f>[1]monsters!$S523</f>
        <v>1.5</v>
      </c>
      <c r="BY523" s="18">
        <f>[1]monsters!$K523</f>
        <v>1.3</v>
      </c>
      <c r="BZ523" s="5">
        <f>[1]monsters!$D523</f>
        <v>2</v>
      </c>
      <c r="CA523" s="5">
        <f t="shared" si="351"/>
        <v>0.1</v>
      </c>
      <c r="CB523" s="5">
        <f t="shared" si="352"/>
        <v>113.8592430976431</v>
      </c>
      <c r="CC523" s="5">
        <f t="shared" si="353"/>
        <v>11.385924309764311</v>
      </c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>
        <v>1</v>
      </c>
      <c r="CR523" s="3" t="b">
        <f t="shared" si="325"/>
        <v>1</v>
      </c>
      <c r="CS523" s="3" t="b">
        <f t="shared" si="326"/>
        <v>1</v>
      </c>
      <c r="CT523" s="3" t="b">
        <f t="shared" si="327"/>
        <v>1</v>
      </c>
      <c r="CU523" s="3" t="b">
        <f t="shared" si="328"/>
        <v>1</v>
      </c>
      <c r="CV523" s="3" t="b">
        <f t="shared" si="329"/>
        <v>1</v>
      </c>
      <c r="CW523" s="3" t="b">
        <f t="shared" si="330"/>
        <v>1</v>
      </c>
      <c r="CX523" s="9" t="str">
        <f t="shared" si="331"/>
        <v>5200132</v>
      </c>
      <c r="CY523" s="9" t="str">
        <f t="shared" si="332"/>
        <v>5301131</v>
      </c>
      <c r="CZ523" s="9" t="str">
        <f t="shared" si="333"/>
        <v>5202133</v>
      </c>
      <c r="DA523" s="9" t="str">
        <f t="shared" si="334"/>
        <v>5402131</v>
      </c>
      <c r="DB523" s="9" t="str">
        <f t="shared" si="335"/>
        <v>5400135</v>
      </c>
      <c r="DC523" s="9" t="str">
        <f t="shared" si="336"/>
        <v>5500131</v>
      </c>
      <c r="DD523" s="9">
        <v>13</v>
      </c>
      <c r="DE523" s="9">
        <v>13</v>
      </c>
      <c r="DF523" s="9">
        <v>13</v>
      </c>
      <c r="DG523" s="9">
        <v>13</v>
      </c>
      <c r="DH523" s="9">
        <v>13</v>
      </c>
      <c r="DI523" s="9">
        <v>13</v>
      </c>
      <c r="DJ523" s="9">
        <v>5</v>
      </c>
      <c r="DK523" s="9">
        <v>5</v>
      </c>
      <c r="DL523" s="9">
        <v>5</v>
      </c>
      <c r="DM523" s="9">
        <v>5</v>
      </c>
      <c r="DN523" s="9">
        <v>5</v>
      </c>
      <c r="DO523" s="9">
        <v>5</v>
      </c>
      <c r="DP523" s="25" t="s">
        <v>199</v>
      </c>
      <c r="DQ523" s="26" t="s">
        <v>107</v>
      </c>
      <c r="DR523" s="25" t="s">
        <v>208</v>
      </c>
      <c r="DS523" s="26" t="s">
        <v>196</v>
      </c>
      <c r="DT523" s="26" t="s">
        <v>210</v>
      </c>
      <c r="DU523" s="28" t="s">
        <v>197</v>
      </c>
      <c r="DV523" s="28">
        <f t="shared" si="337"/>
        <v>1</v>
      </c>
      <c r="DW523" s="28">
        <f t="shared" si="338"/>
        <v>1</v>
      </c>
      <c r="DX523" s="28">
        <f t="shared" si="339"/>
        <v>1</v>
      </c>
      <c r="DY523" s="28">
        <f t="shared" si="340"/>
        <v>2</v>
      </c>
      <c r="DZ523" s="28">
        <f t="shared" si="341"/>
        <v>2</v>
      </c>
      <c r="EA523" s="3">
        <f t="shared" si="342"/>
        <v>2</v>
      </c>
      <c r="EB523" s="48"/>
    </row>
    <row r="524" spans="1:132" ht="13.5" customHeight="1">
      <c r="A524" s="9">
        <v>521</v>
      </c>
      <c r="B524" s="9">
        <v>1</v>
      </c>
      <c r="C524" s="9">
        <v>2001</v>
      </c>
      <c r="D524" s="9">
        <f t="shared" si="318"/>
        <v>22390788</v>
      </c>
      <c r="E524" s="9" t="str">
        <f t="shared" ref="E524:E587" si="354">Q524&amp;","&amp;R524&amp;","&amp;S524&amp;","&amp;T524&amp;","&amp;U524&amp;","&amp;V524</f>
        <v>5201133,5202135,5200132,5402133,5400135,5402133</v>
      </c>
      <c r="F524" s="9" t="str">
        <f t="shared" ref="F524:F587" si="355">W524&amp;","&amp;X524&amp;","&amp;Y524&amp;","&amp;Z524&amp;","&amp;AA524&amp;","&amp;AB524</f>
        <v>13,13,13,13,13,13</v>
      </c>
      <c r="G524" s="9" t="str">
        <f t="shared" ref="G524:G587" si="356">AC524&amp;","&amp;AD524&amp;","&amp;AE524&amp;","&amp;AF524&amp;","&amp;AG524&amp;","&amp;AH524</f>
        <v>1095,1184,1184,1184,1184,1184</v>
      </c>
      <c r="H524" s="9">
        <v>248</v>
      </c>
      <c r="I524" s="9" t="s">
        <v>278</v>
      </c>
      <c r="J524" s="9" t="s">
        <v>279</v>
      </c>
      <c r="K524" s="9" t="s">
        <v>279</v>
      </c>
      <c r="L524" s="9" t="s">
        <v>279</v>
      </c>
      <c r="M524" s="36" t="s">
        <v>314</v>
      </c>
      <c r="N524" s="40"/>
      <c r="O524" s="3">
        <f t="shared" si="322"/>
        <v>22390788</v>
      </c>
      <c r="P524" s="9">
        <v>16962718.210000001</v>
      </c>
      <c r="Q524" s="9">
        <v>5201133</v>
      </c>
      <c r="R524" s="9">
        <v>5202135</v>
      </c>
      <c r="S524" s="9">
        <v>5200132</v>
      </c>
      <c r="T524" s="9">
        <v>5402133</v>
      </c>
      <c r="U524" s="9">
        <v>5400135</v>
      </c>
      <c r="V524" s="9">
        <v>5402133</v>
      </c>
      <c r="W524" s="9">
        <v>13</v>
      </c>
      <c r="X524" s="9">
        <v>13</v>
      </c>
      <c r="Y524" s="9">
        <v>13</v>
      </c>
      <c r="Z524" s="9">
        <v>13</v>
      </c>
      <c r="AA524" s="9">
        <v>13</v>
      </c>
      <c r="AB524" s="9">
        <v>13</v>
      </c>
      <c r="AC524" s="9">
        <f t="shared" si="343"/>
        <v>1095</v>
      </c>
      <c r="AD524" s="9">
        <f t="shared" si="344"/>
        <v>1184</v>
      </c>
      <c r="AE524" s="9">
        <f t="shared" si="345"/>
        <v>1184</v>
      </c>
      <c r="AF524" s="9">
        <f t="shared" si="346"/>
        <v>1184</v>
      </c>
      <c r="AG524" s="9">
        <f t="shared" si="347"/>
        <v>1184</v>
      </c>
      <c r="AH524" s="9">
        <f t="shared" si="348"/>
        <v>1184</v>
      </c>
      <c r="AI524" s="7">
        <f t="shared" si="324"/>
        <v>2827119.7016666667</v>
      </c>
      <c r="AJ524" s="7">
        <f t="shared" si="324"/>
        <v>2827119.7016666667</v>
      </c>
      <c r="AK524" s="7">
        <f t="shared" si="324"/>
        <v>2827119.7016666667</v>
      </c>
      <c r="AL524" s="7">
        <f t="shared" si="324"/>
        <v>2827119.7016666667</v>
      </c>
      <c r="AM524" s="7">
        <f t="shared" si="324"/>
        <v>2827119.7016666667</v>
      </c>
      <c r="AN524" s="7">
        <f t="shared" si="324"/>
        <v>2827119.7016666667</v>
      </c>
      <c r="AO524" s="16"/>
      <c r="AP524" s="7"/>
      <c r="AQ524" s="9">
        <v>8</v>
      </c>
      <c r="AR524" s="9">
        <f t="shared" si="349"/>
        <v>1494</v>
      </c>
      <c r="AS524" s="7">
        <f t="shared" si="320"/>
        <v>360</v>
      </c>
      <c r="AT524" s="7"/>
      <c r="AU524" s="16"/>
      <c r="AV524" s="7"/>
      <c r="AW524" s="7"/>
      <c r="AX524" s="7"/>
      <c r="AZ524" s="7"/>
      <c r="BA524" s="9">
        <f t="shared" si="323"/>
        <v>2222445.0200000023</v>
      </c>
      <c r="BC524" s="5" t="e">
        <f t="shared" si="350"/>
        <v>#N/A</v>
      </c>
      <c r="BR524" s="5">
        <v>3504032</v>
      </c>
      <c r="BS524" s="18">
        <f>[1]monsters!$N524</f>
        <v>99.84</v>
      </c>
      <c r="BT524" s="18">
        <f>[1]monsters!$O524</f>
        <v>9.98</v>
      </c>
      <c r="BU524" s="18">
        <f>[1]monsters!$P524</f>
        <v>960</v>
      </c>
      <c r="BV524" s="18">
        <f>[1]monsters!$Q524</f>
        <v>96</v>
      </c>
      <c r="BW524" s="18">
        <f>[1]monsters!$R524</f>
        <v>9.98</v>
      </c>
      <c r="BX524" s="18">
        <f>[1]monsters!$S524</f>
        <v>1</v>
      </c>
      <c r="BY524" s="18">
        <f>[1]monsters!$K524</f>
        <v>1.3</v>
      </c>
      <c r="BZ524" s="5">
        <f>[1]monsters!$D524</f>
        <v>4</v>
      </c>
      <c r="CA524" s="5">
        <f t="shared" si="351"/>
        <v>0.1</v>
      </c>
      <c r="CB524" s="5">
        <f t="shared" si="352"/>
        <v>126.67203232323233</v>
      </c>
      <c r="CC524" s="5">
        <f t="shared" si="353"/>
        <v>12.667203232323233</v>
      </c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>
        <v>0</v>
      </c>
      <c r="CR524" s="3" t="b">
        <f t="shared" si="325"/>
        <v>1</v>
      </c>
      <c r="CS524" s="3" t="b">
        <f t="shared" si="326"/>
        <v>1</v>
      </c>
      <c r="CT524" s="3" t="b">
        <f t="shared" si="327"/>
        <v>1</v>
      </c>
      <c r="CU524" s="3" t="b">
        <f t="shared" si="328"/>
        <v>1</v>
      </c>
      <c r="CV524" s="3" t="b">
        <f t="shared" si="329"/>
        <v>1</v>
      </c>
      <c r="CW524" s="3" t="b">
        <f t="shared" si="330"/>
        <v>1</v>
      </c>
      <c r="CX524" s="9" t="str">
        <f t="shared" si="331"/>
        <v>5201133</v>
      </c>
      <c r="CY524" s="9" t="str">
        <f t="shared" si="332"/>
        <v>5202135</v>
      </c>
      <c r="CZ524" s="9" t="str">
        <f t="shared" si="333"/>
        <v>5200132</v>
      </c>
      <c r="DA524" s="9" t="str">
        <f t="shared" si="334"/>
        <v>5402133</v>
      </c>
      <c r="DB524" s="9" t="str">
        <f t="shared" si="335"/>
        <v>5400135</v>
      </c>
      <c r="DC524" s="9" t="str">
        <f t="shared" si="336"/>
        <v>5402133</v>
      </c>
      <c r="DD524" s="9">
        <v>13</v>
      </c>
      <c r="DE524" s="9">
        <v>13</v>
      </c>
      <c r="DF524" s="9">
        <v>13</v>
      </c>
      <c r="DG524" s="9">
        <v>13</v>
      </c>
      <c r="DH524" s="9">
        <v>13</v>
      </c>
      <c r="DI524" s="9">
        <v>13</v>
      </c>
      <c r="DJ524" s="9">
        <v>5</v>
      </c>
      <c r="DK524" s="9">
        <v>5</v>
      </c>
      <c r="DL524" s="9">
        <v>5</v>
      </c>
      <c r="DM524" s="9">
        <v>5</v>
      </c>
      <c r="DN524" s="9">
        <v>5</v>
      </c>
      <c r="DO524" s="9">
        <v>5</v>
      </c>
      <c r="DP524" s="25" t="s">
        <v>205</v>
      </c>
      <c r="DQ524" s="25" t="s">
        <v>213</v>
      </c>
      <c r="DR524" s="25" t="s">
        <v>199</v>
      </c>
      <c r="DS524" s="26" t="s">
        <v>118</v>
      </c>
      <c r="DT524" s="26" t="s">
        <v>210</v>
      </c>
      <c r="DU524" s="26" t="s">
        <v>118</v>
      </c>
      <c r="DV524" s="26">
        <f t="shared" si="337"/>
        <v>1</v>
      </c>
      <c r="DW524" s="26">
        <f t="shared" si="338"/>
        <v>1</v>
      </c>
      <c r="DX524" s="26">
        <f t="shared" si="339"/>
        <v>1</v>
      </c>
      <c r="DY524" s="26">
        <f t="shared" si="340"/>
        <v>2</v>
      </c>
      <c r="DZ524" s="26">
        <f t="shared" si="341"/>
        <v>2</v>
      </c>
      <c r="EA524" s="3">
        <f t="shared" si="342"/>
        <v>2</v>
      </c>
      <c r="EB524" s="47"/>
    </row>
    <row r="525" spans="1:132" ht="13.5" customHeight="1">
      <c r="A525" s="9">
        <v>522</v>
      </c>
      <c r="B525" s="9">
        <v>1</v>
      </c>
      <c r="C525" s="9">
        <v>2001</v>
      </c>
      <c r="D525" s="9">
        <f t="shared" si="318"/>
        <v>22457517</v>
      </c>
      <c r="E525" s="9" t="str">
        <f t="shared" si="354"/>
        <v>5201131,5201132,5200131,5502131,5601131,5502131</v>
      </c>
      <c r="F525" s="9" t="str">
        <f t="shared" si="355"/>
        <v>13,13,13,13,13,13</v>
      </c>
      <c r="G525" s="9" t="str">
        <f t="shared" si="356"/>
        <v>1097,1186,1186,1186,1186,1186</v>
      </c>
      <c r="H525" s="9">
        <v>248</v>
      </c>
      <c r="I525" s="9" t="s">
        <v>278</v>
      </c>
      <c r="J525" s="9" t="s">
        <v>279</v>
      </c>
      <c r="K525" s="9" t="s">
        <v>279</v>
      </c>
      <c r="L525" s="9" t="s">
        <v>279</v>
      </c>
      <c r="M525" s="36" t="s">
        <v>314</v>
      </c>
      <c r="N525" s="40"/>
      <c r="O525" s="3">
        <f t="shared" si="322"/>
        <v>22457517</v>
      </c>
      <c r="P525" s="9">
        <v>17013270.18</v>
      </c>
      <c r="Q525" s="9">
        <v>5201131</v>
      </c>
      <c r="R525" s="9">
        <v>5201132</v>
      </c>
      <c r="S525" s="9">
        <v>5200131</v>
      </c>
      <c r="T525" s="9">
        <v>5502131</v>
      </c>
      <c r="U525" s="9">
        <v>5601131</v>
      </c>
      <c r="V525" s="9">
        <v>5502131</v>
      </c>
      <c r="W525" s="9">
        <v>13</v>
      </c>
      <c r="X525" s="9">
        <v>13</v>
      </c>
      <c r="Y525" s="9">
        <v>13</v>
      </c>
      <c r="Z525" s="9">
        <v>13</v>
      </c>
      <c r="AA525" s="9">
        <v>13</v>
      </c>
      <c r="AB525" s="9">
        <v>13</v>
      </c>
      <c r="AC525" s="9">
        <f t="shared" si="343"/>
        <v>1097</v>
      </c>
      <c r="AD525" s="9">
        <f t="shared" si="344"/>
        <v>1186</v>
      </c>
      <c r="AE525" s="9">
        <f t="shared" si="345"/>
        <v>1186</v>
      </c>
      <c r="AF525" s="9">
        <f t="shared" si="346"/>
        <v>1186</v>
      </c>
      <c r="AG525" s="9">
        <f t="shared" si="347"/>
        <v>1186</v>
      </c>
      <c r="AH525" s="9">
        <f t="shared" si="348"/>
        <v>1186</v>
      </c>
      <c r="AI525" s="7">
        <f t="shared" si="324"/>
        <v>2835545.03</v>
      </c>
      <c r="AJ525" s="7">
        <f t="shared" si="324"/>
        <v>2835545.03</v>
      </c>
      <c r="AK525" s="7">
        <f t="shared" si="324"/>
        <v>2835545.03</v>
      </c>
      <c r="AL525" s="7">
        <f t="shared" si="324"/>
        <v>2835545.03</v>
      </c>
      <c r="AM525" s="7">
        <f t="shared" si="324"/>
        <v>2835545.03</v>
      </c>
      <c r="AN525" s="7">
        <f t="shared" si="324"/>
        <v>2835545.03</v>
      </c>
      <c r="AO525" s="16"/>
      <c r="AP525" s="7"/>
      <c r="AQ525" s="9">
        <v>8</v>
      </c>
      <c r="AR525" s="9">
        <f t="shared" si="349"/>
        <v>1496</v>
      </c>
      <c r="AS525" s="7">
        <f t="shared" si="320"/>
        <v>361</v>
      </c>
      <c r="AT525" s="7"/>
      <c r="AU525" s="16"/>
      <c r="AV525" s="7"/>
      <c r="AW525" s="7"/>
      <c r="AX525" s="7"/>
      <c r="AZ525" s="7"/>
      <c r="BA525" s="9">
        <f t="shared" si="323"/>
        <v>2233037.6400000025</v>
      </c>
      <c r="BC525" s="5" t="e">
        <f t="shared" si="350"/>
        <v>#N/A</v>
      </c>
      <c r="BR525" s="5">
        <v>3101032</v>
      </c>
      <c r="BS525" s="18">
        <f>[1]monsters!$N525</f>
        <v>103.68</v>
      </c>
      <c r="BT525" s="18">
        <f>[1]monsters!$O525</f>
        <v>10.37</v>
      </c>
      <c r="BU525" s="18">
        <f>[1]monsters!$P525</f>
        <v>1280</v>
      </c>
      <c r="BV525" s="18">
        <f>[1]monsters!$Q525</f>
        <v>128</v>
      </c>
      <c r="BW525" s="18">
        <f>[1]monsters!$R525</f>
        <v>20.74</v>
      </c>
      <c r="BX525" s="18">
        <f>[1]monsters!$S525</f>
        <v>2.0699999999999998</v>
      </c>
      <c r="BY525" s="18">
        <f>[1]monsters!$K525</f>
        <v>1.8</v>
      </c>
      <c r="BZ525" s="5">
        <f>[1]monsters!$D525</f>
        <v>2</v>
      </c>
      <c r="CA525" s="5">
        <f t="shared" si="351"/>
        <v>0.1</v>
      </c>
      <c r="CB525" s="5">
        <f t="shared" si="352"/>
        <v>141.07524309764312</v>
      </c>
      <c r="CC525" s="5">
        <f t="shared" si="353"/>
        <v>14.107524309764313</v>
      </c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>
        <v>0</v>
      </c>
      <c r="CR525" s="3" t="b">
        <f t="shared" si="325"/>
        <v>1</v>
      </c>
      <c r="CS525" s="3" t="b">
        <f t="shared" si="326"/>
        <v>1</v>
      </c>
      <c r="CT525" s="3" t="b">
        <f t="shared" si="327"/>
        <v>1</v>
      </c>
      <c r="CU525" s="3" t="b">
        <f t="shared" si="328"/>
        <v>1</v>
      </c>
      <c r="CV525" s="3" t="b">
        <f t="shared" si="329"/>
        <v>1</v>
      </c>
      <c r="CW525" s="3" t="b">
        <f t="shared" si="330"/>
        <v>1</v>
      </c>
      <c r="CX525" s="9" t="str">
        <f t="shared" si="331"/>
        <v>5201131</v>
      </c>
      <c r="CY525" s="9" t="str">
        <f t="shared" si="332"/>
        <v>5201132</v>
      </c>
      <c r="CZ525" s="9" t="str">
        <f t="shared" si="333"/>
        <v>5200131</v>
      </c>
      <c r="DA525" s="9" t="str">
        <f t="shared" si="334"/>
        <v>5502131</v>
      </c>
      <c r="DB525" s="9" t="str">
        <f t="shared" si="335"/>
        <v>5601131</v>
      </c>
      <c r="DC525" s="9" t="str">
        <f t="shared" si="336"/>
        <v>5502131</v>
      </c>
      <c r="DD525" s="9">
        <v>13</v>
      </c>
      <c r="DE525" s="9">
        <v>13</v>
      </c>
      <c r="DF525" s="9">
        <v>13</v>
      </c>
      <c r="DG525" s="9">
        <v>13</v>
      </c>
      <c r="DH525" s="9">
        <v>13</v>
      </c>
      <c r="DI525" s="9">
        <v>13</v>
      </c>
      <c r="DJ525" s="9">
        <v>5</v>
      </c>
      <c r="DK525" s="9">
        <v>5</v>
      </c>
      <c r="DL525" s="9">
        <v>5</v>
      </c>
      <c r="DM525" s="9">
        <v>5</v>
      </c>
      <c r="DN525" s="9">
        <v>5</v>
      </c>
      <c r="DO525" s="9">
        <v>5</v>
      </c>
      <c r="DP525" s="25" t="s">
        <v>195</v>
      </c>
      <c r="DQ525" s="25" t="s">
        <v>114</v>
      </c>
      <c r="DR525" s="25" t="s">
        <v>194</v>
      </c>
      <c r="DS525" s="25" t="s">
        <v>119</v>
      </c>
      <c r="DT525" s="25" t="s">
        <v>198</v>
      </c>
      <c r="DU525" s="25" t="s">
        <v>119</v>
      </c>
      <c r="DV525" s="25">
        <f t="shared" si="337"/>
        <v>1</v>
      </c>
      <c r="DW525" s="25">
        <f t="shared" si="338"/>
        <v>1</v>
      </c>
      <c r="DX525" s="25">
        <f t="shared" si="339"/>
        <v>1</v>
      </c>
      <c r="DY525" s="25">
        <f t="shared" si="340"/>
        <v>2</v>
      </c>
      <c r="DZ525" s="25">
        <f t="shared" si="341"/>
        <v>2</v>
      </c>
      <c r="EA525" s="3">
        <f t="shared" si="342"/>
        <v>2</v>
      </c>
      <c r="EB525" s="47"/>
    </row>
    <row r="526" spans="1:132" ht="13.5" customHeight="1">
      <c r="A526" s="9">
        <v>523</v>
      </c>
      <c r="B526" s="9">
        <v>1</v>
      </c>
      <c r="C526" s="9">
        <v>2001</v>
      </c>
      <c r="D526" s="9">
        <f t="shared" si="318"/>
        <v>22524345</v>
      </c>
      <c r="E526" s="9" t="str">
        <f t="shared" si="354"/>
        <v>5200132,5200133,5200132,5502132,5500132,5502133</v>
      </c>
      <c r="F526" s="9" t="str">
        <f t="shared" si="355"/>
        <v>13,13,13,13,13,13</v>
      </c>
      <c r="G526" s="9" t="str">
        <f t="shared" si="356"/>
        <v>1099,1187,1187,1187,1187,1187</v>
      </c>
      <c r="H526" s="9">
        <v>249</v>
      </c>
      <c r="I526" s="9" t="s">
        <v>278</v>
      </c>
      <c r="J526" s="9" t="s">
        <v>279</v>
      </c>
      <c r="K526" s="9" t="s">
        <v>279</v>
      </c>
      <c r="L526" s="9" t="s">
        <v>279</v>
      </c>
      <c r="M526" s="36" t="s">
        <v>314</v>
      </c>
      <c r="N526" s="40"/>
      <c r="O526" s="3">
        <f t="shared" si="322"/>
        <v>22524345</v>
      </c>
      <c r="P526" s="9">
        <v>17063897.77</v>
      </c>
      <c r="Q526" s="9">
        <v>5200132</v>
      </c>
      <c r="R526" s="9">
        <v>5200133</v>
      </c>
      <c r="S526" s="9">
        <v>5200132</v>
      </c>
      <c r="T526" s="9">
        <v>5502132</v>
      </c>
      <c r="U526" s="9">
        <v>5500132</v>
      </c>
      <c r="V526" s="9">
        <v>5502133</v>
      </c>
      <c r="W526" s="9">
        <v>13</v>
      </c>
      <c r="X526" s="9">
        <v>13</v>
      </c>
      <c r="Y526" s="9">
        <v>13</v>
      </c>
      <c r="Z526" s="9">
        <v>13</v>
      </c>
      <c r="AA526" s="9">
        <v>13</v>
      </c>
      <c r="AB526" s="9">
        <v>13</v>
      </c>
      <c r="AC526" s="9">
        <f t="shared" si="343"/>
        <v>1099</v>
      </c>
      <c r="AD526" s="9">
        <f t="shared" si="344"/>
        <v>1187</v>
      </c>
      <c r="AE526" s="9">
        <f t="shared" si="345"/>
        <v>1187</v>
      </c>
      <c r="AF526" s="9">
        <f t="shared" si="346"/>
        <v>1187</v>
      </c>
      <c r="AG526" s="9">
        <f t="shared" si="347"/>
        <v>1187</v>
      </c>
      <c r="AH526" s="9">
        <f t="shared" si="348"/>
        <v>1187</v>
      </c>
      <c r="AI526" s="7">
        <f t="shared" si="324"/>
        <v>2843982.9616666664</v>
      </c>
      <c r="AJ526" s="7">
        <f t="shared" si="324"/>
        <v>2843982.9616666664</v>
      </c>
      <c r="AK526" s="7">
        <f t="shared" si="324"/>
        <v>2843982.9616666664</v>
      </c>
      <c r="AL526" s="7">
        <f t="shared" si="324"/>
        <v>2843982.9616666664</v>
      </c>
      <c r="AM526" s="7">
        <f t="shared" si="324"/>
        <v>2843982.9616666664</v>
      </c>
      <c r="AN526" s="7">
        <f t="shared" si="324"/>
        <v>2843982.9616666664</v>
      </c>
      <c r="AO526" s="16"/>
      <c r="AP526" s="7"/>
      <c r="AQ526" s="9">
        <v>8</v>
      </c>
      <c r="AR526" s="9">
        <f t="shared" si="349"/>
        <v>1499</v>
      </c>
      <c r="AS526" s="7">
        <f t="shared" si="320"/>
        <v>361</v>
      </c>
      <c r="AT526" s="7"/>
      <c r="AU526" s="16"/>
      <c r="AV526" s="7"/>
      <c r="AW526" s="7"/>
      <c r="AX526" s="7"/>
      <c r="AZ526" s="7"/>
      <c r="BA526" s="9">
        <f t="shared" si="323"/>
        <v>2243630.2600000026</v>
      </c>
      <c r="BC526" s="5" t="e">
        <f t="shared" si="350"/>
        <v>#N/A</v>
      </c>
      <c r="BR526" s="5">
        <v>3102032</v>
      </c>
      <c r="BS526" s="18">
        <f>[1]monsters!$N526</f>
        <v>120</v>
      </c>
      <c r="BT526" s="18">
        <f>[1]monsters!$O526</f>
        <v>12</v>
      </c>
      <c r="BU526" s="18">
        <f>[1]monsters!$P526</f>
        <v>921.6</v>
      </c>
      <c r="BV526" s="18">
        <f>[1]monsters!$Q526</f>
        <v>92.16</v>
      </c>
      <c r="BW526" s="18">
        <f>[1]monsters!$R526</f>
        <v>12</v>
      </c>
      <c r="BX526" s="18">
        <f>[1]monsters!$S526</f>
        <v>1.2</v>
      </c>
      <c r="BY526" s="18">
        <f>[1]monsters!$K526</f>
        <v>1.5</v>
      </c>
      <c r="BZ526" s="5">
        <f>[1]monsters!$D526</f>
        <v>4</v>
      </c>
      <c r="CA526" s="5">
        <f t="shared" si="351"/>
        <v>0.1</v>
      </c>
      <c r="CB526" s="5">
        <f t="shared" si="352"/>
        <v>144.43030303030304</v>
      </c>
      <c r="CC526" s="5">
        <f t="shared" si="353"/>
        <v>14.443030303030305</v>
      </c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>
        <v>0</v>
      </c>
      <c r="CR526" s="3" t="b">
        <f t="shared" si="325"/>
        <v>1</v>
      </c>
      <c r="CS526" s="3" t="b">
        <f t="shared" si="326"/>
        <v>1</v>
      </c>
      <c r="CT526" s="3" t="b">
        <f t="shared" si="327"/>
        <v>1</v>
      </c>
      <c r="CU526" s="3" t="b">
        <f t="shared" si="328"/>
        <v>1</v>
      </c>
      <c r="CV526" s="3" t="b">
        <f t="shared" si="329"/>
        <v>1</v>
      </c>
      <c r="CW526" s="3" t="b">
        <f t="shared" si="330"/>
        <v>1</v>
      </c>
      <c r="CX526" s="9" t="str">
        <f t="shared" si="331"/>
        <v>5200132</v>
      </c>
      <c r="CY526" s="9" t="str">
        <f t="shared" si="332"/>
        <v>5200133</v>
      </c>
      <c r="CZ526" s="9" t="str">
        <f t="shared" si="333"/>
        <v>5200132</v>
      </c>
      <c r="DA526" s="9" t="str">
        <f t="shared" si="334"/>
        <v>5502132</v>
      </c>
      <c r="DB526" s="9" t="str">
        <f t="shared" si="335"/>
        <v>5500132</v>
      </c>
      <c r="DC526" s="9" t="str">
        <f t="shared" si="336"/>
        <v>5502133</v>
      </c>
      <c r="DD526" s="9">
        <v>13</v>
      </c>
      <c r="DE526" s="9">
        <v>13</v>
      </c>
      <c r="DF526" s="9">
        <v>13</v>
      </c>
      <c r="DG526" s="9">
        <v>13</v>
      </c>
      <c r="DH526" s="9">
        <v>13</v>
      </c>
      <c r="DI526" s="9">
        <v>13</v>
      </c>
      <c r="DJ526" s="9">
        <v>5</v>
      </c>
      <c r="DK526" s="9">
        <v>5</v>
      </c>
      <c r="DL526" s="9">
        <v>5</v>
      </c>
      <c r="DM526" s="9">
        <v>5</v>
      </c>
      <c r="DN526" s="9">
        <v>5</v>
      </c>
      <c r="DO526" s="9">
        <v>5</v>
      </c>
      <c r="DP526" s="25" t="s">
        <v>199</v>
      </c>
      <c r="DQ526" s="25" t="s">
        <v>113</v>
      </c>
      <c r="DR526" s="25" t="s">
        <v>199</v>
      </c>
      <c r="DS526" s="25" t="s">
        <v>204</v>
      </c>
      <c r="DT526" s="25" t="s">
        <v>109</v>
      </c>
      <c r="DU526" s="25" t="s">
        <v>215</v>
      </c>
      <c r="DV526" s="25">
        <f t="shared" si="337"/>
        <v>1</v>
      </c>
      <c r="DW526" s="25">
        <f t="shared" si="338"/>
        <v>1</v>
      </c>
      <c r="DX526" s="25">
        <f t="shared" si="339"/>
        <v>1</v>
      </c>
      <c r="DY526" s="25">
        <f t="shared" si="340"/>
        <v>2</v>
      </c>
      <c r="DZ526" s="25">
        <f t="shared" si="341"/>
        <v>2</v>
      </c>
      <c r="EA526" s="3">
        <f t="shared" si="342"/>
        <v>2</v>
      </c>
      <c r="EB526" s="47"/>
    </row>
    <row r="527" spans="1:132" ht="13.5" customHeight="1">
      <c r="A527" s="9">
        <v>524</v>
      </c>
      <c r="B527" s="9">
        <v>1</v>
      </c>
      <c r="C527" s="9">
        <v>2001</v>
      </c>
      <c r="D527" s="9">
        <f t="shared" si="318"/>
        <v>22591271</v>
      </c>
      <c r="E527" s="9" t="str">
        <f t="shared" si="354"/>
        <v>5202133,5202132,5202133,5401133,5402132,5401133</v>
      </c>
      <c r="F527" s="9" t="str">
        <f t="shared" si="355"/>
        <v>13,13,13,13,13,13</v>
      </c>
      <c r="G527" s="9" t="str">
        <f t="shared" si="356"/>
        <v>1100,1189,1189,1189,1189,1189</v>
      </c>
      <c r="H527" s="9">
        <v>249</v>
      </c>
      <c r="I527" s="9" t="s">
        <v>278</v>
      </c>
      <c r="J527" s="9" t="s">
        <v>279</v>
      </c>
      <c r="K527" s="9" t="s">
        <v>279</v>
      </c>
      <c r="L527" s="9" t="s">
        <v>279</v>
      </c>
      <c r="M527" s="36" t="s">
        <v>314</v>
      </c>
      <c r="N527" s="40"/>
      <c r="O527" s="3">
        <f t="shared" si="322"/>
        <v>22591271</v>
      </c>
      <c r="P527" s="9">
        <v>17114598.989999998</v>
      </c>
      <c r="Q527" s="9">
        <v>5202133</v>
      </c>
      <c r="R527" s="9">
        <v>5202132</v>
      </c>
      <c r="S527" s="9">
        <v>5202133</v>
      </c>
      <c r="T527" s="9">
        <v>5401133</v>
      </c>
      <c r="U527" s="9">
        <v>5402132</v>
      </c>
      <c r="V527" s="9">
        <v>5401133</v>
      </c>
      <c r="W527" s="9">
        <v>13</v>
      </c>
      <c r="X527" s="9">
        <v>13</v>
      </c>
      <c r="Y527" s="9">
        <v>13</v>
      </c>
      <c r="Z527" s="9">
        <v>13</v>
      </c>
      <c r="AA527" s="9">
        <v>13</v>
      </c>
      <c r="AB527" s="9">
        <v>13</v>
      </c>
      <c r="AC527" s="9">
        <f t="shared" si="343"/>
        <v>1100</v>
      </c>
      <c r="AD527" s="9">
        <f t="shared" si="344"/>
        <v>1189</v>
      </c>
      <c r="AE527" s="9">
        <f t="shared" si="345"/>
        <v>1189</v>
      </c>
      <c r="AF527" s="9">
        <f t="shared" si="346"/>
        <v>1189</v>
      </c>
      <c r="AG527" s="9">
        <f t="shared" si="347"/>
        <v>1189</v>
      </c>
      <c r="AH527" s="9">
        <f t="shared" si="348"/>
        <v>1189</v>
      </c>
      <c r="AI527" s="7">
        <f t="shared" si="324"/>
        <v>2852433.1649999996</v>
      </c>
      <c r="AJ527" s="7">
        <f t="shared" si="324"/>
        <v>2852433.1649999996</v>
      </c>
      <c r="AK527" s="7">
        <f t="shared" si="324"/>
        <v>2852433.1649999996</v>
      </c>
      <c r="AL527" s="7">
        <f t="shared" si="324"/>
        <v>2852433.1649999996</v>
      </c>
      <c r="AM527" s="7">
        <f t="shared" si="324"/>
        <v>2852433.1649999996</v>
      </c>
      <c r="AN527" s="7">
        <f t="shared" si="324"/>
        <v>2852433.1649999996</v>
      </c>
      <c r="AO527" s="16"/>
      <c r="AP527" s="7"/>
      <c r="AQ527" s="9">
        <v>8</v>
      </c>
      <c r="AR527" s="9">
        <f t="shared" si="349"/>
        <v>1501</v>
      </c>
      <c r="AS527" s="7">
        <f t="shared" si="320"/>
        <v>362</v>
      </c>
      <c r="AT527" s="7"/>
      <c r="AU527" s="16"/>
      <c r="AV527" s="7"/>
      <c r="AW527" s="7"/>
      <c r="AX527" s="7"/>
      <c r="AZ527" s="7"/>
      <c r="BA527" s="9">
        <f t="shared" si="323"/>
        <v>2254222.8800000027</v>
      </c>
      <c r="BC527" s="5" t="e">
        <f t="shared" si="350"/>
        <v>#N/A</v>
      </c>
      <c r="BR527" s="5">
        <v>3206033</v>
      </c>
      <c r="BS527" s="18">
        <f>[1]monsters!$N527</f>
        <v>91.52</v>
      </c>
      <c r="BT527" s="18">
        <f>[1]monsters!$O527</f>
        <v>9.15</v>
      </c>
      <c r="BU527" s="18">
        <f>[1]monsters!$P527</f>
        <v>1047.27</v>
      </c>
      <c r="BV527" s="18">
        <f>[1]monsters!$Q527</f>
        <v>104.73</v>
      </c>
      <c r="BW527" s="18">
        <f>[1]monsters!$R527</f>
        <v>11.44</v>
      </c>
      <c r="BX527" s="18">
        <f>[1]monsters!$S527</f>
        <v>1.1399999999999999</v>
      </c>
      <c r="BY527" s="18">
        <f>[1]monsters!$K527</f>
        <v>1.3</v>
      </c>
      <c r="BZ527" s="5">
        <f>[1]monsters!$D527</f>
        <v>3</v>
      </c>
      <c r="CA527" s="5">
        <f t="shared" si="351"/>
        <v>0.1</v>
      </c>
      <c r="CB527" s="5">
        <f t="shared" si="352"/>
        <v>121.74801616161616</v>
      </c>
      <c r="CC527" s="5">
        <f t="shared" si="353"/>
        <v>12.174801616161616</v>
      </c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>
        <v>0</v>
      </c>
      <c r="CR527" s="3" t="b">
        <f t="shared" si="325"/>
        <v>1</v>
      </c>
      <c r="CS527" s="3" t="b">
        <f t="shared" si="326"/>
        <v>1</v>
      </c>
      <c r="CT527" s="3" t="b">
        <f t="shared" si="327"/>
        <v>1</v>
      </c>
      <c r="CU527" s="3" t="b">
        <f t="shared" si="328"/>
        <v>1</v>
      </c>
      <c r="CV527" s="3" t="b">
        <f t="shared" si="329"/>
        <v>1</v>
      </c>
      <c r="CW527" s="3" t="b">
        <f t="shared" si="330"/>
        <v>1</v>
      </c>
      <c r="CX527" s="9" t="str">
        <f t="shared" si="331"/>
        <v>5202133</v>
      </c>
      <c r="CY527" s="9" t="str">
        <f t="shared" si="332"/>
        <v>5202132</v>
      </c>
      <c r="CZ527" s="9" t="str">
        <f t="shared" si="333"/>
        <v>5202133</v>
      </c>
      <c r="DA527" s="9" t="str">
        <f t="shared" si="334"/>
        <v>5401133</v>
      </c>
      <c r="DB527" s="9" t="str">
        <f t="shared" si="335"/>
        <v>5402132</v>
      </c>
      <c r="DC527" s="9" t="str">
        <f t="shared" si="336"/>
        <v>5401133</v>
      </c>
      <c r="DD527" s="9">
        <v>13</v>
      </c>
      <c r="DE527" s="9">
        <v>13</v>
      </c>
      <c r="DF527" s="9">
        <v>13</v>
      </c>
      <c r="DG527" s="9">
        <v>13</v>
      </c>
      <c r="DH527" s="9">
        <v>13</v>
      </c>
      <c r="DI527" s="9">
        <v>13</v>
      </c>
      <c r="DJ527" s="9">
        <v>5</v>
      </c>
      <c r="DK527" s="9">
        <v>5</v>
      </c>
      <c r="DL527" s="9">
        <v>5</v>
      </c>
      <c r="DM527" s="9">
        <v>5</v>
      </c>
      <c r="DN527" s="9">
        <v>5</v>
      </c>
      <c r="DO527" s="9">
        <v>5</v>
      </c>
      <c r="DP527" s="25" t="s">
        <v>208</v>
      </c>
      <c r="DQ527" s="25" t="s">
        <v>200</v>
      </c>
      <c r="DR527" s="25" t="s">
        <v>208</v>
      </c>
      <c r="DS527" s="25" t="s">
        <v>211</v>
      </c>
      <c r="DT527" s="25" t="s">
        <v>203</v>
      </c>
      <c r="DU527" s="25" t="s">
        <v>211</v>
      </c>
      <c r="DV527" s="25">
        <f t="shared" si="337"/>
        <v>1</v>
      </c>
      <c r="DW527" s="25">
        <f t="shared" si="338"/>
        <v>1</v>
      </c>
      <c r="DX527" s="25">
        <f t="shared" si="339"/>
        <v>1</v>
      </c>
      <c r="DY527" s="25">
        <f t="shared" si="340"/>
        <v>2</v>
      </c>
      <c r="DZ527" s="25">
        <f t="shared" si="341"/>
        <v>2</v>
      </c>
      <c r="EA527" s="3">
        <f t="shared" si="342"/>
        <v>2</v>
      </c>
      <c r="EB527" s="29"/>
    </row>
    <row r="528" spans="1:132" ht="13.5" customHeight="1">
      <c r="A528" s="9">
        <v>525</v>
      </c>
      <c r="B528" s="9">
        <v>1</v>
      </c>
      <c r="C528" s="9">
        <v>2001</v>
      </c>
      <c r="D528" s="9">
        <f t="shared" si="318"/>
        <v>22658299</v>
      </c>
      <c r="E528" s="9" t="str">
        <f t="shared" si="354"/>
        <v>5202133,5202133,5202133,5500132,5500132,5500132</v>
      </c>
      <c r="F528" s="9" t="str">
        <f t="shared" si="355"/>
        <v>13,13,13,13,13,13</v>
      </c>
      <c r="G528" s="9" t="str">
        <f t="shared" si="356"/>
        <v>1102,1191,1191,1191,1191,1191</v>
      </c>
      <c r="H528" s="9">
        <v>250</v>
      </c>
      <c r="I528" s="9" t="s">
        <v>278</v>
      </c>
      <c r="J528" s="9" t="s">
        <v>279</v>
      </c>
      <c r="K528" s="9" t="s">
        <v>279</v>
      </c>
      <c r="L528" s="9" t="s">
        <v>279</v>
      </c>
      <c r="M528" s="36" t="s">
        <v>314</v>
      </c>
      <c r="O528" s="3">
        <f t="shared" si="322"/>
        <v>22658299</v>
      </c>
      <c r="P528" s="9">
        <v>17165377.82</v>
      </c>
      <c r="Q528" s="9">
        <v>5202133</v>
      </c>
      <c r="R528" s="9">
        <v>5202133</v>
      </c>
      <c r="S528" s="9">
        <v>5202133</v>
      </c>
      <c r="T528" s="9">
        <v>5500132</v>
      </c>
      <c r="U528" s="9">
        <v>5500132</v>
      </c>
      <c r="V528" s="9">
        <v>5500132</v>
      </c>
      <c r="W528" s="9">
        <v>13</v>
      </c>
      <c r="X528" s="9">
        <v>13</v>
      </c>
      <c r="Y528" s="9">
        <v>13</v>
      </c>
      <c r="Z528" s="9">
        <v>13</v>
      </c>
      <c r="AA528" s="9">
        <v>13</v>
      </c>
      <c r="AB528" s="9">
        <v>13</v>
      </c>
      <c r="AC528" s="9">
        <f t="shared" si="343"/>
        <v>1102</v>
      </c>
      <c r="AD528" s="9">
        <f t="shared" si="344"/>
        <v>1191</v>
      </c>
      <c r="AE528" s="9">
        <f t="shared" si="345"/>
        <v>1191</v>
      </c>
      <c r="AF528" s="9">
        <f t="shared" si="346"/>
        <v>1191</v>
      </c>
      <c r="AG528" s="9">
        <f t="shared" si="347"/>
        <v>1191</v>
      </c>
      <c r="AH528" s="9">
        <f t="shared" si="348"/>
        <v>1191</v>
      </c>
      <c r="AI528" s="7">
        <f t="shared" si="324"/>
        <v>2860896.3033333332</v>
      </c>
      <c r="AJ528" s="7">
        <f t="shared" si="324"/>
        <v>2860896.3033333332</v>
      </c>
      <c r="AK528" s="7">
        <f t="shared" si="324"/>
        <v>2860896.3033333332</v>
      </c>
      <c r="AL528" s="7">
        <f t="shared" si="324"/>
        <v>2860896.3033333332</v>
      </c>
      <c r="AM528" s="7">
        <f t="shared" si="324"/>
        <v>2860896.3033333332</v>
      </c>
      <c r="AN528" s="7">
        <f t="shared" si="324"/>
        <v>2860896.3033333332</v>
      </c>
      <c r="AO528" s="16"/>
      <c r="AP528" s="7"/>
      <c r="AQ528" s="9">
        <v>8</v>
      </c>
      <c r="AR528" s="9">
        <f t="shared" si="349"/>
        <v>1503</v>
      </c>
      <c r="AS528" s="7">
        <f t="shared" si="320"/>
        <v>362</v>
      </c>
      <c r="AT528" s="7"/>
      <c r="AU528" s="16"/>
      <c r="AV528" s="7"/>
      <c r="AW528" s="7"/>
      <c r="AX528" s="7"/>
      <c r="AZ528" s="7"/>
      <c r="BA528" s="9">
        <f t="shared" si="323"/>
        <v>2264815.5000000028</v>
      </c>
      <c r="BC528" s="5" t="e">
        <f t="shared" si="350"/>
        <v>#N/A</v>
      </c>
      <c r="BR528" s="5">
        <v>3406033</v>
      </c>
      <c r="BS528" s="18">
        <f>[1]monsters!$N528</f>
        <v>126.72</v>
      </c>
      <c r="BT528" s="18">
        <f>[1]monsters!$O528</f>
        <v>12.67</v>
      </c>
      <c r="BU528" s="18">
        <f>[1]monsters!$P528</f>
        <v>1047.27</v>
      </c>
      <c r="BV528" s="18">
        <f>[1]monsters!$Q528</f>
        <v>104.73</v>
      </c>
      <c r="BW528" s="18">
        <f>[1]monsters!$R528</f>
        <v>21.12</v>
      </c>
      <c r="BX528" s="18">
        <f>[1]monsters!$S528</f>
        <v>2.11</v>
      </c>
      <c r="BY528" s="18">
        <f>[1]monsters!$K528</f>
        <v>1.8</v>
      </c>
      <c r="BZ528" s="5">
        <f>[1]monsters!$D528</f>
        <v>5</v>
      </c>
      <c r="CA528" s="5">
        <f t="shared" si="351"/>
        <v>0.1</v>
      </c>
      <c r="CB528" s="5">
        <f t="shared" si="352"/>
        <v>155.01201616161617</v>
      </c>
      <c r="CC528" s="5">
        <f t="shared" si="353"/>
        <v>15.501201616161618</v>
      </c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>
        <v>1</v>
      </c>
      <c r="CR528" s="3" t="b">
        <f t="shared" si="325"/>
        <v>1</v>
      </c>
      <c r="CS528" s="3" t="b">
        <f t="shared" si="326"/>
        <v>1</v>
      </c>
      <c r="CT528" s="3" t="b">
        <f t="shared" si="327"/>
        <v>1</v>
      </c>
      <c r="CU528" s="3" t="b">
        <f t="shared" si="328"/>
        <v>1</v>
      </c>
      <c r="CV528" s="3" t="b">
        <f t="shared" si="329"/>
        <v>1</v>
      </c>
      <c r="CW528" s="3" t="b">
        <f t="shared" si="330"/>
        <v>1</v>
      </c>
      <c r="CX528" s="9" t="str">
        <f t="shared" si="331"/>
        <v>5202133</v>
      </c>
      <c r="CY528" s="9" t="str">
        <f t="shared" si="332"/>
        <v>5202133</v>
      </c>
      <c r="CZ528" s="9" t="str">
        <f t="shared" si="333"/>
        <v>5202133</v>
      </c>
      <c r="DA528" s="9" t="str">
        <f t="shared" si="334"/>
        <v>5500132</v>
      </c>
      <c r="DB528" s="9" t="str">
        <f t="shared" si="335"/>
        <v>5500132</v>
      </c>
      <c r="DC528" s="9" t="str">
        <f t="shared" si="336"/>
        <v>5500132</v>
      </c>
      <c r="DD528" s="9">
        <v>13</v>
      </c>
      <c r="DE528" s="9">
        <v>13</v>
      </c>
      <c r="DF528" s="9">
        <v>13</v>
      </c>
      <c r="DG528" s="9">
        <v>13</v>
      </c>
      <c r="DH528" s="9">
        <v>13</v>
      </c>
      <c r="DI528" s="9">
        <v>13</v>
      </c>
      <c r="DJ528" s="9">
        <v>5</v>
      </c>
      <c r="DK528" s="9">
        <v>5</v>
      </c>
      <c r="DL528" s="9">
        <v>5</v>
      </c>
      <c r="DM528" s="9">
        <v>5</v>
      </c>
      <c r="DN528" s="9">
        <v>5</v>
      </c>
      <c r="DO528" s="9">
        <v>5</v>
      </c>
      <c r="DP528" s="25" t="s">
        <v>208</v>
      </c>
      <c r="DQ528" s="25" t="s">
        <v>208</v>
      </c>
      <c r="DR528" s="25" t="s">
        <v>208</v>
      </c>
      <c r="DS528" s="25" t="s">
        <v>109</v>
      </c>
      <c r="DT528" s="25" t="s">
        <v>109</v>
      </c>
      <c r="DU528" s="25" t="s">
        <v>109</v>
      </c>
      <c r="DV528" s="25">
        <f t="shared" si="337"/>
        <v>1</v>
      </c>
      <c r="DW528" s="25">
        <f t="shared" si="338"/>
        <v>1</v>
      </c>
      <c r="DX528" s="25">
        <f t="shared" si="339"/>
        <v>1</v>
      </c>
      <c r="DY528" s="25">
        <f t="shared" si="340"/>
        <v>2</v>
      </c>
      <c r="DZ528" s="25">
        <f t="shared" si="341"/>
        <v>2</v>
      </c>
      <c r="EA528" s="3">
        <f t="shared" si="342"/>
        <v>2</v>
      </c>
      <c r="EB528" s="29"/>
    </row>
    <row r="529" spans="1:132" ht="13.5" customHeight="1">
      <c r="A529" s="9">
        <v>526</v>
      </c>
      <c r="B529" s="9">
        <v>1</v>
      </c>
      <c r="C529" s="9">
        <v>2001</v>
      </c>
      <c r="D529" s="9">
        <f t="shared" ref="D529:D592" si="357">O529</f>
        <v>22725424</v>
      </c>
      <c r="E529" s="9" t="str">
        <f t="shared" si="354"/>
        <v>5202131,5202132,5200131,5501135,5602134,5501134</v>
      </c>
      <c r="F529" s="9" t="str">
        <f t="shared" si="355"/>
        <v>13,13,13,13,13,13</v>
      </c>
      <c r="G529" s="9" t="str">
        <f t="shared" si="356"/>
        <v>1104,1193,1193,1193,1193,1193</v>
      </c>
      <c r="H529" s="9">
        <v>250</v>
      </c>
      <c r="I529" s="9" t="s">
        <v>278</v>
      </c>
      <c r="J529" s="9" t="s">
        <v>279</v>
      </c>
      <c r="K529" s="9" t="s">
        <v>279</v>
      </c>
      <c r="L529" s="9" t="s">
        <v>279</v>
      </c>
      <c r="M529" s="36" t="s">
        <v>314</v>
      </c>
      <c r="N529" s="40"/>
      <c r="O529" s="3">
        <f t="shared" si="322"/>
        <v>22725424</v>
      </c>
      <c r="P529" s="9">
        <v>17216230.280000001</v>
      </c>
      <c r="Q529" s="9">
        <v>5202131</v>
      </c>
      <c r="R529" s="9">
        <v>5202132</v>
      </c>
      <c r="S529" s="9">
        <v>5200131</v>
      </c>
      <c r="T529" s="9">
        <v>5501135</v>
      </c>
      <c r="U529" s="9">
        <v>5602134</v>
      </c>
      <c r="V529" s="9">
        <v>5501134</v>
      </c>
      <c r="W529" s="9">
        <v>13</v>
      </c>
      <c r="X529" s="9">
        <v>13</v>
      </c>
      <c r="Y529" s="9">
        <v>13</v>
      </c>
      <c r="Z529" s="9">
        <v>13</v>
      </c>
      <c r="AA529" s="9">
        <v>13</v>
      </c>
      <c r="AB529" s="9">
        <v>13</v>
      </c>
      <c r="AC529" s="9">
        <f t="shared" si="343"/>
        <v>1104</v>
      </c>
      <c r="AD529" s="9">
        <f t="shared" si="344"/>
        <v>1193</v>
      </c>
      <c r="AE529" s="9">
        <f t="shared" si="345"/>
        <v>1193</v>
      </c>
      <c r="AF529" s="9">
        <f t="shared" si="346"/>
        <v>1193</v>
      </c>
      <c r="AG529" s="9">
        <f t="shared" si="347"/>
        <v>1193</v>
      </c>
      <c r="AH529" s="9">
        <f t="shared" si="348"/>
        <v>1193</v>
      </c>
      <c r="AI529" s="7">
        <f t="shared" si="324"/>
        <v>2869371.7133333334</v>
      </c>
      <c r="AJ529" s="7">
        <f t="shared" si="324"/>
        <v>2869371.7133333334</v>
      </c>
      <c r="AK529" s="7">
        <f t="shared" si="324"/>
        <v>2869371.7133333334</v>
      </c>
      <c r="AL529" s="7">
        <f t="shared" si="324"/>
        <v>2869371.7133333334</v>
      </c>
      <c r="AM529" s="7">
        <f t="shared" si="324"/>
        <v>2869371.7133333334</v>
      </c>
      <c r="AN529" s="7">
        <f t="shared" si="324"/>
        <v>2869371.7133333334</v>
      </c>
      <c r="AO529" s="16"/>
      <c r="AP529" s="7"/>
      <c r="AQ529" s="9">
        <v>8</v>
      </c>
      <c r="AR529" s="9">
        <f t="shared" si="349"/>
        <v>1505</v>
      </c>
      <c r="AS529" s="7">
        <f t="shared" si="320"/>
        <v>363</v>
      </c>
      <c r="AT529" s="7"/>
      <c r="AU529" s="16"/>
      <c r="AV529" s="7"/>
      <c r="AW529" s="7"/>
      <c r="AX529" s="7"/>
      <c r="AZ529" s="7"/>
      <c r="BA529" s="9">
        <f t="shared" si="323"/>
        <v>2275408.1200000029</v>
      </c>
      <c r="BC529" s="5" t="e">
        <f t="shared" si="350"/>
        <v>#N/A</v>
      </c>
      <c r="BR529" s="5">
        <v>3205033</v>
      </c>
      <c r="BS529" s="18">
        <f>[1]monsters!$N529</f>
        <v>92.16</v>
      </c>
      <c r="BT529" s="18">
        <f>[1]monsters!$O529</f>
        <v>9.2200000000000006</v>
      </c>
      <c r="BU529" s="18">
        <f>[1]monsters!$P529</f>
        <v>1280</v>
      </c>
      <c r="BV529" s="18">
        <f>[1]monsters!$Q529</f>
        <v>128</v>
      </c>
      <c r="BW529" s="18">
        <f>[1]monsters!$R529</f>
        <v>18.43</v>
      </c>
      <c r="BX529" s="18">
        <f>[1]monsters!$S529</f>
        <v>1.84</v>
      </c>
      <c r="BY529" s="18">
        <f>[1]monsters!$K529</f>
        <v>1.6</v>
      </c>
      <c r="BZ529" s="5">
        <f>[1]monsters!$D529</f>
        <v>2</v>
      </c>
      <c r="CA529" s="5">
        <f t="shared" si="351"/>
        <v>0.1</v>
      </c>
      <c r="CB529" s="5">
        <f t="shared" si="352"/>
        <v>130.18884309764309</v>
      </c>
      <c r="CC529" s="5">
        <f t="shared" si="353"/>
        <v>13.01888430976431</v>
      </c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>
        <v>0</v>
      </c>
      <c r="CR529" s="3" t="b">
        <f t="shared" si="325"/>
        <v>1</v>
      </c>
      <c r="CS529" s="3" t="b">
        <f t="shared" si="326"/>
        <v>1</v>
      </c>
      <c r="CT529" s="3" t="b">
        <f t="shared" si="327"/>
        <v>1</v>
      </c>
      <c r="CU529" s="3" t="b">
        <f t="shared" si="328"/>
        <v>1</v>
      </c>
      <c r="CV529" s="3" t="b">
        <f t="shared" si="329"/>
        <v>1</v>
      </c>
      <c r="CW529" s="3" t="b">
        <f t="shared" si="330"/>
        <v>1</v>
      </c>
      <c r="CX529" s="9" t="str">
        <f t="shared" si="331"/>
        <v>5202131</v>
      </c>
      <c r="CY529" s="9" t="str">
        <f t="shared" si="332"/>
        <v>5202132</v>
      </c>
      <c r="CZ529" s="9" t="str">
        <f t="shared" si="333"/>
        <v>5200131</v>
      </c>
      <c r="DA529" s="9" t="str">
        <f t="shared" si="334"/>
        <v>5501135</v>
      </c>
      <c r="DB529" s="9" t="str">
        <f t="shared" si="335"/>
        <v>5602134</v>
      </c>
      <c r="DC529" s="9" t="str">
        <f t="shared" si="336"/>
        <v>5501134</v>
      </c>
      <c r="DD529" s="9">
        <v>13</v>
      </c>
      <c r="DE529" s="9">
        <v>13</v>
      </c>
      <c r="DF529" s="9">
        <v>13</v>
      </c>
      <c r="DG529" s="9">
        <v>13</v>
      </c>
      <c r="DH529" s="9">
        <v>13</v>
      </c>
      <c r="DI529" s="9">
        <v>13</v>
      </c>
      <c r="DJ529" s="9">
        <v>5</v>
      </c>
      <c r="DK529" s="9">
        <v>5</v>
      </c>
      <c r="DL529" s="9">
        <v>5</v>
      </c>
      <c r="DM529" s="9">
        <v>5</v>
      </c>
      <c r="DN529" s="9">
        <v>5</v>
      </c>
      <c r="DO529" s="9">
        <v>5</v>
      </c>
      <c r="DP529" s="25" t="s">
        <v>111</v>
      </c>
      <c r="DQ529" s="25" t="s">
        <v>200</v>
      </c>
      <c r="DR529" s="25" t="s">
        <v>194</v>
      </c>
      <c r="DS529" s="25" t="s">
        <v>209</v>
      </c>
      <c r="DT529" s="25" t="s">
        <v>220</v>
      </c>
      <c r="DU529" s="25" t="s">
        <v>214</v>
      </c>
      <c r="DV529" s="25">
        <f t="shared" si="337"/>
        <v>1</v>
      </c>
      <c r="DW529" s="25">
        <f t="shared" si="338"/>
        <v>1</v>
      </c>
      <c r="DX529" s="25">
        <f t="shared" si="339"/>
        <v>1</v>
      </c>
      <c r="DY529" s="25">
        <f t="shared" si="340"/>
        <v>2</v>
      </c>
      <c r="DZ529" s="25">
        <f t="shared" si="341"/>
        <v>2</v>
      </c>
      <c r="EA529" s="3">
        <f t="shared" si="342"/>
        <v>2</v>
      </c>
      <c r="EB529" s="29"/>
    </row>
    <row r="530" spans="1:132" ht="13.5" customHeight="1">
      <c r="A530" s="9">
        <v>527</v>
      </c>
      <c r="B530" s="9">
        <v>1</v>
      </c>
      <c r="C530" s="9">
        <v>2001</v>
      </c>
      <c r="D530" s="9">
        <f t="shared" si="357"/>
        <v>22792649</v>
      </c>
      <c r="E530" s="9" t="str">
        <f t="shared" si="354"/>
        <v>5202132,5201132,5301131,5501134,5500133,5501134</v>
      </c>
      <c r="F530" s="9" t="str">
        <f t="shared" si="355"/>
        <v>13,13,13,13,13,13</v>
      </c>
      <c r="G530" s="9" t="str">
        <f t="shared" si="356"/>
        <v>1105,1195,1195,1195,1195,1195</v>
      </c>
      <c r="H530" s="9">
        <v>250</v>
      </c>
      <c r="I530" s="9" t="s">
        <v>278</v>
      </c>
      <c r="J530" s="9" t="s">
        <v>279</v>
      </c>
      <c r="K530" s="9" t="s">
        <v>279</v>
      </c>
      <c r="L530" s="9" t="s">
        <v>279</v>
      </c>
      <c r="M530" s="36" t="s">
        <v>314</v>
      </c>
      <c r="N530" s="40"/>
      <c r="O530" s="3">
        <f t="shared" si="322"/>
        <v>22792649</v>
      </c>
      <c r="P530" s="9">
        <v>17267158.359999999</v>
      </c>
      <c r="Q530" s="9">
        <v>5202132</v>
      </c>
      <c r="R530" s="9">
        <v>5201132</v>
      </c>
      <c r="S530" s="9">
        <v>5301131</v>
      </c>
      <c r="T530" s="9">
        <v>5501134</v>
      </c>
      <c r="U530" s="9">
        <v>5500133</v>
      </c>
      <c r="V530" s="9">
        <v>5501134</v>
      </c>
      <c r="W530" s="9">
        <v>13</v>
      </c>
      <c r="X530" s="9">
        <v>13</v>
      </c>
      <c r="Y530" s="9">
        <v>13</v>
      </c>
      <c r="Z530" s="9">
        <v>13</v>
      </c>
      <c r="AA530" s="9">
        <v>13</v>
      </c>
      <c r="AB530" s="9">
        <v>13</v>
      </c>
      <c r="AC530" s="9">
        <f t="shared" si="343"/>
        <v>1105</v>
      </c>
      <c r="AD530" s="9">
        <f t="shared" si="344"/>
        <v>1195</v>
      </c>
      <c r="AE530" s="9">
        <f t="shared" si="345"/>
        <v>1195</v>
      </c>
      <c r="AF530" s="9">
        <f t="shared" si="346"/>
        <v>1195</v>
      </c>
      <c r="AG530" s="9">
        <f t="shared" si="347"/>
        <v>1195</v>
      </c>
      <c r="AH530" s="9">
        <f t="shared" si="348"/>
        <v>1195</v>
      </c>
      <c r="AI530" s="7">
        <f t="shared" si="324"/>
        <v>2877859.7266666666</v>
      </c>
      <c r="AJ530" s="7">
        <f t="shared" si="324"/>
        <v>2877859.7266666666</v>
      </c>
      <c r="AK530" s="7">
        <f t="shared" si="324"/>
        <v>2877859.7266666666</v>
      </c>
      <c r="AL530" s="7">
        <f t="shared" si="324"/>
        <v>2877859.7266666666</v>
      </c>
      <c r="AM530" s="7">
        <f t="shared" si="324"/>
        <v>2877859.7266666666</v>
      </c>
      <c r="AN530" s="7">
        <f t="shared" si="324"/>
        <v>2877859.7266666666</v>
      </c>
      <c r="AO530" s="16"/>
      <c r="AP530" s="7"/>
      <c r="AQ530" s="9">
        <v>8</v>
      </c>
      <c r="AR530" s="9">
        <f t="shared" si="349"/>
        <v>1507</v>
      </c>
      <c r="AS530" s="7">
        <f t="shared" si="320"/>
        <v>363</v>
      </c>
      <c r="AT530" s="7"/>
      <c r="AU530" s="16"/>
      <c r="AV530" s="7"/>
      <c r="AW530" s="7"/>
      <c r="AX530" s="7"/>
      <c r="AZ530" s="7"/>
      <c r="BA530" s="9">
        <f t="shared" si="323"/>
        <v>2286000.740000003</v>
      </c>
      <c r="BC530" s="5" t="e">
        <f t="shared" si="350"/>
        <v>#N/A</v>
      </c>
      <c r="BR530" s="5">
        <v>3405033</v>
      </c>
      <c r="BS530" s="18">
        <f>[1]monsters!$N530</f>
        <v>116.48</v>
      </c>
      <c r="BT530" s="18">
        <f>[1]monsters!$O530</f>
        <v>11.65</v>
      </c>
      <c r="BU530" s="18">
        <f>[1]monsters!$P530</f>
        <v>886.15</v>
      </c>
      <c r="BV530" s="18">
        <f>[1]monsters!$Q530</f>
        <v>88.62</v>
      </c>
      <c r="BW530" s="18">
        <f>[1]monsters!$R530</f>
        <v>11.65</v>
      </c>
      <c r="BX530" s="18">
        <f>[1]monsters!$S530</f>
        <v>1.1599999999999999</v>
      </c>
      <c r="BY530" s="18">
        <f>[1]monsters!$K530</f>
        <v>1.4</v>
      </c>
      <c r="BZ530" s="5">
        <f>[1]monsters!$D530</f>
        <v>4</v>
      </c>
      <c r="CA530" s="5">
        <f t="shared" si="351"/>
        <v>0.1</v>
      </c>
      <c r="CB530" s="5">
        <f t="shared" si="352"/>
        <v>139.91030033670035</v>
      </c>
      <c r="CC530" s="5">
        <f t="shared" si="353"/>
        <v>13.991030033670036</v>
      </c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>
        <v>0</v>
      </c>
      <c r="CR530" s="3" t="b">
        <f t="shared" si="325"/>
        <v>1</v>
      </c>
      <c r="CS530" s="3" t="b">
        <f t="shared" si="326"/>
        <v>1</v>
      </c>
      <c r="CT530" s="3" t="b">
        <f t="shared" si="327"/>
        <v>1</v>
      </c>
      <c r="CU530" s="3" t="b">
        <f t="shared" si="328"/>
        <v>1</v>
      </c>
      <c r="CV530" s="3" t="b">
        <f t="shared" si="329"/>
        <v>1</v>
      </c>
      <c r="CW530" s="3" t="b">
        <f t="shared" si="330"/>
        <v>1</v>
      </c>
      <c r="CX530" s="9" t="str">
        <f t="shared" si="331"/>
        <v>5202132</v>
      </c>
      <c r="CY530" s="9" t="str">
        <f t="shared" si="332"/>
        <v>5201132</v>
      </c>
      <c r="CZ530" s="9" t="str">
        <f t="shared" si="333"/>
        <v>5301131</v>
      </c>
      <c r="DA530" s="9" t="str">
        <f t="shared" si="334"/>
        <v>5501134</v>
      </c>
      <c r="DB530" s="9" t="str">
        <f t="shared" si="335"/>
        <v>5500133</v>
      </c>
      <c r="DC530" s="9" t="str">
        <f t="shared" si="336"/>
        <v>5501134</v>
      </c>
      <c r="DD530" s="9">
        <v>13</v>
      </c>
      <c r="DE530" s="9">
        <v>13</v>
      </c>
      <c r="DF530" s="9">
        <v>13</v>
      </c>
      <c r="DG530" s="9">
        <v>13</v>
      </c>
      <c r="DH530" s="9">
        <v>13</v>
      </c>
      <c r="DI530" s="9">
        <v>13</v>
      </c>
      <c r="DJ530" s="9">
        <v>5</v>
      </c>
      <c r="DK530" s="9">
        <v>5</v>
      </c>
      <c r="DL530" s="9">
        <v>5</v>
      </c>
      <c r="DM530" s="9">
        <v>5</v>
      </c>
      <c r="DN530" s="9">
        <v>5</v>
      </c>
      <c r="DO530" s="9">
        <v>5</v>
      </c>
      <c r="DP530" s="25" t="s">
        <v>200</v>
      </c>
      <c r="DQ530" s="25" t="s">
        <v>114</v>
      </c>
      <c r="DR530" s="25" t="s">
        <v>107</v>
      </c>
      <c r="DS530" s="25" t="s">
        <v>214</v>
      </c>
      <c r="DT530" s="25" t="s">
        <v>207</v>
      </c>
      <c r="DU530" s="25" t="s">
        <v>214</v>
      </c>
      <c r="DV530" s="25">
        <f t="shared" si="337"/>
        <v>1</v>
      </c>
      <c r="DW530" s="25">
        <f t="shared" si="338"/>
        <v>1</v>
      </c>
      <c r="DX530" s="25">
        <f t="shared" si="339"/>
        <v>1</v>
      </c>
      <c r="DY530" s="25">
        <f t="shared" si="340"/>
        <v>2</v>
      </c>
      <c r="DZ530" s="25">
        <f t="shared" si="341"/>
        <v>2</v>
      </c>
      <c r="EA530" s="3">
        <f t="shared" si="342"/>
        <v>2</v>
      </c>
      <c r="EB530" s="30"/>
    </row>
    <row r="531" spans="1:132" ht="13.5" customHeight="1">
      <c r="A531" s="9">
        <v>528</v>
      </c>
      <c r="B531" s="9">
        <v>1</v>
      </c>
      <c r="C531" s="9">
        <v>2001</v>
      </c>
      <c r="D531" s="9">
        <f t="shared" si="357"/>
        <v>22859974</v>
      </c>
      <c r="E531" s="9" t="str">
        <f t="shared" si="354"/>
        <v>5201134,5301131,5201134,5501134,5500133,5501134</v>
      </c>
      <c r="F531" s="9" t="str">
        <f t="shared" si="355"/>
        <v>13,13,13,13,13,13</v>
      </c>
      <c r="G531" s="9" t="str">
        <f t="shared" si="356"/>
        <v>1107,1196,1196,1196,1196,1196</v>
      </c>
      <c r="H531" s="9">
        <v>251</v>
      </c>
      <c r="I531" s="9" t="s">
        <v>278</v>
      </c>
      <c r="J531" s="9" t="s">
        <v>279</v>
      </c>
      <c r="K531" s="9" t="s">
        <v>279</v>
      </c>
      <c r="L531" s="9" t="s">
        <v>279</v>
      </c>
      <c r="M531" s="36" t="s">
        <v>314</v>
      </c>
      <c r="N531" s="40"/>
      <c r="O531" s="3">
        <f t="shared" si="322"/>
        <v>22859974</v>
      </c>
      <c r="P531" s="9">
        <v>17318162.059999999</v>
      </c>
      <c r="Q531" s="9">
        <v>5201134</v>
      </c>
      <c r="R531" s="9">
        <v>5301131</v>
      </c>
      <c r="S531" s="9">
        <v>5201134</v>
      </c>
      <c r="T531" s="9">
        <v>5501134</v>
      </c>
      <c r="U531" s="9">
        <v>5500133</v>
      </c>
      <c r="V531" s="9">
        <v>5501134</v>
      </c>
      <c r="W531" s="9">
        <v>13</v>
      </c>
      <c r="X531" s="9">
        <v>13</v>
      </c>
      <c r="Y531" s="9">
        <v>13</v>
      </c>
      <c r="Z531" s="9">
        <v>13</v>
      </c>
      <c r="AA531" s="9">
        <v>13</v>
      </c>
      <c r="AB531" s="9">
        <v>13</v>
      </c>
      <c r="AC531" s="9">
        <f t="shared" si="343"/>
        <v>1107</v>
      </c>
      <c r="AD531" s="9">
        <f t="shared" si="344"/>
        <v>1196</v>
      </c>
      <c r="AE531" s="9">
        <f t="shared" si="345"/>
        <v>1196</v>
      </c>
      <c r="AF531" s="9">
        <f t="shared" si="346"/>
        <v>1196</v>
      </c>
      <c r="AG531" s="9">
        <f t="shared" si="347"/>
        <v>1196</v>
      </c>
      <c r="AH531" s="9">
        <f t="shared" si="348"/>
        <v>1196</v>
      </c>
      <c r="AI531" s="7">
        <f t="shared" si="324"/>
        <v>2886360.3433333333</v>
      </c>
      <c r="AJ531" s="7">
        <f t="shared" si="324"/>
        <v>2886360.3433333333</v>
      </c>
      <c r="AK531" s="7">
        <f t="shared" si="324"/>
        <v>2886360.3433333333</v>
      </c>
      <c r="AL531" s="7">
        <f t="shared" si="324"/>
        <v>2886360.3433333333</v>
      </c>
      <c r="AM531" s="7">
        <f t="shared" si="324"/>
        <v>2886360.3433333333</v>
      </c>
      <c r="AN531" s="7">
        <f t="shared" si="324"/>
        <v>2886360.3433333333</v>
      </c>
      <c r="AO531" s="16"/>
      <c r="AP531" s="7"/>
      <c r="AQ531" s="9">
        <v>8</v>
      </c>
      <c r="AR531" s="9">
        <f t="shared" si="349"/>
        <v>1510</v>
      </c>
      <c r="AS531" s="7">
        <f t="shared" si="320"/>
        <v>364</v>
      </c>
      <c r="AT531" s="7"/>
      <c r="AU531" s="16"/>
      <c r="AV531" s="7"/>
      <c r="AW531" s="7"/>
      <c r="AX531" s="7"/>
      <c r="AZ531" s="7"/>
      <c r="BA531" s="9">
        <f t="shared" si="323"/>
        <v>2296593.3600000031</v>
      </c>
      <c r="BC531" s="5" t="e">
        <f t="shared" si="350"/>
        <v>#N/A</v>
      </c>
      <c r="BR531" s="5">
        <v>3203033</v>
      </c>
      <c r="BS531" s="18">
        <f>[1]monsters!$N531</f>
        <v>80.64</v>
      </c>
      <c r="BT531" s="18">
        <f>[1]monsters!$O531</f>
        <v>8.06</v>
      </c>
      <c r="BU531" s="18">
        <f>[1]monsters!$P531</f>
        <v>1280</v>
      </c>
      <c r="BV531" s="18">
        <f>[1]monsters!$Q531</f>
        <v>128</v>
      </c>
      <c r="BW531" s="18">
        <f>[1]monsters!$R531</f>
        <v>16.13</v>
      </c>
      <c r="BX531" s="18">
        <f>[1]monsters!$S531</f>
        <v>1.61</v>
      </c>
      <c r="BY531" s="18">
        <f>[1]monsters!$K531</f>
        <v>1.4</v>
      </c>
      <c r="BZ531" s="5">
        <f>[1]monsters!$D531</f>
        <v>2</v>
      </c>
      <c r="CA531" s="5">
        <f t="shared" si="351"/>
        <v>0.1</v>
      </c>
      <c r="CB531" s="5">
        <f t="shared" si="352"/>
        <v>119.30244309764311</v>
      </c>
      <c r="CC531" s="5">
        <f t="shared" si="353"/>
        <v>11.930244309764312</v>
      </c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>
        <v>0</v>
      </c>
      <c r="CR531" s="3" t="b">
        <f t="shared" si="325"/>
        <v>1</v>
      </c>
      <c r="CS531" s="3" t="b">
        <f t="shared" si="326"/>
        <v>1</v>
      </c>
      <c r="CT531" s="3" t="b">
        <f t="shared" si="327"/>
        <v>1</v>
      </c>
      <c r="CU531" s="3" t="b">
        <f t="shared" si="328"/>
        <v>1</v>
      </c>
      <c r="CV531" s="3" t="b">
        <f t="shared" si="329"/>
        <v>1</v>
      </c>
      <c r="CW531" s="3" t="b">
        <f t="shared" si="330"/>
        <v>1</v>
      </c>
      <c r="CX531" s="9" t="str">
        <f t="shared" si="331"/>
        <v>5201134</v>
      </c>
      <c r="CY531" s="9" t="str">
        <f t="shared" si="332"/>
        <v>5301131</v>
      </c>
      <c r="CZ531" s="9" t="str">
        <f t="shared" si="333"/>
        <v>5201134</v>
      </c>
      <c r="DA531" s="9" t="str">
        <f t="shared" si="334"/>
        <v>5501134</v>
      </c>
      <c r="DB531" s="9" t="str">
        <f t="shared" si="335"/>
        <v>5500133</v>
      </c>
      <c r="DC531" s="9" t="str">
        <f t="shared" si="336"/>
        <v>5501134</v>
      </c>
      <c r="DD531" s="9">
        <v>13</v>
      </c>
      <c r="DE531" s="9">
        <v>13</v>
      </c>
      <c r="DF531" s="9">
        <v>13</v>
      </c>
      <c r="DG531" s="9">
        <v>13</v>
      </c>
      <c r="DH531" s="9">
        <v>13</v>
      </c>
      <c r="DI531" s="9">
        <v>13</v>
      </c>
      <c r="DJ531" s="9">
        <v>5</v>
      </c>
      <c r="DK531" s="9">
        <v>5</v>
      </c>
      <c r="DL531" s="9">
        <v>5</v>
      </c>
      <c r="DM531" s="9">
        <v>5</v>
      </c>
      <c r="DN531" s="9">
        <v>5</v>
      </c>
      <c r="DO531" s="9">
        <v>5</v>
      </c>
      <c r="DP531" s="27" t="s">
        <v>217</v>
      </c>
      <c r="DQ531" s="27" t="s">
        <v>107</v>
      </c>
      <c r="DR531" s="27" t="s">
        <v>217</v>
      </c>
      <c r="DS531" s="27" t="s">
        <v>214</v>
      </c>
      <c r="DT531" s="27" t="s">
        <v>207</v>
      </c>
      <c r="DU531" s="27" t="s">
        <v>214</v>
      </c>
      <c r="DV531" s="25">
        <f t="shared" si="337"/>
        <v>1</v>
      </c>
      <c r="DW531" s="25">
        <f t="shared" si="338"/>
        <v>1</v>
      </c>
      <c r="DX531" s="25">
        <f t="shared" si="339"/>
        <v>1</v>
      </c>
      <c r="DY531" s="25">
        <f t="shared" si="340"/>
        <v>2</v>
      </c>
      <c r="DZ531" s="25">
        <f t="shared" si="341"/>
        <v>2</v>
      </c>
      <c r="EA531" s="3">
        <f t="shared" si="342"/>
        <v>2</v>
      </c>
      <c r="EB531" s="29"/>
    </row>
    <row r="532" spans="1:132" ht="13.5" customHeight="1">
      <c r="A532" s="9">
        <v>529</v>
      </c>
      <c r="B532" s="9">
        <v>1</v>
      </c>
      <c r="C532" s="9">
        <v>2001</v>
      </c>
      <c r="D532" s="9">
        <f t="shared" si="357"/>
        <v>22927343</v>
      </c>
      <c r="E532" s="9" t="str">
        <f t="shared" si="354"/>
        <v>5302135,5202135,5202135,5401133,5402132,5401133</v>
      </c>
      <c r="F532" s="9" t="str">
        <f t="shared" si="355"/>
        <v>13,13,13,13,13,13</v>
      </c>
      <c r="G532" s="9" t="str">
        <f t="shared" si="356"/>
        <v>1108,1198,1198,1198,1198,1198</v>
      </c>
      <c r="H532" s="9">
        <v>251</v>
      </c>
      <c r="I532" s="9" t="s">
        <v>278</v>
      </c>
      <c r="J532" s="9" t="s">
        <v>279</v>
      </c>
      <c r="K532" s="9" t="s">
        <v>279</v>
      </c>
      <c r="L532" s="9" t="s">
        <v>279</v>
      </c>
      <c r="M532" s="36" t="s">
        <v>314</v>
      </c>
      <c r="N532" s="40"/>
      <c r="O532" s="3">
        <f t="shared" si="322"/>
        <v>22927343</v>
      </c>
      <c r="P532" s="9">
        <v>17369199.59</v>
      </c>
      <c r="Q532" s="9">
        <v>5302135</v>
      </c>
      <c r="R532" s="9">
        <v>5202135</v>
      </c>
      <c r="S532" s="9">
        <v>5202135</v>
      </c>
      <c r="T532" s="9">
        <v>5401133</v>
      </c>
      <c r="U532" s="9">
        <v>5402132</v>
      </c>
      <c r="V532" s="9">
        <v>5401133</v>
      </c>
      <c r="W532" s="9">
        <v>13</v>
      </c>
      <c r="X532" s="9">
        <v>13</v>
      </c>
      <c r="Y532" s="9">
        <v>13</v>
      </c>
      <c r="Z532" s="9">
        <v>13</v>
      </c>
      <c r="AA532" s="9">
        <v>13</v>
      </c>
      <c r="AB532" s="9">
        <v>13</v>
      </c>
      <c r="AC532" s="9">
        <f t="shared" si="343"/>
        <v>1108</v>
      </c>
      <c r="AD532" s="9">
        <f t="shared" si="344"/>
        <v>1198</v>
      </c>
      <c r="AE532" s="9">
        <f t="shared" si="345"/>
        <v>1198</v>
      </c>
      <c r="AF532" s="9">
        <f t="shared" si="346"/>
        <v>1198</v>
      </c>
      <c r="AG532" s="9">
        <f t="shared" si="347"/>
        <v>1198</v>
      </c>
      <c r="AH532" s="9">
        <f t="shared" si="348"/>
        <v>1198</v>
      </c>
      <c r="AI532" s="7">
        <f t="shared" si="324"/>
        <v>2894866.5983333332</v>
      </c>
      <c r="AJ532" s="7">
        <f t="shared" si="324"/>
        <v>2894866.5983333332</v>
      </c>
      <c r="AK532" s="7">
        <f t="shared" si="324"/>
        <v>2894866.5983333332</v>
      </c>
      <c r="AL532" s="7">
        <f t="shared" si="324"/>
        <v>2894866.5983333332</v>
      </c>
      <c r="AM532" s="7">
        <f t="shared" si="324"/>
        <v>2894866.5983333332</v>
      </c>
      <c r="AN532" s="7">
        <f t="shared" si="324"/>
        <v>2894866.5983333332</v>
      </c>
      <c r="AO532" s="16"/>
      <c r="AP532" s="7"/>
      <c r="AQ532" s="9">
        <v>8</v>
      </c>
      <c r="AR532" s="9">
        <f t="shared" si="349"/>
        <v>1512</v>
      </c>
      <c r="AS532" s="7">
        <f t="shared" si="320"/>
        <v>364</v>
      </c>
      <c r="AT532" s="7"/>
      <c r="AU532" s="16"/>
      <c r="AV532" s="7"/>
      <c r="AW532" s="7"/>
      <c r="AX532" s="7"/>
      <c r="AZ532" s="7"/>
      <c r="BA532" s="9">
        <f t="shared" si="323"/>
        <v>2307185.9800000032</v>
      </c>
      <c r="BC532" s="5" t="e">
        <f t="shared" si="350"/>
        <v>#N/A</v>
      </c>
      <c r="BR532" s="5">
        <v>3403033</v>
      </c>
      <c r="BS532" s="18">
        <f>[1]monsters!$N532</f>
        <v>133.12</v>
      </c>
      <c r="BT532" s="18">
        <f>[1]monsters!$O532</f>
        <v>13.31</v>
      </c>
      <c r="BU532" s="18">
        <f>[1]monsters!$P532</f>
        <v>886.15</v>
      </c>
      <c r="BV532" s="18">
        <f>[1]monsters!$Q532</f>
        <v>88.62</v>
      </c>
      <c r="BW532" s="18">
        <f>[1]monsters!$R532</f>
        <v>13.31</v>
      </c>
      <c r="BX532" s="18">
        <f>[1]monsters!$S532</f>
        <v>1.33</v>
      </c>
      <c r="BY532" s="18">
        <f>[1]monsters!$K532</f>
        <v>1.6</v>
      </c>
      <c r="BZ532" s="5">
        <f>[1]monsters!$D532</f>
        <v>4</v>
      </c>
      <c r="CA532" s="5">
        <f t="shared" si="351"/>
        <v>0.1</v>
      </c>
      <c r="CB532" s="5">
        <f t="shared" si="352"/>
        <v>155.63510033670036</v>
      </c>
      <c r="CC532" s="5">
        <f t="shared" si="353"/>
        <v>15.563510033670036</v>
      </c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>
        <v>0</v>
      </c>
      <c r="CR532" s="3" t="b">
        <f t="shared" si="325"/>
        <v>1</v>
      </c>
      <c r="CS532" s="3" t="b">
        <f t="shared" si="326"/>
        <v>1</v>
      </c>
      <c r="CT532" s="3" t="b">
        <f t="shared" si="327"/>
        <v>1</v>
      </c>
      <c r="CU532" s="3" t="b">
        <f t="shared" si="328"/>
        <v>1</v>
      </c>
      <c r="CV532" s="3" t="b">
        <f t="shared" si="329"/>
        <v>1</v>
      </c>
      <c r="CW532" s="3" t="b">
        <f t="shared" si="330"/>
        <v>1</v>
      </c>
      <c r="CX532" s="9" t="str">
        <f t="shared" si="331"/>
        <v>5302135</v>
      </c>
      <c r="CY532" s="9" t="str">
        <f t="shared" si="332"/>
        <v>5202135</v>
      </c>
      <c r="CZ532" s="9" t="str">
        <f t="shared" si="333"/>
        <v>5202135</v>
      </c>
      <c r="DA532" s="9" t="str">
        <f t="shared" si="334"/>
        <v>5401133</v>
      </c>
      <c r="DB532" s="9" t="str">
        <f t="shared" si="335"/>
        <v>5402132</v>
      </c>
      <c r="DC532" s="9" t="str">
        <f t="shared" si="336"/>
        <v>5401133</v>
      </c>
      <c r="DD532" s="9">
        <v>13</v>
      </c>
      <c r="DE532" s="9">
        <v>13</v>
      </c>
      <c r="DF532" s="9">
        <v>13</v>
      </c>
      <c r="DG532" s="9">
        <v>13</v>
      </c>
      <c r="DH532" s="9">
        <v>13</v>
      </c>
      <c r="DI532" s="9">
        <v>13</v>
      </c>
      <c r="DJ532" s="9">
        <v>5</v>
      </c>
      <c r="DK532" s="9">
        <v>5</v>
      </c>
      <c r="DL532" s="9">
        <v>5</v>
      </c>
      <c r="DM532" s="9">
        <v>5</v>
      </c>
      <c r="DN532" s="9">
        <v>5</v>
      </c>
      <c r="DO532" s="9">
        <v>5</v>
      </c>
      <c r="DP532" s="25" t="s">
        <v>221</v>
      </c>
      <c r="DQ532" s="25" t="s">
        <v>213</v>
      </c>
      <c r="DR532" s="25" t="s">
        <v>213</v>
      </c>
      <c r="DS532" s="25" t="s">
        <v>211</v>
      </c>
      <c r="DT532" s="25" t="s">
        <v>203</v>
      </c>
      <c r="DU532" s="25" t="s">
        <v>211</v>
      </c>
      <c r="DV532" s="25">
        <f t="shared" si="337"/>
        <v>1</v>
      </c>
      <c r="DW532" s="25">
        <f t="shared" si="338"/>
        <v>1</v>
      </c>
      <c r="DX532" s="25">
        <f t="shared" si="339"/>
        <v>1</v>
      </c>
      <c r="DY532" s="25">
        <f t="shared" si="340"/>
        <v>2</v>
      </c>
      <c r="DZ532" s="25">
        <f t="shared" si="341"/>
        <v>2</v>
      </c>
      <c r="EA532" s="3">
        <f t="shared" si="342"/>
        <v>2</v>
      </c>
      <c r="EB532" s="29"/>
    </row>
    <row r="533" spans="1:132" ht="13.5" customHeight="1">
      <c r="A533" s="9">
        <v>530</v>
      </c>
      <c r="B533" s="9">
        <v>1</v>
      </c>
      <c r="C533" s="9">
        <v>2001</v>
      </c>
      <c r="D533" s="9">
        <f t="shared" si="357"/>
        <v>22994815</v>
      </c>
      <c r="E533" s="9" t="str">
        <f t="shared" si="354"/>
        <v>5202133,5202133,5202133,5400135,5501135,5400135</v>
      </c>
      <c r="F533" s="9" t="str">
        <f t="shared" si="355"/>
        <v>13,13,13,13,13,13</v>
      </c>
      <c r="G533" s="9" t="str">
        <f t="shared" si="356"/>
        <v>1110,1200,1200,1200,1200,1200</v>
      </c>
      <c r="H533" s="9">
        <v>252</v>
      </c>
      <c r="I533" s="9" t="s">
        <v>278</v>
      </c>
      <c r="J533" s="9" t="s">
        <v>279</v>
      </c>
      <c r="K533" s="9" t="s">
        <v>279</v>
      </c>
      <c r="L533" s="9" t="s">
        <v>279</v>
      </c>
      <c r="M533" s="36" t="s">
        <v>314</v>
      </c>
      <c r="O533" s="3">
        <f t="shared" si="322"/>
        <v>22994815</v>
      </c>
      <c r="P533" s="9">
        <v>17420314.73</v>
      </c>
      <c r="Q533" s="9">
        <v>5202133</v>
      </c>
      <c r="R533" s="9">
        <v>5202133</v>
      </c>
      <c r="S533" s="9">
        <v>5202133</v>
      </c>
      <c r="T533" s="9">
        <v>5400135</v>
      </c>
      <c r="U533" s="9">
        <v>5501135</v>
      </c>
      <c r="V533" s="9">
        <v>5400135</v>
      </c>
      <c r="W533" s="9">
        <v>13</v>
      </c>
      <c r="X533" s="9">
        <v>13</v>
      </c>
      <c r="Y533" s="9">
        <v>13</v>
      </c>
      <c r="Z533" s="9">
        <v>13</v>
      </c>
      <c r="AA533" s="9">
        <v>13</v>
      </c>
      <c r="AB533" s="9">
        <v>13</v>
      </c>
      <c r="AC533" s="9">
        <f t="shared" si="343"/>
        <v>1110</v>
      </c>
      <c r="AD533" s="9">
        <f t="shared" si="344"/>
        <v>1200</v>
      </c>
      <c r="AE533" s="9">
        <f t="shared" si="345"/>
        <v>1200</v>
      </c>
      <c r="AF533" s="9">
        <f t="shared" si="346"/>
        <v>1200</v>
      </c>
      <c r="AG533" s="9">
        <f t="shared" si="347"/>
        <v>1200</v>
      </c>
      <c r="AH533" s="9">
        <f t="shared" si="348"/>
        <v>1200</v>
      </c>
      <c r="AI533" s="7">
        <f t="shared" si="324"/>
        <v>2903385.7883333336</v>
      </c>
      <c r="AJ533" s="7">
        <f t="shared" si="324"/>
        <v>2903385.7883333336</v>
      </c>
      <c r="AK533" s="7">
        <f t="shared" si="324"/>
        <v>2903385.7883333336</v>
      </c>
      <c r="AL533" s="7">
        <f t="shared" si="324"/>
        <v>2903385.7883333336</v>
      </c>
      <c r="AM533" s="7">
        <f t="shared" si="324"/>
        <v>2903385.7883333336</v>
      </c>
      <c r="AN533" s="7">
        <f t="shared" si="324"/>
        <v>2903385.7883333336</v>
      </c>
      <c r="AO533" s="16"/>
      <c r="AP533" s="7"/>
      <c r="AQ533" s="9">
        <v>8</v>
      </c>
      <c r="AR533" s="9">
        <f t="shared" si="349"/>
        <v>1514</v>
      </c>
      <c r="AS533" s="7">
        <f t="shared" si="320"/>
        <v>365</v>
      </c>
      <c r="AT533" s="7"/>
      <c r="AU533" s="16"/>
      <c r="AV533" s="7"/>
      <c r="AW533" s="7"/>
      <c r="AX533" s="7"/>
      <c r="AZ533" s="7"/>
      <c r="BA533" s="9">
        <f t="shared" si="323"/>
        <v>2317778.6000000034</v>
      </c>
      <c r="BC533" s="5" t="e">
        <f t="shared" si="350"/>
        <v>#N/A</v>
      </c>
      <c r="BR533" s="5">
        <v>3204033</v>
      </c>
      <c r="BS533" s="18">
        <f>[1]monsters!$N533</f>
        <v>122.88</v>
      </c>
      <c r="BT533" s="18">
        <f>[1]monsters!$O533</f>
        <v>12.29</v>
      </c>
      <c r="BU533" s="18">
        <f>[1]monsters!$P533</f>
        <v>960</v>
      </c>
      <c r="BV533" s="18">
        <f>[1]monsters!$Q533</f>
        <v>96</v>
      </c>
      <c r="BW533" s="18">
        <f>[1]monsters!$R533</f>
        <v>20.48</v>
      </c>
      <c r="BX533" s="18">
        <f>[1]monsters!$S533</f>
        <v>2.0499999999999998</v>
      </c>
      <c r="BY533" s="18">
        <f>[1]monsters!$K533</f>
        <v>1.6</v>
      </c>
      <c r="BZ533" s="5">
        <f>[1]monsters!$D533</f>
        <v>5</v>
      </c>
      <c r="CA533" s="5">
        <f t="shared" si="351"/>
        <v>0.1</v>
      </c>
      <c r="CB533" s="5">
        <f t="shared" si="352"/>
        <v>148.44483232323233</v>
      </c>
      <c r="CC533" s="5">
        <f t="shared" si="353"/>
        <v>14.844483232323235</v>
      </c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>
        <v>1</v>
      </c>
      <c r="CR533" s="3" t="b">
        <f t="shared" si="325"/>
        <v>1</v>
      </c>
      <c r="CS533" s="3" t="b">
        <f t="shared" si="326"/>
        <v>1</v>
      </c>
      <c r="CT533" s="3" t="b">
        <f t="shared" si="327"/>
        <v>1</v>
      </c>
      <c r="CU533" s="3" t="b">
        <f t="shared" si="328"/>
        <v>1</v>
      </c>
      <c r="CV533" s="3" t="b">
        <f t="shared" si="329"/>
        <v>1</v>
      </c>
      <c r="CW533" s="3" t="b">
        <f t="shared" si="330"/>
        <v>1</v>
      </c>
      <c r="CX533" s="9" t="str">
        <f t="shared" si="331"/>
        <v>5202133</v>
      </c>
      <c r="CY533" s="9" t="str">
        <f t="shared" si="332"/>
        <v>5202133</v>
      </c>
      <c r="CZ533" s="9" t="str">
        <f t="shared" si="333"/>
        <v>5202133</v>
      </c>
      <c r="DA533" s="9" t="str">
        <f t="shared" si="334"/>
        <v>5400135</v>
      </c>
      <c r="DB533" s="9" t="str">
        <f t="shared" si="335"/>
        <v>5501135</v>
      </c>
      <c r="DC533" s="9" t="str">
        <f t="shared" si="336"/>
        <v>5400135</v>
      </c>
      <c r="DD533" s="9">
        <v>13</v>
      </c>
      <c r="DE533" s="9">
        <v>13</v>
      </c>
      <c r="DF533" s="9">
        <v>13</v>
      </c>
      <c r="DG533" s="9">
        <v>13</v>
      </c>
      <c r="DH533" s="9">
        <v>13</v>
      </c>
      <c r="DI533" s="9">
        <v>13</v>
      </c>
      <c r="DJ533" s="9">
        <v>5</v>
      </c>
      <c r="DK533" s="9">
        <v>5</v>
      </c>
      <c r="DL533" s="9">
        <v>5</v>
      </c>
      <c r="DM533" s="9">
        <v>5</v>
      </c>
      <c r="DN533" s="9">
        <v>5</v>
      </c>
      <c r="DO533" s="9">
        <v>5</v>
      </c>
      <c r="DP533" s="25" t="s">
        <v>208</v>
      </c>
      <c r="DQ533" s="25" t="s">
        <v>208</v>
      </c>
      <c r="DR533" s="25" t="s">
        <v>208</v>
      </c>
      <c r="DS533" s="25" t="s">
        <v>210</v>
      </c>
      <c r="DT533" s="25" t="s">
        <v>209</v>
      </c>
      <c r="DU533" s="25" t="s">
        <v>210</v>
      </c>
      <c r="DV533" s="25">
        <f t="shared" si="337"/>
        <v>1</v>
      </c>
      <c r="DW533" s="25">
        <f t="shared" si="338"/>
        <v>1</v>
      </c>
      <c r="DX533" s="25">
        <f t="shared" si="339"/>
        <v>1</v>
      </c>
      <c r="DY533" s="25">
        <f t="shared" si="340"/>
        <v>2</v>
      </c>
      <c r="DZ533" s="25">
        <f t="shared" si="341"/>
        <v>2</v>
      </c>
      <c r="EA533" s="3">
        <f t="shared" si="342"/>
        <v>2</v>
      </c>
      <c r="EB533" s="29"/>
    </row>
    <row r="534" spans="1:132" ht="13.5" customHeight="1">
      <c r="A534" s="9">
        <v>531</v>
      </c>
      <c r="B534" s="9">
        <v>1</v>
      </c>
      <c r="C534" s="9">
        <v>2001</v>
      </c>
      <c r="D534" s="9">
        <f t="shared" si="357"/>
        <v>23062385</v>
      </c>
      <c r="E534" s="9" t="str">
        <f t="shared" si="354"/>
        <v>5201131,5201132,5200131,5601131,5500133,5501134</v>
      </c>
      <c r="F534" s="9" t="str">
        <f t="shared" si="355"/>
        <v>13,13,13,13,13,13</v>
      </c>
      <c r="G534" s="9" t="str">
        <f t="shared" si="356"/>
        <v>1112,1202,1202,1202,1202,1202</v>
      </c>
      <c r="H534" s="9">
        <v>252</v>
      </c>
      <c r="I534" s="9" t="s">
        <v>278</v>
      </c>
      <c r="J534" s="9" t="s">
        <v>279</v>
      </c>
      <c r="K534" s="9" t="s">
        <v>279</v>
      </c>
      <c r="L534" s="9" t="s">
        <v>279</v>
      </c>
      <c r="M534" s="36" t="s">
        <v>314</v>
      </c>
      <c r="N534" s="40"/>
      <c r="O534" s="3">
        <f t="shared" si="322"/>
        <v>23062385</v>
      </c>
      <c r="P534" s="9">
        <v>17471503.5</v>
      </c>
      <c r="Q534" s="9">
        <v>5201131</v>
      </c>
      <c r="R534" s="9">
        <v>5201132</v>
      </c>
      <c r="S534" s="9">
        <v>5200131</v>
      </c>
      <c r="T534" s="9">
        <v>5601131</v>
      </c>
      <c r="U534" s="9">
        <v>5500133</v>
      </c>
      <c r="V534" s="9">
        <v>5501134</v>
      </c>
      <c r="W534" s="9">
        <v>13</v>
      </c>
      <c r="X534" s="9">
        <v>13</v>
      </c>
      <c r="Y534" s="9">
        <v>13</v>
      </c>
      <c r="Z534" s="9">
        <v>13</v>
      </c>
      <c r="AA534" s="9">
        <v>13</v>
      </c>
      <c r="AB534" s="9">
        <v>13</v>
      </c>
      <c r="AC534" s="9">
        <f t="shared" si="343"/>
        <v>1112</v>
      </c>
      <c r="AD534" s="9">
        <f t="shared" si="344"/>
        <v>1202</v>
      </c>
      <c r="AE534" s="9">
        <f t="shared" si="345"/>
        <v>1202</v>
      </c>
      <c r="AF534" s="9">
        <f t="shared" si="346"/>
        <v>1202</v>
      </c>
      <c r="AG534" s="9">
        <f t="shared" si="347"/>
        <v>1202</v>
      </c>
      <c r="AH534" s="9">
        <f t="shared" si="348"/>
        <v>1202</v>
      </c>
      <c r="AI534" s="7">
        <f t="shared" si="324"/>
        <v>2911917.25</v>
      </c>
      <c r="AJ534" s="7">
        <f t="shared" si="324"/>
        <v>2911917.25</v>
      </c>
      <c r="AK534" s="7">
        <f t="shared" si="324"/>
        <v>2911917.25</v>
      </c>
      <c r="AL534" s="7">
        <f t="shared" si="324"/>
        <v>2911917.25</v>
      </c>
      <c r="AM534" s="7">
        <f t="shared" si="324"/>
        <v>2911917.25</v>
      </c>
      <c r="AN534" s="7">
        <f t="shared" si="324"/>
        <v>2911917.25</v>
      </c>
      <c r="AO534" s="16"/>
      <c r="AP534" s="7"/>
      <c r="AQ534" s="9">
        <v>8</v>
      </c>
      <c r="AR534" s="9">
        <f t="shared" si="349"/>
        <v>1516</v>
      </c>
      <c r="AS534" s="7">
        <f t="shared" si="320"/>
        <v>365</v>
      </c>
      <c r="AT534" s="7"/>
      <c r="AU534" s="16"/>
      <c r="AV534" s="7"/>
      <c r="AW534" s="7"/>
      <c r="AX534" s="7"/>
      <c r="AZ534" s="7"/>
      <c r="BA534" s="9">
        <f t="shared" si="323"/>
        <v>2328371.2200000035</v>
      </c>
      <c r="BC534" s="5" t="e">
        <f t="shared" si="350"/>
        <v>#N/A</v>
      </c>
      <c r="BR534" s="5">
        <v>3404033</v>
      </c>
      <c r="BS534" s="18">
        <f>[1]monsters!$N534</f>
        <v>103.04</v>
      </c>
      <c r="BT534" s="18">
        <f>[1]monsters!$O534</f>
        <v>10.3</v>
      </c>
      <c r="BU534" s="18">
        <f>[1]monsters!$P534</f>
        <v>1001.74</v>
      </c>
      <c r="BV534" s="18">
        <f>[1]monsters!$Q534</f>
        <v>100.17</v>
      </c>
      <c r="BW534" s="18">
        <f>[1]monsters!$R534</f>
        <v>12.88</v>
      </c>
      <c r="BX534" s="18">
        <f>[1]monsters!$S534</f>
        <v>1.29</v>
      </c>
      <c r="BY534" s="18">
        <f>[1]monsters!$K534</f>
        <v>1.4</v>
      </c>
      <c r="BZ534" s="5">
        <f>[1]monsters!$D534</f>
        <v>3</v>
      </c>
      <c r="CA534" s="5">
        <f t="shared" si="351"/>
        <v>0.1</v>
      </c>
      <c r="CB534" s="5">
        <f t="shared" si="352"/>
        <v>131.10141952861954</v>
      </c>
      <c r="CC534" s="5">
        <f t="shared" si="353"/>
        <v>13.110141952861955</v>
      </c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>
        <v>0</v>
      </c>
      <c r="CR534" s="3" t="b">
        <f t="shared" si="325"/>
        <v>1</v>
      </c>
      <c r="CS534" s="3" t="b">
        <f t="shared" si="326"/>
        <v>1</v>
      </c>
      <c r="CT534" s="3" t="b">
        <f t="shared" si="327"/>
        <v>1</v>
      </c>
      <c r="CU534" s="3" t="b">
        <f t="shared" si="328"/>
        <v>1</v>
      </c>
      <c r="CV534" s="3" t="b">
        <f t="shared" si="329"/>
        <v>1</v>
      </c>
      <c r="CW534" s="3" t="b">
        <f t="shared" si="330"/>
        <v>1</v>
      </c>
      <c r="CX534" s="9" t="str">
        <f t="shared" si="331"/>
        <v>5201131</v>
      </c>
      <c r="CY534" s="9" t="str">
        <f t="shared" si="332"/>
        <v>5201132</v>
      </c>
      <c r="CZ534" s="9" t="str">
        <f t="shared" si="333"/>
        <v>5200131</v>
      </c>
      <c r="DA534" s="9" t="str">
        <f t="shared" si="334"/>
        <v>5601131</v>
      </c>
      <c r="DB534" s="9" t="str">
        <f t="shared" si="335"/>
        <v>5500133</v>
      </c>
      <c r="DC534" s="9" t="str">
        <f t="shared" si="336"/>
        <v>5501134</v>
      </c>
      <c r="DD534" s="9">
        <v>13</v>
      </c>
      <c r="DE534" s="9">
        <v>13</v>
      </c>
      <c r="DF534" s="9">
        <v>13</v>
      </c>
      <c r="DG534" s="9">
        <v>13</v>
      </c>
      <c r="DH534" s="9">
        <v>13</v>
      </c>
      <c r="DI534" s="9">
        <v>13</v>
      </c>
      <c r="DJ534" s="9">
        <v>5</v>
      </c>
      <c r="DK534" s="9">
        <v>5</v>
      </c>
      <c r="DL534" s="9">
        <v>5</v>
      </c>
      <c r="DM534" s="9">
        <v>5</v>
      </c>
      <c r="DN534" s="9">
        <v>5</v>
      </c>
      <c r="DO534" s="9">
        <v>5</v>
      </c>
      <c r="DP534" s="25" t="s">
        <v>195</v>
      </c>
      <c r="DQ534" s="25" t="s">
        <v>114</v>
      </c>
      <c r="DR534" s="25" t="s">
        <v>194</v>
      </c>
      <c r="DS534" s="25" t="s">
        <v>198</v>
      </c>
      <c r="DT534" s="25" t="s">
        <v>207</v>
      </c>
      <c r="DU534" s="25" t="s">
        <v>214</v>
      </c>
      <c r="DV534" s="25">
        <f t="shared" si="337"/>
        <v>1</v>
      </c>
      <c r="DW534" s="25">
        <f t="shared" si="338"/>
        <v>1</v>
      </c>
      <c r="DX534" s="25">
        <f t="shared" si="339"/>
        <v>1</v>
      </c>
      <c r="DY534" s="25">
        <f t="shared" si="340"/>
        <v>2</v>
      </c>
      <c r="DZ534" s="25">
        <f t="shared" si="341"/>
        <v>2</v>
      </c>
      <c r="EA534" s="3">
        <f t="shared" si="342"/>
        <v>2</v>
      </c>
      <c r="EB534" s="30"/>
    </row>
    <row r="535" spans="1:132" ht="13.5" customHeight="1">
      <c r="A535" s="9">
        <v>532</v>
      </c>
      <c r="B535" s="9">
        <v>1</v>
      </c>
      <c r="C535" s="9">
        <v>2001</v>
      </c>
      <c r="D535" s="9">
        <f t="shared" si="357"/>
        <v>23130054</v>
      </c>
      <c r="E535" s="9" t="str">
        <f t="shared" si="354"/>
        <v>5300135,5202135,5202135,5400135,5400135,5400135</v>
      </c>
      <c r="F535" s="9" t="str">
        <f t="shared" si="355"/>
        <v>13,13,13,13,13,13</v>
      </c>
      <c r="G535" s="9" t="str">
        <f t="shared" si="356"/>
        <v>1113,1203,1203,1203,1203,1203</v>
      </c>
      <c r="H535" s="9">
        <v>252</v>
      </c>
      <c r="I535" s="9" t="s">
        <v>278</v>
      </c>
      <c r="J535" s="9" t="s">
        <v>279</v>
      </c>
      <c r="K535" s="9" t="s">
        <v>279</v>
      </c>
      <c r="L535" s="9" t="s">
        <v>279</v>
      </c>
      <c r="M535" s="36" t="s">
        <v>314</v>
      </c>
      <c r="N535" s="40"/>
      <c r="O535" s="3">
        <f t="shared" si="322"/>
        <v>23130054</v>
      </c>
      <c r="P535" s="9">
        <v>17522767.890000001</v>
      </c>
      <c r="Q535" s="9">
        <v>5300135</v>
      </c>
      <c r="R535" s="9">
        <v>5202135</v>
      </c>
      <c r="S535" s="9">
        <v>5202135</v>
      </c>
      <c r="T535" s="9">
        <v>5400135</v>
      </c>
      <c r="U535" s="9">
        <v>5400135</v>
      </c>
      <c r="V535" s="9">
        <v>5400135</v>
      </c>
      <c r="W535" s="9">
        <v>13</v>
      </c>
      <c r="X535" s="9">
        <v>13</v>
      </c>
      <c r="Y535" s="9">
        <v>13</v>
      </c>
      <c r="Z535" s="9">
        <v>13</v>
      </c>
      <c r="AA535" s="9">
        <v>13</v>
      </c>
      <c r="AB535" s="9">
        <v>13</v>
      </c>
      <c r="AC535" s="9">
        <f t="shared" si="343"/>
        <v>1113</v>
      </c>
      <c r="AD535" s="9">
        <f t="shared" si="344"/>
        <v>1203</v>
      </c>
      <c r="AE535" s="9">
        <f t="shared" si="345"/>
        <v>1203</v>
      </c>
      <c r="AF535" s="9">
        <f t="shared" si="346"/>
        <v>1203</v>
      </c>
      <c r="AG535" s="9">
        <f t="shared" si="347"/>
        <v>1203</v>
      </c>
      <c r="AH535" s="9">
        <f t="shared" si="348"/>
        <v>1203</v>
      </c>
      <c r="AI535" s="7">
        <f t="shared" si="324"/>
        <v>2920461.3149999999</v>
      </c>
      <c r="AJ535" s="7">
        <f t="shared" si="324"/>
        <v>2920461.3149999999</v>
      </c>
      <c r="AK535" s="7">
        <f t="shared" si="324"/>
        <v>2920461.3149999999</v>
      </c>
      <c r="AL535" s="7">
        <f t="shared" si="324"/>
        <v>2920461.3149999999</v>
      </c>
      <c r="AM535" s="7">
        <f t="shared" si="324"/>
        <v>2920461.3149999999</v>
      </c>
      <c r="AN535" s="7">
        <f t="shared" si="324"/>
        <v>2920461.3149999999</v>
      </c>
      <c r="AO535" s="16"/>
      <c r="AP535" s="7"/>
      <c r="AQ535" s="9">
        <v>8</v>
      </c>
      <c r="AR535" s="9">
        <f t="shared" si="349"/>
        <v>1519</v>
      </c>
      <c r="AS535" s="7">
        <f t="shared" si="320"/>
        <v>366</v>
      </c>
      <c r="AT535" s="7"/>
      <c r="AU535" s="16"/>
      <c r="AV535" s="7"/>
      <c r="AW535" s="7"/>
      <c r="AX535" s="7"/>
      <c r="AZ535" s="7"/>
      <c r="BA535" s="9">
        <f t="shared" si="323"/>
        <v>2338963.8400000036</v>
      </c>
      <c r="BC535" s="5" t="e">
        <f t="shared" si="350"/>
        <v>#N/A</v>
      </c>
      <c r="BR535" s="5">
        <v>3303033</v>
      </c>
      <c r="BS535" s="18">
        <f>[1]monsters!$N535</f>
        <v>74.88</v>
      </c>
      <c r="BT535" s="18">
        <f>[1]monsters!$O535</f>
        <v>7.49</v>
      </c>
      <c r="BU535" s="18">
        <f>[1]monsters!$P535</f>
        <v>1280</v>
      </c>
      <c r="BV535" s="18">
        <f>[1]monsters!$Q535</f>
        <v>128</v>
      </c>
      <c r="BW535" s="18">
        <f>[1]monsters!$R535</f>
        <v>14.98</v>
      </c>
      <c r="BX535" s="18">
        <f>[1]monsters!$S535</f>
        <v>1.5</v>
      </c>
      <c r="BY535" s="18">
        <f>[1]monsters!$K535</f>
        <v>1.3</v>
      </c>
      <c r="BZ535" s="5">
        <f>[1]monsters!$D535</f>
        <v>2</v>
      </c>
      <c r="CA535" s="5">
        <f t="shared" si="351"/>
        <v>0.1</v>
      </c>
      <c r="CB535" s="5">
        <f t="shared" si="352"/>
        <v>113.8592430976431</v>
      </c>
      <c r="CC535" s="5">
        <f t="shared" si="353"/>
        <v>11.385924309764311</v>
      </c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>
        <v>0</v>
      </c>
      <c r="CR535" s="3" t="b">
        <f t="shared" si="325"/>
        <v>1</v>
      </c>
      <c r="CS535" s="3" t="b">
        <f t="shared" si="326"/>
        <v>1</v>
      </c>
      <c r="CT535" s="3" t="b">
        <f t="shared" si="327"/>
        <v>1</v>
      </c>
      <c r="CU535" s="3" t="b">
        <f t="shared" si="328"/>
        <v>1</v>
      </c>
      <c r="CV535" s="3" t="b">
        <f t="shared" si="329"/>
        <v>1</v>
      </c>
      <c r="CW535" s="3" t="b">
        <f t="shared" si="330"/>
        <v>1</v>
      </c>
      <c r="CX535" s="9" t="str">
        <f t="shared" si="331"/>
        <v>5300135</v>
      </c>
      <c r="CY535" s="9" t="str">
        <f t="shared" si="332"/>
        <v>5202135</v>
      </c>
      <c r="CZ535" s="9" t="str">
        <f t="shared" si="333"/>
        <v>5202135</v>
      </c>
      <c r="DA535" s="9" t="str">
        <f t="shared" si="334"/>
        <v>5400135</v>
      </c>
      <c r="DB535" s="9" t="str">
        <f t="shared" si="335"/>
        <v>5400135</v>
      </c>
      <c r="DC535" s="9" t="str">
        <f t="shared" si="336"/>
        <v>5400135</v>
      </c>
      <c r="DD535" s="9">
        <v>13</v>
      </c>
      <c r="DE535" s="9">
        <v>13</v>
      </c>
      <c r="DF535" s="9">
        <v>13</v>
      </c>
      <c r="DG535" s="9">
        <v>13</v>
      </c>
      <c r="DH535" s="9">
        <v>13</v>
      </c>
      <c r="DI535" s="9">
        <v>13</v>
      </c>
      <c r="DJ535" s="9">
        <v>5</v>
      </c>
      <c r="DK535" s="9">
        <v>5</v>
      </c>
      <c r="DL535" s="9">
        <v>5</v>
      </c>
      <c r="DM535" s="9">
        <v>5</v>
      </c>
      <c r="DN535" s="9">
        <v>5</v>
      </c>
      <c r="DO535" s="9">
        <v>5</v>
      </c>
      <c r="DP535" s="25" t="s">
        <v>212</v>
      </c>
      <c r="DQ535" s="25" t="s">
        <v>213</v>
      </c>
      <c r="DR535" s="25" t="s">
        <v>213</v>
      </c>
      <c r="DS535" s="25" t="s">
        <v>210</v>
      </c>
      <c r="DT535" s="25" t="s">
        <v>210</v>
      </c>
      <c r="DU535" s="25" t="s">
        <v>210</v>
      </c>
      <c r="DV535" s="25">
        <f t="shared" si="337"/>
        <v>1</v>
      </c>
      <c r="DW535" s="25">
        <f t="shared" si="338"/>
        <v>1</v>
      </c>
      <c r="DX535" s="25">
        <f t="shared" si="339"/>
        <v>1</v>
      </c>
      <c r="DY535" s="25">
        <f t="shared" si="340"/>
        <v>2</v>
      </c>
      <c r="DZ535" s="25">
        <f t="shared" si="341"/>
        <v>2</v>
      </c>
      <c r="EA535" s="3">
        <f t="shared" si="342"/>
        <v>2</v>
      </c>
      <c r="EB535" s="29"/>
    </row>
    <row r="536" spans="1:132" ht="13.5" customHeight="1">
      <c r="A536" s="9">
        <v>533</v>
      </c>
      <c r="B536" s="9">
        <v>1</v>
      </c>
      <c r="C536" s="9">
        <v>2001</v>
      </c>
      <c r="D536" s="9">
        <f t="shared" si="357"/>
        <v>23197820</v>
      </c>
      <c r="E536" s="9" t="str">
        <f t="shared" si="354"/>
        <v>5301131,5301132,5301132,5500132,5400135,5502133</v>
      </c>
      <c r="F536" s="9" t="str">
        <f t="shared" si="355"/>
        <v>13,13,13,13,13,13</v>
      </c>
      <c r="G536" s="9" t="str">
        <f t="shared" si="356"/>
        <v>1115,1205,1205,1205,1205,1205</v>
      </c>
      <c r="H536" s="9">
        <v>253</v>
      </c>
      <c r="I536" s="9" t="s">
        <v>278</v>
      </c>
      <c r="J536" s="9" t="s">
        <v>279</v>
      </c>
      <c r="K536" s="9" t="s">
        <v>279</v>
      </c>
      <c r="L536" s="9" t="s">
        <v>279</v>
      </c>
      <c r="M536" s="36" t="s">
        <v>314</v>
      </c>
      <c r="N536" s="40"/>
      <c r="O536" s="3">
        <f t="shared" si="322"/>
        <v>23197820</v>
      </c>
      <c r="P536" s="9">
        <v>17574105.91</v>
      </c>
      <c r="Q536" s="9">
        <v>5301131</v>
      </c>
      <c r="R536" s="9">
        <v>5301132</v>
      </c>
      <c r="S536" s="9">
        <v>5301132</v>
      </c>
      <c r="T536" s="9">
        <v>5500132</v>
      </c>
      <c r="U536" s="9">
        <v>5400135</v>
      </c>
      <c r="V536" s="9">
        <v>5502133</v>
      </c>
      <c r="W536" s="9">
        <v>13</v>
      </c>
      <c r="X536" s="9">
        <v>13</v>
      </c>
      <c r="Y536" s="9">
        <v>13</v>
      </c>
      <c r="Z536" s="9">
        <v>13</v>
      </c>
      <c r="AA536" s="9">
        <v>13</v>
      </c>
      <c r="AB536" s="9">
        <v>13</v>
      </c>
      <c r="AC536" s="9">
        <f t="shared" si="343"/>
        <v>1115</v>
      </c>
      <c r="AD536" s="9">
        <f t="shared" si="344"/>
        <v>1205</v>
      </c>
      <c r="AE536" s="9">
        <f t="shared" si="345"/>
        <v>1205</v>
      </c>
      <c r="AF536" s="9">
        <f t="shared" si="346"/>
        <v>1205</v>
      </c>
      <c r="AG536" s="9">
        <f t="shared" si="347"/>
        <v>1205</v>
      </c>
      <c r="AH536" s="9">
        <f t="shared" si="348"/>
        <v>1205</v>
      </c>
      <c r="AI536" s="7">
        <f t="shared" si="324"/>
        <v>2929017.6516666668</v>
      </c>
      <c r="AJ536" s="7">
        <f t="shared" si="324"/>
        <v>2929017.6516666668</v>
      </c>
      <c r="AK536" s="7">
        <f t="shared" si="324"/>
        <v>2929017.6516666668</v>
      </c>
      <c r="AL536" s="7">
        <f t="shared" si="324"/>
        <v>2929017.6516666668</v>
      </c>
      <c r="AM536" s="7">
        <f t="shared" si="324"/>
        <v>2929017.6516666668</v>
      </c>
      <c r="AN536" s="7">
        <f t="shared" si="324"/>
        <v>2929017.6516666668</v>
      </c>
      <c r="AO536" s="16"/>
      <c r="AP536" s="7"/>
      <c r="AQ536" s="9">
        <v>8</v>
      </c>
      <c r="AR536" s="9">
        <f t="shared" si="349"/>
        <v>1521</v>
      </c>
      <c r="AS536" s="7">
        <f t="shared" si="320"/>
        <v>366</v>
      </c>
      <c r="AT536" s="7"/>
      <c r="AU536" s="16"/>
      <c r="AV536" s="7"/>
      <c r="AW536" s="7"/>
      <c r="AX536" s="7"/>
      <c r="AZ536" s="7"/>
      <c r="BA536" s="9">
        <f t="shared" si="323"/>
        <v>2349556.4600000037</v>
      </c>
      <c r="BC536" s="5" t="e">
        <f t="shared" si="350"/>
        <v>#N/A</v>
      </c>
      <c r="BR536" s="5">
        <v>3304033</v>
      </c>
      <c r="BS536" s="18">
        <f>[1]monsters!$N536</f>
        <v>99.84</v>
      </c>
      <c r="BT536" s="18">
        <f>[1]monsters!$O536</f>
        <v>9.98</v>
      </c>
      <c r="BU536" s="18">
        <f>[1]monsters!$P536</f>
        <v>960</v>
      </c>
      <c r="BV536" s="18">
        <f>[1]monsters!$Q536</f>
        <v>96</v>
      </c>
      <c r="BW536" s="18">
        <f>[1]monsters!$R536</f>
        <v>9.98</v>
      </c>
      <c r="BX536" s="18">
        <f>[1]monsters!$S536</f>
        <v>1</v>
      </c>
      <c r="BY536" s="18">
        <f>[1]monsters!$K536</f>
        <v>1.3</v>
      </c>
      <c r="BZ536" s="5">
        <f>[1]monsters!$D536</f>
        <v>4</v>
      </c>
      <c r="CA536" s="5">
        <f t="shared" si="351"/>
        <v>0.1</v>
      </c>
      <c r="CB536" s="5">
        <f t="shared" si="352"/>
        <v>126.67203232323233</v>
      </c>
      <c r="CC536" s="5">
        <f t="shared" si="353"/>
        <v>12.667203232323233</v>
      </c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>
        <v>0</v>
      </c>
      <c r="CR536" s="3" t="b">
        <f t="shared" si="325"/>
        <v>1</v>
      </c>
      <c r="CS536" s="3" t="b">
        <f t="shared" si="326"/>
        <v>1</v>
      </c>
      <c r="CT536" s="3" t="b">
        <f t="shared" si="327"/>
        <v>1</v>
      </c>
      <c r="CU536" s="3" t="b">
        <f t="shared" si="328"/>
        <v>1</v>
      </c>
      <c r="CV536" s="3" t="b">
        <f t="shared" si="329"/>
        <v>1</v>
      </c>
      <c r="CW536" s="3" t="b">
        <f t="shared" si="330"/>
        <v>1</v>
      </c>
      <c r="CX536" s="9" t="str">
        <f t="shared" si="331"/>
        <v>5301131</v>
      </c>
      <c r="CY536" s="9" t="str">
        <f t="shared" si="332"/>
        <v>5301132</v>
      </c>
      <c r="CZ536" s="9" t="str">
        <f t="shared" si="333"/>
        <v>5301132</v>
      </c>
      <c r="DA536" s="9" t="str">
        <f t="shared" si="334"/>
        <v>5500132</v>
      </c>
      <c r="DB536" s="9" t="str">
        <f t="shared" si="335"/>
        <v>5400135</v>
      </c>
      <c r="DC536" s="9" t="str">
        <f t="shared" si="336"/>
        <v>5502133</v>
      </c>
      <c r="DD536" s="9">
        <v>13</v>
      </c>
      <c r="DE536" s="9">
        <v>13</v>
      </c>
      <c r="DF536" s="9">
        <v>13</v>
      </c>
      <c r="DG536" s="9">
        <v>13</v>
      </c>
      <c r="DH536" s="9">
        <v>13</v>
      </c>
      <c r="DI536" s="9">
        <v>13</v>
      </c>
      <c r="DJ536" s="9">
        <v>5</v>
      </c>
      <c r="DK536" s="9">
        <v>5</v>
      </c>
      <c r="DL536" s="9">
        <v>5</v>
      </c>
      <c r="DM536" s="9">
        <v>5</v>
      </c>
      <c r="DN536" s="9">
        <v>5</v>
      </c>
      <c r="DO536" s="9">
        <v>5</v>
      </c>
      <c r="DP536" s="25" t="s">
        <v>107</v>
      </c>
      <c r="DQ536" s="25" t="s">
        <v>201</v>
      </c>
      <c r="DR536" s="25" t="s">
        <v>201</v>
      </c>
      <c r="DS536" s="25" t="s">
        <v>109</v>
      </c>
      <c r="DT536" s="25" t="s">
        <v>210</v>
      </c>
      <c r="DU536" s="25" t="s">
        <v>215</v>
      </c>
      <c r="DV536" s="25">
        <f t="shared" si="337"/>
        <v>1</v>
      </c>
      <c r="DW536" s="25">
        <f t="shared" si="338"/>
        <v>1</v>
      </c>
      <c r="DX536" s="25">
        <f t="shared" si="339"/>
        <v>1</v>
      </c>
      <c r="DY536" s="25">
        <f t="shared" si="340"/>
        <v>2</v>
      </c>
      <c r="DZ536" s="25">
        <f t="shared" si="341"/>
        <v>2</v>
      </c>
      <c r="EA536" s="3">
        <f t="shared" si="342"/>
        <v>2</v>
      </c>
      <c r="EB536" s="29"/>
    </row>
    <row r="537" spans="1:132" ht="13.5" customHeight="1">
      <c r="A537" s="9">
        <v>534</v>
      </c>
      <c r="B537" s="9">
        <v>1</v>
      </c>
      <c r="C537" s="9">
        <v>2001</v>
      </c>
      <c r="D537" s="9">
        <f t="shared" si="357"/>
        <v>23265686</v>
      </c>
      <c r="E537" s="9" t="str">
        <f t="shared" si="354"/>
        <v>5201133,5200133,5301132,5501134,5500133,5501134</v>
      </c>
      <c r="F537" s="9" t="str">
        <f t="shared" si="355"/>
        <v>13,13,13,13,13,13</v>
      </c>
      <c r="G537" s="9" t="str">
        <f t="shared" si="356"/>
        <v>1117,1207,1207,1207,1207,1207</v>
      </c>
      <c r="H537" s="9">
        <v>253</v>
      </c>
      <c r="I537" s="9" t="s">
        <v>278</v>
      </c>
      <c r="J537" s="9" t="s">
        <v>279</v>
      </c>
      <c r="K537" s="9" t="s">
        <v>279</v>
      </c>
      <c r="L537" s="9" t="s">
        <v>279</v>
      </c>
      <c r="M537" s="36" t="s">
        <v>314</v>
      </c>
      <c r="N537" s="40"/>
      <c r="O537" s="3">
        <f t="shared" si="322"/>
        <v>23265686</v>
      </c>
      <c r="P537" s="9">
        <v>17625519.550000001</v>
      </c>
      <c r="Q537" s="9">
        <v>5201133</v>
      </c>
      <c r="R537" s="9">
        <v>5200133</v>
      </c>
      <c r="S537" s="9">
        <v>5301132</v>
      </c>
      <c r="T537" s="9">
        <v>5501134</v>
      </c>
      <c r="U537" s="9">
        <v>5500133</v>
      </c>
      <c r="V537" s="9">
        <v>5501134</v>
      </c>
      <c r="W537" s="9">
        <v>13</v>
      </c>
      <c r="X537" s="9">
        <v>13</v>
      </c>
      <c r="Y537" s="9">
        <v>13</v>
      </c>
      <c r="Z537" s="9">
        <v>13</v>
      </c>
      <c r="AA537" s="9">
        <v>13</v>
      </c>
      <c r="AB537" s="9">
        <v>13</v>
      </c>
      <c r="AC537" s="9">
        <f t="shared" si="343"/>
        <v>1117</v>
      </c>
      <c r="AD537" s="9">
        <f t="shared" si="344"/>
        <v>1207</v>
      </c>
      <c r="AE537" s="9">
        <f t="shared" si="345"/>
        <v>1207</v>
      </c>
      <c r="AF537" s="9">
        <f t="shared" si="346"/>
        <v>1207</v>
      </c>
      <c r="AG537" s="9">
        <f t="shared" si="347"/>
        <v>1207</v>
      </c>
      <c r="AH537" s="9">
        <f t="shared" si="348"/>
        <v>1207</v>
      </c>
      <c r="AI537" s="7">
        <f t="shared" si="324"/>
        <v>2937586.5916666668</v>
      </c>
      <c r="AJ537" s="7">
        <f t="shared" si="324"/>
        <v>2937586.5916666668</v>
      </c>
      <c r="AK537" s="7">
        <f t="shared" si="324"/>
        <v>2937586.5916666668</v>
      </c>
      <c r="AL537" s="7">
        <f t="shared" si="324"/>
        <v>2937586.5916666668</v>
      </c>
      <c r="AM537" s="7">
        <f t="shared" si="324"/>
        <v>2937586.5916666668</v>
      </c>
      <c r="AN537" s="7">
        <f t="shared" si="324"/>
        <v>2937586.5916666668</v>
      </c>
      <c r="AO537" s="16"/>
      <c r="AP537" s="7"/>
      <c r="AQ537" s="9">
        <v>8</v>
      </c>
      <c r="AR537" s="9">
        <f t="shared" si="349"/>
        <v>1523</v>
      </c>
      <c r="AS537" s="7">
        <f t="shared" si="320"/>
        <v>367</v>
      </c>
      <c r="AT537" s="7"/>
      <c r="AU537" s="16"/>
      <c r="AV537" s="7"/>
      <c r="AW537" s="7"/>
      <c r="AX537" s="7"/>
      <c r="AZ537" s="7"/>
      <c r="BA537" s="9">
        <f t="shared" si="323"/>
        <v>2360149.0800000038</v>
      </c>
      <c r="BC537" s="5" t="e">
        <f t="shared" si="350"/>
        <v>#N/A</v>
      </c>
      <c r="BR537" s="5">
        <v>3503033</v>
      </c>
      <c r="BS537" s="18">
        <f>[1]monsters!$N537</f>
        <v>103.68</v>
      </c>
      <c r="BT537" s="18">
        <f>[1]monsters!$O537</f>
        <v>10.37</v>
      </c>
      <c r="BU537" s="18">
        <f>[1]monsters!$P537</f>
        <v>1280</v>
      </c>
      <c r="BV537" s="18">
        <f>[1]monsters!$Q537</f>
        <v>128</v>
      </c>
      <c r="BW537" s="18">
        <f>[1]monsters!$R537</f>
        <v>20.74</v>
      </c>
      <c r="BX537" s="18">
        <f>[1]monsters!$S537</f>
        <v>2.0699999999999998</v>
      </c>
      <c r="BY537" s="18">
        <f>[1]monsters!$K537</f>
        <v>1.8</v>
      </c>
      <c r="BZ537" s="5">
        <f>[1]monsters!$D537</f>
        <v>2</v>
      </c>
      <c r="CA537" s="5">
        <f t="shared" si="351"/>
        <v>0.1</v>
      </c>
      <c r="CB537" s="5">
        <f t="shared" si="352"/>
        <v>141.07524309764312</v>
      </c>
      <c r="CC537" s="5">
        <f t="shared" si="353"/>
        <v>14.107524309764313</v>
      </c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>
        <v>0</v>
      </c>
      <c r="CR537" s="3" t="b">
        <f t="shared" si="325"/>
        <v>1</v>
      </c>
      <c r="CS537" s="3" t="b">
        <f t="shared" si="326"/>
        <v>1</v>
      </c>
      <c r="CT537" s="3" t="b">
        <f t="shared" si="327"/>
        <v>1</v>
      </c>
      <c r="CU537" s="3" t="b">
        <f t="shared" si="328"/>
        <v>1</v>
      </c>
      <c r="CV537" s="3" t="b">
        <f t="shared" si="329"/>
        <v>1</v>
      </c>
      <c r="CW537" s="3" t="b">
        <f t="shared" si="330"/>
        <v>1</v>
      </c>
      <c r="CX537" s="9" t="str">
        <f t="shared" si="331"/>
        <v>5201133</v>
      </c>
      <c r="CY537" s="9" t="str">
        <f t="shared" si="332"/>
        <v>5200133</v>
      </c>
      <c r="CZ537" s="9" t="str">
        <f t="shared" si="333"/>
        <v>5301132</v>
      </c>
      <c r="DA537" s="9" t="str">
        <f t="shared" si="334"/>
        <v>5501134</v>
      </c>
      <c r="DB537" s="9" t="str">
        <f t="shared" si="335"/>
        <v>5500133</v>
      </c>
      <c r="DC537" s="9" t="str">
        <f t="shared" si="336"/>
        <v>5501134</v>
      </c>
      <c r="DD537" s="9">
        <v>13</v>
      </c>
      <c r="DE537" s="9">
        <v>13</v>
      </c>
      <c r="DF537" s="9">
        <v>13</v>
      </c>
      <c r="DG537" s="9">
        <v>13</v>
      </c>
      <c r="DH537" s="9">
        <v>13</v>
      </c>
      <c r="DI537" s="9">
        <v>13</v>
      </c>
      <c r="DJ537" s="9">
        <v>5</v>
      </c>
      <c r="DK537" s="9">
        <v>5</v>
      </c>
      <c r="DL537" s="9">
        <v>5</v>
      </c>
      <c r="DM537" s="9">
        <v>5</v>
      </c>
      <c r="DN537" s="9">
        <v>5</v>
      </c>
      <c r="DO537" s="9">
        <v>5</v>
      </c>
      <c r="DP537" s="25" t="s">
        <v>205</v>
      </c>
      <c r="DQ537" s="25" t="s">
        <v>113</v>
      </c>
      <c r="DR537" s="25" t="s">
        <v>201</v>
      </c>
      <c r="DS537" s="25" t="s">
        <v>214</v>
      </c>
      <c r="DT537" s="25" t="s">
        <v>207</v>
      </c>
      <c r="DU537" s="25" t="s">
        <v>214</v>
      </c>
      <c r="DV537" s="25">
        <f t="shared" si="337"/>
        <v>1</v>
      </c>
      <c r="DW537" s="25">
        <f t="shared" si="338"/>
        <v>1</v>
      </c>
      <c r="DX537" s="25">
        <f t="shared" si="339"/>
        <v>1</v>
      </c>
      <c r="DY537" s="25">
        <f t="shared" si="340"/>
        <v>2</v>
      </c>
      <c r="DZ537" s="25">
        <f t="shared" si="341"/>
        <v>2</v>
      </c>
      <c r="EA537" s="3">
        <f t="shared" si="342"/>
        <v>2</v>
      </c>
      <c r="EB537" s="30"/>
    </row>
    <row r="538" spans="1:132" ht="13.5" customHeight="1">
      <c r="A538" s="9">
        <v>535</v>
      </c>
      <c r="B538" s="9">
        <v>1</v>
      </c>
      <c r="C538" s="9">
        <v>2001</v>
      </c>
      <c r="D538" s="9">
        <f t="shared" si="357"/>
        <v>23333654</v>
      </c>
      <c r="E538" s="9" t="str">
        <f t="shared" si="354"/>
        <v>5200133,5200133,5200133,5401133,5401133,5401133</v>
      </c>
      <c r="F538" s="9" t="str">
        <f t="shared" si="355"/>
        <v>13,13,13,13,13,13</v>
      </c>
      <c r="G538" s="9" t="str">
        <f t="shared" si="356"/>
        <v>1118,1209,1209,1209,1209,1209</v>
      </c>
      <c r="H538" s="9">
        <v>254</v>
      </c>
      <c r="I538" s="9" t="s">
        <v>278</v>
      </c>
      <c r="J538" s="9" t="s">
        <v>279</v>
      </c>
      <c r="K538" s="9" t="s">
        <v>279</v>
      </c>
      <c r="L538" s="9" t="s">
        <v>279</v>
      </c>
      <c r="M538" s="36" t="s">
        <v>314</v>
      </c>
      <c r="O538" s="3">
        <f t="shared" si="322"/>
        <v>23333654</v>
      </c>
      <c r="P538" s="9">
        <v>17677010.800000001</v>
      </c>
      <c r="Q538" s="9">
        <v>5200133</v>
      </c>
      <c r="R538" s="9">
        <v>5200133</v>
      </c>
      <c r="S538" s="9">
        <v>5200133</v>
      </c>
      <c r="T538" s="9">
        <v>5401133</v>
      </c>
      <c r="U538" s="9">
        <v>5401133</v>
      </c>
      <c r="V538" s="9">
        <v>5401133</v>
      </c>
      <c r="W538" s="9">
        <v>13</v>
      </c>
      <c r="X538" s="9">
        <v>13</v>
      </c>
      <c r="Y538" s="9">
        <v>13</v>
      </c>
      <c r="Z538" s="9">
        <v>13</v>
      </c>
      <c r="AA538" s="9">
        <v>13</v>
      </c>
      <c r="AB538" s="9">
        <v>13</v>
      </c>
      <c r="AC538" s="9">
        <f t="shared" si="343"/>
        <v>1118</v>
      </c>
      <c r="AD538" s="9">
        <f t="shared" si="344"/>
        <v>1209</v>
      </c>
      <c r="AE538" s="9">
        <f t="shared" si="345"/>
        <v>1209</v>
      </c>
      <c r="AF538" s="9">
        <f t="shared" si="346"/>
        <v>1209</v>
      </c>
      <c r="AG538" s="9">
        <f t="shared" si="347"/>
        <v>1209</v>
      </c>
      <c r="AH538" s="9">
        <f t="shared" si="348"/>
        <v>1209</v>
      </c>
      <c r="AI538" s="7">
        <f t="shared" si="324"/>
        <v>2946168.4666666668</v>
      </c>
      <c r="AJ538" s="7">
        <f t="shared" si="324"/>
        <v>2946168.4666666668</v>
      </c>
      <c r="AK538" s="7">
        <f t="shared" si="324"/>
        <v>2946168.4666666668</v>
      </c>
      <c r="AL538" s="7">
        <f t="shared" si="324"/>
        <v>2946168.4666666668</v>
      </c>
      <c r="AM538" s="7">
        <f t="shared" si="324"/>
        <v>2946168.4666666668</v>
      </c>
      <c r="AN538" s="7">
        <f t="shared" si="324"/>
        <v>2946168.4666666668</v>
      </c>
      <c r="AO538" s="16"/>
      <c r="AP538" s="7"/>
      <c r="AQ538" s="9">
        <v>8</v>
      </c>
      <c r="AR538" s="9">
        <f t="shared" si="349"/>
        <v>1525</v>
      </c>
      <c r="AS538" s="7">
        <f t="shared" si="320"/>
        <v>367</v>
      </c>
      <c r="AT538" s="7"/>
      <c r="AU538" s="16"/>
      <c r="AV538" s="7"/>
      <c r="AW538" s="7"/>
      <c r="AX538" s="7"/>
      <c r="AZ538" s="7"/>
      <c r="BA538" s="9">
        <f t="shared" si="323"/>
        <v>2370741.7000000039</v>
      </c>
      <c r="BC538" s="5" t="e">
        <f t="shared" si="350"/>
        <v>#N/A</v>
      </c>
      <c r="BR538" s="5">
        <v>3504033</v>
      </c>
      <c r="BS538" s="18">
        <f>[1]monsters!$N538</f>
        <v>120</v>
      </c>
      <c r="BT538" s="18">
        <f>[1]monsters!$O538</f>
        <v>12</v>
      </c>
      <c r="BU538" s="18">
        <f>[1]monsters!$P538</f>
        <v>921.6</v>
      </c>
      <c r="BV538" s="18">
        <f>[1]monsters!$Q538</f>
        <v>92.16</v>
      </c>
      <c r="BW538" s="18">
        <f>[1]monsters!$R538</f>
        <v>12</v>
      </c>
      <c r="BX538" s="18">
        <f>[1]monsters!$S538</f>
        <v>1.2</v>
      </c>
      <c r="BY538" s="18">
        <f>[1]monsters!$K538</f>
        <v>1.5</v>
      </c>
      <c r="BZ538" s="5">
        <f>[1]monsters!$D538</f>
        <v>4</v>
      </c>
      <c r="CA538" s="5">
        <f t="shared" si="351"/>
        <v>0.1</v>
      </c>
      <c r="CB538" s="5">
        <f t="shared" si="352"/>
        <v>144.43030303030304</v>
      </c>
      <c r="CC538" s="5">
        <f t="shared" si="353"/>
        <v>14.443030303030305</v>
      </c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>
        <v>1</v>
      </c>
      <c r="CR538" s="3" t="b">
        <f t="shared" si="325"/>
        <v>1</v>
      </c>
      <c r="CS538" s="3" t="b">
        <f t="shared" si="326"/>
        <v>1</v>
      </c>
      <c r="CT538" s="3" t="b">
        <f t="shared" si="327"/>
        <v>1</v>
      </c>
      <c r="CU538" s="3" t="b">
        <f t="shared" si="328"/>
        <v>1</v>
      </c>
      <c r="CV538" s="3" t="b">
        <f t="shared" si="329"/>
        <v>1</v>
      </c>
      <c r="CW538" s="3" t="b">
        <f t="shared" si="330"/>
        <v>1</v>
      </c>
      <c r="CX538" s="9" t="str">
        <f t="shared" si="331"/>
        <v>5200133</v>
      </c>
      <c r="CY538" s="9" t="str">
        <f t="shared" si="332"/>
        <v>5200133</v>
      </c>
      <c r="CZ538" s="9" t="str">
        <f t="shared" si="333"/>
        <v>5200133</v>
      </c>
      <c r="DA538" s="9" t="str">
        <f t="shared" si="334"/>
        <v>5401133</v>
      </c>
      <c r="DB538" s="9" t="str">
        <f t="shared" si="335"/>
        <v>5401133</v>
      </c>
      <c r="DC538" s="9" t="str">
        <f t="shared" si="336"/>
        <v>5401133</v>
      </c>
      <c r="DD538" s="9">
        <v>13</v>
      </c>
      <c r="DE538" s="9">
        <v>13</v>
      </c>
      <c r="DF538" s="9">
        <v>13</v>
      </c>
      <c r="DG538" s="9">
        <v>13</v>
      </c>
      <c r="DH538" s="9">
        <v>13</v>
      </c>
      <c r="DI538" s="9">
        <v>13</v>
      </c>
      <c r="DJ538" s="9">
        <v>5</v>
      </c>
      <c r="DK538" s="9">
        <v>5</v>
      </c>
      <c r="DL538" s="9">
        <v>5</v>
      </c>
      <c r="DM538" s="9">
        <v>5</v>
      </c>
      <c r="DN538" s="9">
        <v>5</v>
      </c>
      <c r="DO538" s="9">
        <v>5</v>
      </c>
      <c r="DP538" s="25" t="s">
        <v>113</v>
      </c>
      <c r="DQ538" s="25" t="s">
        <v>113</v>
      </c>
      <c r="DR538" s="25" t="s">
        <v>113</v>
      </c>
      <c r="DS538" s="25" t="s">
        <v>211</v>
      </c>
      <c r="DT538" s="25" t="s">
        <v>211</v>
      </c>
      <c r="DU538" s="25" t="s">
        <v>211</v>
      </c>
      <c r="DV538" s="25">
        <f t="shared" si="337"/>
        <v>1</v>
      </c>
      <c r="DW538" s="25">
        <f t="shared" si="338"/>
        <v>1</v>
      </c>
      <c r="DX538" s="25">
        <f t="shared" si="339"/>
        <v>1</v>
      </c>
      <c r="DY538" s="25">
        <f t="shared" si="340"/>
        <v>2</v>
      </c>
      <c r="DZ538" s="25">
        <f t="shared" si="341"/>
        <v>2</v>
      </c>
      <c r="EA538" s="3">
        <f t="shared" si="342"/>
        <v>2</v>
      </c>
      <c r="EB538" s="29"/>
    </row>
    <row r="539" spans="1:132" ht="13.5" customHeight="1">
      <c r="A539" s="9">
        <v>536</v>
      </c>
      <c r="B539" s="9">
        <v>1</v>
      </c>
      <c r="C539" s="9">
        <v>2001</v>
      </c>
      <c r="D539" s="9">
        <f t="shared" si="357"/>
        <v>23401717</v>
      </c>
      <c r="E539" s="9" t="str">
        <f t="shared" si="354"/>
        <v>5201131,5201132,5202131,5502131,5500131,5502131</v>
      </c>
      <c r="F539" s="9" t="str">
        <f t="shared" si="355"/>
        <v>13,13,13,13,13,13</v>
      </c>
      <c r="G539" s="9" t="str">
        <f t="shared" si="356"/>
        <v>1120,1211,1211,1211,1211,1211</v>
      </c>
      <c r="H539" s="9">
        <v>254</v>
      </c>
      <c r="I539" s="9" t="s">
        <v>278</v>
      </c>
      <c r="J539" s="9" t="s">
        <v>279</v>
      </c>
      <c r="K539" s="9" t="s">
        <v>279</v>
      </c>
      <c r="L539" s="9" t="s">
        <v>279</v>
      </c>
      <c r="M539" s="36" t="s">
        <v>314</v>
      </c>
      <c r="N539" s="40"/>
      <c r="O539" s="3">
        <f t="shared" si="322"/>
        <v>23401717</v>
      </c>
      <c r="P539" s="9">
        <v>17728573.690000001</v>
      </c>
      <c r="Q539" s="9">
        <v>5201131</v>
      </c>
      <c r="R539" s="9">
        <v>5201132</v>
      </c>
      <c r="S539" s="9">
        <v>5202131</v>
      </c>
      <c r="T539" s="9">
        <v>5502131</v>
      </c>
      <c r="U539" s="9">
        <v>5500131</v>
      </c>
      <c r="V539" s="9">
        <v>5502131</v>
      </c>
      <c r="W539" s="9">
        <v>13</v>
      </c>
      <c r="X539" s="9">
        <v>13</v>
      </c>
      <c r="Y539" s="9">
        <v>13</v>
      </c>
      <c r="Z539" s="9">
        <v>13</v>
      </c>
      <c r="AA539" s="9">
        <v>13</v>
      </c>
      <c r="AB539" s="9">
        <v>13</v>
      </c>
      <c r="AC539" s="9">
        <f t="shared" si="343"/>
        <v>1120</v>
      </c>
      <c r="AD539" s="9">
        <f t="shared" si="344"/>
        <v>1211</v>
      </c>
      <c r="AE539" s="9">
        <f t="shared" si="345"/>
        <v>1211</v>
      </c>
      <c r="AF539" s="9">
        <f t="shared" si="346"/>
        <v>1211</v>
      </c>
      <c r="AG539" s="9">
        <f t="shared" si="347"/>
        <v>1211</v>
      </c>
      <c r="AH539" s="9">
        <f t="shared" si="348"/>
        <v>1211</v>
      </c>
      <c r="AI539" s="7">
        <f t="shared" si="324"/>
        <v>2954762.2816666667</v>
      </c>
      <c r="AJ539" s="7">
        <f t="shared" si="324"/>
        <v>2954762.2816666667</v>
      </c>
      <c r="AK539" s="7">
        <f t="shared" si="324"/>
        <v>2954762.2816666667</v>
      </c>
      <c r="AL539" s="7">
        <f t="shared" si="324"/>
        <v>2954762.2816666667</v>
      </c>
      <c r="AM539" s="7">
        <f t="shared" si="324"/>
        <v>2954762.2816666667</v>
      </c>
      <c r="AN539" s="7">
        <f t="shared" si="324"/>
        <v>2954762.2816666667</v>
      </c>
      <c r="AO539" s="16"/>
      <c r="AP539" s="7"/>
      <c r="AQ539" s="9">
        <v>8</v>
      </c>
      <c r="AR539" s="9">
        <f t="shared" si="349"/>
        <v>1528</v>
      </c>
      <c r="AS539" s="7">
        <f t="shared" ref="AS539:AS602" si="358">FLOOR((A539-150)/2,1)+175</f>
        <v>368</v>
      </c>
      <c r="AT539" s="7"/>
      <c r="AU539" s="16"/>
      <c r="AV539" s="7"/>
      <c r="AW539" s="7"/>
      <c r="AX539" s="7"/>
      <c r="AZ539" s="7"/>
      <c r="BA539" s="9">
        <f t="shared" si="323"/>
        <v>2381334.320000004</v>
      </c>
      <c r="BC539" s="5" t="e">
        <f t="shared" si="350"/>
        <v>#N/A</v>
      </c>
      <c r="BR539" s="5">
        <v>3101033</v>
      </c>
      <c r="BS539" s="18">
        <f>[1]monsters!$N539</f>
        <v>91.52</v>
      </c>
      <c r="BT539" s="18">
        <f>[1]monsters!$O539</f>
        <v>9.15</v>
      </c>
      <c r="BU539" s="18">
        <f>[1]monsters!$P539</f>
        <v>1047.27</v>
      </c>
      <c r="BV539" s="18">
        <f>[1]monsters!$Q539</f>
        <v>104.73</v>
      </c>
      <c r="BW539" s="18">
        <f>[1]monsters!$R539</f>
        <v>11.44</v>
      </c>
      <c r="BX539" s="18">
        <f>[1]monsters!$S539</f>
        <v>1.1399999999999999</v>
      </c>
      <c r="BY539" s="18">
        <f>[1]monsters!$K539</f>
        <v>1.3</v>
      </c>
      <c r="BZ539" s="5">
        <f>[1]monsters!$D539</f>
        <v>3</v>
      </c>
      <c r="CA539" s="5">
        <f t="shared" si="351"/>
        <v>0.1</v>
      </c>
      <c r="CB539" s="5">
        <f t="shared" si="352"/>
        <v>121.74801616161616</v>
      </c>
      <c r="CC539" s="5">
        <f t="shared" si="353"/>
        <v>12.174801616161616</v>
      </c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>
        <v>0</v>
      </c>
      <c r="CR539" s="3" t="b">
        <f t="shared" si="325"/>
        <v>1</v>
      </c>
      <c r="CS539" s="3" t="b">
        <f t="shared" si="326"/>
        <v>1</v>
      </c>
      <c r="CT539" s="3" t="b">
        <f t="shared" si="327"/>
        <v>1</v>
      </c>
      <c r="CU539" s="3" t="b">
        <f t="shared" si="328"/>
        <v>1</v>
      </c>
      <c r="CV539" s="3" t="b">
        <f t="shared" si="329"/>
        <v>1</v>
      </c>
      <c r="CW539" s="3" t="b">
        <f t="shared" si="330"/>
        <v>1</v>
      </c>
      <c r="CX539" s="9" t="str">
        <f t="shared" si="331"/>
        <v>5201131</v>
      </c>
      <c r="CY539" s="9" t="str">
        <f t="shared" si="332"/>
        <v>5201132</v>
      </c>
      <c r="CZ539" s="9" t="str">
        <f t="shared" si="333"/>
        <v>5202131</v>
      </c>
      <c r="DA539" s="9" t="str">
        <f t="shared" si="334"/>
        <v>5502131</v>
      </c>
      <c r="DB539" s="9" t="str">
        <f t="shared" si="335"/>
        <v>5500131</v>
      </c>
      <c r="DC539" s="9" t="str">
        <f t="shared" si="336"/>
        <v>5502131</v>
      </c>
      <c r="DD539" s="9">
        <v>13</v>
      </c>
      <c r="DE539" s="9">
        <v>13</v>
      </c>
      <c r="DF539" s="9">
        <v>13</v>
      </c>
      <c r="DG539" s="9">
        <v>13</v>
      </c>
      <c r="DH539" s="9">
        <v>13</v>
      </c>
      <c r="DI539" s="9">
        <v>13</v>
      </c>
      <c r="DJ539" s="9">
        <v>5</v>
      </c>
      <c r="DK539" s="9">
        <v>5</v>
      </c>
      <c r="DL539" s="9">
        <v>5</v>
      </c>
      <c r="DM539" s="9">
        <v>5</v>
      </c>
      <c r="DN539" s="9">
        <v>5</v>
      </c>
      <c r="DO539" s="9">
        <v>5</v>
      </c>
      <c r="DP539" s="25" t="s">
        <v>195</v>
      </c>
      <c r="DQ539" s="25" t="s">
        <v>114</v>
      </c>
      <c r="DR539" s="25" t="s">
        <v>111</v>
      </c>
      <c r="DS539" s="25" t="s">
        <v>119</v>
      </c>
      <c r="DT539" s="25" t="s">
        <v>197</v>
      </c>
      <c r="DU539" s="25" t="s">
        <v>119</v>
      </c>
      <c r="DV539" s="25">
        <f t="shared" si="337"/>
        <v>1</v>
      </c>
      <c r="DW539" s="25">
        <f t="shared" si="338"/>
        <v>1</v>
      </c>
      <c r="DX539" s="25">
        <f t="shared" si="339"/>
        <v>1</v>
      </c>
      <c r="DY539" s="25">
        <f t="shared" si="340"/>
        <v>2</v>
      </c>
      <c r="DZ539" s="25">
        <f t="shared" si="341"/>
        <v>2</v>
      </c>
      <c r="EA539" s="3">
        <f t="shared" si="342"/>
        <v>2</v>
      </c>
      <c r="EB539" s="29"/>
    </row>
    <row r="540" spans="1:132" ht="13.5" customHeight="1">
      <c r="A540" s="9">
        <v>537</v>
      </c>
      <c r="B540" s="9">
        <v>1</v>
      </c>
      <c r="C540" s="9">
        <v>2001</v>
      </c>
      <c r="D540" s="9">
        <f t="shared" si="357"/>
        <v>23469883</v>
      </c>
      <c r="E540" s="9" t="str">
        <f t="shared" si="354"/>
        <v>5202133,5201133,5302134,5501134,5501135,5500132</v>
      </c>
      <c r="F540" s="9" t="str">
        <f t="shared" si="355"/>
        <v>13,13,13,13,13,13</v>
      </c>
      <c r="G540" s="9" t="str">
        <f t="shared" si="356"/>
        <v>1122,1212,1212,1212,1212,1212</v>
      </c>
      <c r="H540" s="9">
        <v>254</v>
      </c>
      <c r="I540" s="9" t="s">
        <v>278</v>
      </c>
      <c r="J540" s="9" t="s">
        <v>279</v>
      </c>
      <c r="K540" s="9" t="s">
        <v>279</v>
      </c>
      <c r="L540" s="9" t="s">
        <v>279</v>
      </c>
      <c r="M540" s="36" t="s">
        <v>314</v>
      </c>
      <c r="N540" s="40"/>
      <c r="O540" s="3">
        <f t="shared" si="322"/>
        <v>23469883</v>
      </c>
      <c r="P540" s="9">
        <v>17780214.190000001</v>
      </c>
      <c r="Q540" s="9">
        <v>5202133</v>
      </c>
      <c r="R540" s="9">
        <v>5201133</v>
      </c>
      <c r="S540" s="9">
        <v>5302134</v>
      </c>
      <c r="T540" s="9">
        <v>5501134</v>
      </c>
      <c r="U540" s="9">
        <v>5501135</v>
      </c>
      <c r="V540" s="9">
        <v>5500132</v>
      </c>
      <c r="W540" s="9">
        <v>13</v>
      </c>
      <c r="X540" s="9">
        <v>13</v>
      </c>
      <c r="Y540" s="9">
        <v>13</v>
      </c>
      <c r="Z540" s="9">
        <v>13</v>
      </c>
      <c r="AA540" s="9">
        <v>13</v>
      </c>
      <c r="AB540" s="9">
        <v>13</v>
      </c>
      <c r="AC540" s="9">
        <f t="shared" si="343"/>
        <v>1122</v>
      </c>
      <c r="AD540" s="9">
        <f t="shared" si="344"/>
        <v>1212</v>
      </c>
      <c r="AE540" s="9">
        <f t="shared" si="345"/>
        <v>1212</v>
      </c>
      <c r="AF540" s="9">
        <f t="shared" si="346"/>
        <v>1212</v>
      </c>
      <c r="AG540" s="9">
        <f t="shared" si="347"/>
        <v>1212</v>
      </c>
      <c r="AH540" s="9">
        <f t="shared" si="348"/>
        <v>1212</v>
      </c>
      <c r="AI540" s="7">
        <f t="shared" si="324"/>
        <v>2963369.0316666667</v>
      </c>
      <c r="AJ540" s="7">
        <f t="shared" si="324"/>
        <v>2963369.0316666667</v>
      </c>
      <c r="AK540" s="7">
        <f t="shared" si="324"/>
        <v>2963369.0316666667</v>
      </c>
      <c r="AL540" s="7">
        <f t="shared" si="324"/>
        <v>2963369.0316666667</v>
      </c>
      <c r="AM540" s="7">
        <f t="shared" si="324"/>
        <v>2963369.0316666667</v>
      </c>
      <c r="AN540" s="7">
        <f t="shared" si="324"/>
        <v>2963369.0316666667</v>
      </c>
      <c r="AO540" s="16"/>
      <c r="AP540" s="7"/>
      <c r="AQ540" s="9">
        <v>8</v>
      </c>
      <c r="AR540" s="9">
        <f t="shared" si="349"/>
        <v>1530</v>
      </c>
      <c r="AS540" s="7">
        <f t="shared" si="358"/>
        <v>368</v>
      </c>
      <c r="AT540" s="7"/>
      <c r="AU540" s="16"/>
      <c r="AV540" s="7"/>
      <c r="AW540" s="7"/>
      <c r="AX540" s="7"/>
      <c r="AZ540" s="7"/>
      <c r="BA540" s="9">
        <f t="shared" si="323"/>
        <v>2391926.9400000041</v>
      </c>
      <c r="BC540" s="5" t="e">
        <f t="shared" si="350"/>
        <v>#N/A</v>
      </c>
      <c r="BR540" s="5">
        <v>3102033</v>
      </c>
      <c r="BS540" s="18">
        <f>[1]monsters!$N540</f>
        <v>126.72</v>
      </c>
      <c r="BT540" s="18">
        <f>[1]monsters!$O540</f>
        <v>12.67</v>
      </c>
      <c r="BU540" s="18">
        <f>[1]monsters!$P540</f>
        <v>1047.27</v>
      </c>
      <c r="BV540" s="18">
        <f>[1]monsters!$Q540</f>
        <v>104.73</v>
      </c>
      <c r="BW540" s="18">
        <f>[1]monsters!$R540</f>
        <v>21.12</v>
      </c>
      <c r="BX540" s="18">
        <f>[1]monsters!$S540</f>
        <v>2.11</v>
      </c>
      <c r="BY540" s="18">
        <f>[1]monsters!$K540</f>
        <v>1.8</v>
      </c>
      <c r="BZ540" s="5">
        <f>[1]monsters!$D540</f>
        <v>5</v>
      </c>
      <c r="CA540" s="5">
        <f t="shared" si="351"/>
        <v>0.1</v>
      </c>
      <c r="CB540" s="5">
        <f t="shared" si="352"/>
        <v>155.01201616161617</v>
      </c>
      <c r="CC540" s="5">
        <f t="shared" si="353"/>
        <v>15.501201616161618</v>
      </c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>
        <v>0</v>
      </c>
      <c r="CR540" s="3" t="b">
        <f t="shared" si="325"/>
        <v>1</v>
      </c>
      <c r="CS540" s="3" t="b">
        <f t="shared" si="326"/>
        <v>1</v>
      </c>
      <c r="CT540" s="3" t="b">
        <f t="shared" si="327"/>
        <v>1</v>
      </c>
      <c r="CU540" s="3" t="b">
        <f t="shared" si="328"/>
        <v>1</v>
      </c>
      <c r="CV540" s="3" t="b">
        <f t="shared" si="329"/>
        <v>1</v>
      </c>
      <c r="CW540" s="3" t="b">
        <f t="shared" si="330"/>
        <v>1</v>
      </c>
      <c r="CX540" s="9" t="str">
        <f t="shared" si="331"/>
        <v>5202133</v>
      </c>
      <c r="CY540" s="9" t="str">
        <f t="shared" si="332"/>
        <v>5201133</v>
      </c>
      <c r="CZ540" s="9" t="str">
        <f t="shared" si="333"/>
        <v>5302134</v>
      </c>
      <c r="DA540" s="9" t="str">
        <f t="shared" si="334"/>
        <v>5501134</v>
      </c>
      <c r="DB540" s="9" t="str">
        <f t="shared" si="335"/>
        <v>5501135</v>
      </c>
      <c r="DC540" s="9" t="str">
        <f t="shared" si="336"/>
        <v>5500132</v>
      </c>
      <c r="DD540" s="9">
        <v>13</v>
      </c>
      <c r="DE540" s="9">
        <v>13</v>
      </c>
      <c r="DF540" s="9">
        <v>13</v>
      </c>
      <c r="DG540" s="9">
        <v>13</v>
      </c>
      <c r="DH540" s="9">
        <v>13</v>
      </c>
      <c r="DI540" s="9">
        <v>13</v>
      </c>
      <c r="DJ540" s="9">
        <v>5</v>
      </c>
      <c r="DK540" s="9">
        <v>5</v>
      </c>
      <c r="DL540" s="9">
        <v>5</v>
      </c>
      <c r="DM540" s="9">
        <v>5</v>
      </c>
      <c r="DN540" s="9">
        <v>5</v>
      </c>
      <c r="DO540" s="9">
        <v>5</v>
      </c>
      <c r="DP540" s="25" t="s">
        <v>208</v>
      </c>
      <c r="DQ540" s="25" t="s">
        <v>205</v>
      </c>
      <c r="DR540" s="25" t="s">
        <v>218</v>
      </c>
      <c r="DS540" s="25" t="s">
        <v>214</v>
      </c>
      <c r="DT540" s="25" t="s">
        <v>209</v>
      </c>
      <c r="DU540" s="25" t="s">
        <v>109</v>
      </c>
      <c r="DV540" s="25">
        <f t="shared" si="337"/>
        <v>1</v>
      </c>
      <c r="DW540" s="25">
        <f t="shared" si="338"/>
        <v>1</v>
      </c>
      <c r="DX540" s="25">
        <f t="shared" si="339"/>
        <v>1</v>
      </c>
      <c r="DY540" s="25">
        <f t="shared" si="340"/>
        <v>2</v>
      </c>
      <c r="DZ540" s="25">
        <f t="shared" si="341"/>
        <v>2</v>
      </c>
      <c r="EA540" s="3">
        <f t="shared" si="342"/>
        <v>2</v>
      </c>
      <c r="EB540" s="29"/>
    </row>
    <row r="541" spans="1:132" ht="13.5" customHeight="1">
      <c r="A541" s="9">
        <v>538</v>
      </c>
      <c r="B541" s="9">
        <v>1</v>
      </c>
      <c r="C541" s="9">
        <v>2001</v>
      </c>
      <c r="D541" s="9">
        <f t="shared" si="357"/>
        <v>23538145</v>
      </c>
      <c r="E541" s="9" t="str">
        <f t="shared" si="354"/>
        <v>5201133,5202135,5200131,5501134,5402132,5501135</v>
      </c>
      <c r="F541" s="9" t="str">
        <f t="shared" si="355"/>
        <v>13,13,13,13,13,13</v>
      </c>
      <c r="G541" s="9" t="str">
        <f t="shared" si="356"/>
        <v>1123,1214,1214,1214,1214,1214</v>
      </c>
      <c r="H541" s="9">
        <v>255</v>
      </c>
      <c r="I541" s="9" t="s">
        <v>278</v>
      </c>
      <c r="J541" s="9" t="s">
        <v>279</v>
      </c>
      <c r="K541" s="9" t="s">
        <v>279</v>
      </c>
      <c r="L541" s="9" t="s">
        <v>279</v>
      </c>
      <c r="M541" s="36" t="s">
        <v>314</v>
      </c>
      <c r="N541" s="40"/>
      <c r="O541" s="3">
        <f t="shared" si="322"/>
        <v>23538145</v>
      </c>
      <c r="P541" s="9">
        <v>17831928.32</v>
      </c>
      <c r="Q541" s="9">
        <v>5201133</v>
      </c>
      <c r="R541" s="9">
        <v>5202135</v>
      </c>
      <c r="S541" s="9">
        <v>5200131</v>
      </c>
      <c r="T541" s="9">
        <v>5501134</v>
      </c>
      <c r="U541" s="9">
        <v>5402132</v>
      </c>
      <c r="V541" s="9">
        <v>5501135</v>
      </c>
      <c r="W541" s="9">
        <v>13</v>
      </c>
      <c r="X541" s="9">
        <v>13</v>
      </c>
      <c r="Y541" s="9">
        <v>13</v>
      </c>
      <c r="Z541" s="9">
        <v>13</v>
      </c>
      <c r="AA541" s="9">
        <v>13</v>
      </c>
      <c r="AB541" s="9">
        <v>13</v>
      </c>
      <c r="AC541" s="9">
        <f t="shared" si="343"/>
        <v>1123</v>
      </c>
      <c r="AD541" s="9">
        <f t="shared" si="344"/>
        <v>1214</v>
      </c>
      <c r="AE541" s="9">
        <f t="shared" si="345"/>
        <v>1214</v>
      </c>
      <c r="AF541" s="9">
        <f t="shared" si="346"/>
        <v>1214</v>
      </c>
      <c r="AG541" s="9">
        <f t="shared" si="347"/>
        <v>1214</v>
      </c>
      <c r="AH541" s="9">
        <f t="shared" si="348"/>
        <v>1214</v>
      </c>
      <c r="AI541" s="7">
        <f t="shared" si="324"/>
        <v>2971988.0533333332</v>
      </c>
      <c r="AJ541" s="7">
        <f t="shared" si="324"/>
        <v>2971988.0533333332</v>
      </c>
      <c r="AK541" s="7">
        <f t="shared" si="324"/>
        <v>2971988.0533333332</v>
      </c>
      <c r="AL541" s="7">
        <f t="shared" si="324"/>
        <v>2971988.0533333332</v>
      </c>
      <c r="AM541" s="7">
        <f t="shared" si="324"/>
        <v>2971988.0533333332</v>
      </c>
      <c r="AN541" s="7">
        <f t="shared" si="324"/>
        <v>2971988.0533333332</v>
      </c>
      <c r="AO541" s="16"/>
      <c r="AP541" s="7"/>
      <c r="AQ541" s="9">
        <v>8</v>
      </c>
      <c r="AR541" s="9">
        <f t="shared" si="349"/>
        <v>1532</v>
      </c>
      <c r="AS541" s="7">
        <f t="shared" si="358"/>
        <v>369</v>
      </c>
      <c r="AT541" s="7"/>
      <c r="AU541" s="16"/>
      <c r="AV541" s="7"/>
      <c r="AW541" s="7"/>
      <c r="AX541" s="7"/>
      <c r="AZ541" s="7"/>
      <c r="BA541" s="9">
        <f t="shared" si="323"/>
        <v>2402519.5600000042</v>
      </c>
      <c r="BC541" s="5" t="e">
        <f t="shared" si="350"/>
        <v>#N/A</v>
      </c>
      <c r="BR541" s="5">
        <v>3206034</v>
      </c>
      <c r="BS541" s="18">
        <f>[1]monsters!$N541</f>
        <v>92.16</v>
      </c>
      <c r="BT541" s="18">
        <f>[1]monsters!$O541</f>
        <v>9.2200000000000006</v>
      </c>
      <c r="BU541" s="18">
        <f>[1]monsters!$P541</f>
        <v>1280</v>
      </c>
      <c r="BV541" s="18">
        <f>[1]monsters!$Q541</f>
        <v>128</v>
      </c>
      <c r="BW541" s="18">
        <f>[1]monsters!$R541</f>
        <v>18.43</v>
      </c>
      <c r="BX541" s="18">
        <f>[1]monsters!$S541</f>
        <v>1.84</v>
      </c>
      <c r="BY541" s="18">
        <f>[1]monsters!$K541</f>
        <v>1.6</v>
      </c>
      <c r="BZ541" s="5">
        <f>[1]monsters!$D541</f>
        <v>2</v>
      </c>
      <c r="CA541" s="5">
        <f t="shared" si="351"/>
        <v>0.1</v>
      </c>
      <c r="CB541" s="5">
        <f t="shared" si="352"/>
        <v>130.18884309764309</v>
      </c>
      <c r="CC541" s="5">
        <f t="shared" si="353"/>
        <v>13.01888430976431</v>
      </c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>
        <v>0</v>
      </c>
      <c r="CR541" s="3" t="b">
        <f t="shared" si="325"/>
        <v>1</v>
      </c>
      <c r="CS541" s="3" t="b">
        <f t="shared" si="326"/>
        <v>1</v>
      </c>
      <c r="CT541" s="3" t="b">
        <f t="shared" si="327"/>
        <v>1</v>
      </c>
      <c r="CU541" s="3" t="b">
        <f t="shared" si="328"/>
        <v>1</v>
      </c>
      <c r="CV541" s="3" t="b">
        <f t="shared" si="329"/>
        <v>1</v>
      </c>
      <c r="CW541" s="3" t="b">
        <f t="shared" si="330"/>
        <v>1</v>
      </c>
      <c r="CX541" s="9" t="str">
        <f t="shared" si="331"/>
        <v>5201133</v>
      </c>
      <c r="CY541" s="9" t="str">
        <f t="shared" si="332"/>
        <v>5202135</v>
      </c>
      <c r="CZ541" s="9" t="str">
        <f t="shared" si="333"/>
        <v>5200131</v>
      </c>
      <c r="DA541" s="9" t="str">
        <f t="shared" si="334"/>
        <v>5501134</v>
      </c>
      <c r="DB541" s="9" t="str">
        <f t="shared" si="335"/>
        <v>5402132</v>
      </c>
      <c r="DC541" s="9" t="str">
        <f t="shared" si="336"/>
        <v>5501135</v>
      </c>
      <c r="DD541" s="9">
        <v>13</v>
      </c>
      <c r="DE541" s="9">
        <v>13</v>
      </c>
      <c r="DF541" s="9">
        <v>13</v>
      </c>
      <c r="DG541" s="9">
        <v>13</v>
      </c>
      <c r="DH541" s="9">
        <v>13</v>
      </c>
      <c r="DI541" s="9">
        <v>13</v>
      </c>
      <c r="DJ541" s="9">
        <v>5</v>
      </c>
      <c r="DK541" s="9">
        <v>5</v>
      </c>
      <c r="DL541" s="9">
        <v>5</v>
      </c>
      <c r="DM541" s="9">
        <v>5</v>
      </c>
      <c r="DN541" s="9">
        <v>5</v>
      </c>
      <c r="DO541" s="9">
        <v>5</v>
      </c>
      <c r="DP541" s="25" t="s">
        <v>205</v>
      </c>
      <c r="DQ541" s="25" t="s">
        <v>213</v>
      </c>
      <c r="DR541" s="25" t="s">
        <v>194</v>
      </c>
      <c r="DS541" s="25" t="s">
        <v>214</v>
      </c>
      <c r="DT541" s="25" t="s">
        <v>203</v>
      </c>
      <c r="DU541" s="25" t="s">
        <v>209</v>
      </c>
      <c r="DV541" s="25">
        <f t="shared" si="337"/>
        <v>1</v>
      </c>
      <c r="DW541" s="25">
        <f t="shared" si="338"/>
        <v>1</v>
      </c>
      <c r="DX541" s="25">
        <f t="shared" si="339"/>
        <v>1</v>
      </c>
      <c r="DY541" s="25">
        <f t="shared" si="340"/>
        <v>2</v>
      </c>
      <c r="DZ541" s="25">
        <f t="shared" si="341"/>
        <v>2</v>
      </c>
      <c r="EA541" s="3">
        <f t="shared" si="342"/>
        <v>2</v>
      </c>
      <c r="EB541" s="38"/>
    </row>
    <row r="542" spans="1:132" ht="13.5" customHeight="1">
      <c r="A542" s="9">
        <v>539</v>
      </c>
      <c r="B542" s="9">
        <v>1</v>
      </c>
      <c r="C542" s="9">
        <v>2001</v>
      </c>
      <c r="D542" s="9">
        <f t="shared" si="357"/>
        <v>23606508</v>
      </c>
      <c r="E542" s="9" t="str">
        <f t="shared" si="354"/>
        <v>5302135,5202135,5202133,5401133,5400135,5400135</v>
      </c>
      <c r="F542" s="9" t="str">
        <f t="shared" si="355"/>
        <v>13,13,13,13,13,13</v>
      </c>
      <c r="G542" s="9" t="str">
        <f t="shared" si="356"/>
        <v>1125,1216,1216,1216,1216,1216</v>
      </c>
      <c r="H542" s="9">
        <v>255</v>
      </c>
      <c r="I542" s="9" t="s">
        <v>278</v>
      </c>
      <c r="J542" s="9" t="s">
        <v>279</v>
      </c>
      <c r="K542" s="9" t="s">
        <v>279</v>
      </c>
      <c r="L542" s="9" t="s">
        <v>279</v>
      </c>
      <c r="M542" s="36" t="s">
        <v>314</v>
      </c>
      <c r="N542" s="40"/>
      <c r="O542" s="3">
        <f t="shared" si="322"/>
        <v>23606508</v>
      </c>
      <c r="P542" s="9">
        <v>17883718.07</v>
      </c>
      <c r="Q542" s="9">
        <v>5302135</v>
      </c>
      <c r="R542" s="9">
        <v>5202135</v>
      </c>
      <c r="S542" s="9">
        <v>5202133</v>
      </c>
      <c r="T542" s="9">
        <v>5401133</v>
      </c>
      <c r="U542" s="9">
        <v>5400135</v>
      </c>
      <c r="V542" s="9">
        <v>5400135</v>
      </c>
      <c r="W542" s="9">
        <v>13</v>
      </c>
      <c r="X542" s="9">
        <v>13</v>
      </c>
      <c r="Y542" s="9">
        <v>13</v>
      </c>
      <c r="Z542" s="9">
        <v>13</v>
      </c>
      <c r="AA542" s="9">
        <v>13</v>
      </c>
      <c r="AB542" s="9">
        <v>13</v>
      </c>
      <c r="AC542" s="9">
        <f t="shared" si="343"/>
        <v>1125</v>
      </c>
      <c r="AD542" s="9">
        <f t="shared" si="344"/>
        <v>1216</v>
      </c>
      <c r="AE542" s="9">
        <f t="shared" si="345"/>
        <v>1216</v>
      </c>
      <c r="AF542" s="9">
        <f t="shared" si="346"/>
        <v>1216</v>
      </c>
      <c r="AG542" s="9">
        <f t="shared" si="347"/>
        <v>1216</v>
      </c>
      <c r="AH542" s="9">
        <f t="shared" si="348"/>
        <v>1216</v>
      </c>
      <c r="AI542" s="7">
        <f t="shared" si="324"/>
        <v>2980619.6783333332</v>
      </c>
      <c r="AJ542" s="7">
        <f t="shared" si="324"/>
        <v>2980619.6783333332</v>
      </c>
      <c r="AK542" s="7">
        <f t="shared" si="324"/>
        <v>2980619.6783333332</v>
      </c>
      <c r="AL542" s="7">
        <f t="shared" si="324"/>
        <v>2980619.6783333332</v>
      </c>
      <c r="AM542" s="7">
        <f t="shared" si="324"/>
        <v>2980619.6783333332</v>
      </c>
      <c r="AN542" s="7">
        <f t="shared" si="324"/>
        <v>2980619.6783333332</v>
      </c>
      <c r="AO542" s="16"/>
      <c r="AP542" s="7"/>
      <c r="AQ542" s="9">
        <v>8</v>
      </c>
      <c r="AR542" s="9">
        <f t="shared" si="349"/>
        <v>1534</v>
      </c>
      <c r="AS542" s="7">
        <f t="shared" si="358"/>
        <v>369</v>
      </c>
      <c r="AT542" s="7"/>
      <c r="AU542" s="16"/>
      <c r="AV542" s="7"/>
      <c r="AW542" s="7"/>
      <c r="AX542" s="7"/>
      <c r="AZ542" s="7"/>
      <c r="BA542" s="9">
        <f t="shared" si="323"/>
        <v>2413112.1800000044</v>
      </c>
      <c r="BC542" s="5" t="e">
        <f t="shared" si="350"/>
        <v>#N/A</v>
      </c>
      <c r="BR542" s="5">
        <v>3406034</v>
      </c>
      <c r="BS542" s="18">
        <f>[1]monsters!$N542</f>
        <v>116.48</v>
      </c>
      <c r="BT542" s="18">
        <f>[1]monsters!$O542</f>
        <v>11.65</v>
      </c>
      <c r="BU542" s="18">
        <f>[1]monsters!$P542</f>
        <v>886.15</v>
      </c>
      <c r="BV542" s="18">
        <f>[1]monsters!$Q542</f>
        <v>88.62</v>
      </c>
      <c r="BW542" s="18">
        <f>[1]monsters!$R542</f>
        <v>11.65</v>
      </c>
      <c r="BX542" s="18">
        <f>[1]monsters!$S542</f>
        <v>1.1599999999999999</v>
      </c>
      <c r="BY542" s="18">
        <f>[1]monsters!$K542</f>
        <v>1.4</v>
      </c>
      <c r="BZ542" s="5">
        <f>[1]monsters!$D542</f>
        <v>4</v>
      </c>
      <c r="CA542" s="5">
        <f t="shared" si="351"/>
        <v>0.1</v>
      </c>
      <c r="CB542" s="5">
        <f t="shared" si="352"/>
        <v>139.91030033670035</v>
      </c>
      <c r="CC542" s="5">
        <f t="shared" si="353"/>
        <v>13.991030033670036</v>
      </c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>
        <v>0</v>
      </c>
      <c r="CR542" s="3" t="b">
        <f t="shared" si="325"/>
        <v>1</v>
      </c>
      <c r="CS542" s="3" t="b">
        <f t="shared" si="326"/>
        <v>1</v>
      </c>
      <c r="CT542" s="3" t="b">
        <f t="shared" si="327"/>
        <v>1</v>
      </c>
      <c r="CU542" s="3" t="b">
        <f t="shared" si="328"/>
        <v>1</v>
      </c>
      <c r="CV542" s="3" t="b">
        <f t="shared" si="329"/>
        <v>1</v>
      </c>
      <c r="CW542" s="3" t="b">
        <f t="shared" si="330"/>
        <v>1</v>
      </c>
      <c r="CX542" s="9" t="str">
        <f t="shared" si="331"/>
        <v>5302135</v>
      </c>
      <c r="CY542" s="9" t="str">
        <f t="shared" si="332"/>
        <v>5202135</v>
      </c>
      <c r="CZ542" s="9" t="str">
        <f t="shared" si="333"/>
        <v>5202133</v>
      </c>
      <c r="DA542" s="9" t="str">
        <f t="shared" si="334"/>
        <v>5401133</v>
      </c>
      <c r="DB542" s="9" t="str">
        <f t="shared" si="335"/>
        <v>5400135</v>
      </c>
      <c r="DC542" s="9" t="str">
        <f t="shared" si="336"/>
        <v>5400135</v>
      </c>
      <c r="DD542" s="9">
        <v>13</v>
      </c>
      <c r="DE542" s="9">
        <v>13</v>
      </c>
      <c r="DF542" s="9">
        <v>13</v>
      </c>
      <c r="DG542" s="9">
        <v>13</v>
      </c>
      <c r="DH542" s="9">
        <v>13</v>
      </c>
      <c r="DI542" s="9">
        <v>13</v>
      </c>
      <c r="DJ542" s="9">
        <v>5</v>
      </c>
      <c r="DK542" s="9">
        <v>5</v>
      </c>
      <c r="DL542" s="9">
        <v>5</v>
      </c>
      <c r="DM542" s="9">
        <v>5</v>
      </c>
      <c r="DN542" s="9">
        <v>5</v>
      </c>
      <c r="DO542" s="9">
        <v>5</v>
      </c>
      <c r="DP542" s="25" t="s">
        <v>221</v>
      </c>
      <c r="DQ542" s="25" t="s">
        <v>213</v>
      </c>
      <c r="DR542" s="25" t="s">
        <v>208</v>
      </c>
      <c r="DS542" s="25" t="s">
        <v>211</v>
      </c>
      <c r="DT542" s="25" t="s">
        <v>210</v>
      </c>
      <c r="DU542" s="25" t="s">
        <v>210</v>
      </c>
      <c r="DV542" s="25">
        <f t="shared" si="337"/>
        <v>1</v>
      </c>
      <c r="DW542" s="25">
        <f t="shared" si="338"/>
        <v>1</v>
      </c>
      <c r="DX542" s="25">
        <f t="shared" si="339"/>
        <v>1</v>
      </c>
      <c r="DY542" s="25">
        <f t="shared" si="340"/>
        <v>2</v>
      </c>
      <c r="DZ542" s="25">
        <f t="shared" si="341"/>
        <v>2</v>
      </c>
      <c r="EA542" s="3">
        <f t="shared" si="342"/>
        <v>2</v>
      </c>
      <c r="EB542" s="38"/>
    </row>
    <row r="543" spans="1:132" ht="13.5" customHeight="1">
      <c r="A543" s="9">
        <v>540</v>
      </c>
      <c r="B543" s="9">
        <v>1</v>
      </c>
      <c r="C543" s="9">
        <v>2001</v>
      </c>
      <c r="D543" s="9">
        <f t="shared" si="357"/>
        <v>23674970</v>
      </c>
      <c r="E543" s="9" t="str">
        <f t="shared" si="354"/>
        <v>5202132,5202132,5301132,5502132,5500131,5502131</v>
      </c>
      <c r="F543" s="9" t="str">
        <f t="shared" si="355"/>
        <v>13,13,13,13,13,13</v>
      </c>
      <c r="G543" s="9" t="str">
        <f t="shared" si="356"/>
        <v>1127,1218,1218,1218,1218,1218</v>
      </c>
      <c r="H543" s="9">
        <v>256</v>
      </c>
      <c r="I543" s="9" t="s">
        <v>278</v>
      </c>
      <c r="J543" s="9" t="s">
        <v>279</v>
      </c>
      <c r="K543" s="9" t="s">
        <v>279</v>
      </c>
      <c r="L543" s="9" t="s">
        <v>279</v>
      </c>
      <c r="M543" s="36" t="s">
        <v>314</v>
      </c>
      <c r="O543" s="3">
        <f t="shared" si="322"/>
        <v>23674970</v>
      </c>
      <c r="P543" s="9">
        <v>17935583.440000001</v>
      </c>
      <c r="Q543" s="9">
        <v>5202132</v>
      </c>
      <c r="R543" s="9">
        <v>5202132</v>
      </c>
      <c r="S543" s="9">
        <v>5301132</v>
      </c>
      <c r="T543" s="9">
        <v>5502132</v>
      </c>
      <c r="U543" s="9">
        <v>5500131</v>
      </c>
      <c r="V543" s="9">
        <v>5502131</v>
      </c>
      <c r="W543" s="9">
        <v>13</v>
      </c>
      <c r="X543" s="9">
        <v>13</v>
      </c>
      <c r="Y543" s="9">
        <v>13</v>
      </c>
      <c r="Z543" s="9">
        <v>13</v>
      </c>
      <c r="AA543" s="9">
        <v>13</v>
      </c>
      <c r="AB543" s="9">
        <v>13</v>
      </c>
      <c r="AC543" s="9">
        <f t="shared" si="343"/>
        <v>1127</v>
      </c>
      <c r="AD543" s="9">
        <f t="shared" si="344"/>
        <v>1218</v>
      </c>
      <c r="AE543" s="9">
        <f t="shared" si="345"/>
        <v>1218</v>
      </c>
      <c r="AF543" s="9">
        <f t="shared" si="346"/>
        <v>1218</v>
      </c>
      <c r="AG543" s="9">
        <f t="shared" si="347"/>
        <v>1218</v>
      </c>
      <c r="AH543" s="9">
        <f t="shared" si="348"/>
        <v>1218</v>
      </c>
      <c r="AI543" s="7">
        <f t="shared" si="324"/>
        <v>2989263.9066666667</v>
      </c>
      <c r="AJ543" s="7">
        <f t="shared" si="324"/>
        <v>2989263.9066666667</v>
      </c>
      <c r="AK543" s="7">
        <f t="shared" si="324"/>
        <v>2989263.9066666667</v>
      </c>
      <c r="AL543" s="7">
        <f t="shared" si="324"/>
        <v>2989263.9066666667</v>
      </c>
      <c r="AM543" s="7">
        <f t="shared" si="324"/>
        <v>2989263.9066666667</v>
      </c>
      <c r="AN543" s="7">
        <f t="shared" si="324"/>
        <v>2989263.9066666667</v>
      </c>
      <c r="AO543" s="16"/>
      <c r="AP543" s="7"/>
      <c r="AQ543" s="9">
        <v>8</v>
      </c>
      <c r="AR543" s="9">
        <f t="shared" si="349"/>
        <v>1537</v>
      </c>
      <c r="AS543" s="7">
        <f t="shared" si="358"/>
        <v>370</v>
      </c>
      <c r="AT543" s="7"/>
      <c r="AU543" s="16"/>
      <c r="AV543" s="7"/>
      <c r="AW543" s="7"/>
      <c r="AX543" s="7"/>
      <c r="AZ543" s="7"/>
      <c r="BA543" s="9">
        <f t="shared" si="323"/>
        <v>2423704.8000000045</v>
      </c>
      <c r="BC543" s="5" t="e">
        <f t="shared" si="350"/>
        <v>#N/A</v>
      </c>
      <c r="BR543" s="5">
        <v>3205034</v>
      </c>
      <c r="BS543" s="18">
        <f>[1]monsters!$N543</f>
        <v>80.64</v>
      </c>
      <c r="BT543" s="18">
        <f>[1]monsters!$O543</f>
        <v>8.06</v>
      </c>
      <c r="BU543" s="18">
        <f>[1]monsters!$P543</f>
        <v>1280</v>
      </c>
      <c r="BV543" s="18">
        <f>[1]monsters!$Q543</f>
        <v>128</v>
      </c>
      <c r="BW543" s="18">
        <f>[1]monsters!$R543</f>
        <v>16.13</v>
      </c>
      <c r="BX543" s="18">
        <f>[1]monsters!$S543</f>
        <v>1.61</v>
      </c>
      <c r="BY543" s="18">
        <f>[1]monsters!$K543</f>
        <v>1.4</v>
      </c>
      <c r="BZ543" s="5">
        <f>[1]monsters!$D543</f>
        <v>2</v>
      </c>
      <c r="CA543" s="5">
        <f t="shared" si="351"/>
        <v>0.1</v>
      </c>
      <c r="CB543" s="5">
        <f t="shared" si="352"/>
        <v>119.30244309764311</v>
      </c>
      <c r="CC543" s="5">
        <f t="shared" si="353"/>
        <v>11.930244309764312</v>
      </c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>
        <v>1</v>
      </c>
      <c r="CR543" s="3" t="b">
        <f t="shared" si="325"/>
        <v>1</v>
      </c>
      <c r="CS543" s="3" t="b">
        <f t="shared" si="326"/>
        <v>1</v>
      </c>
      <c r="CT543" s="3" t="b">
        <f t="shared" si="327"/>
        <v>1</v>
      </c>
      <c r="CU543" s="3" t="b">
        <f t="shared" si="328"/>
        <v>1</v>
      </c>
      <c r="CV543" s="3" t="b">
        <f t="shared" si="329"/>
        <v>1</v>
      </c>
      <c r="CW543" s="3" t="b">
        <f t="shared" si="330"/>
        <v>1</v>
      </c>
      <c r="CX543" s="9" t="str">
        <f t="shared" si="331"/>
        <v>5202132</v>
      </c>
      <c r="CY543" s="9" t="str">
        <f t="shared" si="332"/>
        <v>5202132</v>
      </c>
      <c r="CZ543" s="9" t="str">
        <f t="shared" si="333"/>
        <v>5301132</v>
      </c>
      <c r="DA543" s="9" t="str">
        <f t="shared" si="334"/>
        <v>5502132</v>
      </c>
      <c r="DB543" s="9" t="str">
        <f t="shared" si="335"/>
        <v>5500131</v>
      </c>
      <c r="DC543" s="9" t="str">
        <f t="shared" si="336"/>
        <v>5502131</v>
      </c>
      <c r="DD543" s="9">
        <v>13</v>
      </c>
      <c r="DE543" s="9">
        <v>13</v>
      </c>
      <c r="DF543" s="9">
        <v>13</v>
      </c>
      <c r="DG543" s="9">
        <v>13</v>
      </c>
      <c r="DH543" s="9">
        <v>13</v>
      </c>
      <c r="DI543" s="9">
        <v>13</v>
      </c>
      <c r="DJ543" s="9">
        <v>5</v>
      </c>
      <c r="DK543" s="9">
        <v>5</v>
      </c>
      <c r="DL543" s="9">
        <v>5</v>
      </c>
      <c r="DM543" s="9">
        <v>5</v>
      </c>
      <c r="DN543" s="9">
        <v>5</v>
      </c>
      <c r="DO543" s="9">
        <v>5</v>
      </c>
      <c r="DP543" s="25" t="s">
        <v>200</v>
      </c>
      <c r="DQ543" s="25" t="s">
        <v>200</v>
      </c>
      <c r="DR543" s="25" t="s">
        <v>201</v>
      </c>
      <c r="DS543" s="25" t="s">
        <v>204</v>
      </c>
      <c r="DT543" s="25" t="s">
        <v>197</v>
      </c>
      <c r="DU543" s="25" t="s">
        <v>119</v>
      </c>
      <c r="DV543" s="25">
        <f t="shared" si="337"/>
        <v>1</v>
      </c>
      <c r="DW543" s="25">
        <f t="shared" si="338"/>
        <v>1</v>
      </c>
      <c r="DX543" s="25">
        <f t="shared" si="339"/>
        <v>1</v>
      </c>
      <c r="DY543" s="25">
        <f t="shared" si="340"/>
        <v>2</v>
      </c>
      <c r="DZ543" s="25">
        <f t="shared" si="341"/>
        <v>2</v>
      </c>
      <c r="EA543" s="3">
        <f t="shared" si="342"/>
        <v>2</v>
      </c>
      <c r="EB543" s="38"/>
    </row>
    <row r="544" spans="1:132" ht="13.5" customHeight="1">
      <c r="A544" s="9">
        <v>541</v>
      </c>
      <c r="B544" s="9">
        <v>1</v>
      </c>
      <c r="C544" s="9">
        <v>2001</v>
      </c>
      <c r="D544" s="9">
        <f t="shared" si="357"/>
        <v>23743532</v>
      </c>
      <c r="E544" s="9" t="str">
        <f t="shared" si="354"/>
        <v>5202133,5201133,5302134,5400135,5601131,5501134</v>
      </c>
      <c r="F544" s="9" t="str">
        <f t="shared" si="355"/>
        <v>13,13,13,13,13,13</v>
      </c>
      <c r="G544" s="9" t="str">
        <f t="shared" si="356"/>
        <v>1128,1219,1219,1219,1219,1219</v>
      </c>
      <c r="H544" s="9">
        <v>256</v>
      </c>
      <c r="I544" s="9" t="s">
        <v>278</v>
      </c>
      <c r="J544" s="9" t="s">
        <v>279</v>
      </c>
      <c r="K544" s="9" t="s">
        <v>279</v>
      </c>
      <c r="L544" s="9" t="s">
        <v>279</v>
      </c>
      <c r="M544" s="36" t="s">
        <v>315</v>
      </c>
      <c r="N544" s="40"/>
      <c r="O544" s="3">
        <f t="shared" si="322"/>
        <v>23743532</v>
      </c>
      <c r="P544" s="9">
        <v>17987524.43</v>
      </c>
      <c r="Q544" s="9">
        <v>5202133</v>
      </c>
      <c r="R544" s="9">
        <v>5201133</v>
      </c>
      <c r="S544" s="9">
        <v>5302134</v>
      </c>
      <c r="T544" s="9">
        <v>5400135</v>
      </c>
      <c r="U544" s="9">
        <v>5601131</v>
      </c>
      <c r="V544" s="9">
        <v>5501134</v>
      </c>
      <c r="W544" s="9">
        <v>13</v>
      </c>
      <c r="X544" s="9">
        <v>13</v>
      </c>
      <c r="Y544" s="9">
        <v>13</v>
      </c>
      <c r="Z544" s="9">
        <v>13</v>
      </c>
      <c r="AA544" s="9">
        <v>13</v>
      </c>
      <c r="AB544" s="9">
        <v>13</v>
      </c>
      <c r="AC544" s="9">
        <f t="shared" si="343"/>
        <v>1128</v>
      </c>
      <c r="AD544" s="9">
        <f t="shared" si="344"/>
        <v>1219</v>
      </c>
      <c r="AE544" s="9">
        <f t="shared" si="345"/>
        <v>1219</v>
      </c>
      <c r="AF544" s="9">
        <f t="shared" si="346"/>
        <v>1219</v>
      </c>
      <c r="AG544" s="9">
        <f t="shared" si="347"/>
        <v>1219</v>
      </c>
      <c r="AH544" s="9">
        <f t="shared" si="348"/>
        <v>1219</v>
      </c>
      <c r="AI544" s="7">
        <f t="shared" si="324"/>
        <v>2997920.7383333333</v>
      </c>
      <c r="AJ544" s="7">
        <f t="shared" si="324"/>
        <v>2997920.7383333333</v>
      </c>
      <c r="AK544" s="7">
        <f t="shared" si="324"/>
        <v>2997920.7383333333</v>
      </c>
      <c r="AL544" s="7">
        <f t="shared" si="324"/>
        <v>2997920.7383333333</v>
      </c>
      <c r="AM544" s="7">
        <f t="shared" si="324"/>
        <v>2997920.7383333333</v>
      </c>
      <c r="AN544" s="7">
        <f t="shared" si="324"/>
        <v>2997920.7383333333</v>
      </c>
      <c r="AO544" s="16"/>
      <c r="AP544" s="7"/>
      <c r="AQ544" s="9">
        <v>8</v>
      </c>
      <c r="AR544" s="9">
        <f t="shared" si="349"/>
        <v>1539</v>
      </c>
      <c r="AS544" s="7">
        <f t="shared" si="358"/>
        <v>370</v>
      </c>
      <c r="AT544" s="7"/>
      <c r="AU544" s="16"/>
      <c r="AV544" s="7"/>
      <c r="AW544" s="7"/>
      <c r="AX544" s="7"/>
      <c r="AZ544" s="7"/>
      <c r="BA544" s="9">
        <f t="shared" si="323"/>
        <v>2434297.4200000046</v>
      </c>
      <c r="BC544" s="5" t="e">
        <f t="shared" si="350"/>
        <v>#N/A</v>
      </c>
      <c r="BR544" s="5">
        <v>3405034</v>
      </c>
      <c r="BS544" s="18">
        <f>[1]monsters!$N544</f>
        <v>133.12</v>
      </c>
      <c r="BT544" s="18">
        <f>[1]monsters!$O544</f>
        <v>13.31</v>
      </c>
      <c r="BU544" s="18">
        <f>[1]monsters!$P544</f>
        <v>886.15</v>
      </c>
      <c r="BV544" s="18">
        <f>[1]monsters!$Q544</f>
        <v>88.62</v>
      </c>
      <c r="BW544" s="18">
        <f>[1]monsters!$R544</f>
        <v>13.31</v>
      </c>
      <c r="BX544" s="18">
        <f>[1]monsters!$S544</f>
        <v>1.33</v>
      </c>
      <c r="BY544" s="18">
        <f>[1]monsters!$K544</f>
        <v>1.6</v>
      </c>
      <c r="BZ544" s="5">
        <f>[1]monsters!$D544</f>
        <v>4</v>
      </c>
      <c r="CA544" s="5">
        <f t="shared" si="351"/>
        <v>0.1</v>
      </c>
      <c r="CB544" s="5">
        <f t="shared" si="352"/>
        <v>155.63510033670036</v>
      </c>
      <c r="CC544" s="5">
        <f t="shared" si="353"/>
        <v>15.563510033670036</v>
      </c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>
        <v>0</v>
      </c>
      <c r="CR544" s="3" t="b">
        <f t="shared" si="325"/>
        <v>1</v>
      </c>
      <c r="CS544" s="3" t="b">
        <f t="shared" si="326"/>
        <v>1</v>
      </c>
      <c r="CT544" s="3" t="b">
        <f t="shared" si="327"/>
        <v>1</v>
      </c>
      <c r="CU544" s="3" t="b">
        <f t="shared" si="328"/>
        <v>1</v>
      </c>
      <c r="CV544" s="3" t="b">
        <f t="shared" si="329"/>
        <v>1</v>
      </c>
      <c r="CW544" s="3" t="b">
        <f t="shared" si="330"/>
        <v>1</v>
      </c>
      <c r="CX544" s="9" t="str">
        <f t="shared" si="331"/>
        <v>5202133</v>
      </c>
      <c r="CY544" s="9" t="str">
        <f t="shared" si="332"/>
        <v>5201133</v>
      </c>
      <c r="CZ544" s="9" t="str">
        <f t="shared" si="333"/>
        <v>5302134</v>
      </c>
      <c r="DA544" s="9" t="str">
        <f t="shared" si="334"/>
        <v>5400135</v>
      </c>
      <c r="DB544" s="9" t="str">
        <f t="shared" si="335"/>
        <v>5601131</v>
      </c>
      <c r="DC544" s="9" t="str">
        <f t="shared" si="336"/>
        <v>5501134</v>
      </c>
      <c r="DD544" s="9">
        <v>13</v>
      </c>
      <c r="DE544" s="9">
        <v>13</v>
      </c>
      <c r="DF544" s="9">
        <v>13</v>
      </c>
      <c r="DG544" s="9">
        <v>13</v>
      </c>
      <c r="DH544" s="9">
        <v>13</v>
      </c>
      <c r="DI544" s="9">
        <v>13</v>
      </c>
      <c r="DJ544" s="9">
        <v>5</v>
      </c>
      <c r="DK544" s="9">
        <v>5</v>
      </c>
      <c r="DL544" s="9">
        <v>5</v>
      </c>
      <c r="DM544" s="9">
        <v>5</v>
      </c>
      <c r="DN544" s="9">
        <v>5</v>
      </c>
      <c r="DO544" s="9">
        <v>5</v>
      </c>
      <c r="DP544" s="25" t="s">
        <v>208</v>
      </c>
      <c r="DQ544" s="25" t="s">
        <v>205</v>
      </c>
      <c r="DR544" s="25" t="s">
        <v>218</v>
      </c>
      <c r="DS544" s="25" t="s">
        <v>210</v>
      </c>
      <c r="DT544" s="25" t="s">
        <v>198</v>
      </c>
      <c r="DU544" s="25" t="s">
        <v>214</v>
      </c>
      <c r="DV544" s="25">
        <f t="shared" si="337"/>
        <v>1</v>
      </c>
      <c r="DW544" s="25">
        <f t="shared" si="338"/>
        <v>1</v>
      </c>
      <c r="DX544" s="25">
        <f t="shared" si="339"/>
        <v>1</v>
      </c>
      <c r="DY544" s="25">
        <f t="shared" si="340"/>
        <v>2</v>
      </c>
      <c r="DZ544" s="25">
        <f t="shared" si="341"/>
        <v>2</v>
      </c>
      <c r="EA544" s="3">
        <f t="shared" si="342"/>
        <v>2</v>
      </c>
      <c r="EB544" s="49"/>
    </row>
    <row r="545" spans="1:132" ht="13.5" customHeight="1">
      <c r="A545" s="9">
        <v>542</v>
      </c>
      <c r="B545" s="9">
        <v>1</v>
      </c>
      <c r="C545" s="9">
        <v>2001</v>
      </c>
      <c r="D545" s="9">
        <f t="shared" si="357"/>
        <v>23812192</v>
      </c>
      <c r="E545" s="9" t="str">
        <f t="shared" si="354"/>
        <v>5200133,5202135,5301133,5401133,5400135,5501135</v>
      </c>
      <c r="F545" s="9" t="str">
        <f t="shared" si="355"/>
        <v>13,13,13,13,13,13</v>
      </c>
      <c r="G545" s="9" t="str">
        <f t="shared" si="356"/>
        <v>1130,1221,1221,1221,1221,1221</v>
      </c>
      <c r="H545" s="9">
        <v>256</v>
      </c>
      <c r="I545" s="9" t="s">
        <v>278</v>
      </c>
      <c r="J545" s="9" t="s">
        <v>279</v>
      </c>
      <c r="K545" s="9" t="s">
        <v>279</v>
      </c>
      <c r="L545" s="9" t="s">
        <v>279</v>
      </c>
      <c r="M545" s="36" t="s">
        <v>315</v>
      </c>
      <c r="N545" s="40"/>
      <c r="O545" s="3">
        <f t="shared" si="322"/>
        <v>23812192</v>
      </c>
      <c r="P545" s="9">
        <v>18039539.050000001</v>
      </c>
      <c r="Q545" s="9">
        <v>5200133</v>
      </c>
      <c r="R545" s="9">
        <v>5202135</v>
      </c>
      <c r="S545" s="9">
        <v>5301133</v>
      </c>
      <c r="T545" s="9">
        <v>5401133</v>
      </c>
      <c r="U545" s="9">
        <v>5400135</v>
      </c>
      <c r="V545" s="9">
        <v>5501135</v>
      </c>
      <c r="W545" s="9">
        <v>13</v>
      </c>
      <c r="X545" s="9">
        <v>13</v>
      </c>
      <c r="Y545" s="9">
        <v>13</v>
      </c>
      <c r="Z545" s="9">
        <v>13</v>
      </c>
      <c r="AA545" s="9">
        <v>13</v>
      </c>
      <c r="AB545" s="9">
        <v>13</v>
      </c>
      <c r="AC545" s="9">
        <f t="shared" si="343"/>
        <v>1130</v>
      </c>
      <c r="AD545" s="9">
        <f t="shared" si="344"/>
        <v>1221</v>
      </c>
      <c r="AE545" s="9">
        <f t="shared" si="345"/>
        <v>1221</v>
      </c>
      <c r="AF545" s="9">
        <f t="shared" si="346"/>
        <v>1221</v>
      </c>
      <c r="AG545" s="9">
        <f t="shared" si="347"/>
        <v>1221</v>
      </c>
      <c r="AH545" s="9">
        <f t="shared" si="348"/>
        <v>1221</v>
      </c>
      <c r="AI545" s="7">
        <f t="shared" si="324"/>
        <v>3006589.8416666668</v>
      </c>
      <c r="AJ545" s="7">
        <f t="shared" si="324"/>
        <v>3006589.8416666668</v>
      </c>
      <c r="AK545" s="7">
        <f t="shared" si="324"/>
        <v>3006589.8416666668</v>
      </c>
      <c r="AL545" s="7">
        <f t="shared" si="324"/>
        <v>3006589.8416666668</v>
      </c>
      <c r="AM545" s="7">
        <f t="shared" si="324"/>
        <v>3006589.8416666668</v>
      </c>
      <c r="AN545" s="7">
        <f t="shared" si="324"/>
        <v>3006589.8416666668</v>
      </c>
      <c r="AO545" s="16"/>
      <c r="AP545" s="7"/>
      <c r="AQ545" s="9">
        <v>8</v>
      </c>
      <c r="AR545" s="9">
        <f t="shared" si="349"/>
        <v>1541</v>
      </c>
      <c r="AS545" s="7">
        <f t="shared" si="358"/>
        <v>371</v>
      </c>
      <c r="AT545" s="7"/>
      <c r="AU545" s="16"/>
      <c r="AV545" s="7"/>
      <c r="AW545" s="7"/>
      <c r="AX545" s="7"/>
      <c r="AZ545" s="7"/>
      <c r="BA545" s="9">
        <f t="shared" si="323"/>
        <v>2444890.0400000047</v>
      </c>
      <c r="BC545" s="5" t="e">
        <f t="shared" si="350"/>
        <v>#N/A</v>
      </c>
      <c r="BR545" s="5">
        <v>3203034</v>
      </c>
      <c r="BS545" s="18">
        <f>[1]monsters!$N545</f>
        <v>122.88</v>
      </c>
      <c r="BT545" s="18">
        <f>[1]monsters!$O545</f>
        <v>12.29</v>
      </c>
      <c r="BU545" s="18">
        <f>[1]monsters!$P545</f>
        <v>960</v>
      </c>
      <c r="BV545" s="18">
        <f>[1]monsters!$Q545</f>
        <v>96</v>
      </c>
      <c r="BW545" s="18">
        <f>[1]monsters!$R545</f>
        <v>20.48</v>
      </c>
      <c r="BX545" s="18">
        <f>[1]monsters!$S545</f>
        <v>2.0499999999999998</v>
      </c>
      <c r="BY545" s="18">
        <f>[1]monsters!$K545</f>
        <v>1.6</v>
      </c>
      <c r="BZ545" s="5">
        <f>[1]monsters!$D545</f>
        <v>5</v>
      </c>
      <c r="CA545" s="5">
        <f t="shared" si="351"/>
        <v>0.1</v>
      </c>
      <c r="CB545" s="5">
        <f t="shared" si="352"/>
        <v>148.44483232323233</v>
      </c>
      <c r="CC545" s="5">
        <f t="shared" si="353"/>
        <v>14.844483232323235</v>
      </c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>
        <v>0</v>
      </c>
      <c r="CR545" s="3" t="b">
        <f t="shared" si="325"/>
        <v>1</v>
      </c>
      <c r="CS545" s="3" t="b">
        <f t="shared" si="326"/>
        <v>1</v>
      </c>
      <c r="CT545" s="3" t="b">
        <f t="shared" si="327"/>
        <v>1</v>
      </c>
      <c r="CU545" s="3" t="b">
        <f t="shared" si="328"/>
        <v>1</v>
      </c>
      <c r="CV545" s="3" t="b">
        <f t="shared" si="329"/>
        <v>1</v>
      </c>
      <c r="CW545" s="3" t="b">
        <f t="shared" si="330"/>
        <v>1</v>
      </c>
      <c r="CX545" s="9" t="str">
        <f t="shared" si="331"/>
        <v>5200133</v>
      </c>
      <c r="CY545" s="9" t="str">
        <f t="shared" si="332"/>
        <v>5202135</v>
      </c>
      <c r="CZ545" s="9" t="str">
        <f t="shared" si="333"/>
        <v>5301133</v>
      </c>
      <c r="DA545" s="9" t="str">
        <f t="shared" si="334"/>
        <v>5401133</v>
      </c>
      <c r="DB545" s="9" t="str">
        <f t="shared" si="335"/>
        <v>5400135</v>
      </c>
      <c r="DC545" s="9" t="str">
        <f t="shared" si="336"/>
        <v>5501135</v>
      </c>
      <c r="DD545" s="9">
        <v>13</v>
      </c>
      <c r="DE545" s="9">
        <v>13</v>
      </c>
      <c r="DF545" s="9">
        <v>13</v>
      </c>
      <c r="DG545" s="9">
        <v>13</v>
      </c>
      <c r="DH545" s="9">
        <v>13</v>
      </c>
      <c r="DI545" s="9">
        <v>13</v>
      </c>
      <c r="DJ545" s="9">
        <v>5</v>
      </c>
      <c r="DK545" s="9">
        <v>5</v>
      </c>
      <c r="DL545" s="9">
        <v>5</v>
      </c>
      <c r="DM545" s="9">
        <v>5</v>
      </c>
      <c r="DN545" s="9">
        <v>5</v>
      </c>
      <c r="DO545" s="9">
        <v>5</v>
      </c>
      <c r="DP545" s="25" t="s">
        <v>113</v>
      </c>
      <c r="DQ545" s="25" t="s">
        <v>213</v>
      </c>
      <c r="DR545" s="25" t="s">
        <v>206</v>
      </c>
      <c r="DS545" s="25" t="s">
        <v>211</v>
      </c>
      <c r="DT545" s="25" t="s">
        <v>210</v>
      </c>
      <c r="DU545" s="25" t="s">
        <v>209</v>
      </c>
      <c r="DV545" s="25">
        <f t="shared" si="337"/>
        <v>1</v>
      </c>
      <c r="DW545" s="25">
        <f t="shared" si="338"/>
        <v>1</v>
      </c>
      <c r="DX545" s="25">
        <f t="shared" si="339"/>
        <v>1</v>
      </c>
      <c r="DY545" s="25">
        <f t="shared" si="340"/>
        <v>2</v>
      </c>
      <c r="DZ545" s="25">
        <f t="shared" si="341"/>
        <v>2</v>
      </c>
      <c r="EA545" s="3">
        <f t="shared" si="342"/>
        <v>2</v>
      </c>
      <c r="EB545" s="38"/>
    </row>
    <row r="546" spans="1:132" ht="13.5" customHeight="1">
      <c r="A546" s="9">
        <v>543</v>
      </c>
      <c r="B546" s="9">
        <v>1</v>
      </c>
      <c r="C546" s="9">
        <v>2001</v>
      </c>
      <c r="D546" s="9">
        <f t="shared" si="357"/>
        <v>23880951</v>
      </c>
      <c r="E546" s="9" t="str">
        <f t="shared" si="354"/>
        <v>5201133,5200133,5301132,5501134,5500133,5501134</v>
      </c>
      <c r="F546" s="9" t="str">
        <f t="shared" si="355"/>
        <v>13,13,13,13,13,13</v>
      </c>
      <c r="G546" s="9" t="str">
        <f t="shared" si="356"/>
        <v>1131,1223,1223,1223,1223,1223</v>
      </c>
      <c r="H546" s="9">
        <v>257</v>
      </c>
      <c r="I546" s="9" t="s">
        <v>278</v>
      </c>
      <c r="J546" s="9" t="s">
        <v>279</v>
      </c>
      <c r="K546" s="9" t="s">
        <v>279</v>
      </c>
      <c r="L546" s="9" t="s">
        <v>279</v>
      </c>
      <c r="M546" s="36" t="s">
        <v>315</v>
      </c>
      <c r="N546" s="40"/>
      <c r="O546" s="3">
        <f t="shared" si="322"/>
        <v>23880951</v>
      </c>
      <c r="P546" s="9">
        <v>18091629.289999999</v>
      </c>
      <c r="Q546" s="9">
        <v>5201133</v>
      </c>
      <c r="R546" s="9">
        <v>5200133</v>
      </c>
      <c r="S546" s="9">
        <v>5301132</v>
      </c>
      <c r="T546" s="9">
        <v>5501134</v>
      </c>
      <c r="U546" s="9">
        <v>5500133</v>
      </c>
      <c r="V546" s="9">
        <v>5501134</v>
      </c>
      <c r="W546" s="9">
        <v>13</v>
      </c>
      <c r="X546" s="9">
        <v>13</v>
      </c>
      <c r="Y546" s="9">
        <v>13</v>
      </c>
      <c r="Z546" s="9">
        <v>13</v>
      </c>
      <c r="AA546" s="9">
        <v>13</v>
      </c>
      <c r="AB546" s="9">
        <v>13</v>
      </c>
      <c r="AC546" s="9">
        <f t="shared" si="343"/>
        <v>1131</v>
      </c>
      <c r="AD546" s="9">
        <f t="shared" si="344"/>
        <v>1223</v>
      </c>
      <c r="AE546" s="9">
        <f t="shared" si="345"/>
        <v>1223</v>
      </c>
      <c r="AF546" s="9">
        <f t="shared" si="346"/>
        <v>1223</v>
      </c>
      <c r="AG546" s="9">
        <f t="shared" si="347"/>
        <v>1223</v>
      </c>
      <c r="AH546" s="9">
        <f t="shared" si="348"/>
        <v>1223</v>
      </c>
      <c r="AI546" s="7">
        <f t="shared" si="324"/>
        <v>3015271.5483333333</v>
      </c>
      <c r="AJ546" s="7">
        <f t="shared" si="324"/>
        <v>3015271.5483333333</v>
      </c>
      <c r="AK546" s="7">
        <f t="shared" si="324"/>
        <v>3015271.5483333333</v>
      </c>
      <c r="AL546" s="7">
        <f t="shared" si="324"/>
        <v>3015271.5483333333</v>
      </c>
      <c r="AM546" s="7">
        <f t="shared" si="324"/>
        <v>3015271.5483333333</v>
      </c>
      <c r="AN546" s="7">
        <f t="shared" si="324"/>
        <v>3015271.5483333333</v>
      </c>
      <c r="AO546" s="16"/>
      <c r="AP546" s="7"/>
      <c r="AQ546" s="9">
        <v>8</v>
      </c>
      <c r="AR546" s="9">
        <f t="shared" si="349"/>
        <v>1543</v>
      </c>
      <c r="AS546" s="7">
        <f t="shared" si="358"/>
        <v>371</v>
      </c>
      <c r="AT546" s="7"/>
      <c r="AU546" s="16"/>
      <c r="AV546" s="7"/>
      <c r="AW546" s="7"/>
      <c r="AX546" s="7"/>
      <c r="AZ546" s="7"/>
      <c r="BA546" s="9">
        <f t="shared" si="323"/>
        <v>2455482.6600000048</v>
      </c>
      <c r="BC546" s="5" t="e">
        <f t="shared" si="350"/>
        <v>#N/A</v>
      </c>
      <c r="BR546" s="5">
        <v>3403034</v>
      </c>
      <c r="BS546" s="18">
        <f>[1]monsters!$N546</f>
        <v>103.04</v>
      </c>
      <c r="BT546" s="18">
        <f>[1]monsters!$O546</f>
        <v>10.3</v>
      </c>
      <c r="BU546" s="18">
        <f>[1]monsters!$P546</f>
        <v>1001.74</v>
      </c>
      <c r="BV546" s="18">
        <f>[1]monsters!$Q546</f>
        <v>100.17</v>
      </c>
      <c r="BW546" s="18">
        <f>[1]monsters!$R546</f>
        <v>12.88</v>
      </c>
      <c r="BX546" s="18">
        <f>[1]monsters!$S546</f>
        <v>1.29</v>
      </c>
      <c r="BY546" s="18">
        <f>[1]monsters!$K546</f>
        <v>1.4</v>
      </c>
      <c r="BZ546" s="5">
        <f>[1]monsters!$D546</f>
        <v>3</v>
      </c>
      <c r="CA546" s="5">
        <f t="shared" si="351"/>
        <v>0.1</v>
      </c>
      <c r="CB546" s="5">
        <f t="shared" si="352"/>
        <v>131.10141952861954</v>
      </c>
      <c r="CC546" s="5">
        <f t="shared" si="353"/>
        <v>13.110141952861955</v>
      </c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>
        <v>0</v>
      </c>
      <c r="CR546" s="3" t="b">
        <f t="shared" si="325"/>
        <v>1</v>
      </c>
      <c r="CS546" s="3" t="b">
        <f t="shared" si="326"/>
        <v>1</v>
      </c>
      <c r="CT546" s="3" t="b">
        <f t="shared" si="327"/>
        <v>1</v>
      </c>
      <c r="CU546" s="3" t="b">
        <f t="shared" si="328"/>
        <v>1</v>
      </c>
      <c r="CV546" s="3" t="b">
        <f t="shared" si="329"/>
        <v>1</v>
      </c>
      <c r="CW546" s="3" t="b">
        <f t="shared" si="330"/>
        <v>1</v>
      </c>
      <c r="CX546" s="9" t="str">
        <f t="shared" si="331"/>
        <v>5201133</v>
      </c>
      <c r="CY546" s="9" t="str">
        <f t="shared" si="332"/>
        <v>5200133</v>
      </c>
      <c r="CZ546" s="9" t="str">
        <f t="shared" si="333"/>
        <v>5301132</v>
      </c>
      <c r="DA546" s="9" t="str">
        <f t="shared" si="334"/>
        <v>5501134</v>
      </c>
      <c r="DB546" s="9" t="str">
        <f t="shared" si="335"/>
        <v>5500133</v>
      </c>
      <c r="DC546" s="9" t="str">
        <f t="shared" si="336"/>
        <v>5501134</v>
      </c>
      <c r="DD546" s="9">
        <v>13</v>
      </c>
      <c r="DE546" s="9">
        <v>13</v>
      </c>
      <c r="DF546" s="9">
        <v>13</v>
      </c>
      <c r="DG546" s="9">
        <v>13</v>
      </c>
      <c r="DH546" s="9">
        <v>13</v>
      </c>
      <c r="DI546" s="9">
        <v>13</v>
      </c>
      <c r="DJ546" s="9">
        <v>5</v>
      </c>
      <c r="DK546" s="9">
        <v>5</v>
      </c>
      <c r="DL546" s="9">
        <v>5</v>
      </c>
      <c r="DM546" s="9">
        <v>5</v>
      </c>
      <c r="DN546" s="9">
        <v>5</v>
      </c>
      <c r="DO546" s="9">
        <v>5</v>
      </c>
      <c r="DP546" s="25" t="s">
        <v>205</v>
      </c>
      <c r="DQ546" s="25" t="s">
        <v>113</v>
      </c>
      <c r="DR546" s="25" t="s">
        <v>201</v>
      </c>
      <c r="DS546" s="25" t="s">
        <v>214</v>
      </c>
      <c r="DT546" s="25" t="s">
        <v>207</v>
      </c>
      <c r="DU546" s="25" t="s">
        <v>214</v>
      </c>
      <c r="DV546" s="25">
        <f t="shared" si="337"/>
        <v>1</v>
      </c>
      <c r="DW546" s="25">
        <f t="shared" si="338"/>
        <v>1</v>
      </c>
      <c r="DX546" s="25">
        <f t="shared" si="339"/>
        <v>1</v>
      </c>
      <c r="DY546" s="25">
        <f t="shared" si="340"/>
        <v>2</v>
      </c>
      <c r="DZ546" s="25">
        <f t="shared" si="341"/>
        <v>2</v>
      </c>
      <c r="EA546" s="3">
        <f t="shared" si="342"/>
        <v>2</v>
      </c>
      <c r="EB546" s="38"/>
    </row>
    <row r="547" spans="1:132" ht="13.5" customHeight="1">
      <c r="A547" s="9">
        <v>544</v>
      </c>
      <c r="B547" s="9">
        <v>1</v>
      </c>
      <c r="C547" s="9">
        <v>2001</v>
      </c>
      <c r="D547" s="9">
        <f t="shared" si="357"/>
        <v>23949807</v>
      </c>
      <c r="E547" s="9" t="str">
        <f t="shared" si="354"/>
        <v>5200131,5301132,5201131,5401131,5501135,5400135</v>
      </c>
      <c r="F547" s="9" t="str">
        <f t="shared" si="355"/>
        <v>13,13,13,13,13,13</v>
      </c>
      <c r="G547" s="9" t="str">
        <f t="shared" si="356"/>
        <v>1133,1225,1225,1225,1225,1225</v>
      </c>
      <c r="H547" s="9">
        <v>257</v>
      </c>
      <c r="I547" s="9" t="s">
        <v>278</v>
      </c>
      <c r="J547" s="9" t="s">
        <v>279</v>
      </c>
      <c r="K547" s="9" t="s">
        <v>279</v>
      </c>
      <c r="L547" s="9" t="s">
        <v>279</v>
      </c>
      <c r="M547" s="36" t="s">
        <v>315</v>
      </c>
      <c r="N547" s="40"/>
      <c r="O547" s="3">
        <f t="shared" si="322"/>
        <v>23949807</v>
      </c>
      <c r="P547" s="9">
        <v>18143793.16</v>
      </c>
      <c r="Q547" s="9">
        <v>5200131</v>
      </c>
      <c r="R547" s="9">
        <v>5301132</v>
      </c>
      <c r="S547" s="9">
        <v>5201131</v>
      </c>
      <c r="T547" s="9">
        <v>5401131</v>
      </c>
      <c r="U547" s="9">
        <v>5501135</v>
      </c>
      <c r="V547" s="9">
        <v>5400135</v>
      </c>
      <c r="W547" s="9">
        <v>13</v>
      </c>
      <c r="X547" s="9">
        <v>13</v>
      </c>
      <c r="Y547" s="9">
        <v>13</v>
      </c>
      <c r="Z547" s="9">
        <v>13</v>
      </c>
      <c r="AA547" s="9">
        <v>13</v>
      </c>
      <c r="AB547" s="9">
        <v>13</v>
      </c>
      <c r="AC547" s="9">
        <f t="shared" si="343"/>
        <v>1133</v>
      </c>
      <c r="AD547" s="9">
        <f t="shared" si="344"/>
        <v>1225</v>
      </c>
      <c r="AE547" s="9">
        <f t="shared" si="345"/>
        <v>1225</v>
      </c>
      <c r="AF547" s="9">
        <f t="shared" si="346"/>
        <v>1225</v>
      </c>
      <c r="AG547" s="9">
        <f t="shared" si="347"/>
        <v>1225</v>
      </c>
      <c r="AH547" s="9">
        <f t="shared" si="348"/>
        <v>1225</v>
      </c>
      <c r="AI547" s="7">
        <f t="shared" si="324"/>
        <v>3023965.5266666668</v>
      </c>
      <c r="AJ547" s="7">
        <f t="shared" si="324"/>
        <v>3023965.5266666668</v>
      </c>
      <c r="AK547" s="7">
        <f t="shared" si="324"/>
        <v>3023965.5266666668</v>
      </c>
      <c r="AL547" s="7">
        <f t="shared" ref="AJ547:AN598" si="359">$P547/6</f>
        <v>3023965.5266666668</v>
      </c>
      <c r="AM547" s="7">
        <f t="shared" si="359"/>
        <v>3023965.5266666668</v>
      </c>
      <c r="AN547" s="7">
        <f t="shared" si="359"/>
        <v>3023965.5266666668</v>
      </c>
      <c r="AO547" s="16"/>
      <c r="AP547" s="7"/>
      <c r="AQ547" s="9">
        <v>8</v>
      </c>
      <c r="AR547" s="9">
        <f t="shared" si="349"/>
        <v>1546</v>
      </c>
      <c r="AS547" s="7">
        <f t="shared" si="358"/>
        <v>372</v>
      </c>
      <c r="AT547" s="7"/>
      <c r="AU547" s="16"/>
      <c r="AV547" s="7"/>
      <c r="AW547" s="7"/>
      <c r="AX547" s="7"/>
      <c r="AZ547" s="7"/>
      <c r="BA547" s="9">
        <f t="shared" si="323"/>
        <v>2466075.2800000049</v>
      </c>
      <c r="BC547" s="5" t="e">
        <f t="shared" si="350"/>
        <v>#N/A</v>
      </c>
      <c r="BR547" s="5">
        <v>3204034</v>
      </c>
      <c r="BS547" s="18">
        <f>[1]monsters!$N547</f>
        <v>87.36</v>
      </c>
      <c r="BT547" s="18">
        <f>[1]monsters!$O547</f>
        <v>8.74</v>
      </c>
      <c r="BU547" s="18">
        <f>[1]monsters!$P547</f>
        <v>1493.33</v>
      </c>
      <c r="BV547" s="18">
        <f>[1]monsters!$Q547</f>
        <v>149.33000000000001</v>
      </c>
      <c r="BW547" s="18">
        <f>[1]monsters!$R547</f>
        <v>17.47</v>
      </c>
      <c r="BX547" s="18">
        <f>[1]monsters!$S547</f>
        <v>1.75</v>
      </c>
      <c r="BY547" s="18">
        <f>[1]monsters!$K547</f>
        <v>1.3</v>
      </c>
      <c r="BZ547" s="5">
        <f>[1]monsters!$D547</f>
        <v>2</v>
      </c>
      <c r="CA547" s="5">
        <f t="shared" si="351"/>
        <v>0.1</v>
      </c>
      <c r="CB547" s="5">
        <f t="shared" si="352"/>
        <v>132.83567138047138</v>
      </c>
      <c r="CC547" s="5">
        <f t="shared" si="353"/>
        <v>13.28356713804714</v>
      </c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>
        <v>0</v>
      </c>
      <c r="CR547" s="3" t="b">
        <f t="shared" si="325"/>
        <v>1</v>
      </c>
      <c r="CS547" s="3" t="b">
        <f t="shared" si="326"/>
        <v>1</v>
      </c>
      <c r="CT547" s="3" t="b">
        <f t="shared" si="327"/>
        <v>1</v>
      </c>
      <c r="CU547" s="3" t="b">
        <f t="shared" si="328"/>
        <v>1</v>
      </c>
      <c r="CV547" s="3" t="b">
        <f t="shared" si="329"/>
        <v>1</v>
      </c>
      <c r="CW547" s="3" t="b">
        <f t="shared" si="330"/>
        <v>1</v>
      </c>
      <c r="CX547" s="9" t="str">
        <f t="shared" si="331"/>
        <v>5200131</v>
      </c>
      <c r="CY547" s="9" t="str">
        <f t="shared" si="332"/>
        <v>5301132</v>
      </c>
      <c r="CZ547" s="9" t="str">
        <f t="shared" si="333"/>
        <v>5201131</v>
      </c>
      <c r="DA547" s="9" t="str">
        <f t="shared" si="334"/>
        <v>5401131</v>
      </c>
      <c r="DB547" s="9" t="str">
        <f t="shared" si="335"/>
        <v>5501135</v>
      </c>
      <c r="DC547" s="9" t="str">
        <f t="shared" si="336"/>
        <v>5400135</v>
      </c>
      <c r="DD547" s="9">
        <v>13</v>
      </c>
      <c r="DE547" s="9">
        <v>13</v>
      </c>
      <c r="DF547" s="9">
        <v>13</v>
      </c>
      <c r="DG547" s="9">
        <v>13</v>
      </c>
      <c r="DH547" s="9">
        <v>13</v>
      </c>
      <c r="DI547" s="9">
        <v>13</v>
      </c>
      <c r="DJ547" s="9">
        <v>5</v>
      </c>
      <c r="DK547" s="9">
        <v>5</v>
      </c>
      <c r="DL547" s="9">
        <v>5</v>
      </c>
      <c r="DM547" s="9">
        <v>5</v>
      </c>
      <c r="DN547" s="9">
        <v>5</v>
      </c>
      <c r="DO547" s="9">
        <v>5</v>
      </c>
      <c r="DP547" s="25" t="s">
        <v>194</v>
      </c>
      <c r="DQ547" s="25" t="s">
        <v>201</v>
      </c>
      <c r="DR547" s="25" t="s">
        <v>195</v>
      </c>
      <c r="DS547" s="25" t="s">
        <v>117</v>
      </c>
      <c r="DT547" s="25" t="s">
        <v>209</v>
      </c>
      <c r="DU547" s="25" t="s">
        <v>210</v>
      </c>
      <c r="DV547" s="25">
        <f t="shared" si="337"/>
        <v>1</v>
      </c>
      <c r="DW547" s="25">
        <f t="shared" si="338"/>
        <v>1</v>
      </c>
      <c r="DX547" s="25">
        <f t="shared" si="339"/>
        <v>1</v>
      </c>
      <c r="DY547" s="25">
        <f t="shared" si="340"/>
        <v>2</v>
      </c>
      <c r="DZ547" s="25">
        <f t="shared" si="341"/>
        <v>2</v>
      </c>
      <c r="EA547" s="3">
        <f t="shared" si="342"/>
        <v>2</v>
      </c>
      <c r="EB547" s="38"/>
    </row>
    <row r="548" spans="1:132" ht="13.5" customHeight="1">
      <c r="A548" s="9">
        <v>545</v>
      </c>
      <c r="B548" s="9">
        <v>1</v>
      </c>
      <c r="C548" s="9">
        <v>2001</v>
      </c>
      <c r="D548" s="9">
        <f t="shared" si="357"/>
        <v>24018766</v>
      </c>
      <c r="E548" s="9" t="str">
        <f t="shared" si="354"/>
        <v>5201132,5201132,5201132,5502132,5502132,5502132</v>
      </c>
      <c r="F548" s="9" t="str">
        <f t="shared" si="355"/>
        <v>13,13,13,13,13,13</v>
      </c>
      <c r="G548" s="9" t="str">
        <f t="shared" si="356"/>
        <v>1135,1227,1227,1227,1227,1227</v>
      </c>
      <c r="H548" s="9">
        <v>258</v>
      </c>
      <c r="I548" s="9" t="s">
        <v>278</v>
      </c>
      <c r="J548" s="9" t="s">
        <v>279</v>
      </c>
      <c r="K548" s="9" t="s">
        <v>279</v>
      </c>
      <c r="L548" s="9" t="s">
        <v>279</v>
      </c>
      <c r="M548" s="36" t="s">
        <v>315</v>
      </c>
      <c r="O548" s="3">
        <f t="shared" si="322"/>
        <v>24018766</v>
      </c>
      <c r="P548" s="9">
        <v>18196034.640000001</v>
      </c>
      <c r="Q548" s="9">
        <v>5201132</v>
      </c>
      <c r="R548" s="9">
        <v>5201132</v>
      </c>
      <c r="S548" s="9">
        <v>5201132</v>
      </c>
      <c r="T548" s="9">
        <v>5502132</v>
      </c>
      <c r="U548" s="9">
        <v>5502132</v>
      </c>
      <c r="V548" s="9">
        <v>5502132</v>
      </c>
      <c r="W548" s="9">
        <v>13</v>
      </c>
      <c r="X548" s="9">
        <v>13</v>
      </c>
      <c r="Y548" s="9">
        <v>13</v>
      </c>
      <c r="Z548" s="9">
        <v>13</v>
      </c>
      <c r="AA548" s="9">
        <v>13</v>
      </c>
      <c r="AB548" s="9">
        <v>13</v>
      </c>
      <c r="AC548" s="9">
        <f t="shared" si="343"/>
        <v>1135</v>
      </c>
      <c r="AD548" s="9">
        <f t="shared" si="344"/>
        <v>1227</v>
      </c>
      <c r="AE548" s="9">
        <f t="shared" si="345"/>
        <v>1227</v>
      </c>
      <c r="AF548" s="9">
        <f t="shared" si="346"/>
        <v>1227</v>
      </c>
      <c r="AG548" s="9">
        <f t="shared" si="347"/>
        <v>1227</v>
      </c>
      <c r="AH548" s="9">
        <f t="shared" si="348"/>
        <v>1227</v>
      </c>
      <c r="AI548" s="7">
        <f t="shared" ref="AI548:AI611" si="360">$P548/6</f>
        <v>3032672.44</v>
      </c>
      <c r="AJ548" s="7">
        <f t="shared" si="359"/>
        <v>3032672.44</v>
      </c>
      <c r="AK548" s="7">
        <f t="shared" si="359"/>
        <v>3032672.44</v>
      </c>
      <c r="AL548" s="7">
        <f t="shared" si="359"/>
        <v>3032672.44</v>
      </c>
      <c r="AM548" s="7">
        <f t="shared" si="359"/>
        <v>3032672.44</v>
      </c>
      <c r="AN548" s="7">
        <f t="shared" si="359"/>
        <v>3032672.44</v>
      </c>
      <c r="AO548" s="16"/>
      <c r="AP548" s="7"/>
      <c r="AQ548" s="9">
        <v>8</v>
      </c>
      <c r="AR548" s="9">
        <f t="shared" si="349"/>
        <v>1548</v>
      </c>
      <c r="AS548" s="7">
        <f t="shared" si="358"/>
        <v>372</v>
      </c>
      <c r="AT548" s="7"/>
      <c r="AU548" s="16"/>
      <c r="AV548" s="7"/>
      <c r="AW548" s="7"/>
      <c r="AX548" s="7"/>
      <c r="AZ548" s="7"/>
      <c r="BA548" s="9">
        <f t="shared" si="323"/>
        <v>2476667.900000005</v>
      </c>
      <c r="BC548" s="5" t="e">
        <f t="shared" si="350"/>
        <v>#N/A</v>
      </c>
      <c r="BR548" s="5">
        <v>3404034</v>
      </c>
      <c r="BS548" s="18">
        <f>[1]monsters!$N548</f>
        <v>116.48</v>
      </c>
      <c r="BT548" s="18">
        <f>[1]monsters!$O548</f>
        <v>11.65</v>
      </c>
      <c r="BU548" s="18">
        <f>[1]monsters!$P548</f>
        <v>1120</v>
      </c>
      <c r="BV548" s="18">
        <f>[1]monsters!$Q548</f>
        <v>112</v>
      </c>
      <c r="BW548" s="18">
        <f>[1]monsters!$R548</f>
        <v>11.65</v>
      </c>
      <c r="BX548" s="18">
        <f>[1]monsters!$S548</f>
        <v>1.1599999999999999</v>
      </c>
      <c r="BY548" s="18">
        <f>[1]monsters!$K548</f>
        <v>1.3</v>
      </c>
      <c r="BZ548" s="5">
        <f>[1]monsters!$D548</f>
        <v>4</v>
      </c>
      <c r="CA548" s="5">
        <f t="shared" si="351"/>
        <v>0.1</v>
      </c>
      <c r="CB548" s="5">
        <f t="shared" si="352"/>
        <v>147.78403771043773</v>
      </c>
      <c r="CC548" s="5">
        <f t="shared" si="353"/>
        <v>14.778403771043774</v>
      </c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>
        <v>1</v>
      </c>
      <c r="CR548" s="3" t="b">
        <f t="shared" si="325"/>
        <v>1</v>
      </c>
      <c r="CS548" s="3" t="b">
        <f t="shared" si="326"/>
        <v>1</v>
      </c>
      <c r="CT548" s="3" t="b">
        <f t="shared" si="327"/>
        <v>1</v>
      </c>
      <c r="CU548" s="3" t="b">
        <f t="shared" si="328"/>
        <v>1</v>
      </c>
      <c r="CV548" s="3" t="b">
        <f t="shared" si="329"/>
        <v>1</v>
      </c>
      <c r="CW548" s="3" t="b">
        <f t="shared" si="330"/>
        <v>1</v>
      </c>
      <c r="CX548" s="9" t="str">
        <f t="shared" si="331"/>
        <v>5201132</v>
      </c>
      <c r="CY548" s="9" t="str">
        <f t="shared" si="332"/>
        <v>5201132</v>
      </c>
      <c r="CZ548" s="9" t="str">
        <f t="shared" si="333"/>
        <v>5201132</v>
      </c>
      <c r="DA548" s="9" t="str">
        <f t="shared" si="334"/>
        <v>5502132</v>
      </c>
      <c r="DB548" s="9" t="str">
        <f t="shared" si="335"/>
        <v>5502132</v>
      </c>
      <c r="DC548" s="9" t="str">
        <f t="shared" si="336"/>
        <v>5502132</v>
      </c>
      <c r="DD548" s="9">
        <v>13</v>
      </c>
      <c r="DE548" s="9">
        <v>13</v>
      </c>
      <c r="DF548" s="9">
        <v>13</v>
      </c>
      <c r="DG548" s="9">
        <v>13</v>
      </c>
      <c r="DH548" s="9">
        <v>13</v>
      </c>
      <c r="DI548" s="9">
        <v>13</v>
      </c>
      <c r="DJ548" s="9">
        <v>5</v>
      </c>
      <c r="DK548" s="9">
        <v>5</v>
      </c>
      <c r="DL548" s="9">
        <v>5</v>
      </c>
      <c r="DM548" s="9">
        <v>5</v>
      </c>
      <c r="DN548" s="9">
        <v>5</v>
      </c>
      <c r="DO548" s="9">
        <v>5</v>
      </c>
      <c r="DP548" s="25" t="s">
        <v>114</v>
      </c>
      <c r="DQ548" s="25" t="s">
        <v>114</v>
      </c>
      <c r="DR548" s="25" t="s">
        <v>114</v>
      </c>
      <c r="DS548" s="25" t="s">
        <v>204</v>
      </c>
      <c r="DT548" s="25" t="s">
        <v>204</v>
      </c>
      <c r="DU548" s="25" t="s">
        <v>204</v>
      </c>
      <c r="DV548" s="25">
        <f t="shared" si="337"/>
        <v>1</v>
      </c>
      <c r="DW548" s="25">
        <f t="shared" si="338"/>
        <v>1</v>
      </c>
      <c r="DX548" s="25">
        <f t="shared" si="339"/>
        <v>1</v>
      </c>
      <c r="DY548" s="25">
        <f t="shared" si="340"/>
        <v>2</v>
      </c>
      <c r="DZ548" s="25">
        <f t="shared" si="341"/>
        <v>2</v>
      </c>
      <c r="EA548" s="3">
        <f t="shared" si="342"/>
        <v>2</v>
      </c>
      <c r="EB548" s="49"/>
    </row>
    <row r="549" spans="1:132" ht="13.5" customHeight="1">
      <c r="A549" s="9">
        <v>546</v>
      </c>
      <c r="B549" s="9">
        <v>1</v>
      </c>
      <c r="C549" s="9">
        <v>2001</v>
      </c>
      <c r="D549" s="9">
        <f t="shared" si="357"/>
        <v>24087822</v>
      </c>
      <c r="E549" s="9" t="str">
        <f t="shared" si="354"/>
        <v>5202133,5201133,5302134,5501134,5501135,5500132</v>
      </c>
      <c r="F549" s="9" t="str">
        <f t="shared" si="355"/>
        <v>13,13,13,13,13,13</v>
      </c>
      <c r="G549" s="9" t="str">
        <f t="shared" si="356"/>
        <v>1136,1228,1228,1228,1228,1228</v>
      </c>
      <c r="H549" s="9">
        <v>258</v>
      </c>
      <c r="I549" s="9" t="s">
        <v>278</v>
      </c>
      <c r="J549" s="9" t="s">
        <v>279</v>
      </c>
      <c r="K549" s="9" t="s">
        <v>279</v>
      </c>
      <c r="L549" s="9" t="s">
        <v>279</v>
      </c>
      <c r="M549" s="36" t="s">
        <v>315</v>
      </c>
      <c r="N549" s="40"/>
      <c r="O549" s="3">
        <f t="shared" si="322"/>
        <v>24087822</v>
      </c>
      <c r="P549" s="9">
        <v>18248349.75</v>
      </c>
      <c r="Q549" s="9">
        <v>5202133</v>
      </c>
      <c r="R549" s="9">
        <v>5201133</v>
      </c>
      <c r="S549" s="9">
        <v>5302134</v>
      </c>
      <c r="T549" s="9">
        <v>5501134</v>
      </c>
      <c r="U549" s="9">
        <v>5501135</v>
      </c>
      <c r="V549" s="9">
        <v>5500132</v>
      </c>
      <c r="W549" s="9">
        <v>13</v>
      </c>
      <c r="X549" s="9">
        <v>13</v>
      </c>
      <c r="Y549" s="9">
        <v>13</v>
      </c>
      <c r="Z549" s="9">
        <v>13</v>
      </c>
      <c r="AA549" s="9">
        <v>13</v>
      </c>
      <c r="AB549" s="9">
        <v>13</v>
      </c>
      <c r="AC549" s="9">
        <f t="shared" si="343"/>
        <v>1136</v>
      </c>
      <c r="AD549" s="9">
        <f t="shared" si="344"/>
        <v>1228</v>
      </c>
      <c r="AE549" s="9">
        <f t="shared" si="345"/>
        <v>1228</v>
      </c>
      <c r="AF549" s="9">
        <f t="shared" si="346"/>
        <v>1228</v>
      </c>
      <c r="AG549" s="9">
        <f t="shared" si="347"/>
        <v>1228</v>
      </c>
      <c r="AH549" s="9">
        <f t="shared" si="348"/>
        <v>1228</v>
      </c>
      <c r="AI549" s="7">
        <f t="shared" si="360"/>
        <v>3041391.625</v>
      </c>
      <c r="AJ549" s="7">
        <f t="shared" si="359"/>
        <v>3041391.625</v>
      </c>
      <c r="AK549" s="7">
        <f t="shared" si="359"/>
        <v>3041391.625</v>
      </c>
      <c r="AL549" s="7">
        <f t="shared" si="359"/>
        <v>3041391.625</v>
      </c>
      <c r="AM549" s="7">
        <f t="shared" si="359"/>
        <v>3041391.625</v>
      </c>
      <c r="AN549" s="7">
        <f t="shared" si="359"/>
        <v>3041391.625</v>
      </c>
      <c r="AO549" s="16"/>
      <c r="AP549" s="7"/>
      <c r="AQ549" s="9">
        <v>8</v>
      </c>
      <c r="AR549" s="9">
        <f t="shared" si="349"/>
        <v>1550</v>
      </c>
      <c r="AS549" s="7">
        <f t="shared" si="358"/>
        <v>373</v>
      </c>
      <c r="AT549" s="7"/>
      <c r="AU549" s="16"/>
      <c r="AV549" s="7"/>
      <c r="AW549" s="7"/>
      <c r="AX549" s="7"/>
      <c r="AZ549" s="7"/>
      <c r="BA549" s="9">
        <f t="shared" si="323"/>
        <v>2487260.5200000051</v>
      </c>
      <c r="BC549" s="5" t="e">
        <f t="shared" si="350"/>
        <v>#N/A</v>
      </c>
      <c r="BR549" s="5">
        <v>3303034</v>
      </c>
      <c r="BS549" s="18">
        <f>[1]monsters!$N549</f>
        <v>120.96</v>
      </c>
      <c r="BT549" s="18">
        <f>[1]monsters!$O549</f>
        <v>12.1</v>
      </c>
      <c r="BU549" s="18">
        <f>[1]monsters!$P549</f>
        <v>1493.33</v>
      </c>
      <c r="BV549" s="18">
        <f>[1]monsters!$Q549</f>
        <v>149.33000000000001</v>
      </c>
      <c r="BW549" s="18">
        <f>[1]monsters!$R549</f>
        <v>24.19</v>
      </c>
      <c r="BX549" s="18">
        <f>[1]monsters!$S549</f>
        <v>2.42</v>
      </c>
      <c r="BY549" s="18">
        <f>[1]monsters!$K549</f>
        <v>1.8</v>
      </c>
      <c r="BZ549" s="5">
        <f>[1]monsters!$D549</f>
        <v>2</v>
      </c>
      <c r="CA549" s="5">
        <f t="shared" si="351"/>
        <v>0.1</v>
      </c>
      <c r="CB549" s="5">
        <f t="shared" si="352"/>
        <v>164.58767138047136</v>
      </c>
      <c r="CC549" s="5">
        <f t="shared" si="353"/>
        <v>16.458767138047136</v>
      </c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>
        <v>0</v>
      </c>
      <c r="CR549" s="3" t="b">
        <f t="shared" si="325"/>
        <v>1</v>
      </c>
      <c r="CS549" s="3" t="b">
        <f t="shared" si="326"/>
        <v>1</v>
      </c>
      <c r="CT549" s="3" t="b">
        <f t="shared" si="327"/>
        <v>1</v>
      </c>
      <c r="CU549" s="3" t="b">
        <f t="shared" si="328"/>
        <v>1</v>
      </c>
      <c r="CV549" s="3" t="b">
        <f t="shared" si="329"/>
        <v>1</v>
      </c>
      <c r="CW549" s="3" t="b">
        <f t="shared" si="330"/>
        <v>1</v>
      </c>
      <c r="CX549" s="9" t="str">
        <f t="shared" si="331"/>
        <v>5202133</v>
      </c>
      <c r="CY549" s="9" t="str">
        <f t="shared" si="332"/>
        <v>5201133</v>
      </c>
      <c r="CZ549" s="9" t="str">
        <f t="shared" si="333"/>
        <v>5302134</v>
      </c>
      <c r="DA549" s="9" t="str">
        <f t="shared" si="334"/>
        <v>5501134</v>
      </c>
      <c r="DB549" s="9" t="str">
        <f t="shared" si="335"/>
        <v>5501135</v>
      </c>
      <c r="DC549" s="9" t="str">
        <f t="shared" si="336"/>
        <v>5500132</v>
      </c>
      <c r="DD549" s="9">
        <v>13</v>
      </c>
      <c r="DE549" s="9">
        <v>13</v>
      </c>
      <c r="DF549" s="9">
        <v>13</v>
      </c>
      <c r="DG549" s="9">
        <v>13</v>
      </c>
      <c r="DH549" s="9">
        <v>13</v>
      </c>
      <c r="DI549" s="9">
        <v>13</v>
      </c>
      <c r="DJ549" s="9">
        <v>5</v>
      </c>
      <c r="DK549" s="9">
        <v>5</v>
      </c>
      <c r="DL549" s="9">
        <v>5</v>
      </c>
      <c r="DM549" s="9">
        <v>5</v>
      </c>
      <c r="DN549" s="9">
        <v>5</v>
      </c>
      <c r="DO549" s="9">
        <v>5</v>
      </c>
      <c r="DP549" s="25" t="s">
        <v>208</v>
      </c>
      <c r="DQ549" s="25" t="s">
        <v>205</v>
      </c>
      <c r="DR549" s="25" t="s">
        <v>218</v>
      </c>
      <c r="DS549" s="25" t="s">
        <v>214</v>
      </c>
      <c r="DT549" s="25" t="s">
        <v>209</v>
      </c>
      <c r="DU549" s="25" t="s">
        <v>109</v>
      </c>
      <c r="DV549" s="25">
        <f t="shared" si="337"/>
        <v>1</v>
      </c>
      <c r="DW549" s="25">
        <f t="shared" si="338"/>
        <v>1</v>
      </c>
      <c r="DX549" s="25">
        <f t="shared" si="339"/>
        <v>1</v>
      </c>
      <c r="DY549" s="25">
        <f t="shared" si="340"/>
        <v>2</v>
      </c>
      <c r="DZ549" s="25">
        <f t="shared" si="341"/>
        <v>2</v>
      </c>
      <c r="EA549" s="3">
        <f t="shared" si="342"/>
        <v>2</v>
      </c>
      <c r="EB549" s="38"/>
    </row>
    <row r="550" spans="1:132" ht="13.5" customHeight="1">
      <c r="A550" s="9">
        <v>547</v>
      </c>
      <c r="B550" s="9">
        <v>1</v>
      </c>
      <c r="C550" s="9">
        <v>2001</v>
      </c>
      <c r="D550" s="9">
        <f t="shared" si="357"/>
        <v>24156977</v>
      </c>
      <c r="E550" s="9" t="str">
        <f t="shared" si="354"/>
        <v>5201133,5202135,5200131,5501134,5402132,5400135</v>
      </c>
      <c r="F550" s="9" t="str">
        <f t="shared" si="355"/>
        <v>13,13,13,13,13,13</v>
      </c>
      <c r="G550" s="9" t="str">
        <f t="shared" si="356"/>
        <v>1138,1230,1230,1230,1230,1230</v>
      </c>
      <c r="H550" s="9">
        <v>258</v>
      </c>
      <c r="I550" s="9" t="s">
        <v>278</v>
      </c>
      <c r="J550" s="9" t="s">
        <v>279</v>
      </c>
      <c r="K550" s="9" t="s">
        <v>279</v>
      </c>
      <c r="L550" s="9" t="s">
        <v>279</v>
      </c>
      <c r="M550" s="36" t="s">
        <v>315</v>
      </c>
      <c r="N550" s="40"/>
      <c r="O550" s="3">
        <f t="shared" si="322"/>
        <v>24156977</v>
      </c>
      <c r="P550" s="9">
        <v>18300740.48</v>
      </c>
      <c r="Q550" s="9">
        <v>5201133</v>
      </c>
      <c r="R550" s="9">
        <v>5202135</v>
      </c>
      <c r="S550" s="9">
        <v>5200131</v>
      </c>
      <c r="T550" s="9">
        <v>5501134</v>
      </c>
      <c r="U550" s="9">
        <v>5402132</v>
      </c>
      <c r="V550" s="9">
        <v>5400135</v>
      </c>
      <c r="W550" s="9">
        <v>13</v>
      </c>
      <c r="X550" s="9">
        <v>13</v>
      </c>
      <c r="Y550" s="9">
        <v>13</v>
      </c>
      <c r="Z550" s="9">
        <v>13</v>
      </c>
      <c r="AA550" s="9">
        <v>13</v>
      </c>
      <c r="AB550" s="9">
        <v>13</v>
      </c>
      <c r="AC550" s="9">
        <f t="shared" si="343"/>
        <v>1138</v>
      </c>
      <c r="AD550" s="9">
        <f t="shared" si="344"/>
        <v>1230</v>
      </c>
      <c r="AE550" s="9">
        <f t="shared" si="345"/>
        <v>1230</v>
      </c>
      <c r="AF550" s="9">
        <f t="shared" si="346"/>
        <v>1230</v>
      </c>
      <c r="AG550" s="9">
        <f t="shared" si="347"/>
        <v>1230</v>
      </c>
      <c r="AH550" s="9">
        <f t="shared" si="348"/>
        <v>1230</v>
      </c>
      <c r="AI550" s="7">
        <f t="shared" si="360"/>
        <v>3050123.4133333336</v>
      </c>
      <c r="AJ550" s="7">
        <f t="shared" si="359"/>
        <v>3050123.4133333336</v>
      </c>
      <c r="AK550" s="7">
        <f t="shared" si="359"/>
        <v>3050123.4133333336</v>
      </c>
      <c r="AL550" s="7">
        <f t="shared" si="359"/>
        <v>3050123.4133333336</v>
      </c>
      <c r="AM550" s="7">
        <f t="shared" si="359"/>
        <v>3050123.4133333336</v>
      </c>
      <c r="AN550" s="7">
        <f t="shared" si="359"/>
        <v>3050123.4133333336</v>
      </c>
      <c r="AO550" s="16"/>
      <c r="AP550" s="7"/>
      <c r="AQ550" s="9">
        <v>8</v>
      </c>
      <c r="AR550" s="9">
        <f t="shared" si="349"/>
        <v>1552</v>
      </c>
      <c r="AS550" s="7">
        <f t="shared" si="358"/>
        <v>373</v>
      </c>
      <c r="AT550" s="7"/>
      <c r="AU550" s="16"/>
      <c r="AV550" s="7"/>
      <c r="AW550" s="7"/>
      <c r="AX550" s="7"/>
      <c r="AZ550" s="7"/>
      <c r="BA550" s="9">
        <f t="shared" si="323"/>
        <v>2497853.1400000053</v>
      </c>
      <c r="BC550" s="5" t="e">
        <f t="shared" si="350"/>
        <v>#N/A</v>
      </c>
      <c r="BR550" s="5">
        <v>3304034</v>
      </c>
      <c r="BS550" s="18">
        <f>[1]monsters!$N550</f>
        <v>140</v>
      </c>
      <c r="BT550" s="18">
        <f>[1]monsters!$O550</f>
        <v>14</v>
      </c>
      <c r="BU550" s="18">
        <f>[1]monsters!$P550</f>
        <v>1075.2</v>
      </c>
      <c r="BV550" s="18">
        <f>[1]monsters!$Q550</f>
        <v>107.52</v>
      </c>
      <c r="BW550" s="18">
        <f>[1]monsters!$R550</f>
        <v>14</v>
      </c>
      <c r="BX550" s="18">
        <f>[1]monsters!$S550</f>
        <v>1.4</v>
      </c>
      <c r="BY550" s="18">
        <f>[1]monsters!$K550</f>
        <v>1.5</v>
      </c>
      <c r="BZ550" s="5">
        <f>[1]monsters!$D550</f>
        <v>4</v>
      </c>
      <c r="CA550" s="5">
        <f t="shared" si="351"/>
        <v>0.1</v>
      </c>
      <c r="CB550" s="5">
        <f t="shared" si="352"/>
        <v>168.50202020202022</v>
      </c>
      <c r="CC550" s="5">
        <f t="shared" si="353"/>
        <v>16.850202020202023</v>
      </c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>
        <v>0</v>
      </c>
      <c r="CR550" s="3" t="b">
        <f t="shared" si="325"/>
        <v>1</v>
      </c>
      <c r="CS550" s="3" t="b">
        <f t="shared" si="326"/>
        <v>1</v>
      </c>
      <c r="CT550" s="3" t="b">
        <f t="shared" si="327"/>
        <v>1</v>
      </c>
      <c r="CU550" s="3" t="b">
        <f t="shared" si="328"/>
        <v>1</v>
      </c>
      <c r="CV550" s="3" t="b">
        <f t="shared" si="329"/>
        <v>1</v>
      </c>
      <c r="CW550" s="3" t="b">
        <f t="shared" si="330"/>
        <v>1</v>
      </c>
      <c r="CX550" s="9" t="str">
        <f t="shared" si="331"/>
        <v>5201133</v>
      </c>
      <c r="CY550" s="9" t="str">
        <f t="shared" si="332"/>
        <v>5202135</v>
      </c>
      <c r="CZ550" s="9" t="str">
        <f t="shared" si="333"/>
        <v>5200131</v>
      </c>
      <c r="DA550" s="9" t="str">
        <f t="shared" si="334"/>
        <v>5501134</v>
      </c>
      <c r="DB550" s="9" t="str">
        <f t="shared" si="335"/>
        <v>5402132</v>
      </c>
      <c r="DC550" s="9" t="str">
        <f t="shared" si="336"/>
        <v>5400135</v>
      </c>
      <c r="DD550" s="9">
        <v>13</v>
      </c>
      <c r="DE550" s="9">
        <v>13</v>
      </c>
      <c r="DF550" s="9">
        <v>13</v>
      </c>
      <c r="DG550" s="9">
        <v>13</v>
      </c>
      <c r="DH550" s="9">
        <v>13</v>
      </c>
      <c r="DI550" s="9">
        <v>13</v>
      </c>
      <c r="DJ550" s="9">
        <v>5</v>
      </c>
      <c r="DK550" s="9">
        <v>5</v>
      </c>
      <c r="DL550" s="9">
        <v>5</v>
      </c>
      <c r="DM550" s="9">
        <v>5</v>
      </c>
      <c r="DN550" s="9">
        <v>5</v>
      </c>
      <c r="DO550" s="9">
        <v>5</v>
      </c>
      <c r="DP550" s="25" t="s">
        <v>205</v>
      </c>
      <c r="DQ550" s="25" t="s">
        <v>213</v>
      </c>
      <c r="DR550" s="25" t="s">
        <v>194</v>
      </c>
      <c r="DS550" s="25" t="s">
        <v>214</v>
      </c>
      <c r="DT550" s="25" t="s">
        <v>203</v>
      </c>
      <c r="DU550" s="25" t="s">
        <v>210</v>
      </c>
      <c r="DV550" s="25">
        <f t="shared" si="337"/>
        <v>1</v>
      </c>
      <c r="DW550" s="25">
        <f t="shared" si="338"/>
        <v>1</v>
      </c>
      <c r="DX550" s="25">
        <f t="shared" si="339"/>
        <v>1</v>
      </c>
      <c r="DY550" s="25">
        <f t="shared" si="340"/>
        <v>2</v>
      </c>
      <c r="DZ550" s="25">
        <f t="shared" si="341"/>
        <v>2</v>
      </c>
      <c r="EA550" s="3">
        <f t="shared" si="342"/>
        <v>2</v>
      </c>
      <c r="EB550" s="38"/>
    </row>
    <row r="551" spans="1:132" ht="13.5" customHeight="1">
      <c r="A551" s="9">
        <v>548</v>
      </c>
      <c r="B551" s="9">
        <v>1</v>
      </c>
      <c r="C551" s="9">
        <v>2001</v>
      </c>
      <c r="D551" s="9">
        <f t="shared" si="357"/>
        <v>24226233</v>
      </c>
      <c r="E551" s="9" t="str">
        <f t="shared" si="354"/>
        <v>5302135,5202135,5202133,5401133,5400135,5400135</v>
      </c>
      <c r="F551" s="9" t="str">
        <f t="shared" si="355"/>
        <v>13,13,13,13,13,13</v>
      </c>
      <c r="G551" s="9" t="str">
        <f t="shared" si="356"/>
        <v>1140,1232,1232,1232,1232,1232</v>
      </c>
      <c r="H551" s="9">
        <v>259</v>
      </c>
      <c r="I551" s="9" t="s">
        <v>278</v>
      </c>
      <c r="J551" s="9" t="s">
        <v>279</v>
      </c>
      <c r="K551" s="9" t="s">
        <v>279</v>
      </c>
      <c r="L551" s="9" t="s">
        <v>279</v>
      </c>
      <c r="M551" s="36" t="s">
        <v>315</v>
      </c>
      <c r="N551" s="40"/>
      <c r="O551" s="3">
        <f t="shared" si="322"/>
        <v>24226233</v>
      </c>
      <c r="P551" s="9">
        <v>18353206.829999998</v>
      </c>
      <c r="Q551" s="9">
        <v>5302135</v>
      </c>
      <c r="R551" s="9">
        <v>5202135</v>
      </c>
      <c r="S551" s="9">
        <v>5202133</v>
      </c>
      <c r="T551" s="9">
        <v>5401133</v>
      </c>
      <c r="U551" s="9">
        <v>5400135</v>
      </c>
      <c r="V551" s="9">
        <v>5400135</v>
      </c>
      <c r="W551" s="9">
        <v>13</v>
      </c>
      <c r="X551" s="9">
        <v>13</v>
      </c>
      <c r="Y551" s="9">
        <v>13</v>
      </c>
      <c r="Z551" s="9">
        <v>13</v>
      </c>
      <c r="AA551" s="9">
        <v>13</v>
      </c>
      <c r="AB551" s="9">
        <v>13</v>
      </c>
      <c r="AC551" s="9">
        <f t="shared" si="343"/>
        <v>1140</v>
      </c>
      <c r="AD551" s="9">
        <f t="shared" si="344"/>
        <v>1232</v>
      </c>
      <c r="AE551" s="9">
        <f t="shared" si="345"/>
        <v>1232</v>
      </c>
      <c r="AF551" s="9">
        <f t="shared" si="346"/>
        <v>1232</v>
      </c>
      <c r="AG551" s="9">
        <f t="shared" si="347"/>
        <v>1232</v>
      </c>
      <c r="AH551" s="9">
        <f t="shared" si="348"/>
        <v>1232</v>
      </c>
      <c r="AI551" s="7">
        <f t="shared" si="360"/>
        <v>3058867.8049999997</v>
      </c>
      <c r="AJ551" s="7">
        <f t="shared" si="359"/>
        <v>3058867.8049999997</v>
      </c>
      <c r="AK551" s="7">
        <f t="shared" si="359"/>
        <v>3058867.8049999997</v>
      </c>
      <c r="AL551" s="7">
        <f t="shared" si="359"/>
        <v>3058867.8049999997</v>
      </c>
      <c r="AM551" s="7">
        <f t="shared" si="359"/>
        <v>3058867.8049999997</v>
      </c>
      <c r="AN551" s="7">
        <f t="shared" si="359"/>
        <v>3058867.8049999997</v>
      </c>
      <c r="AO551" s="16"/>
      <c r="AP551" s="7"/>
      <c r="AQ551" s="9">
        <v>8</v>
      </c>
      <c r="AR551" s="9">
        <f t="shared" si="349"/>
        <v>1554</v>
      </c>
      <c r="AS551" s="7">
        <f t="shared" si="358"/>
        <v>374</v>
      </c>
      <c r="AT551" s="7"/>
      <c r="AU551" s="16"/>
      <c r="AV551" s="7"/>
      <c r="AW551" s="7"/>
      <c r="AX551" s="7"/>
      <c r="AZ551" s="7"/>
      <c r="BA551" s="9">
        <f t="shared" si="323"/>
        <v>2508445.7600000054</v>
      </c>
      <c r="BC551" s="5" t="e">
        <f t="shared" si="350"/>
        <v>#N/A</v>
      </c>
      <c r="BR551" s="5">
        <v>3503034</v>
      </c>
      <c r="BS551" s="18">
        <f>[1]monsters!$N551</f>
        <v>106.77</v>
      </c>
      <c r="BT551" s="18">
        <f>[1]monsters!$O551</f>
        <v>10.68</v>
      </c>
      <c r="BU551" s="18">
        <f>[1]monsters!$P551</f>
        <v>1221.82</v>
      </c>
      <c r="BV551" s="18">
        <f>[1]monsters!$Q551</f>
        <v>122.18</v>
      </c>
      <c r="BW551" s="18">
        <f>[1]monsters!$R551</f>
        <v>13.35</v>
      </c>
      <c r="BX551" s="18">
        <f>[1]monsters!$S551</f>
        <v>1.33</v>
      </c>
      <c r="BY551" s="18">
        <f>[1]monsters!$K551</f>
        <v>1.3</v>
      </c>
      <c r="BZ551" s="5">
        <f>[1]monsters!$D551</f>
        <v>3</v>
      </c>
      <c r="CA551" s="5">
        <f t="shared" si="351"/>
        <v>0.1</v>
      </c>
      <c r="CB551" s="5">
        <f t="shared" si="352"/>
        <v>142.03637053872055</v>
      </c>
      <c r="CC551" s="5">
        <f t="shared" si="353"/>
        <v>14.203637053872056</v>
      </c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>
        <v>0</v>
      </c>
      <c r="CR551" s="3" t="b">
        <f t="shared" si="325"/>
        <v>1</v>
      </c>
      <c r="CS551" s="3" t="b">
        <f t="shared" si="326"/>
        <v>1</v>
      </c>
      <c r="CT551" s="3" t="b">
        <f t="shared" si="327"/>
        <v>1</v>
      </c>
      <c r="CU551" s="3" t="b">
        <f t="shared" si="328"/>
        <v>1</v>
      </c>
      <c r="CV551" s="3" t="b">
        <f t="shared" si="329"/>
        <v>1</v>
      </c>
      <c r="CW551" s="3" t="b">
        <f t="shared" si="330"/>
        <v>1</v>
      </c>
      <c r="CX551" s="9" t="str">
        <f t="shared" si="331"/>
        <v>5302135</v>
      </c>
      <c r="CY551" s="9" t="str">
        <f t="shared" si="332"/>
        <v>5202135</v>
      </c>
      <c r="CZ551" s="9" t="str">
        <f t="shared" si="333"/>
        <v>5202133</v>
      </c>
      <c r="DA551" s="9" t="str">
        <f t="shared" si="334"/>
        <v>5401133</v>
      </c>
      <c r="DB551" s="9" t="str">
        <f t="shared" si="335"/>
        <v>5400135</v>
      </c>
      <c r="DC551" s="9" t="str">
        <f t="shared" si="336"/>
        <v>5400135</v>
      </c>
      <c r="DD551" s="9">
        <v>13</v>
      </c>
      <c r="DE551" s="9">
        <v>13</v>
      </c>
      <c r="DF551" s="9">
        <v>13</v>
      </c>
      <c r="DG551" s="9">
        <v>13</v>
      </c>
      <c r="DH551" s="9">
        <v>13</v>
      </c>
      <c r="DI551" s="9">
        <v>13</v>
      </c>
      <c r="DJ551" s="9">
        <v>5</v>
      </c>
      <c r="DK551" s="9">
        <v>5</v>
      </c>
      <c r="DL551" s="9">
        <v>5</v>
      </c>
      <c r="DM551" s="9">
        <v>5</v>
      </c>
      <c r="DN551" s="9">
        <v>5</v>
      </c>
      <c r="DO551" s="9">
        <v>5</v>
      </c>
      <c r="DP551" s="25" t="s">
        <v>221</v>
      </c>
      <c r="DQ551" s="25" t="s">
        <v>213</v>
      </c>
      <c r="DR551" s="25" t="s">
        <v>208</v>
      </c>
      <c r="DS551" s="25" t="s">
        <v>211</v>
      </c>
      <c r="DT551" s="25" t="s">
        <v>210</v>
      </c>
      <c r="DU551" s="25" t="s">
        <v>210</v>
      </c>
      <c r="DV551" s="25">
        <f t="shared" si="337"/>
        <v>1</v>
      </c>
      <c r="DW551" s="25">
        <f t="shared" si="338"/>
        <v>1</v>
      </c>
      <c r="DX551" s="25">
        <f t="shared" si="339"/>
        <v>1</v>
      </c>
      <c r="DY551" s="25">
        <f t="shared" si="340"/>
        <v>2</v>
      </c>
      <c r="DZ551" s="25">
        <f t="shared" si="341"/>
        <v>2</v>
      </c>
      <c r="EA551" s="3">
        <f t="shared" si="342"/>
        <v>2</v>
      </c>
      <c r="EB551" s="49"/>
    </row>
    <row r="552" spans="1:132" ht="13.5" customHeight="1">
      <c r="A552" s="9">
        <v>549</v>
      </c>
      <c r="B552" s="9">
        <v>1</v>
      </c>
      <c r="C552" s="9">
        <v>2001</v>
      </c>
      <c r="D552" s="9">
        <f t="shared" si="357"/>
        <v>24295586</v>
      </c>
      <c r="E552" s="9" t="str">
        <f t="shared" si="354"/>
        <v>5202132,5202132,5301132,5502132,5500131,5400135</v>
      </c>
      <c r="F552" s="9" t="str">
        <f t="shared" si="355"/>
        <v>13,13,13,13,13,13</v>
      </c>
      <c r="G552" s="9" t="str">
        <f t="shared" si="356"/>
        <v>1141,1234,1234,1234,1234,1234</v>
      </c>
      <c r="H552" s="9">
        <v>259</v>
      </c>
      <c r="I552" s="9" t="s">
        <v>278</v>
      </c>
      <c r="J552" s="9" t="s">
        <v>279</v>
      </c>
      <c r="K552" s="9" t="s">
        <v>279</v>
      </c>
      <c r="L552" s="9" t="s">
        <v>279</v>
      </c>
      <c r="M552" s="36" t="s">
        <v>315</v>
      </c>
      <c r="N552" s="40"/>
      <c r="O552" s="3">
        <f t="shared" si="322"/>
        <v>24295586</v>
      </c>
      <c r="P552" s="9">
        <v>18405746.809999999</v>
      </c>
      <c r="Q552" s="9">
        <v>5202132</v>
      </c>
      <c r="R552" s="9">
        <v>5202132</v>
      </c>
      <c r="S552" s="9">
        <v>5301132</v>
      </c>
      <c r="T552" s="9">
        <v>5502132</v>
      </c>
      <c r="U552" s="9">
        <v>5500131</v>
      </c>
      <c r="V552" s="9">
        <v>5400135</v>
      </c>
      <c r="W552" s="9">
        <v>13</v>
      </c>
      <c r="X552" s="9">
        <v>13</v>
      </c>
      <c r="Y552" s="9">
        <v>13</v>
      </c>
      <c r="Z552" s="9">
        <v>13</v>
      </c>
      <c r="AA552" s="9">
        <v>13</v>
      </c>
      <c r="AB552" s="9">
        <v>13</v>
      </c>
      <c r="AC552" s="9">
        <f t="shared" si="343"/>
        <v>1141</v>
      </c>
      <c r="AD552" s="9">
        <f t="shared" si="344"/>
        <v>1234</v>
      </c>
      <c r="AE552" s="9">
        <f t="shared" si="345"/>
        <v>1234</v>
      </c>
      <c r="AF552" s="9">
        <f t="shared" si="346"/>
        <v>1234</v>
      </c>
      <c r="AG552" s="9">
        <f t="shared" si="347"/>
        <v>1234</v>
      </c>
      <c r="AH552" s="9">
        <f t="shared" si="348"/>
        <v>1234</v>
      </c>
      <c r="AI552" s="7">
        <f t="shared" si="360"/>
        <v>3067624.4683333333</v>
      </c>
      <c r="AJ552" s="7">
        <f t="shared" si="359"/>
        <v>3067624.4683333333</v>
      </c>
      <c r="AK552" s="7">
        <f t="shared" si="359"/>
        <v>3067624.4683333333</v>
      </c>
      <c r="AL552" s="7">
        <f t="shared" si="359"/>
        <v>3067624.4683333333</v>
      </c>
      <c r="AM552" s="7">
        <f t="shared" si="359"/>
        <v>3067624.4683333333</v>
      </c>
      <c r="AN552" s="7">
        <f t="shared" si="359"/>
        <v>3067624.4683333333</v>
      </c>
      <c r="AO552" s="16"/>
      <c r="AP552" s="7"/>
      <c r="AQ552" s="9">
        <v>8</v>
      </c>
      <c r="AR552" s="9">
        <f t="shared" si="349"/>
        <v>1557</v>
      </c>
      <c r="AS552" s="7">
        <f t="shared" si="358"/>
        <v>374</v>
      </c>
      <c r="AT552" s="7"/>
      <c r="AU552" s="16"/>
      <c r="AV552" s="7"/>
      <c r="AW552" s="7"/>
      <c r="AX552" s="7"/>
      <c r="AZ552" s="7"/>
      <c r="BA552" s="9">
        <f t="shared" si="323"/>
        <v>2519038.3800000055</v>
      </c>
      <c r="BC552" s="5" t="e">
        <f t="shared" si="350"/>
        <v>#N/A</v>
      </c>
      <c r="BR552" s="5">
        <v>3504034</v>
      </c>
      <c r="BS552" s="18">
        <f>[1]monsters!$N552</f>
        <v>147.84</v>
      </c>
      <c r="BT552" s="18">
        <f>[1]monsters!$O552</f>
        <v>14.78</v>
      </c>
      <c r="BU552" s="18">
        <f>[1]monsters!$P552</f>
        <v>1221.82</v>
      </c>
      <c r="BV552" s="18">
        <f>[1]monsters!$Q552</f>
        <v>122.18</v>
      </c>
      <c r="BW552" s="18">
        <f>[1]monsters!$R552</f>
        <v>24.64</v>
      </c>
      <c r="BX552" s="18">
        <f>[1]monsters!$S552</f>
        <v>2.46</v>
      </c>
      <c r="BY552" s="18">
        <f>[1]monsters!$K552</f>
        <v>1.8</v>
      </c>
      <c r="BZ552" s="5">
        <f>[1]monsters!$D552</f>
        <v>5</v>
      </c>
      <c r="CA552" s="5">
        <f t="shared" si="351"/>
        <v>0.1</v>
      </c>
      <c r="CB552" s="5">
        <f t="shared" si="352"/>
        <v>180.84752053872052</v>
      </c>
      <c r="CC552" s="5">
        <f t="shared" si="353"/>
        <v>18.084752053872052</v>
      </c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>
        <v>0</v>
      </c>
      <c r="CR552" s="3" t="b">
        <f t="shared" si="325"/>
        <v>1</v>
      </c>
      <c r="CS552" s="3" t="b">
        <f t="shared" si="326"/>
        <v>1</v>
      </c>
      <c r="CT552" s="3" t="b">
        <f t="shared" si="327"/>
        <v>1</v>
      </c>
      <c r="CU552" s="3" t="b">
        <f t="shared" si="328"/>
        <v>1</v>
      </c>
      <c r="CV552" s="3" t="b">
        <f t="shared" si="329"/>
        <v>1</v>
      </c>
      <c r="CW552" s="3" t="b">
        <f t="shared" si="330"/>
        <v>1</v>
      </c>
      <c r="CX552" s="9" t="str">
        <f t="shared" si="331"/>
        <v>5202132</v>
      </c>
      <c r="CY552" s="9" t="str">
        <f t="shared" si="332"/>
        <v>5202132</v>
      </c>
      <c r="CZ552" s="9" t="str">
        <f t="shared" si="333"/>
        <v>5301132</v>
      </c>
      <c r="DA552" s="9" t="str">
        <f t="shared" si="334"/>
        <v>5502132</v>
      </c>
      <c r="DB552" s="9" t="str">
        <f t="shared" si="335"/>
        <v>5500131</v>
      </c>
      <c r="DC552" s="9" t="str">
        <f t="shared" si="336"/>
        <v>5400135</v>
      </c>
      <c r="DD552" s="9">
        <v>13</v>
      </c>
      <c r="DE552" s="9">
        <v>13</v>
      </c>
      <c r="DF552" s="9">
        <v>13</v>
      </c>
      <c r="DG552" s="9">
        <v>13</v>
      </c>
      <c r="DH552" s="9">
        <v>13</v>
      </c>
      <c r="DI552" s="9">
        <v>13</v>
      </c>
      <c r="DJ552" s="9">
        <v>5</v>
      </c>
      <c r="DK552" s="9">
        <v>5</v>
      </c>
      <c r="DL552" s="9">
        <v>5</v>
      </c>
      <c r="DM552" s="9">
        <v>5</v>
      </c>
      <c r="DN552" s="9">
        <v>5</v>
      </c>
      <c r="DO552" s="9">
        <v>5</v>
      </c>
      <c r="DP552" s="25" t="s">
        <v>200</v>
      </c>
      <c r="DQ552" s="25" t="s">
        <v>200</v>
      </c>
      <c r="DR552" s="25" t="s">
        <v>201</v>
      </c>
      <c r="DS552" s="25" t="s">
        <v>204</v>
      </c>
      <c r="DT552" s="25" t="s">
        <v>197</v>
      </c>
      <c r="DU552" s="25" t="s">
        <v>210</v>
      </c>
      <c r="DV552" s="25">
        <f t="shared" si="337"/>
        <v>1</v>
      </c>
      <c r="DW552" s="25">
        <f t="shared" si="338"/>
        <v>1</v>
      </c>
      <c r="DX552" s="25">
        <f t="shared" si="339"/>
        <v>1</v>
      </c>
      <c r="DY552" s="25">
        <f t="shared" si="340"/>
        <v>2</v>
      </c>
      <c r="DZ552" s="25">
        <f t="shared" si="341"/>
        <v>2</v>
      </c>
      <c r="EA552" s="3">
        <f t="shared" si="342"/>
        <v>2</v>
      </c>
      <c r="EB552" s="38"/>
    </row>
    <row r="553" spans="1:132" ht="13.5" customHeight="1">
      <c r="A553" s="9">
        <v>550</v>
      </c>
      <c r="B553" s="9">
        <v>1</v>
      </c>
      <c r="C553" s="9">
        <v>2001</v>
      </c>
      <c r="D553" s="9">
        <f t="shared" si="357"/>
        <v>24365038</v>
      </c>
      <c r="E553" s="9" t="str">
        <f t="shared" si="354"/>
        <v>5202133,5201133,5302134,5400135,5601133,5501134</v>
      </c>
      <c r="F553" s="9" t="str">
        <f t="shared" si="355"/>
        <v>13,13,13,13,13,13</v>
      </c>
      <c r="G553" s="9" t="str">
        <f t="shared" si="356"/>
        <v>1143,1235,1235,1235,1235,1235</v>
      </c>
      <c r="H553" s="9">
        <v>260</v>
      </c>
      <c r="I553" s="9" t="s">
        <v>278</v>
      </c>
      <c r="J553" s="9" t="s">
        <v>279</v>
      </c>
      <c r="K553" s="9" t="s">
        <v>279</v>
      </c>
      <c r="L553" s="9" t="s">
        <v>279</v>
      </c>
      <c r="M553" s="36" t="s">
        <v>315</v>
      </c>
      <c r="O553" s="3">
        <f t="shared" si="322"/>
        <v>24365038</v>
      </c>
      <c r="P553" s="9">
        <v>18458362.41</v>
      </c>
      <c r="Q553" s="9">
        <v>5202133</v>
      </c>
      <c r="R553" s="9">
        <v>5201133</v>
      </c>
      <c r="S553" s="9">
        <v>5302134</v>
      </c>
      <c r="T553" s="9">
        <v>5400135</v>
      </c>
      <c r="U553" s="9">
        <v>5601133</v>
      </c>
      <c r="V553" s="9">
        <v>5501134</v>
      </c>
      <c r="W553" s="9">
        <v>13</v>
      </c>
      <c r="X553" s="9">
        <v>13</v>
      </c>
      <c r="Y553" s="9">
        <v>13</v>
      </c>
      <c r="Z553" s="9">
        <v>13</v>
      </c>
      <c r="AA553" s="9">
        <v>13</v>
      </c>
      <c r="AB553" s="9">
        <v>13</v>
      </c>
      <c r="AC553" s="9">
        <f t="shared" si="343"/>
        <v>1143</v>
      </c>
      <c r="AD553" s="9">
        <f t="shared" si="344"/>
        <v>1235</v>
      </c>
      <c r="AE553" s="9">
        <f t="shared" si="345"/>
        <v>1235</v>
      </c>
      <c r="AF553" s="9">
        <f t="shared" si="346"/>
        <v>1235</v>
      </c>
      <c r="AG553" s="9">
        <f t="shared" si="347"/>
        <v>1235</v>
      </c>
      <c r="AH553" s="9">
        <f t="shared" si="348"/>
        <v>1235</v>
      </c>
      <c r="AI553" s="7">
        <f t="shared" si="360"/>
        <v>3076393.7349999999</v>
      </c>
      <c r="AJ553" s="7">
        <f t="shared" si="359"/>
        <v>3076393.7349999999</v>
      </c>
      <c r="AK553" s="7">
        <f t="shared" si="359"/>
        <v>3076393.7349999999</v>
      </c>
      <c r="AL553" s="7">
        <f t="shared" si="359"/>
        <v>3076393.7349999999</v>
      </c>
      <c r="AM553" s="7">
        <f t="shared" si="359"/>
        <v>3076393.7349999999</v>
      </c>
      <c r="AN553" s="7">
        <f t="shared" si="359"/>
        <v>3076393.7349999999</v>
      </c>
      <c r="AO553" s="16"/>
      <c r="AP553" s="7"/>
      <c r="AQ553" s="9">
        <v>8</v>
      </c>
      <c r="AR553" s="9">
        <f t="shared" si="349"/>
        <v>1559</v>
      </c>
      <c r="AS553" s="7">
        <f t="shared" si="358"/>
        <v>375</v>
      </c>
      <c r="AT553" s="7"/>
      <c r="AU553" s="16"/>
      <c r="AV553" s="7"/>
      <c r="AW553" s="7"/>
      <c r="AX553" s="7"/>
      <c r="AY553" s="9">
        <v>8</v>
      </c>
      <c r="AZ553" s="7">
        <v>180</v>
      </c>
      <c r="BA553" s="9">
        <v>2529631</v>
      </c>
      <c r="BC553" s="5" t="e">
        <f t="shared" si="350"/>
        <v>#N/A</v>
      </c>
      <c r="BR553" s="5">
        <v>3101034</v>
      </c>
      <c r="BS553" s="18">
        <f>[1]monsters!$N553</f>
        <v>107.52</v>
      </c>
      <c r="BT553" s="18">
        <f>[1]monsters!$O553</f>
        <v>10.75</v>
      </c>
      <c r="BU553" s="18">
        <f>[1]monsters!$P553</f>
        <v>1493.33</v>
      </c>
      <c r="BV553" s="18">
        <f>[1]monsters!$Q553</f>
        <v>149.33000000000001</v>
      </c>
      <c r="BW553" s="18">
        <f>[1]monsters!$R553</f>
        <v>21.5</v>
      </c>
      <c r="BX553" s="18">
        <f>[1]monsters!$S553</f>
        <v>2.15</v>
      </c>
      <c r="BY553" s="18">
        <f>[1]monsters!$K553</f>
        <v>1.6</v>
      </c>
      <c r="BZ553" s="5">
        <f>[1]monsters!$D553</f>
        <v>2</v>
      </c>
      <c r="CA553" s="5">
        <f t="shared" si="351"/>
        <v>0.1</v>
      </c>
      <c r="CB553" s="5">
        <f t="shared" si="352"/>
        <v>151.88687138047138</v>
      </c>
      <c r="CC553" s="5">
        <f t="shared" si="353"/>
        <v>15.188687138047138</v>
      </c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>
        <v>1</v>
      </c>
      <c r="CR553" s="3" t="b">
        <f t="shared" si="325"/>
        <v>1</v>
      </c>
      <c r="CS553" s="3" t="b">
        <f t="shared" si="326"/>
        <v>1</v>
      </c>
      <c r="CT553" s="3" t="b">
        <f t="shared" si="327"/>
        <v>1</v>
      </c>
      <c r="CU553" s="3" t="b">
        <f t="shared" si="328"/>
        <v>1</v>
      </c>
      <c r="CV553" s="3" t="b">
        <f t="shared" si="329"/>
        <v>1</v>
      </c>
      <c r="CW553" s="3" t="b">
        <f t="shared" si="330"/>
        <v>1</v>
      </c>
      <c r="CX553" s="9" t="str">
        <f t="shared" si="331"/>
        <v>5202133</v>
      </c>
      <c r="CY553" s="9" t="str">
        <f t="shared" si="332"/>
        <v>5201133</v>
      </c>
      <c r="CZ553" s="9" t="str">
        <f t="shared" si="333"/>
        <v>5302134</v>
      </c>
      <c r="DA553" s="9" t="str">
        <f t="shared" si="334"/>
        <v>5400135</v>
      </c>
      <c r="DB553" s="9" t="str">
        <f t="shared" si="335"/>
        <v>5601133</v>
      </c>
      <c r="DC553" s="9" t="str">
        <f t="shared" si="336"/>
        <v>5501134</v>
      </c>
      <c r="DD553" s="9">
        <v>13</v>
      </c>
      <c r="DE553" s="9">
        <v>13</v>
      </c>
      <c r="DF553" s="9">
        <v>13</v>
      </c>
      <c r="DG553" s="9">
        <v>13</v>
      </c>
      <c r="DH553" s="9">
        <v>13</v>
      </c>
      <c r="DI553" s="9">
        <v>13</v>
      </c>
      <c r="DJ553" s="9">
        <v>5</v>
      </c>
      <c r="DK553" s="9">
        <v>5</v>
      </c>
      <c r="DL553" s="9">
        <v>5</v>
      </c>
      <c r="DM553" s="9">
        <v>5</v>
      </c>
      <c r="DN553" s="9">
        <v>5</v>
      </c>
      <c r="DO553" s="9">
        <v>5</v>
      </c>
      <c r="DP553" s="25" t="s">
        <v>208</v>
      </c>
      <c r="DQ553" s="25" t="s">
        <v>205</v>
      </c>
      <c r="DR553" s="25" t="s">
        <v>218</v>
      </c>
      <c r="DS553" s="25" t="s">
        <v>210</v>
      </c>
      <c r="DT553" s="25" t="s">
        <v>216</v>
      </c>
      <c r="DU553" s="25" t="s">
        <v>214</v>
      </c>
      <c r="DV553" s="25">
        <f t="shared" si="337"/>
        <v>1</v>
      </c>
      <c r="DW553" s="25">
        <f t="shared" si="338"/>
        <v>1</v>
      </c>
      <c r="DX553" s="25">
        <f t="shared" si="339"/>
        <v>1</v>
      </c>
      <c r="DY553" s="25">
        <f t="shared" si="340"/>
        <v>2</v>
      </c>
      <c r="DZ553" s="25">
        <f t="shared" si="341"/>
        <v>2</v>
      </c>
      <c r="EA553" s="3">
        <f t="shared" si="342"/>
        <v>2</v>
      </c>
      <c r="EB553" s="38"/>
    </row>
    <row r="554" spans="1:132" ht="13.5" customHeight="1">
      <c r="A554" s="9">
        <v>551</v>
      </c>
      <c r="B554" s="9">
        <v>1</v>
      </c>
      <c r="C554" s="9">
        <v>2001</v>
      </c>
      <c r="D554" s="9">
        <f t="shared" si="357"/>
        <v>27443450</v>
      </c>
      <c r="E554" s="9" t="str">
        <f t="shared" si="354"/>
        <v>5301131,5301132,5301133,5500131,5500132,5500133</v>
      </c>
      <c r="F554" s="9" t="str">
        <f t="shared" si="355"/>
        <v>13,13,13,13,13,13</v>
      </c>
      <c r="G554" s="9" t="str">
        <f t="shared" si="356"/>
        <v>1214,1312,1312,1312,1312,1312</v>
      </c>
      <c r="H554" s="9">
        <v>260</v>
      </c>
      <c r="I554" s="9" t="s">
        <v>278</v>
      </c>
      <c r="J554" s="9" t="s">
        <v>279</v>
      </c>
      <c r="K554" s="9" t="s">
        <v>279</v>
      </c>
      <c r="L554" s="9" t="s">
        <v>279</v>
      </c>
      <c r="M554" s="36" t="s">
        <v>315</v>
      </c>
      <c r="N554" s="40"/>
      <c r="O554" s="3">
        <f t="shared" si="322"/>
        <v>27443450</v>
      </c>
      <c r="P554" s="9">
        <v>20790492.539999999</v>
      </c>
      <c r="Q554" s="9">
        <v>5301131</v>
      </c>
      <c r="R554" s="9">
        <v>5301132</v>
      </c>
      <c r="S554" s="9">
        <v>5301133</v>
      </c>
      <c r="T554" s="9">
        <v>5500131</v>
      </c>
      <c r="U554" s="9">
        <v>5500132</v>
      </c>
      <c r="V554" s="9">
        <v>5500133</v>
      </c>
      <c r="W554" s="9">
        <v>13</v>
      </c>
      <c r="X554" s="9">
        <v>13</v>
      </c>
      <c r="Y554" s="9">
        <v>13</v>
      </c>
      <c r="Z554" s="9">
        <v>13</v>
      </c>
      <c r="AA554" s="9">
        <v>13</v>
      </c>
      <c r="AB554" s="9">
        <v>13</v>
      </c>
      <c r="AC554" s="9">
        <f t="shared" si="343"/>
        <v>1214</v>
      </c>
      <c r="AD554" s="9">
        <f t="shared" si="344"/>
        <v>1312</v>
      </c>
      <c r="AE554" s="9">
        <f t="shared" si="345"/>
        <v>1312</v>
      </c>
      <c r="AF554" s="9">
        <f t="shared" si="346"/>
        <v>1312</v>
      </c>
      <c r="AG554" s="9">
        <f t="shared" si="347"/>
        <v>1312</v>
      </c>
      <c r="AH554" s="9">
        <f t="shared" si="348"/>
        <v>1312</v>
      </c>
      <c r="AI554" s="7">
        <f t="shared" si="360"/>
        <v>3465082.09</v>
      </c>
      <c r="AJ554" s="7">
        <f t="shared" si="359"/>
        <v>3465082.09</v>
      </c>
      <c r="AK554" s="7">
        <f t="shared" si="359"/>
        <v>3465082.09</v>
      </c>
      <c r="AL554" s="7">
        <f t="shared" si="359"/>
        <v>3465082.09</v>
      </c>
      <c r="AM554" s="7">
        <f t="shared" si="359"/>
        <v>3465082.09</v>
      </c>
      <c r="AN554" s="7">
        <f t="shared" si="359"/>
        <v>3465082.09</v>
      </c>
      <c r="AO554" s="16"/>
      <c r="AP554" s="7"/>
      <c r="AQ554" s="9">
        <v>9</v>
      </c>
      <c r="AR554" s="9">
        <f t="shared" si="349"/>
        <v>1516</v>
      </c>
      <c r="AS554" s="7">
        <f t="shared" si="358"/>
        <v>375</v>
      </c>
      <c r="AT554" s="7"/>
      <c r="AU554" s="16"/>
      <c r="AV554" s="7"/>
      <c r="AW554" s="7"/>
      <c r="AX554" s="7"/>
      <c r="AZ554" s="7"/>
      <c r="BA554" s="9">
        <f t="shared" ref="BA554:BA602" si="361">BA553+($BA$603-$BA$553)/($A$603-$A$553)</f>
        <v>2551892.14</v>
      </c>
      <c r="BC554" s="5" t="e">
        <f t="shared" si="350"/>
        <v>#N/A</v>
      </c>
      <c r="BR554" s="5">
        <v>3102034</v>
      </c>
      <c r="BS554" s="18">
        <f>[1]monsters!$N554</f>
        <v>135.88999999999999</v>
      </c>
      <c r="BT554" s="18">
        <f>[1]monsters!$O554</f>
        <v>13.59</v>
      </c>
      <c r="BU554" s="18">
        <f>[1]monsters!$P554</f>
        <v>1033.8499999999999</v>
      </c>
      <c r="BV554" s="18">
        <f>[1]monsters!$Q554</f>
        <v>103.38</v>
      </c>
      <c r="BW554" s="18">
        <f>[1]monsters!$R554</f>
        <v>13.59</v>
      </c>
      <c r="BX554" s="18">
        <f>[1]monsters!$S554</f>
        <v>1.36</v>
      </c>
      <c r="BY554" s="18">
        <f>[1]monsters!$K554</f>
        <v>1.4</v>
      </c>
      <c r="BZ554" s="5">
        <f>[1]monsters!$D554</f>
        <v>4</v>
      </c>
      <c r="CA554" s="5">
        <f t="shared" si="351"/>
        <v>0.1</v>
      </c>
      <c r="CB554" s="5">
        <f t="shared" si="352"/>
        <v>163.2258143097643</v>
      </c>
      <c r="CC554" s="5">
        <f t="shared" si="353"/>
        <v>16.322581430976431</v>
      </c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>
        <v>0</v>
      </c>
      <c r="CR554" s="3" t="b">
        <f t="shared" si="325"/>
        <v>1</v>
      </c>
      <c r="CS554" s="3" t="b">
        <f t="shared" si="326"/>
        <v>1</v>
      </c>
      <c r="CT554" s="3" t="b">
        <f t="shared" si="327"/>
        <v>1</v>
      </c>
      <c r="CU554" s="3" t="b">
        <f t="shared" si="328"/>
        <v>1</v>
      </c>
      <c r="CV554" s="3" t="b">
        <f t="shared" si="329"/>
        <v>1</v>
      </c>
      <c r="CW554" s="3" t="b">
        <f t="shared" si="330"/>
        <v>1</v>
      </c>
      <c r="CX554" s="9" t="str">
        <f t="shared" si="331"/>
        <v>5301131</v>
      </c>
      <c r="CY554" s="9" t="str">
        <f t="shared" si="332"/>
        <v>5301132</v>
      </c>
      <c r="CZ554" s="9" t="str">
        <f t="shared" si="333"/>
        <v>5301133</v>
      </c>
      <c r="DA554" s="9" t="str">
        <f t="shared" si="334"/>
        <v>5500131</v>
      </c>
      <c r="DB554" s="9" t="str">
        <f t="shared" si="335"/>
        <v>5500132</v>
      </c>
      <c r="DC554" s="9" t="str">
        <f t="shared" si="336"/>
        <v>5500133</v>
      </c>
      <c r="DD554" s="9">
        <v>13</v>
      </c>
      <c r="DE554" s="9">
        <v>13</v>
      </c>
      <c r="DF554" s="9">
        <v>13</v>
      </c>
      <c r="DG554" s="9">
        <v>13</v>
      </c>
      <c r="DH554" s="9">
        <v>13</v>
      </c>
      <c r="DI554" s="9">
        <v>13</v>
      </c>
      <c r="DJ554" s="9">
        <v>5</v>
      </c>
      <c r="DK554" s="9">
        <v>5</v>
      </c>
      <c r="DL554" s="9">
        <v>5</v>
      </c>
      <c r="DM554" s="9">
        <v>5</v>
      </c>
      <c r="DN554" s="9">
        <v>5</v>
      </c>
      <c r="DO554" s="9">
        <v>5</v>
      </c>
      <c r="DP554" s="3" t="s">
        <v>107</v>
      </c>
      <c r="DQ554" s="3" t="s">
        <v>201</v>
      </c>
      <c r="DR554" s="3" t="s">
        <v>206</v>
      </c>
      <c r="DS554" s="3" t="s">
        <v>197</v>
      </c>
      <c r="DT554" s="3" t="s">
        <v>109</v>
      </c>
      <c r="DU554" s="3" t="s">
        <v>207</v>
      </c>
      <c r="DV554" s="3">
        <f t="shared" si="337"/>
        <v>1</v>
      </c>
      <c r="DW554" s="3">
        <f t="shared" si="338"/>
        <v>1</v>
      </c>
      <c r="DX554" s="3">
        <f t="shared" si="339"/>
        <v>1</v>
      </c>
      <c r="DY554" s="3">
        <f t="shared" si="340"/>
        <v>2</v>
      </c>
      <c r="DZ554" s="3">
        <f t="shared" si="341"/>
        <v>2</v>
      </c>
      <c r="EA554" s="3">
        <f t="shared" si="342"/>
        <v>2</v>
      </c>
      <c r="EB554" s="38"/>
    </row>
    <row r="555" spans="1:132" ht="13.5" customHeight="1">
      <c r="A555" s="9">
        <v>552</v>
      </c>
      <c r="B555" s="9">
        <v>1</v>
      </c>
      <c r="C555" s="9">
        <v>2001</v>
      </c>
      <c r="D555" s="9">
        <f t="shared" si="357"/>
        <v>27521684</v>
      </c>
      <c r="E555" s="9" t="str">
        <f t="shared" si="354"/>
        <v>5200132,5200133,5200132,5501135,5401133,5501134</v>
      </c>
      <c r="F555" s="9" t="str">
        <f t="shared" si="355"/>
        <v>13,13,13,13,13,13</v>
      </c>
      <c r="G555" s="9" t="str">
        <f t="shared" si="356"/>
        <v>1215,1314,1314,1314,1314,1314</v>
      </c>
      <c r="H555" s="9">
        <v>260</v>
      </c>
      <c r="I555" s="9" t="s">
        <v>278</v>
      </c>
      <c r="J555" s="9" t="s">
        <v>279</v>
      </c>
      <c r="K555" s="9" t="s">
        <v>279</v>
      </c>
      <c r="L555" s="9" t="s">
        <v>279</v>
      </c>
      <c r="M555" s="36" t="s">
        <v>315</v>
      </c>
      <c r="N555" s="40"/>
      <c r="O555" s="3">
        <f t="shared" si="322"/>
        <v>27521684</v>
      </c>
      <c r="P555" s="9">
        <v>20849760.329999998</v>
      </c>
      <c r="Q555" s="9">
        <v>5200132</v>
      </c>
      <c r="R555" s="9">
        <v>5200133</v>
      </c>
      <c r="S555" s="9">
        <v>5200132</v>
      </c>
      <c r="T555" s="9">
        <v>5501135</v>
      </c>
      <c r="U555" s="9">
        <v>5401133</v>
      </c>
      <c r="V555" s="9">
        <v>5501134</v>
      </c>
      <c r="W555" s="9">
        <v>13</v>
      </c>
      <c r="X555" s="9">
        <v>13</v>
      </c>
      <c r="Y555" s="9">
        <v>13</v>
      </c>
      <c r="Z555" s="9">
        <v>13</v>
      </c>
      <c r="AA555" s="9">
        <v>13</v>
      </c>
      <c r="AB555" s="9">
        <v>13</v>
      </c>
      <c r="AC555" s="9">
        <f t="shared" si="343"/>
        <v>1215</v>
      </c>
      <c r="AD555" s="9">
        <f t="shared" si="344"/>
        <v>1314</v>
      </c>
      <c r="AE555" s="9">
        <f t="shared" si="345"/>
        <v>1314</v>
      </c>
      <c r="AF555" s="9">
        <f t="shared" si="346"/>
        <v>1314</v>
      </c>
      <c r="AG555" s="9">
        <f t="shared" si="347"/>
        <v>1314</v>
      </c>
      <c r="AH555" s="9">
        <f t="shared" si="348"/>
        <v>1314</v>
      </c>
      <c r="AI555" s="7">
        <f t="shared" si="360"/>
        <v>3474960.0549999997</v>
      </c>
      <c r="AJ555" s="7">
        <f t="shared" si="359"/>
        <v>3474960.0549999997</v>
      </c>
      <c r="AK555" s="7">
        <f t="shared" si="359"/>
        <v>3474960.0549999997</v>
      </c>
      <c r="AL555" s="7">
        <f t="shared" si="359"/>
        <v>3474960.0549999997</v>
      </c>
      <c r="AM555" s="7">
        <f t="shared" si="359"/>
        <v>3474960.0549999997</v>
      </c>
      <c r="AN555" s="7">
        <f t="shared" si="359"/>
        <v>3474960.0549999997</v>
      </c>
      <c r="AO555" s="16"/>
      <c r="AP555" s="7"/>
      <c r="AQ555" s="9">
        <v>9</v>
      </c>
      <c r="AR555" s="9">
        <f t="shared" si="349"/>
        <v>1519</v>
      </c>
      <c r="AS555" s="7">
        <f t="shared" si="358"/>
        <v>376</v>
      </c>
      <c r="AT555" s="7"/>
      <c r="AU555" s="16"/>
      <c r="AV555" s="7"/>
      <c r="AW555" s="7"/>
      <c r="AX555" s="7"/>
      <c r="AZ555" s="7"/>
      <c r="BA555" s="9">
        <f t="shared" si="361"/>
        <v>2574153.2800000003</v>
      </c>
      <c r="BC555" s="5" t="e">
        <f t="shared" si="350"/>
        <v>#N/A</v>
      </c>
      <c r="BR555" s="5">
        <v>3206035</v>
      </c>
      <c r="BS555" s="18">
        <f>[1]monsters!$N555</f>
        <v>94.08</v>
      </c>
      <c r="BT555" s="18">
        <f>[1]monsters!$O555</f>
        <v>9.41</v>
      </c>
      <c r="BU555" s="18">
        <f>[1]monsters!$P555</f>
        <v>1493.33</v>
      </c>
      <c r="BV555" s="18">
        <f>[1]monsters!$Q555</f>
        <v>149.33000000000001</v>
      </c>
      <c r="BW555" s="18">
        <f>[1]monsters!$R555</f>
        <v>18.82</v>
      </c>
      <c r="BX555" s="18">
        <f>[1]monsters!$S555</f>
        <v>1.88</v>
      </c>
      <c r="BY555" s="18">
        <f>[1]monsters!$K555</f>
        <v>1.4</v>
      </c>
      <c r="BZ555" s="5">
        <f>[1]monsters!$D555</f>
        <v>2</v>
      </c>
      <c r="CA555" s="5">
        <f t="shared" si="351"/>
        <v>0.1</v>
      </c>
      <c r="CB555" s="5">
        <f t="shared" si="352"/>
        <v>139.18607138047139</v>
      </c>
      <c r="CC555" s="5">
        <f t="shared" si="353"/>
        <v>13.91860713804714</v>
      </c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>
        <v>0</v>
      </c>
      <c r="CR555" s="3" t="b">
        <f t="shared" si="325"/>
        <v>1</v>
      </c>
      <c r="CS555" s="3" t="b">
        <f t="shared" si="326"/>
        <v>1</v>
      </c>
      <c r="CT555" s="3" t="b">
        <f t="shared" si="327"/>
        <v>1</v>
      </c>
      <c r="CU555" s="3" t="b">
        <f t="shared" si="328"/>
        <v>1</v>
      </c>
      <c r="CV555" s="3" t="b">
        <f t="shared" si="329"/>
        <v>1</v>
      </c>
      <c r="CW555" s="3" t="b">
        <f t="shared" si="330"/>
        <v>1</v>
      </c>
      <c r="CX555" s="9" t="str">
        <f t="shared" si="331"/>
        <v>5200132</v>
      </c>
      <c r="CY555" s="9" t="str">
        <f t="shared" si="332"/>
        <v>5200133</v>
      </c>
      <c r="CZ555" s="9" t="str">
        <f t="shared" si="333"/>
        <v>5200132</v>
      </c>
      <c r="DA555" s="9" t="str">
        <f t="shared" si="334"/>
        <v>5501135</v>
      </c>
      <c r="DB555" s="9" t="str">
        <f t="shared" si="335"/>
        <v>5401133</v>
      </c>
      <c r="DC555" s="9" t="str">
        <f t="shared" si="336"/>
        <v>5501134</v>
      </c>
      <c r="DD555" s="9">
        <v>13</v>
      </c>
      <c r="DE555" s="9">
        <v>13</v>
      </c>
      <c r="DF555" s="9">
        <v>13</v>
      </c>
      <c r="DG555" s="9">
        <v>13</v>
      </c>
      <c r="DH555" s="9">
        <v>13</v>
      </c>
      <c r="DI555" s="9">
        <v>13</v>
      </c>
      <c r="DJ555" s="9">
        <v>5</v>
      </c>
      <c r="DK555" s="9">
        <v>5</v>
      </c>
      <c r="DL555" s="9">
        <v>5</v>
      </c>
      <c r="DM555" s="9">
        <v>5</v>
      </c>
      <c r="DN555" s="9">
        <v>5</v>
      </c>
      <c r="DO555" s="9">
        <v>5</v>
      </c>
      <c r="DP555" s="3" t="s">
        <v>199</v>
      </c>
      <c r="DQ555" s="3" t="s">
        <v>113</v>
      </c>
      <c r="DR555" s="3" t="s">
        <v>199</v>
      </c>
      <c r="DS555" s="25" t="s">
        <v>209</v>
      </c>
      <c r="DT555" s="25" t="s">
        <v>211</v>
      </c>
      <c r="DU555" s="25" t="s">
        <v>214</v>
      </c>
      <c r="DV555" s="25">
        <f t="shared" si="337"/>
        <v>1</v>
      </c>
      <c r="DW555" s="25">
        <f t="shared" si="338"/>
        <v>1</v>
      </c>
      <c r="DX555" s="25">
        <f t="shared" si="339"/>
        <v>1</v>
      </c>
      <c r="DY555" s="25">
        <f t="shared" si="340"/>
        <v>2</v>
      </c>
      <c r="DZ555" s="25">
        <f t="shared" si="341"/>
        <v>2</v>
      </c>
      <c r="EA555" s="3">
        <f t="shared" si="342"/>
        <v>2</v>
      </c>
      <c r="EB555" s="50"/>
    </row>
    <row r="556" spans="1:132" ht="13.5" customHeight="1">
      <c r="A556" s="9">
        <v>553</v>
      </c>
      <c r="B556" s="9">
        <v>1</v>
      </c>
      <c r="C556" s="9">
        <v>2001</v>
      </c>
      <c r="D556" s="9">
        <f t="shared" si="357"/>
        <v>27600026</v>
      </c>
      <c r="E556" s="9" t="str">
        <f t="shared" si="354"/>
        <v>5201131,5201132,5202131,5401131,5501135,5501135</v>
      </c>
      <c r="F556" s="9" t="str">
        <f t="shared" si="355"/>
        <v>13,13,13,13,13,13</v>
      </c>
      <c r="G556" s="9" t="str">
        <f t="shared" si="356"/>
        <v>1217,1316,1316,1316,1316,1316</v>
      </c>
      <c r="H556" s="9">
        <v>261</v>
      </c>
      <c r="I556" s="9" t="s">
        <v>278</v>
      </c>
      <c r="J556" s="9" t="s">
        <v>279</v>
      </c>
      <c r="K556" s="9" t="s">
        <v>279</v>
      </c>
      <c r="L556" s="9" t="s">
        <v>279</v>
      </c>
      <c r="M556" s="36" t="s">
        <v>315</v>
      </c>
      <c r="N556" s="40"/>
      <c r="O556" s="3">
        <f t="shared" si="322"/>
        <v>27600026</v>
      </c>
      <c r="P556" s="9">
        <v>20909110.41</v>
      </c>
      <c r="Q556" s="9">
        <v>5201131</v>
      </c>
      <c r="R556" s="9">
        <v>5201132</v>
      </c>
      <c r="S556" s="9">
        <v>5202131</v>
      </c>
      <c r="T556" s="9">
        <v>5401131</v>
      </c>
      <c r="U556" s="9">
        <v>5501135</v>
      </c>
      <c r="V556" s="9">
        <v>5501135</v>
      </c>
      <c r="W556" s="9">
        <v>13</v>
      </c>
      <c r="X556" s="9">
        <v>13</v>
      </c>
      <c r="Y556" s="9">
        <v>13</v>
      </c>
      <c r="Z556" s="9">
        <v>13</v>
      </c>
      <c r="AA556" s="9">
        <v>13</v>
      </c>
      <c r="AB556" s="9">
        <v>13</v>
      </c>
      <c r="AC556" s="9">
        <f t="shared" si="343"/>
        <v>1217</v>
      </c>
      <c r="AD556" s="9">
        <f t="shared" si="344"/>
        <v>1316</v>
      </c>
      <c r="AE556" s="9">
        <f t="shared" si="345"/>
        <v>1316</v>
      </c>
      <c r="AF556" s="9">
        <f t="shared" si="346"/>
        <v>1316</v>
      </c>
      <c r="AG556" s="9">
        <f t="shared" si="347"/>
        <v>1316</v>
      </c>
      <c r="AH556" s="9">
        <f t="shared" si="348"/>
        <v>1316</v>
      </c>
      <c r="AI556" s="7">
        <f t="shared" si="360"/>
        <v>3484851.7349999999</v>
      </c>
      <c r="AJ556" s="7">
        <f t="shared" si="359"/>
        <v>3484851.7349999999</v>
      </c>
      <c r="AK556" s="7">
        <f t="shared" si="359"/>
        <v>3484851.7349999999</v>
      </c>
      <c r="AL556" s="7">
        <f t="shared" si="359"/>
        <v>3484851.7349999999</v>
      </c>
      <c r="AM556" s="7">
        <f t="shared" si="359"/>
        <v>3484851.7349999999</v>
      </c>
      <c r="AN556" s="7">
        <f t="shared" si="359"/>
        <v>3484851.7349999999</v>
      </c>
      <c r="AO556" s="16"/>
      <c r="AP556" s="7"/>
      <c r="AQ556" s="9">
        <v>9</v>
      </c>
      <c r="AR556" s="9">
        <f t="shared" si="349"/>
        <v>1521</v>
      </c>
      <c r="AS556" s="7">
        <f t="shared" si="358"/>
        <v>376</v>
      </c>
      <c r="AT556" s="7"/>
      <c r="AU556" s="16"/>
      <c r="AV556" s="7"/>
      <c r="AW556" s="7"/>
      <c r="AX556" s="7"/>
      <c r="AZ556" s="7"/>
      <c r="BA556" s="9">
        <f t="shared" si="361"/>
        <v>2596414.4200000004</v>
      </c>
      <c r="BC556" s="5" t="e">
        <f t="shared" si="350"/>
        <v>#N/A</v>
      </c>
      <c r="BR556" s="5">
        <v>3406035</v>
      </c>
      <c r="BS556" s="18">
        <f>[1]monsters!$N556</f>
        <v>155.31</v>
      </c>
      <c r="BT556" s="18">
        <f>[1]monsters!$O556</f>
        <v>15.53</v>
      </c>
      <c r="BU556" s="18">
        <f>[1]monsters!$P556</f>
        <v>1033.8499999999999</v>
      </c>
      <c r="BV556" s="18">
        <f>[1]monsters!$Q556</f>
        <v>103.38</v>
      </c>
      <c r="BW556" s="18">
        <f>[1]monsters!$R556</f>
        <v>15.53</v>
      </c>
      <c r="BX556" s="18">
        <f>[1]monsters!$S556</f>
        <v>1.55</v>
      </c>
      <c r="BY556" s="18">
        <f>[1]monsters!$K556</f>
        <v>1.6</v>
      </c>
      <c r="BZ556" s="5">
        <f>[1]monsters!$D556</f>
        <v>4</v>
      </c>
      <c r="CA556" s="5">
        <f t="shared" si="351"/>
        <v>0.1</v>
      </c>
      <c r="CB556" s="5">
        <f t="shared" si="352"/>
        <v>181.5777143097643</v>
      </c>
      <c r="CC556" s="5">
        <f t="shared" si="353"/>
        <v>18.157771430976432</v>
      </c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>
        <v>0</v>
      </c>
      <c r="CR556" s="3" t="b">
        <f t="shared" si="325"/>
        <v>1</v>
      </c>
      <c r="CS556" s="3" t="b">
        <f t="shared" si="326"/>
        <v>1</v>
      </c>
      <c r="CT556" s="3" t="b">
        <f t="shared" si="327"/>
        <v>1</v>
      </c>
      <c r="CU556" s="3" t="b">
        <f t="shared" si="328"/>
        <v>1</v>
      </c>
      <c r="CV556" s="3" t="b">
        <f t="shared" si="329"/>
        <v>1</v>
      </c>
      <c r="CW556" s="3" t="b">
        <f t="shared" si="330"/>
        <v>1</v>
      </c>
      <c r="CX556" s="9" t="str">
        <f t="shared" si="331"/>
        <v>5201131</v>
      </c>
      <c r="CY556" s="9" t="str">
        <f t="shared" si="332"/>
        <v>5201132</v>
      </c>
      <c r="CZ556" s="9" t="str">
        <f t="shared" si="333"/>
        <v>5202131</v>
      </c>
      <c r="DA556" s="9" t="str">
        <f t="shared" si="334"/>
        <v>5401131</v>
      </c>
      <c r="DB556" s="9" t="str">
        <f t="shared" si="335"/>
        <v>5501135</v>
      </c>
      <c r="DC556" s="9" t="str">
        <f t="shared" si="336"/>
        <v>5501135</v>
      </c>
      <c r="DD556" s="9">
        <v>13</v>
      </c>
      <c r="DE556" s="9">
        <v>13</v>
      </c>
      <c r="DF556" s="9">
        <v>13</v>
      </c>
      <c r="DG556" s="9">
        <v>13</v>
      </c>
      <c r="DH556" s="9">
        <v>13</v>
      </c>
      <c r="DI556" s="9">
        <v>13</v>
      </c>
      <c r="DJ556" s="9">
        <v>5</v>
      </c>
      <c r="DK556" s="9">
        <v>5</v>
      </c>
      <c r="DL556" s="9">
        <v>5</v>
      </c>
      <c r="DM556" s="9">
        <v>5</v>
      </c>
      <c r="DN556" s="9">
        <v>5</v>
      </c>
      <c r="DO556" s="9">
        <v>5</v>
      </c>
      <c r="DP556" s="3" t="s">
        <v>195</v>
      </c>
      <c r="DQ556" s="3" t="s">
        <v>114</v>
      </c>
      <c r="DR556" s="3" t="s">
        <v>111</v>
      </c>
      <c r="DS556" s="3" t="s">
        <v>117</v>
      </c>
      <c r="DT556" s="3" t="s">
        <v>209</v>
      </c>
      <c r="DU556" s="3" t="s">
        <v>209</v>
      </c>
      <c r="DV556" s="3">
        <f t="shared" si="337"/>
        <v>1</v>
      </c>
      <c r="DW556" s="3">
        <f t="shared" si="338"/>
        <v>1</v>
      </c>
      <c r="DX556" s="3">
        <f t="shared" si="339"/>
        <v>1</v>
      </c>
      <c r="DY556" s="3">
        <f t="shared" si="340"/>
        <v>2</v>
      </c>
      <c r="DZ556" s="3">
        <f t="shared" si="341"/>
        <v>2</v>
      </c>
      <c r="EA556" s="3">
        <f t="shared" si="342"/>
        <v>2</v>
      </c>
      <c r="EB556" s="50"/>
    </row>
    <row r="557" spans="1:132" ht="13.5" customHeight="1">
      <c r="A557" s="9">
        <v>554</v>
      </c>
      <c r="B557" s="9">
        <v>1</v>
      </c>
      <c r="C557" s="9">
        <v>2001</v>
      </c>
      <c r="D557" s="9">
        <f t="shared" si="357"/>
        <v>27678479</v>
      </c>
      <c r="E557" s="9" t="str">
        <f t="shared" si="354"/>
        <v>5300135,5202135,5202135,5501134,5500133,5501134</v>
      </c>
      <c r="F557" s="9" t="str">
        <f t="shared" si="355"/>
        <v>13,13,13,13,13,13</v>
      </c>
      <c r="G557" s="9" t="str">
        <f t="shared" si="356"/>
        <v>1219,1317,1317,1317,1317,1317</v>
      </c>
      <c r="H557" s="9">
        <v>261</v>
      </c>
      <c r="I557" s="9" t="s">
        <v>278</v>
      </c>
      <c r="J557" s="9" t="s">
        <v>279</v>
      </c>
      <c r="K557" s="9" t="s">
        <v>279</v>
      </c>
      <c r="L557" s="9" t="s">
        <v>279</v>
      </c>
      <c r="M557" s="36" t="s">
        <v>315</v>
      </c>
      <c r="N557" s="40"/>
      <c r="O557" s="3">
        <f t="shared" si="322"/>
        <v>27678479</v>
      </c>
      <c r="P557" s="9">
        <v>20968544.890000001</v>
      </c>
      <c r="Q557" s="9">
        <v>5300135</v>
      </c>
      <c r="R557" s="9">
        <v>5202135</v>
      </c>
      <c r="S557" s="9">
        <v>5202135</v>
      </c>
      <c r="T557" s="9">
        <v>5501134</v>
      </c>
      <c r="U557" s="9">
        <v>5500133</v>
      </c>
      <c r="V557" s="9">
        <v>5501134</v>
      </c>
      <c r="W557" s="9">
        <v>13</v>
      </c>
      <c r="X557" s="9">
        <v>13</v>
      </c>
      <c r="Y557" s="9">
        <v>13</v>
      </c>
      <c r="Z557" s="9">
        <v>13</v>
      </c>
      <c r="AA557" s="9">
        <v>13</v>
      </c>
      <c r="AB557" s="9">
        <v>13</v>
      </c>
      <c r="AC557" s="9">
        <f t="shared" si="343"/>
        <v>1219</v>
      </c>
      <c r="AD557" s="9">
        <f t="shared" si="344"/>
        <v>1317</v>
      </c>
      <c r="AE557" s="9">
        <f t="shared" si="345"/>
        <v>1317</v>
      </c>
      <c r="AF557" s="9">
        <f t="shared" si="346"/>
        <v>1317</v>
      </c>
      <c r="AG557" s="9">
        <f t="shared" si="347"/>
        <v>1317</v>
      </c>
      <c r="AH557" s="9">
        <f t="shared" si="348"/>
        <v>1317</v>
      </c>
      <c r="AI557" s="7">
        <f t="shared" si="360"/>
        <v>3494757.4816666669</v>
      </c>
      <c r="AJ557" s="7">
        <f t="shared" si="359"/>
        <v>3494757.4816666669</v>
      </c>
      <c r="AK557" s="7">
        <f t="shared" si="359"/>
        <v>3494757.4816666669</v>
      </c>
      <c r="AL557" s="7">
        <f t="shared" si="359"/>
        <v>3494757.4816666669</v>
      </c>
      <c r="AM557" s="7">
        <f t="shared" si="359"/>
        <v>3494757.4816666669</v>
      </c>
      <c r="AN557" s="7">
        <f t="shared" si="359"/>
        <v>3494757.4816666669</v>
      </c>
      <c r="AO557" s="16"/>
      <c r="AP557" s="7"/>
      <c r="AQ557" s="9">
        <v>9</v>
      </c>
      <c r="AR557" s="9">
        <f t="shared" si="349"/>
        <v>1523</v>
      </c>
      <c r="AS557" s="7">
        <f t="shared" si="358"/>
        <v>377</v>
      </c>
      <c r="AT557" s="7"/>
      <c r="AU557" s="16"/>
      <c r="AV557" s="7"/>
      <c r="AW557" s="7"/>
      <c r="AX557" s="7"/>
      <c r="AZ557" s="7"/>
      <c r="BA557" s="9">
        <f t="shared" si="361"/>
        <v>2618675.5600000005</v>
      </c>
      <c r="BC557" s="5" t="e">
        <f t="shared" si="350"/>
        <v>#N/A</v>
      </c>
      <c r="BR557" s="5">
        <v>3205035</v>
      </c>
      <c r="BS557" s="18">
        <f>[1]monsters!$N557</f>
        <v>143.36000000000001</v>
      </c>
      <c r="BT557" s="18">
        <f>[1]monsters!$O557</f>
        <v>14.34</v>
      </c>
      <c r="BU557" s="18">
        <f>[1]monsters!$P557</f>
        <v>1120</v>
      </c>
      <c r="BV557" s="18">
        <f>[1]monsters!$Q557</f>
        <v>112</v>
      </c>
      <c r="BW557" s="18">
        <f>[1]monsters!$R557</f>
        <v>23.89</v>
      </c>
      <c r="BX557" s="18">
        <f>[1]monsters!$S557</f>
        <v>2.39</v>
      </c>
      <c r="BY557" s="18">
        <f>[1]monsters!$K557</f>
        <v>1.6</v>
      </c>
      <c r="BZ557" s="5">
        <f>[1]monsters!$D557</f>
        <v>5</v>
      </c>
      <c r="CA557" s="5">
        <f t="shared" si="351"/>
        <v>0.1</v>
      </c>
      <c r="CB557" s="5">
        <f t="shared" si="352"/>
        <v>173.18563771043773</v>
      </c>
      <c r="CC557" s="5">
        <f t="shared" si="353"/>
        <v>17.318563771043774</v>
      </c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>
        <v>0</v>
      </c>
      <c r="CR557" s="3" t="b">
        <f t="shared" si="325"/>
        <v>1</v>
      </c>
      <c r="CS557" s="3" t="b">
        <f t="shared" si="326"/>
        <v>1</v>
      </c>
      <c r="CT557" s="3" t="b">
        <f t="shared" si="327"/>
        <v>1</v>
      </c>
      <c r="CU557" s="3" t="b">
        <f t="shared" si="328"/>
        <v>1</v>
      </c>
      <c r="CV557" s="3" t="b">
        <f t="shared" si="329"/>
        <v>1</v>
      </c>
      <c r="CW557" s="3" t="b">
        <f t="shared" si="330"/>
        <v>1</v>
      </c>
      <c r="CX557" s="9" t="str">
        <f t="shared" si="331"/>
        <v>5300135</v>
      </c>
      <c r="CY557" s="9" t="str">
        <f t="shared" si="332"/>
        <v>5202135</v>
      </c>
      <c r="CZ557" s="9" t="str">
        <f t="shared" si="333"/>
        <v>5202135</v>
      </c>
      <c r="DA557" s="9" t="str">
        <f t="shared" si="334"/>
        <v>5501134</v>
      </c>
      <c r="DB557" s="9" t="str">
        <f t="shared" si="335"/>
        <v>5500133</v>
      </c>
      <c r="DC557" s="9" t="str">
        <f t="shared" si="336"/>
        <v>5501134</v>
      </c>
      <c r="DD557" s="9">
        <v>13</v>
      </c>
      <c r="DE557" s="9">
        <v>13</v>
      </c>
      <c r="DF557" s="9">
        <v>13</v>
      </c>
      <c r="DG557" s="9">
        <v>13</v>
      </c>
      <c r="DH557" s="9">
        <v>13</v>
      </c>
      <c r="DI557" s="9">
        <v>13</v>
      </c>
      <c r="DJ557" s="9">
        <v>5</v>
      </c>
      <c r="DK557" s="9">
        <v>5</v>
      </c>
      <c r="DL557" s="9">
        <v>5</v>
      </c>
      <c r="DM557" s="9">
        <v>5</v>
      </c>
      <c r="DN557" s="9">
        <v>5</v>
      </c>
      <c r="DO557" s="9">
        <v>5</v>
      </c>
      <c r="DP557" s="3" t="s">
        <v>212</v>
      </c>
      <c r="DQ557" s="3" t="s">
        <v>213</v>
      </c>
      <c r="DR557" s="3" t="s">
        <v>213</v>
      </c>
      <c r="DS557" s="3" t="s">
        <v>214</v>
      </c>
      <c r="DT557" s="3" t="s">
        <v>207</v>
      </c>
      <c r="DU557" s="3" t="s">
        <v>214</v>
      </c>
      <c r="DV557" s="3">
        <f t="shared" si="337"/>
        <v>1</v>
      </c>
      <c r="DW557" s="3">
        <f t="shared" si="338"/>
        <v>1</v>
      </c>
      <c r="DX557" s="3">
        <f t="shared" si="339"/>
        <v>1</v>
      </c>
      <c r="DY557" s="3">
        <f t="shared" si="340"/>
        <v>2</v>
      </c>
      <c r="DZ557" s="3">
        <f t="shared" si="341"/>
        <v>2</v>
      </c>
      <c r="EA557" s="3">
        <f t="shared" si="342"/>
        <v>2</v>
      </c>
      <c r="EB557" s="50"/>
    </row>
    <row r="558" spans="1:132" ht="13.5" customHeight="1">
      <c r="A558" s="9">
        <v>555</v>
      </c>
      <c r="B558" s="9">
        <v>1</v>
      </c>
      <c r="C558" s="9">
        <v>2001</v>
      </c>
      <c r="D558" s="9">
        <f t="shared" si="357"/>
        <v>27757047</v>
      </c>
      <c r="E558" s="9" t="str">
        <f t="shared" si="354"/>
        <v>5201131,5201131,5200132,5502132,5501134,5501134</v>
      </c>
      <c r="F558" s="9" t="str">
        <f t="shared" si="355"/>
        <v>13,13,13,13,13,13</v>
      </c>
      <c r="G558" s="9" t="str">
        <f t="shared" si="356"/>
        <v>1221,1319,1319,1319,1319,1319</v>
      </c>
      <c r="H558" s="9">
        <v>262</v>
      </c>
      <c r="I558" s="9" t="s">
        <v>278</v>
      </c>
      <c r="J558" s="9" t="s">
        <v>279</v>
      </c>
      <c r="K558" s="9" t="s">
        <v>279</v>
      </c>
      <c r="L558" s="9" t="s">
        <v>279</v>
      </c>
      <c r="M558" s="36" t="s">
        <v>315</v>
      </c>
      <c r="O558" s="3">
        <f t="shared" si="322"/>
        <v>27757047</v>
      </c>
      <c r="P558" s="9">
        <v>21028065.879999999</v>
      </c>
      <c r="Q558" s="9">
        <v>5201131</v>
      </c>
      <c r="R558" s="9">
        <v>5201131</v>
      </c>
      <c r="S558" s="9">
        <v>5200132</v>
      </c>
      <c r="T558" s="9">
        <v>5502132</v>
      </c>
      <c r="U558" s="9">
        <v>5501134</v>
      </c>
      <c r="V558" s="9">
        <v>5501134</v>
      </c>
      <c r="W558" s="9">
        <v>13</v>
      </c>
      <c r="X558" s="9">
        <v>13</v>
      </c>
      <c r="Y558" s="9">
        <v>13</v>
      </c>
      <c r="Z558" s="9">
        <v>13</v>
      </c>
      <c r="AA558" s="9">
        <v>13</v>
      </c>
      <c r="AB558" s="9">
        <v>13</v>
      </c>
      <c r="AC558" s="9">
        <f t="shared" si="343"/>
        <v>1221</v>
      </c>
      <c r="AD558" s="9">
        <f t="shared" si="344"/>
        <v>1319</v>
      </c>
      <c r="AE558" s="9">
        <f t="shared" si="345"/>
        <v>1319</v>
      </c>
      <c r="AF558" s="9">
        <f t="shared" si="346"/>
        <v>1319</v>
      </c>
      <c r="AG558" s="9">
        <f t="shared" si="347"/>
        <v>1319</v>
      </c>
      <c r="AH558" s="9">
        <f t="shared" si="348"/>
        <v>1319</v>
      </c>
      <c r="AI558" s="7">
        <f t="shared" si="360"/>
        <v>3504677.6466666665</v>
      </c>
      <c r="AJ558" s="7">
        <f t="shared" si="359"/>
        <v>3504677.6466666665</v>
      </c>
      <c r="AK558" s="7">
        <f t="shared" si="359"/>
        <v>3504677.6466666665</v>
      </c>
      <c r="AL558" s="7">
        <f t="shared" si="359"/>
        <v>3504677.6466666665</v>
      </c>
      <c r="AM558" s="7">
        <f t="shared" si="359"/>
        <v>3504677.6466666665</v>
      </c>
      <c r="AN558" s="7">
        <f t="shared" si="359"/>
        <v>3504677.6466666665</v>
      </c>
      <c r="AO558" s="16"/>
      <c r="AP558" s="7"/>
      <c r="AQ558" s="9">
        <v>9</v>
      </c>
      <c r="AR558" s="9">
        <f t="shared" si="349"/>
        <v>1525</v>
      </c>
      <c r="AS558" s="7">
        <f t="shared" si="358"/>
        <v>377</v>
      </c>
      <c r="AT558" s="7"/>
      <c r="AU558" s="16"/>
      <c r="AV558" s="7"/>
      <c r="AW558" s="7"/>
      <c r="AX558" s="7"/>
      <c r="AZ558" s="7"/>
      <c r="BA558" s="9">
        <f t="shared" si="361"/>
        <v>2640936.7000000007</v>
      </c>
      <c r="BC558" s="5" t="e">
        <f t="shared" si="350"/>
        <v>#N/A</v>
      </c>
      <c r="BR558" s="5">
        <v>3405035</v>
      </c>
      <c r="BS558" s="18">
        <f>[1]monsters!$N558</f>
        <v>120.21</v>
      </c>
      <c r="BT558" s="18">
        <f>[1]monsters!$O558</f>
        <v>12.02</v>
      </c>
      <c r="BU558" s="18">
        <f>[1]monsters!$P558</f>
        <v>1168.7</v>
      </c>
      <c r="BV558" s="18">
        <f>[1]monsters!$Q558</f>
        <v>116.87</v>
      </c>
      <c r="BW558" s="18">
        <f>[1]monsters!$R558</f>
        <v>15.03</v>
      </c>
      <c r="BX558" s="18">
        <f>[1]monsters!$S558</f>
        <v>1.5</v>
      </c>
      <c r="BY558" s="18">
        <f>[1]monsters!$K558</f>
        <v>1.4</v>
      </c>
      <c r="BZ558" s="5">
        <f>[1]monsters!$D558</f>
        <v>3</v>
      </c>
      <c r="CA558" s="5">
        <f t="shared" si="351"/>
        <v>0.1</v>
      </c>
      <c r="CB558" s="5">
        <f t="shared" si="352"/>
        <v>152.94861835016835</v>
      </c>
      <c r="CC558" s="5">
        <f t="shared" si="353"/>
        <v>15.294861835016835</v>
      </c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>
        <v>1</v>
      </c>
      <c r="CR558" s="3" t="b">
        <f t="shared" si="325"/>
        <v>1</v>
      </c>
      <c r="CS558" s="3" t="b">
        <f t="shared" si="326"/>
        <v>1</v>
      </c>
      <c r="CT558" s="3" t="b">
        <f t="shared" si="327"/>
        <v>1</v>
      </c>
      <c r="CU558" s="3" t="b">
        <f t="shared" si="328"/>
        <v>1</v>
      </c>
      <c r="CV558" s="3" t="b">
        <f t="shared" si="329"/>
        <v>1</v>
      </c>
      <c r="CW558" s="3" t="b">
        <f t="shared" si="330"/>
        <v>1</v>
      </c>
      <c r="CX558" s="9" t="str">
        <f t="shared" si="331"/>
        <v>5201131</v>
      </c>
      <c r="CY558" s="9" t="str">
        <f t="shared" si="332"/>
        <v>5201131</v>
      </c>
      <c r="CZ558" s="9" t="str">
        <f t="shared" si="333"/>
        <v>5200132</v>
      </c>
      <c r="DA558" s="9" t="str">
        <f t="shared" si="334"/>
        <v>5502132</v>
      </c>
      <c r="DB558" s="9" t="str">
        <f t="shared" si="335"/>
        <v>5501134</v>
      </c>
      <c r="DC558" s="9" t="str">
        <f t="shared" si="336"/>
        <v>5501134</v>
      </c>
      <c r="DD558" s="9">
        <v>13</v>
      </c>
      <c r="DE558" s="9">
        <v>13</v>
      </c>
      <c r="DF558" s="9">
        <v>13</v>
      </c>
      <c r="DG558" s="9">
        <v>13</v>
      </c>
      <c r="DH558" s="9">
        <v>13</v>
      </c>
      <c r="DI558" s="9">
        <v>13</v>
      </c>
      <c r="DJ558" s="9">
        <v>5</v>
      </c>
      <c r="DK558" s="9">
        <v>5</v>
      </c>
      <c r="DL558" s="9">
        <v>5</v>
      </c>
      <c r="DM558" s="9">
        <v>5</v>
      </c>
      <c r="DN558" s="9">
        <v>5</v>
      </c>
      <c r="DO558" s="9">
        <v>5</v>
      </c>
      <c r="DP558" s="3" t="s">
        <v>195</v>
      </c>
      <c r="DQ558" s="3" t="s">
        <v>195</v>
      </c>
      <c r="DR558" s="3" t="s">
        <v>199</v>
      </c>
      <c r="DS558" s="3" t="s">
        <v>204</v>
      </c>
      <c r="DT558" s="3" t="s">
        <v>214</v>
      </c>
      <c r="DU558" s="3" t="s">
        <v>214</v>
      </c>
      <c r="DV558" s="3">
        <f t="shared" si="337"/>
        <v>1</v>
      </c>
      <c r="DW558" s="3">
        <f t="shared" si="338"/>
        <v>1</v>
      </c>
      <c r="DX558" s="3">
        <f t="shared" si="339"/>
        <v>1</v>
      </c>
      <c r="DY558" s="3">
        <f t="shared" si="340"/>
        <v>2</v>
      </c>
      <c r="DZ558" s="3">
        <f t="shared" si="341"/>
        <v>2</v>
      </c>
      <c r="EA558" s="3">
        <f t="shared" si="342"/>
        <v>2</v>
      </c>
      <c r="EB558" s="51"/>
    </row>
    <row r="559" spans="1:132" ht="13.5" customHeight="1">
      <c r="A559" s="9">
        <v>556</v>
      </c>
      <c r="B559" s="9">
        <v>1</v>
      </c>
      <c r="C559" s="9">
        <v>2001</v>
      </c>
      <c r="D559" s="9">
        <f t="shared" si="357"/>
        <v>27835723</v>
      </c>
      <c r="E559" s="9" t="str">
        <f t="shared" si="354"/>
        <v>5202133,5202132,5202133,5400135,5401133,5501134</v>
      </c>
      <c r="F559" s="9" t="str">
        <f t="shared" si="355"/>
        <v>13,13,13,13,13,13</v>
      </c>
      <c r="G559" s="9" t="str">
        <f t="shared" si="356"/>
        <v>1222,1321,1321,1321,1321,1321</v>
      </c>
      <c r="H559" s="9">
        <v>262</v>
      </c>
      <c r="I559" s="9" t="s">
        <v>278</v>
      </c>
      <c r="J559" s="9" t="s">
        <v>279</v>
      </c>
      <c r="K559" s="9" t="s">
        <v>279</v>
      </c>
      <c r="L559" s="9" t="s">
        <v>279</v>
      </c>
      <c r="M559" s="36" t="s">
        <v>315</v>
      </c>
      <c r="N559" s="40"/>
      <c r="O559" s="3">
        <f t="shared" si="322"/>
        <v>27835723</v>
      </c>
      <c r="P559" s="9">
        <v>21087669.16</v>
      </c>
      <c r="Q559" s="9">
        <v>5202133</v>
      </c>
      <c r="R559" s="9">
        <v>5202132</v>
      </c>
      <c r="S559" s="9">
        <v>5202133</v>
      </c>
      <c r="T559" s="9">
        <v>5400135</v>
      </c>
      <c r="U559" s="9">
        <v>5401133</v>
      </c>
      <c r="V559" s="9">
        <v>5501134</v>
      </c>
      <c r="W559" s="9">
        <v>13</v>
      </c>
      <c r="X559" s="9">
        <v>13</v>
      </c>
      <c r="Y559" s="9">
        <v>13</v>
      </c>
      <c r="Z559" s="9">
        <v>13</v>
      </c>
      <c r="AA559" s="9">
        <v>13</v>
      </c>
      <c r="AB559" s="9">
        <v>13</v>
      </c>
      <c r="AC559" s="9">
        <f t="shared" si="343"/>
        <v>1222</v>
      </c>
      <c r="AD559" s="9">
        <f t="shared" si="344"/>
        <v>1321</v>
      </c>
      <c r="AE559" s="9">
        <f t="shared" si="345"/>
        <v>1321</v>
      </c>
      <c r="AF559" s="9">
        <f t="shared" si="346"/>
        <v>1321</v>
      </c>
      <c r="AG559" s="9">
        <f t="shared" si="347"/>
        <v>1321</v>
      </c>
      <c r="AH559" s="9">
        <f t="shared" si="348"/>
        <v>1321</v>
      </c>
      <c r="AI559" s="7">
        <f t="shared" si="360"/>
        <v>3514611.5266666668</v>
      </c>
      <c r="AJ559" s="7">
        <f t="shared" si="359"/>
        <v>3514611.5266666668</v>
      </c>
      <c r="AK559" s="7">
        <f t="shared" si="359"/>
        <v>3514611.5266666668</v>
      </c>
      <c r="AL559" s="7">
        <f t="shared" si="359"/>
        <v>3514611.5266666668</v>
      </c>
      <c r="AM559" s="7">
        <f t="shared" si="359"/>
        <v>3514611.5266666668</v>
      </c>
      <c r="AN559" s="7">
        <f t="shared" si="359"/>
        <v>3514611.5266666668</v>
      </c>
      <c r="AO559" s="16"/>
      <c r="AP559" s="7"/>
      <c r="AQ559" s="9">
        <v>9</v>
      </c>
      <c r="AR559" s="9">
        <f t="shared" si="349"/>
        <v>1527</v>
      </c>
      <c r="AS559" s="7">
        <f t="shared" si="358"/>
        <v>378</v>
      </c>
      <c r="AT559" s="7"/>
      <c r="AU559" s="16"/>
      <c r="AV559" s="7"/>
      <c r="AW559" s="7"/>
      <c r="AX559" s="7"/>
      <c r="AZ559" s="7"/>
      <c r="BA559" s="9">
        <f t="shared" si="361"/>
        <v>2663197.8400000008</v>
      </c>
      <c r="BC559" s="5" t="e">
        <f t="shared" si="350"/>
        <v>#N/A</v>
      </c>
      <c r="BR559" s="5">
        <v>3203035</v>
      </c>
      <c r="BS559" s="18">
        <f>[1]monsters!$N559</f>
        <v>87.36</v>
      </c>
      <c r="BT559" s="18">
        <f>[1]monsters!$O559</f>
        <v>8.74</v>
      </c>
      <c r="BU559" s="18">
        <f>[1]monsters!$P559</f>
        <v>1493.33</v>
      </c>
      <c r="BV559" s="18">
        <f>[1]monsters!$Q559</f>
        <v>149.33000000000001</v>
      </c>
      <c r="BW559" s="18">
        <f>[1]monsters!$R559</f>
        <v>17.47</v>
      </c>
      <c r="BX559" s="18">
        <f>[1]monsters!$S559</f>
        <v>1.75</v>
      </c>
      <c r="BY559" s="18">
        <f>[1]monsters!$K559</f>
        <v>1.3</v>
      </c>
      <c r="BZ559" s="5">
        <f>[1]monsters!$D559</f>
        <v>2</v>
      </c>
      <c r="CA559" s="5">
        <f t="shared" si="351"/>
        <v>0.1</v>
      </c>
      <c r="CB559" s="5">
        <f t="shared" si="352"/>
        <v>132.83567138047138</v>
      </c>
      <c r="CC559" s="5">
        <f t="shared" si="353"/>
        <v>13.28356713804714</v>
      </c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>
        <v>0</v>
      </c>
      <c r="CR559" s="3" t="b">
        <f t="shared" si="325"/>
        <v>1</v>
      </c>
      <c r="CS559" s="3" t="b">
        <f t="shared" si="326"/>
        <v>1</v>
      </c>
      <c r="CT559" s="3" t="b">
        <f t="shared" si="327"/>
        <v>1</v>
      </c>
      <c r="CU559" s="3" t="b">
        <f t="shared" si="328"/>
        <v>1</v>
      </c>
      <c r="CV559" s="3" t="b">
        <f t="shared" si="329"/>
        <v>1</v>
      </c>
      <c r="CW559" s="3" t="b">
        <f t="shared" si="330"/>
        <v>1</v>
      </c>
      <c r="CX559" s="9" t="str">
        <f t="shared" si="331"/>
        <v>5202133</v>
      </c>
      <c r="CY559" s="9" t="str">
        <f t="shared" si="332"/>
        <v>5202132</v>
      </c>
      <c r="CZ559" s="9" t="str">
        <f t="shared" si="333"/>
        <v>5202133</v>
      </c>
      <c r="DA559" s="9" t="str">
        <f t="shared" si="334"/>
        <v>5400135</v>
      </c>
      <c r="DB559" s="9" t="str">
        <f t="shared" si="335"/>
        <v>5401133</v>
      </c>
      <c r="DC559" s="9" t="str">
        <f t="shared" si="336"/>
        <v>5501134</v>
      </c>
      <c r="DD559" s="9">
        <v>13</v>
      </c>
      <c r="DE559" s="9">
        <v>13</v>
      </c>
      <c r="DF559" s="9">
        <v>13</v>
      </c>
      <c r="DG559" s="9">
        <v>13</v>
      </c>
      <c r="DH559" s="9">
        <v>13</v>
      </c>
      <c r="DI559" s="9">
        <v>13</v>
      </c>
      <c r="DJ559" s="9">
        <v>5</v>
      </c>
      <c r="DK559" s="9">
        <v>5</v>
      </c>
      <c r="DL559" s="9">
        <v>5</v>
      </c>
      <c r="DM559" s="9">
        <v>5</v>
      </c>
      <c r="DN559" s="9">
        <v>5</v>
      </c>
      <c r="DO559" s="9">
        <v>5</v>
      </c>
      <c r="DP559" s="25" t="s">
        <v>208</v>
      </c>
      <c r="DQ559" s="25" t="s">
        <v>200</v>
      </c>
      <c r="DR559" s="25" t="s">
        <v>208</v>
      </c>
      <c r="DS559" s="25" t="s">
        <v>210</v>
      </c>
      <c r="DT559" s="25" t="s">
        <v>211</v>
      </c>
      <c r="DU559" s="25" t="s">
        <v>214</v>
      </c>
      <c r="DV559" s="25">
        <f t="shared" si="337"/>
        <v>1</v>
      </c>
      <c r="DW559" s="25">
        <f t="shared" si="338"/>
        <v>1</v>
      </c>
      <c r="DX559" s="25">
        <f t="shared" si="339"/>
        <v>1</v>
      </c>
      <c r="DY559" s="25">
        <f t="shared" si="340"/>
        <v>2</v>
      </c>
      <c r="DZ559" s="25">
        <f t="shared" si="341"/>
        <v>2</v>
      </c>
      <c r="EA559" s="3">
        <f t="shared" si="342"/>
        <v>2</v>
      </c>
      <c r="EB559" s="50"/>
    </row>
    <row r="560" spans="1:132" ht="13.5" customHeight="1">
      <c r="A560" s="9">
        <v>557</v>
      </c>
      <c r="B560" s="9">
        <v>1</v>
      </c>
      <c r="C560" s="9">
        <v>2001</v>
      </c>
      <c r="D560" s="9">
        <f t="shared" si="357"/>
        <v>27914511</v>
      </c>
      <c r="E560" s="9" t="str">
        <f t="shared" si="354"/>
        <v>5301131,5301132,5301133,5501134,5400135,5502133</v>
      </c>
      <c r="F560" s="9" t="str">
        <f t="shared" si="355"/>
        <v>13,13,13,13,13,13</v>
      </c>
      <c r="G560" s="9" t="str">
        <f t="shared" si="356"/>
        <v>1224,1323,1323,1323,1323,1323</v>
      </c>
      <c r="H560" s="9">
        <v>262</v>
      </c>
      <c r="I560" s="9" t="s">
        <v>278</v>
      </c>
      <c r="J560" s="9" t="s">
        <v>279</v>
      </c>
      <c r="K560" s="9" t="s">
        <v>279</v>
      </c>
      <c r="L560" s="9" t="s">
        <v>279</v>
      </c>
      <c r="M560" s="36" t="s">
        <v>315</v>
      </c>
      <c r="N560" s="40"/>
      <c r="O560" s="3">
        <f t="shared" si="322"/>
        <v>27914511</v>
      </c>
      <c r="P560" s="9">
        <v>21147356.84</v>
      </c>
      <c r="Q560" s="9">
        <v>5301131</v>
      </c>
      <c r="R560" s="9">
        <v>5301132</v>
      </c>
      <c r="S560" s="9">
        <v>5301133</v>
      </c>
      <c r="T560" s="9">
        <v>5501134</v>
      </c>
      <c r="U560" s="9">
        <v>5400135</v>
      </c>
      <c r="V560" s="9">
        <v>5502133</v>
      </c>
      <c r="W560" s="9">
        <v>13</v>
      </c>
      <c r="X560" s="9">
        <v>13</v>
      </c>
      <c r="Y560" s="9">
        <v>13</v>
      </c>
      <c r="Z560" s="9">
        <v>13</v>
      </c>
      <c r="AA560" s="9">
        <v>13</v>
      </c>
      <c r="AB560" s="9">
        <v>13</v>
      </c>
      <c r="AC560" s="9">
        <f t="shared" si="343"/>
        <v>1224</v>
      </c>
      <c r="AD560" s="9">
        <f t="shared" si="344"/>
        <v>1323</v>
      </c>
      <c r="AE560" s="9">
        <f t="shared" si="345"/>
        <v>1323</v>
      </c>
      <c r="AF560" s="9">
        <f t="shared" si="346"/>
        <v>1323</v>
      </c>
      <c r="AG560" s="9">
        <f t="shared" si="347"/>
        <v>1323</v>
      </c>
      <c r="AH560" s="9">
        <f t="shared" si="348"/>
        <v>1323</v>
      </c>
      <c r="AI560" s="7">
        <f t="shared" si="360"/>
        <v>3524559.4733333332</v>
      </c>
      <c r="AJ560" s="7">
        <f t="shared" si="359"/>
        <v>3524559.4733333332</v>
      </c>
      <c r="AK560" s="7">
        <f t="shared" si="359"/>
        <v>3524559.4733333332</v>
      </c>
      <c r="AL560" s="7">
        <f t="shared" si="359"/>
        <v>3524559.4733333332</v>
      </c>
      <c r="AM560" s="7">
        <f t="shared" si="359"/>
        <v>3524559.4733333332</v>
      </c>
      <c r="AN560" s="7">
        <f t="shared" si="359"/>
        <v>3524559.4733333332</v>
      </c>
      <c r="AO560" s="16"/>
      <c r="AP560" s="7"/>
      <c r="AQ560" s="9">
        <v>9</v>
      </c>
      <c r="AR560" s="9">
        <f t="shared" si="349"/>
        <v>1529</v>
      </c>
      <c r="AS560" s="7">
        <f t="shared" si="358"/>
        <v>378</v>
      </c>
      <c r="AT560" s="7"/>
      <c r="AU560" s="16"/>
      <c r="AV560" s="7"/>
      <c r="AW560" s="7"/>
      <c r="AX560" s="7"/>
      <c r="AZ560" s="7"/>
      <c r="BA560" s="9">
        <f t="shared" si="361"/>
        <v>2685458.9800000009</v>
      </c>
      <c r="BC560" s="5" t="e">
        <f t="shared" si="350"/>
        <v>#N/A</v>
      </c>
      <c r="BR560" s="5">
        <v>3403035</v>
      </c>
      <c r="BS560" s="18">
        <f>[1]monsters!$N560</f>
        <v>116.48</v>
      </c>
      <c r="BT560" s="18">
        <f>[1]monsters!$O560</f>
        <v>11.65</v>
      </c>
      <c r="BU560" s="18">
        <f>[1]monsters!$P560</f>
        <v>1120</v>
      </c>
      <c r="BV560" s="18">
        <f>[1]monsters!$Q560</f>
        <v>112</v>
      </c>
      <c r="BW560" s="18">
        <f>[1]monsters!$R560</f>
        <v>11.65</v>
      </c>
      <c r="BX560" s="18">
        <f>[1]monsters!$S560</f>
        <v>1.1599999999999999</v>
      </c>
      <c r="BY560" s="18">
        <f>[1]monsters!$K560</f>
        <v>1.3</v>
      </c>
      <c r="BZ560" s="5">
        <f>[1]monsters!$D560</f>
        <v>4</v>
      </c>
      <c r="CA560" s="5">
        <f t="shared" si="351"/>
        <v>0.1</v>
      </c>
      <c r="CB560" s="5">
        <f t="shared" si="352"/>
        <v>147.78403771043773</v>
      </c>
      <c r="CC560" s="5">
        <f t="shared" si="353"/>
        <v>14.778403771043774</v>
      </c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>
        <v>0</v>
      </c>
      <c r="CR560" s="3" t="b">
        <f t="shared" si="325"/>
        <v>1</v>
      </c>
      <c r="CS560" s="3" t="b">
        <f t="shared" si="326"/>
        <v>1</v>
      </c>
      <c r="CT560" s="3" t="b">
        <f t="shared" si="327"/>
        <v>1</v>
      </c>
      <c r="CU560" s="3" t="b">
        <f t="shared" si="328"/>
        <v>1</v>
      </c>
      <c r="CV560" s="3" t="b">
        <f t="shared" si="329"/>
        <v>1</v>
      </c>
      <c r="CW560" s="3" t="b">
        <f t="shared" si="330"/>
        <v>1</v>
      </c>
      <c r="CX560" s="9" t="str">
        <f t="shared" si="331"/>
        <v>5301131</v>
      </c>
      <c r="CY560" s="9" t="str">
        <f t="shared" si="332"/>
        <v>5301132</v>
      </c>
      <c r="CZ560" s="9" t="str">
        <f t="shared" si="333"/>
        <v>5301133</v>
      </c>
      <c r="DA560" s="9" t="str">
        <f t="shared" si="334"/>
        <v>5501134</v>
      </c>
      <c r="DB560" s="9" t="str">
        <f t="shared" si="335"/>
        <v>5400135</v>
      </c>
      <c r="DC560" s="9" t="str">
        <f t="shared" si="336"/>
        <v>5502133</v>
      </c>
      <c r="DD560" s="9">
        <v>13</v>
      </c>
      <c r="DE560" s="9">
        <v>13</v>
      </c>
      <c r="DF560" s="9">
        <v>13</v>
      </c>
      <c r="DG560" s="9">
        <v>13</v>
      </c>
      <c r="DH560" s="9">
        <v>13</v>
      </c>
      <c r="DI560" s="9">
        <v>13</v>
      </c>
      <c r="DJ560" s="9">
        <v>5</v>
      </c>
      <c r="DK560" s="9">
        <v>5</v>
      </c>
      <c r="DL560" s="9">
        <v>5</v>
      </c>
      <c r="DM560" s="9">
        <v>5</v>
      </c>
      <c r="DN560" s="9">
        <v>5</v>
      </c>
      <c r="DO560" s="9">
        <v>5</v>
      </c>
      <c r="DP560" s="26" t="s">
        <v>107</v>
      </c>
      <c r="DQ560" s="26" t="s">
        <v>201</v>
      </c>
      <c r="DR560" s="26" t="s">
        <v>206</v>
      </c>
      <c r="DS560" s="26" t="s">
        <v>214</v>
      </c>
      <c r="DT560" s="26" t="s">
        <v>210</v>
      </c>
      <c r="DU560" s="26" t="s">
        <v>215</v>
      </c>
      <c r="DV560" s="26">
        <f t="shared" si="337"/>
        <v>1</v>
      </c>
      <c r="DW560" s="26">
        <f t="shared" si="338"/>
        <v>1</v>
      </c>
      <c r="DX560" s="26">
        <f t="shared" si="339"/>
        <v>1</v>
      </c>
      <c r="DY560" s="26">
        <f t="shared" si="340"/>
        <v>2</v>
      </c>
      <c r="DZ560" s="26">
        <f t="shared" si="341"/>
        <v>2</v>
      </c>
      <c r="EA560" s="3">
        <f t="shared" si="342"/>
        <v>2</v>
      </c>
      <c r="EB560" s="50"/>
    </row>
    <row r="561" spans="1:132" ht="13.5" customHeight="1">
      <c r="A561" s="9">
        <v>558</v>
      </c>
      <c r="B561" s="9">
        <v>1</v>
      </c>
      <c r="C561" s="9">
        <v>2001</v>
      </c>
      <c r="D561" s="9">
        <f t="shared" si="357"/>
        <v>27993413</v>
      </c>
      <c r="E561" s="9" t="str">
        <f t="shared" si="354"/>
        <v>5200132,5200133,5202132,5402132,5500133,5501134</v>
      </c>
      <c r="F561" s="9" t="str">
        <f t="shared" si="355"/>
        <v>13,13,13,13,13,13</v>
      </c>
      <c r="G561" s="9" t="str">
        <f t="shared" si="356"/>
        <v>1226,1325,1325,1325,1325,1325</v>
      </c>
      <c r="H561" s="9">
        <v>263</v>
      </c>
      <c r="I561" s="9" t="s">
        <v>278</v>
      </c>
      <c r="J561" s="9" t="s">
        <v>279</v>
      </c>
      <c r="K561" s="9" t="s">
        <v>279</v>
      </c>
      <c r="L561" s="9" t="s">
        <v>279</v>
      </c>
      <c r="M561" s="36" t="s">
        <v>315</v>
      </c>
      <c r="N561" s="40"/>
      <c r="O561" s="3">
        <f t="shared" si="322"/>
        <v>27993413</v>
      </c>
      <c r="P561" s="9">
        <v>21207131.030000001</v>
      </c>
      <c r="Q561" s="9">
        <v>5200132</v>
      </c>
      <c r="R561" s="9">
        <v>5200133</v>
      </c>
      <c r="S561" s="9">
        <v>5202132</v>
      </c>
      <c r="T561" s="9">
        <v>5402132</v>
      </c>
      <c r="U561" s="9">
        <v>5500133</v>
      </c>
      <c r="V561" s="9">
        <v>5501134</v>
      </c>
      <c r="W561" s="9">
        <v>13</v>
      </c>
      <c r="X561" s="9">
        <v>13</v>
      </c>
      <c r="Y561" s="9">
        <v>13</v>
      </c>
      <c r="Z561" s="9">
        <v>13</v>
      </c>
      <c r="AA561" s="9">
        <v>13</v>
      </c>
      <c r="AB561" s="9">
        <v>13</v>
      </c>
      <c r="AC561" s="9">
        <f t="shared" si="343"/>
        <v>1226</v>
      </c>
      <c r="AD561" s="9">
        <f t="shared" si="344"/>
        <v>1325</v>
      </c>
      <c r="AE561" s="9">
        <f t="shared" si="345"/>
        <v>1325</v>
      </c>
      <c r="AF561" s="9">
        <f t="shared" si="346"/>
        <v>1325</v>
      </c>
      <c r="AG561" s="9">
        <f t="shared" si="347"/>
        <v>1325</v>
      </c>
      <c r="AH561" s="9">
        <f t="shared" si="348"/>
        <v>1325</v>
      </c>
      <c r="AI561" s="7">
        <f t="shared" si="360"/>
        <v>3534521.8383333334</v>
      </c>
      <c r="AJ561" s="7">
        <f t="shared" si="359"/>
        <v>3534521.8383333334</v>
      </c>
      <c r="AK561" s="7">
        <f t="shared" si="359"/>
        <v>3534521.8383333334</v>
      </c>
      <c r="AL561" s="7">
        <f t="shared" si="359"/>
        <v>3534521.8383333334</v>
      </c>
      <c r="AM561" s="7">
        <f t="shared" si="359"/>
        <v>3534521.8383333334</v>
      </c>
      <c r="AN561" s="7">
        <f t="shared" si="359"/>
        <v>3534521.8383333334</v>
      </c>
      <c r="AO561" s="16"/>
      <c r="AP561" s="7"/>
      <c r="AQ561" s="9">
        <v>9</v>
      </c>
      <c r="AR561" s="9">
        <f t="shared" si="349"/>
        <v>1532</v>
      </c>
      <c r="AS561" s="7">
        <f t="shared" si="358"/>
        <v>379</v>
      </c>
      <c r="AT561" s="7"/>
      <c r="AU561" s="16"/>
      <c r="AV561" s="7"/>
      <c r="AW561" s="7"/>
      <c r="AX561" s="7"/>
      <c r="AZ561" s="7"/>
      <c r="BA561" s="9">
        <f t="shared" si="361"/>
        <v>2707720.120000001</v>
      </c>
      <c r="BC561" s="5" t="e">
        <f t="shared" si="350"/>
        <v>#N/A</v>
      </c>
      <c r="BR561" s="5">
        <v>3204035</v>
      </c>
      <c r="BS561" s="18">
        <f>[1]monsters!$N561</f>
        <v>120.96</v>
      </c>
      <c r="BT561" s="18">
        <f>[1]monsters!$O561</f>
        <v>12.1</v>
      </c>
      <c r="BU561" s="18">
        <f>[1]monsters!$P561</f>
        <v>1493.33</v>
      </c>
      <c r="BV561" s="18">
        <f>[1]monsters!$Q561</f>
        <v>149.33000000000001</v>
      </c>
      <c r="BW561" s="18">
        <f>[1]monsters!$R561</f>
        <v>24.19</v>
      </c>
      <c r="BX561" s="18">
        <f>[1]monsters!$S561</f>
        <v>2.42</v>
      </c>
      <c r="BY561" s="18">
        <f>[1]monsters!$K561</f>
        <v>1.8</v>
      </c>
      <c r="BZ561" s="5">
        <f>[1]monsters!$D561</f>
        <v>2</v>
      </c>
      <c r="CA561" s="5">
        <f t="shared" si="351"/>
        <v>0.1</v>
      </c>
      <c r="CB561" s="5">
        <f t="shared" si="352"/>
        <v>164.58767138047136</v>
      </c>
      <c r="CC561" s="5">
        <f t="shared" si="353"/>
        <v>16.458767138047136</v>
      </c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>
        <v>0</v>
      </c>
      <c r="CR561" s="3" t="b">
        <f t="shared" si="325"/>
        <v>1</v>
      </c>
      <c r="CS561" s="3" t="b">
        <f t="shared" si="326"/>
        <v>1</v>
      </c>
      <c r="CT561" s="3" t="b">
        <f t="shared" si="327"/>
        <v>1</v>
      </c>
      <c r="CU561" s="3" t="b">
        <f t="shared" si="328"/>
        <v>1</v>
      </c>
      <c r="CV561" s="3" t="b">
        <f t="shared" si="329"/>
        <v>1</v>
      </c>
      <c r="CW561" s="3" t="b">
        <f t="shared" si="330"/>
        <v>1</v>
      </c>
      <c r="CX561" s="9" t="str">
        <f t="shared" si="331"/>
        <v>5200132</v>
      </c>
      <c r="CY561" s="9" t="str">
        <f t="shared" si="332"/>
        <v>5200133</v>
      </c>
      <c r="CZ561" s="9" t="str">
        <f t="shared" si="333"/>
        <v>5202132</v>
      </c>
      <c r="DA561" s="9" t="str">
        <f t="shared" si="334"/>
        <v>5402132</v>
      </c>
      <c r="DB561" s="9" t="str">
        <f t="shared" si="335"/>
        <v>5500133</v>
      </c>
      <c r="DC561" s="9" t="str">
        <f t="shared" si="336"/>
        <v>5501134</v>
      </c>
      <c r="DD561" s="9">
        <v>13</v>
      </c>
      <c r="DE561" s="9">
        <v>13</v>
      </c>
      <c r="DF561" s="9">
        <v>13</v>
      </c>
      <c r="DG561" s="9">
        <v>13</v>
      </c>
      <c r="DH561" s="9">
        <v>13</v>
      </c>
      <c r="DI561" s="9">
        <v>13</v>
      </c>
      <c r="DJ561" s="9">
        <v>5</v>
      </c>
      <c r="DK561" s="9">
        <v>5</v>
      </c>
      <c r="DL561" s="9">
        <v>5</v>
      </c>
      <c r="DM561" s="9">
        <v>5</v>
      </c>
      <c r="DN561" s="9">
        <v>5</v>
      </c>
      <c r="DO561" s="9">
        <v>5</v>
      </c>
      <c r="DP561" s="25" t="s">
        <v>199</v>
      </c>
      <c r="DQ561" s="25" t="s">
        <v>113</v>
      </c>
      <c r="DR561" s="26" t="s">
        <v>200</v>
      </c>
      <c r="DS561" s="26" t="s">
        <v>203</v>
      </c>
      <c r="DT561" s="26" t="s">
        <v>207</v>
      </c>
      <c r="DU561" s="26" t="s">
        <v>214</v>
      </c>
      <c r="DV561" s="26">
        <f t="shared" si="337"/>
        <v>1</v>
      </c>
      <c r="DW561" s="26">
        <f t="shared" si="338"/>
        <v>1</v>
      </c>
      <c r="DX561" s="26">
        <f t="shared" si="339"/>
        <v>1</v>
      </c>
      <c r="DY561" s="26">
        <f t="shared" si="340"/>
        <v>2</v>
      </c>
      <c r="DZ561" s="26">
        <f t="shared" si="341"/>
        <v>2</v>
      </c>
      <c r="EA561" s="3">
        <f t="shared" si="342"/>
        <v>2</v>
      </c>
      <c r="EB561" s="50"/>
    </row>
    <row r="562" spans="1:132" ht="13.5" customHeight="1">
      <c r="A562" s="9">
        <v>559</v>
      </c>
      <c r="B562" s="9">
        <v>1</v>
      </c>
      <c r="C562" s="9">
        <v>2001</v>
      </c>
      <c r="D562" s="9">
        <f t="shared" si="357"/>
        <v>28072424</v>
      </c>
      <c r="E562" s="9" t="str">
        <f t="shared" si="354"/>
        <v>5302135,5202135,5202135,5400135,5501135,5400135</v>
      </c>
      <c r="F562" s="9" t="str">
        <f t="shared" si="355"/>
        <v>13,13,13,13,13,13</v>
      </c>
      <c r="G562" s="9" t="str">
        <f t="shared" si="356"/>
        <v>1228,1327,1327,1327,1327,1327</v>
      </c>
      <c r="H562" s="9">
        <v>263</v>
      </c>
      <c r="I562" s="9" t="s">
        <v>278</v>
      </c>
      <c r="J562" s="9" t="s">
        <v>279</v>
      </c>
      <c r="K562" s="9" t="s">
        <v>279</v>
      </c>
      <c r="L562" s="9" t="s">
        <v>279</v>
      </c>
      <c r="M562" s="36" t="s">
        <v>315</v>
      </c>
      <c r="N562" s="40"/>
      <c r="O562" s="3">
        <f t="shared" si="322"/>
        <v>28072424</v>
      </c>
      <c r="P562" s="9">
        <v>21266987.510000002</v>
      </c>
      <c r="Q562" s="9">
        <v>5302135</v>
      </c>
      <c r="R562" s="9">
        <v>5202135</v>
      </c>
      <c r="S562" s="9">
        <v>5202135</v>
      </c>
      <c r="T562" s="9">
        <v>5400135</v>
      </c>
      <c r="U562" s="9">
        <v>5501135</v>
      </c>
      <c r="V562" s="9">
        <v>5400135</v>
      </c>
      <c r="W562" s="9">
        <v>13</v>
      </c>
      <c r="X562" s="9">
        <v>13</v>
      </c>
      <c r="Y562" s="9">
        <v>13</v>
      </c>
      <c r="Z562" s="9">
        <v>13</v>
      </c>
      <c r="AA562" s="9">
        <v>13</v>
      </c>
      <c r="AB562" s="9">
        <v>13</v>
      </c>
      <c r="AC562" s="9">
        <f t="shared" si="343"/>
        <v>1228</v>
      </c>
      <c r="AD562" s="9">
        <f t="shared" si="344"/>
        <v>1327</v>
      </c>
      <c r="AE562" s="9">
        <f t="shared" si="345"/>
        <v>1327</v>
      </c>
      <c r="AF562" s="9">
        <f t="shared" si="346"/>
        <v>1327</v>
      </c>
      <c r="AG562" s="9">
        <f t="shared" si="347"/>
        <v>1327</v>
      </c>
      <c r="AH562" s="9">
        <f t="shared" si="348"/>
        <v>1327</v>
      </c>
      <c r="AI562" s="7">
        <f t="shared" si="360"/>
        <v>3544497.9183333335</v>
      </c>
      <c r="AJ562" s="7">
        <f t="shared" si="359"/>
        <v>3544497.9183333335</v>
      </c>
      <c r="AK562" s="7">
        <f t="shared" si="359"/>
        <v>3544497.9183333335</v>
      </c>
      <c r="AL562" s="7">
        <f t="shared" si="359"/>
        <v>3544497.9183333335</v>
      </c>
      <c r="AM562" s="7">
        <f t="shared" si="359"/>
        <v>3544497.9183333335</v>
      </c>
      <c r="AN562" s="7">
        <f t="shared" si="359"/>
        <v>3544497.9183333335</v>
      </c>
      <c r="AO562" s="16"/>
      <c r="AP562" s="7"/>
      <c r="AQ562" s="9">
        <v>9</v>
      </c>
      <c r="AR562" s="9">
        <f t="shared" si="349"/>
        <v>1534</v>
      </c>
      <c r="AS562" s="7">
        <f t="shared" si="358"/>
        <v>379</v>
      </c>
      <c r="AT562" s="7"/>
      <c r="AU562" s="16"/>
      <c r="AV562" s="7"/>
      <c r="AW562" s="7"/>
      <c r="AX562" s="7"/>
      <c r="AZ562" s="7"/>
      <c r="BA562" s="9">
        <f t="shared" si="361"/>
        <v>2729981.2600000012</v>
      </c>
      <c r="BC562" s="5" t="e">
        <f t="shared" si="350"/>
        <v>#N/A</v>
      </c>
      <c r="BR562" s="5">
        <v>3404035</v>
      </c>
      <c r="BS562" s="18">
        <f>[1]monsters!$N562</f>
        <v>140</v>
      </c>
      <c r="BT562" s="18">
        <f>[1]monsters!$O562</f>
        <v>14</v>
      </c>
      <c r="BU562" s="18">
        <f>[1]monsters!$P562</f>
        <v>1075.2</v>
      </c>
      <c r="BV562" s="18">
        <f>[1]monsters!$Q562</f>
        <v>107.52</v>
      </c>
      <c r="BW562" s="18">
        <f>[1]monsters!$R562</f>
        <v>14</v>
      </c>
      <c r="BX562" s="18">
        <f>[1]monsters!$S562</f>
        <v>1.4</v>
      </c>
      <c r="BY562" s="18">
        <f>[1]monsters!$K562</f>
        <v>1.5</v>
      </c>
      <c r="BZ562" s="5">
        <f>[1]monsters!$D562</f>
        <v>4</v>
      </c>
      <c r="CA562" s="5">
        <f t="shared" si="351"/>
        <v>0.1</v>
      </c>
      <c r="CB562" s="5">
        <f t="shared" si="352"/>
        <v>168.50202020202022</v>
      </c>
      <c r="CC562" s="5">
        <f t="shared" si="353"/>
        <v>16.850202020202023</v>
      </c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>
        <v>0</v>
      </c>
      <c r="CR562" s="3" t="b">
        <f t="shared" si="325"/>
        <v>1</v>
      </c>
      <c r="CS562" s="3" t="b">
        <f t="shared" si="326"/>
        <v>1</v>
      </c>
      <c r="CT562" s="3" t="b">
        <f t="shared" si="327"/>
        <v>1</v>
      </c>
      <c r="CU562" s="3" t="b">
        <f t="shared" si="328"/>
        <v>1</v>
      </c>
      <c r="CV562" s="3" t="b">
        <f t="shared" si="329"/>
        <v>1</v>
      </c>
      <c r="CW562" s="3" t="b">
        <f t="shared" si="330"/>
        <v>1</v>
      </c>
      <c r="CX562" s="9" t="str">
        <f t="shared" si="331"/>
        <v>5302135</v>
      </c>
      <c r="CY562" s="9" t="str">
        <f t="shared" si="332"/>
        <v>5202135</v>
      </c>
      <c r="CZ562" s="9" t="str">
        <f t="shared" si="333"/>
        <v>5202135</v>
      </c>
      <c r="DA562" s="9" t="str">
        <f t="shared" si="334"/>
        <v>5400135</v>
      </c>
      <c r="DB562" s="9" t="str">
        <f t="shared" si="335"/>
        <v>5501135</v>
      </c>
      <c r="DC562" s="9" t="str">
        <f t="shared" si="336"/>
        <v>5400135</v>
      </c>
      <c r="DD562" s="9">
        <v>13</v>
      </c>
      <c r="DE562" s="9">
        <v>13</v>
      </c>
      <c r="DF562" s="9">
        <v>13</v>
      </c>
      <c r="DG562" s="9">
        <v>13</v>
      </c>
      <c r="DH562" s="9">
        <v>13</v>
      </c>
      <c r="DI562" s="9">
        <v>13</v>
      </c>
      <c r="DJ562" s="9">
        <v>5</v>
      </c>
      <c r="DK562" s="9">
        <v>5</v>
      </c>
      <c r="DL562" s="9">
        <v>5</v>
      </c>
      <c r="DM562" s="9">
        <v>5</v>
      </c>
      <c r="DN562" s="9">
        <v>5</v>
      </c>
      <c r="DO562" s="9">
        <v>5</v>
      </c>
      <c r="DP562" s="25" t="s">
        <v>221</v>
      </c>
      <c r="DQ562" s="25" t="s">
        <v>213</v>
      </c>
      <c r="DR562" s="25" t="s">
        <v>213</v>
      </c>
      <c r="DS562" s="26" t="s">
        <v>210</v>
      </c>
      <c r="DT562" s="26" t="s">
        <v>209</v>
      </c>
      <c r="DU562" s="26" t="s">
        <v>210</v>
      </c>
      <c r="DV562" s="26">
        <f t="shared" si="337"/>
        <v>1</v>
      </c>
      <c r="DW562" s="26">
        <f t="shared" si="338"/>
        <v>1</v>
      </c>
      <c r="DX562" s="26">
        <f t="shared" si="339"/>
        <v>1</v>
      </c>
      <c r="DY562" s="26">
        <f t="shared" si="340"/>
        <v>2</v>
      </c>
      <c r="DZ562" s="26">
        <f t="shared" si="341"/>
        <v>2</v>
      </c>
      <c r="EA562" s="3">
        <f t="shared" si="342"/>
        <v>2</v>
      </c>
      <c r="EB562" s="51"/>
    </row>
    <row r="563" spans="1:132" ht="13.5" customHeight="1">
      <c r="A563" s="9">
        <v>560</v>
      </c>
      <c r="B563" s="9">
        <v>1</v>
      </c>
      <c r="C563" s="9">
        <v>2001</v>
      </c>
      <c r="D563" s="9">
        <f t="shared" si="357"/>
        <v>28151545</v>
      </c>
      <c r="E563" s="9" t="str">
        <f t="shared" si="354"/>
        <v>5201131,5200132,5201131,5502132,5500131,5601132</v>
      </c>
      <c r="F563" s="9" t="str">
        <f t="shared" si="355"/>
        <v>13,13,13,13,13,13</v>
      </c>
      <c r="G563" s="9" t="str">
        <f t="shared" si="356"/>
        <v>1229,1329,1329,1329,1329,1329</v>
      </c>
      <c r="H563" s="9">
        <v>264</v>
      </c>
      <c r="I563" s="9" t="s">
        <v>278</v>
      </c>
      <c r="J563" s="9" t="s">
        <v>279</v>
      </c>
      <c r="K563" s="9" t="s">
        <v>279</v>
      </c>
      <c r="L563" s="9" t="s">
        <v>279</v>
      </c>
      <c r="M563" s="36" t="s">
        <v>315</v>
      </c>
      <c r="O563" s="3">
        <f t="shared" si="322"/>
        <v>28151545</v>
      </c>
      <c r="P563" s="9">
        <v>21326928.390000001</v>
      </c>
      <c r="Q563" s="9">
        <v>5201131</v>
      </c>
      <c r="R563" s="9">
        <v>5200132</v>
      </c>
      <c r="S563" s="9">
        <v>5201131</v>
      </c>
      <c r="T563" s="9">
        <v>5502132</v>
      </c>
      <c r="U563" s="9">
        <v>5500131</v>
      </c>
      <c r="V563" s="9">
        <v>5601132</v>
      </c>
      <c r="W563" s="9">
        <v>13</v>
      </c>
      <c r="X563" s="9">
        <v>13</v>
      </c>
      <c r="Y563" s="9">
        <v>13</v>
      </c>
      <c r="Z563" s="9">
        <v>13</v>
      </c>
      <c r="AA563" s="9">
        <v>13</v>
      </c>
      <c r="AB563" s="9">
        <v>13</v>
      </c>
      <c r="AC563" s="9">
        <f t="shared" si="343"/>
        <v>1229</v>
      </c>
      <c r="AD563" s="9">
        <f t="shared" si="344"/>
        <v>1329</v>
      </c>
      <c r="AE563" s="9">
        <f t="shared" si="345"/>
        <v>1329</v>
      </c>
      <c r="AF563" s="9">
        <f t="shared" si="346"/>
        <v>1329</v>
      </c>
      <c r="AG563" s="9">
        <f t="shared" si="347"/>
        <v>1329</v>
      </c>
      <c r="AH563" s="9">
        <f t="shared" si="348"/>
        <v>1329</v>
      </c>
      <c r="AI563" s="7">
        <f t="shared" si="360"/>
        <v>3554488.0649999999</v>
      </c>
      <c r="AJ563" s="7">
        <f t="shared" si="359"/>
        <v>3554488.0649999999</v>
      </c>
      <c r="AK563" s="7">
        <f t="shared" si="359"/>
        <v>3554488.0649999999</v>
      </c>
      <c r="AL563" s="7">
        <f t="shared" si="359"/>
        <v>3554488.0649999999</v>
      </c>
      <c r="AM563" s="7">
        <f t="shared" si="359"/>
        <v>3554488.0649999999</v>
      </c>
      <c r="AN563" s="7">
        <f t="shared" si="359"/>
        <v>3554488.0649999999</v>
      </c>
      <c r="AO563" s="16"/>
      <c r="AP563" s="7"/>
      <c r="AQ563" s="9">
        <v>9</v>
      </c>
      <c r="AR563" s="9">
        <f t="shared" si="349"/>
        <v>1536</v>
      </c>
      <c r="AS563" s="7">
        <f t="shared" si="358"/>
        <v>380</v>
      </c>
      <c r="AT563" s="7"/>
      <c r="AU563" s="16"/>
      <c r="AV563" s="7"/>
      <c r="AW563" s="7"/>
      <c r="AX563" s="7"/>
      <c r="AZ563" s="7"/>
      <c r="BA563" s="9">
        <f t="shared" si="361"/>
        <v>2752242.4000000013</v>
      </c>
      <c r="BC563" s="5" t="e">
        <f t="shared" si="350"/>
        <v>#N/A</v>
      </c>
      <c r="BR563" s="5">
        <v>3303035</v>
      </c>
      <c r="BS563" s="18">
        <f>[1]monsters!$N563</f>
        <v>106.77</v>
      </c>
      <c r="BT563" s="18">
        <f>[1]monsters!$O563</f>
        <v>10.68</v>
      </c>
      <c r="BU563" s="18">
        <f>[1]monsters!$P563</f>
        <v>1221.82</v>
      </c>
      <c r="BV563" s="18">
        <f>[1]monsters!$Q563</f>
        <v>122.18</v>
      </c>
      <c r="BW563" s="18">
        <f>[1]monsters!$R563</f>
        <v>13.35</v>
      </c>
      <c r="BX563" s="18">
        <f>[1]monsters!$S563</f>
        <v>1.33</v>
      </c>
      <c r="BY563" s="18">
        <f>[1]monsters!$K563</f>
        <v>1.3</v>
      </c>
      <c r="BZ563" s="5">
        <f>[1]monsters!$D563</f>
        <v>3</v>
      </c>
      <c r="CA563" s="5">
        <f t="shared" si="351"/>
        <v>0.1</v>
      </c>
      <c r="CB563" s="5">
        <f t="shared" si="352"/>
        <v>142.03637053872055</v>
      </c>
      <c r="CC563" s="5">
        <f t="shared" si="353"/>
        <v>14.203637053872056</v>
      </c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>
        <v>1</v>
      </c>
      <c r="CR563" s="3" t="b">
        <f t="shared" si="325"/>
        <v>1</v>
      </c>
      <c r="CS563" s="3" t="b">
        <f t="shared" si="326"/>
        <v>1</v>
      </c>
      <c r="CT563" s="3" t="b">
        <f t="shared" si="327"/>
        <v>1</v>
      </c>
      <c r="CU563" s="3" t="b">
        <f t="shared" si="328"/>
        <v>1</v>
      </c>
      <c r="CV563" s="3" t="b">
        <f t="shared" si="329"/>
        <v>1</v>
      </c>
      <c r="CW563" s="3" t="b">
        <f t="shared" si="330"/>
        <v>1</v>
      </c>
      <c r="CX563" s="9" t="str">
        <f t="shared" si="331"/>
        <v>5201131</v>
      </c>
      <c r="CY563" s="9" t="str">
        <f t="shared" si="332"/>
        <v>5200132</v>
      </c>
      <c r="CZ563" s="9" t="str">
        <f t="shared" si="333"/>
        <v>5201131</v>
      </c>
      <c r="DA563" s="9" t="str">
        <f t="shared" si="334"/>
        <v>5502132</v>
      </c>
      <c r="DB563" s="9" t="str">
        <f t="shared" si="335"/>
        <v>5500131</v>
      </c>
      <c r="DC563" s="9" t="str">
        <f t="shared" si="336"/>
        <v>5601132</v>
      </c>
      <c r="DD563" s="9">
        <v>13</v>
      </c>
      <c r="DE563" s="9">
        <v>13</v>
      </c>
      <c r="DF563" s="9">
        <v>13</v>
      </c>
      <c r="DG563" s="9">
        <v>13</v>
      </c>
      <c r="DH563" s="9">
        <v>13</v>
      </c>
      <c r="DI563" s="9">
        <v>13</v>
      </c>
      <c r="DJ563" s="9">
        <v>5</v>
      </c>
      <c r="DK563" s="9">
        <v>5</v>
      </c>
      <c r="DL563" s="9">
        <v>5</v>
      </c>
      <c r="DM563" s="9">
        <v>5</v>
      </c>
      <c r="DN563" s="9">
        <v>5</v>
      </c>
      <c r="DO563" s="9">
        <v>5</v>
      </c>
      <c r="DP563" s="25" t="s">
        <v>195</v>
      </c>
      <c r="DQ563" s="25" t="s">
        <v>199</v>
      </c>
      <c r="DR563" s="26" t="s">
        <v>195</v>
      </c>
      <c r="DS563" s="28" t="s">
        <v>204</v>
      </c>
      <c r="DT563" s="26" t="s">
        <v>197</v>
      </c>
      <c r="DU563" s="26" t="s">
        <v>124</v>
      </c>
      <c r="DV563" s="26">
        <f t="shared" si="337"/>
        <v>1</v>
      </c>
      <c r="DW563" s="26">
        <f t="shared" si="338"/>
        <v>1</v>
      </c>
      <c r="DX563" s="26">
        <f t="shared" si="339"/>
        <v>1</v>
      </c>
      <c r="DY563" s="26">
        <f t="shared" si="340"/>
        <v>2</v>
      </c>
      <c r="DZ563" s="26">
        <f t="shared" si="341"/>
        <v>2</v>
      </c>
      <c r="EA563" s="3">
        <f t="shared" si="342"/>
        <v>2</v>
      </c>
      <c r="EB563" s="50"/>
    </row>
    <row r="564" spans="1:132" ht="13.5" customHeight="1">
      <c r="A564" s="9">
        <v>561</v>
      </c>
      <c r="B564" s="9">
        <v>1</v>
      </c>
      <c r="C564" s="9">
        <v>2001</v>
      </c>
      <c r="D564" s="9">
        <f t="shared" si="357"/>
        <v>28230782</v>
      </c>
      <c r="E564" s="9" t="str">
        <f t="shared" si="354"/>
        <v>5200132,5200133,5200132,5501134,5500133,5501134</v>
      </c>
      <c r="F564" s="9" t="str">
        <f t="shared" si="355"/>
        <v>13,13,13,13,13,13</v>
      </c>
      <c r="G564" s="9" t="str">
        <f t="shared" si="356"/>
        <v>1231,1331,1331,1331,1331,1331</v>
      </c>
      <c r="H564" s="9">
        <v>264</v>
      </c>
      <c r="I564" s="9" t="s">
        <v>278</v>
      </c>
      <c r="J564" s="9" t="s">
        <v>279</v>
      </c>
      <c r="K564" s="9" t="s">
        <v>279</v>
      </c>
      <c r="L564" s="9" t="s">
        <v>279</v>
      </c>
      <c r="M564" s="36" t="s">
        <v>315</v>
      </c>
      <c r="N564" s="40"/>
      <c r="O564" s="3">
        <f t="shared" si="322"/>
        <v>28230782</v>
      </c>
      <c r="P564" s="9">
        <v>21386955.780000001</v>
      </c>
      <c r="Q564" s="9">
        <v>5200132</v>
      </c>
      <c r="R564" s="9">
        <v>5200133</v>
      </c>
      <c r="S564" s="9">
        <v>5200132</v>
      </c>
      <c r="T564" s="9">
        <v>5501134</v>
      </c>
      <c r="U564" s="9">
        <v>5500133</v>
      </c>
      <c r="V564" s="9">
        <v>5501134</v>
      </c>
      <c r="W564" s="9">
        <v>13</v>
      </c>
      <c r="X564" s="9">
        <v>13</v>
      </c>
      <c r="Y564" s="9">
        <v>13</v>
      </c>
      <c r="Z564" s="9">
        <v>13</v>
      </c>
      <c r="AA564" s="9">
        <v>13</v>
      </c>
      <c r="AB564" s="9">
        <v>13</v>
      </c>
      <c r="AC564" s="9">
        <f t="shared" si="343"/>
        <v>1231</v>
      </c>
      <c r="AD564" s="9">
        <f t="shared" si="344"/>
        <v>1331</v>
      </c>
      <c r="AE564" s="9">
        <f t="shared" si="345"/>
        <v>1331</v>
      </c>
      <c r="AF564" s="9">
        <f t="shared" si="346"/>
        <v>1331</v>
      </c>
      <c r="AG564" s="9">
        <f t="shared" si="347"/>
        <v>1331</v>
      </c>
      <c r="AH564" s="9">
        <f t="shared" si="348"/>
        <v>1331</v>
      </c>
      <c r="AI564" s="7">
        <f t="shared" si="360"/>
        <v>3564492.6300000004</v>
      </c>
      <c r="AJ564" s="7">
        <f t="shared" si="359"/>
        <v>3564492.6300000004</v>
      </c>
      <c r="AK564" s="7">
        <f t="shared" si="359"/>
        <v>3564492.6300000004</v>
      </c>
      <c r="AL564" s="7">
        <f t="shared" si="359"/>
        <v>3564492.6300000004</v>
      </c>
      <c r="AM564" s="7">
        <f t="shared" si="359"/>
        <v>3564492.6300000004</v>
      </c>
      <c r="AN564" s="7">
        <f t="shared" si="359"/>
        <v>3564492.6300000004</v>
      </c>
      <c r="AO564" s="16"/>
      <c r="AP564" s="7"/>
      <c r="AQ564" s="9">
        <v>9</v>
      </c>
      <c r="AR564" s="9">
        <f t="shared" si="349"/>
        <v>1538</v>
      </c>
      <c r="AS564" s="7">
        <f t="shared" si="358"/>
        <v>380</v>
      </c>
      <c r="AT564" s="7"/>
      <c r="AU564" s="16"/>
      <c r="AV564" s="7"/>
      <c r="AW564" s="7"/>
      <c r="AX564" s="7"/>
      <c r="AZ564" s="7"/>
      <c r="BA564" s="9">
        <f t="shared" si="361"/>
        <v>2774503.5400000014</v>
      </c>
      <c r="BC564" s="5" t="e">
        <f t="shared" si="350"/>
        <v>#N/A</v>
      </c>
      <c r="BR564" s="5">
        <v>3304035</v>
      </c>
      <c r="BS564" s="18">
        <f>[1]monsters!$N564</f>
        <v>147.84</v>
      </c>
      <c r="BT564" s="18">
        <f>[1]monsters!$O564</f>
        <v>14.78</v>
      </c>
      <c r="BU564" s="18">
        <f>[1]monsters!$P564</f>
        <v>1221.82</v>
      </c>
      <c r="BV564" s="18">
        <f>[1]monsters!$Q564</f>
        <v>122.18</v>
      </c>
      <c r="BW564" s="18">
        <f>[1]monsters!$R564</f>
        <v>24.64</v>
      </c>
      <c r="BX564" s="18">
        <f>[1]monsters!$S564</f>
        <v>2.46</v>
      </c>
      <c r="BY564" s="18">
        <f>[1]monsters!$K564</f>
        <v>1.8</v>
      </c>
      <c r="BZ564" s="5">
        <f>[1]monsters!$D564</f>
        <v>5</v>
      </c>
      <c r="CA564" s="5">
        <f t="shared" si="351"/>
        <v>0.1</v>
      </c>
      <c r="CB564" s="5">
        <f t="shared" si="352"/>
        <v>180.84752053872052</v>
      </c>
      <c r="CC564" s="5">
        <f t="shared" si="353"/>
        <v>18.084752053872052</v>
      </c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>
        <v>0</v>
      </c>
      <c r="CR564" s="3" t="b">
        <f t="shared" si="325"/>
        <v>1</v>
      </c>
      <c r="CS564" s="3" t="b">
        <f t="shared" si="326"/>
        <v>1</v>
      </c>
      <c r="CT564" s="3" t="b">
        <f t="shared" si="327"/>
        <v>1</v>
      </c>
      <c r="CU564" s="3" t="b">
        <f t="shared" si="328"/>
        <v>1</v>
      </c>
      <c r="CV564" s="3" t="b">
        <f t="shared" si="329"/>
        <v>1</v>
      </c>
      <c r="CW564" s="3" t="b">
        <f t="shared" si="330"/>
        <v>1</v>
      </c>
      <c r="CX564" s="9" t="str">
        <f t="shared" si="331"/>
        <v>5200132</v>
      </c>
      <c r="CY564" s="9" t="str">
        <f t="shared" si="332"/>
        <v>5200133</v>
      </c>
      <c r="CZ564" s="9" t="str">
        <f t="shared" si="333"/>
        <v>5200132</v>
      </c>
      <c r="DA564" s="9" t="str">
        <f t="shared" si="334"/>
        <v>5501134</v>
      </c>
      <c r="DB564" s="9" t="str">
        <f t="shared" si="335"/>
        <v>5500133</v>
      </c>
      <c r="DC564" s="9" t="str">
        <f t="shared" si="336"/>
        <v>5501134</v>
      </c>
      <c r="DD564" s="9">
        <v>13</v>
      </c>
      <c r="DE564" s="9">
        <v>13</v>
      </c>
      <c r="DF564" s="9">
        <v>13</v>
      </c>
      <c r="DG564" s="9">
        <v>13</v>
      </c>
      <c r="DH564" s="9">
        <v>13</v>
      </c>
      <c r="DI564" s="9">
        <v>13</v>
      </c>
      <c r="DJ564" s="9">
        <v>5</v>
      </c>
      <c r="DK564" s="9">
        <v>5</v>
      </c>
      <c r="DL564" s="9">
        <v>5</v>
      </c>
      <c r="DM564" s="9">
        <v>5</v>
      </c>
      <c r="DN564" s="9">
        <v>5</v>
      </c>
      <c r="DO564" s="9">
        <v>5</v>
      </c>
      <c r="DP564" s="25" t="s">
        <v>199</v>
      </c>
      <c r="DQ564" s="25" t="s">
        <v>113</v>
      </c>
      <c r="DR564" s="25" t="s">
        <v>199</v>
      </c>
      <c r="DS564" s="26" t="s">
        <v>214</v>
      </c>
      <c r="DT564" s="26" t="s">
        <v>207</v>
      </c>
      <c r="DU564" s="26" t="s">
        <v>214</v>
      </c>
      <c r="DV564" s="26">
        <f t="shared" si="337"/>
        <v>1</v>
      </c>
      <c r="DW564" s="26">
        <f t="shared" si="338"/>
        <v>1</v>
      </c>
      <c r="DX564" s="26">
        <f t="shared" si="339"/>
        <v>1</v>
      </c>
      <c r="DY564" s="26">
        <f t="shared" si="340"/>
        <v>2</v>
      </c>
      <c r="DZ564" s="26">
        <f t="shared" si="341"/>
        <v>2</v>
      </c>
      <c r="EA564" s="3">
        <f t="shared" si="342"/>
        <v>2</v>
      </c>
      <c r="EB564" s="50"/>
    </row>
    <row r="565" spans="1:132" ht="13.5" customHeight="1">
      <c r="A565" s="9">
        <v>562</v>
      </c>
      <c r="B565" s="9">
        <v>1</v>
      </c>
      <c r="C565" s="9">
        <v>2001</v>
      </c>
      <c r="D565" s="9">
        <f t="shared" si="357"/>
        <v>28310126</v>
      </c>
      <c r="E565" s="9" t="str">
        <f t="shared" si="354"/>
        <v>5202132,5201132,5301131,5400135,5401133,5501134</v>
      </c>
      <c r="F565" s="9" t="str">
        <f t="shared" si="355"/>
        <v>13,13,13,13,13,13</v>
      </c>
      <c r="G565" s="9" t="str">
        <f t="shared" si="356"/>
        <v>1233,1333,1333,1333,1333,1333</v>
      </c>
      <c r="H565" s="9">
        <v>264</v>
      </c>
      <c r="I565" s="9" t="s">
        <v>278</v>
      </c>
      <c r="J565" s="9" t="s">
        <v>279</v>
      </c>
      <c r="K565" s="9" t="s">
        <v>279</v>
      </c>
      <c r="L565" s="9" t="s">
        <v>279</v>
      </c>
      <c r="M565" s="36" t="s">
        <v>315</v>
      </c>
      <c r="N565" s="40"/>
      <c r="O565" s="3">
        <f t="shared" si="322"/>
        <v>28310126</v>
      </c>
      <c r="P565" s="9">
        <v>21447065.460000001</v>
      </c>
      <c r="Q565" s="9">
        <v>5202132</v>
      </c>
      <c r="R565" s="9">
        <v>5201132</v>
      </c>
      <c r="S565" s="9">
        <v>5301131</v>
      </c>
      <c r="T565" s="9">
        <v>5400135</v>
      </c>
      <c r="U565" s="9">
        <v>5401133</v>
      </c>
      <c r="V565" s="9">
        <v>5501134</v>
      </c>
      <c r="W565" s="9">
        <v>13</v>
      </c>
      <c r="X565" s="9">
        <v>13</v>
      </c>
      <c r="Y565" s="9">
        <v>13</v>
      </c>
      <c r="Z565" s="9">
        <v>13</v>
      </c>
      <c r="AA565" s="9">
        <v>13</v>
      </c>
      <c r="AB565" s="9">
        <v>13</v>
      </c>
      <c r="AC565" s="9">
        <f t="shared" si="343"/>
        <v>1233</v>
      </c>
      <c r="AD565" s="9">
        <f t="shared" si="344"/>
        <v>1333</v>
      </c>
      <c r="AE565" s="9">
        <f t="shared" si="345"/>
        <v>1333</v>
      </c>
      <c r="AF565" s="9">
        <f t="shared" si="346"/>
        <v>1333</v>
      </c>
      <c r="AG565" s="9">
        <f t="shared" si="347"/>
        <v>1333</v>
      </c>
      <c r="AH565" s="9">
        <f t="shared" si="348"/>
        <v>1333</v>
      </c>
      <c r="AI565" s="7">
        <f t="shared" si="360"/>
        <v>3574510.91</v>
      </c>
      <c r="AJ565" s="7">
        <f t="shared" si="359"/>
        <v>3574510.91</v>
      </c>
      <c r="AK565" s="7">
        <f t="shared" si="359"/>
        <v>3574510.91</v>
      </c>
      <c r="AL565" s="7">
        <f t="shared" si="359"/>
        <v>3574510.91</v>
      </c>
      <c r="AM565" s="7">
        <f t="shared" si="359"/>
        <v>3574510.91</v>
      </c>
      <c r="AN565" s="7">
        <f t="shared" si="359"/>
        <v>3574510.91</v>
      </c>
      <c r="AO565" s="16"/>
      <c r="AP565" s="7"/>
      <c r="AQ565" s="9">
        <v>9</v>
      </c>
      <c r="AR565" s="9">
        <f t="shared" si="349"/>
        <v>1540</v>
      </c>
      <c r="AS565" s="7">
        <f t="shared" si="358"/>
        <v>381</v>
      </c>
      <c r="AT565" s="7"/>
      <c r="AU565" s="16"/>
      <c r="AV565" s="7"/>
      <c r="AW565" s="7"/>
      <c r="AX565" s="7"/>
      <c r="AZ565" s="7"/>
      <c r="BA565" s="9">
        <f t="shared" si="361"/>
        <v>2796764.6800000016</v>
      </c>
      <c r="BC565" s="5" t="e">
        <f t="shared" si="350"/>
        <v>#N/A</v>
      </c>
      <c r="BR565" s="5">
        <v>3503035</v>
      </c>
      <c r="BS565" s="18">
        <f>[1]monsters!$N565</f>
        <v>107.52</v>
      </c>
      <c r="BT565" s="18">
        <f>[1]monsters!$O565</f>
        <v>10.75</v>
      </c>
      <c r="BU565" s="18">
        <f>[1]monsters!$P565</f>
        <v>1493.33</v>
      </c>
      <c r="BV565" s="18">
        <f>[1]monsters!$Q565</f>
        <v>149.33000000000001</v>
      </c>
      <c r="BW565" s="18">
        <f>[1]monsters!$R565</f>
        <v>21.5</v>
      </c>
      <c r="BX565" s="18">
        <f>[1]monsters!$S565</f>
        <v>2.15</v>
      </c>
      <c r="BY565" s="18">
        <f>[1]monsters!$K565</f>
        <v>1.6</v>
      </c>
      <c r="BZ565" s="5">
        <f>[1]monsters!$D565</f>
        <v>2</v>
      </c>
      <c r="CA565" s="5">
        <f t="shared" si="351"/>
        <v>0.1</v>
      </c>
      <c r="CB565" s="5">
        <f t="shared" si="352"/>
        <v>151.88687138047138</v>
      </c>
      <c r="CC565" s="5">
        <f t="shared" si="353"/>
        <v>15.188687138047138</v>
      </c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>
        <v>0</v>
      </c>
      <c r="CR565" s="3" t="b">
        <f t="shared" si="325"/>
        <v>1</v>
      </c>
      <c r="CS565" s="3" t="b">
        <f t="shared" si="326"/>
        <v>1</v>
      </c>
      <c r="CT565" s="3" t="b">
        <f t="shared" si="327"/>
        <v>1</v>
      </c>
      <c r="CU565" s="3" t="b">
        <f t="shared" si="328"/>
        <v>1</v>
      </c>
      <c r="CV565" s="3" t="b">
        <f t="shared" si="329"/>
        <v>1</v>
      </c>
      <c r="CW565" s="3" t="b">
        <f t="shared" si="330"/>
        <v>1</v>
      </c>
      <c r="CX565" s="9" t="str">
        <f t="shared" si="331"/>
        <v>5202132</v>
      </c>
      <c r="CY565" s="9" t="str">
        <f t="shared" si="332"/>
        <v>5201132</v>
      </c>
      <c r="CZ565" s="9" t="str">
        <f t="shared" si="333"/>
        <v>5301131</v>
      </c>
      <c r="DA565" s="9" t="str">
        <f t="shared" si="334"/>
        <v>5400135</v>
      </c>
      <c r="DB565" s="9" t="str">
        <f t="shared" si="335"/>
        <v>5401133</v>
      </c>
      <c r="DC565" s="9" t="str">
        <f t="shared" si="336"/>
        <v>5501134</v>
      </c>
      <c r="DD565" s="9">
        <v>13</v>
      </c>
      <c r="DE565" s="9">
        <v>13</v>
      </c>
      <c r="DF565" s="9">
        <v>13</v>
      </c>
      <c r="DG565" s="9">
        <v>13</v>
      </c>
      <c r="DH565" s="9">
        <v>13</v>
      </c>
      <c r="DI565" s="9">
        <v>13</v>
      </c>
      <c r="DJ565" s="9">
        <v>5</v>
      </c>
      <c r="DK565" s="9">
        <v>5</v>
      </c>
      <c r="DL565" s="9">
        <v>5</v>
      </c>
      <c r="DM565" s="9">
        <v>5</v>
      </c>
      <c r="DN565" s="9">
        <v>5</v>
      </c>
      <c r="DO565" s="9">
        <v>5</v>
      </c>
      <c r="DP565" s="25" t="s">
        <v>200</v>
      </c>
      <c r="DQ565" s="25" t="s">
        <v>114</v>
      </c>
      <c r="DR565" s="25" t="s">
        <v>107</v>
      </c>
      <c r="DS565" s="25" t="s">
        <v>210</v>
      </c>
      <c r="DT565" s="25" t="s">
        <v>211</v>
      </c>
      <c r="DU565" s="25" t="s">
        <v>214</v>
      </c>
      <c r="DV565" s="25">
        <f t="shared" si="337"/>
        <v>1</v>
      </c>
      <c r="DW565" s="25">
        <f t="shared" si="338"/>
        <v>1</v>
      </c>
      <c r="DX565" s="25">
        <f t="shared" si="339"/>
        <v>1</v>
      </c>
      <c r="DY565" s="25">
        <f t="shared" si="340"/>
        <v>2</v>
      </c>
      <c r="DZ565" s="25">
        <f t="shared" si="341"/>
        <v>2</v>
      </c>
      <c r="EA565" s="3">
        <f t="shared" si="342"/>
        <v>2</v>
      </c>
      <c r="EB565" s="51"/>
    </row>
    <row r="566" spans="1:132" ht="13.5" customHeight="1">
      <c r="A566" s="9">
        <v>563</v>
      </c>
      <c r="B566" s="9">
        <v>1</v>
      </c>
      <c r="C566" s="9">
        <v>2001</v>
      </c>
      <c r="D566" s="9">
        <f t="shared" si="357"/>
        <v>28389583</v>
      </c>
      <c r="E566" s="9" t="str">
        <f t="shared" si="354"/>
        <v>5301131,5301132,5301133,5500132,5500131,5500132</v>
      </c>
      <c r="F566" s="9" t="str">
        <f t="shared" si="355"/>
        <v>13,13,13,13,13,13</v>
      </c>
      <c r="G566" s="9" t="str">
        <f t="shared" si="356"/>
        <v>1235,1334,1334,1334,1334,1334</v>
      </c>
      <c r="H566" s="9">
        <v>265</v>
      </c>
      <c r="I566" s="9" t="s">
        <v>278</v>
      </c>
      <c r="J566" s="9" t="s">
        <v>279</v>
      </c>
      <c r="K566" s="9" t="s">
        <v>279</v>
      </c>
      <c r="L566" s="9" t="s">
        <v>279</v>
      </c>
      <c r="M566" s="36" t="s">
        <v>315</v>
      </c>
      <c r="N566" s="40"/>
      <c r="O566" s="3">
        <f t="shared" si="322"/>
        <v>28389583</v>
      </c>
      <c r="P566" s="9">
        <v>21507259.539999999</v>
      </c>
      <c r="Q566" s="9">
        <v>5301131</v>
      </c>
      <c r="R566" s="9">
        <v>5301132</v>
      </c>
      <c r="S566" s="9">
        <v>5301133</v>
      </c>
      <c r="T566" s="9">
        <v>5500132</v>
      </c>
      <c r="U566" s="9">
        <v>5500131</v>
      </c>
      <c r="V566" s="9">
        <v>5500132</v>
      </c>
      <c r="W566" s="9">
        <v>13</v>
      </c>
      <c r="X566" s="9">
        <v>13</v>
      </c>
      <c r="Y566" s="9">
        <v>13</v>
      </c>
      <c r="Z566" s="9">
        <v>13</v>
      </c>
      <c r="AA566" s="9">
        <v>13</v>
      </c>
      <c r="AB566" s="9">
        <v>13</v>
      </c>
      <c r="AC566" s="9">
        <f t="shared" si="343"/>
        <v>1235</v>
      </c>
      <c r="AD566" s="9">
        <f t="shared" si="344"/>
        <v>1334</v>
      </c>
      <c r="AE566" s="9">
        <f t="shared" si="345"/>
        <v>1334</v>
      </c>
      <c r="AF566" s="9">
        <f t="shared" si="346"/>
        <v>1334</v>
      </c>
      <c r="AG566" s="9">
        <f t="shared" si="347"/>
        <v>1334</v>
      </c>
      <c r="AH566" s="9">
        <f t="shared" si="348"/>
        <v>1334</v>
      </c>
      <c r="AI566" s="7">
        <f t="shared" si="360"/>
        <v>3584543.2566666664</v>
      </c>
      <c r="AJ566" s="7">
        <f t="shared" si="359"/>
        <v>3584543.2566666664</v>
      </c>
      <c r="AK566" s="7">
        <f t="shared" si="359"/>
        <v>3584543.2566666664</v>
      </c>
      <c r="AL566" s="7">
        <f t="shared" si="359"/>
        <v>3584543.2566666664</v>
      </c>
      <c r="AM566" s="7">
        <f t="shared" si="359"/>
        <v>3584543.2566666664</v>
      </c>
      <c r="AN566" s="7">
        <f t="shared" si="359"/>
        <v>3584543.2566666664</v>
      </c>
      <c r="AO566" s="16"/>
      <c r="AP566" s="7"/>
      <c r="AQ566" s="9">
        <v>9</v>
      </c>
      <c r="AR566" s="9">
        <f t="shared" si="349"/>
        <v>1542</v>
      </c>
      <c r="AS566" s="7">
        <f t="shared" si="358"/>
        <v>381</v>
      </c>
      <c r="AT566" s="7"/>
      <c r="AU566" s="16"/>
      <c r="AV566" s="7"/>
      <c r="AW566" s="7"/>
      <c r="AX566" s="7"/>
      <c r="AZ566" s="7"/>
      <c r="BA566" s="9">
        <f t="shared" si="361"/>
        <v>2819025.8200000017</v>
      </c>
      <c r="BC566" s="5" t="e">
        <f t="shared" si="350"/>
        <v>#N/A</v>
      </c>
      <c r="BR566" s="5">
        <v>3504035</v>
      </c>
      <c r="BS566" s="18">
        <f>[1]monsters!$N566</f>
        <v>135.88999999999999</v>
      </c>
      <c r="BT566" s="18">
        <f>[1]monsters!$O566</f>
        <v>13.59</v>
      </c>
      <c r="BU566" s="18">
        <f>[1]monsters!$P566</f>
        <v>1033.8499999999999</v>
      </c>
      <c r="BV566" s="18">
        <f>[1]monsters!$Q566</f>
        <v>103.38</v>
      </c>
      <c r="BW566" s="18">
        <f>[1]monsters!$R566</f>
        <v>13.59</v>
      </c>
      <c r="BX566" s="18">
        <f>[1]monsters!$S566</f>
        <v>1.36</v>
      </c>
      <c r="BY566" s="18">
        <f>[1]monsters!$K566</f>
        <v>1.4</v>
      </c>
      <c r="BZ566" s="5">
        <f>[1]monsters!$D566</f>
        <v>4</v>
      </c>
      <c r="CA566" s="5">
        <f t="shared" si="351"/>
        <v>0.1</v>
      </c>
      <c r="CB566" s="5">
        <f t="shared" si="352"/>
        <v>163.2258143097643</v>
      </c>
      <c r="CC566" s="5">
        <f t="shared" si="353"/>
        <v>16.322581430976431</v>
      </c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>
        <v>0</v>
      </c>
      <c r="CR566" s="3" t="b">
        <f t="shared" si="325"/>
        <v>1</v>
      </c>
      <c r="CS566" s="3" t="b">
        <f t="shared" si="326"/>
        <v>1</v>
      </c>
      <c r="CT566" s="3" t="b">
        <f t="shared" si="327"/>
        <v>1</v>
      </c>
      <c r="CU566" s="3" t="b">
        <f t="shared" si="328"/>
        <v>1</v>
      </c>
      <c r="CV566" s="3" t="b">
        <f t="shared" si="329"/>
        <v>1</v>
      </c>
      <c r="CW566" s="3" t="b">
        <f t="shared" si="330"/>
        <v>1</v>
      </c>
      <c r="CX566" s="9" t="str">
        <f t="shared" si="331"/>
        <v>5301131</v>
      </c>
      <c r="CY566" s="9" t="str">
        <f t="shared" si="332"/>
        <v>5301132</v>
      </c>
      <c r="CZ566" s="9" t="str">
        <f t="shared" si="333"/>
        <v>5301133</v>
      </c>
      <c r="DA566" s="9" t="str">
        <f t="shared" si="334"/>
        <v>5500132</v>
      </c>
      <c r="DB566" s="9" t="str">
        <f t="shared" si="335"/>
        <v>5500131</v>
      </c>
      <c r="DC566" s="9" t="str">
        <f t="shared" si="336"/>
        <v>5500132</v>
      </c>
      <c r="DD566" s="9">
        <v>13</v>
      </c>
      <c r="DE566" s="9">
        <v>13</v>
      </c>
      <c r="DF566" s="9">
        <v>13</v>
      </c>
      <c r="DG566" s="9">
        <v>13</v>
      </c>
      <c r="DH566" s="9">
        <v>13</v>
      </c>
      <c r="DI566" s="9">
        <v>13</v>
      </c>
      <c r="DJ566" s="9">
        <v>5</v>
      </c>
      <c r="DK566" s="9">
        <v>5</v>
      </c>
      <c r="DL566" s="9">
        <v>5</v>
      </c>
      <c r="DM566" s="9">
        <v>5</v>
      </c>
      <c r="DN566" s="9">
        <v>5</v>
      </c>
      <c r="DO566" s="9">
        <v>5</v>
      </c>
      <c r="DP566" s="26" t="s">
        <v>107</v>
      </c>
      <c r="DQ566" s="26" t="s">
        <v>201</v>
      </c>
      <c r="DR566" s="26" t="s">
        <v>206</v>
      </c>
      <c r="DS566" s="26" t="s">
        <v>109</v>
      </c>
      <c r="DT566" s="26" t="s">
        <v>197</v>
      </c>
      <c r="DU566" s="26" t="s">
        <v>109</v>
      </c>
      <c r="DV566" s="26">
        <f t="shared" si="337"/>
        <v>1</v>
      </c>
      <c r="DW566" s="26">
        <f t="shared" si="338"/>
        <v>1</v>
      </c>
      <c r="DX566" s="26">
        <f t="shared" si="339"/>
        <v>1</v>
      </c>
      <c r="DY566" s="26">
        <f t="shared" si="340"/>
        <v>2</v>
      </c>
      <c r="DZ566" s="26">
        <f t="shared" si="341"/>
        <v>2</v>
      </c>
      <c r="EA566" s="3">
        <f t="shared" si="342"/>
        <v>2</v>
      </c>
      <c r="EB566" s="50"/>
    </row>
    <row r="567" spans="1:132" ht="13.5" customHeight="1">
      <c r="A567" s="9">
        <v>564</v>
      </c>
      <c r="B567" s="9">
        <v>1</v>
      </c>
      <c r="C567" s="9">
        <v>2001</v>
      </c>
      <c r="D567" s="9">
        <f t="shared" si="357"/>
        <v>28469150</v>
      </c>
      <c r="E567" s="9" t="str">
        <f t="shared" si="354"/>
        <v>5201132,5200132,5201132,5400135,5401133,5501134</v>
      </c>
      <c r="F567" s="9" t="str">
        <f t="shared" si="355"/>
        <v>13,13,13,13,13,13</v>
      </c>
      <c r="G567" s="9" t="str">
        <f t="shared" si="356"/>
        <v>1236,1336,1336,1336,1336,1336</v>
      </c>
      <c r="H567" s="9">
        <v>265</v>
      </c>
      <c r="I567" s="9" t="s">
        <v>278</v>
      </c>
      <c r="J567" s="9" t="s">
        <v>279</v>
      </c>
      <c r="K567" s="9" t="s">
        <v>279</v>
      </c>
      <c r="L567" s="9" t="s">
        <v>279</v>
      </c>
      <c r="M567" s="36" t="s">
        <v>315</v>
      </c>
      <c r="N567" s="40"/>
      <c r="O567" s="3">
        <f t="shared" si="322"/>
        <v>28469150</v>
      </c>
      <c r="P567" s="9">
        <v>21567538.02</v>
      </c>
      <c r="Q567" s="9">
        <v>5201132</v>
      </c>
      <c r="R567" s="9">
        <v>5200132</v>
      </c>
      <c r="S567" s="9">
        <v>5201132</v>
      </c>
      <c r="T567" s="9">
        <v>5400135</v>
      </c>
      <c r="U567" s="9">
        <v>5401133</v>
      </c>
      <c r="V567" s="9">
        <v>5501134</v>
      </c>
      <c r="W567" s="9">
        <v>13</v>
      </c>
      <c r="X567" s="9">
        <v>13</v>
      </c>
      <c r="Y567" s="9">
        <v>13</v>
      </c>
      <c r="Z567" s="9">
        <v>13</v>
      </c>
      <c r="AA567" s="9">
        <v>13</v>
      </c>
      <c r="AB567" s="9">
        <v>13</v>
      </c>
      <c r="AC567" s="9">
        <f t="shared" si="343"/>
        <v>1236</v>
      </c>
      <c r="AD567" s="9">
        <f t="shared" si="344"/>
        <v>1336</v>
      </c>
      <c r="AE567" s="9">
        <f t="shared" si="345"/>
        <v>1336</v>
      </c>
      <c r="AF567" s="9">
        <f t="shared" si="346"/>
        <v>1336</v>
      </c>
      <c r="AG567" s="9">
        <f t="shared" si="347"/>
        <v>1336</v>
      </c>
      <c r="AH567" s="9">
        <f t="shared" si="348"/>
        <v>1336</v>
      </c>
      <c r="AI567" s="7">
        <f t="shared" si="360"/>
        <v>3594589.67</v>
      </c>
      <c r="AJ567" s="7">
        <f t="shared" si="359"/>
        <v>3594589.67</v>
      </c>
      <c r="AK567" s="7">
        <f t="shared" si="359"/>
        <v>3594589.67</v>
      </c>
      <c r="AL567" s="7">
        <f t="shared" si="359"/>
        <v>3594589.67</v>
      </c>
      <c r="AM567" s="7">
        <f t="shared" si="359"/>
        <v>3594589.67</v>
      </c>
      <c r="AN567" s="7">
        <f t="shared" si="359"/>
        <v>3594589.67</v>
      </c>
      <c r="AO567" s="16"/>
      <c r="AP567" s="7"/>
      <c r="AQ567" s="9">
        <v>9</v>
      </c>
      <c r="AR567" s="9">
        <f t="shared" si="349"/>
        <v>1545</v>
      </c>
      <c r="AS567" s="7">
        <f t="shared" si="358"/>
        <v>382</v>
      </c>
      <c r="AT567" s="7"/>
      <c r="AU567" s="16"/>
      <c r="AV567" s="7"/>
      <c r="AW567" s="7"/>
      <c r="AX567" s="7"/>
      <c r="AZ567" s="7"/>
      <c r="BA567" s="9">
        <f t="shared" si="361"/>
        <v>2841286.9600000018</v>
      </c>
      <c r="BC567" s="5" t="e">
        <f t="shared" si="350"/>
        <v>#N/A</v>
      </c>
      <c r="BR567" s="5">
        <v>3101035</v>
      </c>
      <c r="BS567" s="18">
        <f>[1]monsters!$N567</f>
        <v>94.08</v>
      </c>
      <c r="BT567" s="18">
        <f>[1]monsters!$O567</f>
        <v>9.41</v>
      </c>
      <c r="BU567" s="18">
        <f>[1]monsters!$P567</f>
        <v>1493.33</v>
      </c>
      <c r="BV567" s="18">
        <f>[1]monsters!$Q567</f>
        <v>149.33000000000001</v>
      </c>
      <c r="BW567" s="18">
        <f>[1]monsters!$R567</f>
        <v>18.82</v>
      </c>
      <c r="BX567" s="18">
        <f>[1]monsters!$S567</f>
        <v>1.88</v>
      </c>
      <c r="BY567" s="18">
        <f>[1]monsters!$K567</f>
        <v>1.4</v>
      </c>
      <c r="BZ567" s="5">
        <f>[1]monsters!$D567</f>
        <v>2</v>
      </c>
      <c r="CA567" s="5">
        <f t="shared" si="351"/>
        <v>0.1</v>
      </c>
      <c r="CB567" s="5">
        <f t="shared" si="352"/>
        <v>139.18607138047139</v>
      </c>
      <c r="CC567" s="5">
        <f t="shared" si="353"/>
        <v>13.91860713804714</v>
      </c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>
        <v>0</v>
      </c>
      <c r="CR567" s="3" t="b">
        <f t="shared" si="325"/>
        <v>1</v>
      </c>
      <c r="CS567" s="3" t="b">
        <f t="shared" si="326"/>
        <v>1</v>
      </c>
      <c r="CT567" s="3" t="b">
        <f t="shared" si="327"/>
        <v>1</v>
      </c>
      <c r="CU567" s="3" t="b">
        <f t="shared" si="328"/>
        <v>1</v>
      </c>
      <c r="CV567" s="3" t="b">
        <f t="shared" si="329"/>
        <v>1</v>
      </c>
      <c r="CW567" s="3" t="b">
        <f t="shared" si="330"/>
        <v>1</v>
      </c>
      <c r="CX567" s="9" t="str">
        <f t="shared" si="331"/>
        <v>5201132</v>
      </c>
      <c r="CY567" s="9" t="str">
        <f t="shared" si="332"/>
        <v>5200132</v>
      </c>
      <c r="CZ567" s="9" t="str">
        <f t="shared" si="333"/>
        <v>5201132</v>
      </c>
      <c r="DA567" s="9" t="str">
        <f t="shared" si="334"/>
        <v>5400135</v>
      </c>
      <c r="DB567" s="9" t="str">
        <f t="shared" si="335"/>
        <v>5401133</v>
      </c>
      <c r="DC567" s="9" t="str">
        <f t="shared" si="336"/>
        <v>5501134</v>
      </c>
      <c r="DD567" s="9">
        <v>13</v>
      </c>
      <c r="DE567" s="9">
        <v>13</v>
      </c>
      <c r="DF567" s="9">
        <v>13</v>
      </c>
      <c r="DG567" s="9">
        <v>13</v>
      </c>
      <c r="DH567" s="9">
        <v>13</v>
      </c>
      <c r="DI567" s="9">
        <v>13</v>
      </c>
      <c r="DJ567" s="9">
        <v>5</v>
      </c>
      <c r="DK567" s="9">
        <v>5</v>
      </c>
      <c r="DL567" s="9">
        <v>5</v>
      </c>
      <c r="DM567" s="9">
        <v>5</v>
      </c>
      <c r="DN567" s="9">
        <v>5</v>
      </c>
      <c r="DO567" s="9">
        <v>5</v>
      </c>
      <c r="DP567" s="25" t="s">
        <v>114</v>
      </c>
      <c r="DQ567" s="27" t="s">
        <v>199</v>
      </c>
      <c r="DR567" s="25" t="s">
        <v>114</v>
      </c>
      <c r="DS567" s="25" t="s">
        <v>210</v>
      </c>
      <c r="DT567" s="25" t="s">
        <v>211</v>
      </c>
      <c r="DU567" s="25" t="s">
        <v>214</v>
      </c>
      <c r="DV567" s="25">
        <f t="shared" si="337"/>
        <v>1</v>
      </c>
      <c r="DW567" s="25">
        <f t="shared" si="338"/>
        <v>1</v>
      </c>
      <c r="DX567" s="25">
        <f t="shared" si="339"/>
        <v>1</v>
      </c>
      <c r="DY567" s="25">
        <f t="shared" si="340"/>
        <v>2</v>
      </c>
      <c r="DZ567" s="25">
        <f t="shared" si="341"/>
        <v>2</v>
      </c>
      <c r="EA567" s="3">
        <f t="shared" si="342"/>
        <v>2</v>
      </c>
      <c r="EB567" s="50"/>
    </row>
    <row r="568" spans="1:132" ht="13.5" customHeight="1">
      <c r="A568" s="9">
        <v>565</v>
      </c>
      <c r="B568" s="9">
        <v>1</v>
      </c>
      <c r="C568" s="9">
        <v>2001</v>
      </c>
      <c r="D568" s="9">
        <f t="shared" si="357"/>
        <v>28548829</v>
      </c>
      <c r="E568" s="9" t="str">
        <f t="shared" si="354"/>
        <v>5600134,5202133,5201134,5501134,5501134,5501134</v>
      </c>
      <c r="F568" s="9" t="str">
        <f t="shared" si="355"/>
        <v>13,13,13,13,13,13</v>
      </c>
      <c r="G568" s="9" t="str">
        <f t="shared" si="356"/>
        <v>1238,1338,1338,1338,1338,1338</v>
      </c>
      <c r="H568" s="9">
        <v>266</v>
      </c>
      <c r="I568" s="9" t="s">
        <v>278</v>
      </c>
      <c r="J568" s="9" t="s">
        <v>279</v>
      </c>
      <c r="K568" s="9" t="s">
        <v>279</v>
      </c>
      <c r="L568" s="9" t="s">
        <v>279</v>
      </c>
      <c r="M568" s="36" t="s">
        <v>315</v>
      </c>
      <c r="O568" s="3">
        <f t="shared" ref="O568:O631" si="362">ROUND(P568*1.1*1.2,0)</f>
        <v>28548829</v>
      </c>
      <c r="P568" s="9">
        <v>21627900.899999999</v>
      </c>
      <c r="Q568" s="9">
        <v>5600134</v>
      </c>
      <c r="R568" s="9">
        <v>5202133</v>
      </c>
      <c r="S568" s="9">
        <v>5201134</v>
      </c>
      <c r="T568" s="9">
        <v>5501134</v>
      </c>
      <c r="U568" s="9">
        <v>5501134</v>
      </c>
      <c r="V568" s="9">
        <v>5501134</v>
      </c>
      <c r="W568" s="9">
        <v>13</v>
      </c>
      <c r="X568" s="9">
        <v>13</v>
      </c>
      <c r="Y568" s="9">
        <v>13</v>
      </c>
      <c r="Z568" s="9">
        <v>13</v>
      </c>
      <c r="AA568" s="9">
        <v>13</v>
      </c>
      <c r="AB568" s="9">
        <v>13</v>
      </c>
      <c r="AC568" s="9">
        <f t="shared" si="343"/>
        <v>1238</v>
      </c>
      <c r="AD568" s="9">
        <f t="shared" si="344"/>
        <v>1338</v>
      </c>
      <c r="AE568" s="9">
        <f t="shared" si="345"/>
        <v>1338</v>
      </c>
      <c r="AF568" s="9">
        <f t="shared" si="346"/>
        <v>1338</v>
      </c>
      <c r="AG568" s="9">
        <f t="shared" si="347"/>
        <v>1338</v>
      </c>
      <c r="AH568" s="9">
        <f t="shared" si="348"/>
        <v>1338</v>
      </c>
      <c r="AI568" s="7">
        <f t="shared" si="360"/>
        <v>3604650.15</v>
      </c>
      <c r="AJ568" s="7">
        <f t="shared" si="359"/>
        <v>3604650.15</v>
      </c>
      <c r="AK568" s="7">
        <f t="shared" si="359"/>
        <v>3604650.15</v>
      </c>
      <c r="AL568" s="7">
        <f t="shared" si="359"/>
        <v>3604650.15</v>
      </c>
      <c r="AM568" s="7">
        <f t="shared" si="359"/>
        <v>3604650.15</v>
      </c>
      <c r="AN568" s="7">
        <f t="shared" si="359"/>
        <v>3604650.15</v>
      </c>
      <c r="AO568" s="16"/>
      <c r="AP568" s="7"/>
      <c r="AQ568" s="9">
        <v>9</v>
      </c>
      <c r="AR568" s="9">
        <f t="shared" si="349"/>
        <v>1547</v>
      </c>
      <c r="AS568" s="7">
        <f t="shared" si="358"/>
        <v>382</v>
      </c>
      <c r="AT568" s="7"/>
      <c r="AU568" s="16"/>
      <c r="AV568" s="7"/>
      <c r="AW568" s="7"/>
      <c r="AX568" s="7"/>
      <c r="AZ568" s="7"/>
      <c r="BA568" s="9">
        <f t="shared" si="361"/>
        <v>2863548.100000002</v>
      </c>
      <c r="BC568" s="5" t="e">
        <f t="shared" si="350"/>
        <v>#N/A</v>
      </c>
      <c r="BR568" s="5">
        <v>3102035</v>
      </c>
      <c r="BS568" s="18">
        <f>[1]monsters!$N568</f>
        <v>155.31</v>
      </c>
      <c r="BT568" s="18">
        <f>[1]monsters!$O568</f>
        <v>15.53</v>
      </c>
      <c r="BU568" s="18">
        <f>[1]monsters!$P568</f>
        <v>1033.8499999999999</v>
      </c>
      <c r="BV568" s="18">
        <f>[1]monsters!$Q568</f>
        <v>103.38</v>
      </c>
      <c r="BW568" s="18">
        <f>[1]monsters!$R568</f>
        <v>15.53</v>
      </c>
      <c r="BX568" s="18">
        <f>[1]monsters!$S568</f>
        <v>1.55</v>
      </c>
      <c r="BY568" s="18">
        <f>[1]monsters!$K568</f>
        <v>1.6</v>
      </c>
      <c r="BZ568" s="5">
        <f>[1]monsters!$D568</f>
        <v>4</v>
      </c>
      <c r="CA568" s="5">
        <f t="shared" si="351"/>
        <v>0.1</v>
      </c>
      <c r="CB568" s="5">
        <f t="shared" si="352"/>
        <v>181.5777143097643</v>
      </c>
      <c r="CC568" s="5">
        <f t="shared" si="353"/>
        <v>18.157771430976432</v>
      </c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>
        <v>1</v>
      </c>
      <c r="CR568" s="3" t="b">
        <f t="shared" si="325"/>
        <v>1</v>
      </c>
      <c r="CS568" s="3" t="b">
        <f t="shared" si="326"/>
        <v>1</v>
      </c>
      <c r="CT568" s="3" t="b">
        <f t="shared" si="327"/>
        <v>1</v>
      </c>
      <c r="CU568" s="3" t="b">
        <f t="shared" si="328"/>
        <v>1</v>
      </c>
      <c r="CV568" s="3" t="b">
        <f t="shared" si="329"/>
        <v>1</v>
      </c>
      <c r="CW568" s="3" t="b">
        <f t="shared" si="330"/>
        <v>1</v>
      </c>
      <c r="CX568" s="9" t="str">
        <f t="shared" si="331"/>
        <v>5600134</v>
      </c>
      <c r="CY568" s="9" t="str">
        <f t="shared" si="332"/>
        <v>5202133</v>
      </c>
      <c r="CZ568" s="9" t="str">
        <f t="shared" si="333"/>
        <v>5201134</v>
      </c>
      <c r="DA568" s="9" t="str">
        <f t="shared" si="334"/>
        <v>5501134</v>
      </c>
      <c r="DB568" s="9" t="str">
        <f t="shared" si="335"/>
        <v>5501134</v>
      </c>
      <c r="DC568" s="9" t="str">
        <f t="shared" si="336"/>
        <v>5501134</v>
      </c>
      <c r="DD568" s="9">
        <v>13</v>
      </c>
      <c r="DE568" s="9">
        <v>13</v>
      </c>
      <c r="DF568" s="9">
        <v>13</v>
      </c>
      <c r="DG568" s="9">
        <v>13</v>
      </c>
      <c r="DH568" s="9">
        <v>13</v>
      </c>
      <c r="DI568" s="9">
        <v>13</v>
      </c>
      <c r="DJ568" s="9">
        <v>5</v>
      </c>
      <c r="DK568" s="9">
        <v>5</v>
      </c>
      <c r="DL568" s="9">
        <v>5</v>
      </c>
      <c r="DM568" s="9">
        <v>5</v>
      </c>
      <c r="DN568" s="9">
        <v>5</v>
      </c>
      <c r="DO568" s="9">
        <v>5</v>
      </c>
      <c r="DP568" s="27" t="s">
        <v>219</v>
      </c>
      <c r="DQ568" s="25" t="s">
        <v>208</v>
      </c>
      <c r="DR568" s="25" t="s">
        <v>217</v>
      </c>
      <c r="DS568" s="25" t="s">
        <v>214</v>
      </c>
      <c r="DT568" s="25" t="s">
        <v>214</v>
      </c>
      <c r="DU568" s="25" t="s">
        <v>214</v>
      </c>
      <c r="DV568" s="25">
        <f t="shared" si="337"/>
        <v>1</v>
      </c>
      <c r="DW568" s="25">
        <f t="shared" si="338"/>
        <v>1</v>
      </c>
      <c r="DX568" s="25">
        <f t="shared" si="339"/>
        <v>1</v>
      </c>
      <c r="DY568" s="25">
        <f t="shared" si="340"/>
        <v>2</v>
      </c>
      <c r="DZ568" s="25">
        <f t="shared" si="341"/>
        <v>2</v>
      </c>
      <c r="EA568" s="3">
        <f t="shared" si="342"/>
        <v>2</v>
      </c>
      <c r="EB568" s="50"/>
    </row>
    <row r="569" spans="1:132" ht="13.5" customHeight="1">
      <c r="A569" s="9">
        <v>566</v>
      </c>
      <c r="B569" s="9">
        <v>1</v>
      </c>
      <c r="C569" s="9">
        <v>2001</v>
      </c>
      <c r="D569" s="9">
        <f t="shared" si="357"/>
        <v>28628620</v>
      </c>
      <c r="E569" s="9" t="str">
        <f t="shared" si="354"/>
        <v>5202135,5200132,5202132,5400135,5400135,5400135</v>
      </c>
      <c r="F569" s="9" t="str">
        <f t="shared" si="355"/>
        <v>13,13,13,13,13,13</v>
      </c>
      <c r="G569" s="9" t="str">
        <f t="shared" si="356"/>
        <v>1240,1340,1340,1340,1340,1340</v>
      </c>
      <c r="H569" s="9">
        <v>266</v>
      </c>
      <c r="I569" s="9" t="s">
        <v>278</v>
      </c>
      <c r="J569" s="9" t="s">
        <v>279</v>
      </c>
      <c r="K569" s="9" t="s">
        <v>279</v>
      </c>
      <c r="L569" s="9" t="s">
        <v>279</v>
      </c>
      <c r="M569" s="36" t="s">
        <v>315</v>
      </c>
      <c r="N569" s="40"/>
      <c r="O569" s="3">
        <f t="shared" si="362"/>
        <v>28628620</v>
      </c>
      <c r="P569" s="9">
        <v>21688348.18</v>
      </c>
      <c r="Q569" s="9">
        <v>5202135</v>
      </c>
      <c r="R569" s="9">
        <v>5200132</v>
      </c>
      <c r="S569" s="9">
        <v>5202132</v>
      </c>
      <c r="T569" s="9">
        <v>5400135</v>
      </c>
      <c r="U569" s="9">
        <v>5400135</v>
      </c>
      <c r="V569" s="9">
        <v>5400135</v>
      </c>
      <c r="W569" s="9">
        <v>13</v>
      </c>
      <c r="X569" s="9">
        <v>13</v>
      </c>
      <c r="Y569" s="9">
        <v>13</v>
      </c>
      <c r="Z569" s="9">
        <v>13</v>
      </c>
      <c r="AA569" s="9">
        <v>13</v>
      </c>
      <c r="AB569" s="9">
        <v>13</v>
      </c>
      <c r="AC569" s="9">
        <f t="shared" si="343"/>
        <v>1240</v>
      </c>
      <c r="AD569" s="9">
        <f t="shared" si="344"/>
        <v>1340</v>
      </c>
      <c r="AE569" s="9">
        <f t="shared" si="345"/>
        <v>1340</v>
      </c>
      <c r="AF569" s="9">
        <f t="shared" si="346"/>
        <v>1340</v>
      </c>
      <c r="AG569" s="9">
        <f t="shared" si="347"/>
        <v>1340</v>
      </c>
      <c r="AH569" s="9">
        <f t="shared" si="348"/>
        <v>1340</v>
      </c>
      <c r="AI569" s="7">
        <f t="shared" si="360"/>
        <v>3614724.6966666668</v>
      </c>
      <c r="AJ569" s="7">
        <f t="shared" si="359"/>
        <v>3614724.6966666668</v>
      </c>
      <c r="AK569" s="7">
        <f t="shared" si="359"/>
        <v>3614724.6966666668</v>
      </c>
      <c r="AL569" s="7">
        <f t="shared" si="359"/>
        <v>3614724.6966666668</v>
      </c>
      <c r="AM569" s="7">
        <f t="shared" si="359"/>
        <v>3614724.6966666668</v>
      </c>
      <c r="AN569" s="7">
        <f t="shared" si="359"/>
        <v>3614724.6966666668</v>
      </c>
      <c r="AO569" s="16"/>
      <c r="AP569" s="7"/>
      <c r="AQ569" s="9">
        <v>9</v>
      </c>
      <c r="AR569" s="9">
        <f t="shared" si="349"/>
        <v>1549</v>
      </c>
      <c r="AS569" s="7">
        <f t="shared" si="358"/>
        <v>383</v>
      </c>
      <c r="AT569" s="7"/>
      <c r="AU569" s="16"/>
      <c r="AV569" s="7"/>
      <c r="AW569" s="7"/>
      <c r="AX569" s="7"/>
      <c r="AZ569" s="7"/>
      <c r="BA569" s="9">
        <f t="shared" si="361"/>
        <v>2885809.2400000021</v>
      </c>
      <c r="BC569" s="5" t="e">
        <f t="shared" si="350"/>
        <v>#N/A</v>
      </c>
      <c r="BR569" s="5">
        <v>4206041</v>
      </c>
      <c r="BS569" s="18">
        <f>[1]monsters!$N569</f>
        <v>143.36000000000001</v>
      </c>
      <c r="BT569" s="18">
        <f>[1]monsters!$O569</f>
        <v>14.34</v>
      </c>
      <c r="BU569" s="18">
        <f>[1]monsters!$P569</f>
        <v>1120</v>
      </c>
      <c r="BV569" s="18">
        <f>[1]monsters!$Q569</f>
        <v>112</v>
      </c>
      <c r="BW569" s="18">
        <f>[1]monsters!$R569</f>
        <v>23.89</v>
      </c>
      <c r="BX569" s="18">
        <f>[1]monsters!$S569</f>
        <v>2.39</v>
      </c>
      <c r="BY569" s="18">
        <f>[1]monsters!$K569</f>
        <v>1.6</v>
      </c>
      <c r="BZ569" s="5">
        <f>[1]monsters!$D569</f>
        <v>5</v>
      </c>
      <c r="CA569" s="5">
        <f t="shared" si="351"/>
        <v>0.1</v>
      </c>
      <c r="CB569" s="5">
        <f t="shared" si="352"/>
        <v>173.18563771043773</v>
      </c>
      <c r="CC569" s="5">
        <f t="shared" si="353"/>
        <v>17.318563771043774</v>
      </c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>
        <v>0</v>
      </c>
      <c r="CR569" s="3" t="b">
        <f t="shared" si="325"/>
        <v>1</v>
      </c>
      <c r="CS569" s="3" t="b">
        <f t="shared" si="326"/>
        <v>1</v>
      </c>
      <c r="CT569" s="3" t="b">
        <f t="shared" si="327"/>
        <v>1</v>
      </c>
      <c r="CU569" s="3" t="b">
        <f t="shared" si="328"/>
        <v>1</v>
      </c>
      <c r="CV569" s="3" t="b">
        <f t="shared" si="329"/>
        <v>1</v>
      </c>
      <c r="CW569" s="3" t="b">
        <f t="shared" si="330"/>
        <v>1</v>
      </c>
      <c r="CX569" s="9" t="str">
        <f t="shared" si="331"/>
        <v>5202135</v>
      </c>
      <c r="CY569" s="9" t="str">
        <f t="shared" si="332"/>
        <v>5200132</v>
      </c>
      <c r="CZ569" s="9" t="str">
        <f t="shared" si="333"/>
        <v>5202132</v>
      </c>
      <c r="DA569" s="9" t="str">
        <f t="shared" si="334"/>
        <v>5400135</v>
      </c>
      <c r="DB569" s="9" t="str">
        <f t="shared" si="335"/>
        <v>5400135</v>
      </c>
      <c r="DC569" s="9" t="str">
        <f t="shared" si="336"/>
        <v>5400135</v>
      </c>
      <c r="DD569" s="9">
        <v>13</v>
      </c>
      <c r="DE569" s="9">
        <v>13</v>
      </c>
      <c r="DF569" s="9">
        <v>13</v>
      </c>
      <c r="DG569" s="9">
        <v>13</v>
      </c>
      <c r="DH569" s="9">
        <v>13</v>
      </c>
      <c r="DI569" s="9">
        <v>13</v>
      </c>
      <c r="DJ569" s="9">
        <v>5</v>
      </c>
      <c r="DK569" s="9">
        <v>5</v>
      </c>
      <c r="DL569" s="9">
        <v>5</v>
      </c>
      <c r="DM569" s="9">
        <v>5</v>
      </c>
      <c r="DN569" s="9">
        <v>5</v>
      </c>
      <c r="DO569" s="9">
        <v>5</v>
      </c>
      <c r="DP569" s="26" t="s">
        <v>213</v>
      </c>
      <c r="DQ569" s="26" t="s">
        <v>199</v>
      </c>
      <c r="DR569" s="26" t="s">
        <v>200</v>
      </c>
      <c r="DS569" s="26" t="s">
        <v>210</v>
      </c>
      <c r="DT569" s="26" t="s">
        <v>210</v>
      </c>
      <c r="DU569" s="26" t="s">
        <v>210</v>
      </c>
      <c r="DV569" s="26">
        <f t="shared" si="337"/>
        <v>1</v>
      </c>
      <c r="DW569" s="26">
        <f t="shared" si="338"/>
        <v>1</v>
      </c>
      <c r="DX569" s="26">
        <f t="shared" si="339"/>
        <v>1</v>
      </c>
      <c r="DY569" s="26">
        <f t="shared" si="340"/>
        <v>2</v>
      </c>
      <c r="DZ569" s="26">
        <f t="shared" si="341"/>
        <v>2</v>
      </c>
      <c r="EA569" s="3">
        <f t="shared" si="342"/>
        <v>2</v>
      </c>
      <c r="EB569" s="45"/>
    </row>
    <row r="570" spans="1:132" ht="13.5" customHeight="1">
      <c r="A570" s="9">
        <v>567</v>
      </c>
      <c r="B570" s="9">
        <v>1</v>
      </c>
      <c r="C570" s="9">
        <v>2001</v>
      </c>
      <c r="D570" s="9">
        <f t="shared" si="357"/>
        <v>28708524</v>
      </c>
      <c r="E570" s="9" t="str">
        <f t="shared" si="354"/>
        <v>5302135,5202135,5301132,5500132,5501135,5501135</v>
      </c>
      <c r="F570" s="9" t="str">
        <f t="shared" si="355"/>
        <v>13,13,13,13,13,13</v>
      </c>
      <c r="G570" s="9" t="str">
        <f t="shared" si="356"/>
        <v>1242,1342,1342,1342,1342,1342</v>
      </c>
      <c r="H570" s="9">
        <v>266</v>
      </c>
      <c r="I570" s="9" t="s">
        <v>278</v>
      </c>
      <c r="J570" s="9" t="s">
        <v>279</v>
      </c>
      <c r="K570" s="9" t="s">
        <v>279</v>
      </c>
      <c r="L570" s="9" t="s">
        <v>279</v>
      </c>
      <c r="M570" s="36" t="s">
        <v>315</v>
      </c>
      <c r="N570" s="40"/>
      <c r="O570" s="3">
        <f t="shared" si="362"/>
        <v>28708524</v>
      </c>
      <c r="P570" s="9">
        <v>21748881.969999999</v>
      </c>
      <c r="Q570" s="9">
        <v>5302135</v>
      </c>
      <c r="R570" s="9">
        <v>5202135</v>
      </c>
      <c r="S570" s="9">
        <v>5301132</v>
      </c>
      <c r="T570" s="9">
        <v>5500132</v>
      </c>
      <c r="U570" s="9">
        <v>5501135</v>
      </c>
      <c r="V570" s="9">
        <v>5501135</v>
      </c>
      <c r="W570" s="9">
        <v>13</v>
      </c>
      <c r="X570" s="9">
        <v>13</v>
      </c>
      <c r="Y570" s="9">
        <v>13</v>
      </c>
      <c r="Z570" s="9">
        <v>13</v>
      </c>
      <c r="AA570" s="9">
        <v>13</v>
      </c>
      <c r="AB570" s="9">
        <v>13</v>
      </c>
      <c r="AC570" s="9">
        <f t="shared" si="343"/>
        <v>1242</v>
      </c>
      <c r="AD570" s="9">
        <f t="shared" si="344"/>
        <v>1342</v>
      </c>
      <c r="AE570" s="9">
        <f t="shared" si="345"/>
        <v>1342</v>
      </c>
      <c r="AF570" s="9">
        <f t="shared" si="346"/>
        <v>1342</v>
      </c>
      <c r="AG570" s="9">
        <f t="shared" si="347"/>
        <v>1342</v>
      </c>
      <c r="AH570" s="9">
        <f t="shared" si="348"/>
        <v>1342</v>
      </c>
      <c r="AI570" s="7">
        <f t="shared" si="360"/>
        <v>3624813.6616666666</v>
      </c>
      <c r="AJ570" s="7">
        <f t="shared" si="359"/>
        <v>3624813.6616666666</v>
      </c>
      <c r="AK570" s="7">
        <f t="shared" si="359"/>
        <v>3624813.6616666666</v>
      </c>
      <c r="AL570" s="7">
        <f t="shared" si="359"/>
        <v>3624813.6616666666</v>
      </c>
      <c r="AM570" s="7">
        <f t="shared" si="359"/>
        <v>3624813.6616666666</v>
      </c>
      <c r="AN570" s="7">
        <f t="shared" si="359"/>
        <v>3624813.6616666666</v>
      </c>
      <c r="AO570" s="16"/>
      <c r="AP570" s="7"/>
      <c r="AQ570" s="9">
        <v>9</v>
      </c>
      <c r="AR570" s="9">
        <f t="shared" si="349"/>
        <v>1551</v>
      </c>
      <c r="AS570" s="7">
        <f t="shared" si="358"/>
        <v>383</v>
      </c>
      <c r="AT570" s="7"/>
      <c r="AU570" s="16"/>
      <c r="AV570" s="7"/>
      <c r="AW570" s="7"/>
      <c r="AX570" s="7"/>
      <c r="AZ570" s="7"/>
      <c r="BA570" s="9">
        <f t="shared" si="361"/>
        <v>2908070.3800000022</v>
      </c>
      <c r="BC570" s="5" t="e">
        <f t="shared" si="350"/>
        <v>#N/A</v>
      </c>
      <c r="BR570" s="5">
        <v>4406041</v>
      </c>
      <c r="BS570" s="18">
        <f>[1]monsters!$N570</f>
        <v>120.21</v>
      </c>
      <c r="BT570" s="18">
        <f>[1]monsters!$O570</f>
        <v>12.02</v>
      </c>
      <c r="BU570" s="18">
        <f>[1]monsters!$P570</f>
        <v>1168.7</v>
      </c>
      <c r="BV570" s="18">
        <f>[1]monsters!$Q570</f>
        <v>116.87</v>
      </c>
      <c r="BW570" s="18">
        <f>[1]monsters!$R570</f>
        <v>15.03</v>
      </c>
      <c r="BX570" s="18">
        <f>[1]monsters!$S570</f>
        <v>1.5</v>
      </c>
      <c r="BY570" s="18">
        <f>[1]monsters!$K570</f>
        <v>1.4</v>
      </c>
      <c r="BZ570" s="5">
        <f>[1]monsters!$D570</f>
        <v>3</v>
      </c>
      <c r="CA570" s="5">
        <f t="shared" si="351"/>
        <v>0.1</v>
      </c>
      <c r="CB570" s="5">
        <f t="shared" si="352"/>
        <v>152.94861835016835</v>
      </c>
      <c r="CC570" s="5">
        <f t="shared" si="353"/>
        <v>15.294861835016835</v>
      </c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>
        <v>0</v>
      </c>
      <c r="CR570" s="3" t="b">
        <f t="shared" si="325"/>
        <v>1</v>
      </c>
      <c r="CS570" s="3" t="b">
        <f t="shared" si="326"/>
        <v>1</v>
      </c>
      <c r="CT570" s="3" t="b">
        <f t="shared" si="327"/>
        <v>1</v>
      </c>
      <c r="CU570" s="3" t="b">
        <f t="shared" si="328"/>
        <v>1</v>
      </c>
      <c r="CV570" s="3" t="b">
        <f t="shared" si="329"/>
        <v>1</v>
      </c>
      <c r="CW570" s="3" t="b">
        <f t="shared" si="330"/>
        <v>1</v>
      </c>
      <c r="CX570" s="9" t="str">
        <f t="shared" si="331"/>
        <v>5302135</v>
      </c>
      <c r="CY570" s="9" t="str">
        <f t="shared" si="332"/>
        <v>5202135</v>
      </c>
      <c r="CZ570" s="9" t="str">
        <f t="shared" si="333"/>
        <v>5301132</v>
      </c>
      <c r="DA570" s="9" t="str">
        <f t="shared" si="334"/>
        <v>5500132</v>
      </c>
      <c r="DB570" s="9" t="str">
        <f t="shared" si="335"/>
        <v>5501135</v>
      </c>
      <c r="DC570" s="9" t="str">
        <f t="shared" si="336"/>
        <v>5501135</v>
      </c>
      <c r="DD570" s="9">
        <v>13</v>
      </c>
      <c r="DE570" s="9">
        <v>13</v>
      </c>
      <c r="DF570" s="9">
        <v>13</v>
      </c>
      <c r="DG570" s="9">
        <v>13</v>
      </c>
      <c r="DH570" s="9">
        <v>13</v>
      </c>
      <c r="DI570" s="9">
        <v>13</v>
      </c>
      <c r="DJ570" s="9">
        <v>5</v>
      </c>
      <c r="DK570" s="9">
        <v>5</v>
      </c>
      <c r="DL570" s="9">
        <v>5</v>
      </c>
      <c r="DM570" s="9">
        <v>5</v>
      </c>
      <c r="DN570" s="9">
        <v>5</v>
      </c>
      <c r="DO570" s="9">
        <v>5</v>
      </c>
      <c r="DP570" s="25" t="s">
        <v>221</v>
      </c>
      <c r="DQ570" s="25" t="s">
        <v>213</v>
      </c>
      <c r="DR570" s="26" t="s">
        <v>201</v>
      </c>
      <c r="DS570" s="26" t="s">
        <v>109</v>
      </c>
      <c r="DT570" s="25" t="s">
        <v>209</v>
      </c>
      <c r="DU570" s="25" t="s">
        <v>209</v>
      </c>
      <c r="DV570" s="25">
        <f t="shared" si="337"/>
        <v>1</v>
      </c>
      <c r="DW570" s="25">
        <f t="shared" si="338"/>
        <v>1</v>
      </c>
      <c r="DX570" s="25">
        <f t="shared" si="339"/>
        <v>1</v>
      </c>
      <c r="DY570" s="25">
        <f t="shared" si="340"/>
        <v>2</v>
      </c>
      <c r="DZ570" s="25">
        <f t="shared" si="341"/>
        <v>2</v>
      </c>
      <c r="EA570" s="3">
        <f t="shared" si="342"/>
        <v>2</v>
      </c>
      <c r="EB570" s="45"/>
    </row>
    <row r="571" spans="1:132" ht="13.5" customHeight="1">
      <c r="A571" s="9">
        <v>568</v>
      </c>
      <c r="B571" s="9">
        <v>1</v>
      </c>
      <c r="C571" s="9">
        <v>2001</v>
      </c>
      <c r="D571" s="9">
        <f t="shared" si="357"/>
        <v>28788537</v>
      </c>
      <c r="E571" s="9" t="str">
        <f t="shared" si="354"/>
        <v>5202133,5202132,5201134,5501134,5500133,5501134</v>
      </c>
      <c r="F571" s="9" t="str">
        <f t="shared" si="355"/>
        <v>13,13,13,13,13,13</v>
      </c>
      <c r="G571" s="9" t="str">
        <f t="shared" si="356"/>
        <v>1243,1344,1344,1344,1344,1344</v>
      </c>
      <c r="H571" s="9">
        <v>267</v>
      </c>
      <c r="I571" s="9" t="s">
        <v>278</v>
      </c>
      <c r="J571" s="9" t="s">
        <v>279</v>
      </c>
      <c r="K571" s="9" t="s">
        <v>279</v>
      </c>
      <c r="L571" s="9" t="s">
        <v>279</v>
      </c>
      <c r="M571" s="36" t="s">
        <v>315</v>
      </c>
      <c r="N571" s="40"/>
      <c r="O571" s="3">
        <f t="shared" si="362"/>
        <v>28788537</v>
      </c>
      <c r="P571" s="9">
        <v>21809498.050000001</v>
      </c>
      <c r="Q571" s="9">
        <v>5202133</v>
      </c>
      <c r="R571" s="9">
        <v>5202132</v>
      </c>
      <c r="S571" s="9">
        <v>5201134</v>
      </c>
      <c r="T571" s="9">
        <v>5501134</v>
      </c>
      <c r="U571" s="9">
        <v>5500133</v>
      </c>
      <c r="V571" s="9">
        <v>5501134</v>
      </c>
      <c r="W571" s="9">
        <v>13</v>
      </c>
      <c r="X571" s="9">
        <v>13</v>
      </c>
      <c r="Y571" s="9">
        <v>13</v>
      </c>
      <c r="Z571" s="9">
        <v>13</v>
      </c>
      <c r="AA571" s="9">
        <v>13</v>
      </c>
      <c r="AB571" s="9">
        <v>13</v>
      </c>
      <c r="AC571" s="9">
        <f t="shared" si="343"/>
        <v>1243</v>
      </c>
      <c r="AD571" s="9">
        <f t="shared" si="344"/>
        <v>1344</v>
      </c>
      <c r="AE571" s="9">
        <f t="shared" si="345"/>
        <v>1344</v>
      </c>
      <c r="AF571" s="9">
        <f t="shared" si="346"/>
        <v>1344</v>
      </c>
      <c r="AG571" s="9">
        <f t="shared" si="347"/>
        <v>1344</v>
      </c>
      <c r="AH571" s="9">
        <f t="shared" si="348"/>
        <v>1344</v>
      </c>
      <c r="AI571" s="7">
        <f t="shared" si="360"/>
        <v>3634916.3416666668</v>
      </c>
      <c r="AJ571" s="7">
        <f t="shared" si="359"/>
        <v>3634916.3416666668</v>
      </c>
      <c r="AK571" s="7">
        <f t="shared" si="359"/>
        <v>3634916.3416666668</v>
      </c>
      <c r="AL571" s="7">
        <f t="shared" si="359"/>
        <v>3634916.3416666668</v>
      </c>
      <c r="AM571" s="7">
        <f t="shared" si="359"/>
        <v>3634916.3416666668</v>
      </c>
      <c r="AN571" s="7">
        <f t="shared" si="359"/>
        <v>3634916.3416666668</v>
      </c>
      <c r="AO571" s="16"/>
      <c r="AP571" s="7"/>
      <c r="AQ571" s="9">
        <v>9</v>
      </c>
      <c r="AR571" s="9">
        <f t="shared" si="349"/>
        <v>1553</v>
      </c>
      <c r="AS571" s="7">
        <f t="shared" si="358"/>
        <v>384</v>
      </c>
      <c r="AT571" s="7"/>
      <c r="AU571" s="16"/>
      <c r="AV571" s="7"/>
      <c r="AW571" s="7"/>
      <c r="AX571" s="7"/>
      <c r="AZ571" s="7"/>
      <c r="BA571" s="9">
        <f t="shared" si="361"/>
        <v>2930331.5200000023</v>
      </c>
      <c r="BC571" s="5" t="e">
        <f t="shared" si="350"/>
        <v>#N/A</v>
      </c>
      <c r="BR571" s="5">
        <v>4205041</v>
      </c>
      <c r="BS571" s="18">
        <f>[1]monsters!$N571</f>
        <v>87.36</v>
      </c>
      <c r="BT571" s="18">
        <f>[1]monsters!$O571</f>
        <v>8.74</v>
      </c>
      <c r="BU571" s="18">
        <f>[1]monsters!$P571</f>
        <v>1493.33</v>
      </c>
      <c r="BV571" s="18">
        <f>[1]monsters!$Q571</f>
        <v>149.33000000000001</v>
      </c>
      <c r="BW571" s="18">
        <f>[1]monsters!$R571</f>
        <v>17.47</v>
      </c>
      <c r="BX571" s="18">
        <f>[1]monsters!$S571</f>
        <v>1.75</v>
      </c>
      <c r="BY571" s="18">
        <f>[1]monsters!$K571</f>
        <v>1.3</v>
      </c>
      <c r="BZ571" s="5">
        <f>[1]monsters!$D571</f>
        <v>2</v>
      </c>
      <c r="CA571" s="5">
        <f t="shared" si="351"/>
        <v>0.1</v>
      </c>
      <c r="CB571" s="5">
        <f t="shared" si="352"/>
        <v>132.83567138047138</v>
      </c>
      <c r="CC571" s="5">
        <f t="shared" si="353"/>
        <v>13.28356713804714</v>
      </c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>
        <v>0</v>
      </c>
      <c r="CR571" s="3" t="b">
        <f t="shared" si="325"/>
        <v>1</v>
      </c>
      <c r="CS571" s="3" t="b">
        <f t="shared" si="326"/>
        <v>1</v>
      </c>
      <c r="CT571" s="3" t="b">
        <f t="shared" si="327"/>
        <v>1</v>
      </c>
      <c r="CU571" s="3" t="b">
        <f t="shared" si="328"/>
        <v>1</v>
      </c>
      <c r="CV571" s="3" t="b">
        <f t="shared" si="329"/>
        <v>1</v>
      </c>
      <c r="CW571" s="3" t="b">
        <f t="shared" si="330"/>
        <v>1</v>
      </c>
      <c r="CX571" s="9" t="str">
        <f t="shared" si="331"/>
        <v>5202133</v>
      </c>
      <c r="CY571" s="9" t="str">
        <f t="shared" si="332"/>
        <v>5202132</v>
      </c>
      <c r="CZ571" s="9" t="str">
        <f t="shared" si="333"/>
        <v>5201134</v>
      </c>
      <c r="DA571" s="9" t="str">
        <f t="shared" si="334"/>
        <v>5501134</v>
      </c>
      <c r="DB571" s="9" t="str">
        <f t="shared" si="335"/>
        <v>5500133</v>
      </c>
      <c r="DC571" s="9" t="str">
        <f t="shared" si="336"/>
        <v>5501134</v>
      </c>
      <c r="DD571" s="9">
        <v>13</v>
      </c>
      <c r="DE571" s="9">
        <v>13</v>
      </c>
      <c r="DF571" s="9">
        <v>13</v>
      </c>
      <c r="DG571" s="9">
        <v>13</v>
      </c>
      <c r="DH571" s="9">
        <v>13</v>
      </c>
      <c r="DI571" s="9">
        <v>13</v>
      </c>
      <c r="DJ571" s="9">
        <v>5</v>
      </c>
      <c r="DK571" s="9">
        <v>5</v>
      </c>
      <c r="DL571" s="9">
        <v>5</v>
      </c>
      <c r="DM571" s="9">
        <v>5</v>
      </c>
      <c r="DN571" s="9">
        <v>5</v>
      </c>
      <c r="DO571" s="9">
        <v>5</v>
      </c>
      <c r="DP571" s="25" t="s">
        <v>208</v>
      </c>
      <c r="DQ571" s="25" t="s">
        <v>200</v>
      </c>
      <c r="DR571" s="26" t="s">
        <v>217</v>
      </c>
      <c r="DS571" s="26" t="s">
        <v>214</v>
      </c>
      <c r="DT571" s="26" t="s">
        <v>207</v>
      </c>
      <c r="DU571" s="26" t="s">
        <v>214</v>
      </c>
      <c r="DV571" s="26">
        <f t="shared" si="337"/>
        <v>1</v>
      </c>
      <c r="DW571" s="26">
        <f t="shared" si="338"/>
        <v>1</v>
      </c>
      <c r="DX571" s="26">
        <f t="shared" si="339"/>
        <v>1</v>
      </c>
      <c r="DY571" s="26">
        <f t="shared" si="340"/>
        <v>2</v>
      </c>
      <c r="DZ571" s="26">
        <f t="shared" si="341"/>
        <v>2</v>
      </c>
      <c r="EA571" s="3">
        <f t="shared" si="342"/>
        <v>2</v>
      </c>
      <c r="EB571" s="45"/>
    </row>
    <row r="572" spans="1:132" ht="13.5" customHeight="1">
      <c r="A572" s="9">
        <v>569</v>
      </c>
      <c r="B572" s="9">
        <v>1</v>
      </c>
      <c r="C572" s="9">
        <v>2001</v>
      </c>
      <c r="D572" s="9">
        <f t="shared" si="357"/>
        <v>28868662</v>
      </c>
      <c r="E572" s="9" t="str">
        <f t="shared" si="354"/>
        <v>5202133,5202132,5301133,5601133,5500133,5502133</v>
      </c>
      <c r="F572" s="9" t="str">
        <f t="shared" si="355"/>
        <v>13,13,13,13,13,13</v>
      </c>
      <c r="G572" s="9" t="str">
        <f t="shared" si="356"/>
        <v>1245,1346,1346,1346,1346,1346</v>
      </c>
      <c r="H572" s="9">
        <v>267</v>
      </c>
      <c r="I572" s="9" t="s">
        <v>278</v>
      </c>
      <c r="J572" s="9" t="s">
        <v>279</v>
      </c>
      <c r="K572" s="9" t="s">
        <v>279</v>
      </c>
      <c r="L572" s="9" t="s">
        <v>279</v>
      </c>
      <c r="M572" s="36" t="s">
        <v>315</v>
      </c>
      <c r="N572" s="40"/>
      <c r="O572" s="3">
        <f t="shared" si="362"/>
        <v>28868662</v>
      </c>
      <c r="P572" s="9">
        <v>21870198.530000001</v>
      </c>
      <c r="Q572" s="9">
        <v>5202133</v>
      </c>
      <c r="R572" s="9">
        <v>5202132</v>
      </c>
      <c r="S572" s="9">
        <v>5301133</v>
      </c>
      <c r="T572" s="9">
        <v>5601133</v>
      </c>
      <c r="U572" s="9">
        <v>5500133</v>
      </c>
      <c r="V572" s="9">
        <v>5502133</v>
      </c>
      <c r="W572" s="9">
        <v>13</v>
      </c>
      <c r="X572" s="9">
        <v>13</v>
      </c>
      <c r="Y572" s="9">
        <v>13</v>
      </c>
      <c r="Z572" s="9">
        <v>13</v>
      </c>
      <c r="AA572" s="9">
        <v>13</v>
      </c>
      <c r="AB572" s="9">
        <v>13</v>
      </c>
      <c r="AC572" s="9">
        <f t="shared" si="343"/>
        <v>1245</v>
      </c>
      <c r="AD572" s="9">
        <f t="shared" si="344"/>
        <v>1346</v>
      </c>
      <c r="AE572" s="9">
        <f t="shared" si="345"/>
        <v>1346</v>
      </c>
      <c r="AF572" s="9">
        <f t="shared" si="346"/>
        <v>1346</v>
      </c>
      <c r="AG572" s="9">
        <f t="shared" si="347"/>
        <v>1346</v>
      </c>
      <c r="AH572" s="9">
        <f t="shared" si="348"/>
        <v>1346</v>
      </c>
      <c r="AI572" s="7">
        <f t="shared" si="360"/>
        <v>3645033.0883333334</v>
      </c>
      <c r="AJ572" s="7">
        <f t="shared" si="359"/>
        <v>3645033.0883333334</v>
      </c>
      <c r="AK572" s="7">
        <f t="shared" si="359"/>
        <v>3645033.0883333334</v>
      </c>
      <c r="AL572" s="7">
        <f t="shared" si="359"/>
        <v>3645033.0883333334</v>
      </c>
      <c r="AM572" s="7">
        <f t="shared" si="359"/>
        <v>3645033.0883333334</v>
      </c>
      <c r="AN572" s="7">
        <f t="shared" si="359"/>
        <v>3645033.0883333334</v>
      </c>
      <c r="AO572" s="16"/>
      <c r="AP572" s="7"/>
      <c r="AQ572" s="9">
        <v>9</v>
      </c>
      <c r="AR572" s="9">
        <f t="shared" si="349"/>
        <v>1555</v>
      </c>
      <c r="AS572" s="7">
        <f t="shared" si="358"/>
        <v>384</v>
      </c>
      <c r="AT572" s="7"/>
      <c r="AU572" s="16"/>
      <c r="AV572" s="7"/>
      <c r="AW572" s="7"/>
      <c r="AX572" s="7"/>
      <c r="AZ572" s="7"/>
      <c r="BA572" s="9">
        <f t="shared" si="361"/>
        <v>2952592.6600000025</v>
      </c>
      <c r="BC572" s="5" t="e">
        <f t="shared" si="350"/>
        <v>#N/A</v>
      </c>
      <c r="BR572" s="5">
        <v>4405041</v>
      </c>
      <c r="BS572" s="18">
        <f>[1]monsters!$N572</f>
        <v>116.48</v>
      </c>
      <c r="BT572" s="18">
        <f>[1]monsters!$O572</f>
        <v>11.65</v>
      </c>
      <c r="BU572" s="18">
        <f>[1]monsters!$P572</f>
        <v>1120</v>
      </c>
      <c r="BV572" s="18">
        <f>[1]monsters!$Q572</f>
        <v>112</v>
      </c>
      <c r="BW572" s="18">
        <f>[1]monsters!$R572</f>
        <v>11.65</v>
      </c>
      <c r="BX572" s="18">
        <f>[1]monsters!$S572</f>
        <v>1.1599999999999999</v>
      </c>
      <c r="BY572" s="18">
        <f>[1]monsters!$K572</f>
        <v>1.3</v>
      </c>
      <c r="BZ572" s="5">
        <f>[1]monsters!$D572</f>
        <v>4</v>
      </c>
      <c r="CA572" s="5">
        <f t="shared" si="351"/>
        <v>0.1</v>
      </c>
      <c r="CB572" s="5">
        <f t="shared" si="352"/>
        <v>147.78403771043773</v>
      </c>
      <c r="CC572" s="5">
        <f t="shared" si="353"/>
        <v>14.778403771043774</v>
      </c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>
        <v>0</v>
      </c>
      <c r="CR572" s="3" t="b">
        <f t="shared" si="325"/>
        <v>1</v>
      </c>
      <c r="CS572" s="3" t="b">
        <f t="shared" si="326"/>
        <v>1</v>
      </c>
      <c r="CT572" s="3" t="b">
        <f t="shared" si="327"/>
        <v>1</v>
      </c>
      <c r="CU572" s="3" t="b">
        <f t="shared" si="328"/>
        <v>1</v>
      </c>
      <c r="CV572" s="3" t="b">
        <f t="shared" si="329"/>
        <v>1</v>
      </c>
      <c r="CW572" s="3" t="b">
        <f t="shared" si="330"/>
        <v>1</v>
      </c>
      <c r="CX572" s="9" t="str">
        <f t="shared" si="331"/>
        <v>5202133</v>
      </c>
      <c r="CY572" s="9" t="str">
        <f t="shared" si="332"/>
        <v>5202132</v>
      </c>
      <c r="CZ572" s="9" t="str">
        <f t="shared" si="333"/>
        <v>5301133</v>
      </c>
      <c r="DA572" s="9" t="str">
        <f t="shared" si="334"/>
        <v>5601133</v>
      </c>
      <c r="DB572" s="9" t="str">
        <f t="shared" si="335"/>
        <v>5500133</v>
      </c>
      <c r="DC572" s="9" t="str">
        <f t="shared" si="336"/>
        <v>5502133</v>
      </c>
      <c r="DD572" s="9">
        <v>13</v>
      </c>
      <c r="DE572" s="9">
        <v>13</v>
      </c>
      <c r="DF572" s="9">
        <v>13</v>
      </c>
      <c r="DG572" s="9">
        <v>13</v>
      </c>
      <c r="DH572" s="9">
        <v>13</v>
      </c>
      <c r="DI572" s="9">
        <v>13</v>
      </c>
      <c r="DJ572" s="9">
        <v>5</v>
      </c>
      <c r="DK572" s="9">
        <v>5</v>
      </c>
      <c r="DL572" s="9">
        <v>5</v>
      </c>
      <c r="DM572" s="9">
        <v>5</v>
      </c>
      <c r="DN572" s="9">
        <v>5</v>
      </c>
      <c r="DO572" s="9">
        <v>5</v>
      </c>
      <c r="DP572" s="25" t="s">
        <v>208</v>
      </c>
      <c r="DQ572" s="25" t="s">
        <v>200</v>
      </c>
      <c r="DR572" s="25" t="s">
        <v>206</v>
      </c>
      <c r="DS572" s="25" t="s">
        <v>216</v>
      </c>
      <c r="DT572" s="26" t="s">
        <v>207</v>
      </c>
      <c r="DU572" s="26" t="s">
        <v>215</v>
      </c>
      <c r="DV572" s="26">
        <f t="shared" si="337"/>
        <v>1</v>
      </c>
      <c r="DW572" s="26">
        <f t="shared" si="338"/>
        <v>1</v>
      </c>
      <c r="DX572" s="26">
        <f t="shared" si="339"/>
        <v>1</v>
      </c>
      <c r="DY572" s="26">
        <f t="shared" si="340"/>
        <v>2</v>
      </c>
      <c r="DZ572" s="26">
        <f t="shared" si="341"/>
        <v>2</v>
      </c>
      <c r="EA572" s="3">
        <f t="shared" si="342"/>
        <v>2</v>
      </c>
      <c r="EB572" s="46"/>
    </row>
    <row r="573" spans="1:132" ht="13.5" customHeight="1">
      <c r="A573" s="9">
        <v>570</v>
      </c>
      <c r="B573" s="9">
        <v>1</v>
      </c>
      <c r="C573" s="9">
        <v>2001</v>
      </c>
      <c r="D573" s="9">
        <f t="shared" si="357"/>
        <v>28948898</v>
      </c>
      <c r="E573" s="9" t="str">
        <f t="shared" si="354"/>
        <v>5201133,5201133,5201133,5402133,5402133,5402133</v>
      </c>
      <c r="F573" s="9" t="str">
        <f t="shared" si="355"/>
        <v>13,13,13,13,13,13</v>
      </c>
      <c r="G573" s="9" t="str">
        <f t="shared" si="356"/>
        <v>1247,1348,1348,1348,1348,1348</v>
      </c>
      <c r="H573" s="9">
        <v>268</v>
      </c>
      <c r="I573" s="9" t="s">
        <v>278</v>
      </c>
      <c r="J573" s="9" t="s">
        <v>279</v>
      </c>
      <c r="K573" s="9" t="s">
        <v>279</v>
      </c>
      <c r="L573" s="9" t="s">
        <v>279</v>
      </c>
      <c r="M573" s="36" t="s">
        <v>315</v>
      </c>
      <c r="O573" s="3">
        <f t="shared" si="362"/>
        <v>28948898</v>
      </c>
      <c r="P573" s="9">
        <v>21930983.41</v>
      </c>
      <c r="Q573" s="9">
        <v>5201133</v>
      </c>
      <c r="R573" s="9">
        <v>5201133</v>
      </c>
      <c r="S573" s="9">
        <v>5201133</v>
      </c>
      <c r="T573" s="9">
        <v>5402133</v>
      </c>
      <c r="U573" s="9">
        <v>5402133</v>
      </c>
      <c r="V573" s="9">
        <v>5402133</v>
      </c>
      <c r="W573" s="9">
        <v>13</v>
      </c>
      <c r="X573" s="9">
        <v>13</v>
      </c>
      <c r="Y573" s="9">
        <v>13</v>
      </c>
      <c r="Z573" s="9">
        <v>13</v>
      </c>
      <c r="AA573" s="9">
        <v>13</v>
      </c>
      <c r="AB573" s="9">
        <v>13</v>
      </c>
      <c r="AC573" s="9">
        <f t="shared" si="343"/>
        <v>1247</v>
      </c>
      <c r="AD573" s="9">
        <f t="shared" si="344"/>
        <v>1348</v>
      </c>
      <c r="AE573" s="9">
        <f t="shared" si="345"/>
        <v>1348</v>
      </c>
      <c r="AF573" s="9">
        <f t="shared" si="346"/>
        <v>1348</v>
      </c>
      <c r="AG573" s="9">
        <f t="shared" si="347"/>
        <v>1348</v>
      </c>
      <c r="AH573" s="9">
        <f t="shared" si="348"/>
        <v>1348</v>
      </c>
      <c r="AI573" s="7">
        <f t="shared" si="360"/>
        <v>3655163.9016666668</v>
      </c>
      <c r="AJ573" s="7">
        <f t="shared" si="359"/>
        <v>3655163.9016666668</v>
      </c>
      <c r="AK573" s="7">
        <f t="shared" si="359"/>
        <v>3655163.9016666668</v>
      </c>
      <c r="AL573" s="7">
        <f t="shared" si="359"/>
        <v>3655163.9016666668</v>
      </c>
      <c r="AM573" s="7">
        <f t="shared" si="359"/>
        <v>3655163.9016666668</v>
      </c>
      <c r="AN573" s="7">
        <f t="shared" si="359"/>
        <v>3655163.9016666668</v>
      </c>
      <c r="AO573" s="16"/>
      <c r="AP573" s="7"/>
      <c r="AQ573" s="9">
        <v>9</v>
      </c>
      <c r="AR573" s="9">
        <f t="shared" si="349"/>
        <v>1558</v>
      </c>
      <c r="AS573" s="7">
        <f t="shared" si="358"/>
        <v>385</v>
      </c>
      <c r="AT573" s="7"/>
      <c r="AU573" s="16"/>
      <c r="AV573" s="7"/>
      <c r="AW573" s="7"/>
      <c r="AX573" s="7"/>
      <c r="AZ573" s="7"/>
      <c r="BA573" s="9">
        <f t="shared" si="361"/>
        <v>2974853.8000000026</v>
      </c>
      <c r="BC573" s="5" t="e">
        <f t="shared" si="350"/>
        <v>#N/A</v>
      </c>
      <c r="BR573" s="5">
        <v>4203041</v>
      </c>
      <c r="BS573" s="18">
        <f>[1]monsters!$N573</f>
        <v>120.96</v>
      </c>
      <c r="BT573" s="18">
        <f>[1]monsters!$O573</f>
        <v>12.1</v>
      </c>
      <c r="BU573" s="18">
        <f>[1]monsters!$P573</f>
        <v>1493.33</v>
      </c>
      <c r="BV573" s="18">
        <f>[1]monsters!$Q573</f>
        <v>149.33000000000001</v>
      </c>
      <c r="BW573" s="18">
        <f>[1]monsters!$R573</f>
        <v>24.19</v>
      </c>
      <c r="BX573" s="18">
        <f>[1]monsters!$S573</f>
        <v>2.42</v>
      </c>
      <c r="BY573" s="18">
        <f>[1]monsters!$K573</f>
        <v>1.8</v>
      </c>
      <c r="BZ573" s="5">
        <f>[1]monsters!$D573</f>
        <v>2</v>
      </c>
      <c r="CA573" s="5">
        <f t="shared" si="351"/>
        <v>0.1</v>
      </c>
      <c r="CB573" s="5">
        <f t="shared" si="352"/>
        <v>164.58767138047136</v>
      </c>
      <c r="CC573" s="5">
        <f t="shared" si="353"/>
        <v>16.458767138047136</v>
      </c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>
        <v>1</v>
      </c>
      <c r="CR573" s="3" t="b">
        <f t="shared" si="325"/>
        <v>1</v>
      </c>
      <c r="CS573" s="3" t="b">
        <f t="shared" si="326"/>
        <v>1</v>
      </c>
      <c r="CT573" s="3" t="b">
        <f t="shared" si="327"/>
        <v>1</v>
      </c>
      <c r="CU573" s="3" t="b">
        <f t="shared" si="328"/>
        <v>1</v>
      </c>
      <c r="CV573" s="3" t="b">
        <f t="shared" si="329"/>
        <v>1</v>
      </c>
      <c r="CW573" s="3" t="b">
        <f t="shared" si="330"/>
        <v>1</v>
      </c>
      <c r="CX573" s="9" t="str">
        <f t="shared" si="331"/>
        <v>5201133</v>
      </c>
      <c r="CY573" s="9" t="str">
        <f t="shared" si="332"/>
        <v>5201133</v>
      </c>
      <c r="CZ573" s="9" t="str">
        <f t="shared" si="333"/>
        <v>5201133</v>
      </c>
      <c r="DA573" s="9" t="str">
        <f t="shared" si="334"/>
        <v>5402133</v>
      </c>
      <c r="DB573" s="9" t="str">
        <f t="shared" si="335"/>
        <v>5402133</v>
      </c>
      <c r="DC573" s="9" t="str">
        <f t="shared" si="336"/>
        <v>5402133</v>
      </c>
      <c r="DD573" s="9">
        <v>13</v>
      </c>
      <c r="DE573" s="9">
        <v>13</v>
      </c>
      <c r="DF573" s="9">
        <v>13</v>
      </c>
      <c r="DG573" s="9">
        <v>13</v>
      </c>
      <c r="DH573" s="9">
        <v>13</v>
      </c>
      <c r="DI573" s="9">
        <v>13</v>
      </c>
      <c r="DJ573" s="9">
        <v>5</v>
      </c>
      <c r="DK573" s="9">
        <v>5</v>
      </c>
      <c r="DL573" s="9">
        <v>5</v>
      </c>
      <c r="DM573" s="9">
        <v>5</v>
      </c>
      <c r="DN573" s="9">
        <v>5</v>
      </c>
      <c r="DO573" s="9">
        <v>5</v>
      </c>
      <c r="DP573" s="25" t="s">
        <v>205</v>
      </c>
      <c r="DQ573" s="25" t="s">
        <v>205</v>
      </c>
      <c r="DR573" s="25" t="s">
        <v>205</v>
      </c>
      <c r="DS573" s="26" t="s">
        <v>118</v>
      </c>
      <c r="DT573" s="26" t="s">
        <v>118</v>
      </c>
      <c r="DU573" s="26" t="s">
        <v>118</v>
      </c>
      <c r="DV573" s="26">
        <f t="shared" si="337"/>
        <v>1</v>
      </c>
      <c r="DW573" s="26">
        <f t="shared" si="338"/>
        <v>1</v>
      </c>
      <c r="DX573" s="26">
        <f t="shared" si="339"/>
        <v>1</v>
      </c>
      <c r="DY573" s="26">
        <f t="shared" si="340"/>
        <v>2</v>
      </c>
      <c r="DZ573" s="26">
        <f t="shared" si="341"/>
        <v>2</v>
      </c>
      <c r="EA573" s="3">
        <f t="shared" si="342"/>
        <v>2</v>
      </c>
      <c r="EB573" s="45"/>
    </row>
    <row r="574" spans="1:132" ht="13.5" customHeight="1">
      <c r="A574" s="9">
        <v>571</v>
      </c>
      <c r="B574" s="9">
        <v>1</v>
      </c>
      <c r="C574" s="9">
        <v>2001</v>
      </c>
      <c r="D574" s="9">
        <f t="shared" si="357"/>
        <v>29029246</v>
      </c>
      <c r="E574" s="9" t="str">
        <f t="shared" si="354"/>
        <v>5300135,5202135,5202135,5502132,5500132,5502133</v>
      </c>
      <c r="F574" s="9" t="str">
        <f t="shared" si="355"/>
        <v>13,13,13,13,13,13</v>
      </c>
      <c r="G574" s="9" t="str">
        <f t="shared" si="356"/>
        <v>1249,1349,1349,1349,1349,1349</v>
      </c>
      <c r="H574" s="9">
        <v>268</v>
      </c>
      <c r="I574" s="9" t="s">
        <v>278</v>
      </c>
      <c r="J574" s="9" t="s">
        <v>279</v>
      </c>
      <c r="K574" s="9" t="s">
        <v>279</v>
      </c>
      <c r="L574" s="9" t="s">
        <v>279</v>
      </c>
      <c r="M574" s="36" t="s">
        <v>316</v>
      </c>
      <c r="N574" s="40"/>
      <c r="O574" s="3">
        <f t="shared" si="362"/>
        <v>29029246</v>
      </c>
      <c r="P574" s="9">
        <v>21991852.690000001</v>
      </c>
      <c r="Q574" s="9">
        <v>5300135</v>
      </c>
      <c r="R574" s="9">
        <v>5202135</v>
      </c>
      <c r="S574" s="9">
        <v>5202135</v>
      </c>
      <c r="T574" s="9">
        <v>5502132</v>
      </c>
      <c r="U574" s="9">
        <v>5500132</v>
      </c>
      <c r="V574" s="9">
        <v>5502133</v>
      </c>
      <c r="W574" s="9">
        <v>13</v>
      </c>
      <c r="X574" s="9">
        <v>13</v>
      </c>
      <c r="Y574" s="9">
        <v>13</v>
      </c>
      <c r="Z574" s="9">
        <v>13</v>
      </c>
      <c r="AA574" s="9">
        <v>13</v>
      </c>
      <c r="AB574" s="9">
        <v>13</v>
      </c>
      <c r="AC574" s="9">
        <f t="shared" si="343"/>
        <v>1249</v>
      </c>
      <c r="AD574" s="9">
        <f t="shared" si="344"/>
        <v>1349</v>
      </c>
      <c r="AE574" s="9">
        <f t="shared" si="345"/>
        <v>1349</v>
      </c>
      <c r="AF574" s="9">
        <f t="shared" si="346"/>
        <v>1349</v>
      </c>
      <c r="AG574" s="9">
        <f t="shared" si="347"/>
        <v>1349</v>
      </c>
      <c r="AH574" s="9">
        <f t="shared" si="348"/>
        <v>1349</v>
      </c>
      <c r="AI574" s="7">
        <f t="shared" si="360"/>
        <v>3665308.7816666667</v>
      </c>
      <c r="AJ574" s="7">
        <f t="shared" si="359"/>
        <v>3665308.7816666667</v>
      </c>
      <c r="AK574" s="7">
        <f t="shared" si="359"/>
        <v>3665308.7816666667</v>
      </c>
      <c r="AL574" s="7">
        <f t="shared" si="359"/>
        <v>3665308.7816666667</v>
      </c>
      <c r="AM574" s="7">
        <f t="shared" si="359"/>
        <v>3665308.7816666667</v>
      </c>
      <c r="AN574" s="7">
        <f t="shared" si="359"/>
        <v>3665308.7816666667</v>
      </c>
      <c r="AO574" s="16"/>
      <c r="AP574" s="7"/>
      <c r="AQ574" s="9">
        <v>9</v>
      </c>
      <c r="AR574" s="9">
        <f t="shared" si="349"/>
        <v>1560</v>
      </c>
      <c r="AS574" s="7">
        <f t="shared" si="358"/>
        <v>385</v>
      </c>
      <c r="AT574" s="7"/>
      <c r="AU574" s="16"/>
      <c r="AV574" s="7"/>
      <c r="AW574" s="7"/>
      <c r="AX574" s="7"/>
      <c r="AZ574" s="7"/>
      <c r="BA574" s="9">
        <f t="shared" si="361"/>
        <v>2997114.9400000027</v>
      </c>
      <c r="BC574" s="5" t="e">
        <f t="shared" si="350"/>
        <v>#N/A</v>
      </c>
      <c r="BR574" s="5">
        <v>4403041</v>
      </c>
      <c r="BS574" s="18">
        <f>[1]monsters!$N574</f>
        <v>140</v>
      </c>
      <c r="BT574" s="18">
        <f>[1]monsters!$O574</f>
        <v>14</v>
      </c>
      <c r="BU574" s="18">
        <f>[1]monsters!$P574</f>
        <v>1075.2</v>
      </c>
      <c r="BV574" s="18">
        <f>[1]monsters!$Q574</f>
        <v>107.52</v>
      </c>
      <c r="BW574" s="18">
        <f>[1]monsters!$R574</f>
        <v>14</v>
      </c>
      <c r="BX574" s="18">
        <f>[1]monsters!$S574</f>
        <v>1.4</v>
      </c>
      <c r="BY574" s="18">
        <f>[1]monsters!$K574</f>
        <v>1.5</v>
      </c>
      <c r="BZ574" s="5">
        <f>[1]monsters!$D574</f>
        <v>4</v>
      </c>
      <c r="CA574" s="5">
        <f t="shared" si="351"/>
        <v>0.1</v>
      </c>
      <c r="CB574" s="5">
        <f t="shared" si="352"/>
        <v>168.50202020202022</v>
      </c>
      <c r="CC574" s="5">
        <f t="shared" si="353"/>
        <v>16.850202020202023</v>
      </c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>
        <v>0</v>
      </c>
      <c r="CR574" s="3" t="b">
        <f t="shared" si="325"/>
        <v>1</v>
      </c>
      <c r="CS574" s="3" t="b">
        <f t="shared" si="326"/>
        <v>1</v>
      </c>
      <c r="CT574" s="3" t="b">
        <f t="shared" si="327"/>
        <v>1</v>
      </c>
      <c r="CU574" s="3" t="b">
        <f t="shared" si="328"/>
        <v>1</v>
      </c>
      <c r="CV574" s="3" t="b">
        <f t="shared" si="329"/>
        <v>1</v>
      </c>
      <c r="CW574" s="3" t="b">
        <f t="shared" si="330"/>
        <v>1</v>
      </c>
      <c r="CX574" s="9" t="str">
        <f t="shared" si="331"/>
        <v>5300135</v>
      </c>
      <c r="CY574" s="9" t="str">
        <f t="shared" si="332"/>
        <v>5202135</v>
      </c>
      <c r="CZ574" s="9" t="str">
        <f t="shared" si="333"/>
        <v>5202135</v>
      </c>
      <c r="DA574" s="9" t="str">
        <f t="shared" si="334"/>
        <v>5502132</v>
      </c>
      <c r="DB574" s="9" t="str">
        <f t="shared" si="335"/>
        <v>5500132</v>
      </c>
      <c r="DC574" s="9" t="str">
        <f t="shared" si="336"/>
        <v>5502133</v>
      </c>
      <c r="DD574" s="9">
        <v>13</v>
      </c>
      <c r="DE574" s="9">
        <v>13</v>
      </c>
      <c r="DF574" s="9">
        <v>13</v>
      </c>
      <c r="DG574" s="9">
        <v>13</v>
      </c>
      <c r="DH574" s="9">
        <v>13</v>
      </c>
      <c r="DI574" s="9">
        <v>13</v>
      </c>
      <c r="DJ574" s="9">
        <v>5</v>
      </c>
      <c r="DK574" s="9">
        <v>5</v>
      </c>
      <c r="DL574" s="9">
        <v>5</v>
      </c>
      <c r="DM574" s="9">
        <v>5</v>
      </c>
      <c r="DN574" s="9">
        <v>5</v>
      </c>
      <c r="DO574" s="9">
        <v>5</v>
      </c>
      <c r="DP574" s="25" t="s">
        <v>212</v>
      </c>
      <c r="DQ574" s="25" t="s">
        <v>213</v>
      </c>
      <c r="DR574" s="25" t="s">
        <v>213</v>
      </c>
      <c r="DS574" s="26" t="s">
        <v>204</v>
      </c>
      <c r="DT574" s="26" t="s">
        <v>109</v>
      </c>
      <c r="DU574" s="26" t="s">
        <v>215</v>
      </c>
      <c r="DV574" s="26">
        <f t="shared" si="337"/>
        <v>1</v>
      </c>
      <c r="DW574" s="26">
        <f t="shared" si="338"/>
        <v>1</v>
      </c>
      <c r="DX574" s="26">
        <f t="shared" si="339"/>
        <v>1</v>
      </c>
      <c r="DY574" s="26">
        <f t="shared" si="340"/>
        <v>2</v>
      </c>
      <c r="DZ574" s="26">
        <f t="shared" si="341"/>
        <v>2</v>
      </c>
      <c r="EA574" s="3">
        <f t="shared" si="342"/>
        <v>2</v>
      </c>
      <c r="EB574" s="45"/>
    </row>
    <row r="575" spans="1:132" ht="13.5" customHeight="1">
      <c r="A575" s="9">
        <v>572</v>
      </c>
      <c r="B575" s="9">
        <v>1</v>
      </c>
      <c r="C575" s="9">
        <v>2001</v>
      </c>
      <c r="D575" s="9">
        <f t="shared" si="357"/>
        <v>29109704</v>
      </c>
      <c r="E575" s="9" t="str">
        <f t="shared" si="354"/>
        <v>5200132,5200133,5200132,5401131,5501135,5400135</v>
      </c>
      <c r="F575" s="9" t="str">
        <f t="shared" si="355"/>
        <v>13,13,13,13,13,13</v>
      </c>
      <c r="G575" s="9" t="str">
        <f t="shared" si="356"/>
        <v>1250,1351,1351,1351,1351,1351</v>
      </c>
      <c r="H575" s="9">
        <v>268</v>
      </c>
      <c r="I575" s="9" t="s">
        <v>278</v>
      </c>
      <c r="J575" s="9" t="s">
        <v>279</v>
      </c>
      <c r="K575" s="9" t="s">
        <v>279</v>
      </c>
      <c r="L575" s="9" t="s">
        <v>279</v>
      </c>
      <c r="M575" s="36" t="s">
        <v>316</v>
      </c>
      <c r="N575" s="40"/>
      <c r="O575" s="3">
        <f t="shared" si="362"/>
        <v>29109704</v>
      </c>
      <c r="P575" s="9">
        <v>22052806.370000001</v>
      </c>
      <c r="Q575" s="9">
        <v>5200132</v>
      </c>
      <c r="R575" s="9">
        <v>5200133</v>
      </c>
      <c r="S575" s="9">
        <v>5200132</v>
      </c>
      <c r="T575" s="9">
        <v>5401131</v>
      </c>
      <c r="U575" s="9">
        <v>5501135</v>
      </c>
      <c r="V575" s="9">
        <v>5400135</v>
      </c>
      <c r="W575" s="9">
        <v>13</v>
      </c>
      <c r="X575" s="9">
        <v>13</v>
      </c>
      <c r="Y575" s="9">
        <v>13</v>
      </c>
      <c r="Z575" s="9">
        <v>13</v>
      </c>
      <c r="AA575" s="9">
        <v>13</v>
      </c>
      <c r="AB575" s="9">
        <v>13</v>
      </c>
      <c r="AC575" s="9">
        <f t="shared" si="343"/>
        <v>1250</v>
      </c>
      <c r="AD575" s="9">
        <f t="shared" si="344"/>
        <v>1351</v>
      </c>
      <c r="AE575" s="9">
        <f t="shared" si="345"/>
        <v>1351</v>
      </c>
      <c r="AF575" s="9">
        <f t="shared" si="346"/>
        <v>1351</v>
      </c>
      <c r="AG575" s="9">
        <f t="shared" si="347"/>
        <v>1351</v>
      </c>
      <c r="AH575" s="9">
        <f t="shared" si="348"/>
        <v>1351</v>
      </c>
      <c r="AI575" s="7">
        <f t="shared" si="360"/>
        <v>3675467.7283333335</v>
      </c>
      <c r="AJ575" s="7">
        <f t="shared" si="359"/>
        <v>3675467.7283333335</v>
      </c>
      <c r="AK575" s="7">
        <f t="shared" si="359"/>
        <v>3675467.7283333335</v>
      </c>
      <c r="AL575" s="7">
        <f t="shared" si="359"/>
        <v>3675467.7283333335</v>
      </c>
      <c r="AM575" s="7">
        <f t="shared" si="359"/>
        <v>3675467.7283333335</v>
      </c>
      <c r="AN575" s="7">
        <f t="shared" si="359"/>
        <v>3675467.7283333335</v>
      </c>
      <c r="AO575" s="16"/>
      <c r="AP575" s="7"/>
      <c r="AQ575" s="9">
        <v>9</v>
      </c>
      <c r="AR575" s="9">
        <f t="shared" si="349"/>
        <v>1562</v>
      </c>
      <c r="AS575" s="7">
        <f t="shared" si="358"/>
        <v>386</v>
      </c>
      <c r="AT575" s="7"/>
      <c r="AU575" s="16"/>
      <c r="AV575" s="7"/>
      <c r="AW575" s="7"/>
      <c r="AX575" s="7"/>
      <c r="AZ575" s="7"/>
      <c r="BA575" s="9">
        <f t="shared" si="361"/>
        <v>3019376.0800000029</v>
      </c>
      <c r="BC575" s="5" t="e">
        <f t="shared" si="350"/>
        <v>#N/A</v>
      </c>
      <c r="BR575" s="5">
        <v>4204041</v>
      </c>
      <c r="BS575" s="18">
        <f>[1]monsters!$N575</f>
        <v>106.77</v>
      </c>
      <c r="BT575" s="18">
        <f>[1]monsters!$O575</f>
        <v>10.68</v>
      </c>
      <c r="BU575" s="18">
        <f>[1]monsters!$P575</f>
        <v>1221.82</v>
      </c>
      <c r="BV575" s="18">
        <f>[1]monsters!$Q575</f>
        <v>122.18</v>
      </c>
      <c r="BW575" s="18">
        <f>[1]monsters!$R575</f>
        <v>13.35</v>
      </c>
      <c r="BX575" s="18">
        <f>[1]monsters!$S575</f>
        <v>1.33</v>
      </c>
      <c r="BY575" s="18">
        <f>[1]monsters!$K575</f>
        <v>1.3</v>
      </c>
      <c r="BZ575" s="5">
        <f>[1]monsters!$D575</f>
        <v>3</v>
      </c>
      <c r="CA575" s="5">
        <f t="shared" si="351"/>
        <v>0.1</v>
      </c>
      <c r="CB575" s="5">
        <f t="shared" si="352"/>
        <v>142.03637053872055</v>
      </c>
      <c r="CC575" s="5">
        <f t="shared" si="353"/>
        <v>14.203637053872056</v>
      </c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>
        <v>0</v>
      </c>
      <c r="CR575" s="3" t="b">
        <f t="shared" si="325"/>
        <v>1</v>
      </c>
      <c r="CS575" s="3" t="b">
        <f t="shared" si="326"/>
        <v>1</v>
      </c>
      <c r="CT575" s="3" t="b">
        <f t="shared" si="327"/>
        <v>1</v>
      </c>
      <c r="CU575" s="3" t="b">
        <f t="shared" si="328"/>
        <v>1</v>
      </c>
      <c r="CV575" s="3" t="b">
        <f t="shared" si="329"/>
        <v>1</v>
      </c>
      <c r="CW575" s="3" t="b">
        <f t="shared" si="330"/>
        <v>1</v>
      </c>
      <c r="CX575" s="9" t="str">
        <f t="shared" si="331"/>
        <v>5200132</v>
      </c>
      <c r="CY575" s="9" t="str">
        <f t="shared" si="332"/>
        <v>5200133</v>
      </c>
      <c r="CZ575" s="9" t="str">
        <f t="shared" si="333"/>
        <v>5200132</v>
      </c>
      <c r="DA575" s="9" t="str">
        <f t="shared" si="334"/>
        <v>5401131</v>
      </c>
      <c r="DB575" s="9" t="str">
        <f t="shared" si="335"/>
        <v>5501135</v>
      </c>
      <c r="DC575" s="9" t="str">
        <f t="shared" si="336"/>
        <v>5400135</v>
      </c>
      <c r="DD575" s="9">
        <v>13</v>
      </c>
      <c r="DE575" s="9">
        <v>13</v>
      </c>
      <c r="DF575" s="9">
        <v>13</v>
      </c>
      <c r="DG575" s="9">
        <v>13</v>
      </c>
      <c r="DH575" s="9">
        <v>13</v>
      </c>
      <c r="DI575" s="9">
        <v>13</v>
      </c>
      <c r="DJ575" s="9">
        <v>5</v>
      </c>
      <c r="DK575" s="9">
        <v>5</v>
      </c>
      <c r="DL575" s="9">
        <v>5</v>
      </c>
      <c r="DM575" s="9">
        <v>5</v>
      </c>
      <c r="DN575" s="9">
        <v>5</v>
      </c>
      <c r="DO575" s="9">
        <v>5</v>
      </c>
      <c r="DP575" s="25" t="s">
        <v>199</v>
      </c>
      <c r="DQ575" s="25" t="s">
        <v>113</v>
      </c>
      <c r="DR575" s="25" t="s">
        <v>199</v>
      </c>
      <c r="DS575" s="26" t="s">
        <v>117</v>
      </c>
      <c r="DT575" s="26" t="s">
        <v>209</v>
      </c>
      <c r="DU575" s="26" t="s">
        <v>210</v>
      </c>
      <c r="DV575" s="26">
        <f t="shared" si="337"/>
        <v>1</v>
      </c>
      <c r="DW575" s="26">
        <f t="shared" si="338"/>
        <v>1</v>
      </c>
      <c r="DX575" s="26">
        <f t="shared" si="339"/>
        <v>1</v>
      </c>
      <c r="DY575" s="26">
        <f t="shared" si="340"/>
        <v>2</v>
      </c>
      <c r="DZ575" s="26">
        <f t="shared" si="341"/>
        <v>2</v>
      </c>
      <c r="EA575" s="3">
        <f t="shared" si="342"/>
        <v>2</v>
      </c>
      <c r="EB575" s="45"/>
    </row>
    <row r="576" spans="1:132" ht="13.5" customHeight="1">
      <c r="A576" s="9">
        <v>573</v>
      </c>
      <c r="B576" s="9">
        <v>1</v>
      </c>
      <c r="C576" s="9">
        <v>2001</v>
      </c>
      <c r="D576" s="9">
        <f t="shared" si="357"/>
        <v>29190275</v>
      </c>
      <c r="E576" s="9" t="str">
        <f t="shared" si="354"/>
        <v>5202131,5202132,5301132,5502131,5500131,5502131</v>
      </c>
      <c r="F576" s="9" t="str">
        <f t="shared" si="355"/>
        <v>13,13,13,13,13,13</v>
      </c>
      <c r="G576" s="9" t="str">
        <f t="shared" si="356"/>
        <v>1252,1353,1353,1353,1353,1353</v>
      </c>
      <c r="H576" s="9">
        <v>269</v>
      </c>
      <c r="I576" s="9" t="s">
        <v>278</v>
      </c>
      <c r="J576" s="9" t="s">
        <v>279</v>
      </c>
      <c r="K576" s="9" t="s">
        <v>279</v>
      </c>
      <c r="L576" s="9" t="s">
        <v>279</v>
      </c>
      <c r="M576" s="36" t="s">
        <v>316</v>
      </c>
      <c r="N576" s="40"/>
      <c r="O576" s="3">
        <f t="shared" si="362"/>
        <v>29190275</v>
      </c>
      <c r="P576" s="9">
        <v>22113844.449999999</v>
      </c>
      <c r="Q576" s="9">
        <v>5202131</v>
      </c>
      <c r="R576" s="9">
        <v>5202132</v>
      </c>
      <c r="S576" s="9">
        <v>5301132</v>
      </c>
      <c r="T576" s="9">
        <v>5502131</v>
      </c>
      <c r="U576" s="9">
        <v>5500131</v>
      </c>
      <c r="V576" s="9">
        <v>5502131</v>
      </c>
      <c r="W576" s="9">
        <v>13</v>
      </c>
      <c r="X576" s="9">
        <v>13</v>
      </c>
      <c r="Y576" s="9">
        <v>13</v>
      </c>
      <c r="Z576" s="9">
        <v>13</v>
      </c>
      <c r="AA576" s="9">
        <v>13</v>
      </c>
      <c r="AB576" s="9">
        <v>13</v>
      </c>
      <c r="AC576" s="9">
        <f t="shared" si="343"/>
        <v>1252</v>
      </c>
      <c r="AD576" s="9">
        <f t="shared" si="344"/>
        <v>1353</v>
      </c>
      <c r="AE576" s="9">
        <f t="shared" si="345"/>
        <v>1353</v>
      </c>
      <c r="AF576" s="9">
        <f t="shared" si="346"/>
        <v>1353</v>
      </c>
      <c r="AG576" s="9">
        <f t="shared" si="347"/>
        <v>1353</v>
      </c>
      <c r="AH576" s="9">
        <f t="shared" si="348"/>
        <v>1353</v>
      </c>
      <c r="AI576" s="7">
        <f t="shared" si="360"/>
        <v>3685640.7416666667</v>
      </c>
      <c r="AJ576" s="7">
        <f t="shared" si="359"/>
        <v>3685640.7416666667</v>
      </c>
      <c r="AK576" s="7">
        <f t="shared" si="359"/>
        <v>3685640.7416666667</v>
      </c>
      <c r="AL576" s="7">
        <f t="shared" si="359"/>
        <v>3685640.7416666667</v>
      </c>
      <c r="AM576" s="7">
        <f t="shared" si="359"/>
        <v>3685640.7416666667</v>
      </c>
      <c r="AN576" s="7">
        <f t="shared" si="359"/>
        <v>3685640.7416666667</v>
      </c>
      <c r="AO576" s="16"/>
      <c r="AP576" s="7"/>
      <c r="AQ576" s="9">
        <v>9</v>
      </c>
      <c r="AR576" s="9">
        <f t="shared" si="349"/>
        <v>1564</v>
      </c>
      <c r="AS576" s="7">
        <f t="shared" si="358"/>
        <v>386</v>
      </c>
      <c r="AT576" s="7"/>
      <c r="AU576" s="16"/>
      <c r="AV576" s="7"/>
      <c r="AW576" s="7"/>
      <c r="AX576" s="7"/>
      <c r="AZ576" s="7"/>
      <c r="BA576" s="9">
        <f t="shared" si="361"/>
        <v>3041637.220000003</v>
      </c>
      <c r="BC576" s="5" t="e">
        <f t="shared" si="350"/>
        <v>#N/A</v>
      </c>
      <c r="BR576" s="5">
        <v>4404041</v>
      </c>
      <c r="BS576" s="18">
        <f>[1]monsters!$N576</f>
        <v>147.84</v>
      </c>
      <c r="BT576" s="18">
        <f>[1]monsters!$O576</f>
        <v>14.78</v>
      </c>
      <c r="BU576" s="18">
        <f>[1]monsters!$P576</f>
        <v>1221.82</v>
      </c>
      <c r="BV576" s="18">
        <f>[1]monsters!$Q576</f>
        <v>122.18</v>
      </c>
      <c r="BW576" s="18">
        <f>[1]monsters!$R576</f>
        <v>24.64</v>
      </c>
      <c r="BX576" s="18">
        <f>[1]monsters!$S576</f>
        <v>2.46</v>
      </c>
      <c r="BY576" s="18">
        <f>[1]monsters!$K576</f>
        <v>1.8</v>
      </c>
      <c r="BZ576" s="5">
        <f>[1]monsters!$D576</f>
        <v>5</v>
      </c>
      <c r="CA576" s="5">
        <f t="shared" si="351"/>
        <v>0.1</v>
      </c>
      <c r="CB576" s="5">
        <f t="shared" si="352"/>
        <v>180.84752053872052</v>
      </c>
      <c r="CC576" s="5">
        <f t="shared" si="353"/>
        <v>18.084752053872052</v>
      </c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>
        <v>0</v>
      </c>
      <c r="CR576" s="3" t="b">
        <f t="shared" si="325"/>
        <v>1</v>
      </c>
      <c r="CS576" s="3" t="b">
        <f t="shared" si="326"/>
        <v>1</v>
      </c>
      <c r="CT576" s="3" t="b">
        <f t="shared" si="327"/>
        <v>1</v>
      </c>
      <c r="CU576" s="3" t="b">
        <f t="shared" si="328"/>
        <v>1</v>
      </c>
      <c r="CV576" s="3" t="b">
        <f t="shared" si="329"/>
        <v>1</v>
      </c>
      <c r="CW576" s="3" t="b">
        <f t="shared" si="330"/>
        <v>1</v>
      </c>
      <c r="CX576" s="9" t="str">
        <f t="shared" si="331"/>
        <v>5202131</v>
      </c>
      <c r="CY576" s="9" t="str">
        <f t="shared" si="332"/>
        <v>5202132</v>
      </c>
      <c r="CZ576" s="9" t="str">
        <f t="shared" si="333"/>
        <v>5301132</v>
      </c>
      <c r="DA576" s="9" t="str">
        <f t="shared" si="334"/>
        <v>5502131</v>
      </c>
      <c r="DB576" s="9" t="str">
        <f t="shared" si="335"/>
        <v>5500131</v>
      </c>
      <c r="DC576" s="9" t="str">
        <f t="shared" si="336"/>
        <v>5502131</v>
      </c>
      <c r="DD576" s="9">
        <v>13</v>
      </c>
      <c r="DE576" s="9">
        <v>13</v>
      </c>
      <c r="DF576" s="9">
        <v>13</v>
      </c>
      <c r="DG576" s="9">
        <v>13</v>
      </c>
      <c r="DH576" s="9">
        <v>13</v>
      </c>
      <c r="DI576" s="9">
        <v>13</v>
      </c>
      <c r="DJ576" s="9">
        <v>5</v>
      </c>
      <c r="DK576" s="9">
        <v>5</v>
      </c>
      <c r="DL576" s="9">
        <v>5</v>
      </c>
      <c r="DM576" s="9">
        <v>5</v>
      </c>
      <c r="DN576" s="9">
        <v>5</v>
      </c>
      <c r="DO576" s="9">
        <v>5</v>
      </c>
      <c r="DP576" s="25" t="s">
        <v>111</v>
      </c>
      <c r="DQ576" s="25" t="s">
        <v>200</v>
      </c>
      <c r="DR576" s="25" t="s">
        <v>201</v>
      </c>
      <c r="DS576" s="26" t="s">
        <v>119</v>
      </c>
      <c r="DT576" s="26" t="s">
        <v>197</v>
      </c>
      <c r="DU576" s="26" t="s">
        <v>119</v>
      </c>
      <c r="DV576" s="26">
        <f t="shared" si="337"/>
        <v>1</v>
      </c>
      <c r="DW576" s="26">
        <f t="shared" si="338"/>
        <v>1</v>
      </c>
      <c r="DX576" s="26">
        <f t="shared" si="339"/>
        <v>1</v>
      </c>
      <c r="DY576" s="26">
        <f t="shared" si="340"/>
        <v>2</v>
      </c>
      <c r="DZ576" s="26">
        <f t="shared" si="341"/>
        <v>2</v>
      </c>
      <c r="EA576" s="3">
        <f t="shared" si="342"/>
        <v>2</v>
      </c>
      <c r="EB576" s="46"/>
    </row>
    <row r="577" spans="1:132" ht="13.5" customHeight="1">
      <c r="A577" s="9">
        <v>574</v>
      </c>
      <c r="B577" s="9">
        <v>1</v>
      </c>
      <c r="C577" s="9">
        <v>2001</v>
      </c>
      <c r="D577" s="9">
        <f t="shared" si="357"/>
        <v>29270956</v>
      </c>
      <c r="E577" s="9" t="str">
        <f t="shared" si="354"/>
        <v>5302135,5202135,5202135,5501135,5401133,5501134</v>
      </c>
      <c r="F577" s="9" t="str">
        <f t="shared" si="355"/>
        <v>13,13,13,13,13,13</v>
      </c>
      <c r="G577" s="9" t="str">
        <f t="shared" si="356"/>
        <v>1254,1355,1355,1355,1355,1355</v>
      </c>
      <c r="H577" s="9">
        <v>269</v>
      </c>
      <c r="I577" s="9" t="s">
        <v>278</v>
      </c>
      <c r="J577" s="9" t="s">
        <v>279</v>
      </c>
      <c r="K577" s="9" t="s">
        <v>279</v>
      </c>
      <c r="L577" s="9" t="s">
        <v>279</v>
      </c>
      <c r="M577" s="36" t="s">
        <v>316</v>
      </c>
      <c r="N577" s="40"/>
      <c r="O577" s="3">
        <f t="shared" si="362"/>
        <v>29270956</v>
      </c>
      <c r="P577" s="9">
        <v>22174966.93</v>
      </c>
      <c r="Q577" s="9">
        <v>5302135</v>
      </c>
      <c r="R577" s="9">
        <v>5202135</v>
      </c>
      <c r="S577" s="9">
        <v>5202135</v>
      </c>
      <c r="T577" s="9">
        <v>5501135</v>
      </c>
      <c r="U577" s="9">
        <v>5401133</v>
      </c>
      <c r="V577" s="9">
        <v>5501134</v>
      </c>
      <c r="W577" s="9">
        <v>13</v>
      </c>
      <c r="X577" s="9">
        <v>13</v>
      </c>
      <c r="Y577" s="9">
        <v>13</v>
      </c>
      <c r="Z577" s="9">
        <v>13</v>
      </c>
      <c r="AA577" s="9">
        <v>13</v>
      </c>
      <c r="AB577" s="9">
        <v>13</v>
      </c>
      <c r="AC577" s="9">
        <f t="shared" si="343"/>
        <v>1254</v>
      </c>
      <c r="AD577" s="9">
        <f t="shared" si="344"/>
        <v>1355</v>
      </c>
      <c r="AE577" s="9">
        <f t="shared" si="345"/>
        <v>1355</v>
      </c>
      <c r="AF577" s="9">
        <f t="shared" si="346"/>
        <v>1355</v>
      </c>
      <c r="AG577" s="9">
        <f t="shared" si="347"/>
        <v>1355</v>
      </c>
      <c r="AH577" s="9">
        <f t="shared" si="348"/>
        <v>1355</v>
      </c>
      <c r="AI577" s="7">
        <f t="shared" si="360"/>
        <v>3695827.8216666668</v>
      </c>
      <c r="AJ577" s="7">
        <f t="shared" si="359"/>
        <v>3695827.8216666668</v>
      </c>
      <c r="AK577" s="7">
        <f t="shared" si="359"/>
        <v>3695827.8216666668</v>
      </c>
      <c r="AL577" s="7">
        <f t="shared" si="359"/>
        <v>3695827.8216666668</v>
      </c>
      <c r="AM577" s="7">
        <f t="shared" si="359"/>
        <v>3695827.8216666668</v>
      </c>
      <c r="AN577" s="7">
        <f t="shared" si="359"/>
        <v>3695827.8216666668</v>
      </c>
      <c r="AO577" s="16"/>
      <c r="AP577" s="7"/>
      <c r="AQ577" s="9">
        <v>9</v>
      </c>
      <c r="AR577" s="9">
        <f t="shared" si="349"/>
        <v>1566</v>
      </c>
      <c r="AS577" s="7">
        <f t="shared" si="358"/>
        <v>387</v>
      </c>
      <c r="AT577" s="7"/>
      <c r="AU577" s="16"/>
      <c r="AV577" s="7"/>
      <c r="AW577" s="7"/>
      <c r="AX577" s="7"/>
      <c r="AZ577" s="7"/>
      <c r="BA577" s="9">
        <f t="shared" si="361"/>
        <v>3063898.3600000031</v>
      </c>
      <c r="BC577" s="5" t="e">
        <f t="shared" si="350"/>
        <v>#N/A</v>
      </c>
      <c r="BR577" s="5">
        <v>4303041</v>
      </c>
      <c r="BS577" s="18">
        <f>[1]monsters!$N577</f>
        <v>107.52</v>
      </c>
      <c r="BT577" s="18">
        <f>[1]monsters!$O577</f>
        <v>10.75</v>
      </c>
      <c r="BU577" s="18">
        <f>[1]monsters!$P577</f>
        <v>1493.33</v>
      </c>
      <c r="BV577" s="18">
        <f>[1]monsters!$Q577</f>
        <v>149.33000000000001</v>
      </c>
      <c r="BW577" s="18">
        <f>[1]monsters!$R577</f>
        <v>21.5</v>
      </c>
      <c r="BX577" s="18">
        <f>[1]monsters!$S577</f>
        <v>2.15</v>
      </c>
      <c r="BY577" s="18">
        <f>[1]monsters!$K577</f>
        <v>1.6</v>
      </c>
      <c r="BZ577" s="5">
        <f>[1]monsters!$D577</f>
        <v>2</v>
      </c>
      <c r="CA577" s="5">
        <f t="shared" si="351"/>
        <v>0.1</v>
      </c>
      <c r="CB577" s="5">
        <f t="shared" si="352"/>
        <v>151.88687138047138</v>
      </c>
      <c r="CC577" s="5">
        <f t="shared" si="353"/>
        <v>15.188687138047138</v>
      </c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>
        <v>0</v>
      </c>
      <c r="CR577" s="3" t="b">
        <f t="shared" si="325"/>
        <v>1</v>
      </c>
      <c r="CS577" s="3" t="b">
        <f t="shared" si="326"/>
        <v>1</v>
      </c>
      <c r="CT577" s="3" t="b">
        <f t="shared" si="327"/>
        <v>1</v>
      </c>
      <c r="CU577" s="3" t="b">
        <f t="shared" si="328"/>
        <v>1</v>
      </c>
      <c r="CV577" s="3" t="b">
        <f t="shared" si="329"/>
        <v>1</v>
      </c>
      <c r="CW577" s="3" t="b">
        <f t="shared" si="330"/>
        <v>1</v>
      </c>
      <c r="CX577" s="9" t="str">
        <f t="shared" si="331"/>
        <v>5302135</v>
      </c>
      <c r="CY577" s="9" t="str">
        <f t="shared" si="332"/>
        <v>5202135</v>
      </c>
      <c r="CZ577" s="9" t="str">
        <f t="shared" si="333"/>
        <v>5202135</v>
      </c>
      <c r="DA577" s="9" t="str">
        <f t="shared" si="334"/>
        <v>5501135</v>
      </c>
      <c r="DB577" s="9" t="str">
        <f t="shared" si="335"/>
        <v>5401133</v>
      </c>
      <c r="DC577" s="9" t="str">
        <f t="shared" si="336"/>
        <v>5501134</v>
      </c>
      <c r="DD577" s="9">
        <v>13</v>
      </c>
      <c r="DE577" s="9">
        <v>13</v>
      </c>
      <c r="DF577" s="9">
        <v>13</v>
      </c>
      <c r="DG577" s="9">
        <v>13</v>
      </c>
      <c r="DH577" s="9">
        <v>13</v>
      </c>
      <c r="DI577" s="9">
        <v>13</v>
      </c>
      <c r="DJ577" s="9">
        <v>5</v>
      </c>
      <c r="DK577" s="9">
        <v>5</v>
      </c>
      <c r="DL577" s="9">
        <v>5</v>
      </c>
      <c r="DM577" s="9">
        <v>5</v>
      </c>
      <c r="DN577" s="9">
        <v>5</v>
      </c>
      <c r="DO577" s="9">
        <v>5</v>
      </c>
      <c r="DP577" s="27" t="s">
        <v>221</v>
      </c>
      <c r="DQ577" s="27" t="s">
        <v>213</v>
      </c>
      <c r="DR577" s="27" t="s">
        <v>213</v>
      </c>
      <c r="DS577" s="25" t="s">
        <v>209</v>
      </c>
      <c r="DT577" s="25" t="s">
        <v>211</v>
      </c>
      <c r="DU577" s="25" t="s">
        <v>214</v>
      </c>
      <c r="DV577" s="28">
        <f t="shared" si="337"/>
        <v>1</v>
      </c>
      <c r="DW577" s="28">
        <f t="shared" si="338"/>
        <v>1</v>
      </c>
      <c r="DX577" s="28">
        <f t="shared" si="339"/>
        <v>1</v>
      </c>
      <c r="DY577" s="28">
        <f t="shared" si="340"/>
        <v>2</v>
      </c>
      <c r="DZ577" s="28">
        <f t="shared" si="341"/>
        <v>2</v>
      </c>
      <c r="EA577" s="3">
        <f t="shared" si="342"/>
        <v>2</v>
      </c>
      <c r="EB577" s="45"/>
    </row>
    <row r="578" spans="1:132" ht="13.5" customHeight="1">
      <c r="A578" s="9">
        <v>575</v>
      </c>
      <c r="B578" s="9">
        <v>1</v>
      </c>
      <c r="C578" s="9">
        <v>2001</v>
      </c>
      <c r="D578" s="9">
        <f t="shared" si="357"/>
        <v>29351749</v>
      </c>
      <c r="E578" s="9" t="str">
        <f t="shared" si="354"/>
        <v>5201132,5201132,5200132,5402132,5601132,5402132</v>
      </c>
      <c r="F578" s="9" t="str">
        <f t="shared" si="355"/>
        <v>13,13,13,13,13,13</v>
      </c>
      <c r="G578" s="9" t="str">
        <f t="shared" si="356"/>
        <v>1256,1357,1357,1357,1357,1357</v>
      </c>
      <c r="H578" s="9">
        <v>270</v>
      </c>
      <c r="I578" s="9" t="s">
        <v>278</v>
      </c>
      <c r="J578" s="9" t="s">
        <v>279</v>
      </c>
      <c r="K578" s="9" t="s">
        <v>279</v>
      </c>
      <c r="L578" s="9" t="s">
        <v>279</v>
      </c>
      <c r="M578" s="36" t="s">
        <v>316</v>
      </c>
      <c r="O578" s="3">
        <f t="shared" si="362"/>
        <v>29351749</v>
      </c>
      <c r="P578" s="9">
        <v>22236173.809999999</v>
      </c>
      <c r="Q578" s="9">
        <v>5201132</v>
      </c>
      <c r="R578" s="9">
        <v>5201132</v>
      </c>
      <c r="S578" s="9">
        <v>5200132</v>
      </c>
      <c r="T578" s="9">
        <v>5402132</v>
      </c>
      <c r="U578" s="9">
        <v>5601132</v>
      </c>
      <c r="V578" s="9">
        <v>5402132</v>
      </c>
      <c r="W578" s="9">
        <v>13</v>
      </c>
      <c r="X578" s="9">
        <v>13</v>
      </c>
      <c r="Y578" s="9">
        <v>13</v>
      </c>
      <c r="Z578" s="9">
        <v>13</v>
      </c>
      <c r="AA578" s="9">
        <v>13</v>
      </c>
      <c r="AB578" s="9">
        <v>13</v>
      </c>
      <c r="AC578" s="9">
        <f t="shared" si="343"/>
        <v>1256</v>
      </c>
      <c r="AD578" s="9">
        <f t="shared" si="344"/>
        <v>1357</v>
      </c>
      <c r="AE578" s="9">
        <f t="shared" si="345"/>
        <v>1357</v>
      </c>
      <c r="AF578" s="9">
        <f t="shared" si="346"/>
        <v>1357</v>
      </c>
      <c r="AG578" s="9">
        <f t="shared" si="347"/>
        <v>1357</v>
      </c>
      <c r="AH578" s="9">
        <f t="shared" si="348"/>
        <v>1357</v>
      </c>
      <c r="AI578" s="7">
        <f t="shared" si="360"/>
        <v>3706028.9683333333</v>
      </c>
      <c r="AJ578" s="7">
        <f t="shared" si="359"/>
        <v>3706028.9683333333</v>
      </c>
      <c r="AK578" s="7">
        <f t="shared" si="359"/>
        <v>3706028.9683333333</v>
      </c>
      <c r="AL578" s="7">
        <f t="shared" si="359"/>
        <v>3706028.9683333333</v>
      </c>
      <c r="AM578" s="7">
        <f t="shared" si="359"/>
        <v>3706028.9683333333</v>
      </c>
      <c r="AN578" s="7">
        <f t="shared" si="359"/>
        <v>3706028.9683333333</v>
      </c>
      <c r="AO578" s="16"/>
      <c r="AP578" s="7"/>
      <c r="AQ578" s="9">
        <v>9</v>
      </c>
      <c r="AR578" s="9">
        <f t="shared" si="349"/>
        <v>1569</v>
      </c>
      <c r="AS578" s="7">
        <f t="shared" si="358"/>
        <v>387</v>
      </c>
      <c r="AT578" s="7"/>
      <c r="AU578" s="16"/>
      <c r="AV578" s="7"/>
      <c r="AW578" s="7"/>
      <c r="AX578" s="7"/>
      <c r="AZ578" s="7"/>
      <c r="BA578" s="9">
        <f t="shared" si="361"/>
        <v>3086159.5000000033</v>
      </c>
      <c r="BC578" s="5" t="e">
        <f t="shared" si="350"/>
        <v>#N/A</v>
      </c>
      <c r="BR578" s="5">
        <v>4304041</v>
      </c>
      <c r="BS578" s="18">
        <f>[1]monsters!$N578</f>
        <v>135.88999999999999</v>
      </c>
      <c r="BT578" s="18">
        <f>[1]monsters!$O578</f>
        <v>13.59</v>
      </c>
      <c r="BU578" s="18">
        <f>[1]monsters!$P578</f>
        <v>1033.8499999999999</v>
      </c>
      <c r="BV578" s="18">
        <f>[1]monsters!$Q578</f>
        <v>103.38</v>
      </c>
      <c r="BW578" s="18">
        <f>[1]monsters!$R578</f>
        <v>13.59</v>
      </c>
      <c r="BX578" s="18">
        <f>[1]monsters!$S578</f>
        <v>1.36</v>
      </c>
      <c r="BY578" s="18">
        <f>[1]monsters!$K578</f>
        <v>1.4</v>
      </c>
      <c r="BZ578" s="5">
        <f>[1]monsters!$D578</f>
        <v>4</v>
      </c>
      <c r="CA578" s="5">
        <f t="shared" si="351"/>
        <v>0.1</v>
      </c>
      <c r="CB578" s="5">
        <f t="shared" si="352"/>
        <v>163.2258143097643</v>
      </c>
      <c r="CC578" s="5">
        <f t="shared" si="353"/>
        <v>16.322581430976431</v>
      </c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>
        <v>1</v>
      </c>
      <c r="CR578" s="3" t="b">
        <f t="shared" si="325"/>
        <v>1</v>
      </c>
      <c r="CS578" s="3" t="b">
        <f t="shared" si="326"/>
        <v>1</v>
      </c>
      <c r="CT578" s="3" t="b">
        <f t="shared" si="327"/>
        <v>1</v>
      </c>
      <c r="CU578" s="3" t="b">
        <f t="shared" si="328"/>
        <v>1</v>
      </c>
      <c r="CV578" s="3" t="b">
        <f t="shared" si="329"/>
        <v>1</v>
      </c>
      <c r="CW578" s="3" t="b">
        <f t="shared" si="330"/>
        <v>1</v>
      </c>
      <c r="CX578" s="9" t="str">
        <f t="shared" si="331"/>
        <v>5201132</v>
      </c>
      <c r="CY578" s="9" t="str">
        <f t="shared" si="332"/>
        <v>5201132</v>
      </c>
      <c r="CZ578" s="9" t="str">
        <f t="shared" si="333"/>
        <v>5200132</v>
      </c>
      <c r="DA578" s="9" t="str">
        <f t="shared" si="334"/>
        <v>5402132</v>
      </c>
      <c r="DB578" s="9" t="str">
        <f t="shared" si="335"/>
        <v>5601132</v>
      </c>
      <c r="DC578" s="9" t="str">
        <f t="shared" si="336"/>
        <v>5402132</v>
      </c>
      <c r="DD578" s="9">
        <v>13</v>
      </c>
      <c r="DE578" s="9">
        <v>13</v>
      </c>
      <c r="DF578" s="9">
        <v>13</v>
      </c>
      <c r="DG578" s="9">
        <v>13</v>
      </c>
      <c r="DH578" s="9">
        <v>13</v>
      </c>
      <c r="DI578" s="9">
        <v>13</v>
      </c>
      <c r="DJ578" s="9">
        <v>5</v>
      </c>
      <c r="DK578" s="9">
        <v>5</v>
      </c>
      <c r="DL578" s="9">
        <v>5</v>
      </c>
      <c r="DM578" s="9">
        <v>5</v>
      </c>
      <c r="DN578" s="9">
        <v>5</v>
      </c>
      <c r="DO578" s="9">
        <v>5</v>
      </c>
      <c r="DP578" s="25" t="s">
        <v>114</v>
      </c>
      <c r="DQ578" s="25" t="s">
        <v>114</v>
      </c>
      <c r="DR578" s="26" t="s">
        <v>199</v>
      </c>
      <c r="DS578" s="26" t="s">
        <v>203</v>
      </c>
      <c r="DT578" s="25" t="s">
        <v>124</v>
      </c>
      <c r="DU578" s="25" t="s">
        <v>203</v>
      </c>
      <c r="DV578" s="25">
        <f t="shared" si="337"/>
        <v>1</v>
      </c>
      <c r="DW578" s="25">
        <f t="shared" si="338"/>
        <v>1</v>
      </c>
      <c r="DX578" s="25">
        <f t="shared" si="339"/>
        <v>1</v>
      </c>
      <c r="DY578" s="25">
        <f t="shared" si="340"/>
        <v>2</v>
      </c>
      <c r="DZ578" s="25">
        <f t="shared" si="341"/>
        <v>2</v>
      </c>
      <c r="EA578" s="3">
        <f t="shared" si="342"/>
        <v>2</v>
      </c>
      <c r="EB578" s="45"/>
    </row>
    <row r="579" spans="1:132" ht="13.5" customHeight="1">
      <c r="A579" s="9">
        <v>576</v>
      </c>
      <c r="B579" s="9">
        <v>1</v>
      </c>
      <c r="C579" s="9">
        <v>2001</v>
      </c>
      <c r="D579" s="9">
        <f t="shared" si="357"/>
        <v>29432654</v>
      </c>
      <c r="E579" s="9" t="str">
        <f t="shared" si="354"/>
        <v>5200132,5200133,5200132,5502132,5500132,5502133</v>
      </c>
      <c r="F579" s="9" t="str">
        <f t="shared" si="355"/>
        <v>13,13,13,13,13,13</v>
      </c>
      <c r="G579" s="9" t="str">
        <f t="shared" si="356"/>
        <v>1257,1359,1359,1359,1359,1359</v>
      </c>
      <c r="H579" s="9">
        <v>270</v>
      </c>
      <c r="I579" s="9" t="s">
        <v>278</v>
      </c>
      <c r="J579" s="9" t="s">
        <v>279</v>
      </c>
      <c r="K579" s="9" t="s">
        <v>279</v>
      </c>
      <c r="L579" s="9" t="s">
        <v>279</v>
      </c>
      <c r="M579" s="36" t="s">
        <v>316</v>
      </c>
      <c r="N579" s="40"/>
      <c r="O579" s="3">
        <f t="shared" si="362"/>
        <v>29432654</v>
      </c>
      <c r="P579" s="9">
        <v>22297465.09</v>
      </c>
      <c r="Q579" s="9">
        <v>5200132</v>
      </c>
      <c r="R579" s="9">
        <v>5200133</v>
      </c>
      <c r="S579" s="9">
        <v>5200132</v>
      </c>
      <c r="T579" s="9">
        <v>5502132</v>
      </c>
      <c r="U579" s="9">
        <v>5500132</v>
      </c>
      <c r="V579" s="9">
        <v>5502133</v>
      </c>
      <c r="W579" s="9">
        <v>13</v>
      </c>
      <c r="X579" s="9">
        <v>13</v>
      </c>
      <c r="Y579" s="9">
        <v>13</v>
      </c>
      <c r="Z579" s="9">
        <v>13</v>
      </c>
      <c r="AA579" s="9">
        <v>13</v>
      </c>
      <c r="AB579" s="9">
        <v>13</v>
      </c>
      <c r="AC579" s="9">
        <f t="shared" si="343"/>
        <v>1257</v>
      </c>
      <c r="AD579" s="9">
        <f t="shared" si="344"/>
        <v>1359</v>
      </c>
      <c r="AE579" s="9">
        <f t="shared" si="345"/>
        <v>1359</v>
      </c>
      <c r="AF579" s="9">
        <f t="shared" si="346"/>
        <v>1359</v>
      </c>
      <c r="AG579" s="9">
        <f t="shared" si="347"/>
        <v>1359</v>
      </c>
      <c r="AH579" s="9">
        <f t="shared" si="348"/>
        <v>1359</v>
      </c>
      <c r="AI579" s="7">
        <f t="shared" si="360"/>
        <v>3716244.1816666666</v>
      </c>
      <c r="AJ579" s="7">
        <f t="shared" si="359"/>
        <v>3716244.1816666666</v>
      </c>
      <c r="AK579" s="7">
        <f t="shared" si="359"/>
        <v>3716244.1816666666</v>
      </c>
      <c r="AL579" s="7">
        <f t="shared" si="359"/>
        <v>3716244.1816666666</v>
      </c>
      <c r="AM579" s="7">
        <f t="shared" si="359"/>
        <v>3716244.1816666666</v>
      </c>
      <c r="AN579" s="7">
        <f t="shared" si="359"/>
        <v>3716244.1816666666</v>
      </c>
      <c r="AO579" s="16"/>
      <c r="AP579" s="7"/>
      <c r="AQ579" s="9">
        <v>9</v>
      </c>
      <c r="AR579" s="9">
        <f t="shared" si="349"/>
        <v>1571</v>
      </c>
      <c r="AS579" s="7">
        <f t="shared" si="358"/>
        <v>388</v>
      </c>
      <c r="AT579" s="7"/>
      <c r="AU579" s="16"/>
      <c r="AV579" s="7"/>
      <c r="AW579" s="7"/>
      <c r="AX579" s="7"/>
      <c r="AZ579" s="7"/>
      <c r="BA579" s="9">
        <f t="shared" si="361"/>
        <v>3108420.6400000034</v>
      </c>
      <c r="BC579" s="5" t="e">
        <f t="shared" si="350"/>
        <v>#N/A</v>
      </c>
      <c r="BR579" s="5">
        <v>4503041</v>
      </c>
      <c r="BS579" s="18">
        <f>[1]monsters!$N579</f>
        <v>94.08</v>
      </c>
      <c r="BT579" s="18">
        <f>[1]monsters!$O579</f>
        <v>9.41</v>
      </c>
      <c r="BU579" s="18">
        <f>[1]monsters!$P579</f>
        <v>1493.33</v>
      </c>
      <c r="BV579" s="18">
        <f>[1]monsters!$Q579</f>
        <v>149.33000000000001</v>
      </c>
      <c r="BW579" s="18">
        <f>[1]monsters!$R579</f>
        <v>18.82</v>
      </c>
      <c r="BX579" s="18">
        <f>[1]monsters!$S579</f>
        <v>1.88</v>
      </c>
      <c r="BY579" s="18">
        <f>[1]monsters!$K579</f>
        <v>1.4</v>
      </c>
      <c r="BZ579" s="5">
        <f>[1]monsters!$D579</f>
        <v>2</v>
      </c>
      <c r="CA579" s="5">
        <f t="shared" si="351"/>
        <v>0.1</v>
      </c>
      <c r="CB579" s="5">
        <f t="shared" si="352"/>
        <v>139.18607138047139</v>
      </c>
      <c r="CC579" s="5">
        <f t="shared" si="353"/>
        <v>13.91860713804714</v>
      </c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>
        <v>0</v>
      </c>
      <c r="CR579" s="3" t="b">
        <f t="shared" si="325"/>
        <v>1</v>
      </c>
      <c r="CS579" s="3" t="b">
        <f t="shared" si="326"/>
        <v>1</v>
      </c>
      <c r="CT579" s="3" t="b">
        <f t="shared" si="327"/>
        <v>1</v>
      </c>
      <c r="CU579" s="3" t="b">
        <f t="shared" si="328"/>
        <v>1</v>
      </c>
      <c r="CV579" s="3" t="b">
        <f t="shared" si="329"/>
        <v>1</v>
      </c>
      <c r="CW579" s="3" t="b">
        <f t="shared" si="330"/>
        <v>1</v>
      </c>
      <c r="CX579" s="9" t="str">
        <f t="shared" si="331"/>
        <v>5200132</v>
      </c>
      <c r="CY579" s="9" t="str">
        <f t="shared" si="332"/>
        <v>5200133</v>
      </c>
      <c r="CZ579" s="9" t="str">
        <f t="shared" si="333"/>
        <v>5200132</v>
      </c>
      <c r="DA579" s="9" t="str">
        <f t="shared" si="334"/>
        <v>5502132</v>
      </c>
      <c r="DB579" s="9" t="str">
        <f t="shared" si="335"/>
        <v>5500132</v>
      </c>
      <c r="DC579" s="9" t="str">
        <f t="shared" si="336"/>
        <v>5502133</v>
      </c>
      <c r="DD579" s="9">
        <v>13</v>
      </c>
      <c r="DE579" s="9">
        <v>13</v>
      </c>
      <c r="DF579" s="9">
        <v>13</v>
      </c>
      <c r="DG579" s="9">
        <v>13</v>
      </c>
      <c r="DH579" s="9">
        <v>13</v>
      </c>
      <c r="DI579" s="9">
        <v>13</v>
      </c>
      <c r="DJ579" s="9">
        <v>5</v>
      </c>
      <c r="DK579" s="9">
        <v>5</v>
      </c>
      <c r="DL579" s="9">
        <v>5</v>
      </c>
      <c r="DM579" s="9">
        <v>5</v>
      </c>
      <c r="DN579" s="9">
        <v>5</v>
      </c>
      <c r="DO579" s="9">
        <v>5</v>
      </c>
      <c r="DP579" s="25" t="s">
        <v>199</v>
      </c>
      <c r="DQ579" s="25" t="s">
        <v>113</v>
      </c>
      <c r="DR579" s="25" t="s">
        <v>199</v>
      </c>
      <c r="DS579" s="28" t="s">
        <v>204</v>
      </c>
      <c r="DT579" s="28" t="s">
        <v>109</v>
      </c>
      <c r="DU579" s="28" t="s">
        <v>215</v>
      </c>
      <c r="DV579" s="28">
        <f t="shared" si="337"/>
        <v>1</v>
      </c>
      <c r="DW579" s="28">
        <f t="shared" si="338"/>
        <v>1</v>
      </c>
      <c r="DX579" s="28">
        <f t="shared" si="339"/>
        <v>1</v>
      </c>
      <c r="DY579" s="28">
        <f t="shared" si="340"/>
        <v>2</v>
      </c>
      <c r="DZ579" s="28">
        <f t="shared" si="341"/>
        <v>2</v>
      </c>
      <c r="EA579" s="3">
        <f t="shared" si="342"/>
        <v>2</v>
      </c>
      <c r="EB579" s="46"/>
    </row>
    <row r="580" spans="1:132" ht="13.5" customHeight="1">
      <c r="A580" s="9">
        <v>577</v>
      </c>
      <c r="B580" s="9">
        <v>1</v>
      </c>
      <c r="C580" s="9">
        <v>2001</v>
      </c>
      <c r="D580" s="9">
        <f t="shared" si="357"/>
        <v>29513670</v>
      </c>
      <c r="E580" s="9" t="str">
        <f t="shared" si="354"/>
        <v>5202133,5202132,5202133,5401133,5400135,5501135</v>
      </c>
      <c r="F580" s="9" t="str">
        <f t="shared" si="355"/>
        <v>13,13,13,13,13,13</v>
      </c>
      <c r="G580" s="9" t="str">
        <f t="shared" si="356"/>
        <v>1259,1361,1361,1361,1361,1361</v>
      </c>
      <c r="H580" s="9">
        <v>270</v>
      </c>
      <c r="I580" s="9" t="s">
        <v>278</v>
      </c>
      <c r="J580" s="9" t="s">
        <v>279</v>
      </c>
      <c r="K580" s="9" t="s">
        <v>279</v>
      </c>
      <c r="L580" s="9" t="s">
        <v>279</v>
      </c>
      <c r="M580" s="36" t="s">
        <v>316</v>
      </c>
      <c r="N580" s="40"/>
      <c r="O580" s="3">
        <f t="shared" si="362"/>
        <v>29513670</v>
      </c>
      <c r="P580" s="9">
        <v>22358840.77</v>
      </c>
      <c r="Q580" s="9">
        <v>5202133</v>
      </c>
      <c r="R580" s="9">
        <v>5202132</v>
      </c>
      <c r="S580" s="9">
        <v>5202133</v>
      </c>
      <c r="T580" s="9">
        <v>5401133</v>
      </c>
      <c r="U580" s="9">
        <v>5400135</v>
      </c>
      <c r="V580" s="9">
        <v>5501135</v>
      </c>
      <c r="W580" s="9">
        <v>13</v>
      </c>
      <c r="X580" s="9">
        <v>13</v>
      </c>
      <c r="Y580" s="9">
        <v>13</v>
      </c>
      <c r="Z580" s="9">
        <v>13</v>
      </c>
      <c r="AA580" s="9">
        <v>13</v>
      </c>
      <c r="AB580" s="9">
        <v>13</v>
      </c>
      <c r="AC580" s="9">
        <f t="shared" si="343"/>
        <v>1259</v>
      </c>
      <c r="AD580" s="9">
        <f t="shared" si="344"/>
        <v>1361</v>
      </c>
      <c r="AE580" s="9">
        <f t="shared" si="345"/>
        <v>1361</v>
      </c>
      <c r="AF580" s="9">
        <f t="shared" si="346"/>
        <v>1361</v>
      </c>
      <c r="AG580" s="9">
        <f t="shared" si="347"/>
        <v>1361</v>
      </c>
      <c r="AH580" s="9">
        <f t="shared" si="348"/>
        <v>1361</v>
      </c>
      <c r="AI580" s="7">
        <f t="shared" si="360"/>
        <v>3726473.4616666664</v>
      </c>
      <c r="AJ580" s="7">
        <f t="shared" si="359"/>
        <v>3726473.4616666664</v>
      </c>
      <c r="AK580" s="7">
        <f t="shared" si="359"/>
        <v>3726473.4616666664</v>
      </c>
      <c r="AL580" s="7">
        <f t="shared" si="359"/>
        <v>3726473.4616666664</v>
      </c>
      <c r="AM580" s="7">
        <f t="shared" si="359"/>
        <v>3726473.4616666664</v>
      </c>
      <c r="AN580" s="7">
        <f t="shared" si="359"/>
        <v>3726473.4616666664</v>
      </c>
      <c r="AO580" s="16"/>
      <c r="AP580" s="7"/>
      <c r="AQ580" s="9">
        <v>9</v>
      </c>
      <c r="AR580" s="9">
        <f t="shared" si="349"/>
        <v>1573</v>
      </c>
      <c r="AS580" s="7">
        <f t="shared" si="358"/>
        <v>388</v>
      </c>
      <c r="AT580" s="7"/>
      <c r="AU580" s="16"/>
      <c r="AV580" s="7"/>
      <c r="AW580" s="7"/>
      <c r="AX580" s="7"/>
      <c r="AZ580" s="7"/>
      <c r="BA580" s="9">
        <f t="shared" si="361"/>
        <v>3130681.7800000035</v>
      </c>
      <c r="BC580" s="5" t="e">
        <f t="shared" si="350"/>
        <v>#N/A</v>
      </c>
      <c r="BR580" s="5">
        <v>4504041</v>
      </c>
      <c r="BS580" s="18">
        <f>[1]monsters!$N580</f>
        <v>155.31</v>
      </c>
      <c r="BT580" s="18">
        <f>[1]monsters!$O580</f>
        <v>15.53</v>
      </c>
      <c r="BU580" s="18">
        <f>[1]monsters!$P580</f>
        <v>1033.8499999999999</v>
      </c>
      <c r="BV580" s="18">
        <f>[1]monsters!$Q580</f>
        <v>103.38</v>
      </c>
      <c r="BW580" s="18">
        <f>[1]monsters!$R580</f>
        <v>15.53</v>
      </c>
      <c r="BX580" s="18">
        <f>[1]monsters!$S580</f>
        <v>1.55</v>
      </c>
      <c r="BY580" s="18">
        <f>[1]monsters!$K580</f>
        <v>1.6</v>
      </c>
      <c r="BZ580" s="5">
        <f>[1]monsters!$D580</f>
        <v>4</v>
      </c>
      <c r="CA580" s="5">
        <f t="shared" si="351"/>
        <v>0.1</v>
      </c>
      <c r="CB580" s="5">
        <f t="shared" si="352"/>
        <v>181.5777143097643</v>
      </c>
      <c r="CC580" s="5">
        <f t="shared" si="353"/>
        <v>18.157771430976432</v>
      </c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>
        <v>0</v>
      </c>
      <c r="CR580" s="3" t="b">
        <f t="shared" ref="CR580:CR603" si="363">IF(ISERROR(MATCH(INT(CX580),$EC$4:$EC$426,0))=FALSE,TRUE)</f>
        <v>1</v>
      </c>
      <c r="CS580" s="3" t="b">
        <f t="shared" ref="CS580:CS603" si="364">IF(ISERROR(MATCH(INT(CY580),$EC$4:$EC$426,0))=FALSE,TRUE)</f>
        <v>1</v>
      </c>
      <c r="CT580" s="3" t="b">
        <f t="shared" ref="CT580:CT603" si="365">IF(ISERROR(MATCH(INT(CZ580),$EC$4:$EC$426,0))=FALSE,TRUE)</f>
        <v>1</v>
      </c>
      <c r="CU580" s="3" t="b">
        <f t="shared" ref="CU580:CU603" si="366">IF(ISERROR(MATCH(INT(DA580),$EC$4:$EC$426,0))=FALSE,TRUE)</f>
        <v>1</v>
      </c>
      <c r="CV580" s="3" t="b">
        <f t="shared" ref="CV580:CV603" si="367">IF(ISERROR(MATCH(INT(DB580),$EC$4:$EC$426,0))=FALSE,TRUE)</f>
        <v>1</v>
      </c>
      <c r="CW580" s="3" t="b">
        <f t="shared" ref="CW580:CW603" si="368">IF(ISERROR(MATCH(INT(DC580),$EC$4:$EC$426,0))=FALSE,TRUE)</f>
        <v>1</v>
      </c>
      <c r="CX580" s="9" t="str">
        <f t="shared" ref="CX580:CX603" si="369">REPLACE(REPLACE(INDEX($EC$4:$EC$426,MATCH(DP580,$ED$4:$ED$426,0)),IF(DD580&gt;9,5,6),IF(DD580&gt;9,2,1),DD580),1,1,DJ580)</f>
        <v>5202133</v>
      </c>
      <c r="CY580" s="9" t="str">
        <f t="shared" ref="CY580:CY603" si="370">REPLACE(REPLACE(INDEX($EC$4:$EC$426,MATCH(DQ580,$ED$4:$ED$426,0)),IF(DE580&gt;9,5,6),IF(DE580&gt;9,2,1),DE580),1,1,DK580)</f>
        <v>5202132</v>
      </c>
      <c r="CZ580" s="9" t="str">
        <f t="shared" ref="CZ580:CZ603" si="371">REPLACE(REPLACE(INDEX($EC$4:$EC$426,MATCH(DR580,$ED$4:$ED$426,0)),IF(DF580&gt;9,5,6),IF(DF580&gt;9,2,1),DF580),1,1,DL580)</f>
        <v>5202133</v>
      </c>
      <c r="DA580" s="9" t="str">
        <f t="shared" ref="DA580:DA603" si="372">REPLACE(REPLACE(INDEX($EC$4:$EC$426,MATCH(DS580,$ED$4:$ED$426,0)),IF(DG580&gt;9,5,6),IF(DG580&gt;9,2,1),DG580),1,1,DM580)</f>
        <v>5401133</v>
      </c>
      <c r="DB580" s="9" t="str">
        <f t="shared" ref="DB580:DB603" si="373">REPLACE(REPLACE(INDEX($EC$4:$EC$426,MATCH(DT580,$ED$4:$ED$426,0)),IF(DH580&gt;9,5,6),IF(DH580&gt;9,2,1),DH580),1,1,DN580)</f>
        <v>5400135</v>
      </c>
      <c r="DC580" s="9" t="str">
        <f t="shared" ref="DC580:DC603" si="374">REPLACE(REPLACE(INDEX($EC$4:$EC$426,MATCH(DU580,$ED$4:$ED$426,0)),IF(DI580&gt;9,5,6),IF(DI580&gt;9,2,1),DI580),1,1,DO580)</f>
        <v>5501135</v>
      </c>
      <c r="DD580" s="9">
        <v>13</v>
      </c>
      <c r="DE580" s="9">
        <v>13</v>
      </c>
      <c r="DF580" s="9">
        <v>13</v>
      </c>
      <c r="DG580" s="9">
        <v>13</v>
      </c>
      <c r="DH580" s="9">
        <v>13</v>
      </c>
      <c r="DI580" s="9">
        <v>13</v>
      </c>
      <c r="DJ580" s="9">
        <v>5</v>
      </c>
      <c r="DK580" s="9">
        <v>5</v>
      </c>
      <c r="DL580" s="9">
        <v>5</v>
      </c>
      <c r="DM580" s="9">
        <v>5</v>
      </c>
      <c r="DN580" s="9">
        <v>5</v>
      </c>
      <c r="DO580" s="9">
        <v>5</v>
      </c>
      <c r="DP580" s="25" t="s">
        <v>208</v>
      </c>
      <c r="DQ580" s="25" t="s">
        <v>200</v>
      </c>
      <c r="DR580" s="26" t="s">
        <v>208</v>
      </c>
      <c r="DS580" s="26" t="s">
        <v>211</v>
      </c>
      <c r="DT580" s="25" t="s">
        <v>210</v>
      </c>
      <c r="DU580" s="25" t="s">
        <v>209</v>
      </c>
      <c r="DV580" s="25">
        <f t="shared" ref="DV580:DV603" si="375">INDEX($EE$4:$EE$426,MATCH(DP580,$ED$4:$ED$426,0))</f>
        <v>1</v>
      </c>
      <c r="DW580" s="25">
        <f t="shared" ref="DW580:DW603" si="376">INDEX($EE$4:$EE$426,MATCH(DQ580,$ED$4:$ED$426,0))</f>
        <v>1</v>
      </c>
      <c r="DX580" s="25">
        <f t="shared" ref="DX580:DX603" si="377">INDEX($EE$4:$EE$426,MATCH(DR580,$ED$4:$ED$426,0))</f>
        <v>1</v>
      </c>
      <c r="DY580" s="25">
        <f t="shared" ref="DY580:DY603" si="378">INDEX($EE$4:$EE$426,MATCH(DS580,$ED$4:$ED$426,0))</f>
        <v>2</v>
      </c>
      <c r="DZ580" s="25">
        <f t="shared" ref="DZ580:DZ603" si="379">INDEX($EE$4:$EE$426,MATCH(DT580,$ED$4:$ED$426,0))</f>
        <v>2</v>
      </c>
      <c r="EA580" s="3">
        <f t="shared" ref="EA580:EA603" si="380">INDEX($EE$4:$EE$426,MATCH(DU580,$ED$4:$ED$426,0))</f>
        <v>2</v>
      </c>
      <c r="EB580" s="45"/>
    </row>
    <row r="581" spans="1:132" ht="13.5" customHeight="1">
      <c r="A581" s="9">
        <v>578</v>
      </c>
      <c r="B581" s="9">
        <v>1</v>
      </c>
      <c r="C581" s="9">
        <v>2001</v>
      </c>
      <c r="D581" s="9">
        <f t="shared" si="357"/>
        <v>29594794</v>
      </c>
      <c r="E581" s="9" t="str">
        <f t="shared" si="354"/>
        <v>5201131,5201132,5201134,5501134,5500133,5602134</v>
      </c>
      <c r="F581" s="9" t="str">
        <f t="shared" si="355"/>
        <v>13,13,13,13,13,13</v>
      </c>
      <c r="G581" s="9" t="str">
        <f t="shared" si="356"/>
        <v>1261,1363,1363,1363,1363,1363</v>
      </c>
      <c r="H581" s="9">
        <v>271</v>
      </c>
      <c r="I581" s="9" t="s">
        <v>278</v>
      </c>
      <c r="J581" s="9" t="s">
        <v>279</v>
      </c>
      <c r="K581" s="9" t="s">
        <v>279</v>
      </c>
      <c r="L581" s="9" t="s">
        <v>279</v>
      </c>
      <c r="M581" s="36" t="s">
        <v>316</v>
      </c>
      <c r="N581" s="40"/>
      <c r="O581" s="3">
        <f t="shared" si="362"/>
        <v>29594794</v>
      </c>
      <c r="P581" s="9">
        <v>22420298.739999998</v>
      </c>
      <c r="Q581" s="9">
        <v>5201131</v>
      </c>
      <c r="R581" s="9">
        <v>5201132</v>
      </c>
      <c r="S581" s="9">
        <v>5201134</v>
      </c>
      <c r="T581" s="9">
        <v>5501134</v>
      </c>
      <c r="U581" s="9">
        <v>5500133</v>
      </c>
      <c r="V581" s="9">
        <v>5602134</v>
      </c>
      <c r="W581" s="9">
        <v>13</v>
      </c>
      <c r="X581" s="9">
        <v>13</v>
      </c>
      <c r="Y581" s="9">
        <v>13</v>
      </c>
      <c r="Z581" s="9">
        <v>13</v>
      </c>
      <c r="AA581" s="9">
        <v>13</v>
      </c>
      <c r="AB581" s="9">
        <v>13</v>
      </c>
      <c r="AC581" s="9">
        <f t="shared" ref="AC581:AC603" si="381">IF(AI581&gt;0,FLOOR((POWER((AI581/IF(AND(W581&gt;=2,W581&lt;4),1.1,IF(AND(W581&gt;=4,W581&lt;6),1.2,IF(W581&gt;=6,1.4,1)))/$Z$1),0.5)/INDEX($BD$4:$BQ$4,MATCH(W581,$BD$3:$BQ$3,0))-1)*10,1),"")</f>
        <v>1261</v>
      </c>
      <c r="AD581" s="9">
        <f t="shared" ref="AD581:AD603" si="382">IF(AJ581&gt;0,FLOOR((POWER((AJ581/IF(AND(X581&gt;=2,X581&lt;4),1.1,IF(AND(X581&gt;=4,X581&lt;6),1.15,IF(X581&gt;=6,1.2,1)))/$Z$1),0.5)/INDEX($BD$4:$BQ$4,MATCH(X581,$BD$3:$BQ$3,0))-1)*10,1),"")</f>
        <v>1363</v>
      </c>
      <c r="AE581" s="9">
        <f t="shared" ref="AE581:AE603" si="383">IF(AK581&gt;0,FLOOR((POWER((AK581/IF(AND(Y581&gt;=2,Y581&lt;4),1.1,IF(AND(Y581&gt;=4,Y581&lt;6),1.15,IF(Y581&gt;=6,1.2,1)))/$Z$1),0.5)/INDEX($BD$4:$BQ$4,MATCH(Y581,$BD$3:$BQ$3,0))-1)*10,1),"")</f>
        <v>1363</v>
      </c>
      <c r="AF581" s="9">
        <f t="shared" ref="AF581:AF603" si="384">IF(AL581&gt;0,FLOOR((POWER((AL581/IF(AND(Z581&gt;=2,Z581&lt;4),1.1,IF(AND(Z581&gt;=4,Z581&lt;6),1.15,IF(Z581&gt;=6,1.2,1)))/$Z$1),0.5)/INDEX($BD$4:$BQ$4,MATCH(Z581,$BD$3:$BQ$3,0))-1)*10,1),"")</f>
        <v>1363</v>
      </c>
      <c r="AG581" s="9">
        <f t="shared" ref="AG581:AG603" si="385">IF(AM581&gt;0,FLOOR((POWER((AM581/IF(AND(AA581&gt;=2,AA581&lt;4),1.1,IF(AND(AA581&gt;=4,AA581&lt;6),1.15,IF(AA581&gt;=6,1.2,1)))/$Z$1),0.5)/INDEX($BD$4:$BQ$4,MATCH(AA581,$BD$3:$BQ$3,0))-1)*10,1),"")</f>
        <v>1363</v>
      </c>
      <c r="AH581" s="9">
        <f t="shared" ref="AH581:AH603" si="386">IF(AN581&gt;0,FLOOR((POWER((AN581/IF(AND(AB581&gt;=2,AB581&lt;4),1.1,IF(AND(AB581&gt;=4,AB581&lt;6),1.15,IF(AB581&gt;=6,1.2,1)))/$Z$1),0.5)/INDEX($BD$4:$BQ$4,MATCH(AB581,$BD$3:$BQ$3,0))-1)*10,1),"")</f>
        <v>1363</v>
      </c>
      <c r="AI581" s="7">
        <f t="shared" si="360"/>
        <v>3736716.4566666665</v>
      </c>
      <c r="AJ581" s="7">
        <f t="shared" si="359"/>
        <v>3736716.4566666665</v>
      </c>
      <c r="AK581" s="7">
        <f t="shared" si="359"/>
        <v>3736716.4566666665</v>
      </c>
      <c r="AL581" s="7">
        <f t="shared" si="359"/>
        <v>3736716.4566666665</v>
      </c>
      <c r="AM581" s="7">
        <f t="shared" si="359"/>
        <v>3736716.4566666665</v>
      </c>
      <c r="AN581" s="7">
        <f t="shared" si="359"/>
        <v>3736716.4566666665</v>
      </c>
      <c r="AO581" s="16"/>
      <c r="AP581" s="7"/>
      <c r="AQ581" s="9">
        <v>9</v>
      </c>
      <c r="AR581" s="9">
        <f t="shared" ref="AR581:AR603" si="387">IF(AI581&gt;0,FLOOR((POWER((AI581/IF(AND(AQ581&gt;=2,AQ581&lt;4),1.2,IF(AND(AQ581&gt;=4,AQ581&lt;6),1.4,IF(AQ581&gt;=6,1.6,1)))/$Z$1),0.5)/INDEX($BD$4:$BQ$4,MATCH(AQ581,$BD$3:$BQ$3,0))-1)*10,1),"")</f>
        <v>1575</v>
      </c>
      <c r="AS581" s="7">
        <f t="shared" si="358"/>
        <v>389</v>
      </c>
      <c r="AT581" s="7"/>
      <c r="AU581" s="16"/>
      <c r="AV581" s="7"/>
      <c r="AW581" s="7"/>
      <c r="AX581" s="7"/>
      <c r="AZ581" s="7"/>
      <c r="BA581" s="9">
        <f t="shared" si="361"/>
        <v>3152942.9200000037</v>
      </c>
      <c r="BC581" s="5" t="e">
        <f t="shared" ref="BC581:BC603" si="388">FLOOR(POWER(((3000*1.5/0.9/1.05)/(96*INDEX($BD$4:$BO$4,MATCH(W581,$BD$3:$BO$3,0))*8*INDEX($BD$4:$BO$4,MATCH(W581,$BD$3:$BO$3,0)))*AI581/IF(AND(W581&gt;=2,W581&lt;4),1.2,IF(AND(W581&gt;=4,W581&lt;6),1.4,IF(W581&gt;=6,1.6,1)))),1/2)-10,1)</f>
        <v>#N/A</v>
      </c>
      <c r="BR581" s="5">
        <v>4101041</v>
      </c>
      <c r="BS581" s="18">
        <f>[1]monsters!$N581</f>
        <v>143.36000000000001</v>
      </c>
      <c r="BT581" s="18">
        <f>[1]monsters!$O581</f>
        <v>14.34</v>
      </c>
      <c r="BU581" s="18">
        <f>[1]monsters!$P581</f>
        <v>1120</v>
      </c>
      <c r="BV581" s="18">
        <f>[1]monsters!$Q581</f>
        <v>112</v>
      </c>
      <c r="BW581" s="18">
        <f>[1]monsters!$R581</f>
        <v>23.89</v>
      </c>
      <c r="BX581" s="18">
        <f>[1]monsters!$S581</f>
        <v>2.39</v>
      </c>
      <c r="BY581" s="18">
        <f>[1]monsters!$K581</f>
        <v>1.6</v>
      </c>
      <c r="BZ581" s="5">
        <f>[1]monsters!$D581</f>
        <v>5</v>
      </c>
      <c r="CA581" s="5">
        <f t="shared" ref="CA581:CA644" si="389">INDEX($CH$5:$CH$10,MATCH($BZ581,$CG$5:$CG$10))</f>
        <v>0.1</v>
      </c>
      <c r="CB581" s="5">
        <f t="shared" ref="CB581:CB644" si="390">(BU581/33/(1-CA581)/(1-0)+BS581*(1+0.5*0.1)*0.9)</f>
        <v>173.18563771043773</v>
      </c>
      <c r="CC581" s="5">
        <f t="shared" ref="CC581:CC644" si="391">(BU581/33/(1-CA581)/(1-0)+BS581*(1+0.5*0.1)*0.9)*0.1</f>
        <v>17.318563771043774</v>
      </c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>
        <v>0</v>
      </c>
      <c r="CR581" s="3" t="b">
        <f t="shared" si="363"/>
        <v>1</v>
      </c>
      <c r="CS581" s="3" t="b">
        <f t="shared" si="364"/>
        <v>1</v>
      </c>
      <c r="CT581" s="3" t="b">
        <f t="shared" si="365"/>
        <v>1</v>
      </c>
      <c r="CU581" s="3" t="b">
        <f t="shared" si="366"/>
        <v>1</v>
      </c>
      <c r="CV581" s="3" t="b">
        <f t="shared" si="367"/>
        <v>1</v>
      </c>
      <c r="CW581" s="3" t="b">
        <f t="shared" si="368"/>
        <v>1</v>
      </c>
      <c r="CX581" s="9" t="str">
        <f t="shared" si="369"/>
        <v>5201131</v>
      </c>
      <c r="CY581" s="9" t="str">
        <f t="shared" si="370"/>
        <v>5201132</v>
      </c>
      <c r="CZ581" s="9" t="str">
        <f t="shared" si="371"/>
        <v>5201134</v>
      </c>
      <c r="DA581" s="9" t="str">
        <f t="shared" si="372"/>
        <v>5501134</v>
      </c>
      <c r="DB581" s="9" t="str">
        <f t="shared" si="373"/>
        <v>5500133</v>
      </c>
      <c r="DC581" s="9" t="str">
        <f t="shared" si="374"/>
        <v>5602134</v>
      </c>
      <c r="DD581" s="9">
        <v>13</v>
      </c>
      <c r="DE581" s="9">
        <v>13</v>
      </c>
      <c r="DF581" s="9">
        <v>13</v>
      </c>
      <c r="DG581" s="9">
        <v>13</v>
      </c>
      <c r="DH581" s="9">
        <v>13</v>
      </c>
      <c r="DI581" s="9">
        <v>13</v>
      </c>
      <c r="DJ581" s="9">
        <v>5</v>
      </c>
      <c r="DK581" s="9">
        <v>5</v>
      </c>
      <c r="DL581" s="9">
        <v>5</v>
      </c>
      <c r="DM581" s="9">
        <v>5</v>
      </c>
      <c r="DN581" s="9">
        <v>5</v>
      </c>
      <c r="DO581" s="9">
        <v>5</v>
      </c>
      <c r="DP581" s="25" t="s">
        <v>195</v>
      </c>
      <c r="DQ581" s="25" t="s">
        <v>114</v>
      </c>
      <c r="DR581" s="26" t="s">
        <v>217</v>
      </c>
      <c r="DS581" s="26" t="s">
        <v>214</v>
      </c>
      <c r="DT581" s="26" t="s">
        <v>207</v>
      </c>
      <c r="DU581" s="26" t="s">
        <v>220</v>
      </c>
      <c r="DV581" s="26">
        <f t="shared" si="375"/>
        <v>1</v>
      </c>
      <c r="DW581" s="26">
        <f t="shared" si="376"/>
        <v>1</v>
      </c>
      <c r="DX581" s="26">
        <f t="shared" si="377"/>
        <v>1</v>
      </c>
      <c r="DY581" s="26">
        <f t="shared" si="378"/>
        <v>2</v>
      </c>
      <c r="DZ581" s="26">
        <f t="shared" si="379"/>
        <v>2</v>
      </c>
      <c r="EA581" s="3">
        <f t="shared" si="380"/>
        <v>2</v>
      </c>
      <c r="EB581" s="45"/>
    </row>
    <row r="582" spans="1:132" ht="13.5" customHeight="1">
      <c r="A582" s="9">
        <v>579</v>
      </c>
      <c r="B582" s="9">
        <v>1</v>
      </c>
      <c r="C582" s="9">
        <v>2001</v>
      </c>
      <c r="D582" s="9">
        <f t="shared" si="357"/>
        <v>29678659</v>
      </c>
      <c r="E582" s="9" t="str">
        <f t="shared" si="354"/>
        <v>5200132,5301132,5202133,5402131,5400135,5500131</v>
      </c>
      <c r="F582" s="9" t="str">
        <f t="shared" si="355"/>
        <v>13,13,13,13,13,13</v>
      </c>
      <c r="G582" s="9" t="str">
        <f t="shared" si="356"/>
        <v>1263,1365,1365,1365,1365,1365</v>
      </c>
      <c r="H582" s="9">
        <v>271</v>
      </c>
      <c r="I582" s="9" t="s">
        <v>278</v>
      </c>
      <c r="J582" s="9" t="s">
        <v>279</v>
      </c>
      <c r="K582" s="9" t="s">
        <v>279</v>
      </c>
      <c r="L582" s="9" t="s">
        <v>279</v>
      </c>
      <c r="M582" s="36" t="s">
        <v>316</v>
      </c>
      <c r="N582" s="40"/>
      <c r="O582" s="3">
        <f t="shared" si="362"/>
        <v>29678659</v>
      </c>
      <c r="P582" s="9">
        <v>22483832.949999999</v>
      </c>
      <c r="Q582" s="9">
        <v>5200132</v>
      </c>
      <c r="R582" s="9">
        <v>5301132</v>
      </c>
      <c r="S582" s="9">
        <v>5202133</v>
      </c>
      <c r="T582" s="9">
        <v>5402131</v>
      </c>
      <c r="U582" s="9">
        <v>5400135</v>
      </c>
      <c r="V582" s="9">
        <v>5500131</v>
      </c>
      <c r="W582" s="9">
        <v>13</v>
      </c>
      <c r="X582" s="9">
        <v>13</v>
      </c>
      <c r="Y582" s="9">
        <v>13</v>
      </c>
      <c r="Z582" s="9">
        <v>13</v>
      </c>
      <c r="AA582" s="9">
        <v>13</v>
      </c>
      <c r="AB582" s="9">
        <v>13</v>
      </c>
      <c r="AC582" s="9">
        <f t="shared" si="381"/>
        <v>1263</v>
      </c>
      <c r="AD582" s="9">
        <f t="shared" si="382"/>
        <v>1365</v>
      </c>
      <c r="AE582" s="9">
        <f t="shared" si="383"/>
        <v>1365</v>
      </c>
      <c r="AF582" s="9">
        <f t="shared" si="384"/>
        <v>1365</v>
      </c>
      <c r="AG582" s="9">
        <f t="shared" si="385"/>
        <v>1365</v>
      </c>
      <c r="AH582" s="9">
        <f t="shared" si="386"/>
        <v>1365</v>
      </c>
      <c r="AI582" s="7">
        <f t="shared" si="360"/>
        <v>3747305.4916666667</v>
      </c>
      <c r="AJ582" s="7">
        <f t="shared" si="359"/>
        <v>3747305.4916666667</v>
      </c>
      <c r="AK582" s="7">
        <f t="shared" si="359"/>
        <v>3747305.4916666667</v>
      </c>
      <c r="AL582" s="7">
        <f t="shared" si="359"/>
        <v>3747305.4916666667</v>
      </c>
      <c r="AM582" s="7">
        <f t="shared" si="359"/>
        <v>3747305.4916666667</v>
      </c>
      <c r="AN582" s="7">
        <f t="shared" si="359"/>
        <v>3747305.4916666667</v>
      </c>
      <c r="AO582" s="16"/>
      <c r="AP582" s="7"/>
      <c r="AQ582" s="9">
        <v>9</v>
      </c>
      <c r="AR582" s="9">
        <f t="shared" si="387"/>
        <v>1577</v>
      </c>
      <c r="AS582" s="7">
        <f t="shared" si="358"/>
        <v>389</v>
      </c>
      <c r="AT582" s="7"/>
      <c r="AU582" s="16"/>
      <c r="AV582" s="7"/>
      <c r="AW582" s="7"/>
      <c r="AX582" s="7"/>
      <c r="AZ582" s="7"/>
      <c r="BA582" s="9">
        <f t="shared" si="361"/>
        <v>3175204.0600000038</v>
      </c>
      <c r="BC582" s="5" t="e">
        <f t="shared" si="388"/>
        <v>#N/A</v>
      </c>
      <c r="BR582" s="5">
        <v>4102041</v>
      </c>
      <c r="BS582" s="18">
        <f>[1]monsters!$N582</f>
        <v>120.21</v>
      </c>
      <c r="BT582" s="18">
        <f>[1]monsters!$O582</f>
        <v>12.02</v>
      </c>
      <c r="BU582" s="18">
        <f>[1]monsters!$P582</f>
        <v>1168.7</v>
      </c>
      <c r="BV582" s="18">
        <f>[1]monsters!$Q582</f>
        <v>116.87</v>
      </c>
      <c r="BW582" s="18">
        <f>[1]monsters!$R582</f>
        <v>15.03</v>
      </c>
      <c r="BX582" s="18">
        <f>[1]monsters!$S582</f>
        <v>1.5</v>
      </c>
      <c r="BY582" s="18">
        <f>[1]monsters!$K582</f>
        <v>1.4</v>
      </c>
      <c r="BZ582" s="5">
        <f>[1]monsters!$D582</f>
        <v>3</v>
      </c>
      <c r="CA582" s="5">
        <f t="shared" si="389"/>
        <v>0.1</v>
      </c>
      <c r="CB582" s="5">
        <f t="shared" si="390"/>
        <v>152.94861835016835</v>
      </c>
      <c r="CC582" s="5">
        <f t="shared" si="391"/>
        <v>15.294861835016835</v>
      </c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>
        <v>0</v>
      </c>
      <c r="CR582" s="3" t="b">
        <f t="shared" si="363"/>
        <v>1</v>
      </c>
      <c r="CS582" s="3" t="b">
        <f t="shared" si="364"/>
        <v>1</v>
      </c>
      <c r="CT582" s="3" t="b">
        <f t="shared" si="365"/>
        <v>1</v>
      </c>
      <c r="CU582" s="3" t="b">
        <f t="shared" si="366"/>
        <v>1</v>
      </c>
      <c r="CV582" s="3" t="b">
        <f t="shared" si="367"/>
        <v>1</v>
      </c>
      <c r="CW582" s="3" t="b">
        <f t="shared" si="368"/>
        <v>1</v>
      </c>
      <c r="CX582" s="9" t="str">
        <f t="shared" si="369"/>
        <v>5200132</v>
      </c>
      <c r="CY582" s="9" t="str">
        <f t="shared" si="370"/>
        <v>5301132</v>
      </c>
      <c r="CZ582" s="9" t="str">
        <f t="shared" si="371"/>
        <v>5202133</v>
      </c>
      <c r="DA582" s="9" t="str">
        <f t="shared" si="372"/>
        <v>5402131</v>
      </c>
      <c r="DB582" s="9" t="str">
        <f t="shared" si="373"/>
        <v>5400135</v>
      </c>
      <c r="DC582" s="9" t="str">
        <f t="shared" si="374"/>
        <v>5500131</v>
      </c>
      <c r="DD582" s="9">
        <v>13</v>
      </c>
      <c r="DE582" s="9">
        <v>13</v>
      </c>
      <c r="DF582" s="9">
        <v>13</v>
      </c>
      <c r="DG582" s="9">
        <v>13</v>
      </c>
      <c r="DH582" s="9">
        <v>13</v>
      </c>
      <c r="DI582" s="9">
        <v>13</v>
      </c>
      <c r="DJ582" s="9">
        <v>5</v>
      </c>
      <c r="DK582" s="9">
        <v>5</v>
      </c>
      <c r="DL582" s="9">
        <v>5</v>
      </c>
      <c r="DM582" s="9">
        <v>5</v>
      </c>
      <c r="DN582" s="9">
        <v>5</v>
      </c>
      <c r="DO582" s="9">
        <v>5</v>
      </c>
      <c r="DP582" s="25" t="s">
        <v>199</v>
      </c>
      <c r="DQ582" s="26" t="s">
        <v>201</v>
      </c>
      <c r="DR582" s="25" t="s">
        <v>208</v>
      </c>
      <c r="DS582" s="26" t="s">
        <v>196</v>
      </c>
      <c r="DT582" s="26" t="s">
        <v>210</v>
      </c>
      <c r="DU582" s="28" t="s">
        <v>197</v>
      </c>
      <c r="DV582" s="28">
        <f t="shared" si="375"/>
        <v>1</v>
      </c>
      <c r="DW582" s="28">
        <f t="shared" si="376"/>
        <v>1</v>
      </c>
      <c r="DX582" s="28">
        <f t="shared" si="377"/>
        <v>1</v>
      </c>
      <c r="DY582" s="28">
        <f t="shared" si="378"/>
        <v>2</v>
      </c>
      <c r="DZ582" s="28">
        <f t="shared" si="379"/>
        <v>2</v>
      </c>
      <c r="EA582" s="3">
        <f t="shared" si="380"/>
        <v>2</v>
      </c>
      <c r="EB582" s="45"/>
    </row>
    <row r="583" spans="1:132" ht="13.5" customHeight="1">
      <c r="A583" s="9">
        <v>580</v>
      </c>
      <c r="B583" s="9">
        <v>1</v>
      </c>
      <c r="C583" s="9">
        <v>2001</v>
      </c>
      <c r="D583" s="9">
        <f t="shared" si="357"/>
        <v>29762642</v>
      </c>
      <c r="E583" s="9" t="str">
        <f t="shared" si="354"/>
        <v>5201133,5201133,5201133,5402133,5402133,5402133</v>
      </c>
      <c r="F583" s="9" t="str">
        <f t="shared" si="355"/>
        <v>13,13,13,13,13,13</v>
      </c>
      <c r="G583" s="9" t="str">
        <f t="shared" si="356"/>
        <v>1264,1367,1367,1367,1367,1367</v>
      </c>
      <c r="H583" s="9">
        <v>272</v>
      </c>
      <c r="I583" s="9" t="s">
        <v>278</v>
      </c>
      <c r="J583" s="9" t="s">
        <v>279</v>
      </c>
      <c r="K583" s="9" t="s">
        <v>279</v>
      </c>
      <c r="L583" s="9" t="s">
        <v>279</v>
      </c>
      <c r="M583" s="36" t="s">
        <v>316</v>
      </c>
      <c r="O583" s="3">
        <f t="shared" si="362"/>
        <v>29762642</v>
      </c>
      <c r="P583" s="9">
        <v>22547455.780000001</v>
      </c>
      <c r="Q583" s="9">
        <v>5201133</v>
      </c>
      <c r="R583" s="9">
        <v>5201133</v>
      </c>
      <c r="S583" s="9">
        <v>5201133</v>
      </c>
      <c r="T583" s="9">
        <v>5402133</v>
      </c>
      <c r="U583" s="9">
        <v>5402133</v>
      </c>
      <c r="V583" s="9">
        <v>5402133</v>
      </c>
      <c r="W583" s="9">
        <v>13</v>
      </c>
      <c r="X583" s="9">
        <v>13</v>
      </c>
      <c r="Y583" s="9">
        <v>13</v>
      </c>
      <c r="Z583" s="9">
        <v>13</v>
      </c>
      <c r="AA583" s="9">
        <v>13</v>
      </c>
      <c r="AB583" s="9">
        <v>13</v>
      </c>
      <c r="AC583" s="9">
        <f t="shared" si="381"/>
        <v>1264</v>
      </c>
      <c r="AD583" s="9">
        <f t="shared" si="382"/>
        <v>1367</v>
      </c>
      <c r="AE583" s="9">
        <f t="shared" si="383"/>
        <v>1367</v>
      </c>
      <c r="AF583" s="9">
        <f t="shared" si="384"/>
        <v>1367</v>
      </c>
      <c r="AG583" s="9">
        <f t="shared" si="385"/>
        <v>1367</v>
      </c>
      <c r="AH583" s="9">
        <f t="shared" si="386"/>
        <v>1367</v>
      </c>
      <c r="AI583" s="7">
        <f t="shared" si="360"/>
        <v>3757909.2966666669</v>
      </c>
      <c r="AJ583" s="7">
        <f t="shared" si="359"/>
        <v>3757909.2966666669</v>
      </c>
      <c r="AK583" s="7">
        <f t="shared" si="359"/>
        <v>3757909.2966666669</v>
      </c>
      <c r="AL583" s="7">
        <f t="shared" si="359"/>
        <v>3757909.2966666669</v>
      </c>
      <c r="AM583" s="7">
        <f t="shared" si="359"/>
        <v>3757909.2966666669</v>
      </c>
      <c r="AN583" s="7">
        <f t="shared" si="359"/>
        <v>3757909.2966666669</v>
      </c>
      <c r="AO583" s="16"/>
      <c r="AP583" s="7"/>
      <c r="AQ583" s="9">
        <v>9</v>
      </c>
      <c r="AR583" s="9">
        <f t="shared" si="387"/>
        <v>1580</v>
      </c>
      <c r="AS583" s="7">
        <f t="shared" si="358"/>
        <v>390</v>
      </c>
      <c r="AT583" s="7"/>
      <c r="AU583" s="16"/>
      <c r="AV583" s="7"/>
      <c r="AW583" s="7"/>
      <c r="AX583" s="7"/>
      <c r="AZ583" s="7"/>
      <c r="BA583" s="9">
        <f t="shared" si="361"/>
        <v>3197465.2000000039</v>
      </c>
      <c r="BC583" s="5" t="e">
        <f t="shared" si="388"/>
        <v>#N/A</v>
      </c>
      <c r="BR583" s="5">
        <v>4206042</v>
      </c>
      <c r="BS583" s="18">
        <f>[1]monsters!$N583</f>
        <v>87.36</v>
      </c>
      <c r="BT583" s="18">
        <f>[1]monsters!$O583</f>
        <v>8.74</v>
      </c>
      <c r="BU583" s="18">
        <f>[1]monsters!$P583</f>
        <v>1493.33</v>
      </c>
      <c r="BV583" s="18">
        <f>[1]monsters!$Q583</f>
        <v>149.33000000000001</v>
      </c>
      <c r="BW583" s="18">
        <f>[1]monsters!$R583</f>
        <v>17.47</v>
      </c>
      <c r="BX583" s="18">
        <f>[1]monsters!$S583</f>
        <v>1.75</v>
      </c>
      <c r="BY583" s="18">
        <f>[1]monsters!$K583</f>
        <v>1.3</v>
      </c>
      <c r="BZ583" s="5">
        <f>[1]monsters!$D583</f>
        <v>2</v>
      </c>
      <c r="CA583" s="5">
        <f t="shared" si="389"/>
        <v>0.1</v>
      </c>
      <c r="CB583" s="5">
        <f t="shared" si="390"/>
        <v>132.83567138047138</v>
      </c>
      <c r="CC583" s="5">
        <f t="shared" si="391"/>
        <v>13.28356713804714</v>
      </c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>
        <v>1</v>
      </c>
      <c r="CR583" s="3" t="b">
        <f t="shared" si="363"/>
        <v>1</v>
      </c>
      <c r="CS583" s="3" t="b">
        <f t="shared" si="364"/>
        <v>1</v>
      </c>
      <c r="CT583" s="3" t="b">
        <f t="shared" si="365"/>
        <v>1</v>
      </c>
      <c r="CU583" s="3" t="b">
        <f t="shared" si="366"/>
        <v>1</v>
      </c>
      <c r="CV583" s="3" t="b">
        <f t="shared" si="367"/>
        <v>1</v>
      </c>
      <c r="CW583" s="3" t="b">
        <f t="shared" si="368"/>
        <v>1</v>
      </c>
      <c r="CX583" s="9" t="str">
        <f t="shared" si="369"/>
        <v>5201133</v>
      </c>
      <c r="CY583" s="9" t="str">
        <f t="shared" si="370"/>
        <v>5201133</v>
      </c>
      <c r="CZ583" s="9" t="str">
        <f t="shared" si="371"/>
        <v>5201133</v>
      </c>
      <c r="DA583" s="9" t="str">
        <f t="shared" si="372"/>
        <v>5402133</v>
      </c>
      <c r="DB583" s="9" t="str">
        <f t="shared" si="373"/>
        <v>5402133</v>
      </c>
      <c r="DC583" s="9" t="str">
        <f t="shared" si="374"/>
        <v>5402133</v>
      </c>
      <c r="DD583" s="9">
        <v>13</v>
      </c>
      <c r="DE583" s="9">
        <v>13</v>
      </c>
      <c r="DF583" s="9">
        <v>13</v>
      </c>
      <c r="DG583" s="9">
        <v>13</v>
      </c>
      <c r="DH583" s="9">
        <v>13</v>
      </c>
      <c r="DI583" s="9">
        <v>13</v>
      </c>
      <c r="DJ583" s="9">
        <v>5</v>
      </c>
      <c r="DK583" s="9">
        <v>5</v>
      </c>
      <c r="DL583" s="9">
        <v>5</v>
      </c>
      <c r="DM583" s="9">
        <v>5</v>
      </c>
      <c r="DN583" s="9">
        <v>5</v>
      </c>
      <c r="DO583" s="9">
        <v>5</v>
      </c>
      <c r="DP583" s="25" t="s">
        <v>205</v>
      </c>
      <c r="DQ583" s="25" t="s">
        <v>205</v>
      </c>
      <c r="DR583" s="25" t="s">
        <v>205</v>
      </c>
      <c r="DS583" s="26" t="s">
        <v>118</v>
      </c>
      <c r="DT583" s="26" t="s">
        <v>118</v>
      </c>
      <c r="DU583" s="26" t="s">
        <v>118</v>
      </c>
      <c r="DV583" s="26">
        <f t="shared" si="375"/>
        <v>1</v>
      </c>
      <c r="DW583" s="26">
        <f t="shared" si="376"/>
        <v>1</v>
      </c>
      <c r="DX583" s="26">
        <f t="shared" si="377"/>
        <v>1</v>
      </c>
      <c r="DY583" s="26">
        <f t="shared" si="378"/>
        <v>2</v>
      </c>
      <c r="DZ583" s="26">
        <f t="shared" si="379"/>
        <v>2</v>
      </c>
      <c r="EA583" s="3">
        <f t="shared" si="380"/>
        <v>2</v>
      </c>
      <c r="EB583" s="47"/>
    </row>
    <row r="584" spans="1:132" ht="13.5" customHeight="1">
      <c r="A584" s="9">
        <v>581</v>
      </c>
      <c r="B584" s="9">
        <v>1</v>
      </c>
      <c r="C584" s="9">
        <v>2001</v>
      </c>
      <c r="D584" s="9">
        <f t="shared" si="357"/>
        <v>29846744</v>
      </c>
      <c r="E584" s="9" t="str">
        <f t="shared" si="354"/>
        <v>5201131,5201132,5200131,5502131,5601131,5502131</v>
      </c>
      <c r="F584" s="9" t="str">
        <f t="shared" si="355"/>
        <v>13,13,13,13,13,13</v>
      </c>
      <c r="G584" s="9" t="str">
        <f t="shared" si="356"/>
        <v>1266,1368,1368,1368,1368,1368</v>
      </c>
      <c r="H584" s="9">
        <v>272</v>
      </c>
      <c r="I584" s="9" t="s">
        <v>278</v>
      </c>
      <c r="J584" s="9" t="s">
        <v>279</v>
      </c>
      <c r="K584" s="9" t="s">
        <v>279</v>
      </c>
      <c r="L584" s="9" t="s">
        <v>279</v>
      </c>
      <c r="M584" s="36" t="s">
        <v>316</v>
      </c>
      <c r="N584" s="40"/>
      <c r="O584" s="3">
        <f t="shared" si="362"/>
        <v>29846744</v>
      </c>
      <c r="P584" s="9">
        <v>22611169.34</v>
      </c>
      <c r="Q584" s="9">
        <v>5201131</v>
      </c>
      <c r="R584" s="9">
        <v>5201132</v>
      </c>
      <c r="S584" s="9">
        <v>5200131</v>
      </c>
      <c r="T584" s="9">
        <v>5502131</v>
      </c>
      <c r="U584" s="9">
        <v>5601131</v>
      </c>
      <c r="V584" s="9">
        <v>5502131</v>
      </c>
      <c r="W584" s="9">
        <v>13</v>
      </c>
      <c r="X584" s="9">
        <v>13</v>
      </c>
      <c r="Y584" s="9">
        <v>13</v>
      </c>
      <c r="Z584" s="9">
        <v>13</v>
      </c>
      <c r="AA584" s="9">
        <v>13</v>
      </c>
      <c r="AB584" s="9">
        <v>13</v>
      </c>
      <c r="AC584" s="9">
        <f t="shared" si="381"/>
        <v>1266</v>
      </c>
      <c r="AD584" s="9">
        <f t="shared" si="382"/>
        <v>1368</v>
      </c>
      <c r="AE584" s="9">
        <f t="shared" si="383"/>
        <v>1368</v>
      </c>
      <c r="AF584" s="9">
        <f t="shared" si="384"/>
        <v>1368</v>
      </c>
      <c r="AG584" s="9">
        <f t="shared" si="385"/>
        <v>1368</v>
      </c>
      <c r="AH584" s="9">
        <f t="shared" si="386"/>
        <v>1368</v>
      </c>
      <c r="AI584" s="7">
        <f t="shared" si="360"/>
        <v>3768528.2233333332</v>
      </c>
      <c r="AJ584" s="7">
        <f t="shared" si="359"/>
        <v>3768528.2233333332</v>
      </c>
      <c r="AK584" s="7">
        <f t="shared" si="359"/>
        <v>3768528.2233333332</v>
      </c>
      <c r="AL584" s="7">
        <f t="shared" si="359"/>
        <v>3768528.2233333332</v>
      </c>
      <c r="AM584" s="7">
        <f t="shared" si="359"/>
        <v>3768528.2233333332</v>
      </c>
      <c r="AN584" s="7">
        <f t="shared" si="359"/>
        <v>3768528.2233333332</v>
      </c>
      <c r="AO584" s="16"/>
      <c r="AP584" s="7"/>
      <c r="AQ584" s="9">
        <v>9</v>
      </c>
      <c r="AR584" s="9">
        <f t="shared" si="387"/>
        <v>1582</v>
      </c>
      <c r="AS584" s="7">
        <f t="shared" si="358"/>
        <v>390</v>
      </c>
      <c r="AT584" s="7"/>
      <c r="AU584" s="16"/>
      <c r="AV584" s="7"/>
      <c r="AW584" s="7"/>
      <c r="AX584" s="7"/>
      <c r="AZ584" s="7"/>
      <c r="BA584" s="9">
        <f t="shared" si="361"/>
        <v>3219726.340000004</v>
      </c>
      <c r="BC584" s="5" t="e">
        <f t="shared" si="388"/>
        <v>#N/A</v>
      </c>
      <c r="BR584" s="5">
        <v>4406042</v>
      </c>
      <c r="BS584" s="18">
        <f>[1]monsters!$N584</f>
        <v>116.48</v>
      </c>
      <c r="BT584" s="18">
        <f>[1]monsters!$O584</f>
        <v>11.65</v>
      </c>
      <c r="BU584" s="18">
        <f>[1]monsters!$P584</f>
        <v>1120</v>
      </c>
      <c r="BV584" s="18">
        <f>[1]monsters!$Q584</f>
        <v>112</v>
      </c>
      <c r="BW584" s="18">
        <f>[1]monsters!$R584</f>
        <v>11.65</v>
      </c>
      <c r="BX584" s="18">
        <f>[1]monsters!$S584</f>
        <v>1.1599999999999999</v>
      </c>
      <c r="BY584" s="18">
        <f>[1]monsters!$K584</f>
        <v>1.3</v>
      </c>
      <c r="BZ584" s="5">
        <f>[1]monsters!$D584</f>
        <v>4</v>
      </c>
      <c r="CA584" s="5">
        <f t="shared" si="389"/>
        <v>0.1</v>
      </c>
      <c r="CB584" s="5">
        <f t="shared" si="390"/>
        <v>147.78403771043773</v>
      </c>
      <c r="CC584" s="5">
        <f t="shared" si="391"/>
        <v>14.778403771043774</v>
      </c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>
        <v>0</v>
      </c>
      <c r="CR584" s="3" t="b">
        <f t="shared" si="363"/>
        <v>1</v>
      </c>
      <c r="CS584" s="3" t="b">
        <f t="shared" si="364"/>
        <v>1</v>
      </c>
      <c r="CT584" s="3" t="b">
        <f t="shared" si="365"/>
        <v>1</v>
      </c>
      <c r="CU584" s="3" t="b">
        <f t="shared" si="366"/>
        <v>1</v>
      </c>
      <c r="CV584" s="3" t="b">
        <f t="shared" si="367"/>
        <v>1</v>
      </c>
      <c r="CW584" s="3" t="b">
        <f t="shared" si="368"/>
        <v>1</v>
      </c>
      <c r="CX584" s="9" t="str">
        <f t="shared" si="369"/>
        <v>5201131</v>
      </c>
      <c r="CY584" s="9" t="str">
        <f t="shared" si="370"/>
        <v>5201132</v>
      </c>
      <c r="CZ584" s="9" t="str">
        <f t="shared" si="371"/>
        <v>5200131</v>
      </c>
      <c r="DA584" s="9" t="str">
        <f t="shared" si="372"/>
        <v>5502131</v>
      </c>
      <c r="DB584" s="9" t="str">
        <f t="shared" si="373"/>
        <v>5601131</v>
      </c>
      <c r="DC584" s="9" t="str">
        <f t="shared" si="374"/>
        <v>5502131</v>
      </c>
      <c r="DD584" s="9">
        <v>13</v>
      </c>
      <c r="DE584" s="9">
        <v>13</v>
      </c>
      <c r="DF584" s="9">
        <v>13</v>
      </c>
      <c r="DG584" s="9">
        <v>13</v>
      </c>
      <c r="DH584" s="9">
        <v>13</v>
      </c>
      <c r="DI584" s="9">
        <v>13</v>
      </c>
      <c r="DJ584" s="9">
        <v>5</v>
      </c>
      <c r="DK584" s="9">
        <v>5</v>
      </c>
      <c r="DL584" s="9">
        <v>5</v>
      </c>
      <c r="DM584" s="9">
        <v>5</v>
      </c>
      <c r="DN584" s="9">
        <v>5</v>
      </c>
      <c r="DO584" s="9">
        <v>5</v>
      </c>
      <c r="DP584" s="25" t="s">
        <v>195</v>
      </c>
      <c r="DQ584" s="25" t="s">
        <v>114</v>
      </c>
      <c r="DR584" s="25" t="s">
        <v>194</v>
      </c>
      <c r="DS584" s="25" t="s">
        <v>119</v>
      </c>
      <c r="DT584" s="25" t="s">
        <v>198</v>
      </c>
      <c r="DU584" s="25" t="s">
        <v>119</v>
      </c>
      <c r="DV584" s="25">
        <f t="shared" si="375"/>
        <v>1</v>
      </c>
      <c r="DW584" s="25">
        <f t="shared" si="376"/>
        <v>1</v>
      </c>
      <c r="DX584" s="25">
        <f t="shared" si="377"/>
        <v>1</v>
      </c>
      <c r="DY584" s="25">
        <f t="shared" si="378"/>
        <v>2</v>
      </c>
      <c r="DZ584" s="25">
        <f t="shared" si="379"/>
        <v>2</v>
      </c>
      <c r="EA584" s="3">
        <f t="shared" si="380"/>
        <v>2</v>
      </c>
      <c r="EB584" s="47"/>
    </row>
    <row r="585" spans="1:132" ht="13.5" customHeight="1">
      <c r="A585" s="9">
        <v>582</v>
      </c>
      <c r="B585" s="9">
        <v>1</v>
      </c>
      <c r="C585" s="9">
        <v>2001</v>
      </c>
      <c r="D585" s="9">
        <f t="shared" si="357"/>
        <v>29930965</v>
      </c>
      <c r="E585" s="9" t="str">
        <f t="shared" si="354"/>
        <v>5200132,5200133,5200132,5502132,5500132,5502133</v>
      </c>
      <c r="F585" s="9" t="str">
        <f t="shared" si="355"/>
        <v>13,13,13,13,13,13</v>
      </c>
      <c r="G585" s="9" t="str">
        <f t="shared" si="356"/>
        <v>1268,1370,1370,1370,1370,1370</v>
      </c>
      <c r="H585" s="9">
        <v>272</v>
      </c>
      <c r="I585" s="9" t="s">
        <v>278</v>
      </c>
      <c r="J585" s="9" t="s">
        <v>279</v>
      </c>
      <c r="K585" s="9" t="s">
        <v>279</v>
      </c>
      <c r="L585" s="9" t="s">
        <v>279</v>
      </c>
      <c r="M585" s="36" t="s">
        <v>316</v>
      </c>
      <c r="N585" s="40"/>
      <c r="O585" s="3">
        <f t="shared" si="362"/>
        <v>29930965</v>
      </c>
      <c r="P585" s="9">
        <v>22674973.629999999</v>
      </c>
      <c r="Q585" s="9">
        <v>5200132</v>
      </c>
      <c r="R585" s="9">
        <v>5200133</v>
      </c>
      <c r="S585" s="9">
        <v>5200132</v>
      </c>
      <c r="T585" s="9">
        <v>5502132</v>
      </c>
      <c r="U585" s="9">
        <v>5500132</v>
      </c>
      <c r="V585" s="9">
        <v>5502133</v>
      </c>
      <c r="W585" s="9">
        <v>13</v>
      </c>
      <c r="X585" s="9">
        <v>13</v>
      </c>
      <c r="Y585" s="9">
        <v>13</v>
      </c>
      <c r="Z585" s="9">
        <v>13</v>
      </c>
      <c r="AA585" s="9">
        <v>13</v>
      </c>
      <c r="AB585" s="9">
        <v>13</v>
      </c>
      <c r="AC585" s="9">
        <f t="shared" si="381"/>
        <v>1268</v>
      </c>
      <c r="AD585" s="9">
        <f t="shared" si="382"/>
        <v>1370</v>
      </c>
      <c r="AE585" s="9">
        <f t="shared" si="383"/>
        <v>1370</v>
      </c>
      <c r="AF585" s="9">
        <f t="shared" si="384"/>
        <v>1370</v>
      </c>
      <c r="AG585" s="9">
        <f t="shared" si="385"/>
        <v>1370</v>
      </c>
      <c r="AH585" s="9">
        <f t="shared" si="386"/>
        <v>1370</v>
      </c>
      <c r="AI585" s="7">
        <f t="shared" si="360"/>
        <v>3779162.2716666665</v>
      </c>
      <c r="AJ585" s="7">
        <f t="shared" si="359"/>
        <v>3779162.2716666665</v>
      </c>
      <c r="AK585" s="7">
        <f t="shared" si="359"/>
        <v>3779162.2716666665</v>
      </c>
      <c r="AL585" s="7">
        <f t="shared" si="359"/>
        <v>3779162.2716666665</v>
      </c>
      <c r="AM585" s="7">
        <f t="shared" si="359"/>
        <v>3779162.2716666665</v>
      </c>
      <c r="AN585" s="7">
        <f t="shared" si="359"/>
        <v>3779162.2716666665</v>
      </c>
      <c r="AO585" s="16"/>
      <c r="AP585" s="7"/>
      <c r="AQ585" s="9">
        <v>9</v>
      </c>
      <c r="AR585" s="9">
        <f t="shared" si="387"/>
        <v>1584</v>
      </c>
      <c r="AS585" s="7">
        <f t="shared" si="358"/>
        <v>391</v>
      </c>
      <c r="AT585" s="7"/>
      <c r="AU585" s="16"/>
      <c r="AV585" s="7"/>
      <c r="AW585" s="7"/>
      <c r="AX585" s="7"/>
      <c r="AZ585" s="7"/>
      <c r="BA585" s="9">
        <f t="shared" si="361"/>
        <v>3241987.4800000042</v>
      </c>
      <c r="BC585" s="5" t="e">
        <f t="shared" si="388"/>
        <v>#N/A</v>
      </c>
      <c r="BR585" s="5">
        <v>4205042</v>
      </c>
      <c r="BS585" s="18">
        <f>[1]monsters!$N585</f>
        <v>120.96</v>
      </c>
      <c r="BT585" s="18">
        <f>[1]monsters!$O585</f>
        <v>12.1</v>
      </c>
      <c r="BU585" s="18">
        <f>[1]monsters!$P585</f>
        <v>1493.33</v>
      </c>
      <c r="BV585" s="18">
        <f>[1]monsters!$Q585</f>
        <v>149.33000000000001</v>
      </c>
      <c r="BW585" s="18">
        <f>[1]monsters!$R585</f>
        <v>24.19</v>
      </c>
      <c r="BX585" s="18">
        <f>[1]monsters!$S585</f>
        <v>2.42</v>
      </c>
      <c r="BY585" s="18">
        <f>[1]monsters!$K585</f>
        <v>1.8</v>
      </c>
      <c r="BZ585" s="5">
        <f>[1]monsters!$D585</f>
        <v>2</v>
      </c>
      <c r="CA585" s="5">
        <f t="shared" si="389"/>
        <v>0.1</v>
      </c>
      <c r="CB585" s="5">
        <f t="shared" si="390"/>
        <v>164.58767138047136</v>
      </c>
      <c r="CC585" s="5">
        <f t="shared" si="391"/>
        <v>16.458767138047136</v>
      </c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>
        <v>0</v>
      </c>
      <c r="CR585" s="3" t="b">
        <f t="shared" si="363"/>
        <v>1</v>
      </c>
      <c r="CS585" s="3" t="b">
        <f t="shared" si="364"/>
        <v>1</v>
      </c>
      <c r="CT585" s="3" t="b">
        <f t="shared" si="365"/>
        <v>1</v>
      </c>
      <c r="CU585" s="3" t="b">
        <f t="shared" si="366"/>
        <v>1</v>
      </c>
      <c r="CV585" s="3" t="b">
        <f t="shared" si="367"/>
        <v>1</v>
      </c>
      <c r="CW585" s="3" t="b">
        <f t="shared" si="368"/>
        <v>1</v>
      </c>
      <c r="CX585" s="9" t="str">
        <f t="shared" si="369"/>
        <v>5200132</v>
      </c>
      <c r="CY585" s="9" t="str">
        <f t="shared" si="370"/>
        <v>5200133</v>
      </c>
      <c r="CZ585" s="9" t="str">
        <f t="shared" si="371"/>
        <v>5200132</v>
      </c>
      <c r="DA585" s="9" t="str">
        <f t="shared" si="372"/>
        <v>5502132</v>
      </c>
      <c r="DB585" s="9" t="str">
        <f t="shared" si="373"/>
        <v>5500132</v>
      </c>
      <c r="DC585" s="9" t="str">
        <f t="shared" si="374"/>
        <v>5502133</v>
      </c>
      <c r="DD585" s="9">
        <v>13</v>
      </c>
      <c r="DE585" s="9">
        <v>13</v>
      </c>
      <c r="DF585" s="9">
        <v>13</v>
      </c>
      <c r="DG585" s="9">
        <v>13</v>
      </c>
      <c r="DH585" s="9">
        <v>13</v>
      </c>
      <c r="DI585" s="9">
        <v>13</v>
      </c>
      <c r="DJ585" s="9">
        <v>5</v>
      </c>
      <c r="DK585" s="9">
        <v>5</v>
      </c>
      <c r="DL585" s="9">
        <v>5</v>
      </c>
      <c r="DM585" s="9">
        <v>5</v>
      </c>
      <c r="DN585" s="9">
        <v>5</v>
      </c>
      <c r="DO585" s="9">
        <v>5</v>
      </c>
      <c r="DP585" s="25" t="s">
        <v>199</v>
      </c>
      <c r="DQ585" s="25" t="s">
        <v>113</v>
      </c>
      <c r="DR585" s="25" t="s">
        <v>199</v>
      </c>
      <c r="DS585" s="25" t="s">
        <v>204</v>
      </c>
      <c r="DT585" s="25" t="s">
        <v>109</v>
      </c>
      <c r="DU585" s="25" t="s">
        <v>215</v>
      </c>
      <c r="DV585" s="25">
        <f t="shared" si="375"/>
        <v>1</v>
      </c>
      <c r="DW585" s="25">
        <f t="shared" si="376"/>
        <v>1</v>
      </c>
      <c r="DX585" s="25">
        <f t="shared" si="377"/>
        <v>1</v>
      </c>
      <c r="DY585" s="25">
        <f t="shared" si="378"/>
        <v>2</v>
      </c>
      <c r="DZ585" s="25">
        <f t="shared" si="379"/>
        <v>2</v>
      </c>
      <c r="EA585" s="3">
        <f t="shared" si="380"/>
        <v>2</v>
      </c>
      <c r="EB585" s="47"/>
    </row>
    <row r="586" spans="1:132" ht="13.5" customHeight="1">
      <c r="A586" s="9">
        <v>583</v>
      </c>
      <c r="B586" s="9">
        <v>1</v>
      </c>
      <c r="C586" s="9">
        <v>2001</v>
      </c>
      <c r="D586" s="9">
        <f t="shared" si="357"/>
        <v>30015307</v>
      </c>
      <c r="E586" s="9" t="str">
        <f t="shared" si="354"/>
        <v>5202133,5202132,5202133,5401133,5402132,5401133</v>
      </c>
      <c r="F586" s="9" t="str">
        <f t="shared" si="355"/>
        <v>13,13,13,13,13,13</v>
      </c>
      <c r="G586" s="9" t="str">
        <f t="shared" si="356"/>
        <v>1270,1372,1372,1372,1372,1372</v>
      </c>
      <c r="H586" s="9">
        <v>273</v>
      </c>
      <c r="I586" s="9" t="s">
        <v>278</v>
      </c>
      <c r="J586" s="9" t="s">
        <v>279</v>
      </c>
      <c r="K586" s="9" t="s">
        <v>279</v>
      </c>
      <c r="L586" s="9" t="s">
        <v>279</v>
      </c>
      <c r="M586" s="36" t="s">
        <v>316</v>
      </c>
      <c r="N586" s="40"/>
      <c r="O586" s="3">
        <f t="shared" si="362"/>
        <v>30015307</v>
      </c>
      <c r="P586" s="9">
        <v>22738868.649999999</v>
      </c>
      <c r="Q586" s="9">
        <v>5202133</v>
      </c>
      <c r="R586" s="9">
        <v>5202132</v>
      </c>
      <c r="S586" s="9">
        <v>5202133</v>
      </c>
      <c r="T586" s="9">
        <v>5401133</v>
      </c>
      <c r="U586" s="9">
        <v>5402132</v>
      </c>
      <c r="V586" s="9">
        <v>5401133</v>
      </c>
      <c r="W586" s="9">
        <v>13</v>
      </c>
      <c r="X586" s="9">
        <v>13</v>
      </c>
      <c r="Y586" s="9">
        <v>13</v>
      </c>
      <c r="Z586" s="9">
        <v>13</v>
      </c>
      <c r="AA586" s="9">
        <v>13</v>
      </c>
      <c r="AB586" s="9">
        <v>13</v>
      </c>
      <c r="AC586" s="9">
        <f t="shared" si="381"/>
        <v>1270</v>
      </c>
      <c r="AD586" s="9">
        <f t="shared" si="382"/>
        <v>1372</v>
      </c>
      <c r="AE586" s="9">
        <f t="shared" si="383"/>
        <v>1372</v>
      </c>
      <c r="AF586" s="9">
        <f t="shared" si="384"/>
        <v>1372</v>
      </c>
      <c r="AG586" s="9">
        <f t="shared" si="385"/>
        <v>1372</v>
      </c>
      <c r="AH586" s="9">
        <f t="shared" si="386"/>
        <v>1372</v>
      </c>
      <c r="AI586" s="7">
        <f t="shared" si="360"/>
        <v>3789811.4416666664</v>
      </c>
      <c r="AJ586" s="7">
        <f t="shared" si="359"/>
        <v>3789811.4416666664</v>
      </c>
      <c r="AK586" s="7">
        <f t="shared" si="359"/>
        <v>3789811.4416666664</v>
      </c>
      <c r="AL586" s="7">
        <f t="shared" si="359"/>
        <v>3789811.4416666664</v>
      </c>
      <c r="AM586" s="7">
        <f t="shared" si="359"/>
        <v>3789811.4416666664</v>
      </c>
      <c r="AN586" s="7">
        <f t="shared" si="359"/>
        <v>3789811.4416666664</v>
      </c>
      <c r="AO586" s="16"/>
      <c r="AP586" s="7"/>
      <c r="AQ586" s="9">
        <v>9</v>
      </c>
      <c r="AR586" s="9">
        <f t="shared" si="387"/>
        <v>1586</v>
      </c>
      <c r="AS586" s="7">
        <f t="shared" si="358"/>
        <v>391</v>
      </c>
      <c r="AT586" s="7"/>
      <c r="AU586" s="16"/>
      <c r="AV586" s="7"/>
      <c r="AW586" s="7"/>
      <c r="AX586" s="7"/>
      <c r="AZ586" s="7"/>
      <c r="BA586" s="9">
        <f t="shared" si="361"/>
        <v>3264248.6200000043</v>
      </c>
      <c r="BC586" s="5" t="e">
        <f t="shared" si="388"/>
        <v>#N/A</v>
      </c>
      <c r="BR586" s="5">
        <v>4405042</v>
      </c>
      <c r="BS586" s="18">
        <f>[1]monsters!$N586</f>
        <v>140</v>
      </c>
      <c r="BT586" s="18">
        <f>[1]monsters!$O586</f>
        <v>14</v>
      </c>
      <c r="BU586" s="18">
        <f>[1]monsters!$P586</f>
        <v>1075.2</v>
      </c>
      <c r="BV586" s="18">
        <f>[1]monsters!$Q586</f>
        <v>107.52</v>
      </c>
      <c r="BW586" s="18">
        <f>[1]monsters!$R586</f>
        <v>14</v>
      </c>
      <c r="BX586" s="18">
        <f>[1]monsters!$S586</f>
        <v>1.4</v>
      </c>
      <c r="BY586" s="18">
        <f>[1]monsters!$K586</f>
        <v>1.5</v>
      </c>
      <c r="BZ586" s="5">
        <f>[1]monsters!$D586</f>
        <v>4</v>
      </c>
      <c r="CA586" s="5">
        <f t="shared" si="389"/>
        <v>0.1</v>
      </c>
      <c r="CB586" s="5">
        <f t="shared" si="390"/>
        <v>168.50202020202022</v>
      </c>
      <c r="CC586" s="5">
        <f t="shared" si="391"/>
        <v>16.850202020202023</v>
      </c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>
        <v>0</v>
      </c>
      <c r="CR586" s="3" t="b">
        <f t="shared" si="363"/>
        <v>1</v>
      </c>
      <c r="CS586" s="3" t="b">
        <f t="shared" si="364"/>
        <v>1</v>
      </c>
      <c r="CT586" s="3" t="b">
        <f t="shared" si="365"/>
        <v>1</v>
      </c>
      <c r="CU586" s="3" t="b">
        <f t="shared" si="366"/>
        <v>1</v>
      </c>
      <c r="CV586" s="3" t="b">
        <f t="shared" si="367"/>
        <v>1</v>
      </c>
      <c r="CW586" s="3" t="b">
        <f t="shared" si="368"/>
        <v>1</v>
      </c>
      <c r="CX586" s="9" t="str">
        <f t="shared" si="369"/>
        <v>5202133</v>
      </c>
      <c r="CY586" s="9" t="str">
        <f t="shared" si="370"/>
        <v>5202132</v>
      </c>
      <c r="CZ586" s="9" t="str">
        <f t="shared" si="371"/>
        <v>5202133</v>
      </c>
      <c r="DA586" s="9" t="str">
        <f t="shared" si="372"/>
        <v>5401133</v>
      </c>
      <c r="DB586" s="9" t="str">
        <f t="shared" si="373"/>
        <v>5402132</v>
      </c>
      <c r="DC586" s="9" t="str">
        <f t="shared" si="374"/>
        <v>5401133</v>
      </c>
      <c r="DD586" s="9">
        <v>13</v>
      </c>
      <c r="DE586" s="9">
        <v>13</v>
      </c>
      <c r="DF586" s="9">
        <v>13</v>
      </c>
      <c r="DG586" s="9">
        <v>13</v>
      </c>
      <c r="DH586" s="9">
        <v>13</v>
      </c>
      <c r="DI586" s="9">
        <v>13</v>
      </c>
      <c r="DJ586" s="9">
        <v>5</v>
      </c>
      <c r="DK586" s="9">
        <v>5</v>
      </c>
      <c r="DL586" s="9">
        <v>5</v>
      </c>
      <c r="DM586" s="9">
        <v>5</v>
      </c>
      <c r="DN586" s="9">
        <v>5</v>
      </c>
      <c r="DO586" s="9">
        <v>5</v>
      </c>
      <c r="DP586" s="25" t="s">
        <v>208</v>
      </c>
      <c r="DQ586" s="25" t="s">
        <v>200</v>
      </c>
      <c r="DR586" s="25" t="s">
        <v>208</v>
      </c>
      <c r="DS586" s="25" t="s">
        <v>211</v>
      </c>
      <c r="DT586" s="25" t="s">
        <v>203</v>
      </c>
      <c r="DU586" s="25" t="s">
        <v>211</v>
      </c>
      <c r="DV586" s="25">
        <f t="shared" si="375"/>
        <v>1</v>
      </c>
      <c r="DW586" s="25">
        <f t="shared" si="376"/>
        <v>1</v>
      </c>
      <c r="DX586" s="25">
        <f t="shared" si="377"/>
        <v>1</v>
      </c>
      <c r="DY586" s="25">
        <f t="shared" si="378"/>
        <v>2</v>
      </c>
      <c r="DZ586" s="25">
        <f t="shared" si="379"/>
        <v>2</v>
      </c>
      <c r="EA586" s="3">
        <f t="shared" si="380"/>
        <v>2</v>
      </c>
      <c r="EB586" s="48"/>
    </row>
    <row r="587" spans="1:132" ht="13.5" customHeight="1">
      <c r="A587" s="9">
        <v>584</v>
      </c>
      <c r="B587" s="9">
        <v>1</v>
      </c>
      <c r="C587" s="9">
        <v>2001</v>
      </c>
      <c r="D587" s="9">
        <f t="shared" si="357"/>
        <v>30099768</v>
      </c>
      <c r="E587" s="9" t="str">
        <f t="shared" si="354"/>
        <v>5202133,5202132,5202133,5500132,5500131,5500132</v>
      </c>
      <c r="F587" s="9" t="str">
        <f t="shared" si="355"/>
        <v>13,13,13,13,13,13</v>
      </c>
      <c r="G587" s="9" t="str">
        <f t="shared" si="356"/>
        <v>1272,1374,1374,1374,1374,1374</v>
      </c>
      <c r="H587" s="9">
        <v>273</v>
      </c>
      <c r="I587" s="9" t="s">
        <v>278</v>
      </c>
      <c r="J587" s="9" t="s">
        <v>279</v>
      </c>
      <c r="K587" s="9" t="s">
        <v>279</v>
      </c>
      <c r="L587" s="9" t="s">
        <v>279</v>
      </c>
      <c r="M587" s="36" t="s">
        <v>316</v>
      </c>
      <c r="N587" s="40"/>
      <c r="O587" s="3">
        <f t="shared" si="362"/>
        <v>30099768</v>
      </c>
      <c r="P587" s="9">
        <v>22802854.399999999</v>
      </c>
      <c r="Q587" s="9">
        <v>5202133</v>
      </c>
      <c r="R587" s="9">
        <v>5202132</v>
      </c>
      <c r="S587" s="9">
        <v>5202133</v>
      </c>
      <c r="T587" s="9">
        <v>5500132</v>
      </c>
      <c r="U587" s="9">
        <v>5500131</v>
      </c>
      <c r="V587" s="9">
        <v>5500132</v>
      </c>
      <c r="W587" s="9">
        <v>13</v>
      </c>
      <c r="X587" s="9">
        <v>13</v>
      </c>
      <c r="Y587" s="9">
        <v>13</v>
      </c>
      <c r="Z587" s="9">
        <v>13</v>
      </c>
      <c r="AA587" s="9">
        <v>13</v>
      </c>
      <c r="AB587" s="9">
        <v>13</v>
      </c>
      <c r="AC587" s="9">
        <f t="shared" si="381"/>
        <v>1272</v>
      </c>
      <c r="AD587" s="9">
        <f t="shared" si="382"/>
        <v>1374</v>
      </c>
      <c r="AE587" s="9">
        <f t="shared" si="383"/>
        <v>1374</v>
      </c>
      <c r="AF587" s="9">
        <f t="shared" si="384"/>
        <v>1374</v>
      </c>
      <c r="AG587" s="9">
        <f t="shared" si="385"/>
        <v>1374</v>
      </c>
      <c r="AH587" s="9">
        <f t="shared" si="386"/>
        <v>1374</v>
      </c>
      <c r="AI587" s="7">
        <f t="shared" si="360"/>
        <v>3800475.7333333329</v>
      </c>
      <c r="AJ587" s="7">
        <f t="shared" si="359"/>
        <v>3800475.7333333329</v>
      </c>
      <c r="AK587" s="7">
        <f t="shared" si="359"/>
        <v>3800475.7333333329</v>
      </c>
      <c r="AL587" s="7">
        <f t="shared" si="359"/>
        <v>3800475.7333333329</v>
      </c>
      <c r="AM587" s="7">
        <f t="shared" si="359"/>
        <v>3800475.7333333329</v>
      </c>
      <c r="AN587" s="7">
        <f t="shared" si="359"/>
        <v>3800475.7333333329</v>
      </c>
      <c r="AO587" s="16"/>
      <c r="AP587" s="7"/>
      <c r="AQ587" s="9">
        <v>9</v>
      </c>
      <c r="AR587" s="9">
        <f t="shared" si="387"/>
        <v>1589</v>
      </c>
      <c r="AS587" s="7">
        <f t="shared" si="358"/>
        <v>392</v>
      </c>
      <c r="AT587" s="7"/>
      <c r="AU587" s="16"/>
      <c r="AV587" s="7"/>
      <c r="AW587" s="7"/>
      <c r="AX587" s="7"/>
      <c r="AZ587" s="7"/>
      <c r="BA587" s="9">
        <f t="shared" si="361"/>
        <v>3286509.7600000044</v>
      </c>
      <c r="BC587" s="5" t="e">
        <f t="shared" si="388"/>
        <v>#N/A</v>
      </c>
      <c r="BR587" s="5">
        <v>4203042</v>
      </c>
      <c r="BS587" s="18">
        <f>[1]monsters!$N587</f>
        <v>106.77</v>
      </c>
      <c r="BT587" s="18">
        <f>[1]monsters!$O587</f>
        <v>10.68</v>
      </c>
      <c r="BU587" s="18">
        <f>[1]monsters!$P587</f>
        <v>1221.82</v>
      </c>
      <c r="BV587" s="18">
        <f>[1]monsters!$Q587</f>
        <v>122.18</v>
      </c>
      <c r="BW587" s="18">
        <f>[1]monsters!$R587</f>
        <v>13.35</v>
      </c>
      <c r="BX587" s="18">
        <f>[1]monsters!$S587</f>
        <v>1.33</v>
      </c>
      <c r="BY587" s="18">
        <f>[1]monsters!$K587</f>
        <v>1.3</v>
      </c>
      <c r="BZ587" s="5">
        <f>[1]monsters!$D587</f>
        <v>3</v>
      </c>
      <c r="CA587" s="5">
        <f t="shared" si="389"/>
        <v>0.1</v>
      </c>
      <c r="CB587" s="5">
        <f t="shared" si="390"/>
        <v>142.03637053872055</v>
      </c>
      <c r="CC587" s="5">
        <f t="shared" si="391"/>
        <v>14.203637053872056</v>
      </c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>
        <v>0</v>
      </c>
      <c r="CR587" s="3" t="b">
        <f t="shared" si="363"/>
        <v>1</v>
      </c>
      <c r="CS587" s="3" t="b">
        <f t="shared" si="364"/>
        <v>1</v>
      </c>
      <c r="CT587" s="3" t="b">
        <f t="shared" si="365"/>
        <v>1</v>
      </c>
      <c r="CU587" s="3" t="b">
        <f t="shared" si="366"/>
        <v>1</v>
      </c>
      <c r="CV587" s="3" t="b">
        <f t="shared" si="367"/>
        <v>1</v>
      </c>
      <c r="CW587" s="3" t="b">
        <f t="shared" si="368"/>
        <v>1</v>
      </c>
      <c r="CX587" s="9" t="str">
        <f t="shared" si="369"/>
        <v>5202133</v>
      </c>
      <c r="CY587" s="9" t="str">
        <f t="shared" si="370"/>
        <v>5202132</v>
      </c>
      <c r="CZ587" s="9" t="str">
        <f t="shared" si="371"/>
        <v>5202133</v>
      </c>
      <c r="DA587" s="9" t="str">
        <f t="shared" si="372"/>
        <v>5500132</v>
      </c>
      <c r="DB587" s="9" t="str">
        <f t="shared" si="373"/>
        <v>5500131</v>
      </c>
      <c r="DC587" s="9" t="str">
        <f t="shared" si="374"/>
        <v>5500132</v>
      </c>
      <c r="DD587" s="9">
        <v>13</v>
      </c>
      <c r="DE587" s="9">
        <v>13</v>
      </c>
      <c r="DF587" s="9">
        <v>13</v>
      </c>
      <c r="DG587" s="9">
        <v>13</v>
      </c>
      <c r="DH587" s="9">
        <v>13</v>
      </c>
      <c r="DI587" s="9">
        <v>13</v>
      </c>
      <c r="DJ587" s="9">
        <v>5</v>
      </c>
      <c r="DK587" s="9">
        <v>5</v>
      </c>
      <c r="DL587" s="9">
        <v>5</v>
      </c>
      <c r="DM587" s="9">
        <v>5</v>
      </c>
      <c r="DN587" s="9">
        <v>5</v>
      </c>
      <c r="DO587" s="9">
        <v>5</v>
      </c>
      <c r="DP587" s="25" t="s">
        <v>208</v>
      </c>
      <c r="DQ587" s="25" t="s">
        <v>200</v>
      </c>
      <c r="DR587" s="25" t="s">
        <v>208</v>
      </c>
      <c r="DS587" s="25" t="s">
        <v>109</v>
      </c>
      <c r="DT587" s="25" t="s">
        <v>197</v>
      </c>
      <c r="DU587" s="25" t="s">
        <v>109</v>
      </c>
      <c r="DV587" s="25">
        <f t="shared" si="375"/>
        <v>1</v>
      </c>
      <c r="DW587" s="25">
        <f t="shared" si="376"/>
        <v>1</v>
      </c>
      <c r="DX587" s="25">
        <f t="shared" si="377"/>
        <v>1</v>
      </c>
      <c r="DY587" s="25">
        <f t="shared" si="378"/>
        <v>2</v>
      </c>
      <c r="DZ587" s="25">
        <f t="shared" si="379"/>
        <v>2</v>
      </c>
      <c r="EA587" s="3">
        <f t="shared" si="380"/>
        <v>2</v>
      </c>
      <c r="EB587" s="47"/>
    </row>
    <row r="588" spans="1:132" ht="13.5" customHeight="1">
      <c r="A588" s="9">
        <v>585</v>
      </c>
      <c r="B588" s="9">
        <v>1</v>
      </c>
      <c r="C588" s="9">
        <v>2001</v>
      </c>
      <c r="D588" s="9">
        <f t="shared" si="357"/>
        <v>30184352</v>
      </c>
      <c r="E588" s="9" t="str">
        <f t="shared" ref="E588:E603" si="392">Q588&amp;","&amp;R588&amp;","&amp;S588&amp;","&amp;T588&amp;","&amp;U588&amp;","&amp;V588</f>
        <v>5202131,5202131,5200131,5400135,5602134,5501134</v>
      </c>
      <c r="F588" s="9" t="str">
        <f t="shared" ref="F588:F603" si="393">W588&amp;","&amp;X588&amp;","&amp;Y588&amp;","&amp;Z588&amp;","&amp;AA588&amp;","&amp;AB588</f>
        <v>13,13,13,13,13,13</v>
      </c>
      <c r="G588" s="9" t="str">
        <f t="shared" ref="G588:G603" si="394">AC588&amp;","&amp;AD588&amp;","&amp;AE588&amp;","&amp;AF588&amp;","&amp;AG588&amp;","&amp;AH588</f>
        <v>1273,1376,1376,1376,1376,1376</v>
      </c>
      <c r="H588" s="9">
        <v>274</v>
      </c>
      <c r="I588" s="9" t="s">
        <v>278</v>
      </c>
      <c r="J588" s="9" t="s">
        <v>279</v>
      </c>
      <c r="K588" s="9" t="s">
        <v>279</v>
      </c>
      <c r="L588" s="9" t="s">
        <v>279</v>
      </c>
      <c r="M588" s="36" t="s">
        <v>316</v>
      </c>
      <c r="O588" s="3">
        <f t="shared" si="362"/>
        <v>30184352</v>
      </c>
      <c r="P588" s="9">
        <v>22866932.989999998</v>
      </c>
      <c r="Q588" s="9">
        <v>5202131</v>
      </c>
      <c r="R588" s="9">
        <v>5202131</v>
      </c>
      <c r="S588" s="9">
        <v>5200131</v>
      </c>
      <c r="T588" s="9">
        <v>5400135</v>
      </c>
      <c r="U588" s="9">
        <v>5602134</v>
      </c>
      <c r="V588" s="9">
        <v>5501134</v>
      </c>
      <c r="W588" s="9">
        <v>13</v>
      </c>
      <c r="X588" s="9">
        <v>13</v>
      </c>
      <c r="Y588" s="9">
        <v>13</v>
      </c>
      <c r="Z588" s="9">
        <v>13</v>
      </c>
      <c r="AA588" s="9">
        <v>13</v>
      </c>
      <c r="AB588" s="9">
        <v>13</v>
      </c>
      <c r="AC588" s="9">
        <f t="shared" si="381"/>
        <v>1273</v>
      </c>
      <c r="AD588" s="9">
        <f t="shared" si="382"/>
        <v>1376</v>
      </c>
      <c r="AE588" s="9">
        <f t="shared" si="383"/>
        <v>1376</v>
      </c>
      <c r="AF588" s="9">
        <f t="shared" si="384"/>
        <v>1376</v>
      </c>
      <c r="AG588" s="9">
        <f t="shared" si="385"/>
        <v>1376</v>
      </c>
      <c r="AH588" s="9">
        <f t="shared" si="386"/>
        <v>1376</v>
      </c>
      <c r="AI588" s="7">
        <f t="shared" si="360"/>
        <v>3811155.4983333331</v>
      </c>
      <c r="AJ588" s="7">
        <f t="shared" si="359"/>
        <v>3811155.4983333331</v>
      </c>
      <c r="AK588" s="7">
        <f t="shared" si="359"/>
        <v>3811155.4983333331</v>
      </c>
      <c r="AL588" s="7">
        <f t="shared" si="359"/>
        <v>3811155.4983333331</v>
      </c>
      <c r="AM588" s="7">
        <f t="shared" si="359"/>
        <v>3811155.4983333331</v>
      </c>
      <c r="AN588" s="7">
        <f t="shared" si="359"/>
        <v>3811155.4983333331</v>
      </c>
      <c r="AO588" s="16"/>
      <c r="AP588" s="7"/>
      <c r="AQ588" s="9">
        <v>9</v>
      </c>
      <c r="AR588" s="9">
        <f t="shared" si="387"/>
        <v>1591</v>
      </c>
      <c r="AS588" s="7">
        <f t="shared" si="358"/>
        <v>392</v>
      </c>
      <c r="AT588" s="7"/>
      <c r="AU588" s="16"/>
      <c r="AV588" s="7"/>
      <c r="AW588" s="7"/>
      <c r="AX588" s="7"/>
      <c r="AZ588" s="7"/>
      <c r="BA588" s="9">
        <f t="shared" si="361"/>
        <v>3308770.9000000046</v>
      </c>
      <c r="BC588" s="5" t="e">
        <f t="shared" si="388"/>
        <v>#N/A</v>
      </c>
      <c r="BR588" s="5">
        <v>4403042</v>
      </c>
      <c r="BS588" s="18">
        <f>[1]monsters!$N588</f>
        <v>147.84</v>
      </c>
      <c r="BT588" s="18">
        <f>[1]monsters!$O588</f>
        <v>14.78</v>
      </c>
      <c r="BU588" s="18">
        <f>[1]monsters!$P588</f>
        <v>1221.82</v>
      </c>
      <c r="BV588" s="18">
        <f>[1]monsters!$Q588</f>
        <v>122.18</v>
      </c>
      <c r="BW588" s="18">
        <f>[1]monsters!$R588</f>
        <v>24.64</v>
      </c>
      <c r="BX588" s="18">
        <f>[1]monsters!$S588</f>
        <v>2.46</v>
      </c>
      <c r="BY588" s="18">
        <f>[1]monsters!$K588</f>
        <v>1.8</v>
      </c>
      <c r="BZ588" s="5">
        <f>[1]monsters!$D588</f>
        <v>5</v>
      </c>
      <c r="CA588" s="5">
        <f t="shared" si="389"/>
        <v>0.1</v>
      </c>
      <c r="CB588" s="5">
        <f t="shared" si="390"/>
        <v>180.84752053872052</v>
      </c>
      <c r="CC588" s="5">
        <f t="shared" si="391"/>
        <v>18.084752053872052</v>
      </c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>
        <v>1</v>
      </c>
      <c r="CR588" s="3" t="b">
        <f t="shared" si="363"/>
        <v>1</v>
      </c>
      <c r="CS588" s="3" t="b">
        <f t="shared" si="364"/>
        <v>1</v>
      </c>
      <c r="CT588" s="3" t="b">
        <f t="shared" si="365"/>
        <v>1</v>
      </c>
      <c r="CU588" s="3" t="b">
        <f t="shared" si="366"/>
        <v>1</v>
      </c>
      <c r="CV588" s="3" t="b">
        <f t="shared" si="367"/>
        <v>1</v>
      </c>
      <c r="CW588" s="3" t="b">
        <f t="shared" si="368"/>
        <v>1</v>
      </c>
      <c r="CX588" s="9" t="str">
        <f t="shared" si="369"/>
        <v>5202131</v>
      </c>
      <c r="CY588" s="9" t="str">
        <f t="shared" si="370"/>
        <v>5202131</v>
      </c>
      <c r="CZ588" s="9" t="str">
        <f t="shared" si="371"/>
        <v>5200131</v>
      </c>
      <c r="DA588" s="9" t="str">
        <f t="shared" si="372"/>
        <v>5400135</v>
      </c>
      <c r="DB588" s="9" t="str">
        <f t="shared" si="373"/>
        <v>5602134</v>
      </c>
      <c r="DC588" s="9" t="str">
        <f t="shared" si="374"/>
        <v>5501134</v>
      </c>
      <c r="DD588" s="9">
        <v>13</v>
      </c>
      <c r="DE588" s="9">
        <v>13</v>
      </c>
      <c r="DF588" s="9">
        <v>13</v>
      </c>
      <c r="DG588" s="9">
        <v>13</v>
      </c>
      <c r="DH588" s="9">
        <v>13</v>
      </c>
      <c r="DI588" s="9">
        <v>13</v>
      </c>
      <c r="DJ588" s="9">
        <v>5</v>
      </c>
      <c r="DK588" s="9">
        <v>5</v>
      </c>
      <c r="DL588" s="9">
        <v>5</v>
      </c>
      <c r="DM588" s="9">
        <v>5</v>
      </c>
      <c r="DN588" s="9">
        <v>5</v>
      </c>
      <c r="DO588" s="9">
        <v>5</v>
      </c>
      <c r="DP588" s="25" t="s">
        <v>111</v>
      </c>
      <c r="DQ588" s="25" t="s">
        <v>111</v>
      </c>
      <c r="DR588" s="25" t="s">
        <v>194</v>
      </c>
      <c r="DS588" s="25" t="s">
        <v>210</v>
      </c>
      <c r="DT588" s="25" t="s">
        <v>220</v>
      </c>
      <c r="DU588" s="25" t="s">
        <v>214</v>
      </c>
      <c r="DV588" s="25">
        <f t="shared" si="375"/>
        <v>1</v>
      </c>
      <c r="DW588" s="25">
        <f t="shared" si="376"/>
        <v>1</v>
      </c>
      <c r="DX588" s="25">
        <f t="shared" si="377"/>
        <v>1</v>
      </c>
      <c r="DY588" s="25">
        <f t="shared" si="378"/>
        <v>2</v>
      </c>
      <c r="DZ588" s="25">
        <f t="shared" si="379"/>
        <v>2</v>
      </c>
      <c r="EA588" s="3">
        <f t="shared" si="380"/>
        <v>2</v>
      </c>
      <c r="EB588" s="47"/>
    </row>
    <row r="589" spans="1:132" ht="13.5" customHeight="1">
      <c r="A589" s="9">
        <v>586</v>
      </c>
      <c r="B589" s="9">
        <v>1</v>
      </c>
      <c r="C589" s="9">
        <v>2001</v>
      </c>
      <c r="D589" s="9">
        <f t="shared" si="357"/>
        <v>30269052</v>
      </c>
      <c r="E589" s="9" t="str">
        <f t="shared" si="392"/>
        <v>5202132,5201132,5301131,5501134,5500133,5501134</v>
      </c>
      <c r="F589" s="9" t="str">
        <f t="shared" si="393"/>
        <v>13,13,13,13,13,13</v>
      </c>
      <c r="G589" s="9" t="str">
        <f t="shared" si="394"/>
        <v>1275,1378,1378,1378,1378,1378</v>
      </c>
      <c r="H589" s="9">
        <v>274</v>
      </c>
      <c r="I589" s="9" t="s">
        <v>278</v>
      </c>
      <c r="J589" s="9" t="s">
        <v>279</v>
      </c>
      <c r="K589" s="9" t="s">
        <v>279</v>
      </c>
      <c r="L589" s="9" t="s">
        <v>279</v>
      </c>
      <c r="M589" s="36" t="s">
        <v>316</v>
      </c>
      <c r="N589" s="40"/>
      <c r="O589" s="3">
        <f t="shared" si="362"/>
        <v>30269052</v>
      </c>
      <c r="P589" s="9">
        <v>22931100.199999999</v>
      </c>
      <c r="Q589" s="9">
        <v>5202132</v>
      </c>
      <c r="R589" s="9">
        <v>5201132</v>
      </c>
      <c r="S589" s="9">
        <v>5301131</v>
      </c>
      <c r="T589" s="9">
        <v>5501134</v>
      </c>
      <c r="U589" s="9">
        <v>5500133</v>
      </c>
      <c r="V589" s="9">
        <v>5501134</v>
      </c>
      <c r="W589" s="9">
        <v>13</v>
      </c>
      <c r="X589" s="9">
        <v>13</v>
      </c>
      <c r="Y589" s="9">
        <v>13</v>
      </c>
      <c r="Z589" s="9">
        <v>13</v>
      </c>
      <c r="AA589" s="9">
        <v>13</v>
      </c>
      <c r="AB589" s="9">
        <v>13</v>
      </c>
      <c r="AC589" s="9">
        <f t="shared" si="381"/>
        <v>1275</v>
      </c>
      <c r="AD589" s="9">
        <f t="shared" si="382"/>
        <v>1378</v>
      </c>
      <c r="AE589" s="9">
        <f t="shared" si="383"/>
        <v>1378</v>
      </c>
      <c r="AF589" s="9">
        <f t="shared" si="384"/>
        <v>1378</v>
      </c>
      <c r="AG589" s="9">
        <f t="shared" si="385"/>
        <v>1378</v>
      </c>
      <c r="AH589" s="9">
        <f t="shared" si="386"/>
        <v>1378</v>
      </c>
      <c r="AI589" s="7">
        <f t="shared" si="360"/>
        <v>3821850.0333333332</v>
      </c>
      <c r="AJ589" s="7">
        <f t="shared" si="359"/>
        <v>3821850.0333333332</v>
      </c>
      <c r="AK589" s="7">
        <f t="shared" si="359"/>
        <v>3821850.0333333332</v>
      </c>
      <c r="AL589" s="7">
        <f t="shared" si="359"/>
        <v>3821850.0333333332</v>
      </c>
      <c r="AM589" s="7">
        <f t="shared" si="359"/>
        <v>3821850.0333333332</v>
      </c>
      <c r="AN589" s="7">
        <f t="shared" si="359"/>
        <v>3821850.0333333332</v>
      </c>
      <c r="AO589" s="16"/>
      <c r="AP589" s="7"/>
      <c r="AQ589" s="9">
        <v>9</v>
      </c>
      <c r="AR589" s="9">
        <f t="shared" si="387"/>
        <v>1593</v>
      </c>
      <c r="AS589" s="7">
        <f t="shared" si="358"/>
        <v>393</v>
      </c>
      <c r="AT589" s="7"/>
      <c r="AU589" s="16"/>
      <c r="AV589" s="7"/>
      <c r="AW589" s="7"/>
      <c r="AX589" s="7"/>
      <c r="AZ589" s="7"/>
      <c r="BA589" s="9">
        <f t="shared" si="361"/>
        <v>3331032.0400000047</v>
      </c>
      <c r="BC589" s="5" t="e">
        <f t="shared" si="388"/>
        <v>#N/A</v>
      </c>
      <c r="BR589" s="5">
        <v>4204042</v>
      </c>
      <c r="BS589" s="18">
        <f>[1]monsters!$N589</f>
        <v>107.52</v>
      </c>
      <c r="BT589" s="18">
        <f>[1]monsters!$O589</f>
        <v>10.75</v>
      </c>
      <c r="BU589" s="18">
        <f>[1]monsters!$P589</f>
        <v>1493.33</v>
      </c>
      <c r="BV589" s="18">
        <f>[1]monsters!$Q589</f>
        <v>149.33000000000001</v>
      </c>
      <c r="BW589" s="18">
        <f>[1]monsters!$R589</f>
        <v>21.5</v>
      </c>
      <c r="BX589" s="18">
        <f>[1]monsters!$S589</f>
        <v>2.15</v>
      </c>
      <c r="BY589" s="18">
        <f>[1]monsters!$K589</f>
        <v>1.6</v>
      </c>
      <c r="BZ589" s="5">
        <f>[1]monsters!$D589</f>
        <v>2</v>
      </c>
      <c r="CA589" s="5">
        <f t="shared" si="389"/>
        <v>0.1</v>
      </c>
      <c r="CB589" s="5">
        <f t="shared" si="390"/>
        <v>151.88687138047138</v>
      </c>
      <c r="CC589" s="5">
        <f t="shared" si="391"/>
        <v>15.188687138047138</v>
      </c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>
        <v>0</v>
      </c>
      <c r="CR589" s="3" t="b">
        <f t="shared" si="363"/>
        <v>1</v>
      </c>
      <c r="CS589" s="3" t="b">
        <f t="shared" si="364"/>
        <v>1</v>
      </c>
      <c r="CT589" s="3" t="b">
        <f t="shared" si="365"/>
        <v>1</v>
      </c>
      <c r="CU589" s="3" t="b">
        <f t="shared" si="366"/>
        <v>1</v>
      </c>
      <c r="CV589" s="3" t="b">
        <f t="shared" si="367"/>
        <v>1</v>
      </c>
      <c r="CW589" s="3" t="b">
        <f t="shared" si="368"/>
        <v>1</v>
      </c>
      <c r="CX589" s="9" t="str">
        <f t="shared" si="369"/>
        <v>5202132</v>
      </c>
      <c r="CY589" s="9" t="str">
        <f t="shared" si="370"/>
        <v>5201132</v>
      </c>
      <c r="CZ589" s="9" t="str">
        <f t="shared" si="371"/>
        <v>5301131</v>
      </c>
      <c r="DA589" s="9" t="str">
        <f t="shared" si="372"/>
        <v>5501134</v>
      </c>
      <c r="DB589" s="9" t="str">
        <f t="shared" si="373"/>
        <v>5500133</v>
      </c>
      <c r="DC589" s="9" t="str">
        <f t="shared" si="374"/>
        <v>5501134</v>
      </c>
      <c r="DD589" s="9">
        <v>13</v>
      </c>
      <c r="DE589" s="9">
        <v>13</v>
      </c>
      <c r="DF589" s="9">
        <v>13</v>
      </c>
      <c r="DG589" s="9">
        <v>13</v>
      </c>
      <c r="DH589" s="9">
        <v>13</v>
      </c>
      <c r="DI589" s="9">
        <v>13</v>
      </c>
      <c r="DJ589" s="9">
        <v>5</v>
      </c>
      <c r="DK589" s="9">
        <v>5</v>
      </c>
      <c r="DL589" s="9">
        <v>5</v>
      </c>
      <c r="DM589" s="9">
        <v>5</v>
      </c>
      <c r="DN589" s="9">
        <v>5</v>
      </c>
      <c r="DO589" s="9">
        <v>5</v>
      </c>
      <c r="DP589" s="25" t="s">
        <v>200</v>
      </c>
      <c r="DQ589" s="25" t="s">
        <v>114</v>
      </c>
      <c r="DR589" s="25" t="s">
        <v>107</v>
      </c>
      <c r="DS589" s="25" t="s">
        <v>214</v>
      </c>
      <c r="DT589" s="25" t="s">
        <v>207</v>
      </c>
      <c r="DU589" s="25" t="s">
        <v>214</v>
      </c>
      <c r="DV589" s="25">
        <f t="shared" si="375"/>
        <v>1</v>
      </c>
      <c r="DW589" s="25">
        <f t="shared" si="376"/>
        <v>1</v>
      </c>
      <c r="DX589" s="25">
        <f t="shared" si="377"/>
        <v>1</v>
      </c>
      <c r="DY589" s="25">
        <f t="shared" si="378"/>
        <v>2</v>
      </c>
      <c r="DZ589" s="25">
        <f t="shared" si="379"/>
        <v>2</v>
      </c>
      <c r="EA589" s="3">
        <f t="shared" si="380"/>
        <v>2</v>
      </c>
      <c r="EB589" s="47"/>
    </row>
    <row r="590" spans="1:132" ht="13.5" customHeight="1">
      <c r="A590" s="9">
        <v>587</v>
      </c>
      <c r="B590" s="9">
        <v>1</v>
      </c>
      <c r="C590" s="9">
        <v>2001</v>
      </c>
      <c r="D590" s="9">
        <f t="shared" si="357"/>
        <v>30353873</v>
      </c>
      <c r="E590" s="9" t="str">
        <f t="shared" si="392"/>
        <v>5201134,5201134,5302134,5602134,5602134,5501134</v>
      </c>
      <c r="F590" s="9" t="str">
        <f t="shared" si="393"/>
        <v>13,13,13,13,13,13</v>
      </c>
      <c r="G590" s="9" t="str">
        <f t="shared" si="394"/>
        <v>1277,1380,1380,1380,1380,1380</v>
      </c>
      <c r="H590" s="9">
        <v>274</v>
      </c>
      <c r="I590" s="9" t="s">
        <v>278</v>
      </c>
      <c r="J590" s="9" t="s">
        <v>279</v>
      </c>
      <c r="K590" s="9" t="s">
        <v>279</v>
      </c>
      <c r="L590" s="9" t="s">
        <v>279</v>
      </c>
      <c r="M590" s="36" t="s">
        <v>316</v>
      </c>
      <c r="N590" s="40"/>
      <c r="O590" s="3">
        <f t="shared" si="362"/>
        <v>30353873</v>
      </c>
      <c r="P590" s="9">
        <v>22995358.140000001</v>
      </c>
      <c r="Q590" s="9">
        <v>5201134</v>
      </c>
      <c r="R590" s="9">
        <v>5201134</v>
      </c>
      <c r="S590" s="9">
        <v>5302134</v>
      </c>
      <c r="T590" s="9">
        <v>5602134</v>
      </c>
      <c r="U590" s="9">
        <v>5602134</v>
      </c>
      <c r="V590" s="9">
        <v>5501134</v>
      </c>
      <c r="W590" s="9">
        <v>13</v>
      </c>
      <c r="X590" s="9">
        <v>13</v>
      </c>
      <c r="Y590" s="9">
        <v>13</v>
      </c>
      <c r="Z590" s="9">
        <v>13</v>
      </c>
      <c r="AA590" s="9">
        <v>13</v>
      </c>
      <c r="AB590" s="9">
        <v>13</v>
      </c>
      <c r="AC590" s="9">
        <f t="shared" si="381"/>
        <v>1277</v>
      </c>
      <c r="AD590" s="9">
        <f t="shared" si="382"/>
        <v>1380</v>
      </c>
      <c r="AE590" s="9">
        <f t="shared" si="383"/>
        <v>1380</v>
      </c>
      <c r="AF590" s="9">
        <f t="shared" si="384"/>
        <v>1380</v>
      </c>
      <c r="AG590" s="9">
        <f t="shared" si="385"/>
        <v>1380</v>
      </c>
      <c r="AH590" s="9">
        <f t="shared" si="386"/>
        <v>1380</v>
      </c>
      <c r="AI590" s="7">
        <f t="shared" si="360"/>
        <v>3832559.69</v>
      </c>
      <c r="AJ590" s="7">
        <f t="shared" si="359"/>
        <v>3832559.69</v>
      </c>
      <c r="AK590" s="7">
        <f t="shared" si="359"/>
        <v>3832559.69</v>
      </c>
      <c r="AL590" s="7">
        <f t="shared" si="359"/>
        <v>3832559.69</v>
      </c>
      <c r="AM590" s="7">
        <f t="shared" si="359"/>
        <v>3832559.69</v>
      </c>
      <c r="AN590" s="7">
        <f t="shared" si="359"/>
        <v>3832559.69</v>
      </c>
      <c r="AO590" s="16"/>
      <c r="AP590" s="7"/>
      <c r="AQ590" s="9">
        <v>9</v>
      </c>
      <c r="AR590" s="9">
        <f t="shared" si="387"/>
        <v>1595</v>
      </c>
      <c r="AS590" s="7">
        <f t="shared" si="358"/>
        <v>393</v>
      </c>
      <c r="AT590" s="7"/>
      <c r="AU590" s="16"/>
      <c r="AV590" s="7"/>
      <c r="AW590" s="7"/>
      <c r="AX590" s="7"/>
      <c r="AZ590" s="7"/>
      <c r="BA590" s="9">
        <f t="shared" si="361"/>
        <v>3353293.1800000048</v>
      </c>
      <c r="BC590" s="5" t="e">
        <f t="shared" si="388"/>
        <v>#N/A</v>
      </c>
      <c r="BR590" s="5">
        <v>4404042</v>
      </c>
      <c r="BS590" s="18">
        <f>[1]monsters!$N590</f>
        <v>135.88999999999999</v>
      </c>
      <c r="BT590" s="18">
        <f>[1]monsters!$O590</f>
        <v>13.59</v>
      </c>
      <c r="BU590" s="18">
        <f>[1]monsters!$P590</f>
        <v>1033.8499999999999</v>
      </c>
      <c r="BV590" s="18">
        <f>[1]monsters!$Q590</f>
        <v>103.38</v>
      </c>
      <c r="BW590" s="18">
        <f>[1]monsters!$R590</f>
        <v>13.59</v>
      </c>
      <c r="BX590" s="18">
        <f>[1]monsters!$S590</f>
        <v>1.36</v>
      </c>
      <c r="BY590" s="18">
        <f>[1]monsters!$K590</f>
        <v>1.4</v>
      </c>
      <c r="BZ590" s="5">
        <f>[1]monsters!$D590</f>
        <v>4</v>
      </c>
      <c r="CA590" s="5">
        <f t="shared" si="389"/>
        <v>0.1</v>
      </c>
      <c r="CB590" s="5">
        <f t="shared" si="390"/>
        <v>163.2258143097643</v>
      </c>
      <c r="CC590" s="5">
        <f t="shared" si="391"/>
        <v>16.322581430976431</v>
      </c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>
        <v>0</v>
      </c>
      <c r="CR590" s="3" t="b">
        <f t="shared" si="363"/>
        <v>1</v>
      </c>
      <c r="CS590" s="3" t="b">
        <f t="shared" si="364"/>
        <v>1</v>
      </c>
      <c r="CT590" s="3" t="b">
        <f t="shared" si="365"/>
        <v>1</v>
      </c>
      <c r="CU590" s="3" t="b">
        <f t="shared" si="366"/>
        <v>1</v>
      </c>
      <c r="CV590" s="3" t="b">
        <f t="shared" si="367"/>
        <v>1</v>
      </c>
      <c r="CW590" s="3" t="b">
        <f t="shared" si="368"/>
        <v>1</v>
      </c>
      <c r="CX590" s="9" t="str">
        <f t="shared" si="369"/>
        <v>5201134</v>
      </c>
      <c r="CY590" s="9" t="str">
        <f t="shared" si="370"/>
        <v>5201134</v>
      </c>
      <c r="CZ590" s="9" t="str">
        <f t="shared" si="371"/>
        <v>5302134</v>
      </c>
      <c r="DA590" s="9" t="str">
        <f t="shared" si="372"/>
        <v>5602134</v>
      </c>
      <c r="DB590" s="9" t="str">
        <f t="shared" si="373"/>
        <v>5602134</v>
      </c>
      <c r="DC590" s="9" t="str">
        <f t="shared" si="374"/>
        <v>5501134</v>
      </c>
      <c r="DD590" s="9">
        <v>13</v>
      </c>
      <c r="DE590" s="9">
        <v>13</v>
      </c>
      <c r="DF590" s="9">
        <v>13</v>
      </c>
      <c r="DG590" s="9">
        <v>13</v>
      </c>
      <c r="DH590" s="9">
        <v>13</v>
      </c>
      <c r="DI590" s="9">
        <v>13</v>
      </c>
      <c r="DJ590" s="9">
        <v>5</v>
      </c>
      <c r="DK590" s="9">
        <v>5</v>
      </c>
      <c r="DL590" s="9">
        <v>5</v>
      </c>
      <c r="DM590" s="9">
        <v>5</v>
      </c>
      <c r="DN590" s="9">
        <v>5</v>
      </c>
      <c r="DO590" s="9">
        <v>5</v>
      </c>
      <c r="DP590" s="27" t="s">
        <v>217</v>
      </c>
      <c r="DQ590" s="27" t="s">
        <v>217</v>
      </c>
      <c r="DR590" s="27" t="s">
        <v>218</v>
      </c>
      <c r="DS590" s="27" t="s">
        <v>220</v>
      </c>
      <c r="DT590" s="27" t="s">
        <v>220</v>
      </c>
      <c r="DU590" s="27" t="s">
        <v>214</v>
      </c>
      <c r="DV590" s="25">
        <f t="shared" si="375"/>
        <v>1</v>
      </c>
      <c r="DW590" s="25">
        <f t="shared" si="376"/>
        <v>1</v>
      </c>
      <c r="DX590" s="25">
        <f t="shared" si="377"/>
        <v>1</v>
      </c>
      <c r="DY590" s="25">
        <f t="shared" si="378"/>
        <v>2</v>
      </c>
      <c r="DZ590" s="25">
        <f t="shared" si="379"/>
        <v>2</v>
      </c>
      <c r="EA590" s="3">
        <f t="shared" si="380"/>
        <v>2</v>
      </c>
      <c r="EB590" s="48"/>
    </row>
    <row r="591" spans="1:132" ht="13.5" customHeight="1">
      <c r="A591" s="9">
        <v>588</v>
      </c>
      <c r="B591" s="9">
        <v>1</v>
      </c>
      <c r="C591" s="9">
        <v>2001</v>
      </c>
      <c r="D591" s="9">
        <f t="shared" si="357"/>
        <v>30438813</v>
      </c>
      <c r="E591" s="9" t="str">
        <f t="shared" si="392"/>
        <v>5300135,5202135,5202135,5401133,5402132,5401133</v>
      </c>
      <c r="F591" s="9" t="str">
        <f t="shared" si="393"/>
        <v>13,13,13,13,13,13</v>
      </c>
      <c r="G591" s="9" t="str">
        <f t="shared" si="394"/>
        <v>1279,1382,1382,1382,1382,1382</v>
      </c>
      <c r="H591" s="9">
        <v>275</v>
      </c>
      <c r="I591" s="9" t="s">
        <v>278</v>
      </c>
      <c r="J591" s="9" t="s">
        <v>279</v>
      </c>
      <c r="K591" s="9" t="s">
        <v>279</v>
      </c>
      <c r="L591" s="9" t="s">
        <v>279</v>
      </c>
      <c r="M591" s="36" t="s">
        <v>316</v>
      </c>
      <c r="N591" s="40"/>
      <c r="O591" s="3">
        <f t="shared" si="362"/>
        <v>30438813</v>
      </c>
      <c r="P591" s="9">
        <v>23059706.809999999</v>
      </c>
      <c r="Q591" s="9">
        <v>5300135</v>
      </c>
      <c r="R591" s="9">
        <v>5202135</v>
      </c>
      <c r="S591" s="9">
        <v>5202135</v>
      </c>
      <c r="T591" s="9">
        <v>5401133</v>
      </c>
      <c r="U591" s="9">
        <v>5402132</v>
      </c>
      <c r="V591" s="9">
        <v>5401133</v>
      </c>
      <c r="W591" s="9">
        <v>13</v>
      </c>
      <c r="X591" s="9">
        <v>13</v>
      </c>
      <c r="Y591" s="9">
        <v>13</v>
      </c>
      <c r="Z591" s="9">
        <v>13</v>
      </c>
      <c r="AA591" s="9">
        <v>13</v>
      </c>
      <c r="AB591" s="9">
        <v>13</v>
      </c>
      <c r="AC591" s="9">
        <f t="shared" si="381"/>
        <v>1279</v>
      </c>
      <c r="AD591" s="9">
        <f t="shared" si="382"/>
        <v>1382</v>
      </c>
      <c r="AE591" s="9">
        <f t="shared" si="383"/>
        <v>1382</v>
      </c>
      <c r="AF591" s="9">
        <f t="shared" si="384"/>
        <v>1382</v>
      </c>
      <c r="AG591" s="9">
        <f t="shared" si="385"/>
        <v>1382</v>
      </c>
      <c r="AH591" s="9">
        <f t="shared" si="386"/>
        <v>1382</v>
      </c>
      <c r="AI591" s="7">
        <f t="shared" si="360"/>
        <v>3843284.4683333333</v>
      </c>
      <c r="AJ591" s="7">
        <f t="shared" si="359"/>
        <v>3843284.4683333333</v>
      </c>
      <c r="AK591" s="7">
        <f t="shared" si="359"/>
        <v>3843284.4683333333</v>
      </c>
      <c r="AL591" s="7">
        <f t="shared" si="359"/>
        <v>3843284.4683333333</v>
      </c>
      <c r="AM591" s="7">
        <f t="shared" si="359"/>
        <v>3843284.4683333333</v>
      </c>
      <c r="AN591" s="7">
        <f t="shared" si="359"/>
        <v>3843284.4683333333</v>
      </c>
      <c r="AO591" s="16"/>
      <c r="AP591" s="7"/>
      <c r="AQ591" s="9">
        <v>9</v>
      </c>
      <c r="AR591" s="9">
        <f t="shared" si="387"/>
        <v>1598</v>
      </c>
      <c r="AS591" s="7">
        <f t="shared" si="358"/>
        <v>394</v>
      </c>
      <c r="AT591" s="7"/>
      <c r="AU591" s="16"/>
      <c r="AV591" s="7"/>
      <c r="AW591" s="7"/>
      <c r="AX591" s="7"/>
      <c r="AZ591" s="7"/>
      <c r="BA591" s="9">
        <f t="shared" si="361"/>
        <v>3375554.320000005</v>
      </c>
      <c r="BC591" s="5" t="e">
        <f t="shared" si="388"/>
        <v>#N/A</v>
      </c>
      <c r="BR591" s="5">
        <v>4303042</v>
      </c>
      <c r="BS591" s="18">
        <f>[1]monsters!$N591</f>
        <v>94.08</v>
      </c>
      <c r="BT591" s="18">
        <f>[1]monsters!$O591</f>
        <v>9.41</v>
      </c>
      <c r="BU591" s="18">
        <f>[1]monsters!$P591</f>
        <v>1493.33</v>
      </c>
      <c r="BV591" s="18">
        <f>[1]monsters!$Q591</f>
        <v>149.33000000000001</v>
      </c>
      <c r="BW591" s="18">
        <f>[1]monsters!$R591</f>
        <v>18.82</v>
      </c>
      <c r="BX591" s="18">
        <f>[1]monsters!$S591</f>
        <v>1.88</v>
      </c>
      <c r="BY591" s="18">
        <f>[1]monsters!$K591</f>
        <v>1.4</v>
      </c>
      <c r="BZ591" s="5">
        <f>[1]monsters!$D591</f>
        <v>2</v>
      </c>
      <c r="CA591" s="5">
        <f t="shared" si="389"/>
        <v>0.1</v>
      </c>
      <c r="CB591" s="5">
        <f t="shared" si="390"/>
        <v>139.18607138047139</v>
      </c>
      <c r="CC591" s="5">
        <f t="shared" si="391"/>
        <v>13.91860713804714</v>
      </c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>
        <v>0</v>
      </c>
      <c r="CR591" s="3" t="b">
        <f t="shared" si="363"/>
        <v>1</v>
      </c>
      <c r="CS591" s="3" t="b">
        <f t="shared" si="364"/>
        <v>1</v>
      </c>
      <c r="CT591" s="3" t="b">
        <f t="shared" si="365"/>
        <v>1</v>
      </c>
      <c r="CU591" s="3" t="b">
        <f t="shared" si="366"/>
        <v>1</v>
      </c>
      <c r="CV591" s="3" t="b">
        <f t="shared" si="367"/>
        <v>1</v>
      </c>
      <c r="CW591" s="3" t="b">
        <f t="shared" si="368"/>
        <v>1</v>
      </c>
      <c r="CX591" s="9" t="str">
        <f t="shared" si="369"/>
        <v>5300135</v>
      </c>
      <c r="CY591" s="9" t="str">
        <f t="shared" si="370"/>
        <v>5202135</v>
      </c>
      <c r="CZ591" s="9" t="str">
        <f t="shared" si="371"/>
        <v>5202135</v>
      </c>
      <c r="DA591" s="9" t="str">
        <f t="shared" si="372"/>
        <v>5401133</v>
      </c>
      <c r="DB591" s="9" t="str">
        <f t="shared" si="373"/>
        <v>5402132</v>
      </c>
      <c r="DC591" s="9" t="str">
        <f t="shared" si="374"/>
        <v>5401133</v>
      </c>
      <c r="DD591" s="9">
        <v>13</v>
      </c>
      <c r="DE591" s="9">
        <v>13</v>
      </c>
      <c r="DF591" s="9">
        <v>13</v>
      </c>
      <c r="DG591" s="9">
        <v>13</v>
      </c>
      <c r="DH591" s="9">
        <v>13</v>
      </c>
      <c r="DI591" s="9">
        <v>13</v>
      </c>
      <c r="DJ591" s="9">
        <v>5</v>
      </c>
      <c r="DK591" s="9">
        <v>5</v>
      </c>
      <c r="DL591" s="9">
        <v>5</v>
      </c>
      <c r="DM591" s="9">
        <v>5</v>
      </c>
      <c r="DN591" s="9">
        <v>5</v>
      </c>
      <c r="DO591" s="9">
        <v>5</v>
      </c>
      <c r="DP591" s="25" t="s">
        <v>212</v>
      </c>
      <c r="DQ591" s="25" t="s">
        <v>213</v>
      </c>
      <c r="DR591" s="25" t="s">
        <v>213</v>
      </c>
      <c r="DS591" s="25" t="s">
        <v>211</v>
      </c>
      <c r="DT591" s="25" t="s">
        <v>203</v>
      </c>
      <c r="DU591" s="25" t="s">
        <v>211</v>
      </c>
      <c r="DV591" s="25">
        <f t="shared" si="375"/>
        <v>1</v>
      </c>
      <c r="DW591" s="25">
        <f t="shared" si="376"/>
        <v>1</v>
      </c>
      <c r="DX591" s="25">
        <f t="shared" si="377"/>
        <v>1</v>
      </c>
      <c r="DY591" s="25">
        <f t="shared" si="378"/>
        <v>2</v>
      </c>
      <c r="DZ591" s="25">
        <f t="shared" si="379"/>
        <v>2</v>
      </c>
      <c r="EA591" s="3">
        <f t="shared" si="380"/>
        <v>2</v>
      </c>
      <c r="EB591" s="47"/>
    </row>
    <row r="592" spans="1:132" ht="13.5" customHeight="1">
      <c r="A592" s="9">
        <v>589</v>
      </c>
      <c r="B592" s="9">
        <v>1</v>
      </c>
      <c r="C592" s="9">
        <v>2001</v>
      </c>
      <c r="D592" s="9">
        <f t="shared" si="357"/>
        <v>30523873</v>
      </c>
      <c r="E592" s="9" t="str">
        <f t="shared" si="392"/>
        <v>5202133,5202132,5202133,5501135,5401133,5501134</v>
      </c>
      <c r="F592" s="9" t="str">
        <f t="shared" si="393"/>
        <v>13,13,13,13,13,13</v>
      </c>
      <c r="G592" s="9" t="str">
        <f t="shared" si="394"/>
        <v>1281,1384,1384,1384,1384,1384</v>
      </c>
      <c r="H592" s="9">
        <v>275</v>
      </c>
      <c r="I592" s="9" t="s">
        <v>278</v>
      </c>
      <c r="J592" s="9" t="s">
        <v>279</v>
      </c>
      <c r="K592" s="9" t="s">
        <v>279</v>
      </c>
      <c r="L592" s="9" t="s">
        <v>279</v>
      </c>
      <c r="M592" s="36" t="s">
        <v>316</v>
      </c>
      <c r="N592" s="40"/>
      <c r="O592" s="3">
        <f t="shared" si="362"/>
        <v>30523873</v>
      </c>
      <c r="P592" s="9">
        <v>23124146.210000001</v>
      </c>
      <c r="Q592" s="9">
        <v>5202133</v>
      </c>
      <c r="R592" s="9">
        <v>5202132</v>
      </c>
      <c r="S592" s="9">
        <v>5202133</v>
      </c>
      <c r="T592" s="9">
        <v>5501135</v>
      </c>
      <c r="U592" s="9">
        <v>5401133</v>
      </c>
      <c r="V592" s="9">
        <v>5501134</v>
      </c>
      <c r="W592" s="9">
        <v>13</v>
      </c>
      <c r="X592" s="9">
        <v>13</v>
      </c>
      <c r="Y592" s="9">
        <v>13</v>
      </c>
      <c r="Z592" s="9">
        <v>13</v>
      </c>
      <c r="AA592" s="9">
        <v>13</v>
      </c>
      <c r="AB592" s="9">
        <v>13</v>
      </c>
      <c r="AC592" s="9">
        <f t="shared" si="381"/>
        <v>1281</v>
      </c>
      <c r="AD592" s="9">
        <f t="shared" si="382"/>
        <v>1384</v>
      </c>
      <c r="AE592" s="9">
        <f t="shared" si="383"/>
        <v>1384</v>
      </c>
      <c r="AF592" s="9">
        <f t="shared" si="384"/>
        <v>1384</v>
      </c>
      <c r="AG592" s="9">
        <f t="shared" si="385"/>
        <v>1384</v>
      </c>
      <c r="AH592" s="9">
        <f t="shared" si="386"/>
        <v>1384</v>
      </c>
      <c r="AI592" s="7">
        <f t="shared" si="360"/>
        <v>3854024.3683333336</v>
      </c>
      <c r="AJ592" s="7">
        <f t="shared" si="359"/>
        <v>3854024.3683333336</v>
      </c>
      <c r="AK592" s="7">
        <f t="shared" si="359"/>
        <v>3854024.3683333336</v>
      </c>
      <c r="AL592" s="7">
        <f t="shared" si="359"/>
        <v>3854024.3683333336</v>
      </c>
      <c r="AM592" s="7">
        <f t="shared" si="359"/>
        <v>3854024.3683333336</v>
      </c>
      <c r="AN592" s="7">
        <f t="shared" si="359"/>
        <v>3854024.3683333336</v>
      </c>
      <c r="AO592" s="16"/>
      <c r="AP592" s="7"/>
      <c r="AQ592" s="9">
        <v>9</v>
      </c>
      <c r="AR592" s="9">
        <f t="shared" si="387"/>
        <v>1600</v>
      </c>
      <c r="AS592" s="7">
        <f t="shared" si="358"/>
        <v>394</v>
      </c>
      <c r="AT592" s="7"/>
      <c r="AU592" s="16"/>
      <c r="AV592" s="7"/>
      <c r="AW592" s="7"/>
      <c r="AX592" s="7"/>
      <c r="AZ592" s="7"/>
      <c r="BA592" s="9">
        <f t="shared" si="361"/>
        <v>3397815.4600000051</v>
      </c>
      <c r="BC592" s="5" t="e">
        <f t="shared" si="388"/>
        <v>#N/A</v>
      </c>
      <c r="BR592" s="5">
        <v>4304042</v>
      </c>
      <c r="BS592" s="18">
        <f>[1]monsters!$N592</f>
        <v>155.31</v>
      </c>
      <c r="BT592" s="18">
        <f>[1]monsters!$O592</f>
        <v>15.53</v>
      </c>
      <c r="BU592" s="18">
        <f>[1]monsters!$P592</f>
        <v>1033.8499999999999</v>
      </c>
      <c r="BV592" s="18">
        <f>[1]monsters!$Q592</f>
        <v>103.38</v>
      </c>
      <c r="BW592" s="18">
        <f>[1]monsters!$R592</f>
        <v>15.53</v>
      </c>
      <c r="BX592" s="18">
        <f>[1]monsters!$S592</f>
        <v>1.55</v>
      </c>
      <c r="BY592" s="18">
        <f>[1]monsters!$K592</f>
        <v>1.6</v>
      </c>
      <c r="BZ592" s="5">
        <f>[1]monsters!$D592</f>
        <v>4</v>
      </c>
      <c r="CA592" s="5">
        <f t="shared" si="389"/>
        <v>0.1</v>
      </c>
      <c r="CB592" s="5">
        <f t="shared" si="390"/>
        <v>181.5777143097643</v>
      </c>
      <c r="CC592" s="5">
        <f t="shared" si="391"/>
        <v>18.157771430976432</v>
      </c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>
        <v>0</v>
      </c>
      <c r="CR592" s="3" t="b">
        <f t="shared" si="363"/>
        <v>1</v>
      </c>
      <c r="CS592" s="3" t="b">
        <f t="shared" si="364"/>
        <v>1</v>
      </c>
      <c r="CT592" s="3" t="b">
        <f t="shared" si="365"/>
        <v>1</v>
      </c>
      <c r="CU592" s="3" t="b">
        <f t="shared" si="366"/>
        <v>1</v>
      </c>
      <c r="CV592" s="3" t="b">
        <f t="shared" si="367"/>
        <v>1</v>
      </c>
      <c r="CW592" s="3" t="b">
        <f t="shared" si="368"/>
        <v>1</v>
      </c>
      <c r="CX592" s="9" t="str">
        <f t="shared" si="369"/>
        <v>5202133</v>
      </c>
      <c r="CY592" s="9" t="str">
        <f t="shared" si="370"/>
        <v>5202132</v>
      </c>
      <c r="CZ592" s="9" t="str">
        <f t="shared" si="371"/>
        <v>5202133</v>
      </c>
      <c r="DA592" s="9" t="str">
        <f t="shared" si="372"/>
        <v>5501135</v>
      </c>
      <c r="DB592" s="9" t="str">
        <f t="shared" si="373"/>
        <v>5401133</v>
      </c>
      <c r="DC592" s="9" t="str">
        <f t="shared" si="374"/>
        <v>5501134</v>
      </c>
      <c r="DD592" s="9">
        <v>13</v>
      </c>
      <c r="DE592" s="9">
        <v>13</v>
      </c>
      <c r="DF592" s="9">
        <v>13</v>
      </c>
      <c r="DG592" s="9">
        <v>13</v>
      </c>
      <c r="DH592" s="9">
        <v>13</v>
      </c>
      <c r="DI592" s="9">
        <v>13</v>
      </c>
      <c r="DJ592" s="9">
        <v>5</v>
      </c>
      <c r="DK592" s="9">
        <v>5</v>
      </c>
      <c r="DL592" s="9">
        <v>5</v>
      </c>
      <c r="DM592" s="9">
        <v>5</v>
      </c>
      <c r="DN592" s="9">
        <v>5</v>
      </c>
      <c r="DO592" s="9">
        <v>5</v>
      </c>
      <c r="DP592" s="25" t="s">
        <v>208</v>
      </c>
      <c r="DQ592" s="25" t="s">
        <v>200</v>
      </c>
      <c r="DR592" s="25" t="s">
        <v>208</v>
      </c>
      <c r="DS592" s="25" t="s">
        <v>209</v>
      </c>
      <c r="DT592" s="25" t="s">
        <v>211</v>
      </c>
      <c r="DU592" s="25" t="s">
        <v>214</v>
      </c>
      <c r="DV592" s="25">
        <f t="shared" si="375"/>
        <v>1</v>
      </c>
      <c r="DW592" s="25">
        <f t="shared" si="376"/>
        <v>1</v>
      </c>
      <c r="DX592" s="25">
        <f t="shared" si="377"/>
        <v>1</v>
      </c>
      <c r="DY592" s="25">
        <f t="shared" si="378"/>
        <v>2</v>
      </c>
      <c r="DZ592" s="25">
        <f t="shared" si="379"/>
        <v>2</v>
      </c>
      <c r="EA592" s="3">
        <f t="shared" si="380"/>
        <v>2</v>
      </c>
      <c r="EB592" s="47"/>
    </row>
    <row r="593" spans="1:132" ht="13.5" customHeight="1">
      <c r="A593" s="9">
        <v>590</v>
      </c>
      <c r="B593" s="9">
        <v>1</v>
      </c>
      <c r="C593" s="9">
        <v>2001</v>
      </c>
      <c r="D593" s="9">
        <f t="shared" ref="D593:D603" si="395">O593</f>
        <v>30609053</v>
      </c>
      <c r="E593" s="9" t="str">
        <f t="shared" si="392"/>
        <v>5201131,5201131,5200131,5601131,5501134,5501134</v>
      </c>
      <c r="F593" s="9" t="str">
        <f t="shared" si="393"/>
        <v>13,13,13,13,13,13</v>
      </c>
      <c r="G593" s="9" t="str">
        <f t="shared" si="394"/>
        <v>1282,1386,1386,1386,1386,1386</v>
      </c>
      <c r="H593" s="9">
        <v>276</v>
      </c>
      <c r="I593" s="9" t="s">
        <v>278</v>
      </c>
      <c r="J593" s="9" t="s">
        <v>279</v>
      </c>
      <c r="K593" s="9" t="s">
        <v>279</v>
      </c>
      <c r="L593" s="9" t="s">
        <v>279</v>
      </c>
      <c r="M593" s="36" t="s">
        <v>316</v>
      </c>
      <c r="O593" s="3">
        <f t="shared" si="362"/>
        <v>30609053</v>
      </c>
      <c r="P593" s="9">
        <v>23188676.34</v>
      </c>
      <c r="Q593" s="9">
        <v>5201131</v>
      </c>
      <c r="R593" s="9">
        <v>5201131</v>
      </c>
      <c r="S593" s="9">
        <v>5200131</v>
      </c>
      <c r="T593" s="9">
        <v>5601131</v>
      </c>
      <c r="U593" s="9">
        <v>5501134</v>
      </c>
      <c r="V593" s="9">
        <v>5501134</v>
      </c>
      <c r="W593" s="9">
        <v>13</v>
      </c>
      <c r="X593" s="9">
        <v>13</v>
      </c>
      <c r="Y593" s="9">
        <v>13</v>
      </c>
      <c r="Z593" s="9">
        <v>13</v>
      </c>
      <c r="AA593" s="9">
        <v>13</v>
      </c>
      <c r="AB593" s="9">
        <v>13</v>
      </c>
      <c r="AC593" s="9">
        <f t="shared" si="381"/>
        <v>1282</v>
      </c>
      <c r="AD593" s="9">
        <f t="shared" si="382"/>
        <v>1386</v>
      </c>
      <c r="AE593" s="9">
        <f t="shared" si="383"/>
        <v>1386</v>
      </c>
      <c r="AF593" s="9">
        <f t="shared" si="384"/>
        <v>1386</v>
      </c>
      <c r="AG593" s="9">
        <f t="shared" si="385"/>
        <v>1386</v>
      </c>
      <c r="AH593" s="9">
        <f t="shared" si="386"/>
        <v>1386</v>
      </c>
      <c r="AI593" s="7">
        <f t="shared" si="360"/>
        <v>3864779.39</v>
      </c>
      <c r="AJ593" s="7">
        <f t="shared" si="359"/>
        <v>3864779.39</v>
      </c>
      <c r="AK593" s="7">
        <f t="shared" si="359"/>
        <v>3864779.39</v>
      </c>
      <c r="AL593" s="7">
        <f t="shared" si="359"/>
        <v>3864779.39</v>
      </c>
      <c r="AM593" s="7">
        <f t="shared" si="359"/>
        <v>3864779.39</v>
      </c>
      <c r="AN593" s="7">
        <f t="shared" si="359"/>
        <v>3864779.39</v>
      </c>
      <c r="AO593" s="16"/>
      <c r="AP593" s="7"/>
      <c r="AQ593" s="9">
        <v>9</v>
      </c>
      <c r="AR593" s="9">
        <f t="shared" si="387"/>
        <v>1602</v>
      </c>
      <c r="AS593" s="7">
        <f t="shared" si="358"/>
        <v>395</v>
      </c>
      <c r="AT593" s="7"/>
      <c r="AU593" s="16"/>
      <c r="AV593" s="7"/>
      <c r="AW593" s="7"/>
      <c r="AX593" s="7"/>
      <c r="AZ593" s="7"/>
      <c r="BA593" s="9">
        <f t="shared" si="361"/>
        <v>3420076.6000000052</v>
      </c>
      <c r="BC593" s="5" t="e">
        <f t="shared" si="388"/>
        <v>#N/A</v>
      </c>
      <c r="BR593" s="5">
        <v>4503042</v>
      </c>
      <c r="BS593" s="18">
        <f>[1]monsters!$N593</f>
        <v>143.36000000000001</v>
      </c>
      <c r="BT593" s="18">
        <f>[1]monsters!$O593</f>
        <v>14.34</v>
      </c>
      <c r="BU593" s="18">
        <f>[1]monsters!$P593</f>
        <v>1120</v>
      </c>
      <c r="BV593" s="18">
        <f>[1]monsters!$Q593</f>
        <v>112</v>
      </c>
      <c r="BW593" s="18">
        <f>[1]monsters!$R593</f>
        <v>23.89</v>
      </c>
      <c r="BX593" s="18">
        <f>[1]monsters!$S593</f>
        <v>2.39</v>
      </c>
      <c r="BY593" s="18">
        <f>[1]monsters!$K593</f>
        <v>1.6</v>
      </c>
      <c r="BZ593" s="5">
        <f>[1]monsters!$D593</f>
        <v>5</v>
      </c>
      <c r="CA593" s="5">
        <f t="shared" si="389"/>
        <v>0.1</v>
      </c>
      <c r="CB593" s="5">
        <f t="shared" si="390"/>
        <v>173.18563771043773</v>
      </c>
      <c r="CC593" s="5">
        <f t="shared" si="391"/>
        <v>17.318563771043774</v>
      </c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>
        <v>1</v>
      </c>
      <c r="CR593" s="3" t="b">
        <f t="shared" si="363"/>
        <v>1</v>
      </c>
      <c r="CS593" s="3" t="b">
        <f t="shared" si="364"/>
        <v>1</v>
      </c>
      <c r="CT593" s="3" t="b">
        <f t="shared" si="365"/>
        <v>1</v>
      </c>
      <c r="CU593" s="3" t="b">
        <f t="shared" si="366"/>
        <v>1</v>
      </c>
      <c r="CV593" s="3" t="b">
        <f t="shared" si="367"/>
        <v>1</v>
      </c>
      <c r="CW593" s="3" t="b">
        <f t="shared" si="368"/>
        <v>1</v>
      </c>
      <c r="CX593" s="9" t="str">
        <f t="shared" si="369"/>
        <v>5201131</v>
      </c>
      <c r="CY593" s="9" t="str">
        <f t="shared" si="370"/>
        <v>5201131</v>
      </c>
      <c r="CZ593" s="9" t="str">
        <f t="shared" si="371"/>
        <v>5200131</v>
      </c>
      <c r="DA593" s="9" t="str">
        <f t="shared" si="372"/>
        <v>5601131</v>
      </c>
      <c r="DB593" s="9" t="str">
        <f t="shared" si="373"/>
        <v>5501134</v>
      </c>
      <c r="DC593" s="9" t="str">
        <f t="shared" si="374"/>
        <v>5501134</v>
      </c>
      <c r="DD593" s="9">
        <v>13</v>
      </c>
      <c r="DE593" s="9">
        <v>13</v>
      </c>
      <c r="DF593" s="9">
        <v>13</v>
      </c>
      <c r="DG593" s="9">
        <v>13</v>
      </c>
      <c r="DH593" s="9">
        <v>13</v>
      </c>
      <c r="DI593" s="9">
        <v>13</v>
      </c>
      <c r="DJ593" s="9">
        <v>5</v>
      </c>
      <c r="DK593" s="9">
        <v>5</v>
      </c>
      <c r="DL593" s="9">
        <v>5</v>
      </c>
      <c r="DM593" s="9">
        <v>5</v>
      </c>
      <c r="DN593" s="9">
        <v>5</v>
      </c>
      <c r="DO593" s="9">
        <v>5</v>
      </c>
      <c r="DP593" s="25" t="s">
        <v>195</v>
      </c>
      <c r="DQ593" s="25" t="s">
        <v>195</v>
      </c>
      <c r="DR593" s="25" t="s">
        <v>194</v>
      </c>
      <c r="DS593" s="25" t="s">
        <v>198</v>
      </c>
      <c r="DT593" s="25" t="s">
        <v>214</v>
      </c>
      <c r="DU593" s="25" t="s">
        <v>214</v>
      </c>
      <c r="DV593" s="25">
        <f t="shared" si="375"/>
        <v>1</v>
      </c>
      <c r="DW593" s="25">
        <f t="shared" si="376"/>
        <v>1</v>
      </c>
      <c r="DX593" s="25">
        <f t="shared" si="377"/>
        <v>1</v>
      </c>
      <c r="DY593" s="25">
        <f t="shared" si="378"/>
        <v>2</v>
      </c>
      <c r="DZ593" s="25">
        <f t="shared" si="379"/>
        <v>2</v>
      </c>
      <c r="EA593" s="3">
        <f t="shared" si="380"/>
        <v>2</v>
      </c>
      <c r="EB593" s="48"/>
    </row>
    <row r="594" spans="1:132" ht="13.5" customHeight="1">
      <c r="A594" s="9">
        <v>591</v>
      </c>
      <c r="B594" s="9">
        <v>1</v>
      </c>
      <c r="C594" s="9">
        <v>2001</v>
      </c>
      <c r="D594" s="9">
        <f t="shared" si="395"/>
        <v>30694352</v>
      </c>
      <c r="E594" s="9" t="str">
        <f t="shared" si="392"/>
        <v>5302135,5202135,5202135,5400135,5400135,5400135</v>
      </c>
      <c r="F594" s="9" t="str">
        <f t="shared" si="393"/>
        <v>13,13,13,13,13,13</v>
      </c>
      <c r="G594" s="9" t="str">
        <f t="shared" si="394"/>
        <v>1284,1388,1388,1388,1388,1388</v>
      </c>
      <c r="H594" s="9">
        <v>276</v>
      </c>
      <c r="I594" s="9" t="s">
        <v>278</v>
      </c>
      <c r="J594" s="9" t="s">
        <v>279</v>
      </c>
      <c r="K594" s="9" t="s">
        <v>279</v>
      </c>
      <c r="L594" s="9" t="s">
        <v>279</v>
      </c>
      <c r="M594" s="36" t="s">
        <v>316</v>
      </c>
      <c r="N594" s="40"/>
      <c r="O594" s="3">
        <f t="shared" si="362"/>
        <v>30694352</v>
      </c>
      <c r="P594" s="9">
        <v>23253297.199999999</v>
      </c>
      <c r="Q594" s="9">
        <v>5302135</v>
      </c>
      <c r="R594" s="9">
        <v>5202135</v>
      </c>
      <c r="S594" s="9">
        <v>5202135</v>
      </c>
      <c r="T594" s="9">
        <v>5400135</v>
      </c>
      <c r="U594" s="9">
        <v>5400135</v>
      </c>
      <c r="V594" s="9">
        <v>5400135</v>
      </c>
      <c r="W594" s="9">
        <v>13</v>
      </c>
      <c r="X594" s="9">
        <v>13</v>
      </c>
      <c r="Y594" s="9">
        <v>13</v>
      </c>
      <c r="Z594" s="9">
        <v>13</v>
      </c>
      <c r="AA594" s="9">
        <v>13</v>
      </c>
      <c r="AB594" s="9">
        <v>13</v>
      </c>
      <c r="AC594" s="9">
        <f t="shared" si="381"/>
        <v>1284</v>
      </c>
      <c r="AD594" s="9">
        <f t="shared" si="382"/>
        <v>1388</v>
      </c>
      <c r="AE594" s="9">
        <f t="shared" si="383"/>
        <v>1388</v>
      </c>
      <c r="AF594" s="9">
        <f t="shared" si="384"/>
        <v>1388</v>
      </c>
      <c r="AG594" s="9">
        <f t="shared" si="385"/>
        <v>1388</v>
      </c>
      <c r="AH594" s="9">
        <f t="shared" si="386"/>
        <v>1388</v>
      </c>
      <c r="AI594" s="7">
        <f t="shared" si="360"/>
        <v>3875549.5333333332</v>
      </c>
      <c r="AJ594" s="7">
        <f t="shared" si="359"/>
        <v>3875549.5333333332</v>
      </c>
      <c r="AK594" s="7">
        <f t="shared" si="359"/>
        <v>3875549.5333333332</v>
      </c>
      <c r="AL594" s="7">
        <f t="shared" si="359"/>
        <v>3875549.5333333332</v>
      </c>
      <c r="AM594" s="7">
        <f t="shared" si="359"/>
        <v>3875549.5333333332</v>
      </c>
      <c r="AN594" s="7">
        <f t="shared" si="359"/>
        <v>3875549.5333333332</v>
      </c>
      <c r="AO594" s="16"/>
      <c r="AP594" s="7"/>
      <c r="AQ594" s="9">
        <v>9</v>
      </c>
      <c r="AR594" s="9">
        <f t="shared" si="387"/>
        <v>1604</v>
      </c>
      <c r="AS594" s="7">
        <f t="shared" si="358"/>
        <v>395</v>
      </c>
      <c r="AT594" s="7"/>
      <c r="AU594" s="16"/>
      <c r="AV594" s="7"/>
      <c r="AW594" s="7"/>
      <c r="AX594" s="7"/>
      <c r="AZ594" s="7"/>
      <c r="BA594" s="9">
        <f t="shared" si="361"/>
        <v>3442337.7400000053</v>
      </c>
      <c r="BC594" s="5" t="e">
        <f t="shared" si="388"/>
        <v>#N/A</v>
      </c>
      <c r="BR594" s="5">
        <v>4504042</v>
      </c>
      <c r="BS594" s="18">
        <f>[1]monsters!$N594</f>
        <v>120.21</v>
      </c>
      <c r="BT594" s="18">
        <f>[1]monsters!$O594</f>
        <v>12.02</v>
      </c>
      <c r="BU594" s="18">
        <f>[1]monsters!$P594</f>
        <v>1168.7</v>
      </c>
      <c r="BV594" s="18">
        <f>[1]monsters!$Q594</f>
        <v>116.87</v>
      </c>
      <c r="BW594" s="18">
        <f>[1]monsters!$R594</f>
        <v>15.03</v>
      </c>
      <c r="BX594" s="18">
        <f>[1]monsters!$S594</f>
        <v>1.5</v>
      </c>
      <c r="BY594" s="18">
        <f>[1]monsters!$K594</f>
        <v>1.4</v>
      </c>
      <c r="BZ594" s="5">
        <f>[1]monsters!$D594</f>
        <v>3</v>
      </c>
      <c r="CA594" s="5">
        <f t="shared" si="389"/>
        <v>0.1</v>
      </c>
      <c r="CB594" s="5">
        <f t="shared" si="390"/>
        <v>152.94861835016835</v>
      </c>
      <c r="CC594" s="5">
        <f t="shared" si="391"/>
        <v>15.294861835016835</v>
      </c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>
        <v>0</v>
      </c>
      <c r="CR594" s="3" t="b">
        <f t="shared" si="363"/>
        <v>1</v>
      </c>
      <c r="CS594" s="3" t="b">
        <f t="shared" si="364"/>
        <v>1</v>
      </c>
      <c r="CT594" s="3" t="b">
        <f t="shared" si="365"/>
        <v>1</v>
      </c>
      <c r="CU594" s="3" t="b">
        <f t="shared" si="366"/>
        <v>1</v>
      </c>
      <c r="CV594" s="3" t="b">
        <f t="shared" si="367"/>
        <v>1</v>
      </c>
      <c r="CW594" s="3" t="b">
        <f t="shared" si="368"/>
        <v>1</v>
      </c>
      <c r="CX594" s="9" t="str">
        <f t="shared" si="369"/>
        <v>5302135</v>
      </c>
      <c r="CY594" s="9" t="str">
        <f t="shared" si="370"/>
        <v>5202135</v>
      </c>
      <c r="CZ594" s="9" t="str">
        <f t="shared" si="371"/>
        <v>5202135</v>
      </c>
      <c r="DA594" s="9" t="str">
        <f t="shared" si="372"/>
        <v>5400135</v>
      </c>
      <c r="DB594" s="9" t="str">
        <f t="shared" si="373"/>
        <v>5400135</v>
      </c>
      <c r="DC594" s="9" t="str">
        <f t="shared" si="374"/>
        <v>5400135</v>
      </c>
      <c r="DD594" s="9">
        <v>13</v>
      </c>
      <c r="DE594" s="9">
        <v>13</v>
      </c>
      <c r="DF594" s="9">
        <v>13</v>
      </c>
      <c r="DG594" s="9">
        <v>13</v>
      </c>
      <c r="DH594" s="9">
        <v>13</v>
      </c>
      <c r="DI594" s="9">
        <v>13</v>
      </c>
      <c r="DJ594" s="9">
        <v>5</v>
      </c>
      <c r="DK594" s="9">
        <v>5</v>
      </c>
      <c r="DL594" s="9">
        <v>5</v>
      </c>
      <c r="DM594" s="9">
        <v>5</v>
      </c>
      <c r="DN594" s="9">
        <v>5</v>
      </c>
      <c r="DO594" s="9">
        <v>5</v>
      </c>
      <c r="DP594" s="25" t="s">
        <v>221</v>
      </c>
      <c r="DQ594" s="25" t="s">
        <v>213</v>
      </c>
      <c r="DR594" s="25" t="s">
        <v>213</v>
      </c>
      <c r="DS594" s="25" t="s">
        <v>210</v>
      </c>
      <c r="DT594" s="25" t="s">
        <v>210</v>
      </c>
      <c r="DU594" s="25" t="s">
        <v>210</v>
      </c>
      <c r="DV594" s="25">
        <f t="shared" si="375"/>
        <v>1</v>
      </c>
      <c r="DW594" s="25">
        <f t="shared" si="376"/>
        <v>1</v>
      </c>
      <c r="DX594" s="25">
        <f t="shared" si="377"/>
        <v>1</v>
      </c>
      <c r="DY594" s="25">
        <f t="shared" si="378"/>
        <v>2</v>
      </c>
      <c r="DZ594" s="25">
        <f t="shared" si="379"/>
        <v>2</v>
      </c>
      <c r="EA594" s="3">
        <f t="shared" si="380"/>
        <v>2</v>
      </c>
      <c r="EB594" s="47"/>
    </row>
    <row r="595" spans="1:132" ht="13.5" customHeight="1">
      <c r="A595" s="9">
        <v>592</v>
      </c>
      <c r="B595" s="9">
        <v>1</v>
      </c>
      <c r="C595" s="9">
        <v>2001</v>
      </c>
      <c r="D595" s="9">
        <f t="shared" si="395"/>
        <v>30779772</v>
      </c>
      <c r="E595" s="9" t="str">
        <f t="shared" si="392"/>
        <v>5301131,5301132,5301132,5500132,5400135,5502133</v>
      </c>
      <c r="F595" s="9" t="str">
        <f t="shared" si="393"/>
        <v>13,13,13,13,13,13</v>
      </c>
      <c r="G595" s="9" t="str">
        <f t="shared" si="394"/>
        <v>1286,1390,1390,1390,1390,1390</v>
      </c>
      <c r="H595" s="9">
        <v>276</v>
      </c>
      <c r="I595" s="9" t="s">
        <v>278</v>
      </c>
      <c r="J595" s="9" t="s">
        <v>279</v>
      </c>
      <c r="K595" s="9" t="s">
        <v>279</v>
      </c>
      <c r="L595" s="9" t="s">
        <v>279</v>
      </c>
      <c r="M595" s="36" t="s">
        <v>316</v>
      </c>
      <c r="N595" s="40"/>
      <c r="O595" s="3">
        <f t="shared" si="362"/>
        <v>30779772</v>
      </c>
      <c r="P595" s="9">
        <v>23318008.789999999</v>
      </c>
      <c r="Q595" s="9">
        <v>5301131</v>
      </c>
      <c r="R595" s="9">
        <v>5301132</v>
      </c>
      <c r="S595" s="9">
        <v>5301132</v>
      </c>
      <c r="T595" s="9">
        <v>5500132</v>
      </c>
      <c r="U595" s="9">
        <v>5400135</v>
      </c>
      <c r="V595" s="9">
        <v>5502133</v>
      </c>
      <c r="W595" s="9">
        <v>13</v>
      </c>
      <c r="X595" s="9">
        <v>13</v>
      </c>
      <c r="Y595" s="9">
        <v>13</v>
      </c>
      <c r="Z595" s="9">
        <v>13</v>
      </c>
      <c r="AA595" s="9">
        <v>13</v>
      </c>
      <c r="AB595" s="9">
        <v>13</v>
      </c>
      <c r="AC595" s="9">
        <f t="shared" si="381"/>
        <v>1286</v>
      </c>
      <c r="AD595" s="9">
        <f t="shared" si="382"/>
        <v>1390</v>
      </c>
      <c r="AE595" s="9">
        <f t="shared" si="383"/>
        <v>1390</v>
      </c>
      <c r="AF595" s="9">
        <f t="shared" si="384"/>
        <v>1390</v>
      </c>
      <c r="AG595" s="9">
        <f t="shared" si="385"/>
        <v>1390</v>
      </c>
      <c r="AH595" s="9">
        <f t="shared" si="386"/>
        <v>1390</v>
      </c>
      <c r="AI595" s="7">
        <f t="shared" si="360"/>
        <v>3886334.7983333333</v>
      </c>
      <c r="AJ595" s="7">
        <f t="shared" si="359"/>
        <v>3886334.7983333333</v>
      </c>
      <c r="AK595" s="7">
        <f t="shared" si="359"/>
        <v>3886334.7983333333</v>
      </c>
      <c r="AL595" s="7">
        <f t="shared" si="359"/>
        <v>3886334.7983333333</v>
      </c>
      <c r="AM595" s="7">
        <f t="shared" si="359"/>
        <v>3886334.7983333333</v>
      </c>
      <c r="AN595" s="7">
        <f t="shared" si="359"/>
        <v>3886334.7983333333</v>
      </c>
      <c r="AO595" s="16"/>
      <c r="AP595" s="7"/>
      <c r="AQ595" s="9">
        <v>9</v>
      </c>
      <c r="AR595" s="9">
        <f t="shared" si="387"/>
        <v>1606</v>
      </c>
      <c r="AS595" s="7">
        <f t="shared" si="358"/>
        <v>396</v>
      </c>
      <c r="AT595" s="7"/>
      <c r="AU595" s="16"/>
      <c r="AV595" s="7"/>
      <c r="AW595" s="7"/>
      <c r="AX595" s="7"/>
      <c r="AZ595" s="7"/>
      <c r="BA595" s="9">
        <f t="shared" si="361"/>
        <v>3464598.8800000055</v>
      </c>
      <c r="BC595" s="5" t="e">
        <f t="shared" si="388"/>
        <v>#N/A</v>
      </c>
      <c r="BR595" s="5">
        <v>4101042</v>
      </c>
      <c r="BS595" s="18">
        <f>[1]monsters!$N595</f>
        <v>87.36</v>
      </c>
      <c r="BT595" s="18">
        <f>[1]monsters!$O595</f>
        <v>8.74</v>
      </c>
      <c r="BU595" s="18">
        <f>[1]monsters!$P595</f>
        <v>1493.33</v>
      </c>
      <c r="BV595" s="18">
        <f>[1]monsters!$Q595</f>
        <v>149.33000000000001</v>
      </c>
      <c r="BW595" s="18">
        <f>[1]monsters!$R595</f>
        <v>17.47</v>
      </c>
      <c r="BX595" s="18">
        <f>[1]monsters!$S595</f>
        <v>1.75</v>
      </c>
      <c r="BY595" s="18">
        <f>[1]monsters!$K595</f>
        <v>1.3</v>
      </c>
      <c r="BZ595" s="5">
        <f>[1]monsters!$D595</f>
        <v>2</v>
      </c>
      <c r="CA595" s="5">
        <f t="shared" si="389"/>
        <v>0.1</v>
      </c>
      <c r="CB595" s="5">
        <f t="shared" si="390"/>
        <v>132.83567138047138</v>
      </c>
      <c r="CC595" s="5">
        <f t="shared" si="391"/>
        <v>13.28356713804714</v>
      </c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>
        <v>0</v>
      </c>
      <c r="CR595" s="3" t="b">
        <f t="shared" si="363"/>
        <v>1</v>
      </c>
      <c r="CS595" s="3" t="b">
        <f t="shared" si="364"/>
        <v>1</v>
      </c>
      <c r="CT595" s="3" t="b">
        <f t="shared" si="365"/>
        <v>1</v>
      </c>
      <c r="CU595" s="3" t="b">
        <f t="shared" si="366"/>
        <v>1</v>
      </c>
      <c r="CV595" s="3" t="b">
        <f t="shared" si="367"/>
        <v>1</v>
      </c>
      <c r="CW595" s="3" t="b">
        <f t="shared" si="368"/>
        <v>1</v>
      </c>
      <c r="CX595" s="9" t="str">
        <f t="shared" si="369"/>
        <v>5301131</v>
      </c>
      <c r="CY595" s="9" t="str">
        <f t="shared" si="370"/>
        <v>5301132</v>
      </c>
      <c r="CZ595" s="9" t="str">
        <f t="shared" si="371"/>
        <v>5301132</v>
      </c>
      <c r="DA595" s="9" t="str">
        <f t="shared" si="372"/>
        <v>5500132</v>
      </c>
      <c r="DB595" s="9" t="str">
        <f t="shared" si="373"/>
        <v>5400135</v>
      </c>
      <c r="DC595" s="9" t="str">
        <f t="shared" si="374"/>
        <v>5502133</v>
      </c>
      <c r="DD595" s="9">
        <v>13</v>
      </c>
      <c r="DE595" s="9">
        <v>13</v>
      </c>
      <c r="DF595" s="9">
        <v>13</v>
      </c>
      <c r="DG595" s="9">
        <v>13</v>
      </c>
      <c r="DH595" s="9">
        <v>13</v>
      </c>
      <c r="DI595" s="9">
        <v>13</v>
      </c>
      <c r="DJ595" s="9">
        <v>5</v>
      </c>
      <c r="DK595" s="9">
        <v>5</v>
      </c>
      <c r="DL595" s="9">
        <v>5</v>
      </c>
      <c r="DM595" s="9">
        <v>5</v>
      </c>
      <c r="DN595" s="9">
        <v>5</v>
      </c>
      <c r="DO595" s="9">
        <v>5</v>
      </c>
      <c r="DP595" s="25" t="s">
        <v>107</v>
      </c>
      <c r="DQ595" s="25" t="s">
        <v>201</v>
      </c>
      <c r="DR595" s="25" t="s">
        <v>201</v>
      </c>
      <c r="DS595" s="25" t="s">
        <v>109</v>
      </c>
      <c r="DT595" s="25" t="s">
        <v>210</v>
      </c>
      <c r="DU595" s="25" t="s">
        <v>215</v>
      </c>
      <c r="DV595" s="25">
        <f t="shared" si="375"/>
        <v>1</v>
      </c>
      <c r="DW595" s="25">
        <f t="shared" si="376"/>
        <v>1</v>
      </c>
      <c r="DX595" s="25">
        <f t="shared" si="377"/>
        <v>1</v>
      </c>
      <c r="DY595" s="25">
        <f t="shared" si="378"/>
        <v>2</v>
      </c>
      <c r="DZ595" s="25">
        <f t="shared" si="379"/>
        <v>2</v>
      </c>
      <c r="EA595" s="3">
        <f t="shared" si="380"/>
        <v>2</v>
      </c>
      <c r="EB595" s="47"/>
    </row>
    <row r="596" spans="1:132" ht="13.5" customHeight="1">
      <c r="A596" s="9">
        <v>593</v>
      </c>
      <c r="B596" s="9">
        <v>1</v>
      </c>
      <c r="C596" s="9">
        <v>2001</v>
      </c>
      <c r="D596" s="9">
        <f t="shared" si="395"/>
        <v>30865311</v>
      </c>
      <c r="E596" s="9" t="str">
        <f t="shared" si="392"/>
        <v>5201133,5200133,5301132,5501134,5500133,5501134</v>
      </c>
      <c r="F596" s="9" t="str">
        <f t="shared" si="393"/>
        <v>13,13,13,13,13,13</v>
      </c>
      <c r="G596" s="9" t="str">
        <f t="shared" si="394"/>
        <v>1288,1392,1392,1392,1392,1392</v>
      </c>
      <c r="H596" s="9">
        <v>277</v>
      </c>
      <c r="I596" s="9" t="s">
        <v>278</v>
      </c>
      <c r="J596" s="9" t="s">
        <v>279</v>
      </c>
      <c r="K596" s="9" t="s">
        <v>279</v>
      </c>
      <c r="L596" s="9" t="s">
        <v>279</v>
      </c>
      <c r="M596" s="36" t="s">
        <v>316</v>
      </c>
      <c r="N596" s="40"/>
      <c r="O596" s="3">
        <f t="shared" si="362"/>
        <v>30865311</v>
      </c>
      <c r="P596" s="9">
        <v>23382811.109999999</v>
      </c>
      <c r="Q596" s="9">
        <v>5201133</v>
      </c>
      <c r="R596" s="9">
        <v>5200133</v>
      </c>
      <c r="S596" s="9">
        <v>5301132</v>
      </c>
      <c r="T596" s="9">
        <v>5501134</v>
      </c>
      <c r="U596" s="9">
        <v>5500133</v>
      </c>
      <c r="V596" s="9">
        <v>5501134</v>
      </c>
      <c r="W596" s="9">
        <v>13</v>
      </c>
      <c r="X596" s="9">
        <v>13</v>
      </c>
      <c r="Y596" s="9">
        <v>13</v>
      </c>
      <c r="Z596" s="9">
        <v>13</v>
      </c>
      <c r="AA596" s="9">
        <v>13</v>
      </c>
      <c r="AB596" s="9">
        <v>13</v>
      </c>
      <c r="AC596" s="9">
        <f t="shared" si="381"/>
        <v>1288</v>
      </c>
      <c r="AD596" s="9">
        <f t="shared" si="382"/>
        <v>1392</v>
      </c>
      <c r="AE596" s="9">
        <f t="shared" si="383"/>
        <v>1392</v>
      </c>
      <c r="AF596" s="9">
        <f t="shared" si="384"/>
        <v>1392</v>
      </c>
      <c r="AG596" s="9">
        <f t="shared" si="385"/>
        <v>1392</v>
      </c>
      <c r="AH596" s="9">
        <f t="shared" si="386"/>
        <v>1392</v>
      </c>
      <c r="AI596" s="7">
        <f t="shared" si="360"/>
        <v>3897135.1850000001</v>
      </c>
      <c r="AJ596" s="7">
        <f t="shared" si="359"/>
        <v>3897135.1850000001</v>
      </c>
      <c r="AK596" s="7">
        <f t="shared" si="359"/>
        <v>3897135.1850000001</v>
      </c>
      <c r="AL596" s="7">
        <f t="shared" si="359"/>
        <v>3897135.1850000001</v>
      </c>
      <c r="AM596" s="7">
        <f t="shared" si="359"/>
        <v>3897135.1850000001</v>
      </c>
      <c r="AN596" s="7">
        <f t="shared" si="359"/>
        <v>3897135.1850000001</v>
      </c>
      <c r="AO596" s="16"/>
      <c r="AP596" s="7"/>
      <c r="AQ596" s="9">
        <v>9</v>
      </c>
      <c r="AR596" s="9">
        <f t="shared" si="387"/>
        <v>1609</v>
      </c>
      <c r="AS596" s="7">
        <f t="shared" si="358"/>
        <v>396</v>
      </c>
      <c r="AT596" s="7"/>
      <c r="AU596" s="16"/>
      <c r="AV596" s="7"/>
      <c r="AW596" s="7"/>
      <c r="AX596" s="7"/>
      <c r="AZ596" s="7"/>
      <c r="BA596" s="9">
        <f t="shared" si="361"/>
        <v>3486860.0200000056</v>
      </c>
      <c r="BC596" s="5" t="e">
        <f t="shared" si="388"/>
        <v>#N/A</v>
      </c>
      <c r="BR596" s="5">
        <v>4102042</v>
      </c>
      <c r="BS596" s="18">
        <f>[1]monsters!$N596</f>
        <v>116.48</v>
      </c>
      <c r="BT596" s="18">
        <f>[1]monsters!$O596</f>
        <v>11.65</v>
      </c>
      <c r="BU596" s="18">
        <f>[1]monsters!$P596</f>
        <v>1120</v>
      </c>
      <c r="BV596" s="18">
        <f>[1]monsters!$Q596</f>
        <v>112</v>
      </c>
      <c r="BW596" s="18">
        <f>[1]monsters!$R596</f>
        <v>11.65</v>
      </c>
      <c r="BX596" s="18">
        <f>[1]monsters!$S596</f>
        <v>1.1599999999999999</v>
      </c>
      <c r="BY596" s="18">
        <f>[1]monsters!$K596</f>
        <v>1.3</v>
      </c>
      <c r="BZ596" s="5">
        <f>[1]monsters!$D596</f>
        <v>4</v>
      </c>
      <c r="CA596" s="5">
        <f t="shared" si="389"/>
        <v>0.1</v>
      </c>
      <c r="CB596" s="5">
        <f t="shared" si="390"/>
        <v>147.78403771043773</v>
      </c>
      <c r="CC596" s="5">
        <f t="shared" si="391"/>
        <v>14.778403771043774</v>
      </c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>
        <v>0</v>
      </c>
      <c r="CR596" s="3" t="b">
        <f t="shared" si="363"/>
        <v>1</v>
      </c>
      <c r="CS596" s="3" t="b">
        <f t="shared" si="364"/>
        <v>1</v>
      </c>
      <c r="CT596" s="3" t="b">
        <f t="shared" si="365"/>
        <v>1</v>
      </c>
      <c r="CU596" s="3" t="b">
        <f t="shared" si="366"/>
        <v>1</v>
      </c>
      <c r="CV596" s="3" t="b">
        <f t="shared" si="367"/>
        <v>1</v>
      </c>
      <c r="CW596" s="3" t="b">
        <f t="shared" si="368"/>
        <v>1</v>
      </c>
      <c r="CX596" s="9" t="str">
        <f t="shared" si="369"/>
        <v>5201133</v>
      </c>
      <c r="CY596" s="9" t="str">
        <f t="shared" si="370"/>
        <v>5200133</v>
      </c>
      <c r="CZ596" s="9" t="str">
        <f t="shared" si="371"/>
        <v>5301132</v>
      </c>
      <c r="DA596" s="9" t="str">
        <f t="shared" si="372"/>
        <v>5501134</v>
      </c>
      <c r="DB596" s="9" t="str">
        <f t="shared" si="373"/>
        <v>5500133</v>
      </c>
      <c r="DC596" s="9" t="str">
        <f t="shared" si="374"/>
        <v>5501134</v>
      </c>
      <c r="DD596" s="9">
        <v>13</v>
      </c>
      <c r="DE596" s="9">
        <v>13</v>
      </c>
      <c r="DF596" s="9">
        <v>13</v>
      </c>
      <c r="DG596" s="9">
        <v>13</v>
      </c>
      <c r="DH596" s="9">
        <v>13</v>
      </c>
      <c r="DI596" s="9">
        <v>13</v>
      </c>
      <c r="DJ596" s="9">
        <v>5</v>
      </c>
      <c r="DK596" s="9">
        <v>5</v>
      </c>
      <c r="DL596" s="9">
        <v>5</v>
      </c>
      <c r="DM596" s="9">
        <v>5</v>
      </c>
      <c r="DN596" s="9">
        <v>5</v>
      </c>
      <c r="DO596" s="9">
        <v>5</v>
      </c>
      <c r="DP596" s="25" t="s">
        <v>205</v>
      </c>
      <c r="DQ596" s="25" t="s">
        <v>113</v>
      </c>
      <c r="DR596" s="25" t="s">
        <v>201</v>
      </c>
      <c r="DS596" s="25" t="s">
        <v>214</v>
      </c>
      <c r="DT596" s="25" t="s">
        <v>207</v>
      </c>
      <c r="DU596" s="25" t="s">
        <v>214</v>
      </c>
      <c r="DV596" s="25">
        <f t="shared" si="375"/>
        <v>1</v>
      </c>
      <c r="DW596" s="25">
        <f t="shared" si="376"/>
        <v>1</v>
      </c>
      <c r="DX596" s="25">
        <f t="shared" si="377"/>
        <v>1</v>
      </c>
      <c r="DY596" s="25">
        <f t="shared" si="378"/>
        <v>2</v>
      </c>
      <c r="DZ596" s="25">
        <f t="shared" si="379"/>
        <v>2</v>
      </c>
      <c r="EA596" s="3">
        <f t="shared" si="380"/>
        <v>2</v>
      </c>
      <c r="EB596" s="47"/>
    </row>
    <row r="597" spans="1:132" ht="13.5" customHeight="1">
      <c r="A597" s="9">
        <v>594</v>
      </c>
      <c r="B597" s="9">
        <v>1</v>
      </c>
      <c r="C597" s="9">
        <v>2001</v>
      </c>
      <c r="D597" s="9">
        <f t="shared" si="395"/>
        <v>30950969</v>
      </c>
      <c r="E597" s="9" t="str">
        <f t="shared" si="392"/>
        <v>5200133,5200133,5201132,5401133,5402132,5401133</v>
      </c>
      <c r="F597" s="9" t="str">
        <f t="shared" si="393"/>
        <v>13,13,13,13,13,13</v>
      </c>
      <c r="G597" s="9" t="str">
        <f t="shared" si="394"/>
        <v>1290,1394,1394,1394,1394,1394</v>
      </c>
      <c r="H597" s="9">
        <v>277</v>
      </c>
      <c r="I597" s="9" t="s">
        <v>278</v>
      </c>
      <c r="J597" s="9" t="s">
        <v>279</v>
      </c>
      <c r="K597" s="9" t="s">
        <v>279</v>
      </c>
      <c r="L597" s="9" t="s">
        <v>279</v>
      </c>
      <c r="M597" s="36" t="s">
        <v>316</v>
      </c>
      <c r="N597" s="40"/>
      <c r="O597" s="3">
        <f t="shared" si="362"/>
        <v>30950969</v>
      </c>
      <c r="P597" s="9">
        <v>23447704.16</v>
      </c>
      <c r="Q597" s="9">
        <v>5200133</v>
      </c>
      <c r="R597" s="9">
        <v>5200133</v>
      </c>
      <c r="S597" s="9">
        <v>5201132</v>
      </c>
      <c r="T597" s="9">
        <v>5401133</v>
      </c>
      <c r="U597" s="9">
        <v>5402132</v>
      </c>
      <c r="V597" s="9">
        <v>5401133</v>
      </c>
      <c r="W597" s="9">
        <v>13</v>
      </c>
      <c r="X597" s="9">
        <v>13</v>
      </c>
      <c r="Y597" s="9">
        <v>13</v>
      </c>
      <c r="Z597" s="9">
        <v>13</v>
      </c>
      <c r="AA597" s="9">
        <v>13</v>
      </c>
      <c r="AB597" s="9">
        <v>13</v>
      </c>
      <c r="AC597" s="9">
        <f t="shared" si="381"/>
        <v>1290</v>
      </c>
      <c r="AD597" s="9">
        <f t="shared" si="382"/>
        <v>1394</v>
      </c>
      <c r="AE597" s="9">
        <f t="shared" si="383"/>
        <v>1394</v>
      </c>
      <c r="AF597" s="9">
        <f t="shared" si="384"/>
        <v>1394</v>
      </c>
      <c r="AG597" s="9">
        <f t="shared" si="385"/>
        <v>1394</v>
      </c>
      <c r="AH597" s="9">
        <f t="shared" si="386"/>
        <v>1394</v>
      </c>
      <c r="AI597" s="7">
        <f t="shared" si="360"/>
        <v>3907950.6933333334</v>
      </c>
      <c r="AJ597" s="7">
        <f t="shared" si="359"/>
        <v>3907950.6933333334</v>
      </c>
      <c r="AK597" s="7">
        <f t="shared" si="359"/>
        <v>3907950.6933333334</v>
      </c>
      <c r="AL597" s="7">
        <f t="shared" si="359"/>
        <v>3907950.6933333334</v>
      </c>
      <c r="AM597" s="7">
        <f t="shared" si="359"/>
        <v>3907950.6933333334</v>
      </c>
      <c r="AN597" s="7">
        <f t="shared" si="359"/>
        <v>3907950.6933333334</v>
      </c>
      <c r="AO597" s="16"/>
      <c r="AP597" s="7"/>
      <c r="AQ597" s="9">
        <v>9</v>
      </c>
      <c r="AR597" s="9">
        <f t="shared" si="387"/>
        <v>1611</v>
      </c>
      <c r="AS597" s="7">
        <f t="shared" si="358"/>
        <v>397</v>
      </c>
      <c r="AT597" s="7"/>
      <c r="AU597" s="16"/>
      <c r="AV597" s="7"/>
      <c r="AW597" s="7"/>
      <c r="AX597" s="7"/>
      <c r="AZ597" s="7"/>
      <c r="BA597" s="9">
        <f t="shared" si="361"/>
        <v>3509121.1600000057</v>
      </c>
      <c r="BC597" s="5" t="e">
        <f t="shared" si="388"/>
        <v>#N/A</v>
      </c>
      <c r="BR597" s="5">
        <v>4206043</v>
      </c>
      <c r="BS597" s="18">
        <f>[1]monsters!$N597</f>
        <v>120.96</v>
      </c>
      <c r="BT597" s="18">
        <f>[1]monsters!$O597</f>
        <v>12.1</v>
      </c>
      <c r="BU597" s="18">
        <f>[1]monsters!$P597</f>
        <v>1493.33</v>
      </c>
      <c r="BV597" s="18">
        <f>[1]monsters!$Q597</f>
        <v>149.33000000000001</v>
      </c>
      <c r="BW597" s="18">
        <f>[1]monsters!$R597</f>
        <v>24.19</v>
      </c>
      <c r="BX597" s="18">
        <f>[1]monsters!$S597</f>
        <v>2.42</v>
      </c>
      <c r="BY597" s="18">
        <f>[1]monsters!$K597</f>
        <v>1.8</v>
      </c>
      <c r="BZ597" s="5">
        <f>[1]monsters!$D597</f>
        <v>2</v>
      </c>
      <c r="CA597" s="5">
        <f t="shared" si="389"/>
        <v>0.1</v>
      </c>
      <c r="CB597" s="5">
        <f t="shared" si="390"/>
        <v>164.58767138047136</v>
      </c>
      <c r="CC597" s="5">
        <f t="shared" si="391"/>
        <v>16.458767138047136</v>
      </c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>
        <v>0</v>
      </c>
      <c r="CR597" s="3" t="b">
        <f t="shared" si="363"/>
        <v>1</v>
      </c>
      <c r="CS597" s="3" t="b">
        <f t="shared" si="364"/>
        <v>1</v>
      </c>
      <c r="CT597" s="3" t="b">
        <f t="shared" si="365"/>
        <v>1</v>
      </c>
      <c r="CU597" s="3" t="b">
        <f t="shared" si="366"/>
        <v>1</v>
      </c>
      <c r="CV597" s="3" t="b">
        <f t="shared" si="367"/>
        <v>1</v>
      </c>
      <c r="CW597" s="3" t="b">
        <f t="shared" si="368"/>
        <v>1</v>
      </c>
      <c r="CX597" s="9" t="str">
        <f t="shared" si="369"/>
        <v>5200133</v>
      </c>
      <c r="CY597" s="9" t="str">
        <f t="shared" si="370"/>
        <v>5200133</v>
      </c>
      <c r="CZ597" s="9" t="str">
        <f t="shared" si="371"/>
        <v>5201132</v>
      </c>
      <c r="DA597" s="9" t="str">
        <f t="shared" si="372"/>
        <v>5401133</v>
      </c>
      <c r="DB597" s="9" t="str">
        <f t="shared" si="373"/>
        <v>5402132</v>
      </c>
      <c r="DC597" s="9" t="str">
        <f t="shared" si="374"/>
        <v>5401133</v>
      </c>
      <c r="DD597" s="9">
        <v>13</v>
      </c>
      <c r="DE597" s="9">
        <v>13</v>
      </c>
      <c r="DF597" s="9">
        <v>13</v>
      </c>
      <c r="DG597" s="9">
        <v>13</v>
      </c>
      <c r="DH597" s="9">
        <v>13</v>
      </c>
      <c r="DI597" s="9">
        <v>13</v>
      </c>
      <c r="DJ597" s="9">
        <v>5</v>
      </c>
      <c r="DK597" s="9">
        <v>5</v>
      </c>
      <c r="DL597" s="9">
        <v>5</v>
      </c>
      <c r="DM597" s="9">
        <v>5</v>
      </c>
      <c r="DN597" s="9">
        <v>5</v>
      </c>
      <c r="DO597" s="9">
        <v>5</v>
      </c>
      <c r="DP597" s="25" t="s">
        <v>113</v>
      </c>
      <c r="DQ597" s="25" t="s">
        <v>113</v>
      </c>
      <c r="DR597" s="25" t="s">
        <v>114</v>
      </c>
      <c r="DS597" s="25" t="s">
        <v>211</v>
      </c>
      <c r="DT597" s="25" t="s">
        <v>203</v>
      </c>
      <c r="DU597" s="25" t="s">
        <v>211</v>
      </c>
      <c r="DV597" s="25">
        <f t="shared" si="375"/>
        <v>1</v>
      </c>
      <c r="DW597" s="25">
        <f t="shared" si="376"/>
        <v>1</v>
      </c>
      <c r="DX597" s="25">
        <f t="shared" si="377"/>
        <v>1</v>
      </c>
      <c r="DY597" s="25">
        <f t="shared" si="378"/>
        <v>2</v>
      </c>
      <c r="DZ597" s="25">
        <f t="shared" si="379"/>
        <v>2</v>
      </c>
      <c r="EA597" s="3">
        <f t="shared" si="380"/>
        <v>2</v>
      </c>
      <c r="EB597" s="29"/>
    </row>
    <row r="598" spans="1:132" ht="13.5" customHeight="1">
      <c r="A598" s="9">
        <v>595</v>
      </c>
      <c r="B598" s="9">
        <v>1</v>
      </c>
      <c r="C598" s="9">
        <v>2001</v>
      </c>
      <c r="D598" s="9">
        <f t="shared" si="395"/>
        <v>31036748</v>
      </c>
      <c r="E598" s="9" t="str">
        <f t="shared" si="392"/>
        <v>5201131,5201131,5201131,5502131,5502131,5502131</v>
      </c>
      <c r="F598" s="9" t="str">
        <f t="shared" si="393"/>
        <v>13,13,13,13,13,13</v>
      </c>
      <c r="G598" s="9" t="str">
        <f t="shared" si="394"/>
        <v>1291,1396,1396,1396,1396,1396</v>
      </c>
      <c r="H598" s="9">
        <v>278</v>
      </c>
      <c r="I598" s="9" t="s">
        <v>278</v>
      </c>
      <c r="J598" s="9" t="s">
        <v>279</v>
      </c>
      <c r="K598" s="9" t="s">
        <v>279</v>
      </c>
      <c r="L598" s="9" t="s">
        <v>279</v>
      </c>
      <c r="M598" s="36" t="s">
        <v>316</v>
      </c>
      <c r="O598" s="3">
        <f t="shared" si="362"/>
        <v>31036748</v>
      </c>
      <c r="P598" s="9">
        <v>23512687.940000001</v>
      </c>
      <c r="Q598" s="9">
        <v>5201131</v>
      </c>
      <c r="R598" s="9">
        <v>5201131</v>
      </c>
      <c r="S598" s="9">
        <v>5201131</v>
      </c>
      <c r="T598" s="9">
        <v>5502131</v>
      </c>
      <c r="U598" s="9">
        <v>5502131</v>
      </c>
      <c r="V598" s="9">
        <v>5502131</v>
      </c>
      <c r="W598" s="9">
        <v>13</v>
      </c>
      <c r="X598" s="9">
        <v>13</v>
      </c>
      <c r="Y598" s="9">
        <v>13</v>
      </c>
      <c r="Z598" s="9">
        <v>13</v>
      </c>
      <c r="AA598" s="9">
        <v>13</v>
      </c>
      <c r="AB598" s="9">
        <v>13</v>
      </c>
      <c r="AC598" s="9">
        <f t="shared" si="381"/>
        <v>1291</v>
      </c>
      <c r="AD598" s="9">
        <f t="shared" si="382"/>
        <v>1396</v>
      </c>
      <c r="AE598" s="9">
        <f t="shared" si="383"/>
        <v>1396</v>
      </c>
      <c r="AF598" s="9">
        <f t="shared" si="384"/>
        <v>1396</v>
      </c>
      <c r="AG598" s="9">
        <f t="shared" si="385"/>
        <v>1396</v>
      </c>
      <c r="AH598" s="9">
        <f t="shared" si="386"/>
        <v>1396</v>
      </c>
      <c r="AI598" s="7">
        <f t="shared" si="360"/>
        <v>3918781.3233333337</v>
      </c>
      <c r="AJ598" s="7">
        <f t="shared" si="359"/>
        <v>3918781.3233333337</v>
      </c>
      <c r="AK598" s="7">
        <f t="shared" si="359"/>
        <v>3918781.3233333337</v>
      </c>
      <c r="AL598" s="7">
        <f t="shared" ref="AJ598:AN613" si="396">$P598/6</f>
        <v>3918781.3233333337</v>
      </c>
      <c r="AM598" s="7">
        <f t="shared" si="396"/>
        <v>3918781.3233333337</v>
      </c>
      <c r="AN598" s="7">
        <f t="shared" si="396"/>
        <v>3918781.3233333337</v>
      </c>
      <c r="AO598" s="16"/>
      <c r="AP598" s="7"/>
      <c r="AQ598" s="9">
        <v>9</v>
      </c>
      <c r="AR598" s="9">
        <f t="shared" si="387"/>
        <v>1613</v>
      </c>
      <c r="AS598" s="7">
        <f t="shared" si="358"/>
        <v>397</v>
      </c>
      <c r="AT598" s="7"/>
      <c r="AU598" s="16"/>
      <c r="AV598" s="7"/>
      <c r="AW598" s="7"/>
      <c r="AX598" s="7"/>
      <c r="AZ598" s="7"/>
      <c r="BA598" s="9">
        <f t="shared" si="361"/>
        <v>3531382.3000000059</v>
      </c>
      <c r="BC598" s="5" t="e">
        <f t="shared" si="388"/>
        <v>#N/A</v>
      </c>
      <c r="BR598" s="5">
        <v>4406043</v>
      </c>
      <c r="BS598" s="18">
        <f>[1]monsters!$N598</f>
        <v>140</v>
      </c>
      <c r="BT598" s="18">
        <f>[1]monsters!$O598</f>
        <v>14</v>
      </c>
      <c r="BU598" s="18">
        <f>[1]monsters!$P598</f>
        <v>1075.2</v>
      </c>
      <c r="BV598" s="18">
        <f>[1]monsters!$Q598</f>
        <v>107.52</v>
      </c>
      <c r="BW598" s="18">
        <f>[1]monsters!$R598</f>
        <v>14</v>
      </c>
      <c r="BX598" s="18">
        <f>[1]monsters!$S598</f>
        <v>1.4</v>
      </c>
      <c r="BY598" s="18">
        <f>[1]monsters!$K598</f>
        <v>1.5</v>
      </c>
      <c r="BZ598" s="5">
        <f>[1]monsters!$D598</f>
        <v>4</v>
      </c>
      <c r="CA598" s="5">
        <f t="shared" si="389"/>
        <v>0.1</v>
      </c>
      <c r="CB598" s="5">
        <f t="shared" si="390"/>
        <v>168.50202020202022</v>
      </c>
      <c r="CC598" s="5">
        <f t="shared" si="391"/>
        <v>16.850202020202023</v>
      </c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>
        <v>1</v>
      </c>
      <c r="CR598" s="3" t="b">
        <f t="shared" si="363"/>
        <v>1</v>
      </c>
      <c r="CS598" s="3" t="b">
        <f t="shared" si="364"/>
        <v>1</v>
      </c>
      <c r="CT598" s="3" t="b">
        <f t="shared" si="365"/>
        <v>1</v>
      </c>
      <c r="CU598" s="3" t="b">
        <f t="shared" si="366"/>
        <v>1</v>
      </c>
      <c r="CV598" s="3" t="b">
        <f t="shared" si="367"/>
        <v>1</v>
      </c>
      <c r="CW598" s="3" t="b">
        <f t="shared" si="368"/>
        <v>1</v>
      </c>
      <c r="CX598" s="9" t="str">
        <f t="shared" si="369"/>
        <v>5201131</v>
      </c>
      <c r="CY598" s="9" t="str">
        <f t="shared" si="370"/>
        <v>5201131</v>
      </c>
      <c r="CZ598" s="9" t="str">
        <f t="shared" si="371"/>
        <v>5201131</v>
      </c>
      <c r="DA598" s="9" t="str">
        <f t="shared" si="372"/>
        <v>5502131</v>
      </c>
      <c r="DB598" s="9" t="str">
        <f t="shared" si="373"/>
        <v>5502131</v>
      </c>
      <c r="DC598" s="9" t="str">
        <f t="shared" si="374"/>
        <v>5502131</v>
      </c>
      <c r="DD598" s="9">
        <v>13</v>
      </c>
      <c r="DE598" s="9">
        <v>13</v>
      </c>
      <c r="DF598" s="9">
        <v>13</v>
      </c>
      <c r="DG598" s="9">
        <v>13</v>
      </c>
      <c r="DH598" s="9">
        <v>13</v>
      </c>
      <c r="DI598" s="9">
        <v>13</v>
      </c>
      <c r="DJ598" s="9">
        <v>5</v>
      </c>
      <c r="DK598" s="9">
        <v>5</v>
      </c>
      <c r="DL598" s="9">
        <v>5</v>
      </c>
      <c r="DM598" s="9">
        <v>5</v>
      </c>
      <c r="DN598" s="9">
        <v>5</v>
      </c>
      <c r="DO598" s="9">
        <v>5</v>
      </c>
      <c r="DP598" s="25" t="s">
        <v>195</v>
      </c>
      <c r="DQ598" s="25" t="s">
        <v>195</v>
      </c>
      <c r="DR598" s="25" t="s">
        <v>195</v>
      </c>
      <c r="DS598" s="25" t="s">
        <v>119</v>
      </c>
      <c r="DT598" s="25" t="s">
        <v>119</v>
      </c>
      <c r="DU598" s="25" t="s">
        <v>119</v>
      </c>
      <c r="DV598" s="25">
        <f t="shared" si="375"/>
        <v>1</v>
      </c>
      <c r="DW598" s="25">
        <f t="shared" si="376"/>
        <v>1</v>
      </c>
      <c r="DX598" s="25">
        <f t="shared" si="377"/>
        <v>1</v>
      </c>
      <c r="DY598" s="25">
        <f t="shared" si="378"/>
        <v>2</v>
      </c>
      <c r="DZ598" s="25">
        <f t="shared" si="379"/>
        <v>2</v>
      </c>
      <c r="EA598" s="3">
        <f t="shared" si="380"/>
        <v>2</v>
      </c>
      <c r="EB598" s="29"/>
    </row>
    <row r="599" spans="1:132" ht="13.5" customHeight="1">
      <c r="A599" s="9">
        <v>596</v>
      </c>
      <c r="B599" s="9">
        <v>1</v>
      </c>
      <c r="C599" s="9">
        <v>2001</v>
      </c>
      <c r="D599" s="9">
        <f t="shared" si="395"/>
        <v>31122646</v>
      </c>
      <c r="E599" s="9" t="str">
        <f t="shared" si="392"/>
        <v>5202133,5201133,5302134,5501134,5501135,5500132</v>
      </c>
      <c r="F599" s="9" t="str">
        <f t="shared" si="393"/>
        <v>13,13,13,13,13,13</v>
      </c>
      <c r="G599" s="9" t="str">
        <f t="shared" si="394"/>
        <v>1293,1398,1398,1398,1398,1398</v>
      </c>
      <c r="H599" s="9">
        <v>278</v>
      </c>
      <c r="I599" s="9" t="s">
        <v>278</v>
      </c>
      <c r="J599" s="9" t="s">
        <v>279</v>
      </c>
      <c r="K599" s="9" t="s">
        <v>279</v>
      </c>
      <c r="L599" s="9" t="s">
        <v>279</v>
      </c>
      <c r="M599" s="36" t="s">
        <v>316</v>
      </c>
      <c r="N599" s="40"/>
      <c r="O599" s="3">
        <f t="shared" si="362"/>
        <v>31122646</v>
      </c>
      <c r="P599" s="9">
        <v>23577762.449999999</v>
      </c>
      <c r="Q599" s="9">
        <v>5202133</v>
      </c>
      <c r="R599" s="9">
        <v>5201133</v>
      </c>
      <c r="S599" s="9">
        <v>5302134</v>
      </c>
      <c r="T599" s="9">
        <v>5501134</v>
      </c>
      <c r="U599" s="9">
        <v>5501135</v>
      </c>
      <c r="V599" s="9">
        <v>5500132</v>
      </c>
      <c r="W599" s="9">
        <v>13</v>
      </c>
      <c r="X599" s="9">
        <v>13</v>
      </c>
      <c r="Y599" s="9">
        <v>13</v>
      </c>
      <c r="Z599" s="9">
        <v>13</v>
      </c>
      <c r="AA599" s="9">
        <v>13</v>
      </c>
      <c r="AB599" s="9">
        <v>13</v>
      </c>
      <c r="AC599" s="9">
        <f t="shared" si="381"/>
        <v>1293</v>
      </c>
      <c r="AD599" s="9">
        <f t="shared" si="382"/>
        <v>1398</v>
      </c>
      <c r="AE599" s="9">
        <f t="shared" si="383"/>
        <v>1398</v>
      </c>
      <c r="AF599" s="9">
        <f t="shared" si="384"/>
        <v>1398</v>
      </c>
      <c r="AG599" s="9">
        <f t="shared" si="385"/>
        <v>1398</v>
      </c>
      <c r="AH599" s="9">
        <f t="shared" si="386"/>
        <v>1398</v>
      </c>
      <c r="AI599" s="7">
        <f t="shared" si="360"/>
        <v>3929627.0749999997</v>
      </c>
      <c r="AJ599" s="7">
        <f t="shared" si="396"/>
        <v>3929627.0749999997</v>
      </c>
      <c r="AK599" s="7">
        <f t="shared" si="396"/>
        <v>3929627.0749999997</v>
      </c>
      <c r="AL599" s="7">
        <f t="shared" si="396"/>
        <v>3929627.0749999997</v>
      </c>
      <c r="AM599" s="7">
        <f t="shared" si="396"/>
        <v>3929627.0749999997</v>
      </c>
      <c r="AN599" s="7">
        <f t="shared" si="396"/>
        <v>3929627.0749999997</v>
      </c>
      <c r="AO599" s="16"/>
      <c r="AP599" s="7"/>
      <c r="AQ599" s="9">
        <v>9</v>
      </c>
      <c r="AR599" s="9">
        <f t="shared" si="387"/>
        <v>1615</v>
      </c>
      <c r="AS599" s="7">
        <f t="shared" si="358"/>
        <v>398</v>
      </c>
      <c r="AT599" s="7"/>
      <c r="AU599" s="16"/>
      <c r="AV599" s="7"/>
      <c r="AW599" s="7"/>
      <c r="AX599" s="7"/>
      <c r="AZ599" s="7"/>
      <c r="BA599" s="9">
        <f t="shared" si="361"/>
        <v>3553643.440000006</v>
      </c>
      <c r="BC599" s="5" t="e">
        <f t="shared" si="388"/>
        <v>#N/A</v>
      </c>
      <c r="BR599" s="5">
        <v>4205043</v>
      </c>
      <c r="BS599" s="18">
        <f>[1]monsters!$N599</f>
        <v>106.77</v>
      </c>
      <c r="BT599" s="18">
        <f>[1]monsters!$O599</f>
        <v>10.68</v>
      </c>
      <c r="BU599" s="18">
        <f>[1]monsters!$P599</f>
        <v>1221.82</v>
      </c>
      <c r="BV599" s="18">
        <f>[1]monsters!$Q599</f>
        <v>122.18</v>
      </c>
      <c r="BW599" s="18">
        <f>[1]monsters!$R599</f>
        <v>13.35</v>
      </c>
      <c r="BX599" s="18">
        <f>[1]monsters!$S599</f>
        <v>1.33</v>
      </c>
      <c r="BY599" s="18">
        <f>[1]monsters!$K599</f>
        <v>1.3</v>
      </c>
      <c r="BZ599" s="5">
        <f>[1]monsters!$D599</f>
        <v>3</v>
      </c>
      <c r="CA599" s="5">
        <f t="shared" si="389"/>
        <v>0.1</v>
      </c>
      <c r="CB599" s="5">
        <f t="shared" si="390"/>
        <v>142.03637053872055</v>
      </c>
      <c r="CC599" s="5">
        <f t="shared" si="391"/>
        <v>14.203637053872056</v>
      </c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>
        <v>0</v>
      </c>
      <c r="CR599" s="3" t="b">
        <f t="shared" si="363"/>
        <v>1</v>
      </c>
      <c r="CS599" s="3" t="b">
        <f t="shared" si="364"/>
        <v>1</v>
      </c>
      <c r="CT599" s="3" t="b">
        <f t="shared" si="365"/>
        <v>1</v>
      </c>
      <c r="CU599" s="3" t="b">
        <f t="shared" si="366"/>
        <v>1</v>
      </c>
      <c r="CV599" s="3" t="b">
        <f t="shared" si="367"/>
        <v>1</v>
      </c>
      <c r="CW599" s="3" t="b">
        <f t="shared" si="368"/>
        <v>1</v>
      </c>
      <c r="CX599" s="9" t="str">
        <f t="shared" si="369"/>
        <v>5202133</v>
      </c>
      <c r="CY599" s="9" t="str">
        <f t="shared" si="370"/>
        <v>5201133</v>
      </c>
      <c r="CZ599" s="9" t="str">
        <f t="shared" si="371"/>
        <v>5302134</v>
      </c>
      <c r="DA599" s="9" t="str">
        <f t="shared" si="372"/>
        <v>5501134</v>
      </c>
      <c r="DB599" s="9" t="str">
        <f t="shared" si="373"/>
        <v>5501135</v>
      </c>
      <c r="DC599" s="9" t="str">
        <f t="shared" si="374"/>
        <v>5500132</v>
      </c>
      <c r="DD599" s="9">
        <v>13</v>
      </c>
      <c r="DE599" s="9">
        <v>13</v>
      </c>
      <c r="DF599" s="9">
        <v>13</v>
      </c>
      <c r="DG599" s="9">
        <v>13</v>
      </c>
      <c r="DH599" s="9">
        <v>13</v>
      </c>
      <c r="DI599" s="9">
        <v>13</v>
      </c>
      <c r="DJ599" s="9">
        <v>5</v>
      </c>
      <c r="DK599" s="9">
        <v>5</v>
      </c>
      <c r="DL599" s="9">
        <v>5</v>
      </c>
      <c r="DM599" s="9">
        <v>5</v>
      </c>
      <c r="DN599" s="9">
        <v>5</v>
      </c>
      <c r="DO599" s="9">
        <v>5</v>
      </c>
      <c r="DP599" s="25" t="s">
        <v>208</v>
      </c>
      <c r="DQ599" s="25" t="s">
        <v>205</v>
      </c>
      <c r="DR599" s="25" t="s">
        <v>218</v>
      </c>
      <c r="DS599" s="25" t="s">
        <v>214</v>
      </c>
      <c r="DT599" s="25" t="s">
        <v>209</v>
      </c>
      <c r="DU599" s="25" t="s">
        <v>109</v>
      </c>
      <c r="DV599" s="25">
        <f t="shared" si="375"/>
        <v>1</v>
      </c>
      <c r="DW599" s="25">
        <f t="shared" si="376"/>
        <v>1</v>
      </c>
      <c r="DX599" s="25">
        <f t="shared" si="377"/>
        <v>1</v>
      </c>
      <c r="DY599" s="25">
        <f t="shared" si="378"/>
        <v>2</v>
      </c>
      <c r="DZ599" s="25">
        <f t="shared" si="379"/>
        <v>2</v>
      </c>
      <c r="EA599" s="3">
        <f t="shared" si="380"/>
        <v>2</v>
      </c>
      <c r="EB599" s="29"/>
    </row>
    <row r="600" spans="1:132" ht="13.5" customHeight="1">
      <c r="A600" s="9">
        <v>597</v>
      </c>
      <c r="B600" s="9">
        <v>1</v>
      </c>
      <c r="C600" s="9">
        <v>2001</v>
      </c>
      <c r="D600" s="9">
        <f t="shared" si="395"/>
        <v>31208665</v>
      </c>
      <c r="E600" s="9" t="str">
        <f t="shared" si="392"/>
        <v>5201133,5202135,5200131,5501134,5402132,5400135</v>
      </c>
      <c r="F600" s="9" t="str">
        <f t="shared" si="393"/>
        <v>13,13,13,13,13,13</v>
      </c>
      <c r="G600" s="9" t="str">
        <f t="shared" si="394"/>
        <v>1295,1400,1400,1400,1400,1400</v>
      </c>
      <c r="H600" s="9">
        <v>278</v>
      </c>
      <c r="I600" s="9" t="s">
        <v>278</v>
      </c>
      <c r="J600" s="9" t="s">
        <v>279</v>
      </c>
      <c r="K600" s="9" t="s">
        <v>279</v>
      </c>
      <c r="L600" s="9" t="s">
        <v>279</v>
      </c>
      <c r="M600" s="36" t="s">
        <v>316</v>
      </c>
      <c r="N600" s="40"/>
      <c r="O600" s="3">
        <f t="shared" si="362"/>
        <v>31208665</v>
      </c>
      <c r="P600" s="9">
        <v>23642927.690000001</v>
      </c>
      <c r="Q600" s="9">
        <v>5201133</v>
      </c>
      <c r="R600" s="9">
        <v>5202135</v>
      </c>
      <c r="S600" s="9">
        <v>5200131</v>
      </c>
      <c r="T600" s="9">
        <v>5501134</v>
      </c>
      <c r="U600" s="9">
        <v>5402132</v>
      </c>
      <c r="V600" s="9">
        <v>5400135</v>
      </c>
      <c r="W600" s="9">
        <v>13</v>
      </c>
      <c r="X600" s="9">
        <v>13</v>
      </c>
      <c r="Y600" s="9">
        <v>13</v>
      </c>
      <c r="Z600" s="9">
        <v>13</v>
      </c>
      <c r="AA600" s="9">
        <v>13</v>
      </c>
      <c r="AB600" s="9">
        <v>13</v>
      </c>
      <c r="AC600" s="9">
        <f t="shared" si="381"/>
        <v>1295</v>
      </c>
      <c r="AD600" s="9">
        <f t="shared" si="382"/>
        <v>1400</v>
      </c>
      <c r="AE600" s="9">
        <f t="shared" si="383"/>
        <v>1400</v>
      </c>
      <c r="AF600" s="9">
        <f t="shared" si="384"/>
        <v>1400</v>
      </c>
      <c r="AG600" s="9">
        <f t="shared" si="385"/>
        <v>1400</v>
      </c>
      <c r="AH600" s="9">
        <f t="shared" si="386"/>
        <v>1400</v>
      </c>
      <c r="AI600" s="7">
        <f t="shared" si="360"/>
        <v>3940487.9483333337</v>
      </c>
      <c r="AJ600" s="7">
        <f t="shared" si="396"/>
        <v>3940487.9483333337</v>
      </c>
      <c r="AK600" s="7">
        <f t="shared" si="396"/>
        <v>3940487.9483333337</v>
      </c>
      <c r="AL600" s="7">
        <f t="shared" si="396"/>
        <v>3940487.9483333337</v>
      </c>
      <c r="AM600" s="7">
        <f t="shared" si="396"/>
        <v>3940487.9483333337</v>
      </c>
      <c r="AN600" s="7">
        <f t="shared" si="396"/>
        <v>3940487.9483333337</v>
      </c>
      <c r="AO600" s="16"/>
      <c r="AP600" s="7"/>
      <c r="AQ600" s="9">
        <v>9</v>
      </c>
      <c r="AR600" s="9">
        <f t="shared" si="387"/>
        <v>1618</v>
      </c>
      <c r="AS600" s="7">
        <f t="shared" si="358"/>
        <v>398</v>
      </c>
      <c r="AT600" s="7"/>
      <c r="AU600" s="16"/>
      <c r="AV600" s="7"/>
      <c r="AW600" s="7"/>
      <c r="AX600" s="7"/>
      <c r="AZ600" s="7"/>
      <c r="BA600" s="9">
        <f t="shared" si="361"/>
        <v>3575904.5800000061</v>
      </c>
      <c r="BC600" s="5" t="e">
        <f t="shared" si="388"/>
        <v>#N/A</v>
      </c>
      <c r="BR600" s="5">
        <v>4405043</v>
      </c>
      <c r="BS600" s="18">
        <f>[1]monsters!$N600</f>
        <v>147.84</v>
      </c>
      <c r="BT600" s="18">
        <f>[1]monsters!$O600</f>
        <v>14.78</v>
      </c>
      <c r="BU600" s="18">
        <f>[1]monsters!$P600</f>
        <v>1221.82</v>
      </c>
      <c r="BV600" s="18">
        <f>[1]monsters!$Q600</f>
        <v>122.18</v>
      </c>
      <c r="BW600" s="18">
        <f>[1]monsters!$R600</f>
        <v>24.64</v>
      </c>
      <c r="BX600" s="18">
        <f>[1]monsters!$S600</f>
        <v>2.46</v>
      </c>
      <c r="BY600" s="18">
        <f>[1]monsters!$K600</f>
        <v>1.8</v>
      </c>
      <c r="BZ600" s="5">
        <f>[1]monsters!$D600</f>
        <v>5</v>
      </c>
      <c r="CA600" s="5">
        <f t="shared" si="389"/>
        <v>0.1</v>
      </c>
      <c r="CB600" s="5">
        <f t="shared" si="390"/>
        <v>180.84752053872052</v>
      </c>
      <c r="CC600" s="5">
        <f t="shared" si="391"/>
        <v>18.084752053872052</v>
      </c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>
        <v>0</v>
      </c>
      <c r="CR600" s="3" t="b">
        <f t="shared" si="363"/>
        <v>1</v>
      </c>
      <c r="CS600" s="3" t="b">
        <f t="shared" si="364"/>
        <v>1</v>
      </c>
      <c r="CT600" s="3" t="b">
        <f t="shared" si="365"/>
        <v>1</v>
      </c>
      <c r="CU600" s="3" t="b">
        <f t="shared" si="366"/>
        <v>1</v>
      </c>
      <c r="CV600" s="3" t="b">
        <f t="shared" si="367"/>
        <v>1</v>
      </c>
      <c r="CW600" s="3" t="b">
        <f t="shared" si="368"/>
        <v>1</v>
      </c>
      <c r="CX600" s="9" t="str">
        <f t="shared" si="369"/>
        <v>5201133</v>
      </c>
      <c r="CY600" s="9" t="str">
        <f t="shared" si="370"/>
        <v>5202135</v>
      </c>
      <c r="CZ600" s="9" t="str">
        <f t="shared" si="371"/>
        <v>5200131</v>
      </c>
      <c r="DA600" s="9" t="str">
        <f t="shared" si="372"/>
        <v>5501134</v>
      </c>
      <c r="DB600" s="9" t="str">
        <f t="shared" si="373"/>
        <v>5402132</v>
      </c>
      <c r="DC600" s="9" t="str">
        <f t="shared" si="374"/>
        <v>5400135</v>
      </c>
      <c r="DD600" s="9">
        <v>13</v>
      </c>
      <c r="DE600" s="9">
        <v>13</v>
      </c>
      <c r="DF600" s="9">
        <v>13</v>
      </c>
      <c r="DG600" s="9">
        <v>13</v>
      </c>
      <c r="DH600" s="9">
        <v>13</v>
      </c>
      <c r="DI600" s="9">
        <v>13</v>
      </c>
      <c r="DJ600" s="9">
        <v>5</v>
      </c>
      <c r="DK600" s="9">
        <v>5</v>
      </c>
      <c r="DL600" s="9">
        <v>5</v>
      </c>
      <c r="DM600" s="9">
        <v>5</v>
      </c>
      <c r="DN600" s="9">
        <v>5</v>
      </c>
      <c r="DO600" s="9">
        <v>5</v>
      </c>
      <c r="DP600" s="25" t="s">
        <v>205</v>
      </c>
      <c r="DQ600" s="25" t="s">
        <v>213</v>
      </c>
      <c r="DR600" s="25" t="s">
        <v>194</v>
      </c>
      <c r="DS600" s="25" t="s">
        <v>214</v>
      </c>
      <c r="DT600" s="25" t="s">
        <v>203</v>
      </c>
      <c r="DU600" s="25" t="s">
        <v>210</v>
      </c>
      <c r="DV600" s="25">
        <f t="shared" si="375"/>
        <v>1</v>
      </c>
      <c r="DW600" s="25">
        <f t="shared" si="376"/>
        <v>1</v>
      </c>
      <c r="DX600" s="25">
        <f t="shared" si="377"/>
        <v>1</v>
      </c>
      <c r="DY600" s="25">
        <f t="shared" si="378"/>
        <v>2</v>
      </c>
      <c r="DZ600" s="25">
        <f t="shared" si="379"/>
        <v>2</v>
      </c>
      <c r="EA600" s="3">
        <f t="shared" si="380"/>
        <v>2</v>
      </c>
      <c r="EB600" s="30"/>
    </row>
    <row r="601" spans="1:132" ht="13.5" customHeight="1">
      <c r="A601" s="9">
        <v>598</v>
      </c>
      <c r="B601" s="9">
        <v>1</v>
      </c>
      <c r="C601" s="9">
        <v>2001</v>
      </c>
      <c r="D601" s="9">
        <f t="shared" si="395"/>
        <v>31294802</v>
      </c>
      <c r="E601" s="9" t="str">
        <f t="shared" si="392"/>
        <v>5300135,5202135,5202133,5401133,5400135,5400135</v>
      </c>
      <c r="F601" s="9" t="str">
        <f t="shared" si="393"/>
        <v>13,13,13,13,13,13</v>
      </c>
      <c r="G601" s="9" t="str">
        <f t="shared" si="394"/>
        <v>1297,1402,1402,1402,1402,1402</v>
      </c>
      <c r="H601" s="9">
        <v>279</v>
      </c>
      <c r="I601" s="9" t="s">
        <v>278</v>
      </c>
      <c r="J601" s="9" t="s">
        <v>279</v>
      </c>
      <c r="K601" s="9" t="s">
        <v>279</v>
      </c>
      <c r="L601" s="9" t="s">
        <v>279</v>
      </c>
      <c r="M601" s="36" t="s">
        <v>316</v>
      </c>
      <c r="N601" s="40"/>
      <c r="O601" s="3">
        <f t="shared" si="362"/>
        <v>31294802</v>
      </c>
      <c r="P601" s="9">
        <v>23708183.66</v>
      </c>
      <c r="Q601" s="9">
        <v>5300135</v>
      </c>
      <c r="R601" s="9">
        <v>5202135</v>
      </c>
      <c r="S601" s="9">
        <v>5202133</v>
      </c>
      <c r="T601" s="9">
        <v>5401133</v>
      </c>
      <c r="U601" s="9">
        <v>5400135</v>
      </c>
      <c r="V601" s="9">
        <v>5400135</v>
      </c>
      <c r="W601" s="9">
        <v>13</v>
      </c>
      <c r="X601" s="9">
        <v>13</v>
      </c>
      <c r="Y601" s="9">
        <v>13</v>
      </c>
      <c r="Z601" s="9">
        <v>13</v>
      </c>
      <c r="AA601" s="9">
        <v>13</v>
      </c>
      <c r="AB601" s="9">
        <v>13</v>
      </c>
      <c r="AC601" s="9">
        <f t="shared" si="381"/>
        <v>1297</v>
      </c>
      <c r="AD601" s="9">
        <f t="shared" si="382"/>
        <v>1402</v>
      </c>
      <c r="AE601" s="9">
        <f t="shared" si="383"/>
        <v>1402</v>
      </c>
      <c r="AF601" s="9">
        <f t="shared" si="384"/>
        <v>1402</v>
      </c>
      <c r="AG601" s="9">
        <f t="shared" si="385"/>
        <v>1402</v>
      </c>
      <c r="AH601" s="9">
        <f t="shared" si="386"/>
        <v>1402</v>
      </c>
      <c r="AI601" s="7">
        <f t="shared" si="360"/>
        <v>3951363.9433333334</v>
      </c>
      <c r="AJ601" s="7">
        <f t="shared" si="396"/>
        <v>3951363.9433333334</v>
      </c>
      <c r="AK601" s="7">
        <f t="shared" si="396"/>
        <v>3951363.9433333334</v>
      </c>
      <c r="AL601" s="7">
        <f t="shared" si="396"/>
        <v>3951363.9433333334</v>
      </c>
      <c r="AM601" s="7">
        <f t="shared" si="396"/>
        <v>3951363.9433333334</v>
      </c>
      <c r="AN601" s="7">
        <f t="shared" si="396"/>
        <v>3951363.9433333334</v>
      </c>
      <c r="AO601" s="16"/>
      <c r="AP601" s="7"/>
      <c r="AQ601" s="9">
        <v>9</v>
      </c>
      <c r="AR601" s="9">
        <f t="shared" si="387"/>
        <v>1620</v>
      </c>
      <c r="AS601" s="7">
        <f t="shared" si="358"/>
        <v>399</v>
      </c>
      <c r="AT601" s="7"/>
      <c r="AU601" s="16"/>
      <c r="AV601" s="7"/>
      <c r="AW601" s="7"/>
      <c r="AX601" s="7"/>
      <c r="AZ601" s="7"/>
      <c r="BA601" s="9">
        <f t="shared" si="361"/>
        <v>3598165.7200000063</v>
      </c>
      <c r="BC601" s="5" t="e">
        <f t="shared" si="388"/>
        <v>#N/A</v>
      </c>
      <c r="BR601" s="5">
        <v>4203043</v>
      </c>
      <c r="BS601" s="18">
        <f>[1]monsters!$N601</f>
        <v>107.52</v>
      </c>
      <c r="BT601" s="18">
        <f>[1]monsters!$O601</f>
        <v>10.75</v>
      </c>
      <c r="BU601" s="18">
        <f>[1]monsters!$P601</f>
        <v>1493.33</v>
      </c>
      <c r="BV601" s="18">
        <f>[1]monsters!$Q601</f>
        <v>149.33000000000001</v>
      </c>
      <c r="BW601" s="18">
        <f>[1]monsters!$R601</f>
        <v>21.5</v>
      </c>
      <c r="BX601" s="18">
        <f>[1]monsters!$S601</f>
        <v>2.15</v>
      </c>
      <c r="BY601" s="18">
        <f>[1]monsters!$K601</f>
        <v>1.6</v>
      </c>
      <c r="BZ601" s="5">
        <f>[1]monsters!$D601</f>
        <v>2</v>
      </c>
      <c r="CA601" s="5">
        <f t="shared" si="389"/>
        <v>0.1</v>
      </c>
      <c r="CB601" s="5">
        <f t="shared" si="390"/>
        <v>151.88687138047138</v>
      </c>
      <c r="CC601" s="5">
        <f t="shared" si="391"/>
        <v>15.188687138047138</v>
      </c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>
        <v>0</v>
      </c>
      <c r="CR601" s="3" t="b">
        <f t="shared" si="363"/>
        <v>1</v>
      </c>
      <c r="CS601" s="3" t="b">
        <f t="shared" si="364"/>
        <v>1</v>
      </c>
      <c r="CT601" s="3" t="b">
        <f t="shared" si="365"/>
        <v>1</v>
      </c>
      <c r="CU601" s="3" t="b">
        <f t="shared" si="366"/>
        <v>1</v>
      </c>
      <c r="CV601" s="3" t="b">
        <f t="shared" si="367"/>
        <v>1</v>
      </c>
      <c r="CW601" s="3" t="b">
        <f t="shared" si="368"/>
        <v>1</v>
      </c>
      <c r="CX601" s="9" t="str">
        <f t="shared" si="369"/>
        <v>5300135</v>
      </c>
      <c r="CY601" s="9" t="str">
        <f t="shared" si="370"/>
        <v>5202135</v>
      </c>
      <c r="CZ601" s="9" t="str">
        <f t="shared" si="371"/>
        <v>5202133</v>
      </c>
      <c r="DA601" s="9" t="str">
        <f t="shared" si="372"/>
        <v>5401133</v>
      </c>
      <c r="DB601" s="9" t="str">
        <f t="shared" si="373"/>
        <v>5400135</v>
      </c>
      <c r="DC601" s="9" t="str">
        <f t="shared" si="374"/>
        <v>5400135</v>
      </c>
      <c r="DD601" s="9">
        <v>13</v>
      </c>
      <c r="DE601" s="9">
        <v>13</v>
      </c>
      <c r="DF601" s="9">
        <v>13</v>
      </c>
      <c r="DG601" s="9">
        <v>13</v>
      </c>
      <c r="DH601" s="9">
        <v>13</v>
      </c>
      <c r="DI601" s="9">
        <v>13</v>
      </c>
      <c r="DJ601" s="9">
        <v>5</v>
      </c>
      <c r="DK601" s="9">
        <v>5</v>
      </c>
      <c r="DL601" s="9">
        <v>5</v>
      </c>
      <c r="DM601" s="9">
        <v>5</v>
      </c>
      <c r="DN601" s="9">
        <v>5</v>
      </c>
      <c r="DO601" s="9">
        <v>5</v>
      </c>
      <c r="DP601" s="25" t="s">
        <v>212</v>
      </c>
      <c r="DQ601" s="25" t="s">
        <v>213</v>
      </c>
      <c r="DR601" s="25" t="s">
        <v>208</v>
      </c>
      <c r="DS601" s="25" t="s">
        <v>211</v>
      </c>
      <c r="DT601" s="25" t="s">
        <v>210</v>
      </c>
      <c r="DU601" s="25" t="s">
        <v>210</v>
      </c>
      <c r="DV601" s="25">
        <f t="shared" si="375"/>
        <v>1</v>
      </c>
      <c r="DW601" s="25">
        <f t="shared" si="376"/>
        <v>1</v>
      </c>
      <c r="DX601" s="25">
        <f t="shared" si="377"/>
        <v>1</v>
      </c>
      <c r="DY601" s="25">
        <f t="shared" si="378"/>
        <v>2</v>
      </c>
      <c r="DZ601" s="25">
        <f t="shared" si="379"/>
        <v>2</v>
      </c>
      <c r="EA601" s="3">
        <f t="shared" si="380"/>
        <v>2</v>
      </c>
      <c r="EB601" s="29"/>
    </row>
    <row r="602" spans="1:132" ht="13.5" customHeight="1">
      <c r="A602" s="9">
        <v>599</v>
      </c>
      <c r="B602" s="9">
        <v>1</v>
      </c>
      <c r="C602" s="9">
        <v>2001</v>
      </c>
      <c r="D602" s="9">
        <f t="shared" si="395"/>
        <v>31381060</v>
      </c>
      <c r="E602" s="9" t="str">
        <f t="shared" si="392"/>
        <v>5202132,5202132,5301132,5502132,5500131,5502131</v>
      </c>
      <c r="F602" s="9" t="str">
        <f t="shared" si="393"/>
        <v>13,13,13,13,13,13</v>
      </c>
      <c r="G602" s="9" t="str">
        <f t="shared" si="394"/>
        <v>1299,1403,1403,1403,1403,1403</v>
      </c>
      <c r="H602" s="9">
        <v>279</v>
      </c>
      <c r="I602" s="9" t="s">
        <v>278</v>
      </c>
      <c r="J602" s="9" t="s">
        <v>279</v>
      </c>
      <c r="K602" s="9" t="s">
        <v>279</v>
      </c>
      <c r="L602" s="9" t="s">
        <v>279</v>
      </c>
      <c r="M602" s="36" t="s">
        <v>316</v>
      </c>
      <c r="N602" s="40"/>
      <c r="O602" s="3">
        <f t="shared" si="362"/>
        <v>31381060</v>
      </c>
      <c r="P602" s="9">
        <v>23773530.359999999</v>
      </c>
      <c r="Q602" s="9">
        <v>5202132</v>
      </c>
      <c r="R602" s="9">
        <v>5202132</v>
      </c>
      <c r="S602" s="9">
        <v>5301132</v>
      </c>
      <c r="T602" s="9">
        <v>5502132</v>
      </c>
      <c r="U602" s="9">
        <v>5500131</v>
      </c>
      <c r="V602" s="9">
        <v>5502131</v>
      </c>
      <c r="W602" s="9">
        <v>13</v>
      </c>
      <c r="X602" s="9">
        <v>13</v>
      </c>
      <c r="Y602" s="9">
        <v>13</v>
      </c>
      <c r="Z602" s="9">
        <v>13</v>
      </c>
      <c r="AA602" s="9">
        <v>13</v>
      </c>
      <c r="AB602" s="9">
        <v>13</v>
      </c>
      <c r="AC602" s="9">
        <f t="shared" si="381"/>
        <v>1299</v>
      </c>
      <c r="AD602" s="9">
        <f t="shared" si="382"/>
        <v>1403</v>
      </c>
      <c r="AE602" s="9">
        <f t="shared" si="383"/>
        <v>1403</v>
      </c>
      <c r="AF602" s="9">
        <f t="shared" si="384"/>
        <v>1403</v>
      </c>
      <c r="AG602" s="9">
        <f t="shared" si="385"/>
        <v>1403</v>
      </c>
      <c r="AH602" s="9">
        <f t="shared" si="386"/>
        <v>1403</v>
      </c>
      <c r="AI602" s="7">
        <f t="shared" si="360"/>
        <v>3962255.06</v>
      </c>
      <c r="AJ602" s="7">
        <f t="shared" si="396"/>
        <v>3962255.06</v>
      </c>
      <c r="AK602" s="7">
        <f t="shared" si="396"/>
        <v>3962255.06</v>
      </c>
      <c r="AL602" s="7">
        <f t="shared" si="396"/>
        <v>3962255.06</v>
      </c>
      <c r="AM602" s="7">
        <f t="shared" si="396"/>
        <v>3962255.06</v>
      </c>
      <c r="AN602" s="7">
        <f t="shared" si="396"/>
        <v>3962255.06</v>
      </c>
      <c r="AO602" s="16"/>
      <c r="AP602" s="7"/>
      <c r="AQ602" s="9">
        <v>9</v>
      </c>
      <c r="AR602" s="9">
        <f t="shared" si="387"/>
        <v>1622</v>
      </c>
      <c r="AS602" s="7">
        <f t="shared" si="358"/>
        <v>399</v>
      </c>
      <c r="AT602" s="7"/>
      <c r="AU602" s="16"/>
      <c r="AV602" s="7"/>
      <c r="AW602" s="7"/>
      <c r="AX602" s="7"/>
      <c r="AZ602" s="7"/>
      <c r="BA602" s="9">
        <f t="shared" si="361"/>
        <v>3620426.8600000064</v>
      </c>
      <c r="BC602" s="5" t="e">
        <f t="shared" si="388"/>
        <v>#N/A</v>
      </c>
      <c r="BR602" s="5">
        <v>4403043</v>
      </c>
      <c r="BS602" s="18">
        <f>[1]monsters!$N602</f>
        <v>135.88999999999999</v>
      </c>
      <c r="BT602" s="18">
        <f>[1]monsters!$O602</f>
        <v>13.59</v>
      </c>
      <c r="BU602" s="18">
        <f>[1]monsters!$P602</f>
        <v>1033.8499999999999</v>
      </c>
      <c r="BV602" s="18">
        <f>[1]monsters!$Q602</f>
        <v>103.38</v>
      </c>
      <c r="BW602" s="18">
        <f>[1]monsters!$R602</f>
        <v>13.59</v>
      </c>
      <c r="BX602" s="18">
        <f>[1]monsters!$S602</f>
        <v>1.36</v>
      </c>
      <c r="BY602" s="18">
        <f>[1]monsters!$K602</f>
        <v>1.4</v>
      </c>
      <c r="BZ602" s="5">
        <f>[1]monsters!$D602</f>
        <v>4</v>
      </c>
      <c r="CA602" s="5">
        <f t="shared" si="389"/>
        <v>0.1</v>
      </c>
      <c r="CB602" s="5">
        <f t="shared" si="390"/>
        <v>163.2258143097643</v>
      </c>
      <c r="CC602" s="5">
        <f t="shared" si="391"/>
        <v>16.322581430976431</v>
      </c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>
        <v>0</v>
      </c>
      <c r="CR602" s="3" t="b">
        <f t="shared" si="363"/>
        <v>1</v>
      </c>
      <c r="CS602" s="3" t="b">
        <f t="shared" si="364"/>
        <v>1</v>
      </c>
      <c r="CT602" s="3" t="b">
        <f t="shared" si="365"/>
        <v>1</v>
      </c>
      <c r="CU602" s="3" t="b">
        <f t="shared" si="366"/>
        <v>1</v>
      </c>
      <c r="CV602" s="3" t="b">
        <f t="shared" si="367"/>
        <v>1</v>
      </c>
      <c r="CW602" s="3" t="b">
        <f t="shared" si="368"/>
        <v>1</v>
      </c>
      <c r="CX602" s="9" t="str">
        <f t="shared" si="369"/>
        <v>5202132</v>
      </c>
      <c r="CY602" s="9" t="str">
        <f t="shared" si="370"/>
        <v>5202132</v>
      </c>
      <c r="CZ602" s="9" t="str">
        <f t="shared" si="371"/>
        <v>5301132</v>
      </c>
      <c r="DA602" s="9" t="str">
        <f t="shared" si="372"/>
        <v>5502132</v>
      </c>
      <c r="DB602" s="9" t="str">
        <f t="shared" si="373"/>
        <v>5500131</v>
      </c>
      <c r="DC602" s="9" t="str">
        <f t="shared" si="374"/>
        <v>5502131</v>
      </c>
      <c r="DD602" s="9">
        <v>13</v>
      </c>
      <c r="DE602" s="9">
        <v>13</v>
      </c>
      <c r="DF602" s="9">
        <v>13</v>
      </c>
      <c r="DG602" s="9">
        <v>13</v>
      </c>
      <c r="DH602" s="9">
        <v>13</v>
      </c>
      <c r="DI602" s="9">
        <v>13</v>
      </c>
      <c r="DJ602" s="9">
        <v>5</v>
      </c>
      <c r="DK602" s="9">
        <v>5</v>
      </c>
      <c r="DL602" s="9">
        <v>5</v>
      </c>
      <c r="DM602" s="9">
        <v>5</v>
      </c>
      <c r="DN602" s="9">
        <v>5</v>
      </c>
      <c r="DO602" s="9">
        <v>5</v>
      </c>
      <c r="DP602" s="25" t="s">
        <v>200</v>
      </c>
      <c r="DQ602" s="25" t="s">
        <v>200</v>
      </c>
      <c r="DR602" s="25" t="s">
        <v>201</v>
      </c>
      <c r="DS602" s="25" t="s">
        <v>204</v>
      </c>
      <c r="DT602" s="25" t="s">
        <v>197</v>
      </c>
      <c r="DU602" s="25" t="s">
        <v>119</v>
      </c>
      <c r="DV602" s="25">
        <f t="shared" si="375"/>
        <v>1</v>
      </c>
      <c r="DW602" s="25">
        <f t="shared" si="376"/>
        <v>1</v>
      </c>
      <c r="DX602" s="25">
        <f t="shared" si="377"/>
        <v>1</v>
      </c>
      <c r="DY602" s="25">
        <f t="shared" si="378"/>
        <v>2</v>
      </c>
      <c r="DZ602" s="25">
        <f t="shared" si="379"/>
        <v>2</v>
      </c>
      <c r="EA602" s="3">
        <f t="shared" si="380"/>
        <v>2</v>
      </c>
      <c r="EB602" s="29"/>
    </row>
    <row r="603" spans="1:132" ht="13.5" customHeight="1">
      <c r="A603" s="9">
        <v>600</v>
      </c>
      <c r="B603" s="9">
        <v>1</v>
      </c>
      <c r="C603" s="9">
        <v>2001</v>
      </c>
      <c r="D603" s="9">
        <f t="shared" si="395"/>
        <v>31467437</v>
      </c>
      <c r="E603" s="9" t="str">
        <f t="shared" si="392"/>
        <v>5202133,5201133,5302134,5400135,5601131,5501134</v>
      </c>
      <c r="F603" s="9" t="str">
        <f t="shared" si="393"/>
        <v>13,13,13,13,13,13</v>
      </c>
      <c r="G603" s="9" t="str">
        <f t="shared" si="394"/>
        <v>1300,1405,1405,1405,1405,1405</v>
      </c>
      <c r="H603" s="9">
        <v>280</v>
      </c>
      <c r="I603" s="9" t="s">
        <v>278</v>
      </c>
      <c r="J603" s="9" t="s">
        <v>279</v>
      </c>
      <c r="K603" s="9" t="s">
        <v>279</v>
      </c>
      <c r="L603" s="9" t="s">
        <v>279</v>
      </c>
      <c r="M603" s="36" t="s">
        <v>316</v>
      </c>
      <c r="O603" s="3">
        <f t="shared" si="362"/>
        <v>31467437</v>
      </c>
      <c r="P603" s="9">
        <v>23838967.789999999</v>
      </c>
      <c r="Q603" s="9">
        <v>5202133</v>
      </c>
      <c r="R603" s="9">
        <v>5201133</v>
      </c>
      <c r="S603" s="9">
        <v>5302134</v>
      </c>
      <c r="T603" s="9">
        <v>5400135</v>
      </c>
      <c r="U603" s="9">
        <v>5601131</v>
      </c>
      <c r="V603" s="9">
        <v>5501134</v>
      </c>
      <c r="W603" s="9">
        <v>13</v>
      </c>
      <c r="X603" s="9">
        <v>13</v>
      </c>
      <c r="Y603" s="9">
        <v>13</v>
      </c>
      <c r="Z603" s="9">
        <v>13</v>
      </c>
      <c r="AA603" s="9">
        <v>13</v>
      </c>
      <c r="AB603" s="9">
        <v>13</v>
      </c>
      <c r="AC603" s="9">
        <f t="shared" si="381"/>
        <v>1300</v>
      </c>
      <c r="AD603" s="9">
        <f t="shared" si="382"/>
        <v>1405</v>
      </c>
      <c r="AE603" s="9">
        <f t="shared" si="383"/>
        <v>1405</v>
      </c>
      <c r="AF603" s="9">
        <f t="shared" si="384"/>
        <v>1405</v>
      </c>
      <c r="AG603" s="9">
        <f t="shared" si="385"/>
        <v>1405</v>
      </c>
      <c r="AH603" s="9">
        <f t="shared" si="386"/>
        <v>1405</v>
      </c>
      <c r="AI603" s="7">
        <f t="shared" si="360"/>
        <v>3973161.2983333333</v>
      </c>
      <c r="AJ603" s="7">
        <f t="shared" si="396"/>
        <v>3973161.2983333333</v>
      </c>
      <c r="AK603" s="7">
        <f t="shared" si="396"/>
        <v>3973161.2983333333</v>
      </c>
      <c r="AL603" s="7">
        <f t="shared" si="396"/>
        <v>3973161.2983333333</v>
      </c>
      <c r="AM603" s="7">
        <f t="shared" si="396"/>
        <v>3973161.2983333333</v>
      </c>
      <c r="AN603" s="7">
        <f t="shared" si="396"/>
        <v>3973161.2983333333</v>
      </c>
      <c r="AO603" s="16"/>
      <c r="AP603" s="7"/>
      <c r="AQ603" s="9">
        <v>13</v>
      </c>
      <c r="AR603" s="9">
        <f t="shared" si="387"/>
        <v>1216</v>
      </c>
      <c r="AS603" s="7">
        <f t="shared" ref="AS603" si="397">FLOOR((A603-150)/2,1)+175</f>
        <v>400</v>
      </c>
      <c r="AT603" s="7"/>
      <c r="AU603" s="16"/>
      <c r="AV603" s="7"/>
      <c r="AW603" s="7"/>
      <c r="AX603" s="7"/>
      <c r="AY603" s="9">
        <v>9</v>
      </c>
      <c r="AZ603" s="7">
        <v>200</v>
      </c>
      <c r="BA603" s="9">
        <v>3642688</v>
      </c>
      <c r="BC603" s="5" t="e">
        <f t="shared" si="388"/>
        <v>#N/A</v>
      </c>
      <c r="BR603" s="5">
        <v>4204043</v>
      </c>
      <c r="BS603" s="18">
        <f>[1]monsters!$N603</f>
        <v>94.08</v>
      </c>
      <c r="BT603" s="18">
        <f>[1]monsters!$O603</f>
        <v>9.41</v>
      </c>
      <c r="BU603" s="18">
        <f>[1]monsters!$P603</f>
        <v>1493.33</v>
      </c>
      <c r="BV603" s="18">
        <f>[1]monsters!$Q603</f>
        <v>149.33000000000001</v>
      </c>
      <c r="BW603" s="18">
        <f>[1]monsters!$R603</f>
        <v>18.82</v>
      </c>
      <c r="BX603" s="18">
        <f>[1]monsters!$S603</f>
        <v>1.88</v>
      </c>
      <c r="BY603" s="18">
        <f>[1]monsters!$K603</f>
        <v>1.4</v>
      </c>
      <c r="BZ603" s="5">
        <f>[1]monsters!$D603</f>
        <v>2</v>
      </c>
      <c r="CA603" s="5">
        <f t="shared" si="389"/>
        <v>0.1</v>
      </c>
      <c r="CB603" s="5">
        <f t="shared" si="390"/>
        <v>139.18607138047139</v>
      </c>
      <c r="CC603" s="5">
        <f t="shared" si="391"/>
        <v>13.91860713804714</v>
      </c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>
        <v>1</v>
      </c>
      <c r="CR603" s="3" t="b">
        <f t="shared" si="363"/>
        <v>1</v>
      </c>
      <c r="CS603" s="3" t="b">
        <f t="shared" si="364"/>
        <v>1</v>
      </c>
      <c r="CT603" s="3" t="b">
        <f t="shared" si="365"/>
        <v>1</v>
      </c>
      <c r="CU603" s="3" t="b">
        <f t="shared" si="366"/>
        <v>1</v>
      </c>
      <c r="CV603" s="3" t="b">
        <f t="shared" si="367"/>
        <v>1</v>
      </c>
      <c r="CW603" s="3" t="b">
        <f t="shared" si="368"/>
        <v>1</v>
      </c>
      <c r="CX603" s="9" t="str">
        <f t="shared" si="369"/>
        <v>5202133</v>
      </c>
      <c r="CY603" s="9" t="str">
        <f t="shared" si="370"/>
        <v>5201133</v>
      </c>
      <c r="CZ603" s="9" t="str">
        <f t="shared" si="371"/>
        <v>5302134</v>
      </c>
      <c r="DA603" s="9" t="str">
        <f t="shared" si="372"/>
        <v>5400135</v>
      </c>
      <c r="DB603" s="9" t="str">
        <f t="shared" si="373"/>
        <v>5601131</v>
      </c>
      <c r="DC603" s="9" t="str">
        <f t="shared" si="374"/>
        <v>5501134</v>
      </c>
      <c r="DD603" s="9">
        <v>13</v>
      </c>
      <c r="DE603" s="9">
        <v>13</v>
      </c>
      <c r="DF603" s="9">
        <v>13</v>
      </c>
      <c r="DG603" s="9">
        <v>13</v>
      </c>
      <c r="DH603" s="9">
        <v>13</v>
      </c>
      <c r="DI603" s="9">
        <v>13</v>
      </c>
      <c r="DJ603" s="9">
        <v>5</v>
      </c>
      <c r="DK603" s="9">
        <v>5</v>
      </c>
      <c r="DL603" s="9">
        <v>5</v>
      </c>
      <c r="DM603" s="9">
        <v>5</v>
      </c>
      <c r="DN603" s="9">
        <v>5</v>
      </c>
      <c r="DO603" s="9">
        <v>5</v>
      </c>
      <c r="DP603" s="25" t="s">
        <v>208</v>
      </c>
      <c r="DQ603" s="25" t="s">
        <v>205</v>
      </c>
      <c r="DR603" s="25" t="s">
        <v>218</v>
      </c>
      <c r="DS603" s="25" t="s">
        <v>210</v>
      </c>
      <c r="DT603" s="25" t="s">
        <v>198</v>
      </c>
      <c r="DU603" s="25" t="s">
        <v>214</v>
      </c>
      <c r="DV603" s="25">
        <f t="shared" si="375"/>
        <v>1</v>
      </c>
      <c r="DW603" s="25">
        <f t="shared" si="376"/>
        <v>1</v>
      </c>
      <c r="DX603" s="25">
        <f t="shared" si="377"/>
        <v>1</v>
      </c>
      <c r="DY603" s="25">
        <f t="shared" si="378"/>
        <v>2</v>
      </c>
      <c r="DZ603" s="25">
        <f t="shared" si="379"/>
        <v>2</v>
      </c>
      <c r="EA603" s="25">
        <f t="shared" si="380"/>
        <v>2</v>
      </c>
      <c r="EB603" s="29"/>
    </row>
    <row r="604" spans="1:132" ht="13.5" customHeight="1">
      <c r="A604" s="9">
        <v>601</v>
      </c>
      <c r="B604" s="9">
        <v>1</v>
      </c>
      <c r="C604" s="9">
        <v>2001</v>
      </c>
      <c r="D604" s="9">
        <f t="shared" ref="D604:D667" si="398">O604</f>
        <v>31553935</v>
      </c>
      <c r="E604" s="9" t="str">
        <f t="shared" ref="E604:E667" si="399">Q604&amp;","&amp;R604&amp;","&amp;S604&amp;","&amp;T604&amp;","&amp;U604&amp;","&amp;V604</f>
        <v>5302135,5202135,5202135,5400135,5400135,5400135</v>
      </c>
      <c r="F604" s="9" t="str">
        <f t="shared" ref="F604:F667" si="400">W604&amp;","&amp;X604&amp;","&amp;Y604&amp;","&amp;Z604&amp;","&amp;AA604&amp;","&amp;AB604</f>
        <v>13,13,13,13,13,13</v>
      </c>
      <c r="G604" s="9" t="str">
        <f t="shared" ref="G604:G667" si="401">AC604&amp;","&amp;AD604&amp;","&amp;AE604&amp;","&amp;AF604&amp;","&amp;AG604&amp;","&amp;AH604</f>
        <v>1302,1407,1407,1407,1407,1407</v>
      </c>
      <c r="H604" s="9">
        <v>280</v>
      </c>
      <c r="I604" s="9" t="s">
        <v>278</v>
      </c>
      <c r="J604" s="9" t="s">
        <v>279</v>
      </c>
      <c r="K604" s="9" t="s">
        <v>279</v>
      </c>
      <c r="L604" s="9" t="s">
        <v>279</v>
      </c>
      <c r="M604" s="36" t="s">
        <v>316</v>
      </c>
      <c r="O604" s="3">
        <f t="shared" si="362"/>
        <v>31553935</v>
      </c>
      <c r="P604" s="9">
        <v>23904495.949999999</v>
      </c>
      <c r="Q604" s="9">
        <v>5302135</v>
      </c>
      <c r="R604" s="9">
        <v>5202135</v>
      </c>
      <c r="S604" s="9">
        <v>5202135</v>
      </c>
      <c r="T604" s="9">
        <v>5400135</v>
      </c>
      <c r="U604" s="9">
        <v>5400135</v>
      </c>
      <c r="V604" s="9">
        <v>5400135</v>
      </c>
      <c r="W604" s="9">
        <v>13</v>
      </c>
      <c r="X604" s="9">
        <v>13</v>
      </c>
      <c r="Y604" s="9">
        <v>13</v>
      </c>
      <c r="Z604" s="9">
        <v>13</v>
      </c>
      <c r="AA604" s="9">
        <v>13</v>
      </c>
      <c r="AB604" s="9">
        <v>13</v>
      </c>
      <c r="AC604" s="9">
        <f t="shared" ref="AC604:AC667" si="402">IF(AI604&gt;0,FLOOR((POWER((AI604/IF(AND(W604&gt;=2,W604&lt;4),1.1,IF(AND(W604&gt;=4,W604&lt;6),1.2,IF(W604&gt;=6,1.4,1)))/$Z$1),0.5)/INDEX($BD$4:$BQ$4,MATCH(W604,$BD$3:$BQ$3,0))-1)*10,1),"")</f>
        <v>1302</v>
      </c>
      <c r="AD604" s="9">
        <f t="shared" ref="AD604:AD667" si="403">IF(AJ604&gt;0,FLOOR((POWER((AJ604/IF(AND(X604&gt;=2,X604&lt;4),1.1,IF(AND(X604&gt;=4,X604&lt;6),1.15,IF(X604&gt;=6,1.2,1)))/$Z$1),0.5)/INDEX($BD$4:$BQ$4,MATCH(X604,$BD$3:$BQ$3,0))-1)*10,1),"")</f>
        <v>1407</v>
      </c>
      <c r="AE604" s="9">
        <f t="shared" ref="AE604:AE667" si="404">IF(AK604&gt;0,FLOOR((POWER((AK604/IF(AND(Y604&gt;=2,Y604&lt;4),1.1,IF(AND(Y604&gt;=4,Y604&lt;6),1.15,IF(Y604&gt;=6,1.2,1)))/$Z$1),0.5)/INDEX($BD$4:$BQ$4,MATCH(Y604,$BD$3:$BQ$3,0))-1)*10,1),"")</f>
        <v>1407</v>
      </c>
      <c r="AF604" s="9">
        <f t="shared" ref="AF604:AF667" si="405">IF(AL604&gt;0,FLOOR((POWER((AL604/IF(AND(Z604&gt;=2,Z604&lt;4),1.1,IF(AND(Z604&gt;=4,Z604&lt;6),1.15,IF(Z604&gt;=6,1.2,1)))/$Z$1),0.5)/INDEX($BD$4:$BQ$4,MATCH(Z604,$BD$3:$BQ$3,0))-1)*10,1),"")</f>
        <v>1407</v>
      </c>
      <c r="AG604" s="9">
        <f t="shared" ref="AG604:AG667" si="406">IF(AM604&gt;0,FLOOR((POWER((AM604/IF(AND(AA604&gt;=2,AA604&lt;4),1.1,IF(AND(AA604&gt;=4,AA604&lt;6),1.15,IF(AA604&gt;=6,1.2,1)))/$Z$1),0.5)/INDEX($BD$4:$BQ$4,MATCH(AA604,$BD$3:$BQ$3,0))-1)*10,1),"")</f>
        <v>1407</v>
      </c>
      <c r="AH604" s="9">
        <f t="shared" ref="AH604:AH667" si="407">IF(AN604&gt;0,FLOOR((POWER((AN604/IF(AND(AB604&gt;=2,AB604&lt;4),1.1,IF(AND(AB604&gt;=4,AB604&lt;6),1.15,IF(AB604&gt;=6,1.2,1)))/$Z$1),0.5)/INDEX($BD$4:$BQ$4,MATCH(AB604,$BD$3:$BQ$3,0))-1)*10,1),"")</f>
        <v>1407</v>
      </c>
      <c r="AI604" s="7">
        <f t="shared" si="360"/>
        <v>3984082.6583333332</v>
      </c>
      <c r="AJ604" s="7">
        <f t="shared" si="396"/>
        <v>3984082.6583333332</v>
      </c>
      <c r="AK604" s="7">
        <f t="shared" si="396"/>
        <v>3984082.6583333332</v>
      </c>
      <c r="AL604" s="7">
        <f t="shared" si="396"/>
        <v>3984082.6583333332</v>
      </c>
      <c r="AM604" s="7">
        <f t="shared" si="396"/>
        <v>3984082.6583333332</v>
      </c>
      <c r="AN604" s="7">
        <f t="shared" si="396"/>
        <v>3984082.6583333332</v>
      </c>
      <c r="BR604" s="5">
        <v>4404043</v>
      </c>
      <c r="BS604" s="18">
        <f>[1]monsters!$N604</f>
        <v>155.31</v>
      </c>
      <c r="BT604" s="18">
        <f>[1]monsters!$O604</f>
        <v>15.53</v>
      </c>
      <c r="BU604" s="18">
        <f>[1]monsters!$P604</f>
        <v>1033.8499999999999</v>
      </c>
      <c r="BV604" s="18">
        <f>[1]monsters!$Q604</f>
        <v>103.38</v>
      </c>
      <c r="BW604" s="18">
        <f>[1]monsters!$R604</f>
        <v>15.53</v>
      </c>
      <c r="BX604" s="18">
        <f>[1]monsters!$S604</f>
        <v>1.55</v>
      </c>
      <c r="BY604" s="18">
        <f>[1]monsters!$K604</f>
        <v>1.6</v>
      </c>
      <c r="BZ604" s="5">
        <f>[1]monsters!$D604</f>
        <v>4</v>
      </c>
      <c r="CA604" s="5">
        <f t="shared" si="389"/>
        <v>0.1</v>
      </c>
      <c r="CB604" s="5">
        <f t="shared" si="390"/>
        <v>181.5777143097643</v>
      </c>
      <c r="CC604" s="5">
        <f t="shared" si="391"/>
        <v>18.157771430976432</v>
      </c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R604" s="3" t="b">
        <f t="shared" ref="CR604:CR667" si="408">IF(ISERROR(MATCH(INT(CX604),$EC$4:$EC$426,0))=FALSE,TRUE)</f>
        <v>1</v>
      </c>
      <c r="CS604" s="3" t="b">
        <f t="shared" ref="CS604:CS667" si="409">IF(ISERROR(MATCH(INT(CY604),$EC$4:$EC$426,0))=FALSE,TRUE)</f>
        <v>1</v>
      </c>
      <c r="CT604" s="3" t="b">
        <f t="shared" ref="CT604:CT667" si="410">IF(ISERROR(MATCH(INT(CZ604),$EC$4:$EC$426,0))=FALSE,TRUE)</f>
        <v>1</v>
      </c>
      <c r="CU604" s="3" t="b">
        <f t="shared" ref="CU604:CU667" si="411">IF(ISERROR(MATCH(INT(DA604),$EC$4:$EC$426,0))=FALSE,TRUE)</f>
        <v>1</v>
      </c>
      <c r="CV604" s="3" t="b">
        <f t="shared" ref="CV604:CV667" si="412">IF(ISERROR(MATCH(INT(DB604),$EC$4:$EC$426,0))=FALSE,TRUE)</f>
        <v>1</v>
      </c>
      <c r="CW604" s="3" t="b">
        <f t="shared" ref="CW604:CW667" si="413">IF(ISERROR(MATCH(INT(DC604),$EC$4:$EC$426,0))=FALSE,TRUE)</f>
        <v>1</v>
      </c>
      <c r="CX604" s="9" t="str">
        <f t="shared" ref="CX604:CX667" si="414">REPLACE(REPLACE(INDEX($EC$4:$EC$426,MATCH(DP604,$ED$4:$ED$426,0)),IF(DD604&gt;9,5,6),IF(DD604&gt;9,2,1),DD604),1,1,DJ604)</f>
        <v>5302135</v>
      </c>
      <c r="CY604" s="9" t="str">
        <f t="shared" ref="CY604:CY667" si="415">REPLACE(REPLACE(INDEX($EC$4:$EC$426,MATCH(DQ604,$ED$4:$ED$426,0)),IF(DE604&gt;9,5,6),IF(DE604&gt;9,2,1),DE604),1,1,DK604)</f>
        <v>5202135</v>
      </c>
      <c r="CZ604" s="9" t="str">
        <f t="shared" ref="CZ604:CZ667" si="416">REPLACE(REPLACE(INDEX($EC$4:$EC$426,MATCH(DR604,$ED$4:$ED$426,0)),IF(DF604&gt;9,5,6),IF(DF604&gt;9,2,1),DF604),1,1,DL604)</f>
        <v>5202135</v>
      </c>
      <c r="DA604" s="9" t="str">
        <f t="shared" ref="DA604:DA667" si="417">REPLACE(REPLACE(INDEX($EC$4:$EC$426,MATCH(DS604,$ED$4:$ED$426,0)),IF(DG604&gt;9,5,6),IF(DG604&gt;9,2,1),DG604),1,1,DM604)</f>
        <v>5400135</v>
      </c>
      <c r="DB604" s="9" t="str">
        <f t="shared" ref="DB604:DB667" si="418">REPLACE(REPLACE(INDEX($EC$4:$EC$426,MATCH(DT604,$ED$4:$ED$426,0)),IF(DH604&gt;9,5,6),IF(DH604&gt;9,2,1),DH604),1,1,DN604)</f>
        <v>5400135</v>
      </c>
      <c r="DC604" s="9" t="str">
        <f t="shared" ref="DC604:DC667" si="419">REPLACE(REPLACE(INDEX($EC$4:$EC$426,MATCH(DU604,$ED$4:$ED$426,0)),IF(DI604&gt;9,5,6),IF(DI604&gt;9,2,1),DI604),1,1,DO604)</f>
        <v>5400135</v>
      </c>
      <c r="DD604" s="9">
        <v>13</v>
      </c>
      <c r="DE604" s="9">
        <v>13</v>
      </c>
      <c r="DF604" s="9">
        <v>13</v>
      </c>
      <c r="DG604" s="9">
        <v>13</v>
      </c>
      <c r="DH604" s="9">
        <v>13</v>
      </c>
      <c r="DI604" s="9">
        <v>13</v>
      </c>
      <c r="DJ604" s="9">
        <v>5</v>
      </c>
      <c r="DK604" s="9">
        <v>5</v>
      </c>
      <c r="DL604" s="9">
        <v>5</v>
      </c>
      <c r="DM604" s="9">
        <v>5</v>
      </c>
      <c r="DN604" s="9">
        <v>5</v>
      </c>
      <c r="DO604" s="9">
        <v>5</v>
      </c>
      <c r="DP604" s="25" t="s">
        <v>221</v>
      </c>
      <c r="DQ604" s="25" t="s">
        <v>213</v>
      </c>
      <c r="DR604" s="25" t="s">
        <v>213</v>
      </c>
      <c r="DS604" s="25" t="s">
        <v>210</v>
      </c>
      <c r="DT604" s="25" t="s">
        <v>210</v>
      </c>
      <c r="DU604" s="25" t="s">
        <v>210</v>
      </c>
      <c r="DV604" s="25">
        <f t="shared" ref="DV604:DV667" si="420">INDEX($EE$4:$EE$426,MATCH(DP604,$ED$4:$ED$426,0))</f>
        <v>1</v>
      </c>
      <c r="DW604" s="25">
        <f t="shared" ref="DW604:DW667" si="421">INDEX($EE$4:$EE$426,MATCH(DQ604,$ED$4:$ED$426,0))</f>
        <v>1</v>
      </c>
      <c r="DX604" s="25">
        <f t="shared" ref="DX604:DX667" si="422">INDEX($EE$4:$EE$426,MATCH(DR604,$ED$4:$ED$426,0))</f>
        <v>1</v>
      </c>
      <c r="DY604" s="25">
        <f t="shared" ref="DY604:DY667" si="423">INDEX($EE$4:$EE$426,MATCH(DS604,$ED$4:$ED$426,0))</f>
        <v>2</v>
      </c>
      <c r="DZ604" s="25">
        <f t="shared" ref="DZ604:DZ667" si="424">INDEX($EE$4:$EE$426,MATCH(DT604,$ED$4:$ED$426,0))</f>
        <v>2</v>
      </c>
      <c r="EA604" s="25">
        <f t="shared" ref="EA604:EA667" si="425">INDEX($EE$4:$EE$426,MATCH(DU604,$ED$4:$ED$426,0))</f>
        <v>2</v>
      </c>
      <c r="EB604" s="30"/>
    </row>
    <row r="605" spans="1:132" ht="13.5" customHeight="1">
      <c r="A605" s="9">
        <v>602</v>
      </c>
      <c r="B605" s="9">
        <v>1</v>
      </c>
      <c r="C605" s="9">
        <v>2001</v>
      </c>
      <c r="D605" s="9">
        <f t="shared" si="398"/>
        <v>31640552</v>
      </c>
      <c r="E605" s="9" t="str">
        <f t="shared" si="399"/>
        <v>5301131,5301132,5301132,5500132,5400135,5502133</v>
      </c>
      <c r="F605" s="9" t="str">
        <f t="shared" si="400"/>
        <v>13,13,13,13,13,13</v>
      </c>
      <c r="G605" s="9" t="str">
        <f t="shared" si="401"/>
        <v>1304,1409,1409,1409,1409,1409</v>
      </c>
      <c r="H605" s="9">
        <v>280</v>
      </c>
      <c r="I605" s="9" t="s">
        <v>278</v>
      </c>
      <c r="J605" s="9" t="s">
        <v>279</v>
      </c>
      <c r="K605" s="9" t="s">
        <v>279</v>
      </c>
      <c r="L605" s="9" t="s">
        <v>279</v>
      </c>
      <c r="M605" s="36" t="s">
        <v>316</v>
      </c>
      <c r="O605" s="3">
        <f t="shared" si="362"/>
        <v>31640552</v>
      </c>
      <c r="P605" s="9">
        <v>23970114.84</v>
      </c>
      <c r="Q605" s="9">
        <v>5301131</v>
      </c>
      <c r="R605" s="9">
        <v>5301132</v>
      </c>
      <c r="S605" s="9">
        <v>5301132</v>
      </c>
      <c r="T605" s="9">
        <v>5500132</v>
      </c>
      <c r="U605" s="9">
        <v>5400135</v>
      </c>
      <c r="V605" s="9">
        <v>5502133</v>
      </c>
      <c r="W605" s="9">
        <v>13</v>
      </c>
      <c r="X605" s="9">
        <v>13</v>
      </c>
      <c r="Y605" s="9">
        <v>13</v>
      </c>
      <c r="Z605" s="9">
        <v>13</v>
      </c>
      <c r="AA605" s="9">
        <v>13</v>
      </c>
      <c r="AB605" s="9">
        <v>13</v>
      </c>
      <c r="AC605" s="9">
        <f t="shared" si="402"/>
        <v>1304</v>
      </c>
      <c r="AD605" s="9">
        <f t="shared" si="403"/>
        <v>1409</v>
      </c>
      <c r="AE605" s="9">
        <f t="shared" si="404"/>
        <v>1409</v>
      </c>
      <c r="AF605" s="9">
        <f t="shared" si="405"/>
        <v>1409</v>
      </c>
      <c r="AG605" s="9">
        <f t="shared" si="406"/>
        <v>1409</v>
      </c>
      <c r="AH605" s="9">
        <f t="shared" si="407"/>
        <v>1409</v>
      </c>
      <c r="AI605" s="7">
        <f t="shared" si="360"/>
        <v>3995019.14</v>
      </c>
      <c r="AJ605" s="7">
        <f t="shared" si="396"/>
        <v>3995019.14</v>
      </c>
      <c r="AK605" s="7">
        <f t="shared" si="396"/>
        <v>3995019.14</v>
      </c>
      <c r="AL605" s="7">
        <f t="shared" si="396"/>
        <v>3995019.14</v>
      </c>
      <c r="AM605" s="7">
        <f t="shared" si="396"/>
        <v>3995019.14</v>
      </c>
      <c r="AN605" s="7">
        <f t="shared" si="396"/>
        <v>3995019.14</v>
      </c>
      <c r="BR605" s="5">
        <v>4303043</v>
      </c>
      <c r="BS605" s="18">
        <f>[1]monsters!$N605</f>
        <v>143.36000000000001</v>
      </c>
      <c r="BT605" s="18">
        <f>[1]monsters!$O605</f>
        <v>14.34</v>
      </c>
      <c r="BU605" s="18">
        <f>[1]monsters!$P605</f>
        <v>1120</v>
      </c>
      <c r="BV605" s="18">
        <f>[1]monsters!$Q605</f>
        <v>112</v>
      </c>
      <c r="BW605" s="18">
        <f>[1]monsters!$R605</f>
        <v>23.89</v>
      </c>
      <c r="BX605" s="18">
        <f>[1]monsters!$S605</f>
        <v>2.39</v>
      </c>
      <c r="BY605" s="18">
        <f>[1]monsters!$K605</f>
        <v>1.6</v>
      </c>
      <c r="BZ605" s="5">
        <f>[1]monsters!$D605</f>
        <v>5</v>
      </c>
      <c r="CA605" s="5">
        <f t="shared" si="389"/>
        <v>0.1</v>
      </c>
      <c r="CB605" s="5">
        <f t="shared" si="390"/>
        <v>173.18563771043773</v>
      </c>
      <c r="CC605" s="5">
        <f t="shared" si="391"/>
        <v>17.318563771043774</v>
      </c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R605" s="3" t="b">
        <f t="shared" si="408"/>
        <v>1</v>
      </c>
      <c r="CS605" s="3" t="b">
        <f t="shared" si="409"/>
        <v>1</v>
      </c>
      <c r="CT605" s="3" t="b">
        <f t="shared" si="410"/>
        <v>1</v>
      </c>
      <c r="CU605" s="3" t="b">
        <f t="shared" si="411"/>
        <v>1</v>
      </c>
      <c r="CV605" s="3" t="b">
        <f t="shared" si="412"/>
        <v>1</v>
      </c>
      <c r="CW605" s="3" t="b">
        <f t="shared" si="413"/>
        <v>1</v>
      </c>
      <c r="CX605" s="9" t="str">
        <f t="shared" si="414"/>
        <v>5301131</v>
      </c>
      <c r="CY605" s="9" t="str">
        <f t="shared" si="415"/>
        <v>5301132</v>
      </c>
      <c r="CZ605" s="9" t="str">
        <f t="shared" si="416"/>
        <v>5301132</v>
      </c>
      <c r="DA605" s="9" t="str">
        <f t="shared" si="417"/>
        <v>5500132</v>
      </c>
      <c r="DB605" s="9" t="str">
        <f t="shared" si="418"/>
        <v>5400135</v>
      </c>
      <c r="DC605" s="9" t="str">
        <f t="shared" si="419"/>
        <v>5502133</v>
      </c>
      <c r="DD605" s="9">
        <v>13</v>
      </c>
      <c r="DE605" s="9">
        <v>13</v>
      </c>
      <c r="DF605" s="9">
        <v>13</v>
      </c>
      <c r="DG605" s="9">
        <v>13</v>
      </c>
      <c r="DH605" s="9">
        <v>13</v>
      </c>
      <c r="DI605" s="9">
        <v>13</v>
      </c>
      <c r="DJ605" s="9">
        <v>5</v>
      </c>
      <c r="DK605" s="9">
        <v>5</v>
      </c>
      <c r="DL605" s="9">
        <v>5</v>
      </c>
      <c r="DM605" s="9">
        <v>5</v>
      </c>
      <c r="DN605" s="9">
        <v>5</v>
      </c>
      <c r="DO605" s="9">
        <v>5</v>
      </c>
      <c r="DP605" s="25" t="s">
        <v>107</v>
      </c>
      <c r="DQ605" s="25" t="s">
        <v>201</v>
      </c>
      <c r="DR605" s="25" t="s">
        <v>201</v>
      </c>
      <c r="DS605" s="25" t="s">
        <v>109</v>
      </c>
      <c r="DT605" s="25" t="s">
        <v>210</v>
      </c>
      <c r="DU605" s="25" t="s">
        <v>215</v>
      </c>
      <c r="DV605" s="25">
        <f t="shared" si="420"/>
        <v>1</v>
      </c>
      <c r="DW605" s="25">
        <f t="shared" si="421"/>
        <v>1</v>
      </c>
      <c r="DX605" s="25">
        <f t="shared" si="422"/>
        <v>1</v>
      </c>
      <c r="DY605" s="25">
        <f t="shared" si="423"/>
        <v>2</v>
      </c>
      <c r="DZ605" s="25">
        <f t="shared" si="424"/>
        <v>2</v>
      </c>
      <c r="EA605" s="25">
        <f t="shared" si="425"/>
        <v>2</v>
      </c>
      <c r="EB605" s="29"/>
    </row>
    <row r="606" spans="1:132" ht="13.5" customHeight="1">
      <c r="A606" s="9">
        <v>603</v>
      </c>
      <c r="B606" s="9">
        <v>1</v>
      </c>
      <c r="C606" s="9">
        <v>2001</v>
      </c>
      <c r="D606" s="9">
        <f t="shared" si="398"/>
        <v>31727288</v>
      </c>
      <c r="E606" s="9" t="str">
        <f t="shared" si="399"/>
        <v>5201133,5200133,5301131,5501134,5500133,5501134</v>
      </c>
      <c r="F606" s="9" t="str">
        <f t="shared" si="400"/>
        <v>13,13,13,13,13,13</v>
      </c>
      <c r="G606" s="9" t="str">
        <f t="shared" si="401"/>
        <v>1306,1411,1411,1411,1411,1411</v>
      </c>
      <c r="H606" s="9">
        <v>281</v>
      </c>
      <c r="I606" s="9" t="s">
        <v>278</v>
      </c>
      <c r="J606" s="9" t="s">
        <v>279</v>
      </c>
      <c r="K606" s="9" t="s">
        <v>279</v>
      </c>
      <c r="L606" s="9" t="s">
        <v>279</v>
      </c>
      <c r="M606" s="36" t="s">
        <v>316</v>
      </c>
      <c r="O606" s="3">
        <f t="shared" si="362"/>
        <v>31727288</v>
      </c>
      <c r="P606" s="9">
        <v>24035824.460000001</v>
      </c>
      <c r="Q606" s="9">
        <v>5201133</v>
      </c>
      <c r="R606" s="9">
        <v>5200133</v>
      </c>
      <c r="S606" s="9">
        <v>5301131</v>
      </c>
      <c r="T606" s="9">
        <v>5501134</v>
      </c>
      <c r="U606" s="9">
        <v>5500133</v>
      </c>
      <c r="V606" s="9">
        <v>5501134</v>
      </c>
      <c r="W606" s="9">
        <v>13</v>
      </c>
      <c r="X606" s="9">
        <v>13</v>
      </c>
      <c r="Y606" s="9">
        <v>13</v>
      </c>
      <c r="Z606" s="9">
        <v>13</v>
      </c>
      <c r="AA606" s="9">
        <v>13</v>
      </c>
      <c r="AB606" s="9">
        <v>13</v>
      </c>
      <c r="AC606" s="9">
        <f t="shared" si="402"/>
        <v>1306</v>
      </c>
      <c r="AD606" s="9">
        <f t="shared" si="403"/>
        <v>1411</v>
      </c>
      <c r="AE606" s="9">
        <f t="shared" si="404"/>
        <v>1411</v>
      </c>
      <c r="AF606" s="9">
        <f t="shared" si="405"/>
        <v>1411</v>
      </c>
      <c r="AG606" s="9">
        <f t="shared" si="406"/>
        <v>1411</v>
      </c>
      <c r="AH606" s="9">
        <f t="shared" si="407"/>
        <v>1411</v>
      </c>
      <c r="AI606" s="7">
        <f t="shared" si="360"/>
        <v>4005970.7433333336</v>
      </c>
      <c r="AJ606" s="7">
        <f t="shared" si="396"/>
        <v>4005970.7433333336</v>
      </c>
      <c r="AK606" s="7">
        <f t="shared" si="396"/>
        <v>4005970.7433333336</v>
      </c>
      <c r="AL606" s="7">
        <f t="shared" si="396"/>
        <v>4005970.7433333336</v>
      </c>
      <c r="AM606" s="7">
        <f t="shared" si="396"/>
        <v>4005970.7433333336</v>
      </c>
      <c r="AN606" s="7">
        <f t="shared" si="396"/>
        <v>4005970.7433333336</v>
      </c>
      <c r="BR606" s="5">
        <v>4304043</v>
      </c>
      <c r="BS606" s="18">
        <f>[1]monsters!$N606</f>
        <v>120.21</v>
      </c>
      <c r="BT606" s="18">
        <f>[1]monsters!$O606</f>
        <v>12.02</v>
      </c>
      <c r="BU606" s="18">
        <f>[1]monsters!$P606</f>
        <v>1168.7</v>
      </c>
      <c r="BV606" s="18">
        <f>[1]monsters!$Q606</f>
        <v>116.87</v>
      </c>
      <c r="BW606" s="18">
        <f>[1]monsters!$R606</f>
        <v>15.03</v>
      </c>
      <c r="BX606" s="18">
        <f>[1]monsters!$S606</f>
        <v>1.5</v>
      </c>
      <c r="BY606" s="18">
        <f>[1]monsters!$K606</f>
        <v>1.4</v>
      </c>
      <c r="BZ606" s="5">
        <f>[1]monsters!$D606</f>
        <v>3</v>
      </c>
      <c r="CA606" s="5">
        <f t="shared" si="389"/>
        <v>0.1</v>
      </c>
      <c r="CB606" s="5">
        <f t="shared" si="390"/>
        <v>152.94861835016835</v>
      </c>
      <c r="CC606" s="5">
        <f t="shared" si="391"/>
        <v>15.294861835016835</v>
      </c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R606" s="3" t="b">
        <f t="shared" si="408"/>
        <v>1</v>
      </c>
      <c r="CS606" s="3" t="b">
        <f t="shared" si="409"/>
        <v>1</v>
      </c>
      <c r="CT606" s="3" t="b">
        <f t="shared" si="410"/>
        <v>1</v>
      </c>
      <c r="CU606" s="3" t="b">
        <f t="shared" si="411"/>
        <v>1</v>
      </c>
      <c r="CV606" s="3" t="b">
        <f t="shared" si="412"/>
        <v>1</v>
      </c>
      <c r="CW606" s="3" t="b">
        <f t="shared" si="413"/>
        <v>1</v>
      </c>
      <c r="CX606" s="9" t="str">
        <f t="shared" si="414"/>
        <v>5201133</v>
      </c>
      <c r="CY606" s="9" t="str">
        <f t="shared" si="415"/>
        <v>5200133</v>
      </c>
      <c r="CZ606" s="9" t="str">
        <f t="shared" si="416"/>
        <v>5301131</v>
      </c>
      <c r="DA606" s="9" t="str">
        <f t="shared" si="417"/>
        <v>5501134</v>
      </c>
      <c r="DB606" s="9" t="str">
        <f t="shared" si="418"/>
        <v>5500133</v>
      </c>
      <c r="DC606" s="9" t="str">
        <f t="shared" si="419"/>
        <v>5501134</v>
      </c>
      <c r="DD606" s="9">
        <v>13</v>
      </c>
      <c r="DE606" s="9">
        <v>13</v>
      </c>
      <c r="DF606" s="9">
        <v>13</v>
      </c>
      <c r="DG606" s="9">
        <v>13</v>
      </c>
      <c r="DH606" s="9">
        <v>13</v>
      </c>
      <c r="DI606" s="9">
        <v>13</v>
      </c>
      <c r="DJ606" s="9">
        <v>5</v>
      </c>
      <c r="DK606" s="9">
        <v>5</v>
      </c>
      <c r="DL606" s="9">
        <v>5</v>
      </c>
      <c r="DM606" s="9">
        <v>5</v>
      </c>
      <c r="DN606" s="9">
        <v>5</v>
      </c>
      <c r="DO606" s="9">
        <v>5</v>
      </c>
      <c r="DP606" s="25" t="s">
        <v>205</v>
      </c>
      <c r="DQ606" s="25" t="s">
        <v>113</v>
      </c>
      <c r="DR606" s="25" t="s">
        <v>107</v>
      </c>
      <c r="DS606" s="25" t="s">
        <v>214</v>
      </c>
      <c r="DT606" s="25" t="s">
        <v>207</v>
      </c>
      <c r="DU606" s="25" t="s">
        <v>214</v>
      </c>
      <c r="DV606" s="25">
        <f t="shared" si="420"/>
        <v>1</v>
      </c>
      <c r="DW606" s="25">
        <f t="shared" si="421"/>
        <v>1</v>
      </c>
      <c r="DX606" s="25">
        <f t="shared" si="422"/>
        <v>1</v>
      </c>
      <c r="DY606" s="25">
        <f t="shared" si="423"/>
        <v>2</v>
      </c>
      <c r="DZ606" s="25">
        <f t="shared" si="424"/>
        <v>2</v>
      </c>
      <c r="EA606" s="25">
        <f t="shared" si="425"/>
        <v>2</v>
      </c>
      <c r="EB606" s="29"/>
    </row>
    <row r="607" spans="1:132" ht="13.5" customHeight="1">
      <c r="A607" s="9">
        <v>604</v>
      </c>
      <c r="B607" s="9">
        <v>1</v>
      </c>
      <c r="C607" s="9">
        <v>2001</v>
      </c>
      <c r="D607" s="9">
        <f t="shared" si="398"/>
        <v>31814142</v>
      </c>
      <c r="E607" s="9" t="str">
        <f t="shared" si="399"/>
        <v>5200133,5200133,5200133,5401133,5401133,5401133</v>
      </c>
      <c r="F607" s="9" t="str">
        <f t="shared" si="400"/>
        <v>13,13,13,13,13,13</v>
      </c>
      <c r="G607" s="9" t="str">
        <f t="shared" si="401"/>
        <v>1308,1413,1413,1413,1413,1413</v>
      </c>
      <c r="H607" s="9">
        <v>281</v>
      </c>
      <c r="I607" s="9" t="s">
        <v>278</v>
      </c>
      <c r="J607" s="9" t="s">
        <v>279</v>
      </c>
      <c r="K607" s="9" t="s">
        <v>279</v>
      </c>
      <c r="L607" s="9" t="s">
        <v>279</v>
      </c>
      <c r="M607" s="36" t="s">
        <v>316</v>
      </c>
      <c r="O607" s="3">
        <f t="shared" si="362"/>
        <v>31814142</v>
      </c>
      <c r="P607" s="9">
        <v>24101622.699999999</v>
      </c>
      <c r="Q607" s="9">
        <v>5200133</v>
      </c>
      <c r="R607" s="9">
        <v>5200133</v>
      </c>
      <c r="S607" s="9">
        <v>5200133</v>
      </c>
      <c r="T607" s="9">
        <v>5401133</v>
      </c>
      <c r="U607" s="9">
        <v>5401133</v>
      </c>
      <c r="V607" s="9">
        <v>5401133</v>
      </c>
      <c r="W607" s="9">
        <v>13</v>
      </c>
      <c r="X607" s="9">
        <v>13</v>
      </c>
      <c r="Y607" s="9">
        <v>13</v>
      </c>
      <c r="Z607" s="9">
        <v>13</v>
      </c>
      <c r="AA607" s="9">
        <v>13</v>
      </c>
      <c r="AB607" s="9">
        <v>13</v>
      </c>
      <c r="AC607" s="9">
        <f t="shared" si="402"/>
        <v>1308</v>
      </c>
      <c r="AD607" s="9">
        <f t="shared" si="403"/>
        <v>1413</v>
      </c>
      <c r="AE607" s="9">
        <f t="shared" si="404"/>
        <v>1413</v>
      </c>
      <c r="AF607" s="9">
        <f t="shared" si="405"/>
        <v>1413</v>
      </c>
      <c r="AG607" s="9">
        <f t="shared" si="406"/>
        <v>1413</v>
      </c>
      <c r="AH607" s="9">
        <f t="shared" si="407"/>
        <v>1413</v>
      </c>
      <c r="AI607" s="7">
        <f t="shared" si="360"/>
        <v>4016937.1166666667</v>
      </c>
      <c r="AJ607" s="7">
        <f t="shared" si="396"/>
        <v>4016937.1166666667</v>
      </c>
      <c r="AK607" s="7">
        <f t="shared" si="396"/>
        <v>4016937.1166666667</v>
      </c>
      <c r="AL607" s="7">
        <f t="shared" si="396"/>
        <v>4016937.1166666667</v>
      </c>
      <c r="AM607" s="7">
        <f t="shared" si="396"/>
        <v>4016937.1166666667</v>
      </c>
      <c r="AN607" s="7">
        <f t="shared" si="396"/>
        <v>4016937.1166666667</v>
      </c>
      <c r="BR607" s="5">
        <v>4503043</v>
      </c>
      <c r="BS607" s="18">
        <f>[1]monsters!$N607</f>
        <v>85.33</v>
      </c>
      <c r="BT607" s="18">
        <f>[1]monsters!$O607</f>
        <v>8.5299999999999994</v>
      </c>
      <c r="BU607" s="18">
        <f>[1]monsters!$P607</f>
        <v>960</v>
      </c>
      <c r="BV607" s="18">
        <f>[1]monsters!$Q607</f>
        <v>96</v>
      </c>
      <c r="BW607" s="18">
        <f>[1]monsters!$R607</f>
        <v>28.44</v>
      </c>
      <c r="BX607" s="18">
        <f>[1]monsters!$S607</f>
        <v>2.84</v>
      </c>
      <c r="BY607" s="18">
        <f>[1]monsters!$K607</f>
        <v>1.6</v>
      </c>
      <c r="BZ607" s="5">
        <f>[1]monsters!$D607</f>
        <v>2</v>
      </c>
      <c r="CA607" s="5">
        <f t="shared" si="389"/>
        <v>0.1</v>
      </c>
      <c r="CB607" s="5">
        <f t="shared" si="390"/>
        <v>112.96008232323233</v>
      </c>
      <c r="CC607" s="5">
        <f t="shared" si="391"/>
        <v>11.296008232323233</v>
      </c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R607" s="3" t="b">
        <f t="shared" si="408"/>
        <v>1</v>
      </c>
      <c r="CS607" s="3" t="b">
        <f t="shared" si="409"/>
        <v>1</v>
      </c>
      <c r="CT607" s="3" t="b">
        <f t="shared" si="410"/>
        <v>1</v>
      </c>
      <c r="CU607" s="3" t="b">
        <f t="shared" si="411"/>
        <v>1</v>
      </c>
      <c r="CV607" s="3" t="b">
        <f t="shared" si="412"/>
        <v>1</v>
      </c>
      <c r="CW607" s="3" t="b">
        <f t="shared" si="413"/>
        <v>1</v>
      </c>
      <c r="CX607" s="9" t="str">
        <f t="shared" si="414"/>
        <v>5200133</v>
      </c>
      <c r="CY607" s="9" t="str">
        <f t="shared" si="415"/>
        <v>5200133</v>
      </c>
      <c r="CZ607" s="9" t="str">
        <f t="shared" si="416"/>
        <v>5200133</v>
      </c>
      <c r="DA607" s="9" t="str">
        <f t="shared" si="417"/>
        <v>5401133</v>
      </c>
      <c r="DB607" s="9" t="str">
        <f t="shared" si="418"/>
        <v>5401133</v>
      </c>
      <c r="DC607" s="9" t="str">
        <f t="shared" si="419"/>
        <v>5401133</v>
      </c>
      <c r="DD607" s="9">
        <v>13</v>
      </c>
      <c r="DE607" s="9">
        <v>13</v>
      </c>
      <c r="DF607" s="9">
        <v>13</v>
      </c>
      <c r="DG607" s="9">
        <v>13</v>
      </c>
      <c r="DH607" s="9">
        <v>13</v>
      </c>
      <c r="DI607" s="9">
        <v>13</v>
      </c>
      <c r="DJ607" s="9">
        <v>5</v>
      </c>
      <c r="DK607" s="9">
        <v>5</v>
      </c>
      <c r="DL607" s="9">
        <v>5</v>
      </c>
      <c r="DM607" s="9">
        <v>5</v>
      </c>
      <c r="DN607" s="9">
        <v>5</v>
      </c>
      <c r="DO607" s="9">
        <v>5</v>
      </c>
      <c r="DP607" s="25" t="s">
        <v>113</v>
      </c>
      <c r="DQ607" s="25" t="s">
        <v>113</v>
      </c>
      <c r="DR607" s="25" t="s">
        <v>113</v>
      </c>
      <c r="DS607" s="25" t="s">
        <v>211</v>
      </c>
      <c r="DT607" s="25" t="s">
        <v>211</v>
      </c>
      <c r="DU607" s="25" t="s">
        <v>211</v>
      </c>
      <c r="DV607" s="25">
        <f t="shared" si="420"/>
        <v>1</v>
      </c>
      <c r="DW607" s="25">
        <f t="shared" si="421"/>
        <v>1</v>
      </c>
      <c r="DX607" s="25">
        <f t="shared" si="422"/>
        <v>1</v>
      </c>
      <c r="DY607" s="25">
        <f t="shared" si="423"/>
        <v>2</v>
      </c>
      <c r="DZ607" s="25">
        <f t="shared" si="424"/>
        <v>2</v>
      </c>
      <c r="EA607" s="25">
        <f t="shared" si="425"/>
        <v>2</v>
      </c>
      <c r="EB607" s="30"/>
    </row>
    <row r="608" spans="1:132" ht="13.5" customHeight="1">
      <c r="A608" s="9">
        <v>605</v>
      </c>
      <c r="B608" s="9">
        <v>1</v>
      </c>
      <c r="C608" s="9">
        <v>2001</v>
      </c>
      <c r="D608" s="9">
        <f t="shared" si="398"/>
        <v>31901118</v>
      </c>
      <c r="E608" s="9" t="str">
        <f t="shared" si="399"/>
        <v>5201131,5201132,5202131,5502131,5500131,5502131</v>
      </c>
      <c r="F608" s="9" t="str">
        <f t="shared" si="400"/>
        <v>13,13,13,13,13,13</v>
      </c>
      <c r="G608" s="9" t="str">
        <f t="shared" si="401"/>
        <v>1309,1415,1415,1415,1415,1415</v>
      </c>
      <c r="H608" s="9">
        <v>282</v>
      </c>
      <c r="I608" s="9" t="s">
        <v>278</v>
      </c>
      <c r="J608" s="9" t="s">
        <v>279</v>
      </c>
      <c r="K608" s="9" t="s">
        <v>279</v>
      </c>
      <c r="L608" s="9" t="s">
        <v>279</v>
      </c>
      <c r="M608" s="36" t="s">
        <v>316</v>
      </c>
      <c r="O608" s="3">
        <f t="shared" si="362"/>
        <v>31901118</v>
      </c>
      <c r="P608" s="9">
        <v>24167513.780000001</v>
      </c>
      <c r="Q608" s="9">
        <v>5201131</v>
      </c>
      <c r="R608" s="9">
        <v>5201132</v>
      </c>
      <c r="S608" s="9">
        <v>5202131</v>
      </c>
      <c r="T608" s="9">
        <v>5502131</v>
      </c>
      <c r="U608" s="9">
        <v>5500131</v>
      </c>
      <c r="V608" s="9">
        <v>5502131</v>
      </c>
      <c r="W608" s="9">
        <v>13</v>
      </c>
      <c r="X608" s="9">
        <v>13</v>
      </c>
      <c r="Y608" s="9">
        <v>13</v>
      </c>
      <c r="Z608" s="9">
        <v>13</v>
      </c>
      <c r="AA608" s="9">
        <v>13</v>
      </c>
      <c r="AB608" s="9">
        <v>13</v>
      </c>
      <c r="AC608" s="9">
        <f t="shared" si="402"/>
        <v>1309</v>
      </c>
      <c r="AD608" s="9">
        <f t="shared" si="403"/>
        <v>1415</v>
      </c>
      <c r="AE608" s="9">
        <f t="shared" si="404"/>
        <v>1415</v>
      </c>
      <c r="AF608" s="9">
        <f t="shared" si="405"/>
        <v>1415</v>
      </c>
      <c r="AG608" s="9">
        <f t="shared" si="406"/>
        <v>1415</v>
      </c>
      <c r="AH608" s="9">
        <f t="shared" si="407"/>
        <v>1415</v>
      </c>
      <c r="AI608" s="7">
        <f t="shared" si="360"/>
        <v>4027918.9633333334</v>
      </c>
      <c r="AJ608" s="7">
        <f t="shared" si="396"/>
        <v>4027918.9633333334</v>
      </c>
      <c r="AK608" s="7">
        <f t="shared" si="396"/>
        <v>4027918.9633333334</v>
      </c>
      <c r="AL608" s="7">
        <f t="shared" si="396"/>
        <v>4027918.9633333334</v>
      </c>
      <c r="AM608" s="7">
        <f t="shared" si="396"/>
        <v>4027918.9633333334</v>
      </c>
      <c r="AN608" s="7">
        <f t="shared" si="396"/>
        <v>4027918.9633333334</v>
      </c>
      <c r="BR608" s="5">
        <v>4504043</v>
      </c>
      <c r="BS608" s="18">
        <f>[1]monsters!$N608</f>
        <v>85.33</v>
      </c>
      <c r="BT608" s="18">
        <f>[1]monsters!$O608</f>
        <v>8.5299999999999994</v>
      </c>
      <c r="BU608" s="18">
        <f>[1]monsters!$P608</f>
        <v>960</v>
      </c>
      <c r="BV608" s="18">
        <f>[1]monsters!$Q608</f>
        <v>96</v>
      </c>
      <c r="BW608" s="18">
        <f>[1]monsters!$R608</f>
        <v>28.44</v>
      </c>
      <c r="BX608" s="18">
        <f>[1]monsters!$S608</f>
        <v>2.84</v>
      </c>
      <c r="BY608" s="18">
        <f>[1]monsters!$K608</f>
        <v>1.6</v>
      </c>
      <c r="BZ608" s="5">
        <f>[1]monsters!$D608</f>
        <v>2</v>
      </c>
      <c r="CA608" s="5">
        <f t="shared" si="389"/>
        <v>0.1</v>
      </c>
      <c r="CB608" s="5">
        <f t="shared" si="390"/>
        <v>112.96008232323233</v>
      </c>
      <c r="CC608" s="5">
        <f t="shared" si="391"/>
        <v>11.296008232323233</v>
      </c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R608" s="3" t="b">
        <f t="shared" si="408"/>
        <v>1</v>
      </c>
      <c r="CS608" s="3" t="b">
        <f t="shared" si="409"/>
        <v>1</v>
      </c>
      <c r="CT608" s="3" t="b">
        <f t="shared" si="410"/>
        <v>1</v>
      </c>
      <c r="CU608" s="3" t="b">
        <f t="shared" si="411"/>
        <v>1</v>
      </c>
      <c r="CV608" s="3" t="b">
        <f t="shared" si="412"/>
        <v>1</v>
      </c>
      <c r="CW608" s="3" t="b">
        <f t="shared" si="413"/>
        <v>1</v>
      </c>
      <c r="CX608" s="9" t="str">
        <f t="shared" si="414"/>
        <v>5201131</v>
      </c>
      <c r="CY608" s="9" t="str">
        <f t="shared" si="415"/>
        <v>5201132</v>
      </c>
      <c r="CZ608" s="9" t="str">
        <f t="shared" si="416"/>
        <v>5202131</v>
      </c>
      <c r="DA608" s="9" t="str">
        <f t="shared" si="417"/>
        <v>5502131</v>
      </c>
      <c r="DB608" s="9" t="str">
        <f t="shared" si="418"/>
        <v>5500131</v>
      </c>
      <c r="DC608" s="9" t="str">
        <f t="shared" si="419"/>
        <v>5502131</v>
      </c>
      <c r="DD608" s="9">
        <v>13</v>
      </c>
      <c r="DE608" s="9">
        <v>13</v>
      </c>
      <c r="DF608" s="9">
        <v>13</v>
      </c>
      <c r="DG608" s="9">
        <v>13</v>
      </c>
      <c r="DH608" s="9">
        <v>13</v>
      </c>
      <c r="DI608" s="9">
        <v>13</v>
      </c>
      <c r="DJ608" s="9">
        <v>5</v>
      </c>
      <c r="DK608" s="9">
        <v>5</v>
      </c>
      <c r="DL608" s="9">
        <v>5</v>
      </c>
      <c r="DM608" s="9">
        <v>5</v>
      </c>
      <c r="DN608" s="9">
        <v>5</v>
      </c>
      <c r="DO608" s="9">
        <v>5</v>
      </c>
      <c r="DP608" s="25" t="s">
        <v>195</v>
      </c>
      <c r="DQ608" s="25" t="s">
        <v>114</v>
      </c>
      <c r="DR608" s="25" t="s">
        <v>111</v>
      </c>
      <c r="DS608" s="25" t="s">
        <v>119</v>
      </c>
      <c r="DT608" s="25" t="s">
        <v>197</v>
      </c>
      <c r="DU608" s="25" t="s">
        <v>119</v>
      </c>
      <c r="DV608" s="25">
        <f t="shared" si="420"/>
        <v>1</v>
      </c>
      <c r="DW608" s="25">
        <f t="shared" si="421"/>
        <v>1</v>
      </c>
      <c r="DX608" s="25">
        <f t="shared" si="422"/>
        <v>1</v>
      </c>
      <c r="DY608" s="25">
        <f t="shared" si="423"/>
        <v>2</v>
      </c>
      <c r="DZ608" s="25">
        <f t="shared" si="424"/>
        <v>2</v>
      </c>
      <c r="EA608" s="25">
        <f t="shared" si="425"/>
        <v>2</v>
      </c>
      <c r="EB608" s="29"/>
    </row>
    <row r="609" spans="1:132" ht="13.5" customHeight="1">
      <c r="A609" s="9">
        <v>606</v>
      </c>
      <c r="B609" s="9">
        <v>1</v>
      </c>
      <c r="C609" s="9">
        <v>2001</v>
      </c>
      <c r="D609" s="9">
        <f t="shared" si="398"/>
        <v>31988214</v>
      </c>
      <c r="E609" s="9" t="str">
        <f t="shared" si="399"/>
        <v>5202133,5201133,5302134,5501134,5501135,5500132</v>
      </c>
      <c r="F609" s="9" t="str">
        <f t="shared" si="400"/>
        <v>13,13,13,13,13,13</v>
      </c>
      <c r="G609" s="9" t="str">
        <f t="shared" si="401"/>
        <v>1311,1417,1417,1417,1417,1417</v>
      </c>
      <c r="H609" s="9">
        <v>282</v>
      </c>
      <c r="I609" s="9" t="s">
        <v>278</v>
      </c>
      <c r="J609" s="9" t="s">
        <v>279</v>
      </c>
      <c r="K609" s="9" t="s">
        <v>279</v>
      </c>
      <c r="L609" s="9" t="s">
        <v>279</v>
      </c>
      <c r="M609" s="36" t="s">
        <v>316</v>
      </c>
      <c r="O609" s="3">
        <f t="shared" si="362"/>
        <v>31988214</v>
      </c>
      <c r="P609" s="9">
        <v>24233495.59</v>
      </c>
      <c r="Q609" s="9">
        <v>5202133</v>
      </c>
      <c r="R609" s="9">
        <v>5201133</v>
      </c>
      <c r="S609" s="9">
        <v>5302134</v>
      </c>
      <c r="T609" s="9">
        <v>5501134</v>
      </c>
      <c r="U609" s="9">
        <v>5501135</v>
      </c>
      <c r="V609" s="9">
        <v>5500132</v>
      </c>
      <c r="W609" s="9">
        <v>13</v>
      </c>
      <c r="X609" s="9">
        <v>13</v>
      </c>
      <c r="Y609" s="9">
        <v>13</v>
      </c>
      <c r="Z609" s="9">
        <v>13</v>
      </c>
      <c r="AA609" s="9">
        <v>13</v>
      </c>
      <c r="AB609" s="9">
        <v>13</v>
      </c>
      <c r="AC609" s="9">
        <f t="shared" si="402"/>
        <v>1311</v>
      </c>
      <c r="AD609" s="9">
        <f t="shared" si="403"/>
        <v>1417</v>
      </c>
      <c r="AE609" s="9">
        <f t="shared" si="404"/>
        <v>1417</v>
      </c>
      <c r="AF609" s="9">
        <f t="shared" si="405"/>
        <v>1417</v>
      </c>
      <c r="AG609" s="9">
        <f t="shared" si="406"/>
        <v>1417</v>
      </c>
      <c r="AH609" s="9">
        <f t="shared" si="407"/>
        <v>1417</v>
      </c>
      <c r="AI609" s="7">
        <f t="shared" si="360"/>
        <v>4038915.9316666666</v>
      </c>
      <c r="AJ609" s="7">
        <f t="shared" si="396"/>
        <v>4038915.9316666666</v>
      </c>
      <c r="AK609" s="7">
        <f t="shared" si="396"/>
        <v>4038915.9316666666</v>
      </c>
      <c r="AL609" s="7">
        <f t="shared" si="396"/>
        <v>4038915.9316666666</v>
      </c>
      <c r="AM609" s="7">
        <f t="shared" si="396"/>
        <v>4038915.9316666666</v>
      </c>
      <c r="AN609" s="7">
        <f t="shared" si="396"/>
        <v>4038915.9316666666</v>
      </c>
      <c r="BR609" s="5">
        <v>4101043</v>
      </c>
      <c r="BS609" s="18">
        <f>[1]monsters!$N609</f>
        <v>85.33</v>
      </c>
      <c r="BT609" s="18">
        <f>[1]monsters!$O609</f>
        <v>8.5299999999999994</v>
      </c>
      <c r="BU609" s="18">
        <f>[1]monsters!$P609</f>
        <v>960</v>
      </c>
      <c r="BV609" s="18">
        <f>[1]monsters!$Q609</f>
        <v>96</v>
      </c>
      <c r="BW609" s="18">
        <f>[1]monsters!$R609</f>
        <v>28.44</v>
      </c>
      <c r="BX609" s="18">
        <f>[1]monsters!$S609</f>
        <v>2.84</v>
      </c>
      <c r="BY609" s="18">
        <f>[1]monsters!$K609</f>
        <v>1.6</v>
      </c>
      <c r="BZ609" s="5">
        <f>[1]monsters!$D609</f>
        <v>2</v>
      </c>
      <c r="CA609" s="5">
        <f t="shared" si="389"/>
        <v>0.1</v>
      </c>
      <c r="CB609" s="5">
        <f t="shared" si="390"/>
        <v>112.96008232323233</v>
      </c>
      <c r="CC609" s="5">
        <f t="shared" si="391"/>
        <v>11.296008232323233</v>
      </c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R609" s="3" t="b">
        <f t="shared" si="408"/>
        <v>1</v>
      </c>
      <c r="CS609" s="3" t="b">
        <f t="shared" si="409"/>
        <v>1</v>
      </c>
      <c r="CT609" s="3" t="b">
        <f t="shared" si="410"/>
        <v>1</v>
      </c>
      <c r="CU609" s="3" t="b">
        <f t="shared" si="411"/>
        <v>1</v>
      </c>
      <c r="CV609" s="3" t="b">
        <f t="shared" si="412"/>
        <v>1</v>
      </c>
      <c r="CW609" s="3" t="b">
        <f t="shared" si="413"/>
        <v>1</v>
      </c>
      <c r="CX609" s="9" t="str">
        <f t="shared" si="414"/>
        <v>5202133</v>
      </c>
      <c r="CY609" s="9" t="str">
        <f t="shared" si="415"/>
        <v>5201133</v>
      </c>
      <c r="CZ609" s="9" t="str">
        <f t="shared" si="416"/>
        <v>5302134</v>
      </c>
      <c r="DA609" s="9" t="str">
        <f t="shared" si="417"/>
        <v>5501134</v>
      </c>
      <c r="DB609" s="9" t="str">
        <f t="shared" si="418"/>
        <v>5501135</v>
      </c>
      <c r="DC609" s="9" t="str">
        <f t="shared" si="419"/>
        <v>5500132</v>
      </c>
      <c r="DD609" s="9">
        <v>13</v>
      </c>
      <c r="DE609" s="9">
        <v>13</v>
      </c>
      <c r="DF609" s="9">
        <v>13</v>
      </c>
      <c r="DG609" s="9">
        <v>13</v>
      </c>
      <c r="DH609" s="9">
        <v>13</v>
      </c>
      <c r="DI609" s="9">
        <v>13</v>
      </c>
      <c r="DJ609" s="9">
        <v>5</v>
      </c>
      <c r="DK609" s="9">
        <v>5</v>
      </c>
      <c r="DL609" s="9">
        <v>5</v>
      </c>
      <c r="DM609" s="9">
        <v>5</v>
      </c>
      <c r="DN609" s="9">
        <v>5</v>
      </c>
      <c r="DO609" s="9">
        <v>5</v>
      </c>
      <c r="DP609" s="25" t="s">
        <v>208</v>
      </c>
      <c r="DQ609" s="25" t="s">
        <v>205</v>
      </c>
      <c r="DR609" s="25" t="s">
        <v>218</v>
      </c>
      <c r="DS609" s="25" t="s">
        <v>214</v>
      </c>
      <c r="DT609" s="25" t="s">
        <v>209</v>
      </c>
      <c r="DU609" s="25" t="s">
        <v>109</v>
      </c>
      <c r="DV609" s="25">
        <f t="shared" si="420"/>
        <v>1</v>
      </c>
      <c r="DW609" s="25">
        <f t="shared" si="421"/>
        <v>1</v>
      </c>
      <c r="DX609" s="25">
        <f t="shared" si="422"/>
        <v>1</v>
      </c>
      <c r="DY609" s="25">
        <f t="shared" si="423"/>
        <v>2</v>
      </c>
      <c r="DZ609" s="25">
        <f t="shared" si="424"/>
        <v>2</v>
      </c>
      <c r="EA609" s="25">
        <f t="shared" si="425"/>
        <v>2</v>
      </c>
      <c r="EB609" s="29"/>
    </row>
    <row r="610" spans="1:132" ht="13.5" customHeight="1">
      <c r="A610" s="9">
        <v>607</v>
      </c>
      <c r="B610" s="9">
        <v>1</v>
      </c>
      <c r="C610" s="9">
        <v>2001</v>
      </c>
      <c r="D610" s="9">
        <f t="shared" si="398"/>
        <v>32075430</v>
      </c>
      <c r="E610" s="9" t="str">
        <f t="shared" si="399"/>
        <v>5201133,5202135,5200131,5501134,5402132,5501135</v>
      </c>
      <c r="F610" s="9" t="str">
        <f t="shared" si="400"/>
        <v>13,13,13,13,13,13</v>
      </c>
      <c r="G610" s="9" t="str">
        <f t="shared" si="401"/>
        <v>1313,1419,1419,1419,1419,1419</v>
      </c>
      <c r="H610" s="9">
        <v>282</v>
      </c>
      <c r="I610" s="9" t="s">
        <v>278</v>
      </c>
      <c r="J610" s="9" t="s">
        <v>279</v>
      </c>
      <c r="K610" s="9" t="s">
        <v>279</v>
      </c>
      <c r="L610" s="9" t="s">
        <v>279</v>
      </c>
      <c r="M610" s="36" t="s">
        <v>316</v>
      </c>
      <c r="O610" s="3">
        <f t="shared" si="362"/>
        <v>32075430</v>
      </c>
      <c r="P610" s="9">
        <v>24299568.129999999</v>
      </c>
      <c r="Q610" s="9">
        <v>5201133</v>
      </c>
      <c r="R610" s="9">
        <v>5202135</v>
      </c>
      <c r="S610" s="9">
        <v>5200131</v>
      </c>
      <c r="T610" s="9">
        <v>5501134</v>
      </c>
      <c r="U610" s="9">
        <v>5402132</v>
      </c>
      <c r="V610" s="9">
        <v>5501135</v>
      </c>
      <c r="W610" s="9">
        <v>13</v>
      </c>
      <c r="X610" s="9">
        <v>13</v>
      </c>
      <c r="Y610" s="9">
        <v>13</v>
      </c>
      <c r="Z610" s="9">
        <v>13</v>
      </c>
      <c r="AA610" s="9">
        <v>13</v>
      </c>
      <c r="AB610" s="9">
        <v>13</v>
      </c>
      <c r="AC610" s="9">
        <f t="shared" si="402"/>
        <v>1313</v>
      </c>
      <c r="AD610" s="9">
        <f t="shared" si="403"/>
        <v>1419</v>
      </c>
      <c r="AE610" s="9">
        <f t="shared" si="404"/>
        <v>1419</v>
      </c>
      <c r="AF610" s="9">
        <f t="shared" si="405"/>
        <v>1419</v>
      </c>
      <c r="AG610" s="9">
        <f t="shared" si="406"/>
        <v>1419</v>
      </c>
      <c r="AH610" s="9">
        <f t="shared" si="407"/>
        <v>1419</v>
      </c>
      <c r="AI610" s="7">
        <f t="shared" si="360"/>
        <v>4049928.0216666665</v>
      </c>
      <c r="AJ610" s="7">
        <f t="shared" si="396"/>
        <v>4049928.0216666665</v>
      </c>
      <c r="AK610" s="7">
        <f t="shared" si="396"/>
        <v>4049928.0216666665</v>
      </c>
      <c r="AL610" s="7">
        <f t="shared" si="396"/>
        <v>4049928.0216666665</v>
      </c>
      <c r="AM610" s="7">
        <f t="shared" si="396"/>
        <v>4049928.0216666665</v>
      </c>
      <c r="AN610" s="7">
        <f t="shared" si="396"/>
        <v>4049928.0216666665</v>
      </c>
      <c r="BR610" s="5">
        <v>4102043</v>
      </c>
      <c r="BS610" s="18">
        <f>[1]monsters!$N610</f>
        <v>85.33</v>
      </c>
      <c r="BT610" s="18">
        <f>[1]monsters!$O610</f>
        <v>8.5299999999999994</v>
      </c>
      <c r="BU610" s="18">
        <f>[1]monsters!$P610</f>
        <v>960</v>
      </c>
      <c r="BV610" s="18">
        <f>[1]monsters!$Q610</f>
        <v>96</v>
      </c>
      <c r="BW610" s="18">
        <f>[1]monsters!$R610</f>
        <v>28.44</v>
      </c>
      <c r="BX610" s="18">
        <f>[1]monsters!$S610</f>
        <v>2.84</v>
      </c>
      <c r="BY610" s="18">
        <f>[1]monsters!$K610</f>
        <v>1.6</v>
      </c>
      <c r="BZ610" s="5">
        <f>[1]monsters!$D610</f>
        <v>2</v>
      </c>
      <c r="CA610" s="5">
        <f t="shared" si="389"/>
        <v>0.1</v>
      </c>
      <c r="CB610" s="5">
        <f t="shared" si="390"/>
        <v>112.96008232323233</v>
      </c>
      <c r="CC610" s="5">
        <f t="shared" si="391"/>
        <v>11.296008232323233</v>
      </c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R610" s="3" t="b">
        <f t="shared" si="408"/>
        <v>1</v>
      </c>
      <c r="CS610" s="3" t="b">
        <f t="shared" si="409"/>
        <v>1</v>
      </c>
      <c r="CT610" s="3" t="b">
        <f t="shared" si="410"/>
        <v>1</v>
      </c>
      <c r="CU610" s="3" t="b">
        <f t="shared" si="411"/>
        <v>1</v>
      </c>
      <c r="CV610" s="3" t="b">
        <f t="shared" si="412"/>
        <v>1</v>
      </c>
      <c r="CW610" s="3" t="b">
        <f t="shared" si="413"/>
        <v>1</v>
      </c>
      <c r="CX610" s="9" t="str">
        <f t="shared" si="414"/>
        <v>5201133</v>
      </c>
      <c r="CY610" s="9" t="str">
        <f t="shared" si="415"/>
        <v>5202135</v>
      </c>
      <c r="CZ610" s="9" t="str">
        <f t="shared" si="416"/>
        <v>5200131</v>
      </c>
      <c r="DA610" s="9" t="str">
        <f t="shared" si="417"/>
        <v>5501134</v>
      </c>
      <c r="DB610" s="9" t="str">
        <f t="shared" si="418"/>
        <v>5402132</v>
      </c>
      <c r="DC610" s="9" t="str">
        <f t="shared" si="419"/>
        <v>5501135</v>
      </c>
      <c r="DD610" s="9">
        <v>13</v>
      </c>
      <c r="DE610" s="9">
        <v>13</v>
      </c>
      <c r="DF610" s="9">
        <v>13</v>
      </c>
      <c r="DG610" s="9">
        <v>13</v>
      </c>
      <c r="DH610" s="9">
        <v>13</v>
      </c>
      <c r="DI610" s="9">
        <v>13</v>
      </c>
      <c r="DJ610" s="9">
        <v>5</v>
      </c>
      <c r="DK610" s="9">
        <v>5</v>
      </c>
      <c r="DL610" s="9">
        <v>5</v>
      </c>
      <c r="DM610" s="9">
        <v>5</v>
      </c>
      <c r="DN610" s="9">
        <v>5</v>
      </c>
      <c r="DO610" s="9">
        <v>5</v>
      </c>
      <c r="DP610" s="25" t="s">
        <v>205</v>
      </c>
      <c r="DQ610" s="25" t="s">
        <v>213</v>
      </c>
      <c r="DR610" s="25" t="s">
        <v>194</v>
      </c>
      <c r="DS610" s="25" t="s">
        <v>214</v>
      </c>
      <c r="DT610" s="25" t="s">
        <v>203</v>
      </c>
      <c r="DU610" s="25" t="s">
        <v>209</v>
      </c>
      <c r="DV610" s="25">
        <f t="shared" si="420"/>
        <v>1</v>
      </c>
      <c r="DW610" s="25">
        <f t="shared" si="421"/>
        <v>1</v>
      </c>
      <c r="DX610" s="25">
        <f t="shared" si="422"/>
        <v>1</v>
      </c>
      <c r="DY610" s="25">
        <f t="shared" si="423"/>
        <v>2</v>
      </c>
      <c r="DZ610" s="25">
        <f t="shared" si="424"/>
        <v>2</v>
      </c>
      <c r="EA610" s="25">
        <f t="shared" si="425"/>
        <v>2</v>
      </c>
      <c r="EB610" s="29"/>
    </row>
    <row r="611" spans="1:132" ht="13.5" customHeight="1">
      <c r="A611" s="9">
        <v>608</v>
      </c>
      <c r="B611" s="9">
        <v>1</v>
      </c>
      <c r="C611" s="9">
        <v>2001</v>
      </c>
      <c r="D611" s="9">
        <f t="shared" si="398"/>
        <v>32162765</v>
      </c>
      <c r="E611" s="9" t="str">
        <f t="shared" si="399"/>
        <v>5300135,5202135,5202133,5401133,5400135,5400135</v>
      </c>
      <c r="F611" s="9" t="str">
        <f t="shared" si="400"/>
        <v>13,13,13,13,13,13</v>
      </c>
      <c r="G611" s="9" t="str">
        <f t="shared" si="401"/>
        <v>1315,1421,1421,1421,1421,1421</v>
      </c>
      <c r="H611" s="9">
        <v>283</v>
      </c>
      <c r="I611" s="9" t="s">
        <v>278</v>
      </c>
      <c r="J611" s="9" t="s">
        <v>279</v>
      </c>
      <c r="K611" s="9" t="s">
        <v>279</v>
      </c>
      <c r="L611" s="9" t="s">
        <v>279</v>
      </c>
      <c r="M611" s="36" t="s">
        <v>316</v>
      </c>
      <c r="O611" s="3">
        <f t="shared" si="362"/>
        <v>32162765</v>
      </c>
      <c r="P611" s="9">
        <v>24365731.399999999</v>
      </c>
      <c r="Q611" s="9">
        <v>5300135</v>
      </c>
      <c r="R611" s="9">
        <v>5202135</v>
      </c>
      <c r="S611" s="9">
        <v>5202133</v>
      </c>
      <c r="T611" s="9">
        <v>5401133</v>
      </c>
      <c r="U611" s="9">
        <v>5400135</v>
      </c>
      <c r="V611" s="9">
        <v>5400135</v>
      </c>
      <c r="W611" s="9">
        <v>13</v>
      </c>
      <c r="X611" s="9">
        <v>13</v>
      </c>
      <c r="Y611" s="9">
        <v>13</v>
      </c>
      <c r="Z611" s="9">
        <v>13</v>
      </c>
      <c r="AA611" s="9">
        <v>13</v>
      </c>
      <c r="AB611" s="9">
        <v>13</v>
      </c>
      <c r="AC611" s="9">
        <f t="shared" si="402"/>
        <v>1315</v>
      </c>
      <c r="AD611" s="9">
        <f t="shared" si="403"/>
        <v>1421</v>
      </c>
      <c r="AE611" s="9">
        <f t="shared" si="404"/>
        <v>1421</v>
      </c>
      <c r="AF611" s="9">
        <f t="shared" si="405"/>
        <v>1421</v>
      </c>
      <c r="AG611" s="9">
        <f t="shared" si="406"/>
        <v>1421</v>
      </c>
      <c r="AH611" s="9">
        <f t="shared" si="407"/>
        <v>1421</v>
      </c>
      <c r="AI611" s="7">
        <f t="shared" si="360"/>
        <v>4060955.2333333329</v>
      </c>
      <c r="AJ611" s="7">
        <f t="shared" si="396"/>
        <v>4060955.2333333329</v>
      </c>
      <c r="AK611" s="7">
        <f t="shared" si="396"/>
        <v>4060955.2333333329</v>
      </c>
      <c r="AL611" s="7">
        <f t="shared" si="396"/>
        <v>4060955.2333333329</v>
      </c>
      <c r="AM611" s="7">
        <f t="shared" si="396"/>
        <v>4060955.2333333329</v>
      </c>
      <c r="AN611" s="7">
        <f t="shared" si="396"/>
        <v>4060955.2333333329</v>
      </c>
      <c r="BR611" s="5">
        <v>4206044</v>
      </c>
      <c r="BS611" s="18">
        <f>[1]monsters!$N611</f>
        <v>85.33</v>
      </c>
      <c r="BT611" s="18">
        <f>[1]monsters!$O611</f>
        <v>8.5299999999999994</v>
      </c>
      <c r="BU611" s="18">
        <f>[1]monsters!$P611</f>
        <v>960</v>
      </c>
      <c r="BV611" s="18">
        <f>[1]monsters!$Q611</f>
        <v>96</v>
      </c>
      <c r="BW611" s="18">
        <f>[1]monsters!$R611</f>
        <v>28.44</v>
      </c>
      <c r="BX611" s="18">
        <f>[1]monsters!$S611</f>
        <v>2.84</v>
      </c>
      <c r="BY611" s="18">
        <f>[1]monsters!$K611</f>
        <v>1.6</v>
      </c>
      <c r="BZ611" s="5">
        <f>[1]monsters!$D611</f>
        <v>2</v>
      </c>
      <c r="CA611" s="5">
        <f t="shared" si="389"/>
        <v>0.1</v>
      </c>
      <c r="CB611" s="5">
        <f t="shared" si="390"/>
        <v>112.96008232323233</v>
      </c>
      <c r="CC611" s="5">
        <f t="shared" si="391"/>
        <v>11.296008232323233</v>
      </c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R611" s="3" t="b">
        <f t="shared" si="408"/>
        <v>1</v>
      </c>
      <c r="CS611" s="3" t="b">
        <f t="shared" si="409"/>
        <v>1</v>
      </c>
      <c r="CT611" s="3" t="b">
        <f t="shared" si="410"/>
        <v>1</v>
      </c>
      <c r="CU611" s="3" t="b">
        <f t="shared" si="411"/>
        <v>1</v>
      </c>
      <c r="CV611" s="3" t="b">
        <f t="shared" si="412"/>
        <v>1</v>
      </c>
      <c r="CW611" s="3" t="b">
        <f t="shared" si="413"/>
        <v>1</v>
      </c>
      <c r="CX611" s="9" t="str">
        <f t="shared" si="414"/>
        <v>5300135</v>
      </c>
      <c r="CY611" s="9" t="str">
        <f t="shared" si="415"/>
        <v>5202135</v>
      </c>
      <c r="CZ611" s="9" t="str">
        <f t="shared" si="416"/>
        <v>5202133</v>
      </c>
      <c r="DA611" s="9" t="str">
        <f t="shared" si="417"/>
        <v>5401133</v>
      </c>
      <c r="DB611" s="9" t="str">
        <f t="shared" si="418"/>
        <v>5400135</v>
      </c>
      <c r="DC611" s="9" t="str">
        <f t="shared" si="419"/>
        <v>5400135</v>
      </c>
      <c r="DD611" s="9">
        <v>13</v>
      </c>
      <c r="DE611" s="9">
        <v>13</v>
      </c>
      <c r="DF611" s="9">
        <v>13</v>
      </c>
      <c r="DG611" s="9">
        <v>13</v>
      </c>
      <c r="DH611" s="9">
        <v>13</v>
      </c>
      <c r="DI611" s="9">
        <v>13</v>
      </c>
      <c r="DJ611" s="9">
        <v>5</v>
      </c>
      <c r="DK611" s="9">
        <v>5</v>
      </c>
      <c r="DL611" s="9">
        <v>5</v>
      </c>
      <c r="DM611" s="9">
        <v>5</v>
      </c>
      <c r="DN611" s="9">
        <v>5</v>
      </c>
      <c r="DO611" s="9">
        <v>5</v>
      </c>
      <c r="DP611" s="25" t="s">
        <v>212</v>
      </c>
      <c r="DQ611" s="25" t="s">
        <v>213</v>
      </c>
      <c r="DR611" s="25" t="s">
        <v>208</v>
      </c>
      <c r="DS611" s="25" t="s">
        <v>211</v>
      </c>
      <c r="DT611" s="25" t="s">
        <v>210</v>
      </c>
      <c r="DU611" s="25" t="s">
        <v>210</v>
      </c>
      <c r="DV611" s="25">
        <f t="shared" si="420"/>
        <v>1</v>
      </c>
      <c r="DW611" s="25">
        <f t="shared" si="421"/>
        <v>1</v>
      </c>
      <c r="DX611" s="25">
        <f t="shared" si="422"/>
        <v>1</v>
      </c>
      <c r="DY611" s="25">
        <f t="shared" si="423"/>
        <v>2</v>
      </c>
      <c r="DZ611" s="25">
        <f t="shared" si="424"/>
        <v>2</v>
      </c>
      <c r="EA611" s="25">
        <f t="shared" si="425"/>
        <v>2</v>
      </c>
      <c r="EB611" s="38"/>
    </row>
    <row r="612" spans="1:132" ht="13.5" customHeight="1">
      <c r="A612" s="9">
        <v>609</v>
      </c>
      <c r="B612" s="9">
        <v>1</v>
      </c>
      <c r="C612" s="9">
        <v>2001</v>
      </c>
      <c r="D612" s="9">
        <f t="shared" si="398"/>
        <v>32250221</v>
      </c>
      <c r="E612" s="9" t="str">
        <f t="shared" si="399"/>
        <v>5202132,5202132,5301132,5502132,5500131,5502131</v>
      </c>
      <c r="F612" s="9" t="str">
        <f t="shared" si="400"/>
        <v>13,13,13,13,13,13</v>
      </c>
      <c r="G612" s="9" t="str">
        <f t="shared" si="401"/>
        <v>1317,1423,1423,1423,1423,1423</v>
      </c>
      <c r="H612" s="9">
        <v>283</v>
      </c>
      <c r="I612" s="9" t="s">
        <v>278</v>
      </c>
      <c r="J612" s="9" t="s">
        <v>279</v>
      </c>
      <c r="K612" s="9" t="s">
        <v>279</v>
      </c>
      <c r="L612" s="9" t="s">
        <v>279</v>
      </c>
      <c r="M612" s="36" t="s">
        <v>316</v>
      </c>
      <c r="O612" s="3">
        <f t="shared" si="362"/>
        <v>32250221</v>
      </c>
      <c r="P612" s="9">
        <v>24431985.399999999</v>
      </c>
      <c r="Q612" s="9">
        <v>5202132</v>
      </c>
      <c r="R612" s="9">
        <v>5202132</v>
      </c>
      <c r="S612" s="9">
        <v>5301132</v>
      </c>
      <c r="T612" s="9">
        <v>5502132</v>
      </c>
      <c r="U612" s="9">
        <v>5500131</v>
      </c>
      <c r="V612" s="9">
        <v>5502131</v>
      </c>
      <c r="W612" s="9">
        <v>13</v>
      </c>
      <c r="X612" s="9">
        <v>13</v>
      </c>
      <c r="Y612" s="9">
        <v>13</v>
      </c>
      <c r="Z612" s="9">
        <v>13</v>
      </c>
      <c r="AA612" s="9">
        <v>13</v>
      </c>
      <c r="AB612" s="9">
        <v>13</v>
      </c>
      <c r="AC612" s="9">
        <f t="shared" si="402"/>
        <v>1317</v>
      </c>
      <c r="AD612" s="9">
        <f t="shared" si="403"/>
        <v>1423</v>
      </c>
      <c r="AE612" s="9">
        <f t="shared" si="404"/>
        <v>1423</v>
      </c>
      <c r="AF612" s="9">
        <f t="shared" si="405"/>
        <v>1423</v>
      </c>
      <c r="AG612" s="9">
        <f t="shared" si="406"/>
        <v>1423</v>
      </c>
      <c r="AH612" s="9">
        <f t="shared" si="407"/>
        <v>1423</v>
      </c>
      <c r="AI612" s="7">
        <f t="shared" ref="AI612:AN656" si="426">$P612/6</f>
        <v>4071997.5666666664</v>
      </c>
      <c r="AJ612" s="7">
        <f t="shared" si="396"/>
        <v>4071997.5666666664</v>
      </c>
      <c r="AK612" s="7">
        <f t="shared" si="396"/>
        <v>4071997.5666666664</v>
      </c>
      <c r="AL612" s="7">
        <f t="shared" si="396"/>
        <v>4071997.5666666664</v>
      </c>
      <c r="AM612" s="7">
        <f t="shared" si="396"/>
        <v>4071997.5666666664</v>
      </c>
      <c r="AN612" s="7">
        <f t="shared" si="396"/>
        <v>4071997.5666666664</v>
      </c>
      <c r="BR612" s="5">
        <v>4406044</v>
      </c>
      <c r="BS612" s="18">
        <f>[1]monsters!$N612</f>
        <v>93.87</v>
      </c>
      <c r="BT612" s="18">
        <f>[1]monsters!$O612</f>
        <v>9.39</v>
      </c>
      <c r="BU612" s="18">
        <f>[1]monsters!$P612</f>
        <v>1056</v>
      </c>
      <c r="BV612" s="18">
        <f>[1]monsters!$Q612</f>
        <v>105.6</v>
      </c>
      <c r="BW612" s="18">
        <f>[1]monsters!$R612</f>
        <v>31.29</v>
      </c>
      <c r="BX612" s="18">
        <f>[1]monsters!$S612</f>
        <v>3.13</v>
      </c>
      <c r="BY612" s="18">
        <f>[1]monsters!$K612</f>
        <v>1.6</v>
      </c>
      <c r="BZ612" s="5">
        <f>[1]monsters!$D612</f>
        <v>2</v>
      </c>
      <c r="CA612" s="5">
        <f t="shared" si="389"/>
        <v>0.1</v>
      </c>
      <c r="CB612" s="5">
        <f t="shared" si="390"/>
        <v>124.26270555555557</v>
      </c>
      <c r="CC612" s="5">
        <f t="shared" si="391"/>
        <v>12.426270555555558</v>
      </c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R612" s="3" t="b">
        <f t="shared" si="408"/>
        <v>1</v>
      </c>
      <c r="CS612" s="3" t="b">
        <f t="shared" si="409"/>
        <v>1</v>
      </c>
      <c r="CT612" s="3" t="b">
        <f t="shared" si="410"/>
        <v>1</v>
      </c>
      <c r="CU612" s="3" t="b">
        <f t="shared" si="411"/>
        <v>1</v>
      </c>
      <c r="CV612" s="3" t="b">
        <f t="shared" si="412"/>
        <v>1</v>
      </c>
      <c r="CW612" s="3" t="b">
        <f t="shared" si="413"/>
        <v>1</v>
      </c>
      <c r="CX612" s="9" t="str">
        <f t="shared" si="414"/>
        <v>5202132</v>
      </c>
      <c r="CY612" s="9" t="str">
        <f t="shared" si="415"/>
        <v>5202132</v>
      </c>
      <c r="CZ612" s="9" t="str">
        <f t="shared" si="416"/>
        <v>5301132</v>
      </c>
      <c r="DA612" s="9" t="str">
        <f t="shared" si="417"/>
        <v>5502132</v>
      </c>
      <c r="DB612" s="9" t="str">
        <f t="shared" si="418"/>
        <v>5500131</v>
      </c>
      <c r="DC612" s="9" t="str">
        <f t="shared" si="419"/>
        <v>5502131</v>
      </c>
      <c r="DD612" s="9">
        <v>13</v>
      </c>
      <c r="DE612" s="9">
        <v>13</v>
      </c>
      <c r="DF612" s="9">
        <v>13</v>
      </c>
      <c r="DG612" s="9">
        <v>13</v>
      </c>
      <c r="DH612" s="9">
        <v>13</v>
      </c>
      <c r="DI612" s="9">
        <v>13</v>
      </c>
      <c r="DJ612" s="9">
        <v>5</v>
      </c>
      <c r="DK612" s="9">
        <v>5</v>
      </c>
      <c r="DL612" s="9">
        <v>5</v>
      </c>
      <c r="DM612" s="9">
        <v>5</v>
      </c>
      <c r="DN612" s="9">
        <v>5</v>
      </c>
      <c r="DO612" s="9">
        <v>5</v>
      </c>
      <c r="DP612" s="25" t="s">
        <v>200</v>
      </c>
      <c r="DQ612" s="25" t="s">
        <v>200</v>
      </c>
      <c r="DR612" s="25" t="s">
        <v>201</v>
      </c>
      <c r="DS612" s="25" t="s">
        <v>204</v>
      </c>
      <c r="DT612" s="25" t="s">
        <v>197</v>
      </c>
      <c r="DU612" s="25" t="s">
        <v>119</v>
      </c>
      <c r="DV612" s="25">
        <f t="shared" si="420"/>
        <v>1</v>
      </c>
      <c r="DW612" s="25">
        <f t="shared" si="421"/>
        <v>1</v>
      </c>
      <c r="DX612" s="25">
        <f t="shared" si="422"/>
        <v>1</v>
      </c>
      <c r="DY612" s="25">
        <f t="shared" si="423"/>
        <v>2</v>
      </c>
      <c r="DZ612" s="25">
        <f t="shared" si="424"/>
        <v>2</v>
      </c>
      <c r="EA612" s="25">
        <f t="shared" si="425"/>
        <v>2</v>
      </c>
      <c r="EB612" s="38"/>
    </row>
    <row r="613" spans="1:132" ht="13.5" customHeight="1">
      <c r="A613" s="9">
        <v>610</v>
      </c>
      <c r="B613" s="9">
        <v>1</v>
      </c>
      <c r="C613" s="9">
        <v>2001</v>
      </c>
      <c r="D613" s="9">
        <f t="shared" si="398"/>
        <v>32337793</v>
      </c>
      <c r="E613" s="9" t="str">
        <f t="shared" si="399"/>
        <v>5202133,5201133,5302134,5400135,5601131,5400135</v>
      </c>
      <c r="F613" s="9" t="str">
        <f t="shared" si="400"/>
        <v>13,13,13,13,13,13</v>
      </c>
      <c r="G613" s="9" t="str">
        <f t="shared" si="401"/>
        <v>1318,1425,1425,1425,1425,1425</v>
      </c>
      <c r="H613" s="9">
        <v>284</v>
      </c>
      <c r="I613" s="9" t="s">
        <v>278</v>
      </c>
      <c r="J613" s="9" t="s">
        <v>279</v>
      </c>
      <c r="K613" s="9" t="s">
        <v>279</v>
      </c>
      <c r="L613" s="9" t="s">
        <v>279</v>
      </c>
      <c r="M613" s="36" t="s">
        <v>316</v>
      </c>
      <c r="O613" s="3">
        <f t="shared" si="362"/>
        <v>32337793</v>
      </c>
      <c r="P613" s="9">
        <v>24498328.02</v>
      </c>
      <c r="Q613" s="9">
        <v>5202133</v>
      </c>
      <c r="R613" s="9">
        <v>5201133</v>
      </c>
      <c r="S613" s="9">
        <v>5302134</v>
      </c>
      <c r="T613" s="9">
        <v>5400135</v>
      </c>
      <c r="U613" s="9">
        <v>5601131</v>
      </c>
      <c r="V613" s="9">
        <v>5400135</v>
      </c>
      <c r="W613" s="9">
        <v>13</v>
      </c>
      <c r="X613" s="9">
        <v>13</v>
      </c>
      <c r="Y613" s="9">
        <v>13</v>
      </c>
      <c r="Z613" s="9">
        <v>13</v>
      </c>
      <c r="AA613" s="9">
        <v>13</v>
      </c>
      <c r="AB613" s="9">
        <v>13</v>
      </c>
      <c r="AC613" s="9">
        <f t="shared" si="402"/>
        <v>1318</v>
      </c>
      <c r="AD613" s="9">
        <f t="shared" si="403"/>
        <v>1425</v>
      </c>
      <c r="AE613" s="9">
        <f t="shared" si="404"/>
        <v>1425</v>
      </c>
      <c r="AF613" s="9">
        <f t="shared" si="405"/>
        <v>1425</v>
      </c>
      <c r="AG613" s="9">
        <f t="shared" si="406"/>
        <v>1425</v>
      </c>
      <c r="AH613" s="9">
        <f t="shared" si="407"/>
        <v>1425</v>
      </c>
      <c r="AI613" s="7">
        <f t="shared" si="426"/>
        <v>4083054.67</v>
      </c>
      <c r="AJ613" s="7">
        <f t="shared" si="396"/>
        <v>4083054.67</v>
      </c>
      <c r="AK613" s="7">
        <f t="shared" si="396"/>
        <v>4083054.67</v>
      </c>
      <c r="AL613" s="7">
        <f t="shared" si="396"/>
        <v>4083054.67</v>
      </c>
      <c r="AM613" s="7">
        <f t="shared" si="396"/>
        <v>4083054.67</v>
      </c>
      <c r="AN613" s="7">
        <f t="shared" si="396"/>
        <v>4083054.67</v>
      </c>
      <c r="BR613" s="5">
        <v>4205044</v>
      </c>
      <c r="BS613" s="18">
        <f>[1]monsters!$N613</f>
        <v>93.87</v>
      </c>
      <c r="BT613" s="18">
        <f>[1]monsters!$O613</f>
        <v>9.39</v>
      </c>
      <c r="BU613" s="18">
        <f>[1]monsters!$P613</f>
        <v>1056</v>
      </c>
      <c r="BV613" s="18">
        <f>[1]monsters!$Q613</f>
        <v>105.6</v>
      </c>
      <c r="BW613" s="18">
        <f>[1]monsters!$R613</f>
        <v>31.29</v>
      </c>
      <c r="BX613" s="18">
        <f>[1]monsters!$S613</f>
        <v>3.13</v>
      </c>
      <c r="BY613" s="18">
        <f>[1]monsters!$K613</f>
        <v>1.6</v>
      </c>
      <c r="BZ613" s="5">
        <f>[1]monsters!$D613</f>
        <v>2</v>
      </c>
      <c r="CA613" s="5">
        <f t="shared" si="389"/>
        <v>0.1</v>
      </c>
      <c r="CB613" s="5">
        <f t="shared" si="390"/>
        <v>124.26270555555557</v>
      </c>
      <c r="CC613" s="5">
        <f t="shared" si="391"/>
        <v>12.426270555555558</v>
      </c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R613" s="3" t="b">
        <f t="shared" si="408"/>
        <v>1</v>
      </c>
      <c r="CS613" s="3" t="b">
        <f t="shared" si="409"/>
        <v>1</v>
      </c>
      <c r="CT613" s="3" t="b">
        <f t="shared" si="410"/>
        <v>1</v>
      </c>
      <c r="CU613" s="3" t="b">
        <f t="shared" si="411"/>
        <v>1</v>
      </c>
      <c r="CV613" s="3" t="b">
        <f t="shared" si="412"/>
        <v>1</v>
      </c>
      <c r="CW613" s="3" t="b">
        <f t="shared" si="413"/>
        <v>1</v>
      </c>
      <c r="CX613" s="9" t="str">
        <f t="shared" si="414"/>
        <v>5202133</v>
      </c>
      <c r="CY613" s="9" t="str">
        <f t="shared" si="415"/>
        <v>5201133</v>
      </c>
      <c r="CZ613" s="9" t="str">
        <f t="shared" si="416"/>
        <v>5302134</v>
      </c>
      <c r="DA613" s="9" t="str">
        <f t="shared" si="417"/>
        <v>5400135</v>
      </c>
      <c r="DB613" s="9" t="str">
        <f t="shared" si="418"/>
        <v>5601131</v>
      </c>
      <c r="DC613" s="9" t="str">
        <f t="shared" si="419"/>
        <v>5400135</v>
      </c>
      <c r="DD613" s="9">
        <v>13</v>
      </c>
      <c r="DE613" s="9">
        <v>13</v>
      </c>
      <c r="DF613" s="9">
        <v>13</v>
      </c>
      <c r="DG613" s="9">
        <v>13</v>
      </c>
      <c r="DH613" s="9">
        <v>13</v>
      </c>
      <c r="DI613" s="9">
        <v>13</v>
      </c>
      <c r="DJ613" s="9">
        <v>5</v>
      </c>
      <c r="DK613" s="9">
        <v>5</v>
      </c>
      <c r="DL613" s="9">
        <v>5</v>
      </c>
      <c r="DM613" s="9">
        <v>5</v>
      </c>
      <c r="DN613" s="9">
        <v>5</v>
      </c>
      <c r="DO613" s="9">
        <v>5</v>
      </c>
      <c r="DP613" s="25" t="s">
        <v>208</v>
      </c>
      <c r="DQ613" s="25" t="s">
        <v>205</v>
      </c>
      <c r="DR613" s="25" t="s">
        <v>218</v>
      </c>
      <c r="DS613" s="25" t="s">
        <v>210</v>
      </c>
      <c r="DT613" s="25" t="s">
        <v>198</v>
      </c>
      <c r="DU613" s="25" t="s">
        <v>210</v>
      </c>
      <c r="DV613" s="25">
        <f t="shared" si="420"/>
        <v>1</v>
      </c>
      <c r="DW613" s="25">
        <f t="shared" si="421"/>
        <v>1</v>
      </c>
      <c r="DX613" s="25">
        <f t="shared" si="422"/>
        <v>1</v>
      </c>
      <c r="DY613" s="25">
        <f t="shared" si="423"/>
        <v>2</v>
      </c>
      <c r="DZ613" s="25">
        <f t="shared" si="424"/>
        <v>2</v>
      </c>
      <c r="EA613" s="25">
        <f t="shared" si="425"/>
        <v>2</v>
      </c>
      <c r="EB613" s="38"/>
    </row>
    <row r="614" spans="1:132" ht="13.5" customHeight="1">
      <c r="A614" s="9">
        <v>611</v>
      </c>
      <c r="B614" s="9">
        <v>1</v>
      </c>
      <c r="C614" s="9">
        <v>2001</v>
      </c>
      <c r="D614" s="9">
        <f t="shared" si="398"/>
        <v>32425488</v>
      </c>
      <c r="E614" s="9" t="str">
        <f t="shared" si="399"/>
        <v>5200133,5202135,5301133,5401133,5501135,5400135</v>
      </c>
      <c r="F614" s="9" t="str">
        <f t="shared" si="400"/>
        <v>13,13,13,13,13,13</v>
      </c>
      <c r="G614" s="9" t="str">
        <f t="shared" si="401"/>
        <v>1320,1427,1427,1427,1427,1427</v>
      </c>
      <c r="H614" s="9">
        <v>284</v>
      </c>
      <c r="I614" s="9" t="s">
        <v>278</v>
      </c>
      <c r="J614" s="9" t="s">
        <v>279</v>
      </c>
      <c r="K614" s="9" t="s">
        <v>279</v>
      </c>
      <c r="L614" s="9" t="s">
        <v>279</v>
      </c>
      <c r="M614" s="36" t="s">
        <v>317</v>
      </c>
      <c r="O614" s="3">
        <f t="shared" si="362"/>
        <v>32425488</v>
      </c>
      <c r="P614" s="9">
        <v>24564763.48</v>
      </c>
      <c r="Q614" s="9">
        <v>5200133</v>
      </c>
      <c r="R614" s="9">
        <v>5202135</v>
      </c>
      <c r="S614" s="9">
        <v>5301133</v>
      </c>
      <c r="T614" s="9">
        <v>5401133</v>
      </c>
      <c r="U614" s="9">
        <v>5501135</v>
      </c>
      <c r="V614" s="9">
        <v>5400135</v>
      </c>
      <c r="W614" s="9">
        <v>13</v>
      </c>
      <c r="X614" s="9">
        <v>13</v>
      </c>
      <c r="Y614" s="9">
        <v>13</v>
      </c>
      <c r="Z614" s="9">
        <v>13</v>
      </c>
      <c r="AA614" s="9">
        <v>13</v>
      </c>
      <c r="AB614" s="9">
        <v>13</v>
      </c>
      <c r="AC614" s="9">
        <f t="shared" si="402"/>
        <v>1320</v>
      </c>
      <c r="AD614" s="9">
        <f t="shared" si="403"/>
        <v>1427</v>
      </c>
      <c r="AE614" s="9">
        <f t="shared" si="404"/>
        <v>1427</v>
      </c>
      <c r="AF614" s="9">
        <f t="shared" si="405"/>
        <v>1427</v>
      </c>
      <c r="AG614" s="9">
        <f t="shared" si="406"/>
        <v>1427</v>
      </c>
      <c r="AH614" s="9">
        <f t="shared" si="407"/>
        <v>1427</v>
      </c>
      <c r="AI614" s="7">
        <f t="shared" si="426"/>
        <v>4094127.2466666666</v>
      </c>
      <c r="AJ614" s="7">
        <f t="shared" si="426"/>
        <v>4094127.2466666666</v>
      </c>
      <c r="AK614" s="7">
        <f t="shared" si="426"/>
        <v>4094127.2466666666</v>
      </c>
      <c r="AL614" s="7">
        <f t="shared" si="426"/>
        <v>4094127.2466666666</v>
      </c>
      <c r="AM614" s="7">
        <f t="shared" si="426"/>
        <v>4094127.2466666666</v>
      </c>
      <c r="AN614" s="7">
        <f t="shared" si="426"/>
        <v>4094127.2466666666</v>
      </c>
      <c r="BR614" s="5">
        <v>4405044</v>
      </c>
      <c r="BS614" s="18">
        <f>[1]monsters!$N614</f>
        <v>93.87</v>
      </c>
      <c r="BT614" s="18">
        <f>[1]monsters!$O614</f>
        <v>9.39</v>
      </c>
      <c r="BU614" s="18">
        <f>[1]monsters!$P614</f>
        <v>1056</v>
      </c>
      <c r="BV614" s="18">
        <f>[1]monsters!$Q614</f>
        <v>105.6</v>
      </c>
      <c r="BW614" s="18">
        <f>[1]monsters!$R614</f>
        <v>31.29</v>
      </c>
      <c r="BX614" s="18">
        <f>[1]monsters!$S614</f>
        <v>3.13</v>
      </c>
      <c r="BY614" s="18">
        <f>[1]monsters!$K614</f>
        <v>1.6</v>
      </c>
      <c r="BZ614" s="5">
        <f>[1]monsters!$D614</f>
        <v>2</v>
      </c>
      <c r="CA614" s="5">
        <f t="shared" si="389"/>
        <v>0.1</v>
      </c>
      <c r="CB614" s="5">
        <f t="shared" si="390"/>
        <v>124.26270555555557</v>
      </c>
      <c r="CC614" s="5">
        <f t="shared" si="391"/>
        <v>12.426270555555558</v>
      </c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R614" s="3" t="b">
        <f t="shared" si="408"/>
        <v>1</v>
      </c>
      <c r="CS614" s="3" t="b">
        <f t="shared" si="409"/>
        <v>1</v>
      </c>
      <c r="CT614" s="3" t="b">
        <f t="shared" si="410"/>
        <v>1</v>
      </c>
      <c r="CU614" s="3" t="b">
        <f t="shared" si="411"/>
        <v>1</v>
      </c>
      <c r="CV614" s="3" t="b">
        <f t="shared" si="412"/>
        <v>1</v>
      </c>
      <c r="CW614" s="3" t="b">
        <f t="shared" si="413"/>
        <v>1</v>
      </c>
      <c r="CX614" s="9" t="str">
        <f t="shared" si="414"/>
        <v>5200133</v>
      </c>
      <c r="CY614" s="9" t="str">
        <f t="shared" si="415"/>
        <v>5202135</v>
      </c>
      <c r="CZ614" s="9" t="str">
        <f t="shared" si="416"/>
        <v>5301133</v>
      </c>
      <c r="DA614" s="9" t="str">
        <f t="shared" si="417"/>
        <v>5401133</v>
      </c>
      <c r="DB614" s="9" t="str">
        <f t="shared" si="418"/>
        <v>5501135</v>
      </c>
      <c r="DC614" s="9" t="str">
        <f t="shared" si="419"/>
        <v>5400135</v>
      </c>
      <c r="DD614" s="9">
        <v>13</v>
      </c>
      <c r="DE614" s="9">
        <v>13</v>
      </c>
      <c r="DF614" s="9">
        <v>13</v>
      </c>
      <c r="DG614" s="9">
        <v>13</v>
      </c>
      <c r="DH614" s="9">
        <v>13</v>
      </c>
      <c r="DI614" s="9">
        <v>13</v>
      </c>
      <c r="DJ614" s="9">
        <v>5</v>
      </c>
      <c r="DK614" s="9">
        <v>5</v>
      </c>
      <c r="DL614" s="9">
        <v>5</v>
      </c>
      <c r="DM614" s="9">
        <v>5</v>
      </c>
      <c r="DN614" s="9">
        <v>5</v>
      </c>
      <c r="DO614" s="9">
        <v>5</v>
      </c>
      <c r="DP614" s="25" t="s">
        <v>113</v>
      </c>
      <c r="DQ614" s="25" t="s">
        <v>213</v>
      </c>
      <c r="DR614" s="25" t="s">
        <v>206</v>
      </c>
      <c r="DS614" s="25" t="s">
        <v>211</v>
      </c>
      <c r="DT614" s="25" t="s">
        <v>209</v>
      </c>
      <c r="DU614" s="25" t="s">
        <v>210</v>
      </c>
      <c r="DV614" s="25">
        <f t="shared" si="420"/>
        <v>1</v>
      </c>
      <c r="DW614" s="25">
        <f t="shared" si="421"/>
        <v>1</v>
      </c>
      <c r="DX614" s="25">
        <f t="shared" si="422"/>
        <v>1</v>
      </c>
      <c r="DY614" s="25">
        <f t="shared" si="423"/>
        <v>2</v>
      </c>
      <c r="DZ614" s="25">
        <f t="shared" si="424"/>
        <v>2</v>
      </c>
      <c r="EA614" s="25">
        <f t="shared" si="425"/>
        <v>2</v>
      </c>
      <c r="EB614" s="49"/>
    </row>
    <row r="615" spans="1:132" ht="13.5" customHeight="1">
      <c r="A615" s="9">
        <v>612</v>
      </c>
      <c r="B615" s="9">
        <v>1</v>
      </c>
      <c r="C615" s="9">
        <v>2001</v>
      </c>
      <c r="D615" s="9">
        <f t="shared" si="398"/>
        <v>32513302</v>
      </c>
      <c r="E615" s="9" t="str">
        <f t="shared" si="399"/>
        <v>5201133,5200133,5301131,5501134,5500133,5501134</v>
      </c>
      <c r="F615" s="9" t="str">
        <f t="shared" si="400"/>
        <v>13,13,13,13,13,13</v>
      </c>
      <c r="G615" s="9" t="str">
        <f t="shared" si="401"/>
        <v>1322,1429,1429,1429,1429,1429</v>
      </c>
      <c r="H615" s="9">
        <v>284</v>
      </c>
      <c r="I615" s="9" t="s">
        <v>278</v>
      </c>
      <c r="J615" s="9" t="s">
        <v>279</v>
      </c>
      <c r="K615" s="9" t="s">
        <v>279</v>
      </c>
      <c r="L615" s="9" t="s">
        <v>279</v>
      </c>
      <c r="M615" s="36" t="s">
        <v>317</v>
      </c>
      <c r="O615" s="3">
        <f t="shared" si="362"/>
        <v>32513302</v>
      </c>
      <c r="P615" s="9">
        <v>24631289.670000002</v>
      </c>
      <c r="Q615" s="9">
        <v>5201133</v>
      </c>
      <c r="R615" s="9">
        <v>5200133</v>
      </c>
      <c r="S615" s="9">
        <v>5301131</v>
      </c>
      <c r="T615" s="9">
        <v>5501134</v>
      </c>
      <c r="U615" s="9">
        <v>5500133</v>
      </c>
      <c r="V615" s="9">
        <v>5501134</v>
      </c>
      <c r="W615" s="9">
        <v>13</v>
      </c>
      <c r="X615" s="9">
        <v>13</v>
      </c>
      <c r="Y615" s="9">
        <v>13</v>
      </c>
      <c r="Z615" s="9">
        <v>13</v>
      </c>
      <c r="AA615" s="9">
        <v>13</v>
      </c>
      <c r="AB615" s="9">
        <v>13</v>
      </c>
      <c r="AC615" s="9">
        <f t="shared" si="402"/>
        <v>1322</v>
      </c>
      <c r="AD615" s="9">
        <f t="shared" si="403"/>
        <v>1429</v>
      </c>
      <c r="AE615" s="9">
        <f t="shared" si="404"/>
        <v>1429</v>
      </c>
      <c r="AF615" s="9">
        <f t="shared" si="405"/>
        <v>1429</v>
      </c>
      <c r="AG615" s="9">
        <f t="shared" si="406"/>
        <v>1429</v>
      </c>
      <c r="AH615" s="9">
        <f t="shared" si="407"/>
        <v>1429</v>
      </c>
      <c r="AI615" s="7">
        <f t="shared" si="426"/>
        <v>4105214.9450000003</v>
      </c>
      <c r="AJ615" s="7">
        <f t="shared" si="426"/>
        <v>4105214.9450000003</v>
      </c>
      <c r="AK615" s="7">
        <f t="shared" si="426"/>
        <v>4105214.9450000003</v>
      </c>
      <c r="AL615" s="7">
        <f t="shared" si="426"/>
        <v>4105214.9450000003</v>
      </c>
      <c r="AM615" s="7">
        <f t="shared" si="426"/>
        <v>4105214.9450000003</v>
      </c>
      <c r="AN615" s="7">
        <f t="shared" si="426"/>
        <v>4105214.9450000003</v>
      </c>
      <c r="BR615" s="5">
        <v>4203044</v>
      </c>
      <c r="BS615" s="18">
        <f>[1]monsters!$N615</f>
        <v>93.87</v>
      </c>
      <c r="BT615" s="18">
        <f>[1]monsters!$O615</f>
        <v>9.39</v>
      </c>
      <c r="BU615" s="18">
        <f>[1]monsters!$P615</f>
        <v>1056</v>
      </c>
      <c r="BV615" s="18">
        <f>[1]monsters!$Q615</f>
        <v>105.6</v>
      </c>
      <c r="BW615" s="18">
        <f>[1]monsters!$R615</f>
        <v>31.29</v>
      </c>
      <c r="BX615" s="18">
        <f>[1]monsters!$S615</f>
        <v>3.13</v>
      </c>
      <c r="BY615" s="18">
        <f>[1]monsters!$K615</f>
        <v>1.6</v>
      </c>
      <c r="BZ615" s="5">
        <f>[1]monsters!$D615</f>
        <v>2</v>
      </c>
      <c r="CA615" s="5">
        <f t="shared" si="389"/>
        <v>0.1</v>
      </c>
      <c r="CB615" s="5">
        <f t="shared" si="390"/>
        <v>124.26270555555557</v>
      </c>
      <c r="CC615" s="5">
        <f t="shared" si="391"/>
        <v>12.426270555555558</v>
      </c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R615" s="3" t="b">
        <f t="shared" si="408"/>
        <v>1</v>
      </c>
      <c r="CS615" s="3" t="b">
        <f t="shared" si="409"/>
        <v>1</v>
      </c>
      <c r="CT615" s="3" t="b">
        <f t="shared" si="410"/>
        <v>1</v>
      </c>
      <c r="CU615" s="3" t="b">
        <f t="shared" si="411"/>
        <v>1</v>
      </c>
      <c r="CV615" s="3" t="b">
        <f t="shared" si="412"/>
        <v>1</v>
      </c>
      <c r="CW615" s="3" t="b">
        <f t="shared" si="413"/>
        <v>1</v>
      </c>
      <c r="CX615" s="9" t="str">
        <f t="shared" si="414"/>
        <v>5201133</v>
      </c>
      <c r="CY615" s="9" t="str">
        <f t="shared" si="415"/>
        <v>5200133</v>
      </c>
      <c r="CZ615" s="9" t="str">
        <f t="shared" si="416"/>
        <v>5301131</v>
      </c>
      <c r="DA615" s="9" t="str">
        <f t="shared" si="417"/>
        <v>5501134</v>
      </c>
      <c r="DB615" s="9" t="str">
        <f t="shared" si="418"/>
        <v>5500133</v>
      </c>
      <c r="DC615" s="9" t="str">
        <f t="shared" si="419"/>
        <v>5501134</v>
      </c>
      <c r="DD615" s="9">
        <v>13</v>
      </c>
      <c r="DE615" s="9">
        <v>13</v>
      </c>
      <c r="DF615" s="9">
        <v>13</v>
      </c>
      <c r="DG615" s="9">
        <v>13</v>
      </c>
      <c r="DH615" s="9">
        <v>13</v>
      </c>
      <c r="DI615" s="9">
        <v>13</v>
      </c>
      <c r="DJ615" s="9">
        <v>5</v>
      </c>
      <c r="DK615" s="9">
        <v>5</v>
      </c>
      <c r="DL615" s="9">
        <v>5</v>
      </c>
      <c r="DM615" s="9">
        <v>5</v>
      </c>
      <c r="DN615" s="9">
        <v>5</v>
      </c>
      <c r="DO615" s="9">
        <v>5</v>
      </c>
      <c r="DP615" s="25" t="s">
        <v>205</v>
      </c>
      <c r="DQ615" s="25" t="s">
        <v>113</v>
      </c>
      <c r="DR615" s="25" t="s">
        <v>107</v>
      </c>
      <c r="DS615" s="25" t="s">
        <v>214</v>
      </c>
      <c r="DT615" s="25" t="s">
        <v>207</v>
      </c>
      <c r="DU615" s="25" t="s">
        <v>214</v>
      </c>
      <c r="DV615" s="25">
        <f t="shared" si="420"/>
        <v>1</v>
      </c>
      <c r="DW615" s="25">
        <f t="shared" si="421"/>
        <v>1</v>
      </c>
      <c r="DX615" s="25">
        <f t="shared" si="422"/>
        <v>1</v>
      </c>
      <c r="DY615" s="25">
        <f t="shared" si="423"/>
        <v>2</v>
      </c>
      <c r="DZ615" s="25">
        <f t="shared" si="424"/>
        <v>2</v>
      </c>
      <c r="EA615" s="25">
        <f t="shared" si="425"/>
        <v>2</v>
      </c>
      <c r="EB615" s="38"/>
    </row>
    <row r="616" spans="1:132" ht="13.5" customHeight="1">
      <c r="A616" s="9">
        <v>613</v>
      </c>
      <c r="B616" s="9">
        <v>1</v>
      </c>
      <c r="C616" s="9">
        <v>2001</v>
      </c>
      <c r="D616" s="9">
        <f t="shared" si="398"/>
        <v>32601237</v>
      </c>
      <c r="E616" s="9" t="str">
        <f t="shared" si="399"/>
        <v>5200131,5301132,5201131,5401131,5401133,5400135</v>
      </c>
      <c r="F616" s="9" t="str">
        <f t="shared" si="400"/>
        <v>13,13,13,13,13,13</v>
      </c>
      <c r="G616" s="9" t="str">
        <f t="shared" si="401"/>
        <v>1324,1431,1431,1431,1431,1431</v>
      </c>
      <c r="H616" s="9">
        <v>285</v>
      </c>
      <c r="I616" s="9" t="s">
        <v>278</v>
      </c>
      <c r="J616" s="9" t="s">
        <v>279</v>
      </c>
      <c r="K616" s="9" t="s">
        <v>279</v>
      </c>
      <c r="L616" s="9" t="s">
        <v>279</v>
      </c>
      <c r="M616" s="36" t="s">
        <v>317</v>
      </c>
      <c r="O616" s="3">
        <f t="shared" si="362"/>
        <v>32601237</v>
      </c>
      <c r="P616" s="9">
        <v>24697906.59</v>
      </c>
      <c r="Q616" s="9">
        <v>5200131</v>
      </c>
      <c r="R616" s="9">
        <v>5301132</v>
      </c>
      <c r="S616" s="9">
        <v>5201131</v>
      </c>
      <c r="T616" s="9">
        <v>5401131</v>
      </c>
      <c r="U616" s="9">
        <v>5401133</v>
      </c>
      <c r="V616" s="9">
        <v>5400135</v>
      </c>
      <c r="W616" s="9">
        <v>13</v>
      </c>
      <c r="X616" s="9">
        <v>13</v>
      </c>
      <c r="Y616" s="9">
        <v>13</v>
      </c>
      <c r="Z616" s="9">
        <v>13</v>
      </c>
      <c r="AA616" s="9">
        <v>13</v>
      </c>
      <c r="AB616" s="9">
        <v>13</v>
      </c>
      <c r="AC616" s="9">
        <f t="shared" si="402"/>
        <v>1324</v>
      </c>
      <c r="AD616" s="9">
        <f t="shared" si="403"/>
        <v>1431</v>
      </c>
      <c r="AE616" s="9">
        <f t="shared" si="404"/>
        <v>1431</v>
      </c>
      <c r="AF616" s="9">
        <f t="shared" si="405"/>
        <v>1431</v>
      </c>
      <c r="AG616" s="9">
        <f t="shared" si="406"/>
        <v>1431</v>
      </c>
      <c r="AH616" s="9">
        <f t="shared" si="407"/>
        <v>1431</v>
      </c>
      <c r="AI616" s="7">
        <f t="shared" si="426"/>
        <v>4116317.7650000001</v>
      </c>
      <c r="AJ616" s="7">
        <f t="shared" si="426"/>
        <v>4116317.7650000001</v>
      </c>
      <c r="AK616" s="7">
        <f t="shared" si="426"/>
        <v>4116317.7650000001</v>
      </c>
      <c r="AL616" s="7">
        <f t="shared" si="426"/>
        <v>4116317.7650000001</v>
      </c>
      <c r="AM616" s="7">
        <f t="shared" si="426"/>
        <v>4116317.7650000001</v>
      </c>
      <c r="AN616" s="7">
        <f t="shared" si="426"/>
        <v>4116317.7650000001</v>
      </c>
      <c r="BR616" s="5">
        <v>4403044</v>
      </c>
      <c r="BS616" s="18">
        <f>[1]monsters!$N616</f>
        <v>93.87</v>
      </c>
      <c r="BT616" s="18">
        <f>[1]monsters!$O616</f>
        <v>9.39</v>
      </c>
      <c r="BU616" s="18">
        <f>[1]monsters!$P616</f>
        <v>1056</v>
      </c>
      <c r="BV616" s="18">
        <f>[1]monsters!$Q616</f>
        <v>105.6</v>
      </c>
      <c r="BW616" s="18">
        <f>[1]monsters!$R616</f>
        <v>31.29</v>
      </c>
      <c r="BX616" s="18">
        <f>[1]monsters!$S616</f>
        <v>3.13</v>
      </c>
      <c r="BY616" s="18">
        <f>[1]monsters!$K616</f>
        <v>1.6</v>
      </c>
      <c r="BZ616" s="5">
        <f>[1]monsters!$D616</f>
        <v>2</v>
      </c>
      <c r="CA616" s="5">
        <f t="shared" si="389"/>
        <v>0.1</v>
      </c>
      <c r="CB616" s="5">
        <f t="shared" si="390"/>
        <v>124.26270555555557</v>
      </c>
      <c r="CC616" s="5">
        <f t="shared" si="391"/>
        <v>12.426270555555558</v>
      </c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R616" s="3" t="b">
        <f t="shared" si="408"/>
        <v>1</v>
      </c>
      <c r="CS616" s="3" t="b">
        <f t="shared" si="409"/>
        <v>1</v>
      </c>
      <c r="CT616" s="3" t="b">
        <f t="shared" si="410"/>
        <v>1</v>
      </c>
      <c r="CU616" s="3" t="b">
        <f t="shared" si="411"/>
        <v>1</v>
      </c>
      <c r="CV616" s="3" t="b">
        <f t="shared" si="412"/>
        <v>1</v>
      </c>
      <c r="CW616" s="3" t="b">
        <f t="shared" si="413"/>
        <v>1</v>
      </c>
      <c r="CX616" s="9" t="str">
        <f t="shared" si="414"/>
        <v>5200131</v>
      </c>
      <c r="CY616" s="9" t="str">
        <f t="shared" si="415"/>
        <v>5301132</v>
      </c>
      <c r="CZ616" s="9" t="str">
        <f t="shared" si="416"/>
        <v>5201131</v>
      </c>
      <c r="DA616" s="9" t="str">
        <f t="shared" si="417"/>
        <v>5401131</v>
      </c>
      <c r="DB616" s="9" t="str">
        <f t="shared" si="418"/>
        <v>5401133</v>
      </c>
      <c r="DC616" s="9" t="str">
        <f t="shared" si="419"/>
        <v>5400135</v>
      </c>
      <c r="DD616" s="9">
        <v>13</v>
      </c>
      <c r="DE616" s="9">
        <v>13</v>
      </c>
      <c r="DF616" s="9">
        <v>13</v>
      </c>
      <c r="DG616" s="9">
        <v>13</v>
      </c>
      <c r="DH616" s="9">
        <v>13</v>
      </c>
      <c r="DI616" s="9">
        <v>13</v>
      </c>
      <c r="DJ616" s="9">
        <v>5</v>
      </c>
      <c r="DK616" s="9">
        <v>5</v>
      </c>
      <c r="DL616" s="9">
        <v>5</v>
      </c>
      <c r="DM616" s="9">
        <v>5</v>
      </c>
      <c r="DN616" s="9">
        <v>5</v>
      </c>
      <c r="DO616" s="9">
        <v>5</v>
      </c>
      <c r="DP616" s="25" t="s">
        <v>194</v>
      </c>
      <c r="DQ616" s="25" t="s">
        <v>201</v>
      </c>
      <c r="DR616" s="25" t="s">
        <v>195</v>
      </c>
      <c r="DS616" s="25" t="s">
        <v>117</v>
      </c>
      <c r="DT616" s="25" t="s">
        <v>211</v>
      </c>
      <c r="DU616" s="25" t="s">
        <v>210</v>
      </c>
      <c r="DV616" s="25">
        <f t="shared" si="420"/>
        <v>1</v>
      </c>
      <c r="DW616" s="25">
        <f t="shared" si="421"/>
        <v>1</v>
      </c>
      <c r="DX616" s="25">
        <f t="shared" si="422"/>
        <v>1</v>
      </c>
      <c r="DY616" s="25">
        <f t="shared" si="423"/>
        <v>2</v>
      </c>
      <c r="DZ616" s="25">
        <f t="shared" si="424"/>
        <v>2</v>
      </c>
      <c r="EA616" s="25">
        <f t="shared" si="425"/>
        <v>2</v>
      </c>
      <c r="EB616" s="38"/>
    </row>
    <row r="617" spans="1:132" ht="13.5" customHeight="1">
      <c r="A617" s="9">
        <v>614</v>
      </c>
      <c r="B617" s="9">
        <v>1</v>
      </c>
      <c r="C617" s="9">
        <v>2001</v>
      </c>
      <c r="D617" s="9">
        <f t="shared" si="398"/>
        <v>32689291</v>
      </c>
      <c r="E617" s="9" t="str">
        <f t="shared" si="399"/>
        <v>5201132,5201132,5201132,5502132,5502132,5502132</v>
      </c>
      <c r="F617" s="9" t="str">
        <f t="shared" si="400"/>
        <v>13,13,13,13,13,13</v>
      </c>
      <c r="G617" s="9" t="str">
        <f t="shared" si="401"/>
        <v>1326,1433,1433,1433,1433,1433</v>
      </c>
      <c r="H617" s="9">
        <v>285</v>
      </c>
      <c r="I617" s="9" t="s">
        <v>278</v>
      </c>
      <c r="J617" s="9" t="s">
        <v>279</v>
      </c>
      <c r="K617" s="9" t="s">
        <v>279</v>
      </c>
      <c r="L617" s="9" t="s">
        <v>279</v>
      </c>
      <c r="M617" s="36" t="s">
        <v>317</v>
      </c>
      <c r="O617" s="3">
        <f t="shared" si="362"/>
        <v>32689291</v>
      </c>
      <c r="P617" s="9">
        <v>24764614.239999998</v>
      </c>
      <c r="Q617" s="9">
        <v>5201132</v>
      </c>
      <c r="R617" s="9">
        <v>5201132</v>
      </c>
      <c r="S617" s="9">
        <v>5201132</v>
      </c>
      <c r="T617" s="9">
        <v>5502132</v>
      </c>
      <c r="U617" s="9">
        <v>5502132</v>
      </c>
      <c r="V617" s="9">
        <v>5502132</v>
      </c>
      <c r="W617" s="9">
        <v>13</v>
      </c>
      <c r="X617" s="9">
        <v>13</v>
      </c>
      <c r="Y617" s="9">
        <v>13</v>
      </c>
      <c r="Z617" s="9">
        <v>13</v>
      </c>
      <c r="AA617" s="9">
        <v>13</v>
      </c>
      <c r="AB617" s="9">
        <v>13</v>
      </c>
      <c r="AC617" s="9">
        <f t="shared" si="402"/>
        <v>1326</v>
      </c>
      <c r="AD617" s="9">
        <f t="shared" si="403"/>
        <v>1433</v>
      </c>
      <c r="AE617" s="9">
        <f t="shared" si="404"/>
        <v>1433</v>
      </c>
      <c r="AF617" s="9">
        <f t="shared" si="405"/>
        <v>1433</v>
      </c>
      <c r="AG617" s="9">
        <f t="shared" si="406"/>
        <v>1433</v>
      </c>
      <c r="AH617" s="9">
        <f t="shared" si="407"/>
        <v>1433</v>
      </c>
      <c r="AI617" s="7">
        <f t="shared" si="426"/>
        <v>4127435.7066666665</v>
      </c>
      <c r="AJ617" s="7">
        <f t="shared" si="426"/>
        <v>4127435.7066666665</v>
      </c>
      <c r="AK617" s="7">
        <f t="shared" si="426"/>
        <v>4127435.7066666665</v>
      </c>
      <c r="AL617" s="7">
        <f t="shared" si="426"/>
        <v>4127435.7066666665</v>
      </c>
      <c r="AM617" s="7">
        <f t="shared" si="426"/>
        <v>4127435.7066666665</v>
      </c>
      <c r="AN617" s="7">
        <f t="shared" si="426"/>
        <v>4127435.7066666665</v>
      </c>
      <c r="BR617" s="5">
        <v>4204044</v>
      </c>
      <c r="BS617" s="18">
        <f>[1]monsters!$N617</f>
        <v>102.4</v>
      </c>
      <c r="BT617" s="18">
        <f>[1]monsters!$O617</f>
        <v>10.24</v>
      </c>
      <c r="BU617" s="18">
        <f>[1]monsters!$P617</f>
        <v>1152</v>
      </c>
      <c r="BV617" s="18">
        <f>[1]monsters!$Q617</f>
        <v>115.2</v>
      </c>
      <c r="BW617" s="18">
        <f>[1]monsters!$R617</f>
        <v>34.130000000000003</v>
      </c>
      <c r="BX617" s="18">
        <f>[1]monsters!$S617</f>
        <v>3.41</v>
      </c>
      <c r="BY617" s="18">
        <f>[1]monsters!$K617</f>
        <v>1.6</v>
      </c>
      <c r="BZ617" s="5">
        <f>[1]monsters!$D617</f>
        <v>2</v>
      </c>
      <c r="CA617" s="5">
        <f t="shared" si="389"/>
        <v>0.1</v>
      </c>
      <c r="CB617" s="5">
        <f t="shared" si="390"/>
        <v>135.55587878787878</v>
      </c>
      <c r="CC617" s="5">
        <f t="shared" si="391"/>
        <v>13.555587878787879</v>
      </c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R617" s="3" t="b">
        <f t="shared" si="408"/>
        <v>1</v>
      </c>
      <c r="CS617" s="3" t="b">
        <f t="shared" si="409"/>
        <v>1</v>
      </c>
      <c r="CT617" s="3" t="b">
        <f t="shared" si="410"/>
        <v>1</v>
      </c>
      <c r="CU617" s="3" t="b">
        <f t="shared" si="411"/>
        <v>1</v>
      </c>
      <c r="CV617" s="3" t="b">
        <f t="shared" si="412"/>
        <v>1</v>
      </c>
      <c r="CW617" s="3" t="b">
        <f t="shared" si="413"/>
        <v>1</v>
      </c>
      <c r="CX617" s="9" t="str">
        <f t="shared" si="414"/>
        <v>5201132</v>
      </c>
      <c r="CY617" s="9" t="str">
        <f t="shared" si="415"/>
        <v>5201132</v>
      </c>
      <c r="CZ617" s="9" t="str">
        <f t="shared" si="416"/>
        <v>5201132</v>
      </c>
      <c r="DA617" s="9" t="str">
        <f t="shared" si="417"/>
        <v>5502132</v>
      </c>
      <c r="DB617" s="9" t="str">
        <f t="shared" si="418"/>
        <v>5502132</v>
      </c>
      <c r="DC617" s="9" t="str">
        <f t="shared" si="419"/>
        <v>5502132</v>
      </c>
      <c r="DD617" s="9">
        <v>13</v>
      </c>
      <c r="DE617" s="9">
        <v>13</v>
      </c>
      <c r="DF617" s="9">
        <v>13</v>
      </c>
      <c r="DG617" s="9">
        <v>13</v>
      </c>
      <c r="DH617" s="9">
        <v>13</v>
      </c>
      <c r="DI617" s="9">
        <v>13</v>
      </c>
      <c r="DJ617" s="9">
        <v>5</v>
      </c>
      <c r="DK617" s="9">
        <v>5</v>
      </c>
      <c r="DL617" s="9">
        <v>5</v>
      </c>
      <c r="DM617" s="9">
        <v>5</v>
      </c>
      <c r="DN617" s="9">
        <v>5</v>
      </c>
      <c r="DO617" s="9">
        <v>5</v>
      </c>
      <c r="DP617" s="25" t="s">
        <v>114</v>
      </c>
      <c r="DQ617" s="25" t="s">
        <v>114</v>
      </c>
      <c r="DR617" s="25" t="s">
        <v>114</v>
      </c>
      <c r="DS617" s="25" t="s">
        <v>204</v>
      </c>
      <c r="DT617" s="25" t="s">
        <v>204</v>
      </c>
      <c r="DU617" s="25" t="s">
        <v>204</v>
      </c>
      <c r="DV617" s="25">
        <f t="shared" si="420"/>
        <v>1</v>
      </c>
      <c r="DW617" s="25">
        <f t="shared" si="421"/>
        <v>1</v>
      </c>
      <c r="DX617" s="25">
        <f t="shared" si="422"/>
        <v>1</v>
      </c>
      <c r="DY617" s="25">
        <f t="shared" si="423"/>
        <v>2</v>
      </c>
      <c r="DZ617" s="25">
        <f t="shared" si="424"/>
        <v>2</v>
      </c>
      <c r="EA617" s="25">
        <f t="shared" si="425"/>
        <v>2</v>
      </c>
      <c r="EB617" s="38"/>
    </row>
    <row r="618" spans="1:132" ht="13.5" customHeight="1">
      <c r="A618" s="9">
        <v>615</v>
      </c>
      <c r="B618" s="9">
        <v>1</v>
      </c>
      <c r="C618" s="9">
        <v>2001</v>
      </c>
      <c r="D618" s="9">
        <f t="shared" si="398"/>
        <v>32777462</v>
      </c>
      <c r="E618" s="9" t="str">
        <f t="shared" si="399"/>
        <v>5202133,5201133,5302134,5501134,5400135,5500132</v>
      </c>
      <c r="F618" s="9" t="str">
        <f t="shared" si="400"/>
        <v>13,13,13,13,13,13</v>
      </c>
      <c r="G618" s="9" t="str">
        <f t="shared" si="401"/>
        <v>1327,1435,1435,1435,1435,1435</v>
      </c>
      <c r="H618" s="9">
        <v>286</v>
      </c>
      <c r="I618" s="9" t="s">
        <v>278</v>
      </c>
      <c r="J618" s="9" t="s">
        <v>279</v>
      </c>
      <c r="K618" s="9" t="s">
        <v>279</v>
      </c>
      <c r="L618" s="9" t="s">
        <v>279</v>
      </c>
      <c r="M618" s="36" t="s">
        <v>317</v>
      </c>
      <c r="O618" s="3">
        <f t="shared" si="362"/>
        <v>32777462</v>
      </c>
      <c r="P618" s="9">
        <v>24831410.510000002</v>
      </c>
      <c r="Q618" s="9">
        <v>5202133</v>
      </c>
      <c r="R618" s="9">
        <v>5201133</v>
      </c>
      <c r="S618" s="9">
        <v>5302134</v>
      </c>
      <c r="T618" s="9">
        <v>5501134</v>
      </c>
      <c r="U618" s="9">
        <v>5400135</v>
      </c>
      <c r="V618" s="9">
        <v>5500132</v>
      </c>
      <c r="W618" s="9">
        <v>13</v>
      </c>
      <c r="X618" s="9">
        <v>13</v>
      </c>
      <c r="Y618" s="9">
        <v>13</v>
      </c>
      <c r="Z618" s="9">
        <v>13</v>
      </c>
      <c r="AA618" s="9">
        <v>13</v>
      </c>
      <c r="AB618" s="9">
        <v>13</v>
      </c>
      <c r="AC618" s="9">
        <f t="shared" si="402"/>
        <v>1327</v>
      </c>
      <c r="AD618" s="9">
        <f t="shared" si="403"/>
        <v>1435</v>
      </c>
      <c r="AE618" s="9">
        <f t="shared" si="404"/>
        <v>1435</v>
      </c>
      <c r="AF618" s="9">
        <f t="shared" si="405"/>
        <v>1435</v>
      </c>
      <c r="AG618" s="9">
        <f t="shared" si="406"/>
        <v>1435</v>
      </c>
      <c r="AH618" s="9">
        <f t="shared" si="407"/>
        <v>1435</v>
      </c>
      <c r="AI618" s="7">
        <f t="shared" si="426"/>
        <v>4138568.4183333335</v>
      </c>
      <c r="AJ618" s="7">
        <f t="shared" si="426"/>
        <v>4138568.4183333335</v>
      </c>
      <c r="AK618" s="7">
        <f t="shared" si="426"/>
        <v>4138568.4183333335</v>
      </c>
      <c r="AL618" s="7">
        <f t="shared" si="426"/>
        <v>4138568.4183333335</v>
      </c>
      <c r="AM618" s="7">
        <f t="shared" si="426"/>
        <v>4138568.4183333335</v>
      </c>
      <c r="AN618" s="7">
        <f t="shared" si="426"/>
        <v>4138568.4183333335</v>
      </c>
      <c r="BR618" s="5">
        <v>4404044</v>
      </c>
      <c r="BS618" s="18">
        <f>[1]monsters!$N618</f>
        <v>102.4</v>
      </c>
      <c r="BT618" s="18">
        <f>[1]monsters!$O618</f>
        <v>10.24</v>
      </c>
      <c r="BU618" s="18">
        <f>[1]monsters!$P618</f>
        <v>1152</v>
      </c>
      <c r="BV618" s="18">
        <f>[1]monsters!$Q618</f>
        <v>115.2</v>
      </c>
      <c r="BW618" s="18">
        <f>[1]monsters!$R618</f>
        <v>34.130000000000003</v>
      </c>
      <c r="BX618" s="18">
        <f>[1]monsters!$S618</f>
        <v>3.41</v>
      </c>
      <c r="BY618" s="18">
        <f>[1]monsters!$K618</f>
        <v>1.6</v>
      </c>
      <c r="BZ618" s="5">
        <f>[1]monsters!$D618</f>
        <v>2</v>
      </c>
      <c r="CA618" s="5">
        <f t="shared" si="389"/>
        <v>0.1</v>
      </c>
      <c r="CB618" s="5">
        <f t="shared" si="390"/>
        <v>135.55587878787878</v>
      </c>
      <c r="CC618" s="5">
        <f t="shared" si="391"/>
        <v>13.555587878787879</v>
      </c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R618" s="3" t="b">
        <f t="shared" si="408"/>
        <v>1</v>
      </c>
      <c r="CS618" s="3" t="b">
        <f t="shared" si="409"/>
        <v>1</v>
      </c>
      <c r="CT618" s="3" t="b">
        <f t="shared" si="410"/>
        <v>1</v>
      </c>
      <c r="CU618" s="3" t="b">
        <f t="shared" si="411"/>
        <v>1</v>
      </c>
      <c r="CV618" s="3" t="b">
        <f t="shared" si="412"/>
        <v>1</v>
      </c>
      <c r="CW618" s="3" t="b">
        <f t="shared" si="413"/>
        <v>1</v>
      </c>
      <c r="CX618" s="9" t="str">
        <f t="shared" si="414"/>
        <v>5202133</v>
      </c>
      <c r="CY618" s="9" t="str">
        <f t="shared" si="415"/>
        <v>5201133</v>
      </c>
      <c r="CZ618" s="9" t="str">
        <f t="shared" si="416"/>
        <v>5302134</v>
      </c>
      <c r="DA618" s="9" t="str">
        <f t="shared" si="417"/>
        <v>5501134</v>
      </c>
      <c r="DB618" s="9" t="str">
        <f t="shared" si="418"/>
        <v>5400135</v>
      </c>
      <c r="DC618" s="9" t="str">
        <f t="shared" si="419"/>
        <v>5500132</v>
      </c>
      <c r="DD618" s="9">
        <v>13</v>
      </c>
      <c r="DE618" s="9">
        <v>13</v>
      </c>
      <c r="DF618" s="9">
        <v>13</v>
      </c>
      <c r="DG618" s="9">
        <v>13</v>
      </c>
      <c r="DH618" s="9">
        <v>13</v>
      </c>
      <c r="DI618" s="9">
        <v>13</v>
      </c>
      <c r="DJ618" s="9">
        <v>5</v>
      </c>
      <c r="DK618" s="9">
        <v>5</v>
      </c>
      <c r="DL618" s="9">
        <v>5</v>
      </c>
      <c r="DM618" s="9">
        <v>5</v>
      </c>
      <c r="DN618" s="9">
        <v>5</v>
      </c>
      <c r="DO618" s="9">
        <v>5</v>
      </c>
      <c r="DP618" s="25" t="s">
        <v>208</v>
      </c>
      <c r="DQ618" s="25" t="s">
        <v>205</v>
      </c>
      <c r="DR618" s="25" t="s">
        <v>218</v>
      </c>
      <c r="DS618" s="25" t="s">
        <v>214</v>
      </c>
      <c r="DT618" s="25" t="s">
        <v>210</v>
      </c>
      <c r="DU618" s="25" t="s">
        <v>109</v>
      </c>
      <c r="DV618" s="25">
        <f t="shared" si="420"/>
        <v>1</v>
      </c>
      <c r="DW618" s="25">
        <f t="shared" si="421"/>
        <v>1</v>
      </c>
      <c r="DX618" s="25">
        <f t="shared" si="422"/>
        <v>1</v>
      </c>
      <c r="DY618" s="25">
        <f t="shared" si="423"/>
        <v>2</v>
      </c>
      <c r="DZ618" s="25">
        <f t="shared" si="424"/>
        <v>2</v>
      </c>
      <c r="EA618" s="25">
        <f t="shared" si="425"/>
        <v>2</v>
      </c>
      <c r="EB618" s="49"/>
    </row>
    <row r="619" spans="1:132" ht="13.5" customHeight="1">
      <c r="A619" s="9">
        <v>616</v>
      </c>
      <c r="B619" s="9">
        <v>1</v>
      </c>
      <c r="C619" s="9">
        <v>2001</v>
      </c>
      <c r="D619" s="9">
        <f t="shared" si="398"/>
        <v>32865755</v>
      </c>
      <c r="E619" s="9" t="str">
        <f t="shared" si="399"/>
        <v>5201133,5202135,5200131,5501134,5402132,5501135</v>
      </c>
      <c r="F619" s="9" t="str">
        <f t="shared" si="400"/>
        <v>13,13,13,13,13,13</v>
      </c>
      <c r="G619" s="9" t="str">
        <f t="shared" si="401"/>
        <v>1329,1437,1437,1437,1437,1437</v>
      </c>
      <c r="H619" s="9">
        <v>286</v>
      </c>
      <c r="I619" s="9" t="s">
        <v>278</v>
      </c>
      <c r="J619" s="9" t="s">
        <v>279</v>
      </c>
      <c r="K619" s="9" t="s">
        <v>279</v>
      </c>
      <c r="L619" s="9" t="s">
        <v>279</v>
      </c>
      <c r="M619" s="36" t="s">
        <v>317</v>
      </c>
      <c r="O619" s="3">
        <f t="shared" si="362"/>
        <v>32865755</v>
      </c>
      <c r="P619" s="9">
        <v>24898299.620000001</v>
      </c>
      <c r="Q619" s="9">
        <v>5201133</v>
      </c>
      <c r="R619" s="9">
        <v>5202135</v>
      </c>
      <c r="S619" s="9">
        <v>5200131</v>
      </c>
      <c r="T619" s="9">
        <v>5501134</v>
      </c>
      <c r="U619" s="9">
        <v>5402132</v>
      </c>
      <c r="V619" s="9">
        <v>5501135</v>
      </c>
      <c r="W619" s="9">
        <v>13</v>
      </c>
      <c r="X619" s="9">
        <v>13</v>
      </c>
      <c r="Y619" s="9">
        <v>13</v>
      </c>
      <c r="Z619" s="9">
        <v>13</v>
      </c>
      <c r="AA619" s="9">
        <v>13</v>
      </c>
      <c r="AB619" s="9">
        <v>13</v>
      </c>
      <c r="AC619" s="9">
        <f t="shared" si="402"/>
        <v>1329</v>
      </c>
      <c r="AD619" s="9">
        <f t="shared" si="403"/>
        <v>1437</v>
      </c>
      <c r="AE619" s="9">
        <f t="shared" si="404"/>
        <v>1437</v>
      </c>
      <c r="AF619" s="9">
        <f t="shared" si="405"/>
        <v>1437</v>
      </c>
      <c r="AG619" s="9">
        <f t="shared" si="406"/>
        <v>1437</v>
      </c>
      <c r="AH619" s="9">
        <f t="shared" si="407"/>
        <v>1437</v>
      </c>
      <c r="AI619" s="7">
        <f t="shared" si="426"/>
        <v>4149716.6033333335</v>
      </c>
      <c r="AJ619" s="7">
        <f t="shared" si="426"/>
        <v>4149716.6033333335</v>
      </c>
      <c r="AK619" s="7">
        <f t="shared" si="426"/>
        <v>4149716.6033333335</v>
      </c>
      <c r="AL619" s="7">
        <f t="shared" si="426"/>
        <v>4149716.6033333335</v>
      </c>
      <c r="AM619" s="7">
        <f t="shared" si="426"/>
        <v>4149716.6033333335</v>
      </c>
      <c r="AN619" s="7">
        <f t="shared" si="426"/>
        <v>4149716.6033333335</v>
      </c>
      <c r="BR619" s="5">
        <v>4303044</v>
      </c>
      <c r="BS619" s="18">
        <f>[1]monsters!$N619</f>
        <v>102.4</v>
      </c>
      <c r="BT619" s="18">
        <f>[1]monsters!$O619</f>
        <v>10.24</v>
      </c>
      <c r="BU619" s="18">
        <f>[1]monsters!$P619</f>
        <v>1152</v>
      </c>
      <c r="BV619" s="18">
        <f>[1]monsters!$Q619</f>
        <v>115.2</v>
      </c>
      <c r="BW619" s="18">
        <f>[1]monsters!$R619</f>
        <v>34.130000000000003</v>
      </c>
      <c r="BX619" s="18">
        <f>[1]monsters!$S619</f>
        <v>3.41</v>
      </c>
      <c r="BY619" s="18">
        <f>[1]monsters!$K619</f>
        <v>1.6</v>
      </c>
      <c r="BZ619" s="5">
        <f>[1]monsters!$D619</f>
        <v>2</v>
      </c>
      <c r="CA619" s="5">
        <f t="shared" si="389"/>
        <v>0.1</v>
      </c>
      <c r="CB619" s="5">
        <f t="shared" si="390"/>
        <v>135.55587878787878</v>
      </c>
      <c r="CC619" s="5">
        <f t="shared" si="391"/>
        <v>13.555587878787879</v>
      </c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R619" s="3" t="b">
        <f t="shared" si="408"/>
        <v>1</v>
      </c>
      <c r="CS619" s="3" t="b">
        <f t="shared" si="409"/>
        <v>1</v>
      </c>
      <c r="CT619" s="3" t="b">
        <f t="shared" si="410"/>
        <v>1</v>
      </c>
      <c r="CU619" s="3" t="b">
        <f t="shared" si="411"/>
        <v>1</v>
      </c>
      <c r="CV619" s="3" t="b">
        <f t="shared" si="412"/>
        <v>1</v>
      </c>
      <c r="CW619" s="3" t="b">
        <f t="shared" si="413"/>
        <v>1</v>
      </c>
      <c r="CX619" s="9" t="str">
        <f t="shared" si="414"/>
        <v>5201133</v>
      </c>
      <c r="CY619" s="9" t="str">
        <f t="shared" si="415"/>
        <v>5202135</v>
      </c>
      <c r="CZ619" s="9" t="str">
        <f t="shared" si="416"/>
        <v>5200131</v>
      </c>
      <c r="DA619" s="9" t="str">
        <f t="shared" si="417"/>
        <v>5501134</v>
      </c>
      <c r="DB619" s="9" t="str">
        <f t="shared" si="418"/>
        <v>5402132</v>
      </c>
      <c r="DC619" s="9" t="str">
        <f t="shared" si="419"/>
        <v>5501135</v>
      </c>
      <c r="DD619" s="9">
        <v>13</v>
      </c>
      <c r="DE619" s="9">
        <v>13</v>
      </c>
      <c r="DF619" s="9">
        <v>13</v>
      </c>
      <c r="DG619" s="9">
        <v>13</v>
      </c>
      <c r="DH619" s="9">
        <v>13</v>
      </c>
      <c r="DI619" s="9">
        <v>13</v>
      </c>
      <c r="DJ619" s="9">
        <v>5</v>
      </c>
      <c r="DK619" s="9">
        <v>5</v>
      </c>
      <c r="DL619" s="9">
        <v>5</v>
      </c>
      <c r="DM619" s="9">
        <v>5</v>
      </c>
      <c r="DN619" s="9">
        <v>5</v>
      </c>
      <c r="DO619" s="9">
        <v>5</v>
      </c>
      <c r="DP619" s="25" t="s">
        <v>205</v>
      </c>
      <c r="DQ619" s="25" t="s">
        <v>213</v>
      </c>
      <c r="DR619" s="25" t="s">
        <v>194</v>
      </c>
      <c r="DS619" s="25" t="s">
        <v>214</v>
      </c>
      <c r="DT619" s="25" t="s">
        <v>203</v>
      </c>
      <c r="DU619" s="25" t="s">
        <v>209</v>
      </c>
      <c r="DV619" s="25">
        <f t="shared" si="420"/>
        <v>1</v>
      </c>
      <c r="DW619" s="25">
        <f t="shared" si="421"/>
        <v>1</v>
      </c>
      <c r="DX619" s="25">
        <f t="shared" si="422"/>
        <v>1</v>
      </c>
      <c r="DY619" s="25">
        <f t="shared" si="423"/>
        <v>2</v>
      </c>
      <c r="DZ619" s="25">
        <f t="shared" si="424"/>
        <v>2</v>
      </c>
      <c r="EA619" s="25">
        <f t="shared" si="425"/>
        <v>2</v>
      </c>
      <c r="EB619" s="38"/>
    </row>
    <row r="620" spans="1:132" ht="13.5" customHeight="1">
      <c r="A620" s="9">
        <v>617</v>
      </c>
      <c r="B620" s="9">
        <v>1</v>
      </c>
      <c r="C620" s="9">
        <v>2001</v>
      </c>
      <c r="D620" s="9">
        <f t="shared" si="398"/>
        <v>32954169</v>
      </c>
      <c r="E620" s="9" t="str">
        <f t="shared" si="399"/>
        <v>5302135,5202135,5202133,5401133,5501135,5400135</v>
      </c>
      <c r="F620" s="9" t="str">
        <f t="shared" si="400"/>
        <v>13,13,13,13,13,13</v>
      </c>
      <c r="G620" s="9" t="str">
        <f t="shared" si="401"/>
        <v>1331,1438,1438,1438,1438,1438</v>
      </c>
      <c r="H620" s="9">
        <v>286</v>
      </c>
      <c r="I620" s="9" t="s">
        <v>278</v>
      </c>
      <c r="J620" s="9" t="s">
        <v>279</v>
      </c>
      <c r="K620" s="9" t="s">
        <v>279</v>
      </c>
      <c r="L620" s="9" t="s">
        <v>279</v>
      </c>
      <c r="M620" s="36" t="s">
        <v>317</v>
      </c>
      <c r="O620" s="3">
        <f t="shared" si="362"/>
        <v>32954169</v>
      </c>
      <c r="P620" s="9">
        <v>24965279.460000001</v>
      </c>
      <c r="Q620" s="9">
        <v>5302135</v>
      </c>
      <c r="R620" s="9">
        <v>5202135</v>
      </c>
      <c r="S620" s="9">
        <v>5202133</v>
      </c>
      <c r="T620" s="9">
        <v>5401133</v>
      </c>
      <c r="U620" s="9">
        <v>5501135</v>
      </c>
      <c r="V620" s="9">
        <v>5400135</v>
      </c>
      <c r="W620" s="9">
        <v>13</v>
      </c>
      <c r="X620" s="9">
        <v>13</v>
      </c>
      <c r="Y620" s="9">
        <v>13</v>
      </c>
      <c r="Z620" s="9">
        <v>13</v>
      </c>
      <c r="AA620" s="9">
        <v>13</v>
      </c>
      <c r="AB620" s="9">
        <v>13</v>
      </c>
      <c r="AC620" s="9">
        <f t="shared" si="402"/>
        <v>1331</v>
      </c>
      <c r="AD620" s="9">
        <f t="shared" si="403"/>
        <v>1438</v>
      </c>
      <c r="AE620" s="9">
        <f t="shared" si="404"/>
        <v>1438</v>
      </c>
      <c r="AF620" s="9">
        <f t="shared" si="405"/>
        <v>1438</v>
      </c>
      <c r="AG620" s="9">
        <f t="shared" si="406"/>
        <v>1438</v>
      </c>
      <c r="AH620" s="9">
        <f t="shared" si="407"/>
        <v>1438</v>
      </c>
      <c r="AI620" s="7">
        <f t="shared" si="426"/>
        <v>4160879.91</v>
      </c>
      <c r="AJ620" s="7">
        <f t="shared" si="426"/>
        <v>4160879.91</v>
      </c>
      <c r="AK620" s="7">
        <f t="shared" si="426"/>
        <v>4160879.91</v>
      </c>
      <c r="AL620" s="7">
        <f t="shared" si="426"/>
        <v>4160879.91</v>
      </c>
      <c r="AM620" s="7">
        <f t="shared" si="426"/>
        <v>4160879.91</v>
      </c>
      <c r="AN620" s="7">
        <f t="shared" si="426"/>
        <v>4160879.91</v>
      </c>
      <c r="BR620" s="5">
        <v>4304044</v>
      </c>
      <c r="BS620" s="18">
        <f>[1]monsters!$N620</f>
        <v>102.4</v>
      </c>
      <c r="BT620" s="18">
        <f>[1]monsters!$O620</f>
        <v>10.24</v>
      </c>
      <c r="BU620" s="18">
        <f>[1]monsters!$P620</f>
        <v>1152</v>
      </c>
      <c r="BV620" s="18">
        <f>[1]monsters!$Q620</f>
        <v>115.2</v>
      </c>
      <c r="BW620" s="18">
        <f>[1]monsters!$R620</f>
        <v>34.130000000000003</v>
      </c>
      <c r="BX620" s="18">
        <f>[1]monsters!$S620</f>
        <v>3.41</v>
      </c>
      <c r="BY620" s="18">
        <f>[1]monsters!$K620</f>
        <v>1.6</v>
      </c>
      <c r="BZ620" s="5">
        <f>[1]monsters!$D620</f>
        <v>2</v>
      </c>
      <c r="CA620" s="5">
        <f t="shared" si="389"/>
        <v>0.1</v>
      </c>
      <c r="CB620" s="5">
        <f t="shared" si="390"/>
        <v>135.55587878787878</v>
      </c>
      <c r="CC620" s="5">
        <f t="shared" si="391"/>
        <v>13.555587878787879</v>
      </c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R620" s="3" t="b">
        <f t="shared" si="408"/>
        <v>1</v>
      </c>
      <c r="CS620" s="3" t="b">
        <f t="shared" si="409"/>
        <v>1</v>
      </c>
      <c r="CT620" s="3" t="b">
        <f t="shared" si="410"/>
        <v>1</v>
      </c>
      <c r="CU620" s="3" t="b">
        <f t="shared" si="411"/>
        <v>1</v>
      </c>
      <c r="CV620" s="3" t="b">
        <f t="shared" si="412"/>
        <v>1</v>
      </c>
      <c r="CW620" s="3" t="b">
        <f t="shared" si="413"/>
        <v>1</v>
      </c>
      <c r="CX620" s="9" t="str">
        <f t="shared" si="414"/>
        <v>5302135</v>
      </c>
      <c r="CY620" s="9" t="str">
        <f t="shared" si="415"/>
        <v>5202135</v>
      </c>
      <c r="CZ620" s="9" t="str">
        <f t="shared" si="416"/>
        <v>5202133</v>
      </c>
      <c r="DA620" s="9" t="str">
        <f t="shared" si="417"/>
        <v>5401133</v>
      </c>
      <c r="DB620" s="9" t="str">
        <f t="shared" si="418"/>
        <v>5501135</v>
      </c>
      <c r="DC620" s="9" t="str">
        <f t="shared" si="419"/>
        <v>5400135</v>
      </c>
      <c r="DD620" s="9">
        <v>13</v>
      </c>
      <c r="DE620" s="9">
        <v>13</v>
      </c>
      <c r="DF620" s="9">
        <v>13</v>
      </c>
      <c r="DG620" s="9">
        <v>13</v>
      </c>
      <c r="DH620" s="9">
        <v>13</v>
      </c>
      <c r="DI620" s="9">
        <v>13</v>
      </c>
      <c r="DJ620" s="9">
        <v>5</v>
      </c>
      <c r="DK620" s="9">
        <v>5</v>
      </c>
      <c r="DL620" s="9">
        <v>5</v>
      </c>
      <c r="DM620" s="9">
        <v>5</v>
      </c>
      <c r="DN620" s="9">
        <v>5</v>
      </c>
      <c r="DO620" s="9">
        <v>5</v>
      </c>
      <c r="DP620" s="25" t="s">
        <v>221</v>
      </c>
      <c r="DQ620" s="25" t="s">
        <v>213</v>
      </c>
      <c r="DR620" s="25" t="s">
        <v>208</v>
      </c>
      <c r="DS620" s="25" t="s">
        <v>211</v>
      </c>
      <c r="DT620" s="25" t="s">
        <v>209</v>
      </c>
      <c r="DU620" s="25" t="s">
        <v>210</v>
      </c>
      <c r="DV620" s="25">
        <f t="shared" si="420"/>
        <v>1</v>
      </c>
      <c r="DW620" s="25">
        <f t="shared" si="421"/>
        <v>1</v>
      </c>
      <c r="DX620" s="25">
        <f t="shared" si="422"/>
        <v>1</v>
      </c>
      <c r="DY620" s="25">
        <f t="shared" si="423"/>
        <v>2</v>
      </c>
      <c r="DZ620" s="25">
        <f t="shared" si="424"/>
        <v>2</v>
      </c>
      <c r="EA620" s="25">
        <f t="shared" si="425"/>
        <v>2</v>
      </c>
      <c r="EB620" s="38"/>
    </row>
    <row r="621" spans="1:132" ht="13.5" customHeight="1">
      <c r="A621" s="9">
        <v>618</v>
      </c>
      <c r="B621" s="9">
        <v>1</v>
      </c>
      <c r="C621" s="9">
        <v>2001</v>
      </c>
      <c r="D621" s="9">
        <f t="shared" si="398"/>
        <v>33042702</v>
      </c>
      <c r="E621" s="9" t="str">
        <f t="shared" si="399"/>
        <v>5202132,5202132,5301132,5502132,5500131,5400135</v>
      </c>
      <c r="F621" s="9" t="str">
        <f t="shared" si="400"/>
        <v>13,13,13,13,13,13</v>
      </c>
      <c r="G621" s="9" t="str">
        <f t="shared" si="401"/>
        <v>1333,1440,1440,1440,1440,1440</v>
      </c>
      <c r="H621" s="9">
        <v>287</v>
      </c>
      <c r="I621" s="9" t="s">
        <v>278</v>
      </c>
      <c r="J621" s="9" t="s">
        <v>279</v>
      </c>
      <c r="K621" s="9" t="s">
        <v>279</v>
      </c>
      <c r="L621" s="9" t="s">
        <v>279</v>
      </c>
      <c r="M621" s="36" t="s">
        <v>317</v>
      </c>
      <c r="O621" s="3">
        <f t="shared" si="362"/>
        <v>33042702</v>
      </c>
      <c r="P621" s="9">
        <v>25032350.030000001</v>
      </c>
      <c r="Q621" s="9">
        <v>5202132</v>
      </c>
      <c r="R621" s="9">
        <v>5202132</v>
      </c>
      <c r="S621" s="9">
        <v>5301132</v>
      </c>
      <c r="T621" s="9">
        <v>5502132</v>
      </c>
      <c r="U621" s="9">
        <v>5500131</v>
      </c>
      <c r="V621" s="9">
        <v>5400135</v>
      </c>
      <c r="W621" s="9">
        <v>13</v>
      </c>
      <c r="X621" s="9">
        <v>13</v>
      </c>
      <c r="Y621" s="9">
        <v>13</v>
      </c>
      <c r="Z621" s="9">
        <v>13</v>
      </c>
      <c r="AA621" s="9">
        <v>13</v>
      </c>
      <c r="AB621" s="9">
        <v>13</v>
      </c>
      <c r="AC621" s="9">
        <f t="shared" si="402"/>
        <v>1333</v>
      </c>
      <c r="AD621" s="9">
        <f t="shared" si="403"/>
        <v>1440</v>
      </c>
      <c r="AE621" s="9">
        <f t="shared" si="404"/>
        <v>1440</v>
      </c>
      <c r="AF621" s="9">
        <f t="shared" si="405"/>
        <v>1440</v>
      </c>
      <c r="AG621" s="9">
        <f t="shared" si="406"/>
        <v>1440</v>
      </c>
      <c r="AH621" s="9">
        <f t="shared" si="407"/>
        <v>1440</v>
      </c>
      <c r="AI621" s="7">
        <f t="shared" si="426"/>
        <v>4172058.3383333334</v>
      </c>
      <c r="AJ621" s="7">
        <f t="shared" si="426"/>
        <v>4172058.3383333334</v>
      </c>
      <c r="AK621" s="7">
        <f t="shared" si="426"/>
        <v>4172058.3383333334</v>
      </c>
      <c r="AL621" s="7">
        <f t="shared" si="426"/>
        <v>4172058.3383333334</v>
      </c>
      <c r="AM621" s="7">
        <f t="shared" si="426"/>
        <v>4172058.3383333334</v>
      </c>
      <c r="AN621" s="7">
        <f t="shared" si="426"/>
        <v>4172058.3383333334</v>
      </c>
      <c r="BR621" s="5">
        <v>4503044</v>
      </c>
      <c r="BS621" s="18">
        <f>[1]monsters!$N621</f>
        <v>102.4</v>
      </c>
      <c r="BT621" s="18">
        <f>[1]monsters!$O621</f>
        <v>10.24</v>
      </c>
      <c r="BU621" s="18">
        <f>[1]monsters!$P621</f>
        <v>1152</v>
      </c>
      <c r="BV621" s="18">
        <f>[1]monsters!$Q621</f>
        <v>115.2</v>
      </c>
      <c r="BW621" s="18">
        <f>[1]monsters!$R621</f>
        <v>34.130000000000003</v>
      </c>
      <c r="BX621" s="18">
        <f>[1]monsters!$S621</f>
        <v>3.41</v>
      </c>
      <c r="BY621" s="18">
        <f>[1]monsters!$K621</f>
        <v>1.6</v>
      </c>
      <c r="BZ621" s="5">
        <f>[1]monsters!$D621</f>
        <v>2</v>
      </c>
      <c r="CA621" s="5">
        <f t="shared" si="389"/>
        <v>0.1</v>
      </c>
      <c r="CB621" s="5">
        <f t="shared" si="390"/>
        <v>135.55587878787878</v>
      </c>
      <c r="CC621" s="5">
        <f t="shared" si="391"/>
        <v>13.555587878787879</v>
      </c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R621" s="3" t="b">
        <f t="shared" si="408"/>
        <v>1</v>
      </c>
      <c r="CS621" s="3" t="b">
        <f t="shared" si="409"/>
        <v>1</v>
      </c>
      <c r="CT621" s="3" t="b">
        <f t="shared" si="410"/>
        <v>1</v>
      </c>
      <c r="CU621" s="3" t="b">
        <f t="shared" si="411"/>
        <v>1</v>
      </c>
      <c r="CV621" s="3" t="b">
        <f t="shared" si="412"/>
        <v>1</v>
      </c>
      <c r="CW621" s="3" t="b">
        <f t="shared" si="413"/>
        <v>1</v>
      </c>
      <c r="CX621" s="9" t="str">
        <f t="shared" si="414"/>
        <v>5202132</v>
      </c>
      <c r="CY621" s="9" t="str">
        <f t="shared" si="415"/>
        <v>5202132</v>
      </c>
      <c r="CZ621" s="9" t="str">
        <f t="shared" si="416"/>
        <v>5301132</v>
      </c>
      <c r="DA621" s="9" t="str">
        <f t="shared" si="417"/>
        <v>5502132</v>
      </c>
      <c r="DB621" s="9" t="str">
        <f t="shared" si="418"/>
        <v>5500131</v>
      </c>
      <c r="DC621" s="9" t="str">
        <f t="shared" si="419"/>
        <v>5400135</v>
      </c>
      <c r="DD621" s="9">
        <v>13</v>
      </c>
      <c r="DE621" s="9">
        <v>13</v>
      </c>
      <c r="DF621" s="9">
        <v>13</v>
      </c>
      <c r="DG621" s="9">
        <v>13</v>
      </c>
      <c r="DH621" s="9">
        <v>13</v>
      </c>
      <c r="DI621" s="9">
        <v>13</v>
      </c>
      <c r="DJ621" s="9">
        <v>5</v>
      </c>
      <c r="DK621" s="9">
        <v>5</v>
      </c>
      <c r="DL621" s="9">
        <v>5</v>
      </c>
      <c r="DM621" s="9">
        <v>5</v>
      </c>
      <c r="DN621" s="9">
        <v>5</v>
      </c>
      <c r="DO621" s="9">
        <v>5</v>
      </c>
      <c r="DP621" s="25" t="s">
        <v>200</v>
      </c>
      <c r="DQ621" s="25" t="s">
        <v>200</v>
      </c>
      <c r="DR621" s="25" t="s">
        <v>201</v>
      </c>
      <c r="DS621" s="25" t="s">
        <v>204</v>
      </c>
      <c r="DT621" s="25" t="s">
        <v>197</v>
      </c>
      <c r="DU621" s="25" t="s">
        <v>210</v>
      </c>
      <c r="DV621" s="25">
        <f t="shared" si="420"/>
        <v>1</v>
      </c>
      <c r="DW621" s="25">
        <f t="shared" si="421"/>
        <v>1</v>
      </c>
      <c r="DX621" s="25">
        <f t="shared" si="422"/>
        <v>1</v>
      </c>
      <c r="DY621" s="25">
        <f t="shared" si="423"/>
        <v>2</v>
      </c>
      <c r="DZ621" s="25">
        <f t="shared" si="424"/>
        <v>2</v>
      </c>
      <c r="EA621" s="25">
        <f t="shared" si="425"/>
        <v>2</v>
      </c>
      <c r="EB621" s="49"/>
    </row>
    <row r="622" spans="1:132" ht="13.5" customHeight="1">
      <c r="A622" s="9">
        <v>619</v>
      </c>
      <c r="B622" s="9">
        <v>1</v>
      </c>
      <c r="C622" s="9">
        <v>2001</v>
      </c>
      <c r="D622" s="9">
        <f t="shared" si="398"/>
        <v>33131352</v>
      </c>
      <c r="E622" s="9" t="str">
        <f t="shared" si="399"/>
        <v>5202133,5201133,5302134,5400135,5601133,5400135</v>
      </c>
      <c r="F622" s="9" t="str">
        <f t="shared" si="400"/>
        <v>13,13,13,13,13,13</v>
      </c>
      <c r="G622" s="9" t="str">
        <f t="shared" si="401"/>
        <v>1335,1442,1442,1442,1442,1442</v>
      </c>
      <c r="H622" s="9">
        <v>287</v>
      </c>
      <c r="I622" s="9" t="s">
        <v>278</v>
      </c>
      <c r="J622" s="9" t="s">
        <v>279</v>
      </c>
      <c r="K622" s="9" t="s">
        <v>279</v>
      </c>
      <c r="L622" s="9" t="s">
        <v>279</v>
      </c>
      <c r="M622" s="36" t="s">
        <v>317</v>
      </c>
      <c r="O622" s="3">
        <f t="shared" si="362"/>
        <v>33131352</v>
      </c>
      <c r="P622" s="9">
        <v>25099509.219999999</v>
      </c>
      <c r="Q622" s="9">
        <v>5202133</v>
      </c>
      <c r="R622" s="9">
        <v>5201133</v>
      </c>
      <c r="S622" s="9">
        <v>5302134</v>
      </c>
      <c r="T622" s="9">
        <v>5400135</v>
      </c>
      <c r="U622" s="9">
        <v>5601133</v>
      </c>
      <c r="V622" s="9">
        <v>5400135</v>
      </c>
      <c r="W622" s="9">
        <v>13</v>
      </c>
      <c r="X622" s="9">
        <v>13</v>
      </c>
      <c r="Y622" s="9">
        <v>13</v>
      </c>
      <c r="Z622" s="9">
        <v>13</v>
      </c>
      <c r="AA622" s="9">
        <v>13</v>
      </c>
      <c r="AB622" s="9">
        <v>13</v>
      </c>
      <c r="AC622" s="9">
        <f t="shared" si="402"/>
        <v>1335</v>
      </c>
      <c r="AD622" s="9">
        <f t="shared" si="403"/>
        <v>1442</v>
      </c>
      <c r="AE622" s="9">
        <f t="shared" si="404"/>
        <v>1442</v>
      </c>
      <c r="AF622" s="9">
        <f t="shared" si="405"/>
        <v>1442</v>
      </c>
      <c r="AG622" s="9">
        <f t="shared" si="406"/>
        <v>1442</v>
      </c>
      <c r="AH622" s="9">
        <f t="shared" si="407"/>
        <v>1442</v>
      </c>
      <c r="AI622" s="7">
        <f t="shared" si="426"/>
        <v>4183251.5366666666</v>
      </c>
      <c r="AJ622" s="7">
        <f t="shared" si="426"/>
        <v>4183251.5366666666</v>
      </c>
      <c r="AK622" s="7">
        <f t="shared" si="426"/>
        <v>4183251.5366666666</v>
      </c>
      <c r="AL622" s="7">
        <f t="shared" si="426"/>
        <v>4183251.5366666666</v>
      </c>
      <c r="AM622" s="7">
        <f t="shared" si="426"/>
        <v>4183251.5366666666</v>
      </c>
      <c r="AN622" s="7">
        <f t="shared" si="426"/>
        <v>4183251.5366666666</v>
      </c>
      <c r="BR622" s="5">
        <v>4504044</v>
      </c>
      <c r="BS622" s="18">
        <f>[1]monsters!$N622</f>
        <v>119.47</v>
      </c>
      <c r="BT622" s="18">
        <f>[1]monsters!$O622</f>
        <v>11.95</v>
      </c>
      <c r="BU622" s="18">
        <f>[1]monsters!$P622</f>
        <v>1344</v>
      </c>
      <c r="BV622" s="18">
        <f>[1]monsters!$Q622</f>
        <v>134.4</v>
      </c>
      <c r="BW622" s="18">
        <f>[1]monsters!$R622</f>
        <v>39.82</v>
      </c>
      <c r="BX622" s="18">
        <f>[1]monsters!$S622</f>
        <v>3.98</v>
      </c>
      <c r="BY622" s="18">
        <f>[1]monsters!$K622</f>
        <v>1.6</v>
      </c>
      <c r="BZ622" s="5">
        <f>[1]monsters!$D622</f>
        <v>2</v>
      </c>
      <c r="CA622" s="5">
        <f t="shared" si="389"/>
        <v>0.1</v>
      </c>
      <c r="CB622" s="5">
        <f t="shared" si="390"/>
        <v>158.15167525252525</v>
      </c>
      <c r="CC622" s="5">
        <f t="shared" si="391"/>
        <v>15.815167525252527</v>
      </c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R622" s="3" t="b">
        <f t="shared" si="408"/>
        <v>1</v>
      </c>
      <c r="CS622" s="3" t="b">
        <f t="shared" si="409"/>
        <v>1</v>
      </c>
      <c r="CT622" s="3" t="b">
        <f t="shared" si="410"/>
        <v>1</v>
      </c>
      <c r="CU622" s="3" t="b">
        <f t="shared" si="411"/>
        <v>1</v>
      </c>
      <c r="CV622" s="3" t="b">
        <f t="shared" si="412"/>
        <v>1</v>
      </c>
      <c r="CW622" s="3" t="b">
        <f t="shared" si="413"/>
        <v>1</v>
      </c>
      <c r="CX622" s="9" t="str">
        <f t="shared" si="414"/>
        <v>5202133</v>
      </c>
      <c r="CY622" s="9" t="str">
        <f t="shared" si="415"/>
        <v>5201133</v>
      </c>
      <c r="CZ622" s="9" t="str">
        <f t="shared" si="416"/>
        <v>5302134</v>
      </c>
      <c r="DA622" s="9" t="str">
        <f t="shared" si="417"/>
        <v>5400135</v>
      </c>
      <c r="DB622" s="9" t="str">
        <f t="shared" si="418"/>
        <v>5601133</v>
      </c>
      <c r="DC622" s="9" t="str">
        <f t="shared" si="419"/>
        <v>5400135</v>
      </c>
      <c r="DD622" s="9">
        <v>13</v>
      </c>
      <c r="DE622" s="9">
        <v>13</v>
      </c>
      <c r="DF622" s="9">
        <v>13</v>
      </c>
      <c r="DG622" s="9">
        <v>13</v>
      </c>
      <c r="DH622" s="9">
        <v>13</v>
      </c>
      <c r="DI622" s="9">
        <v>13</v>
      </c>
      <c r="DJ622" s="9">
        <v>5</v>
      </c>
      <c r="DK622" s="9">
        <v>5</v>
      </c>
      <c r="DL622" s="9">
        <v>5</v>
      </c>
      <c r="DM622" s="9">
        <v>5</v>
      </c>
      <c r="DN622" s="9">
        <v>5</v>
      </c>
      <c r="DO622" s="9">
        <v>5</v>
      </c>
      <c r="DP622" s="25" t="s">
        <v>208</v>
      </c>
      <c r="DQ622" s="25" t="s">
        <v>205</v>
      </c>
      <c r="DR622" s="25" t="s">
        <v>218</v>
      </c>
      <c r="DS622" s="25" t="s">
        <v>210</v>
      </c>
      <c r="DT622" s="25" t="s">
        <v>216</v>
      </c>
      <c r="DU622" s="25" t="s">
        <v>210</v>
      </c>
      <c r="DV622" s="25">
        <f t="shared" si="420"/>
        <v>1</v>
      </c>
      <c r="DW622" s="25">
        <f t="shared" si="421"/>
        <v>1</v>
      </c>
      <c r="DX622" s="25">
        <f t="shared" si="422"/>
        <v>1</v>
      </c>
      <c r="DY622" s="25">
        <f t="shared" si="423"/>
        <v>2</v>
      </c>
      <c r="DZ622" s="25">
        <f t="shared" si="424"/>
        <v>2</v>
      </c>
      <c r="EA622" s="25">
        <f t="shared" si="425"/>
        <v>2</v>
      </c>
      <c r="EB622" s="38"/>
    </row>
    <row r="623" spans="1:132" ht="13.5" customHeight="1">
      <c r="A623" s="9">
        <v>620</v>
      </c>
      <c r="B623" s="9">
        <v>1</v>
      </c>
      <c r="C623" s="9">
        <v>2001</v>
      </c>
      <c r="D623" s="9">
        <f t="shared" si="398"/>
        <v>33220125</v>
      </c>
      <c r="E623" s="9" t="str">
        <f t="shared" si="399"/>
        <v>5301131,5301132,5301133,5500131,5500132,5500133</v>
      </c>
      <c r="F623" s="9" t="str">
        <f t="shared" si="400"/>
        <v>13,13,13,13,13,13</v>
      </c>
      <c r="G623" s="9" t="str">
        <f t="shared" si="401"/>
        <v>1336,1444,1444,1444,1444,1444</v>
      </c>
      <c r="H623" s="9">
        <v>288</v>
      </c>
      <c r="I623" s="9" t="s">
        <v>278</v>
      </c>
      <c r="J623" s="9" t="s">
        <v>279</v>
      </c>
      <c r="K623" s="9" t="s">
        <v>279</v>
      </c>
      <c r="L623" s="9" t="s">
        <v>279</v>
      </c>
      <c r="M623" s="36" t="s">
        <v>317</v>
      </c>
      <c r="O623" s="3">
        <f t="shared" si="362"/>
        <v>33220125</v>
      </c>
      <c r="P623" s="9">
        <v>25166761.25</v>
      </c>
      <c r="Q623" s="9">
        <v>5301131</v>
      </c>
      <c r="R623" s="9">
        <v>5301132</v>
      </c>
      <c r="S623" s="9">
        <v>5301133</v>
      </c>
      <c r="T623" s="9">
        <v>5500131</v>
      </c>
      <c r="U623" s="9">
        <v>5500132</v>
      </c>
      <c r="V623" s="9">
        <v>5500133</v>
      </c>
      <c r="W623" s="9">
        <v>13</v>
      </c>
      <c r="X623" s="9">
        <v>13</v>
      </c>
      <c r="Y623" s="9">
        <v>13</v>
      </c>
      <c r="Z623" s="9">
        <v>13</v>
      </c>
      <c r="AA623" s="9">
        <v>13</v>
      </c>
      <c r="AB623" s="9">
        <v>13</v>
      </c>
      <c r="AC623" s="9">
        <f t="shared" si="402"/>
        <v>1336</v>
      </c>
      <c r="AD623" s="9">
        <f t="shared" si="403"/>
        <v>1444</v>
      </c>
      <c r="AE623" s="9">
        <f t="shared" si="404"/>
        <v>1444</v>
      </c>
      <c r="AF623" s="9">
        <f t="shared" si="405"/>
        <v>1444</v>
      </c>
      <c r="AG623" s="9">
        <f t="shared" si="406"/>
        <v>1444</v>
      </c>
      <c r="AH623" s="9">
        <f t="shared" si="407"/>
        <v>1444</v>
      </c>
      <c r="AI623" s="7">
        <f t="shared" si="426"/>
        <v>4194460.208333333</v>
      </c>
      <c r="AJ623" s="7">
        <f t="shared" si="426"/>
        <v>4194460.208333333</v>
      </c>
      <c r="AK623" s="7">
        <f t="shared" si="426"/>
        <v>4194460.208333333</v>
      </c>
      <c r="AL623" s="7">
        <f t="shared" si="426"/>
        <v>4194460.208333333</v>
      </c>
      <c r="AM623" s="7">
        <f t="shared" si="426"/>
        <v>4194460.208333333</v>
      </c>
      <c r="AN623" s="7">
        <f t="shared" si="426"/>
        <v>4194460.208333333</v>
      </c>
      <c r="BR623" s="5">
        <v>4101044</v>
      </c>
      <c r="BS623" s="18">
        <f>[1]monsters!$N623</f>
        <v>119.47</v>
      </c>
      <c r="BT623" s="18">
        <f>[1]monsters!$O623</f>
        <v>11.95</v>
      </c>
      <c r="BU623" s="18">
        <f>[1]monsters!$P623</f>
        <v>1344</v>
      </c>
      <c r="BV623" s="18">
        <f>[1]monsters!$Q623</f>
        <v>134.4</v>
      </c>
      <c r="BW623" s="18">
        <f>[1]monsters!$R623</f>
        <v>39.82</v>
      </c>
      <c r="BX623" s="18">
        <f>[1]monsters!$S623</f>
        <v>3.98</v>
      </c>
      <c r="BY623" s="18">
        <f>[1]monsters!$K623</f>
        <v>1.6</v>
      </c>
      <c r="BZ623" s="5">
        <f>[1]monsters!$D623</f>
        <v>2</v>
      </c>
      <c r="CA623" s="5">
        <f t="shared" si="389"/>
        <v>0.1</v>
      </c>
      <c r="CB623" s="5">
        <f t="shared" si="390"/>
        <v>158.15167525252525</v>
      </c>
      <c r="CC623" s="5">
        <f t="shared" si="391"/>
        <v>15.815167525252527</v>
      </c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R623" s="3" t="b">
        <f t="shared" si="408"/>
        <v>1</v>
      </c>
      <c r="CS623" s="3" t="b">
        <f t="shared" si="409"/>
        <v>1</v>
      </c>
      <c r="CT623" s="3" t="b">
        <f t="shared" si="410"/>
        <v>1</v>
      </c>
      <c r="CU623" s="3" t="b">
        <f t="shared" si="411"/>
        <v>1</v>
      </c>
      <c r="CV623" s="3" t="b">
        <f t="shared" si="412"/>
        <v>1</v>
      </c>
      <c r="CW623" s="3" t="b">
        <f t="shared" si="413"/>
        <v>1</v>
      </c>
      <c r="CX623" s="9" t="str">
        <f t="shared" si="414"/>
        <v>5301131</v>
      </c>
      <c r="CY623" s="9" t="str">
        <f t="shared" si="415"/>
        <v>5301132</v>
      </c>
      <c r="CZ623" s="9" t="str">
        <f t="shared" si="416"/>
        <v>5301133</v>
      </c>
      <c r="DA623" s="9" t="str">
        <f t="shared" si="417"/>
        <v>5500131</v>
      </c>
      <c r="DB623" s="9" t="str">
        <f t="shared" si="418"/>
        <v>5500132</v>
      </c>
      <c r="DC623" s="9" t="str">
        <f t="shared" si="419"/>
        <v>5500133</v>
      </c>
      <c r="DD623" s="9">
        <v>13</v>
      </c>
      <c r="DE623" s="9">
        <v>13</v>
      </c>
      <c r="DF623" s="9">
        <v>13</v>
      </c>
      <c r="DG623" s="9">
        <v>13</v>
      </c>
      <c r="DH623" s="9">
        <v>13</v>
      </c>
      <c r="DI623" s="9">
        <v>13</v>
      </c>
      <c r="DJ623" s="9">
        <v>5</v>
      </c>
      <c r="DK623" s="9">
        <v>5</v>
      </c>
      <c r="DL623" s="9">
        <v>5</v>
      </c>
      <c r="DM623" s="9">
        <v>5</v>
      </c>
      <c r="DN623" s="9">
        <v>5</v>
      </c>
      <c r="DO623" s="9">
        <v>5</v>
      </c>
      <c r="DP623" s="3" t="s">
        <v>107</v>
      </c>
      <c r="DQ623" s="3" t="s">
        <v>201</v>
      </c>
      <c r="DR623" s="3" t="s">
        <v>206</v>
      </c>
      <c r="DS623" s="3" t="s">
        <v>197</v>
      </c>
      <c r="DT623" s="3" t="s">
        <v>109</v>
      </c>
      <c r="DU623" s="3" t="s">
        <v>207</v>
      </c>
      <c r="DV623" s="25">
        <f t="shared" si="420"/>
        <v>1</v>
      </c>
      <c r="DW623" s="25">
        <f t="shared" si="421"/>
        <v>1</v>
      </c>
      <c r="DX623" s="25">
        <f t="shared" si="422"/>
        <v>1</v>
      </c>
      <c r="DY623" s="25">
        <f t="shared" si="423"/>
        <v>2</v>
      </c>
      <c r="DZ623" s="25">
        <f t="shared" si="424"/>
        <v>2</v>
      </c>
      <c r="EA623" s="25">
        <f t="shared" si="425"/>
        <v>2</v>
      </c>
      <c r="EB623" s="38"/>
    </row>
    <row r="624" spans="1:132" ht="13.5" customHeight="1">
      <c r="A624" s="9">
        <v>621</v>
      </c>
      <c r="B624" s="9">
        <v>1</v>
      </c>
      <c r="C624" s="9">
        <v>2001</v>
      </c>
      <c r="D624" s="9">
        <f t="shared" si="398"/>
        <v>33309017</v>
      </c>
      <c r="E624" s="9" t="str">
        <f t="shared" si="399"/>
        <v>5200132,5200133,5200132,5400135,5501135,5402131</v>
      </c>
      <c r="F624" s="9" t="str">
        <f t="shared" si="400"/>
        <v>13,13,13,13,13,13</v>
      </c>
      <c r="G624" s="9" t="str">
        <f t="shared" si="401"/>
        <v>1338,1446,1446,1446,1446,1446</v>
      </c>
      <c r="H624" s="9">
        <v>288</v>
      </c>
      <c r="I624" s="9" t="s">
        <v>278</v>
      </c>
      <c r="J624" s="9" t="s">
        <v>279</v>
      </c>
      <c r="K624" s="9" t="s">
        <v>279</v>
      </c>
      <c r="L624" s="9" t="s">
        <v>279</v>
      </c>
      <c r="M624" s="36" t="s">
        <v>317</v>
      </c>
      <c r="O624" s="3">
        <f t="shared" si="362"/>
        <v>33309017</v>
      </c>
      <c r="P624" s="9">
        <v>25234104.010000002</v>
      </c>
      <c r="Q624" s="9">
        <v>5200132</v>
      </c>
      <c r="R624" s="9">
        <v>5200133</v>
      </c>
      <c r="S624" s="9">
        <v>5200132</v>
      </c>
      <c r="T624" s="9">
        <v>5400135</v>
      </c>
      <c r="U624" s="9">
        <v>5501135</v>
      </c>
      <c r="V624" s="9">
        <v>5402131</v>
      </c>
      <c r="W624" s="9">
        <v>13</v>
      </c>
      <c r="X624" s="9">
        <v>13</v>
      </c>
      <c r="Y624" s="9">
        <v>13</v>
      </c>
      <c r="Z624" s="9">
        <v>13</v>
      </c>
      <c r="AA624" s="9">
        <v>13</v>
      </c>
      <c r="AB624" s="9">
        <v>13</v>
      </c>
      <c r="AC624" s="9">
        <f t="shared" si="402"/>
        <v>1338</v>
      </c>
      <c r="AD624" s="9">
        <f t="shared" si="403"/>
        <v>1446</v>
      </c>
      <c r="AE624" s="9">
        <f t="shared" si="404"/>
        <v>1446</v>
      </c>
      <c r="AF624" s="9">
        <f t="shared" si="405"/>
        <v>1446</v>
      </c>
      <c r="AG624" s="9">
        <f t="shared" si="406"/>
        <v>1446</v>
      </c>
      <c r="AH624" s="9">
        <f t="shared" si="407"/>
        <v>1446</v>
      </c>
      <c r="AI624" s="7">
        <f t="shared" si="426"/>
        <v>4205684.0016666669</v>
      </c>
      <c r="AJ624" s="7">
        <f t="shared" si="426"/>
        <v>4205684.0016666669</v>
      </c>
      <c r="AK624" s="7">
        <f t="shared" si="426"/>
        <v>4205684.0016666669</v>
      </c>
      <c r="AL624" s="7">
        <f t="shared" si="426"/>
        <v>4205684.0016666669</v>
      </c>
      <c r="AM624" s="7">
        <f t="shared" si="426"/>
        <v>4205684.0016666669</v>
      </c>
      <c r="AN624" s="7">
        <f t="shared" si="426"/>
        <v>4205684.0016666669</v>
      </c>
      <c r="BR624" s="5">
        <v>4102044</v>
      </c>
      <c r="BS624" s="18">
        <f>[1]monsters!$N624</f>
        <v>119.47</v>
      </c>
      <c r="BT624" s="18">
        <f>[1]monsters!$O624</f>
        <v>11.95</v>
      </c>
      <c r="BU624" s="18">
        <f>[1]monsters!$P624</f>
        <v>1344</v>
      </c>
      <c r="BV624" s="18">
        <f>[1]monsters!$Q624</f>
        <v>134.4</v>
      </c>
      <c r="BW624" s="18">
        <f>[1]monsters!$R624</f>
        <v>39.82</v>
      </c>
      <c r="BX624" s="18">
        <f>[1]monsters!$S624</f>
        <v>3.98</v>
      </c>
      <c r="BY624" s="18">
        <f>[1]monsters!$K624</f>
        <v>1.6</v>
      </c>
      <c r="BZ624" s="5">
        <f>[1]monsters!$D624</f>
        <v>2</v>
      </c>
      <c r="CA624" s="5">
        <f t="shared" si="389"/>
        <v>0.1</v>
      </c>
      <c r="CB624" s="5">
        <f t="shared" si="390"/>
        <v>158.15167525252525</v>
      </c>
      <c r="CC624" s="5">
        <f t="shared" si="391"/>
        <v>15.815167525252527</v>
      </c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R624" s="3" t="b">
        <f t="shared" si="408"/>
        <v>1</v>
      </c>
      <c r="CS624" s="3" t="b">
        <f t="shared" si="409"/>
        <v>1</v>
      </c>
      <c r="CT624" s="3" t="b">
        <f t="shared" si="410"/>
        <v>1</v>
      </c>
      <c r="CU624" s="3" t="b">
        <f t="shared" si="411"/>
        <v>1</v>
      </c>
      <c r="CV624" s="3" t="b">
        <f t="shared" si="412"/>
        <v>1</v>
      </c>
      <c r="CW624" s="3" t="b">
        <f t="shared" si="413"/>
        <v>1</v>
      </c>
      <c r="CX624" s="9" t="str">
        <f t="shared" si="414"/>
        <v>5200132</v>
      </c>
      <c r="CY624" s="9" t="str">
        <f t="shared" si="415"/>
        <v>5200133</v>
      </c>
      <c r="CZ624" s="9" t="str">
        <f t="shared" si="416"/>
        <v>5200132</v>
      </c>
      <c r="DA624" s="9" t="str">
        <f t="shared" si="417"/>
        <v>5400135</v>
      </c>
      <c r="DB624" s="9" t="str">
        <f t="shared" si="418"/>
        <v>5501135</v>
      </c>
      <c r="DC624" s="9" t="str">
        <f t="shared" si="419"/>
        <v>5402131</v>
      </c>
      <c r="DD624" s="9">
        <v>13</v>
      </c>
      <c r="DE624" s="9">
        <v>13</v>
      </c>
      <c r="DF624" s="9">
        <v>13</v>
      </c>
      <c r="DG624" s="9">
        <v>13</v>
      </c>
      <c r="DH624" s="9">
        <v>13</v>
      </c>
      <c r="DI624" s="9">
        <v>13</v>
      </c>
      <c r="DJ624" s="9">
        <v>5</v>
      </c>
      <c r="DK624" s="9">
        <v>5</v>
      </c>
      <c r="DL624" s="9">
        <v>5</v>
      </c>
      <c r="DM624" s="9">
        <v>5</v>
      </c>
      <c r="DN624" s="9">
        <v>5</v>
      </c>
      <c r="DO624" s="9">
        <v>5</v>
      </c>
      <c r="DP624" s="3" t="s">
        <v>199</v>
      </c>
      <c r="DQ624" s="3" t="s">
        <v>113</v>
      </c>
      <c r="DR624" s="3" t="s">
        <v>199</v>
      </c>
      <c r="DS624" s="25" t="s">
        <v>210</v>
      </c>
      <c r="DT624" s="25" t="s">
        <v>209</v>
      </c>
      <c r="DU624" s="25" t="s">
        <v>196</v>
      </c>
      <c r="DV624" s="25">
        <f t="shared" si="420"/>
        <v>1</v>
      </c>
      <c r="DW624" s="25">
        <f t="shared" si="421"/>
        <v>1</v>
      </c>
      <c r="DX624" s="25">
        <f t="shared" si="422"/>
        <v>1</v>
      </c>
      <c r="DY624" s="25">
        <f t="shared" si="423"/>
        <v>2</v>
      </c>
      <c r="DZ624" s="25">
        <f t="shared" si="424"/>
        <v>2</v>
      </c>
      <c r="EA624" s="25">
        <f t="shared" si="425"/>
        <v>2</v>
      </c>
      <c r="EB624" s="38"/>
    </row>
    <row r="625" spans="1:132" ht="13.5" customHeight="1">
      <c r="A625" s="9">
        <v>622</v>
      </c>
      <c r="B625" s="9">
        <v>1</v>
      </c>
      <c r="C625" s="9">
        <v>2001</v>
      </c>
      <c r="D625" s="9">
        <f t="shared" si="398"/>
        <v>33398027</v>
      </c>
      <c r="E625" s="9" t="str">
        <f t="shared" si="399"/>
        <v>5201131,5201132,5202131,5401131,5401133,5400135</v>
      </c>
      <c r="F625" s="9" t="str">
        <f t="shared" si="400"/>
        <v>13,13,13,13,13,13</v>
      </c>
      <c r="G625" s="9" t="str">
        <f t="shared" si="401"/>
        <v>1340,1448,1448,1448,1448,1448</v>
      </c>
      <c r="H625" s="9">
        <v>288</v>
      </c>
      <c r="I625" s="9" t="s">
        <v>278</v>
      </c>
      <c r="J625" s="9" t="s">
        <v>279</v>
      </c>
      <c r="K625" s="9" t="s">
        <v>279</v>
      </c>
      <c r="L625" s="9" t="s">
        <v>279</v>
      </c>
      <c r="M625" s="36" t="s">
        <v>317</v>
      </c>
      <c r="O625" s="3">
        <f t="shared" si="362"/>
        <v>33398027</v>
      </c>
      <c r="P625" s="9">
        <v>25301535.390000001</v>
      </c>
      <c r="Q625" s="9">
        <v>5201131</v>
      </c>
      <c r="R625" s="9">
        <v>5201132</v>
      </c>
      <c r="S625" s="9">
        <v>5202131</v>
      </c>
      <c r="T625" s="9">
        <v>5401131</v>
      </c>
      <c r="U625" s="9">
        <v>5401133</v>
      </c>
      <c r="V625" s="9">
        <v>5400135</v>
      </c>
      <c r="W625" s="9">
        <v>13</v>
      </c>
      <c r="X625" s="9">
        <v>13</v>
      </c>
      <c r="Y625" s="9">
        <v>13</v>
      </c>
      <c r="Z625" s="9">
        <v>13</v>
      </c>
      <c r="AA625" s="9">
        <v>13</v>
      </c>
      <c r="AB625" s="9">
        <v>13</v>
      </c>
      <c r="AC625" s="9">
        <f t="shared" si="402"/>
        <v>1340</v>
      </c>
      <c r="AD625" s="9">
        <f t="shared" si="403"/>
        <v>1448</v>
      </c>
      <c r="AE625" s="9">
        <f t="shared" si="404"/>
        <v>1448</v>
      </c>
      <c r="AF625" s="9">
        <f t="shared" si="405"/>
        <v>1448</v>
      </c>
      <c r="AG625" s="9">
        <f t="shared" si="406"/>
        <v>1448</v>
      </c>
      <c r="AH625" s="9">
        <f t="shared" si="407"/>
        <v>1448</v>
      </c>
      <c r="AI625" s="7">
        <f t="shared" si="426"/>
        <v>4216922.5650000004</v>
      </c>
      <c r="AJ625" s="7">
        <f t="shared" si="426"/>
        <v>4216922.5650000004</v>
      </c>
      <c r="AK625" s="7">
        <f t="shared" si="426"/>
        <v>4216922.5650000004</v>
      </c>
      <c r="AL625" s="7">
        <f t="shared" si="426"/>
        <v>4216922.5650000004</v>
      </c>
      <c r="AM625" s="7">
        <f t="shared" si="426"/>
        <v>4216922.5650000004</v>
      </c>
      <c r="AN625" s="7">
        <f t="shared" si="426"/>
        <v>4216922.5650000004</v>
      </c>
      <c r="BR625" s="5">
        <v>4206045</v>
      </c>
      <c r="BS625" s="18">
        <f>[1]monsters!$N625</f>
        <v>119.47</v>
      </c>
      <c r="BT625" s="18">
        <f>[1]monsters!$O625</f>
        <v>11.95</v>
      </c>
      <c r="BU625" s="18">
        <f>[1]monsters!$P625</f>
        <v>1344</v>
      </c>
      <c r="BV625" s="18">
        <f>[1]monsters!$Q625</f>
        <v>134.4</v>
      </c>
      <c r="BW625" s="18">
        <f>[1]monsters!$R625</f>
        <v>39.82</v>
      </c>
      <c r="BX625" s="18">
        <f>[1]monsters!$S625</f>
        <v>3.98</v>
      </c>
      <c r="BY625" s="18">
        <f>[1]monsters!$K625</f>
        <v>1.6</v>
      </c>
      <c r="BZ625" s="5">
        <f>[1]monsters!$D625</f>
        <v>2</v>
      </c>
      <c r="CA625" s="5">
        <f t="shared" si="389"/>
        <v>0.1</v>
      </c>
      <c r="CB625" s="5">
        <f t="shared" si="390"/>
        <v>158.15167525252525</v>
      </c>
      <c r="CC625" s="5">
        <f t="shared" si="391"/>
        <v>15.815167525252527</v>
      </c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R625" s="3" t="b">
        <f t="shared" si="408"/>
        <v>1</v>
      </c>
      <c r="CS625" s="3" t="b">
        <f t="shared" si="409"/>
        <v>1</v>
      </c>
      <c r="CT625" s="3" t="b">
        <f t="shared" si="410"/>
        <v>1</v>
      </c>
      <c r="CU625" s="3" t="b">
        <f t="shared" si="411"/>
        <v>1</v>
      </c>
      <c r="CV625" s="3" t="b">
        <f t="shared" si="412"/>
        <v>1</v>
      </c>
      <c r="CW625" s="3" t="b">
        <f t="shared" si="413"/>
        <v>1</v>
      </c>
      <c r="CX625" s="9" t="str">
        <f t="shared" si="414"/>
        <v>5201131</v>
      </c>
      <c r="CY625" s="9" t="str">
        <f t="shared" si="415"/>
        <v>5201132</v>
      </c>
      <c r="CZ625" s="9" t="str">
        <f t="shared" si="416"/>
        <v>5202131</v>
      </c>
      <c r="DA625" s="9" t="str">
        <f t="shared" si="417"/>
        <v>5401131</v>
      </c>
      <c r="DB625" s="9" t="str">
        <f t="shared" si="418"/>
        <v>5401133</v>
      </c>
      <c r="DC625" s="9" t="str">
        <f t="shared" si="419"/>
        <v>5400135</v>
      </c>
      <c r="DD625" s="9">
        <v>13</v>
      </c>
      <c r="DE625" s="9">
        <v>13</v>
      </c>
      <c r="DF625" s="9">
        <v>13</v>
      </c>
      <c r="DG625" s="9">
        <v>13</v>
      </c>
      <c r="DH625" s="9">
        <v>13</v>
      </c>
      <c r="DI625" s="9">
        <v>13</v>
      </c>
      <c r="DJ625" s="9">
        <v>5</v>
      </c>
      <c r="DK625" s="9">
        <v>5</v>
      </c>
      <c r="DL625" s="9">
        <v>5</v>
      </c>
      <c r="DM625" s="9">
        <v>5</v>
      </c>
      <c r="DN625" s="9">
        <v>5</v>
      </c>
      <c r="DO625" s="9">
        <v>5</v>
      </c>
      <c r="DP625" s="3" t="s">
        <v>195</v>
      </c>
      <c r="DQ625" s="3" t="s">
        <v>114</v>
      </c>
      <c r="DR625" s="3" t="s">
        <v>111</v>
      </c>
      <c r="DS625" s="3" t="s">
        <v>117</v>
      </c>
      <c r="DT625" s="3" t="s">
        <v>211</v>
      </c>
      <c r="DU625" s="3" t="s">
        <v>210</v>
      </c>
      <c r="DV625" s="25">
        <f t="shared" si="420"/>
        <v>1</v>
      </c>
      <c r="DW625" s="25">
        <f t="shared" si="421"/>
        <v>1</v>
      </c>
      <c r="DX625" s="25">
        <f t="shared" si="422"/>
        <v>1</v>
      </c>
      <c r="DY625" s="25">
        <f t="shared" si="423"/>
        <v>2</v>
      </c>
      <c r="DZ625" s="25">
        <f t="shared" si="424"/>
        <v>2</v>
      </c>
      <c r="EA625" s="25">
        <f t="shared" si="425"/>
        <v>2</v>
      </c>
      <c r="EB625" s="50"/>
    </row>
    <row r="626" spans="1:132" ht="13.5" customHeight="1">
      <c r="A626" s="9">
        <v>623</v>
      </c>
      <c r="B626" s="9">
        <v>1</v>
      </c>
      <c r="C626" s="9">
        <v>2001</v>
      </c>
      <c r="D626" s="9">
        <f t="shared" si="398"/>
        <v>33487159</v>
      </c>
      <c r="E626" s="9" t="str">
        <f t="shared" si="399"/>
        <v>5302135,5202135,5202135,5501134,5500133,5501134</v>
      </c>
      <c r="F626" s="9" t="str">
        <f t="shared" si="400"/>
        <v>13,13,13,13,13,13</v>
      </c>
      <c r="G626" s="9" t="str">
        <f t="shared" si="401"/>
        <v>1342,1450,1450,1450,1450,1450</v>
      </c>
      <c r="H626" s="9">
        <v>289</v>
      </c>
      <c r="I626" s="9" t="s">
        <v>278</v>
      </c>
      <c r="J626" s="9" t="s">
        <v>279</v>
      </c>
      <c r="K626" s="9" t="s">
        <v>279</v>
      </c>
      <c r="L626" s="9" t="s">
        <v>279</v>
      </c>
      <c r="M626" s="36" t="s">
        <v>317</v>
      </c>
      <c r="O626" s="3">
        <f t="shared" si="362"/>
        <v>33487159</v>
      </c>
      <c r="P626" s="9">
        <v>25369059.609999999</v>
      </c>
      <c r="Q626" s="9">
        <v>5302135</v>
      </c>
      <c r="R626" s="9">
        <v>5202135</v>
      </c>
      <c r="S626" s="9">
        <v>5202135</v>
      </c>
      <c r="T626" s="9">
        <v>5501134</v>
      </c>
      <c r="U626" s="9">
        <v>5500133</v>
      </c>
      <c r="V626" s="9">
        <v>5501134</v>
      </c>
      <c r="W626" s="9">
        <v>13</v>
      </c>
      <c r="X626" s="9">
        <v>13</v>
      </c>
      <c r="Y626" s="9">
        <v>13</v>
      </c>
      <c r="Z626" s="9">
        <v>13</v>
      </c>
      <c r="AA626" s="9">
        <v>13</v>
      </c>
      <c r="AB626" s="9">
        <v>13</v>
      </c>
      <c r="AC626" s="9">
        <f t="shared" si="402"/>
        <v>1342</v>
      </c>
      <c r="AD626" s="9">
        <f t="shared" si="403"/>
        <v>1450</v>
      </c>
      <c r="AE626" s="9">
        <f t="shared" si="404"/>
        <v>1450</v>
      </c>
      <c r="AF626" s="9">
        <f t="shared" si="405"/>
        <v>1450</v>
      </c>
      <c r="AG626" s="9">
        <f t="shared" si="406"/>
        <v>1450</v>
      </c>
      <c r="AH626" s="9">
        <f t="shared" si="407"/>
        <v>1450</v>
      </c>
      <c r="AI626" s="7">
        <f t="shared" si="426"/>
        <v>4228176.6016666666</v>
      </c>
      <c r="AJ626" s="7">
        <f t="shared" si="426"/>
        <v>4228176.6016666666</v>
      </c>
      <c r="AK626" s="7">
        <f t="shared" si="426"/>
        <v>4228176.6016666666</v>
      </c>
      <c r="AL626" s="7">
        <f t="shared" si="426"/>
        <v>4228176.6016666666</v>
      </c>
      <c r="AM626" s="7">
        <f t="shared" si="426"/>
        <v>4228176.6016666666</v>
      </c>
      <c r="AN626" s="7">
        <f t="shared" si="426"/>
        <v>4228176.6016666666</v>
      </c>
      <c r="BR626" s="5">
        <v>4406045</v>
      </c>
      <c r="BS626" s="18">
        <f>[1]monsters!$N626</f>
        <v>119.47</v>
      </c>
      <c r="BT626" s="18">
        <f>[1]monsters!$O626</f>
        <v>11.95</v>
      </c>
      <c r="BU626" s="18">
        <f>[1]monsters!$P626</f>
        <v>1344</v>
      </c>
      <c r="BV626" s="18">
        <f>[1]monsters!$Q626</f>
        <v>134.4</v>
      </c>
      <c r="BW626" s="18">
        <f>[1]monsters!$R626</f>
        <v>39.82</v>
      </c>
      <c r="BX626" s="18">
        <f>[1]monsters!$S626</f>
        <v>3.98</v>
      </c>
      <c r="BY626" s="18">
        <f>[1]monsters!$K626</f>
        <v>1.6</v>
      </c>
      <c r="BZ626" s="5">
        <f>[1]monsters!$D626</f>
        <v>2</v>
      </c>
      <c r="CA626" s="5">
        <f t="shared" si="389"/>
        <v>0.1</v>
      </c>
      <c r="CB626" s="5">
        <f t="shared" si="390"/>
        <v>158.15167525252525</v>
      </c>
      <c r="CC626" s="5">
        <f t="shared" si="391"/>
        <v>15.815167525252527</v>
      </c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R626" s="3" t="b">
        <f t="shared" si="408"/>
        <v>1</v>
      </c>
      <c r="CS626" s="3" t="b">
        <f t="shared" si="409"/>
        <v>1</v>
      </c>
      <c r="CT626" s="3" t="b">
        <f t="shared" si="410"/>
        <v>1</v>
      </c>
      <c r="CU626" s="3" t="b">
        <f t="shared" si="411"/>
        <v>1</v>
      </c>
      <c r="CV626" s="3" t="b">
        <f t="shared" si="412"/>
        <v>1</v>
      </c>
      <c r="CW626" s="3" t="b">
        <f t="shared" si="413"/>
        <v>1</v>
      </c>
      <c r="CX626" s="9" t="str">
        <f t="shared" si="414"/>
        <v>5302135</v>
      </c>
      <c r="CY626" s="9" t="str">
        <f t="shared" si="415"/>
        <v>5202135</v>
      </c>
      <c r="CZ626" s="9" t="str">
        <f t="shared" si="416"/>
        <v>5202135</v>
      </c>
      <c r="DA626" s="9" t="str">
        <f t="shared" si="417"/>
        <v>5501134</v>
      </c>
      <c r="DB626" s="9" t="str">
        <f t="shared" si="418"/>
        <v>5500133</v>
      </c>
      <c r="DC626" s="9" t="str">
        <f t="shared" si="419"/>
        <v>5501134</v>
      </c>
      <c r="DD626" s="9">
        <v>13</v>
      </c>
      <c r="DE626" s="9">
        <v>13</v>
      </c>
      <c r="DF626" s="9">
        <v>13</v>
      </c>
      <c r="DG626" s="9">
        <v>13</v>
      </c>
      <c r="DH626" s="9">
        <v>13</v>
      </c>
      <c r="DI626" s="9">
        <v>13</v>
      </c>
      <c r="DJ626" s="9">
        <v>5</v>
      </c>
      <c r="DK626" s="9">
        <v>5</v>
      </c>
      <c r="DL626" s="9">
        <v>5</v>
      </c>
      <c r="DM626" s="9">
        <v>5</v>
      </c>
      <c r="DN626" s="9">
        <v>5</v>
      </c>
      <c r="DO626" s="9">
        <v>5</v>
      </c>
      <c r="DP626" s="3" t="s">
        <v>221</v>
      </c>
      <c r="DQ626" s="3" t="s">
        <v>213</v>
      </c>
      <c r="DR626" s="3" t="s">
        <v>213</v>
      </c>
      <c r="DS626" s="3" t="s">
        <v>214</v>
      </c>
      <c r="DT626" s="3" t="s">
        <v>207</v>
      </c>
      <c r="DU626" s="3" t="s">
        <v>214</v>
      </c>
      <c r="DV626" s="25">
        <f t="shared" si="420"/>
        <v>1</v>
      </c>
      <c r="DW626" s="25">
        <f t="shared" si="421"/>
        <v>1</v>
      </c>
      <c r="DX626" s="25">
        <f t="shared" si="422"/>
        <v>1</v>
      </c>
      <c r="DY626" s="25">
        <f t="shared" si="423"/>
        <v>2</v>
      </c>
      <c r="DZ626" s="25">
        <f t="shared" si="424"/>
        <v>2</v>
      </c>
      <c r="EA626" s="25">
        <f t="shared" si="425"/>
        <v>2</v>
      </c>
      <c r="EB626" s="50"/>
    </row>
    <row r="627" spans="1:132" ht="13.5" customHeight="1">
      <c r="A627" s="9">
        <v>624</v>
      </c>
      <c r="B627" s="9">
        <v>1</v>
      </c>
      <c r="C627" s="9">
        <v>2001</v>
      </c>
      <c r="D627" s="9">
        <f t="shared" si="398"/>
        <v>33576410</v>
      </c>
      <c r="E627" s="9" t="str">
        <f t="shared" si="399"/>
        <v>5201131,5201131,5200132,5502132,5501134,5501134</v>
      </c>
      <c r="F627" s="9" t="str">
        <f t="shared" si="400"/>
        <v>13,13,13,13,13,13</v>
      </c>
      <c r="G627" s="9" t="str">
        <f t="shared" si="401"/>
        <v>1344,1452,1452,1452,1452,1452</v>
      </c>
      <c r="H627" s="9">
        <v>289</v>
      </c>
      <c r="I627" s="9" t="s">
        <v>278</v>
      </c>
      <c r="J627" s="9" t="s">
        <v>279</v>
      </c>
      <c r="K627" s="9" t="s">
        <v>279</v>
      </c>
      <c r="L627" s="9" t="s">
        <v>279</v>
      </c>
      <c r="M627" s="36" t="s">
        <v>317</v>
      </c>
      <c r="O627" s="3">
        <f t="shared" si="362"/>
        <v>33576410</v>
      </c>
      <c r="P627" s="9">
        <v>25436674.559999999</v>
      </c>
      <c r="Q627" s="9">
        <v>5201131</v>
      </c>
      <c r="R627" s="9">
        <v>5201131</v>
      </c>
      <c r="S627" s="9">
        <v>5200132</v>
      </c>
      <c r="T627" s="9">
        <v>5502132</v>
      </c>
      <c r="U627" s="9">
        <v>5501134</v>
      </c>
      <c r="V627" s="9">
        <v>5501134</v>
      </c>
      <c r="W627" s="9">
        <v>13</v>
      </c>
      <c r="X627" s="9">
        <v>13</v>
      </c>
      <c r="Y627" s="9">
        <v>13</v>
      </c>
      <c r="Z627" s="9">
        <v>13</v>
      </c>
      <c r="AA627" s="9">
        <v>13</v>
      </c>
      <c r="AB627" s="9">
        <v>13</v>
      </c>
      <c r="AC627" s="9">
        <f t="shared" si="402"/>
        <v>1344</v>
      </c>
      <c r="AD627" s="9">
        <f t="shared" si="403"/>
        <v>1452</v>
      </c>
      <c r="AE627" s="9">
        <f t="shared" si="404"/>
        <v>1452</v>
      </c>
      <c r="AF627" s="9">
        <f t="shared" si="405"/>
        <v>1452</v>
      </c>
      <c r="AG627" s="9">
        <f t="shared" si="406"/>
        <v>1452</v>
      </c>
      <c r="AH627" s="9">
        <f t="shared" si="407"/>
        <v>1452</v>
      </c>
      <c r="AI627" s="7">
        <f t="shared" si="426"/>
        <v>4239445.76</v>
      </c>
      <c r="AJ627" s="7">
        <f t="shared" si="426"/>
        <v>4239445.76</v>
      </c>
      <c r="AK627" s="7">
        <f t="shared" si="426"/>
        <v>4239445.76</v>
      </c>
      <c r="AL627" s="7">
        <f t="shared" si="426"/>
        <v>4239445.76</v>
      </c>
      <c r="AM627" s="7">
        <f t="shared" si="426"/>
        <v>4239445.76</v>
      </c>
      <c r="AN627" s="7">
        <f t="shared" si="426"/>
        <v>4239445.76</v>
      </c>
      <c r="BR627" s="5">
        <v>4205045</v>
      </c>
      <c r="BS627" s="18">
        <f>[1]monsters!$N627</f>
        <v>136.53</v>
      </c>
      <c r="BT627" s="18">
        <f>[1]monsters!$O627</f>
        <v>13.65</v>
      </c>
      <c r="BU627" s="18">
        <f>[1]monsters!$P627</f>
        <v>1536</v>
      </c>
      <c r="BV627" s="18">
        <f>[1]monsters!$Q627</f>
        <v>153.6</v>
      </c>
      <c r="BW627" s="18">
        <f>[1]monsters!$R627</f>
        <v>45.51</v>
      </c>
      <c r="BX627" s="18">
        <f>[1]monsters!$S627</f>
        <v>4.55</v>
      </c>
      <c r="BY627" s="18">
        <f>[1]monsters!$K627</f>
        <v>1.6</v>
      </c>
      <c r="BZ627" s="5">
        <f>[1]monsters!$D627</f>
        <v>2</v>
      </c>
      <c r="CA627" s="5">
        <f t="shared" si="389"/>
        <v>0.1</v>
      </c>
      <c r="CB627" s="5">
        <f t="shared" si="390"/>
        <v>180.73802171717173</v>
      </c>
      <c r="CC627" s="5">
        <f t="shared" si="391"/>
        <v>18.073802171717173</v>
      </c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R627" s="3" t="b">
        <f t="shared" si="408"/>
        <v>1</v>
      </c>
      <c r="CS627" s="3" t="b">
        <f t="shared" si="409"/>
        <v>1</v>
      </c>
      <c r="CT627" s="3" t="b">
        <f t="shared" si="410"/>
        <v>1</v>
      </c>
      <c r="CU627" s="3" t="b">
        <f t="shared" si="411"/>
        <v>1</v>
      </c>
      <c r="CV627" s="3" t="b">
        <f t="shared" si="412"/>
        <v>1</v>
      </c>
      <c r="CW627" s="3" t="b">
        <f t="shared" si="413"/>
        <v>1</v>
      </c>
      <c r="CX627" s="9" t="str">
        <f t="shared" si="414"/>
        <v>5201131</v>
      </c>
      <c r="CY627" s="9" t="str">
        <f t="shared" si="415"/>
        <v>5201131</v>
      </c>
      <c r="CZ627" s="9" t="str">
        <f t="shared" si="416"/>
        <v>5200132</v>
      </c>
      <c r="DA627" s="9" t="str">
        <f t="shared" si="417"/>
        <v>5502132</v>
      </c>
      <c r="DB627" s="9" t="str">
        <f t="shared" si="418"/>
        <v>5501134</v>
      </c>
      <c r="DC627" s="9" t="str">
        <f t="shared" si="419"/>
        <v>5501134</v>
      </c>
      <c r="DD627" s="9">
        <v>13</v>
      </c>
      <c r="DE627" s="9">
        <v>13</v>
      </c>
      <c r="DF627" s="9">
        <v>13</v>
      </c>
      <c r="DG627" s="9">
        <v>13</v>
      </c>
      <c r="DH627" s="9">
        <v>13</v>
      </c>
      <c r="DI627" s="9">
        <v>13</v>
      </c>
      <c r="DJ627" s="9">
        <v>5</v>
      </c>
      <c r="DK627" s="9">
        <v>5</v>
      </c>
      <c r="DL627" s="9">
        <v>5</v>
      </c>
      <c r="DM627" s="9">
        <v>5</v>
      </c>
      <c r="DN627" s="9">
        <v>5</v>
      </c>
      <c r="DO627" s="9">
        <v>5</v>
      </c>
      <c r="DP627" s="3" t="s">
        <v>195</v>
      </c>
      <c r="DQ627" s="3" t="s">
        <v>195</v>
      </c>
      <c r="DR627" s="3" t="s">
        <v>199</v>
      </c>
      <c r="DS627" s="3" t="s">
        <v>204</v>
      </c>
      <c r="DT627" s="3" t="s">
        <v>214</v>
      </c>
      <c r="DU627" s="3" t="s">
        <v>214</v>
      </c>
      <c r="DV627" s="25">
        <f t="shared" si="420"/>
        <v>1</v>
      </c>
      <c r="DW627" s="25">
        <f t="shared" si="421"/>
        <v>1</v>
      </c>
      <c r="DX627" s="25">
        <f t="shared" si="422"/>
        <v>1</v>
      </c>
      <c r="DY627" s="25">
        <f t="shared" si="423"/>
        <v>2</v>
      </c>
      <c r="DZ627" s="25">
        <f t="shared" si="424"/>
        <v>2</v>
      </c>
      <c r="EA627" s="25">
        <f t="shared" si="425"/>
        <v>2</v>
      </c>
      <c r="EB627" s="50"/>
    </row>
    <row r="628" spans="1:132" ht="13.5" customHeight="1">
      <c r="A628" s="9">
        <v>625</v>
      </c>
      <c r="B628" s="9">
        <v>1</v>
      </c>
      <c r="C628" s="9">
        <v>2001</v>
      </c>
      <c r="D628" s="9">
        <f t="shared" si="398"/>
        <v>33665779</v>
      </c>
      <c r="E628" s="9" t="str">
        <f t="shared" si="399"/>
        <v>5202133,5202132,5202133,5501135,5501135,5402131</v>
      </c>
      <c r="F628" s="9" t="str">
        <f t="shared" si="400"/>
        <v>13,13,13,13,13,13</v>
      </c>
      <c r="G628" s="9" t="str">
        <f t="shared" si="401"/>
        <v>1345,1454,1454,1454,1454,1454</v>
      </c>
      <c r="H628" s="9">
        <v>290</v>
      </c>
      <c r="I628" s="9" t="s">
        <v>278</v>
      </c>
      <c r="J628" s="9" t="s">
        <v>279</v>
      </c>
      <c r="K628" s="9" t="s">
        <v>279</v>
      </c>
      <c r="L628" s="9" t="s">
        <v>279</v>
      </c>
      <c r="M628" s="36" t="s">
        <v>317</v>
      </c>
      <c r="O628" s="3">
        <f t="shared" si="362"/>
        <v>33665779</v>
      </c>
      <c r="P628" s="9">
        <v>25504378.129999999</v>
      </c>
      <c r="Q628" s="9">
        <v>5202133</v>
      </c>
      <c r="R628" s="9">
        <v>5202132</v>
      </c>
      <c r="S628" s="9">
        <v>5202133</v>
      </c>
      <c r="T628" s="9">
        <v>5501135</v>
      </c>
      <c r="U628" s="9">
        <v>5501135</v>
      </c>
      <c r="V628" s="9">
        <v>5402131</v>
      </c>
      <c r="W628" s="9">
        <v>13</v>
      </c>
      <c r="X628" s="9">
        <v>13</v>
      </c>
      <c r="Y628" s="9">
        <v>13</v>
      </c>
      <c r="Z628" s="9">
        <v>13</v>
      </c>
      <c r="AA628" s="9">
        <v>13</v>
      </c>
      <c r="AB628" s="9">
        <v>13</v>
      </c>
      <c r="AC628" s="9">
        <f t="shared" si="402"/>
        <v>1345</v>
      </c>
      <c r="AD628" s="9">
        <f t="shared" si="403"/>
        <v>1454</v>
      </c>
      <c r="AE628" s="9">
        <f t="shared" si="404"/>
        <v>1454</v>
      </c>
      <c r="AF628" s="9">
        <f t="shared" si="405"/>
        <v>1454</v>
      </c>
      <c r="AG628" s="9">
        <f t="shared" si="406"/>
        <v>1454</v>
      </c>
      <c r="AH628" s="9">
        <f t="shared" si="407"/>
        <v>1454</v>
      </c>
      <c r="AI628" s="7">
        <f t="shared" si="426"/>
        <v>4250729.6883333335</v>
      </c>
      <c r="AJ628" s="7">
        <f t="shared" si="426"/>
        <v>4250729.6883333335</v>
      </c>
      <c r="AK628" s="7">
        <f t="shared" si="426"/>
        <v>4250729.6883333335</v>
      </c>
      <c r="AL628" s="7">
        <f t="shared" si="426"/>
        <v>4250729.6883333335</v>
      </c>
      <c r="AM628" s="7">
        <f t="shared" si="426"/>
        <v>4250729.6883333335</v>
      </c>
      <c r="AN628" s="7">
        <f t="shared" si="426"/>
        <v>4250729.6883333335</v>
      </c>
      <c r="BR628" s="5">
        <v>4405045</v>
      </c>
      <c r="BS628" s="18">
        <f>[1]monsters!$N628</f>
        <v>136.53</v>
      </c>
      <c r="BT628" s="18">
        <f>[1]monsters!$O628</f>
        <v>13.65</v>
      </c>
      <c r="BU628" s="18">
        <f>[1]monsters!$P628</f>
        <v>1536</v>
      </c>
      <c r="BV628" s="18">
        <f>[1]monsters!$Q628</f>
        <v>153.6</v>
      </c>
      <c r="BW628" s="18">
        <f>[1]monsters!$R628</f>
        <v>45.51</v>
      </c>
      <c r="BX628" s="18">
        <f>[1]monsters!$S628</f>
        <v>4.55</v>
      </c>
      <c r="BY628" s="18">
        <f>[1]monsters!$K628</f>
        <v>1.6</v>
      </c>
      <c r="BZ628" s="5">
        <f>[1]monsters!$D628</f>
        <v>2</v>
      </c>
      <c r="CA628" s="5">
        <f t="shared" si="389"/>
        <v>0.1</v>
      </c>
      <c r="CB628" s="5">
        <f t="shared" si="390"/>
        <v>180.73802171717173</v>
      </c>
      <c r="CC628" s="5">
        <f t="shared" si="391"/>
        <v>18.073802171717173</v>
      </c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R628" s="3" t="b">
        <f t="shared" si="408"/>
        <v>1</v>
      </c>
      <c r="CS628" s="3" t="b">
        <f t="shared" si="409"/>
        <v>1</v>
      </c>
      <c r="CT628" s="3" t="b">
        <f t="shared" si="410"/>
        <v>1</v>
      </c>
      <c r="CU628" s="3" t="b">
        <f t="shared" si="411"/>
        <v>1</v>
      </c>
      <c r="CV628" s="3" t="b">
        <f t="shared" si="412"/>
        <v>1</v>
      </c>
      <c r="CW628" s="3" t="b">
        <f t="shared" si="413"/>
        <v>1</v>
      </c>
      <c r="CX628" s="9" t="str">
        <f t="shared" si="414"/>
        <v>5202133</v>
      </c>
      <c r="CY628" s="9" t="str">
        <f t="shared" si="415"/>
        <v>5202132</v>
      </c>
      <c r="CZ628" s="9" t="str">
        <f t="shared" si="416"/>
        <v>5202133</v>
      </c>
      <c r="DA628" s="9" t="str">
        <f t="shared" si="417"/>
        <v>5501135</v>
      </c>
      <c r="DB628" s="9" t="str">
        <f t="shared" si="418"/>
        <v>5501135</v>
      </c>
      <c r="DC628" s="9" t="str">
        <f t="shared" si="419"/>
        <v>5402131</v>
      </c>
      <c r="DD628" s="9">
        <v>13</v>
      </c>
      <c r="DE628" s="9">
        <v>13</v>
      </c>
      <c r="DF628" s="9">
        <v>13</v>
      </c>
      <c r="DG628" s="9">
        <v>13</v>
      </c>
      <c r="DH628" s="9">
        <v>13</v>
      </c>
      <c r="DI628" s="9">
        <v>13</v>
      </c>
      <c r="DJ628" s="9">
        <v>5</v>
      </c>
      <c r="DK628" s="9">
        <v>5</v>
      </c>
      <c r="DL628" s="9">
        <v>5</v>
      </c>
      <c r="DM628" s="9">
        <v>5</v>
      </c>
      <c r="DN628" s="9">
        <v>5</v>
      </c>
      <c r="DO628" s="9">
        <v>5</v>
      </c>
      <c r="DP628" s="25" t="s">
        <v>208</v>
      </c>
      <c r="DQ628" s="25" t="s">
        <v>200</v>
      </c>
      <c r="DR628" s="25" t="s">
        <v>208</v>
      </c>
      <c r="DS628" s="25" t="s">
        <v>209</v>
      </c>
      <c r="DT628" s="25" t="s">
        <v>209</v>
      </c>
      <c r="DU628" s="25" t="s">
        <v>196</v>
      </c>
      <c r="DV628" s="25">
        <f t="shared" si="420"/>
        <v>1</v>
      </c>
      <c r="DW628" s="25">
        <f t="shared" si="421"/>
        <v>1</v>
      </c>
      <c r="DX628" s="25">
        <f t="shared" si="422"/>
        <v>1</v>
      </c>
      <c r="DY628" s="25">
        <f t="shared" si="423"/>
        <v>2</v>
      </c>
      <c r="DZ628" s="25">
        <f t="shared" si="424"/>
        <v>2</v>
      </c>
      <c r="EA628" s="25">
        <f t="shared" si="425"/>
        <v>2</v>
      </c>
      <c r="EB628" s="51"/>
    </row>
    <row r="629" spans="1:132" ht="13.5" customHeight="1">
      <c r="A629" s="9">
        <v>626</v>
      </c>
      <c r="B629" s="9">
        <v>1</v>
      </c>
      <c r="C629" s="9">
        <v>2001</v>
      </c>
      <c r="D629" s="9">
        <f t="shared" si="398"/>
        <v>33755270</v>
      </c>
      <c r="E629" s="9" t="str">
        <f t="shared" si="399"/>
        <v>5301131,5301132,5301133,5501134,5501135,5502133</v>
      </c>
      <c r="F629" s="9" t="str">
        <f t="shared" si="400"/>
        <v>13,13,13,13,13,13</v>
      </c>
      <c r="G629" s="9" t="str">
        <f t="shared" si="401"/>
        <v>1347,1456,1456,1456,1456,1456</v>
      </c>
      <c r="H629" s="9">
        <v>290</v>
      </c>
      <c r="I629" s="9" t="s">
        <v>278</v>
      </c>
      <c r="J629" s="9" t="s">
        <v>279</v>
      </c>
      <c r="K629" s="9" t="s">
        <v>279</v>
      </c>
      <c r="L629" s="9" t="s">
        <v>279</v>
      </c>
      <c r="M629" s="36" t="s">
        <v>317</v>
      </c>
      <c r="O629" s="3">
        <f t="shared" si="362"/>
        <v>33755270</v>
      </c>
      <c r="P629" s="9">
        <v>25572174.539999999</v>
      </c>
      <c r="Q629" s="9">
        <v>5301131</v>
      </c>
      <c r="R629" s="9">
        <v>5301132</v>
      </c>
      <c r="S629" s="9">
        <v>5301133</v>
      </c>
      <c r="T629" s="9">
        <v>5501134</v>
      </c>
      <c r="U629" s="9">
        <v>5501135</v>
      </c>
      <c r="V629" s="9">
        <v>5502133</v>
      </c>
      <c r="W629" s="9">
        <v>13</v>
      </c>
      <c r="X629" s="9">
        <v>13</v>
      </c>
      <c r="Y629" s="9">
        <v>13</v>
      </c>
      <c r="Z629" s="9">
        <v>13</v>
      </c>
      <c r="AA629" s="9">
        <v>13</v>
      </c>
      <c r="AB629" s="9">
        <v>13</v>
      </c>
      <c r="AC629" s="9">
        <f t="shared" si="402"/>
        <v>1347</v>
      </c>
      <c r="AD629" s="9">
        <f t="shared" si="403"/>
        <v>1456</v>
      </c>
      <c r="AE629" s="9">
        <f t="shared" si="404"/>
        <v>1456</v>
      </c>
      <c r="AF629" s="9">
        <f t="shared" si="405"/>
        <v>1456</v>
      </c>
      <c r="AG629" s="9">
        <f t="shared" si="406"/>
        <v>1456</v>
      </c>
      <c r="AH629" s="9">
        <f t="shared" si="407"/>
        <v>1456</v>
      </c>
      <c r="AI629" s="7">
        <f t="shared" si="426"/>
        <v>4262029.09</v>
      </c>
      <c r="AJ629" s="7">
        <f t="shared" si="426"/>
        <v>4262029.09</v>
      </c>
      <c r="AK629" s="7">
        <f t="shared" si="426"/>
        <v>4262029.09</v>
      </c>
      <c r="AL629" s="7">
        <f t="shared" si="426"/>
        <v>4262029.09</v>
      </c>
      <c r="AM629" s="7">
        <f t="shared" si="426"/>
        <v>4262029.09</v>
      </c>
      <c r="AN629" s="7">
        <f t="shared" si="426"/>
        <v>4262029.09</v>
      </c>
      <c r="BR629" s="5">
        <v>4203045</v>
      </c>
      <c r="BS629" s="18">
        <f>[1]monsters!$N629</f>
        <v>136.53</v>
      </c>
      <c r="BT629" s="18">
        <f>[1]monsters!$O629</f>
        <v>13.65</v>
      </c>
      <c r="BU629" s="18">
        <f>[1]monsters!$P629</f>
        <v>1536</v>
      </c>
      <c r="BV629" s="18">
        <f>[1]monsters!$Q629</f>
        <v>153.6</v>
      </c>
      <c r="BW629" s="18">
        <f>[1]monsters!$R629</f>
        <v>45.51</v>
      </c>
      <c r="BX629" s="18">
        <f>[1]monsters!$S629</f>
        <v>4.55</v>
      </c>
      <c r="BY629" s="18">
        <f>[1]monsters!$K629</f>
        <v>1.6</v>
      </c>
      <c r="BZ629" s="5">
        <f>[1]monsters!$D629</f>
        <v>2</v>
      </c>
      <c r="CA629" s="5">
        <f t="shared" si="389"/>
        <v>0.1</v>
      </c>
      <c r="CB629" s="5">
        <f t="shared" si="390"/>
        <v>180.73802171717173</v>
      </c>
      <c r="CC629" s="5">
        <f t="shared" si="391"/>
        <v>18.073802171717173</v>
      </c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R629" s="3" t="b">
        <f t="shared" si="408"/>
        <v>1</v>
      </c>
      <c r="CS629" s="3" t="b">
        <f t="shared" si="409"/>
        <v>1</v>
      </c>
      <c r="CT629" s="3" t="b">
        <f t="shared" si="410"/>
        <v>1</v>
      </c>
      <c r="CU629" s="3" t="b">
        <f t="shared" si="411"/>
        <v>1</v>
      </c>
      <c r="CV629" s="3" t="b">
        <f t="shared" si="412"/>
        <v>1</v>
      </c>
      <c r="CW629" s="3" t="b">
        <f t="shared" si="413"/>
        <v>1</v>
      </c>
      <c r="CX629" s="9" t="str">
        <f t="shared" si="414"/>
        <v>5301131</v>
      </c>
      <c r="CY629" s="9" t="str">
        <f t="shared" si="415"/>
        <v>5301132</v>
      </c>
      <c r="CZ629" s="9" t="str">
        <f t="shared" si="416"/>
        <v>5301133</v>
      </c>
      <c r="DA629" s="9" t="str">
        <f t="shared" si="417"/>
        <v>5501134</v>
      </c>
      <c r="DB629" s="9" t="str">
        <f t="shared" si="418"/>
        <v>5501135</v>
      </c>
      <c r="DC629" s="9" t="str">
        <f t="shared" si="419"/>
        <v>5502133</v>
      </c>
      <c r="DD629" s="9">
        <v>13</v>
      </c>
      <c r="DE629" s="9">
        <v>13</v>
      </c>
      <c r="DF629" s="9">
        <v>13</v>
      </c>
      <c r="DG629" s="9">
        <v>13</v>
      </c>
      <c r="DH629" s="9">
        <v>13</v>
      </c>
      <c r="DI629" s="9">
        <v>13</v>
      </c>
      <c r="DJ629" s="9">
        <v>5</v>
      </c>
      <c r="DK629" s="9">
        <v>5</v>
      </c>
      <c r="DL629" s="9">
        <v>5</v>
      </c>
      <c r="DM629" s="9">
        <v>5</v>
      </c>
      <c r="DN629" s="9">
        <v>5</v>
      </c>
      <c r="DO629" s="9">
        <v>5</v>
      </c>
      <c r="DP629" s="26" t="s">
        <v>107</v>
      </c>
      <c r="DQ629" s="26" t="s">
        <v>201</v>
      </c>
      <c r="DR629" s="26" t="s">
        <v>206</v>
      </c>
      <c r="DS629" s="26" t="s">
        <v>214</v>
      </c>
      <c r="DT629" s="26" t="s">
        <v>209</v>
      </c>
      <c r="DU629" s="26" t="s">
        <v>215</v>
      </c>
      <c r="DV629" s="25">
        <f t="shared" si="420"/>
        <v>1</v>
      </c>
      <c r="DW629" s="25">
        <f t="shared" si="421"/>
        <v>1</v>
      </c>
      <c r="DX629" s="25">
        <f t="shared" si="422"/>
        <v>1</v>
      </c>
      <c r="DY629" s="25">
        <f t="shared" si="423"/>
        <v>2</v>
      </c>
      <c r="DZ629" s="25">
        <f t="shared" si="424"/>
        <v>2</v>
      </c>
      <c r="EA629" s="25">
        <f t="shared" si="425"/>
        <v>2</v>
      </c>
      <c r="EB629" s="50"/>
    </row>
    <row r="630" spans="1:132" ht="13.5" customHeight="1">
      <c r="A630" s="9">
        <v>627</v>
      </c>
      <c r="B630" s="9">
        <v>1</v>
      </c>
      <c r="C630" s="9">
        <v>2001</v>
      </c>
      <c r="D630" s="9">
        <f t="shared" si="398"/>
        <v>33844879</v>
      </c>
      <c r="E630" s="9" t="str">
        <f t="shared" si="399"/>
        <v>5200132,5200133,5202132,5402132,5500133,5501134</v>
      </c>
      <c r="F630" s="9" t="str">
        <f t="shared" si="400"/>
        <v>13,13,13,13,13,13</v>
      </c>
      <c r="G630" s="9" t="str">
        <f t="shared" si="401"/>
        <v>1349,1458,1458,1458,1458,1458</v>
      </c>
      <c r="H630" s="9">
        <v>290</v>
      </c>
      <c r="I630" s="9" t="s">
        <v>278</v>
      </c>
      <c r="J630" s="9" t="s">
        <v>279</v>
      </c>
      <c r="K630" s="9" t="s">
        <v>279</v>
      </c>
      <c r="L630" s="9" t="s">
        <v>279</v>
      </c>
      <c r="M630" s="36" t="s">
        <v>317</v>
      </c>
      <c r="O630" s="3">
        <f t="shared" si="362"/>
        <v>33844879</v>
      </c>
      <c r="P630" s="9">
        <v>25640059.57</v>
      </c>
      <c r="Q630" s="9">
        <v>5200132</v>
      </c>
      <c r="R630" s="9">
        <v>5200133</v>
      </c>
      <c r="S630" s="9">
        <v>5202132</v>
      </c>
      <c r="T630" s="9">
        <v>5402132</v>
      </c>
      <c r="U630" s="9">
        <v>5500133</v>
      </c>
      <c r="V630" s="9">
        <v>5501134</v>
      </c>
      <c r="W630" s="9">
        <v>13</v>
      </c>
      <c r="X630" s="9">
        <v>13</v>
      </c>
      <c r="Y630" s="9">
        <v>13</v>
      </c>
      <c r="Z630" s="9">
        <v>13</v>
      </c>
      <c r="AA630" s="9">
        <v>13</v>
      </c>
      <c r="AB630" s="9">
        <v>13</v>
      </c>
      <c r="AC630" s="9">
        <f t="shared" si="402"/>
        <v>1349</v>
      </c>
      <c r="AD630" s="9">
        <f t="shared" si="403"/>
        <v>1458</v>
      </c>
      <c r="AE630" s="9">
        <f t="shared" si="404"/>
        <v>1458</v>
      </c>
      <c r="AF630" s="9">
        <f t="shared" si="405"/>
        <v>1458</v>
      </c>
      <c r="AG630" s="9">
        <f t="shared" si="406"/>
        <v>1458</v>
      </c>
      <c r="AH630" s="9">
        <f t="shared" si="407"/>
        <v>1458</v>
      </c>
      <c r="AI630" s="7">
        <f t="shared" si="426"/>
        <v>4273343.2616666667</v>
      </c>
      <c r="AJ630" s="7">
        <f t="shared" si="426"/>
        <v>4273343.2616666667</v>
      </c>
      <c r="AK630" s="7">
        <f t="shared" si="426"/>
        <v>4273343.2616666667</v>
      </c>
      <c r="AL630" s="7">
        <f t="shared" si="426"/>
        <v>4273343.2616666667</v>
      </c>
      <c r="AM630" s="7">
        <f t="shared" si="426"/>
        <v>4273343.2616666667</v>
      </c>
      <c r="AN630" s="7">
        <f t="shared" si="426"/>
        <v>4273343.2616666667</v>
      </c>
      <c r="BR630" s="5">
        <v>4403045</v>
      </c>
      <c r="BS630" s="18">
        <f>[1]monsters!$N630</f>
        <v>136.53</v>
      </c>
      <c r="BT630" s="18">
        <f>[1]monsters!$O630</f>
        <v>13.65</v>
      </c>
      <c r="BU630" s="18">
        <f>[1]monsters!$P630</f>
        <v>1536</v>
      </c>
      <c r="BV630" s="18">
        <f>[1]monsters!$Q630</f>
        <v>153.6</v>
      </c>
      <c r="BW630" s="18">
        <f>[1]monsters!$R630</f>
        <v>45.51</v>
      </c>
      <c r="BX630" s="18">
        <f>[1]monsters!$S630</f>
        <v>4.55</v>
      </c>
      <c r="BY630" s="18">
        <f>[1]monsters!$K630</f>
        <v>1.6</v>
      </c>
      <c r="BZ630" s="5">
        <f>[1]monsters!$D630</f>
        <v>2</v>
      </c>
      <c r="CA630" s="5">
        <f t="shared" si="389"/>
        <v>0.1</v>
      </c>
      <c r="CB630" s="5">
        <f t="shared" si="390"/>
        <v>180.73802171717173</v>
      </c>
      <c r="CC630" s="5">
        <f t="shared" si="391"/>
        <v>18.073802171717173</v>
      </c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R630" s="3" t="b">
        <f t="shared" si="408"/>
        <v>1</v>
      </c>
      <c r="CS630" s="3" t="b">
        <f t="shared" si="409"/>
        <v>1</v>
      </c>
      <c r="CT630" s="3" t="b">
        <f t="shared" si="410"/>
        <v>1</v>
      </c>
      <c r="CU630" s="3" t="b">
        <f t="shared" si="411"/>
        <v>1</v>
      </c>
      <c r="CV630" s="3" t="b">
        <f t="shared" si="412"/>
        <v>1</v>
      </c>
      <c r="CW630" s="3" t="b">
        <f t="shared" si="413"/>
        <v>1</v>
      </c>
      <c r="CX630" s="9" t="str">
        <f t="shared" si="414"/>
        <v>5200132</v>
      </c>
      <c r="CY630" s="9" t="str">
        <f t="shared" si="415"/>
        <v>5200133</v>
      </c>
      <c r="CZ630" s="9" t="str">
        <f t="shared" si="416"/>
        <v>5202132</v>
      </c>
      <c r="DA630" s="9" t="str">
        <f t="shared" si="417"/>
        <v>5402132</v>
      </c>
      <c r="DB630" s="9" t="str">
        <f t="shared" si="418"/>
        <v>5500133</v>
      </c>
      <c r="DC630" s="9" t="str">
        <f t="shared" si="419"/>
        <v>5501134</v>
      </c>
      <c r="DD630" s="9">
        <v>13</v>
      </c>
      <c r="DE630" s="9">
        <v>13</v>
      </c>
      <c r="DF630" s="9">
        <v>13</v>
      </c>
      <c r="DG630" s="9">
        <v>13</v>
      </c>
      <c r="DH630" s="9">
        <v>13</v>
      </c>
      <c r="DI630" s="9">
        <v>13</v>
      </c>
      <c r="DJ630" s="9">
        <v>5</v>
      </c>
      <c r="DK630" s="9">
        <v>5</v>
      </c>
      <c r="DL630" s="9">
        <v>5</v>
      </c>
      <c r="DM630" s="9">
        <v>5</v>
      </c>
      <c r="DN630" s="9">
        <v>5</v>
      </c>
      <c r="DO630" s="9">
        <v>5</v>
      </c>
      <c r="DP630" s="25" t="s">
        <v>199</v>
      </c>
      <c r="DQ630" s="25" t="s">
        <v>113</v>
      </c>
      <c r="DR630" s="26" t="s">
        <v>200</v>
      </c>
      <c r="DS630" s="26" t="s">
        <v>203</v>
      </c>
      <c r="DT630" s="26" t="s">
        <v>207</v>
      </c>
      <c r="DU630" s="26" t="s">
        <v>214</v>
      </c>
      <c r="DV630" s="25">
        <f t="shared" si="420"/>
        <v>1</v>
      </c>
      <c r="DW630" s="25">
        <f t="shared" si="421"/>
        <v>1</v>
      </c>
      <c r="DX630" s="25">
        <f t="shared" si="422"/>
        <v>1</v>
      </c>
      <c r="DY630" s="25">
        <f t="shared" si="423"/>
        <v>2</v>
      </c>
      <c r="DZ630" s="25">
        <f t="shared" si="424"/>
        <v>2</v>
      </c>
      <c r="EA630" s="25">
        <f t="shared" si="425"/>
        <v>2</v>
      </c>
      <c r="EB630" s="50"/>
    </row>
    <row r="631" spans="1:132" ht="13.5" customHeight="1">
      <c r="A631" s="9">
        <v>628</v>
      </c>
      <c r="B631" s="9">
        <v>1</v>
      </c>
      <c r="C631" s="9">
        <v>2001</v>
      </c>
      <c r="D631" s="9">
        <f t="shared" si="398"/>
        <v>33934609</v>
      </c>
      <c r="E631" s="9" t="str">
        <f t="shared" si="399"/>
        <v>5300135,5202135,5202135,5400135,5501135,5400135</v>
      </c>
      <c r="F631" s="9" t="str">
        <f t="shared" si="400"/>
        <v>13,13,13,13,13,13</v>
      </c>
      <c r="G631" s="9" t="str">
        <f t="shared" si="401"/>
        <v>1351,1460,1460,1460,1460,1460</v>
      </c>
      <c r="H631" s="9">
        <v>291</v>
      </c>
      <c r="I631" s="9" t="s">
        <v>278</v>
      </c>
      <c r="J631" s="9" t="s">
        <v>279</v>
      </c>
      <c r="K631" s="9" t="s">
        <v>279</v>
      </c>
      <c r="L631" s="9" t="s">
        <v>279</v>
      </c>
      <c r="M631" s="36" t="s">
        <v>317</v>
      </c>
      <c r="O631" s="3">
        <f t="shared" si="362"/>
        <v>33934609</v>
      </c>
      <c r="P631" s="9">
        <v>25708037.440000001</v>
      </c>
      <c r="Q631" s="9">
        <v>5300135</v>
      </c>
      <c r="R631" s="9">
        <v>5202135</v>
      </c>
      <c r="S631" s="9">
        <v>5202135</v>
      </c>
      <c r="T631" s="9">
        <v>5400135</v>
      </c>
      <c r="U631" s="9">
        <v>5501135</v>
      </c>
      <c r="V631" s="9">
        <v>5400135</v>
      </c>
      <c r="W631" s="9">
        <v>13</v>
      </c>
      <c r="X631" s="9">
        <v>13</v>
      </c>
      <c r="Y631" s="9">
        <v>13</v>
      </c>
      <c r="Z631" s="9">
        <v>13</v>
      </c>
      <c r="AA631" s="9">
        <v>13</v>
      </c>
      <c r="AB631" s="9">
        <v>13</v>
      </c>
      <c r="AC631" s="9">
        <f t="shared" si="402"/>
        <v>1351</v>
      </c>
      <c r="AD631" s="9">
        <f t="shared" si="403"/>
        <v>1460</v>
      </c>
      <c r="AE631" s="9">
        <f t="shared" si="404"/>
        <v>1460</v>
      </c>
      <c r="AF631" s="9">
        <f t="shared" si="405"/>
        <v>1460</v>
      </c>
      <c r="AG631" s="9">
        <f t="shared" si="406"/>
        <v>1460</v>
      </c>
      <c r="AH631" s="9">
        <f t="shared" si="407"/>
        <v>1460</v>
      </c>
      <c r="AI631" s="7">
        <f t="shared" si="426"/>
        <v>4284672.9066666672</v>
      </c>
      <c r="AJ631" s="7">
        <f t="shared" si="426"/>
        <v>4284672.9066666672</v>
      </c>
      <c r="AK631" s="7">
        <f t="shared" si="426"/>
        <v>4284672.9066666672</v>
      </c>
      <c r="AL631" s="7">
        <f t="shared" si="426"/>
        <v>4284672.9066666672</v>
      </c>
      <c r="AM631" s="7">
        <f t="shared" si="426"/>
        <v>4284672.9066666672</v>
      </c>
      <c r="AN631" s="7">
        <f t="shared" si="426"/>
        <v>4284672.9066666672</v>
      </c>
      <c r="BR631" s="5">
        <v>4204045</v>
      </c>
      <c r="BS631" s="18">
        <f>[1]monsters!$N631</f>
        <v>136.53</v>
      </c>
      <c r="BT631" s="18">
        <f>[1]monsters!$O631</f>
        <v>13.65</v>
      </c>
      <c r="BU631" s="18">
        <f>[1]monsters!$P631</f>
        <v>1536</v>
      </c>
      <c r="BV631" s="18">
        <f>[1]monsters!$Q631</f>
        <v>153.6</v>
      </c>
      <c r="BW631" s="18">
        <f>[1]monsters!$R631</f>
        <v>45.51</v>
      </c>
      <c r="BX631" s="18">
        <f>[1]monsters!$S631</f>
        <v>4.55</v>
      </c>
      <c r="BY631" s="18">
        <f>[1]monsters!$K631</f>
        <v>1.6</v>
      </c>
      <c r="BZ631" s="5">
        <f>[1]monsters!$D631</f>
        <v>2</v>
      </c>
      <c r="CA631" s="5">
        <f t="shared" si="389"/>
        <v>0.1</v>
      </c>
      <c r="CB631" s="5">
        <f t="shared" si="390"/>
        <v>180.73802171717173</v>
      </c>
      <c r="CC631" s="5">
        <f t="shared" si="391"/>
        <v>18.073802171717173</v>
      </c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R631" s="3" t="b">
        <f t="shared" si="408"/>
        <v>1</v>
      </c>
      <c r="CS631" s="3" t="b">
        <f t="shared" si="409"/>
        <v>1</v>
      </c>
      <c r="CT631" s="3" t="b">
        <f t="shared" si="410"/>
        <v>1</v>
      </c>
      <c r="CU631" s="3" t="b">
        <f t="shared" si="411"/>
        <v>1</v>
      </c>
      <c r="CV631" s="3" t="b">
        <f t="shared" si="412"/>
        <v>1</v>
      </c>
      <c r="CW631" s="3" t="b">
        <f t="shared" si="413"/>
        <v>1</v>
      </c>
      <c r="CX631" s="9" t="str">
        <f t="shared" si="414"/>
        <v>5300135</v>
      </c>
      <c r="CY631" s="9" t="str">
        <f t="shared" si="415"/>
        <v>5202135</v>
      </c>
      <c r="CZ631" s="9" t="str">
        <f t="shared" si="416"/>
        <v>5202135</v>
      </c>
      <c r="DA631" s="9" t="str">
        <f t="shared" si="417"/>
        <v>5400135</v>
      </c>
      <c r="DB631" s="9" t="str">
        <f t="shared" si="418"/>
        <v>5501135</v>
      </c>
      <c r="DC631" s="9" t="str">
        <f t="shared" si="419"/>
        <v>5400135</v>
      </c>
      <c r="DD631" s="9">
        <v>13</v>
      </c>
      <c r="DE631" s="9">
        <v>13</v>
      </c>
      <c r="DF631" s="9">
        <v>13</v>
      </c>
      <c r="DG631" s="9">
        <v>13</v>
      </c>
      <c r="DH631" s="9">
        <v>13</v>
      </c>
      <c r="DI631" s="9">
        <v>13</v>
      </c>
      <c r="DJ631" s="9">
        <v>5</v>
      </c>
      <c r="DK631" s="9">
        <v>5</v>
      </c>
      <c r="DL631" s="9">
        <v>5</v>
      </c>
      <c r="DM631" s="9">
        <v>5</v>
      </c>
      <c r="DN631" s="9">
        <v>5</v>
      </c>
      <c r="DO631" s="9">
        <v>5</v>
      </c>
      <c r="DP631" s="25" t="s">
        <v>212</v>
      </c>
      <c r="DQ631" s="25" t="s">
        <v>213</v>
      </c>
      <c r="DR631" s="25" t="s">
        <v>213</v>
      </c>
      <c r="DS631" s="26" t="s">
        <v>210</v>
      </c>
      <c r="DT631" s="26" t="s">
        <v>209</v>
      </c>
      <c r="DU631" s="26" t="s">
        <v>210</v>
      </c>
      <c r="DV631" s="25">
        <f t="shared" si="420"/>
        <v>1</v>
      </c>
      <c r="DW631" s="25">
        <f t="shared" si="421"/>
        <v>1</v>
      </c>
      <c r="DX631" s="25">
        <f t="shared" si="422"/>
        <v>1</v>
      </c>
      <c r="DY631" s="25">
        <f t="shared" si="423"/>
        <v>2</v>
      </c>
      <c r="DZ631" s="25">
        <f t="shared" si="424"/>
        <v>2</v>
      </c>
      <c r="EA631" s="25">
        <f t="shared" si="425"/>
        <v>2</v>
      </c>
      <c r="EB631" s="50"/>
    </row>
    <row r="632" spans="1:132" ht="13.5" customHeight="1">
      <c r="A632" s="9">
        <v>629</v>
      </c>
      <c r="B632" s="9">
        <v>1</v>
      </c>
      <c r="C632" s="9">
        <v>2001</v>
      </c>
      <c r="D632" s="9">
        <f t="shared" si="398"/>
        <v>34024460</v>
      </c>
      <c r="E632" s="9" t="str">
        <f t="shared" si="399"/>
        <v>5201131,5200132,5201131,5502132,5500131,5601132</v>
      </c>
      <c r="F632" s="9" t="str">
        <f t="shared" si="400"/>
        <v>13,13,13,13,13,13</v>
      </c>
      <c r="G632" s="9" t="str">
        <f t="shared" si="401"/>
        <v>1353,1462,1462,1462,1462,1462</v>
      </c>
      <c r="H632" s="9">
        <v>291</v>
      </c>
      <c r="I632" s="9" t="s">
        <v>278</v>
      </c>
      <c r="J632" s="9" t="s">
        <v>279</v>
      </c>
      <c r="K632" s="9" t="s">
        <v>279</v>
      </c>
      <c r="L632" s="9" t="s">
        <v>279</v>
      </c>
      <c r="M632" s="36" t="s">
        <v>317</v>
      </c>
      <c r="O632" s="3">
        <f t="shared" ref="O632:O695" si="427">ROUND(P632*1.1*1.2,0)</f>
        <v>34024460</v>
      </c>
      <c r="P632" s="9">
        <v>25776106.039999999</v>
      </c>
      <c r="Q632" s="9">
        <v>5201131</v>
      </c>
      <c r="R632" s="9">
        <v>5200132</v>
      </c>
      <c r="S632" s="9">
        <v>5201131</v>
      </c>
      <c r="T632" s="9">
        <v>5502132</v>
      </c>
      <c r="U632" s="9">
        <v>5500131</v>
      </c>
      <c r="V632" s="9">
        <v>5601132</v>
      </c>
      <c r="W632" s="9">
        <v>13</v>
      </c>
      <c r="X632" s="9">
        <v>13</v>
      </c>
      <c r="Y632" s="9">
        <v>13</v>
      </c>
      <c r="Z632" s="9">
        <v>13</v>
      </c>
      <c r="AA632" s="9">
        <v>13</v>
      </c>
      <c r="AB632" s="9">
        <v>13</v>
      </c>
      <c r="AC632" s="9">
        <f t="shared" si="402"/>
        <v>1353</v>
      </c>
      <c r="AD632" s="9">
        <f t="shared" si="403"/>
        <v>1462</v>
      </c>
      <c r="AE632" s="9">
        <f t="shared" si="404"/>
        <v>1462</v>
      </c>
      <c r="AF632" s="9">
        <f t="shared" si="405"/>
        <v>1462</v>
      </c>
      <c r="AG632" s="9">
        <f t="shared" si="406"/>
        <v>1462</v>
      </c>
      <c r="AH632" s="9">
        <f t="shared" si="407"/>
        <v>1462</v>
      </c>
      <c r="AI632" s="7">
        <f t="shared" si="426"/>
        <v>4296017.6733333329</v>
      </c>
      <c r="AJ632" s="7">
        <f t="shared" si="426"/>
        <v>4296017.6733333329</v>
      </c>
      <c r="AK632" s="7">
        <f t="shared" si="426"/>
        <v>4296017.6733333329</v>
      </c>
      <c r="AL632" s="7">
        <f t="shared" si="426"/>
        <v>4296017.6733333329</v>
      </c>
      <c r="AM632" s="7">
        <f t="shared" si="426"/>
        <v>4296017.6733333329</v>
      </c>
      <c r="AN632" s="7">
        <f t="shared" si="426"/>
        <v>4296017.6733333329</v>
      </c>
      <c r="BR632" s="5">
        <v>4404045</v>
      </c>
      <c r="BS632" s="18">
        <f>[1]monsters!$N632</f>
        <v>153.6</v>
      </c>
      <c r="BT632" s="18">
        <f>[1]monsters!$O632</f>
        <v>15.36</v>
      </c>
      <c r="BU632" s="18">
        <f>[1]monsters!$P632</f>
        <v>1728</v>
      </c>
      <c r="BV632" s="18">
        <f>[1]monsters!$Q632</f>
        <v>172.8</v>
      </c>
      <c r="BW632" s="18">
        <f>[1]monsters!$R632</f>
        <v>51.2</v>
      </c>
      <c r="BX632" s="18">
        <f>[1]monsters!$S632</f>
        <v>5.12</v>
      </c>
      <c r="BY632" s="18">
        <f>[1]monsters!$K632</f>
        <v>1.6</v>
      </c>
      <c r="BZ632" s="5">
        <f>[1]monsters!$D632</f>
        <v>2</v>
      </c>
      <c r="CA632" s="5">
        <f t="shared" si="389"/>
        <v>0.1</v>
      </c>
      <c r="CB632" s="5">
        <f t="shared" si="390"/>
        <v>203.3338181818182</v>
      </c>
      <c r="CC632" s="5">
        <f t="shared" si="391"/>
        <v>20.33338181818182</v>
      </c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R632" s="3" t="b">
        <f t="shared" si="408"/>
        <v>1</v>
      </c>
      <c r="CS632" s="3" t="b">
        <f t="shared" si="409"/>
        <v>1</v>
      </c>
      <c r="CT632" s="3" t="b">
        <f t="shared" si="410"/>
        <v>1</v>
      </c>
      <c r="CU632" s="3" t="b">
        <f t="shared" si="411"/>
        <v>1</v>
      </c>
      <c r="CV632" s="3" t="b">
        <f t="shared" si="412"/>
        <v>1</v>
      </c>
      <c r="CW632" s="3" t="b">
        <f t="shared" si="413"/>
        <v>1</v>
      </c>
      <c r="CX632" s="9" t="str">
        <f t="shared" si="414"/>
        <v>5201131</v>
      </c>
      <c r="CY632" s="9" t="str">
        <f t="shared" si="415"/>
        <v>5200132</v>
      </c>
      <c r="CZ632" s="9" t="str">
        <f t="shared" si="416"/>
        <v>5201131</v>
      </c>
      <c r="DA632" s="9" t="str">
        <f t="shared" si="417"/>
        <v>5502132</v>
      </c>
      <c r="DB632" s="9" t="str">
        <f t="shared" si="418"/>
        <v>5500131</v>
      </c>
      <c r="DC632" s="9" t="str">
        <f t="shared" si="419"/>
        <v>5601132</v>
      </c>
      <c r="DD632" s="9">
        <v>13</v>
      </c>
      <c r="DE632" s="9">
        <v>13</v>
      </c>
      <c r="DF632" s="9">
        <v>13</v>
      </c>
      <c r="DG632" s="9">
        <v>13</v>
      </c>
      <c r="DH632" s="9">
        <v>13</v>
      </c>
      <c r="DI632" s="9">
        <v>13</v>
      </c>
      <c r="DJ632" s="9">
        <v>5</v>
      </c>
      <c r="DK632" s="9">
        <v>5</v>
      </c>
      <c r="DL632" s="9">
        <v>5</v>
      </c>
      <c r="DM632" s="9">
        <v>5</v>
      </c>
      <c r="DN632" s="9">
        <v>5</v>
      </c>
      <c r="DO632" s="9">
        <v>5</v>
      </c>
      <c r="DP632" s="25" t="s">
        <v>195</v>
      </c>
      <c r="DQ632" s="25" t="s">
        <v>199</v>
      </c>
      <c r="DR632" s="26" t="s">
        <v>195</v>
      </c>
      <c r="DS632" s="28" t="s">
        <v>204</v>
      </c>
      <c r="DT632" s="26" t="s">
        <v>197</v>
      </c>
      <c r="DU632" s="26" t="s">
        <v>124</v>
      </c>
      <c r="DV632" s="25">
        <f t="shared" si="420"/>
        <v>1</v>
      </c>
      <c r="DW632" s="25">
        <f t="shared" si="421"/>
        <v>1</v>
      </c>
      <c r="DX632" s="25">
        <f t="shared" si="422"/>
        <v>1</v>
      </c>
      <c r="DY632" s="25">
        <f t="shared" si="423"/>
        <v>2</v>
      </c>
      <c r="DZ632" s="25">
        <f t="shared" si="424"/>
        <v>2</v>
      </c>
      <c r="EA632" s="25">
        <f t="shared" si="425"/>
        <v>2</v>
      </c>
      <c r="EB632" s="51"/>
    </row>
    <row r="633" spans="1:132" ht="13.5" customHeight="1">
      <c r="A633" s="9">
        <v>630</v>
      </c>
      <c r="B633" s="9">
        <v>1</v>
      </c>
      <c r="C633" s="9">
        <v>2001</v>
      </c>
      <c r="D633" s="9">
        <f t="shared" si="398"/>
        <v>34114428</v>
      </c>
      <c r="E633" s="9" t="str">
        <f t="shared" si="399"/>
        <v>5200132,5200133,5200132,5501134,5500133,5501134</v>
      </c>
      <c r="F633" s="9" t="str">
        <f t="shared" si="400"/>
        <v>13,13,13,13,13,13</v>
      </c>
      <c r="G633" s="9" t="str">
        <f t="shared" si="401"/>
        <v>1354,1464,1464,1464,1464,1464</v>
      </c>
      <c r="H633" s="9">
        <v>292</v>
      </c>
      <c r="I633" s="9" t="s">
        <v>278</v>
      </c>
      <c r="J633" s="9" t="s">
        <v>279</v>
      </c>
      <c r="K633" s="9" t="s">
        <v>279</v>
      </c>
      <c r="L633" s="9" t="s">
        <v>279</v>
      </c>
      <c r="M633" s="36" t="s">
        <v>317</v>
      </c>
      <c r="O633" s="3">
        <f t="shared" si="427"/>
        <v>34114428</v>
      </c>
      <c r="P633" s="9">
        <v>25844263.260000002</v>
      </c>
      <c r="Q633" s="9">
        <v>5200132</v>
      </c>
      <c r="R633" s="9">
        <v>5200133</v>
      </c>
      <c r="S633" s="9">
        <v>5200132</v>
      </c>
      <c r="T633" s="9">
        <v>5501134</v>
      </c>
      <c r="U633" s="9">
        <v>5500133</v>
      </c>
      <c r="V633" s="9">
        <v>5501134</v>
      </c>
      <c r="W633" s="9">
        <v>13</v>
      </c>
      <c r="X633" s="9">
        <v>13</v>
      </c>
      <c r="Y633" s="9">
        <v>13</v>
      </c>
      <c r="Z633" s="9">
        <v>13</v>
      </c>
      <c r="AA633" s="9">
        <v>13</v>
      </c>
      <c r="AB633" s="9">
        <v>13</v>
      </c>
      <c r="AC633" s="9">
        <f t="shared" si="402"/>
        <v>1354</v>
      </c>
      <c r="AD633" s="9">
        <f t="shared" si="403"/>
        <v>1464</v>
      </c>
      <c r="AE633" s="9">
        <f t="shared" si="404"/>
        <v>1464</v>
      </c>
      <c r="AF633" s="9">
        <f t="shared" si="405"/>
        <v>1464</v>
      </c>
      <c r="AG633" s="9">
        <f t="shared" si="406"/>
        <v>1464</v>
      </c>
      <c r="AH633" s="9">
        <f t="shared" si="407"/>
        <v>1464</v>
      </c>
      <c r="AI633" s="7">
        <f t="shared" si="426"/>
        <v>4307377.21</v>
      </c>
      <c r="AJ633" s="7">
        <f t="shared" si="426"/>
        <v>4307377.21</v>
      </c>
      <c r="AK633" s="7">
        <f t="shared" si="426"/>
        <v>4307377.21</v>
      </c>
      <c r="AL633" s="7">
        <f t="shared" si="426"/>
        <v>4307377.21</v>
      </c>
      <c r="AM633" s="7">
        <f t="shared" si="426"/>
        <v>4307377.21</v>
      </c>
      <c r="AN633" s="7">
        <f t="shared" si="426"/>
        <v>4307377.21</v>
      </c>
      <c r="BR633" s="5">
        <v>4303045</v>
      </c>
      <c r="BS633" s="18">
        <f>[1]monsters!$N633</f>
        <v>153.6</v>
      </c>
      <c r="BT633" s="18">
        <f>[1]monsters!$O633</f>
        <v>15.36</v>
      </c>
      <c r="BU633" s="18">
        <f>[1]monsters!$P633</f>
        <v>1728</v>
      </c>
      <c r="BV633" s="18">
        <f>[1]monsters!$Q633</f>
        <v>172.8</v>
      </c>
      <c r="BW633" s="18">
        <f>[1]monsters!$R633</f>
        <v>51.2</v>
      </c>
      <c r="BX633" s="18">
        <f>[1]monsters!$S633</f>
        <v>5.12</v>
      </c>
      <c r="BY633" s="18">
        <f>[1]monsters!$K633</f>
        <v>1.6</v>
      </c>
      <c r="BZ633" s="5">
        <f>[1]monsters!$D633</f>
        <v>2</v>
      </c>
      <c r="CA633" s="5">
        <f t="shared" si="389"/>
        <v>0.1</v>
      </c>
      <c r="CB633" s="5">
        <f t="shared" si="390"/>
        <v>203.3338181818182</v>
      </c>
      <c r="CC633" s="5">
        <f t="shared" si="391"/>
        <v>20.33338181818182</v>
      </c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R633" s="3" t="b">
        <f t="shared" si="408"/>
        <v>1</v>
      </c>
      <c r="CS633" s="3" t="b">
        <f t="shared" si="409"/>
        <v>1</v>
      </c>
      <c r="CT633" s="3" t="b">
        <f t="shared" si="410"/>
        <v>1</v>
      </c>
      <c r="CU633" s="3" t="b">
        <f t="shared" si="411"/>
        <v>1</v>
      </c>
      <c r="CV633" s="3" t="b">
        <f t="shared" si="412"/>
        <v>1</v>
      </c>
      <c r="CW633" s="3" t="b">
        <f t="shared" si="413"/>
        <v>1</v>
      </c>
      <c r="CX633" s="9" t="str">
        <f t="shared" si="414"/>
        <v>5200132</v>
      </c>
      <c r="CY633" s="9" t="str">
        <f t="shared" si="415"/>
        <v>5200133</v>
      </c>
      <c r="CZ633" s="9" t="str">
        <f t="shared" si="416"/>
        <v>5200132</v>
      </c>
      <c r="DA633" s="9" t="str">
        <f t="shared" si="417"/>
        <v>5501134</v>
      </c>
      <c r="DB633" s="9" t="str">
        <f t="shared" si="418"/>
        <v>5500133</v>
      </c>
      <c r="DC633" s="9" t="str">
        <f t="shared" si="419"/>
        <v>5501134</v>
      </c>
      <c r="DD633" s="9">
        <v>13</v>
      </c>
      <c r="DE633" s="9">
        <v>13</v>
      </c>
      <c r="DF633" s="9">
        <v>13</v>
      </c>
      <c r="DG633" s="9">
        <v>13</v>
      </c>
      <c r="DH633" s="9">
        <v>13</v>
      </c>
      <c r="DI633" s="9">
        <v>13</v>
      </c>
      <c r="DJ633" s="9">
        <v>5</v>
      </c>
      <c r="DK633" s="9">
        <v>5</v>
      </c>
      <c r="DL633" s="9">
        <v>5</v>
      </c>
      <c r="DM633" s="9">
        <v>5</v>
      </c>
      <c r="DN633" s="9">
        <v>5</v>
      </c>
      <c r="DO633" s="9">
        <v>5</v>
      </c>
      <c r="DP633" s="25" t="s">
        <v>199</v>
      </c>
      <c r="DQ633" s="25" t="s">
        <v>113</v>
      </c>
      <c r="DR633" s="25" t="s">
        <v>199</v>
      </c>
      <c r="DS633" s="26" t="s">
        <v>214</v>
      </c>
      <c r="DT633" s="26" t="s">
        <v>207</v>
      </c>
      <c r="DU633" s="26" t="s">
        <v>214</v>
      </c>
      <c r="DV633" s="25">
        <f t="shared" si="420"/>
        <v>1</v>
      </c>
      <c r="DW633" s="25">
        <f t="shared" si="421"/>
        <v>1</v>
      </c>
      <c r="DX633" s="25">
        <f t="shared" si="422"/>
        <v>1</v>
      </c>
      <c r="DY633" s="25">
        <f t="shared" si="423"/>
        <v>2</v>
      </c>
      <c r="DZ633" s="25">
        <f t="shared" si="424"/>
        <v>2</v>
      </c>
      <c r="EA633" s="25">
        <f t="shared" si="425"/>
        <v>2</v>
      </c>
      <c r="EB633" s="50"/>
    </row>
    <row r="634" spans="1:132" ht="13.5" customHeight="1">
      <c r="A634" s="9">
        <v>631</v>
      </c>
      <c r="B634" s="9">
        <v>1</v>
      </c>
      <c r="C634" s="9">
        <v>2001</v>
      </c>
      <c r="D634" s="9">
        <f t="shared" si="398"/>
        <v>34204518</v>
      </c>
      <c r="E634" s="9" t="str">
        <f t="shared" si="399"/>
        <v>5202132,5201132,5301131,5400135,5501135,5402131</v>
      </c>
      <c r="F634" s="9" t="str">
        <f t="shared" si="400"/>
        <v>13,13,13,13,13,13</v>
      </c>
      <c r="G634" s="9" t="str">
        <f t="shared" si="401"/>
        <v>1356,1466,1466,1466,1466,1466</v>
      </c>
      <c r="H634" s="9">
        <v>292</v>
      </c>
      <c r="I634" s="9" t="s">
        <v>278</v>
      </c>
      <c r="J634" s="9" t="s">
        <v>279</v>
      </c>
      <c r="K634" s="9" t="s">
        <v>279</v>
      </c>
      <c r="L634" s="9" t="s">
        <v>279</v>
      </c>
      <c r="M634" s="36" t="s">
        <v>317</v>
      </c>
      <c r="O634" s="3">
        <f t="shared" si="427"/>
        <v>34204518</v>
      </c>
      <c r="P634" s="9">
        <v>25912513.32</v>
      </c>
      <c r="Q634" s="9">
        <v>5202132</v>
      </c>
      <c r="R634" s="9">
        <v>5201132</v>
      </c>
      <c r="S634" s="9">
        <v>5301131</v>
      </c>
      <c r="T634" s="9">
        <v>5400135</v>
      </c>
      <c r="U634" s="9">
        <v>5501135</v>
      </c>
      <c r="V634" s="9">
        <v>5402131</v>
      </c>
      <c r="W634" s="9">
        <v>13</v>
      </c>
      <c r="X634" s="9">
        <v>13</v>
      </c>
      <c r="Y634" s="9">
        <v>13</v>
      </c>
      <c r="Z634" s="9">
        <v>13</v>
      </c>
      <c r="AA634" s="9">
        <v>13</v>
      </c>
      <c r="AB634" s="9">
        <v>13</v>
      </c>
      <c r="AC634" s="9">
        <f t="shared" si="402"/>
        <v>1356</v>
      </c>
      <c r="AD634" s="9">
        <f t="shared" si="403"/>
        <v>1466</v>
      </c>
      <c r="AE634" s="9">
        <f t="shared" si="404"/>
        <v>1466</v>
      </c>
      <c r="AF634" s="9">
        <f t="shared" si="405"/>
        <v>1466</v>
      </c>
      <c r="AG634" s="9">
        <f t="shared" si="406"/>
        <v>1466</v>
      </c>
      <c r="AH634" s="9">
        <f t="shared" si="407"/>
        <v>1466</v>
      </c>
      <c r="AI634" s="7">
        <f t="shared" si="426"/>
        <v>4318752.22</v>
      </c>
      <c r="AJ634" s="7">
        <f t="shared" si="426"/>
        <v>4318752.22</v>
      </c>
      <c r="AK634" s="7">
        <f t="shared" si="426"/>
        <v>4318752.22</v>
      </c>
      <c r="AL634" s="7">
        <f t="shared" si="426"/>
        <v>4318752.22</v>
      </c>
      <c r="AM634" s="7">
        <f t="shared" si="426"/>
        <v>4318752.22</v>
      </c>
      <c r="AN634" s="7">
        <f t="shared" si="426"/>
        <v>4318752.22</v>
      </c>
      <c r="BR634" s="5">
        <v>4304045</v>
      </c>
      <c r="BS634" s="18">
        <f>[1]monsters!$N634</f>
        <v>153.6</v>
      </c>
      <c r="BT634" s="18">
        <f>[1]monsters!$O634</f>
        <v>15.36</v>
      </c>
      <c r="BU634" s="18">
        <f>[1]monsters!$P634</f>
        <v>1728</v>
      </c>
      <c r="BV634" s="18">
        <f>[1]monsters!$Q634</f>
        <v>172.8</v>
      </c>
      <c r="BW634" s="18">
        <f>[1]monsters!$R634</f>
        <v>51.2</v>
      </c>
      <c r="BX634" s="18">
        <f>[1]monsters!$S634</f>
        <v>5.12</v>
      </c>
      <c r="BY634" s="18">
        <f>[1]monsters!$K634</f>
        <v>1.6</v>
      </c>
      <c r="BZ634" s="5">
        <f>[1]monsters!$D634</f>
        <v>2</v>
      </c>
      <c r="CA634" s="5">
        <f t="shared" si="389"/>
        <v>0.1</v>
      </c>
      <c r="CB634" s="5">
        <f t="shared" si="390"/>
        <v>203.3338181818182</v>
      </c>
      <c r="CC634" s="5">
        <f t="shared" si="391"/>
        <v>20.33338181818182</v>
      </c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R634" s="3" t="b">
        <f t="shared" si="408"/>
        <v>1</v>
      </c>
      <c r="CS634" s="3" t="b">
        <f t="shared" si="409"/>
        <v>1</v>
      </c>
      <c r="CT634" s="3" t="b">
        <f t="shared" si="410"/>
        <v>1</v>
      </c>
      <c r="CU634" s="3" t="b">
        <f t="shared" si="411"/>
        <v>1</v>
      </c>
      <c r="CV634" s="3" t="b">
        <f t="shared" si="412"/>
        <v>1</v>
      </c>
      <c r="CW634" s="3" t="b">
        <f t="shared" si="413"/>
        <v>1</v>
      </c>
      <c r="CX634" s="9" t="str">
        <f t="shared" si="414"/>
        <v>5202132</v>
      </c>
      <c r="CY634" s="9" t="str">
        <f t="shared" si="415"/>
        <v>5201132</v>
      </c>
      <c r="CZ634" s="9" t="str">
        <f t="shared" si="416"/>
        <v>5301131</v>
      </c>
      <c r="DA634" s="9" t="str">
        <f t="shared" si="417"/>
        <v>5400135</v>
      </c>
      <c r="DB634" s="9" t="str">
        <f t="shared" si="418"/>
        <v>5501135</v>
      </c>
      <c r="DC634" s="9" t="str">
        <f t="shared" si="419"/>
        <v>5402131</v>
      </c>
      <c r="DD634" s="9">
        <v>13</v>
      </c>
      <c r="DE634" s="9">
        <v>13</v>
      </c>
      <c r="DF634" s="9">
        <v>13</v>
      </c>
      <c r="DG634" s="9">
        <v>13</v>
      </c>
      <c r="DH634" s="9">
        <v>13</v>
      </c>
      <c r="DI634" s="9">
        <v>13</v>
      </c>
      <c r="DJ634" s="9">
        <v>5</v>
      </c>
      <c r="DK634" s="9">
        <v>5</v>
      </c>
      <c r="DL634" s="9">
        <v>5</v>
      </c>
      <c r="DM634" s="9">
        <v>5</v>
      </c>
      <c r="DN634" s="9">
        <v>5</v>
      </c>
      <c r="DO634" s="9">
        <v>5</v>
      </c>
      <c r="DP634" s="25" t="s">
        <v>200</v>
      </c>
      <c r="DQ634" s="25" t="s">
        <v>114</v>
      </c>
      <c r="DR634" s="25" t="s">
        <v>107</v>
      </c>
      <c r="DS634" s="25" t="s">
        <v>210</v>
      </c>
      <c r="DT634" s="25" t="s">
        <v>209</v>
      </c>
      <c r="DU634" s="25" t="s">
        <v>196</v>
      </c>
      <c r="DV634" s="25">
        <f t="shared" si="420"/>
        <v>1</v>
      </c>
      <c r="DW634" s="25">
        <f t="shared" si="421"/>
        <v>1</v>
      </c>
      <c r="DX634" s="25">
        <f t="shared" si="422"/>
        <v>1</v>
      </c>
      <c r="DY634" s="25">
        <f t="shared" si="423"/>
        <v>2</v>
      </c>
      <c r="DZ634" s="25">
        <f t="shared" si="424"/>
        <v>2</v>
      </c>
      <c r="EA634" s="25">
        <f t="shared" si="425"/>
        <v>2</v>
      </c>
      <c r="EB634" s="50"/>
    </row>
    <row r="635" spans="1:132" ht="13.5" customHeight="1">
      <c r="A635" s="9">
        <v>632</v>
      </c>
      <c r="B635" s="9">
        <v>1</v>
      </c>
      <c r="C635" s="9">
        <v>2001</v>
      </c>
      <c r="D635" s="9">
        <f t="shared" si="398"/>
        <v>34294725</v>
      </c>
      <c r="E635" s="9" t="str">
        <f t="shared" si="399"/>
        <v>5301131,5301132,5301133,5500132,5500131,5500132</v>
      </c>
      <c r="F635" s="9" t="str">
        <f t="shared" si="400"/>
        <v>13,13,13,13,13,13</v>
      </c>
      <c r="G635" s="9" t="str">
        <f t="shared" si="401"/>
        <v>1358,1468,1468,1468,1468,1468</v>
      </c>
      <c r="H635" s="9">
        <v>292</v>
      </c>
      <c r="I635" s="9" t="s">
        <v>278</v>
      </c>
      <c r="J635" s="9" t="s">
        <v>279</v>
      </c>
      <c r="K635" s="9" t="s">
        <v>279</v>
      </c>
      <c r="L635" s="9" t="s">
        <v>279</v>
      </c>
      <c r="M635" s="36" t="s">
        <v>317</v>
      </c>
      <c r="O635" s="3">
        <f t="shared" si="427"/>
        <v>34294725</v>
      </c>
      <c r="P635" s="9">
        <v>25980852</v>
      </c>
      <c r="Q635" s="9">
        <v>5301131</v>
      </c>
      <c r="R635" s="9">
        <v>5301132</v>
      </c>
      <c r="S635" s="9">
        <v>5301133</v>
      </c>
      <c r="T635" s="9">
        <v>5500132</v>
      </c>
      <c r="U635" s="9">
        <v>5500131</v>
      </c>
      <c r="V635" s="9">
        <v>5500132</v>
      </c>
      <c r="W635" s="9">
        <v>13</v>
      </c>
      <c r="X635" s="9">
        <v>13</v>
      </c>
      <c r="Y635" s="9">
        <v>13</v>
      </c>
      <c r="Z635" s="9">
        <v>13</v>
      </c>
      <c r="AA635" s="9">
        <v>13</v>
      </c>
      <c r="AB635" s="9">
        <v>13</v>
      </c>
      <c r="AC635" s="9">
        <f t="shared" si="402"/>
        <v>1358</v>
      </c>
      <c r="AD635" s="9">
        <f t="shared" si="403"/>
        <v>1468</v>
      </c>
      <c r="AE635" s="9">
        <f t="shared" si="404"/>
        <v>1468</v>
      </c>
      <c r="AF635" s="9">
        <f t="shared" si="405"/>
        <v>1468</v>
      </c>
      <c r="AG635" s="9">
        <f t="shared" si="406"/>
        <v>1468</v>
      </c>
      <c r="AH635" s="9">
        <f t="shared" si="407"/>
        <v>1468</v>
      </c>
      <c r="AI635" s="7">
        <f t="shared" si="426"/>
        <v>4330142</v>
      </c>
      <c r="AJ635" s="7">
        <f t="shared" si="426"/>
        <v>4330142</v>
      </c>
      <c r="AK635" s="7">
        <f t="shared" si="426"/>
        <v>4330142</v>
      </c>
      <c r="AL635" s="7">
        <f t="shared" si="426"/>
        <v>4330142</v>
      </c>
      <c r="AM635" s="7">
        <f t="shared" si="426"/>
        <v>4330142</v>
      </c>
      <c r="AN635" s="7">
        <f t="shared" si="426"/>
        <v>4330142</v>
      </c>
      <c r="BR635" s="5">
        <v>4503045</v>
      </c>
      <c r="BS635" s="18">
        <f>[1]monsters!$N635</f>
        <v>153.6</v>
      </c>
      <c r="BT635" s="18">
        <f>[1]monsters!$O635</f>
        <v>15.36</v>
      </c>
      <c r="BU635" s="18">
        <f>[1]monsters!$P635</f>
        <v>1728</v>
      </c>
      <c r="BV635" s="18">
        <f>[1]monsters!$Q635</f>
        <v>172.8</v>
      </c>
      <c r="BW635" s="18">
        <f>[1]monsters!$R635</f>
        <v>51.2</v>
      </c>
      <c r="BX635" s="18">
        <f>[1]monsters!$S635</f>
        <v>5.12</v>
      </c>
      <c r="BY635" s="18">
        <f>[1]monsters!$K635</f>
        <v>1.6</v>
      </c>
      <c r="BZ635" s="5">
        <f>[1]monsters!$D635</f>
        <v>2</v>
      </c>
      <c r="CA635" s="5">
        <f t="shared" si="389"/>
        <v>0.1</v>
      </c>
      <c r="CB635" s="5">
        <f t="shared" si="390"/>
        <v>203.3338181818182</v>
      </c>
      <c r="CC635" s="5">
        <f t="shared" si="391"/>
        <v>20.33338181818182</v>
      </c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R635" s="3" t="b">
        <f t="shared" si="408"/>
        <v>1</v>
      </c>
      <c r="CS635" s="3" t="b">
        <f t="shared" si="409"/>
        <v>1</v>
      </c>
      <c r="CT635" s="3" t="b">
        <f t="shared" si="410"/>
        <v>1</v>
      </c>
      <c r="CU635" s="3" t="b">
        <f t="shared" si="411"/>
        <v>1</v>
      </c>
      <c r="CV635" s="3" t="b">
        <f t="shared" si="412"/>
        <v>1</v>
      </c>
      <c r="CW635" s="3" t="b">
        <f t="shared" si="413"/>
        <v>1</v>
      </c>
      <c r="CX635" s="9" t="str">
        <f t="shared" si="414"/>
        <v>5301131</v>
      </c>
      <c r="CY635" s="9" t="str">
        <f t="shared" si="415"/>
        <v>5301132</v>
      </c>
      <c r="CZ635" s="9" t="str">
        <f t="shared" si="416"/>
        <v>5301133</v>
      </c>
      <c r="DA635" s="9" t="str">
        <f t="shared" si="417"/>
        <v>5500132</v>
      </c>
      <c r="DB635" s="9" t="str">
        <f t="shared" si="418"/>
        <v>5500131</v>
      </c>
      <c r="DC635" s="9" t="str">
        <f t="shared" si="419"/>
        <v>5500132</v>
      </c>
      <c r="DD635" s="9">
        <v>13</v>
      </c>
      <c r="DE635" s="9">
        <v>13</v>
      </c>
      <c r="DF635" s="9">
        <v>13</v>
      </c>
      <c r="DG635" s="9">
        <v>13</v>
      </c>
      <c r="DH635" s="9">
        <v>13</v>
      </c>
      <c r="DI635" s="9">
        <v>13</v>
      </c>
      <c r="DJ635" s="9">
        <v>5</v>
      </c>
      <c r="DK635" s="9">
        <v>5</v>
      </c>
      <c r="DL635" s="9">
        <v>5</v>
      </c>
      <c r="DM635" s="9">
        <v>5</v>
      </c>
      <c r="DN635" s="9">
        <v>5</v>
      </c>
      <c r="DO635" s="9">
        <v>5</v>
      </c>
      <c r="DP635" s="26" t="s">
        <v>107</v>
      </c>
      <c r="DQ635" s="26" t="s">
        <v>201</v>
      </c>
      <c r="DR635" s="26" t="s">
        <v>206</v>
      </c>
      <c r="DS635" s="26" t="s">
        <v>109</v>
      </c>
      <c r="DT635" s="26" t="s">
        <v>197</v>
      </c>
      <c r="DU635" s="26" t="s">
        <v>109</v>
      </c>
      <c r="DV635" s="25">
        <f t="shared" si="420"/>
        <v>1</v>
      </c>
      <c r="DW635" s="25">
        <f t="shared" si="421"/>
        <v>1</v>
      </c>
      <c r="DX635" s="25">
        <f t="shared" si="422"/>
        <v>1</v>
      </c>
      <c r="DY635" s="25">
        <f t="shared" si="423"/>
        <v>2</v>
      </c>
      <c r="DZ635" s="25">
        <f t="shared" si="424"/>
        <v>2</v>
      </c>
      <c r="EA635" s="25">
        <f t="shared" si="425"/>
        <v>2</v>
      </c>
      <c r="EB635" s="51"/>
    </row>
    <row r="636" spans="1:132" ht="13.5" customHeight="1">
      <c r="A636" s="9">
        <v>633</v>
      </c>
      <c r="B636" s="9">
        <v>1</v>
      </c>
      <c r="C636" s="9">
        <v>2001</v>
      </c>
      <c r="D636" s="9">
        <f t="shared" si="398"/>
        <v>34385054</v>
      </c>
      <c r="E636" s="9" t="str">
        <f t="shared" si="399"/>
        <v>5201132,5202133,5201132,5400135,5501135,5402131</v>
      </c>
      <c r="F636" s="9" t="str">
        <f t="shared" si="400"/>
        <v>13,13,13,13,13,13</v>
      </c>
      <c r="G636" s="9" t="str">
        <f t="shared" si="401"/>
        <v>1360,1470,1470,1470,1470,1470</v>
      </c>
      <c r="H636" s="9">
        <v>293</v>
      </c>
      <c r="I636" s="9" t="s">
        <v>278</v>
      </c>
      <c r="J636" s="9" t="s">
        <v>279</v>
      </c>
      <c r="K636" s="9" t="s">
        <v>279</v>
      </c>
      <c r="L636" s="9" t="s">
        <v>279</v>
      </c>
      <c r="M636" s="36" t="s">
        <v>317</v>
      </c>
      <c r="O636" s="3">
        <f t="shared" si="427"/>
        <v>34385054</v>
      </c>
      <c r="P636" s="9">
        <v>26049283.52</v>
      </c>
      <c r="Q636" s="9">
        <v>5201132</v>
      </c>
      <c r="R636" s="9">
        <v>5202133</v>
      </c>
      <c r="S636" s="9">
        <v>5201132</v>
      </c>
      <c r="T636" s="9">
        <v>5400135</v>
      </c>
      <c r="U636" s="9">
        <v>5501135</v>
      </c>
      <c r="V636" s="9">
        <v>5402131</v>
      </c>
      <c r="W636" s="9">
        <v>13</v>
      </c>
      <c r="X636" s="9">
        <v>13</v>
      </c>
      <c r="Y636" s="9">
        <v>13</v>
      </c>
      <c r="Z636" s="9">
        <v>13</v>
      </c>
      <c r="AA636" s="9">
        <v>13</v>
      </c>
      <c r="AB636" s="9">
        <v>13</v>
      </c>
      <c r="AC636" s="9">
        <f t="shared" si="402"/>
        <v>1360</v>
      </c>
      <c r="AD636" s="9">
        <f t="shared" si="403"/>
        <v>1470</v>
      </c>
      <c r="AE636" s="9">
        <f t="shared" si="404"/>
        <v>1470</v>
      </c>
      <c r="AF636" s="9">
        <f t="shared" si="405"/>
        <v>1470</v>
      </c>
      <c r="AG636" s="9">
        <f t="shared" si="406"/>
        <v>1470</v>
      </c>
      <c r="AH636" s="9">
        <f t="shared" si="407"/>
        <v>1470</v>
      </c>
      <c r="AI636" s="7">
        <f t="shared" si="426"/>
        <v>4341547.2533333329</v>
      </c>
      <c r="AJ636" s="7">
        <f t="shared" si="426"/>
        <v>4341547.2533333329</v>
      </c>
      <c r="AK636" s="7">
        <f t="shared" si="426"/>
        <v>4341547.2533333329</v>
      </c>
      <c r="AL636" s="7">
        <f t="shared" si="426"/>
        <v>4341547.2533333329</v>
      </c>
      <c r="AM636" s="7">
        <f t="shared" si="426"/>
        <v>4341547.2533333329</v>
      </c>
      <c r="AN636" s="7">
        <f t="shared" si="426"/>
        <v>4341547.2533333329</v>
      </c>
      <c r="BR636" s="5">
        <v>4504045</v>
      </c>
      <c r="BS636" s="18">
        <f>[1]monsters!$N636</f>
        <v>153.6</v>
      </c>
      <c r="BT636" s="18">
        <f>[1]monsters!$O636</f>
        <v>15.36</v>
      </c>
      <c r="BU636" s="18">
        <f>[1]monsters!$P636</f>
        <v>1728</v>
      </c>
      <c r="BV636" s="18">
        <f>[1]monsters!$Q636</f>
        <v>172.8</v>
      </c>
      <c r="BW636" s="18">
        <f>[1]monsters!$R636</f>
        <v>51.2</v>
      </c>
      <c r="BX636" s="18">
        <f>[1]monsters!$S636</f>
        <v>5.12</v>
      </c>
      <c r="BY636" s="18">
        <f>[1]monsters!$K636</f>
        <v>1.6</v>
      </c>
      <c r="BZ636" s="5">
        <f>[1]monsters!$D636</f>
        <v>2</v>
      </c>
      <c r="CA636" s="5">
        <f t="shared" si="389"/>
        <v>0.1</v>
      </c>
      <c r="CB636" s="5">
        <f t="shared" si="390"/>
        <v>203.3338181818182</v>
      </c>
      <c r="CC636" s="5">
        <f t="shared" si="391"/>
        <v>20.33338181818182</v>
      </c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R636" s="3" t="b">
        <f t="shared" si="408"/>
        <v>1</v>
      </c>
      <c r="CS636" s="3" t="b">
        <f t="shared" si="409"/>
        <v>1</v>
      </c>
      <c r="CT636" s="3" t="b">
        <f t="shared" si="410"/>
        <v>1</v>
      </c>
      <c r="CU636" s="3" t="b">
        <f t="shared" si="411"/>
        <v>1</v>
      </c>
      <c r="CV636" s="3" t="b">
        <f t="shared" si="412"/>
        <v>1</v>
      </c>
      <c r="CW636" s="3" t="b">
        <f t="shared" si="413"/>
        <v>1</v>
      </c>
      <c r="CX636" s="9" t="str">
        <f t="shared" si="414"/>
        <v>5201132</v>
      </c>
      <c r="CY636" s="9" t="str">
        <f t="shared" si="415"/>
        <v>5202133</v>
      </c>
      <c r="CZ636" s="9" t="str">
        <f t="shared" si="416"/>
        <v>5201132</v>
      </c>
      <c r="DA636" s="9" t="str">
        <f t="shared" si="417"/>
        <v>5400135</v>
      </c>
      <c r="DB636" s="9" t="str">
        <f t="shared" si="418"/>
        <v>5501135</v>
      </c>
      <c r="DC636" s="9" t="str">
        <f t="shared" si="419"/>
        <v>5402131</v>
      </c>
      <c r="DD636" s="9">
        <v>13</v>
      </c>
      <c r="DE636" s="9">
        <v>13</v>
      </c>
      <c r="DF636" s="9">
        <v>13</v>
      </c>
      <c r="DG636" s="9">
        <v>13</v>
      </c>
      <c r="DH636" s="9">
        <v>13</v>
      </c>
      <c r="DI636" s="9">
        <v>13</v>
      </c>
      <c r="DJ636" s="9">
        <v>5</v>
      </c>
      <c r="DK636" s="9">
        <v>5</v>
      </c>
      <c r="DL636" s="9">
        <v>5</v>
      </c>
      <c r="DM636" s="9">
        <v>5</v>
      </c>
      <c r="DN636" s="9">
        <v>5</v>
      </c>
      <c r="DO636" s="9">
        <v>5</v>
      </c>
      <c r="DP636" s="25" t="s">
        <v>114</v>
      </c>
      <c r="DQ636" s="27" t="s">
        <v>208</v>
      </c>
      <c r="DR636" s="25" t="s">
        <v>114</v>
      </c>
      <c r="DS636" s="25" t="s">
        <v>210</v>
      </c>
      <c r="DT636" s="25" t="s">
        <v>209</v>
      </c>
      <c r="DU636" s="25" t="s">
        <v>196</v>
      </c>
      <c r="DV636" s="25">
        <f t="shared" si="420"/>
        <v>1</v>
      </c>
      <c r="DW636" s="25">
        <f t="shared" si="421"/>
        <v>1</v>
      </c>
      <c r="DX636" s="25">
        <f t="shared" si="422"/>
        <v>1</v>
      </c>
      <c r="DY636" s="25">
        <f t="shared" si="423"/>
        <v>2</v>
      </c>
      <c r="DZ636" s="25">
        <f t="shared" si="424"/>
        <v>2</v>
      </c>
      <c r="EA636" s="25">
        <f t="shared" si="425"/>
        <v>2</v>
      </c>
      <c r="EB636" s="50"/>
    </row>
    <row r="637" spans="1:132" ht="13.5" customHeight="1">
      <c r="A637" s="9">
        <v>634</v>
      </c>
      <c r="B637" s="9">
        <v>1</v>
      </c>
      <c r="C637" s="9">
        <v>2001</v>
      </c>
      <c r="D637" s="9">
        <f t="shared" si="398"/>
        <v>34475501</v>
      </c>
      <c r="E637" s="9" t="str">
        <f t="shared" si="399"/>
        <v>5600134,5202133,5201134,5501134,5501134,5501134</v>
      </c>
      <c r="F637" s="9" t="str">
        <f t="shared" si="400"/>
        <v>13,13,13,13,13,13</v>
      </c>
      <c r="G637" s="9" t="str">
        <f t="shared" si="401"/>
        <v>1362,1472,1472,1472,1472,1472</v>
      </c>
      <c r="H637" s="9">
        <v>293</v>
      </c>
      <c r="I637" s="9" t="s">
        <v>278</v>
      </c>
      <c r="J637" s="9" t="s">
        <v>279</v>
      </c>
      <c r="K637" s="9" t="s">
        <v>279</v>
      </c>
      <c r="L637" s="9" t="s">
        <v>279</v>
      </c>
      <c r="M637" s="36" t="s">
        <v>317</v>
      </c>
      <c r="O637" s="3">
        <f t="shared" si="427"/>
        <v>34475501</v>
      </c>
      <c r="P637" s="9">
        <v>26117803.66</v>
      </c>
      <c r="Q637" s="9">
        <v>5600134</v>
      </c>
      <c r="R637" s="9">
        <v>5202133</v>
      </c>
      <c r="S637" s="9">
        <v>5201134</v>
      </c>
      <c r="T637" s="9">
        <v>5501134</v>
      </c>
      <c r="U637" s="9">
        <v>5501134</v>
      </c>
      <c r="V637" s="9">
        <v>5501134</v>
      </c>
      <c r="W637" s="9">
        <v>13</v>
      </c>
      <c r="X637" s="9">
        <v>13</v>
      </c>
      <c r="Y637" s="9">
        <v>13</v>
      </c>
      <c r="Z637" s="9">
        <v>13</v>
      </c>
      <c r="AA637" s="9">
        <v>13</v>
      </c>
      <c r="AB637" s="9">
        <v>13</v>
      </c>
      <c r="AC637" s="9">
        <f t="shared" si="402"/>
        <v>1362</v>
      </c>
      <c r="AD637" s="9">
        <f t="shared" si="403"/>
        <v>1472</v>
      </c>
      <c r="AE637" s="9">
        <f t="shared" si="404"/>
        <v>1472</v>
      </c>
      <c r="AF637" s="9">
        <f t="shared" si="405"/>
        <v>1472</v>
      </c>
      <c r="AG637" s="9">
        <f t="shared" si="406"/>
        <v>1472</v>
      </c>
      <c r="AH637" s="9">
        <f t="shared" si="407"/>
        <v>1472</v>
      </c>
      <c r="AI637" s="7">
        <f t="shared" si="426"/>
        <v>4352967.2766666664</v>
      </c>
      <c r="AJ637" s="7">
        <f t="shared" si="426"/>
        <v>4352967.2766666664</v>
      </c>
      <c r="AK637" s="7">
        <f t="shared" si="426"/>
        <v>4352967.2766666664</v>
      </c>
      <c r="AL637" s="7">
        <f t="shared" si="426"/>
        <v>4352967.2766666664</v>
      </c>
      <c r="AM637" s="7">
        <f t="shared" si="426"/>
        <v>4352967.2766666664</v>
      </c>
      <c r="AN637" s="7">
        <f t="shared" si="426"/>
        <v>4352967.2766666664</v>
      </c>
      <c r="BR637" s="5">
        <v>4101045</v>
      </c>
      <c r="BS637" s="18">
        <f>[1]monsters!$N637</f>
        <v>170.67</v>
      </c>
      <c r="BT637" s="18">
        <f>[1]monsters!$O637</f>
        <v>17.07</v>
      </c>
      <c r="BU637" s="18">
        <f>[1]monsters!$P637</f>
        <v>1920</v>
      </c>
      <c r="BV637" s="18">
        <f>[1]monsters!$Q637</f>
        <v>192</v>
      </c>
      <c r="BW637" s="18">
        <f>[1]monsters!$R637</f>
        <v>56.89</v>
      </c>
      <c r="BX637" s="18">
        <f>[1]monsters!$S637</f>
        <v>5.69</v>
      </c>
      <c r="BY637" s="18">
        <f>[1]monsters!$K637</f>
        <v>1.6</v>
      </c>
      <c r="BZ637" s="5">
        <f>[1]monsters!$D637</f>
        <v>2</v>
      </c>
      <c r="CA637" s="5">
        <f t="shared" si="389"/>
        <v>0.1</v>
      </c>
      <c r="CB637" s="5">
        <f t="shared" si="390"/>
        <v>225.92961464646464</v>
      </c>
      <c r="CC637" s="5">
        <f t="shared" si="391"/>
        <v>22.592961464646464</v>
      </c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R637" s="3" t="b">
        <f t="shared" si="408"/>
        <v>1</v>
      </c>
      <c r="CS637" s="3" t="b">
        <f t="shared" si="409"/>
        <v>1</v>
      </c>
      <c r="CT637" s="3" t="b">
        <f t="shared" si="410"/>
        <v>1</v>
      </c>
      <c r="CU637" s="3" t="b">
        <f t="shared" si="411"/>
        <v>1</v>
      </c>
      <c r="CV637" s="3" t="b">
        <f t="shared" si="412"/>
        <v>1</v>
      </c>
      <c r="CW637" s="3" t="b">
        <f t="shared" si="413"/>
        <v>1</v>
      </c>
      <c r="CX637" s="9" t="str">
        <f t="shared" si="414"/>
        <v>5600134</v>
      </c>
      <c r="CY637" s="9" t="str">
        <f t="shared" si="415"/>
        <v>5202133</v>
      </c>
      <c r="CZ637" s="9" t="str">
        <f t="shared" si="416"/>
        <v>5201134</v>
      </c>
      <c r="DA637" s="9" t="str">
        <f t="shared" si="417"/>
        <v>5501134</v>
      </c>
      <c r="DB637" s="9" t="str">
        <f t="shared" si="418"/>
        <v>5501134</v>
      </c>
      <c r="DC637" s="9" t="str">
        <f t="shared" si="419"/>
        <v>5501134</v>
      </c>
      <c r="DD637" s="9">
        <v>13</v>
      </c>
      <c r="DE637" s="9">
        <v>13</v>
      </c>
      <c r="DF637" s="9">
        <v>13</v>
      </c>
      <c r="DG637" s="9">
        <v>13</v>
      </c>
      <c r="DH637" s="9">
        <v>13</v>
      </c>
      <c r="DI637" s="9">
        <v>13</v>
      </c>
      <c r="DJ637" s="9">
        <v>5</v>
      </c>
      <c r="DK637" s="9">
        <v>5</v>
      </c>
      <c r="DL637" s="9">
        <v>5</v>
      </c>
      <c r="DM637" s="9">
        <v>5</v>
      </c>
      <c r="DN637" s="9">
        <v>5</v>
      </c>
      <c r="DO637" s="9">
        <v>5</v>
      </c>
      <c r="DP637" s="27" t="s">
        <v>219</v>
      </c>
      <c r="DQ637" s="25" t="s">
        <v>208</v>
      </c>
      <c r="DR637" s="25" t="s">
        <v>217</v>
      </c>
      <c r="DS637" s="25" t="s">
        <v>214</v>
      </c>
      <c r="DT637" s="25" t="s">
        <v>214</v>
      </c>
      <c r="DU637" s="25" t="s">
        <v>214</v>
      </c>
      <c r="DV637" s="25">
        <f t="shared" si="420"/>
        <v>1</v>
      </c>
      <c r="DW637" s="25">
        <f t="shared" si="421"/>
        <v>1</v>
      </c>
      <c r="DX637" s="25">
        <f t="shared" si="422"/>
        <v>1</v>
      </c>
      <c r="DY637" s="25">
        <f t="shared" si="423"/>
        <v>2</v>
      </c>
      <c r="DZ637" s="25">
        <f t="shared" si="424"/>
        <v>2</v>
      </c>
      <c r="EA637" s="25">
        <f t="shared" si="425"/>
        <v>2</v>
      </c>
      <c r="EB637" s="50"/>
    </row>
    <row r="638" spans="1:132" ht="13.5" customHeight="1">
      <c r="A638" s="9">
        <v>635</v>
      </c>
      <c r="B638" s="9">
        <v>1</v>
      </c>
      <c r="C638" s="9">
        <v>2001</v>
      </c>
      <c r="D638" s="9">
        <f t="shared" si="398"/>
        <v>34566070</v>
      </c>
      <c r="E638" s="9" t="str">
        <f t="shared" si="399"/>
        <v>5200131,5301132,5200132,5402132,5400135,5400135</v>
      </c>
      <c r="F638" s="9" t="str">
        <f t="shared" si="400"/>
        <v>13,13,13,13,13,13</v>
      </c>
      <c r="G638" s="9" t="str">
        <f t="shared" si="401"/>
        <v>1363,1473,1473,1473,1473,1473</v>
      </c>
      <c r="H638" s="9">
        <v>294</v>
      </c>
      <c r="I638" s="9" t="s">
        <v>278</v>
      </c>
      <c r="J638" s="9" t="s">
        <v>279</v>
      </c>
      <c r="K638" s="9" t="s">
        <v>279</v>
      </c>
      <c r="L638" s="9" t="s">
        <v>279</v>
      </c>
      <c r="M638" s="36" t="s">
        <v>317</v>
      </c>
      <c r="O638" s="3">
        <f t="shared" si="427"/>
        <v>34566070</v>
      </c>
      <c r="P638" s="9">
        <v>26186416.640000001</v>
      </c>
      <c r="Q638" s="9">
        <v>5200131</v>
      </c>
      <c r="R638" s="9">
        <v>5301132</v>
      </c>
      <c r="S638" s="9">
        <v>5200132</v>
      </c>
      <c r="T638" s="9">
        <v>5402132</v>
      </c>
      <c r="U638" s="9">
        <v>5400135</v>
      </c>
      <c r="V638" s="9">
        <v>5400135</v>
      </c>
      <c r="W638" s="9">
        <v>13</v>
      </c>
      <c r="X638" s="9">
        <v>13</v>
      </c>
      <c r="Y638" s="9">
        <v>13</v>
      </c>
      <c r="Z638" s="9">
        <v>13</v>
      </c>
      <c r="AA638" s="9">
        <v>13</v>
      </c>
      <c r="AB638" s="9">
        <v>13</v>
      </c>
      <c r="AC638" s="9">
        <f t="shared" si="402"/>
        <v>1363</v>
      </c>
      <c r="AD638" s="9">
        <f t="shared" si="403"/>
        <v>1473</v>
      </c>
      <c r="AE638" s="9">
        <f t="shared" si="404"/>
        <v>1473</v>
      </c>
      <c r="AF638" s="9">
        <f t="shared" si="405"/>
        <v>1473</v>
      </c>
      <c r="AG638" s="9">
        <f t="shared" si="406"/>
        <v>1473</v>
      </c>
      <c r="AH638" s="9">
        <f t="shared" si="407"/>
        <v>1473</v>
      </c>
      <c r="AI638" s="7">
        <f t="shared" si="426"/>
        <v>4364402.7733333334</v>
      </c>
      <c r="AJ638" s="7">
        <f t="shared" si="426"/>
        <v>4364402.7733333334</v>
      </c>
      <c r="AK638" s="7">
        <f t="shared" si="426"/>
        <v>4364402.7733333334</v>
      </c>
      <c r="AL638" s="7">
        <f t="shared" si="426"/>
        <v>4364402.7733333334</v>
      </c>
      <c r="AM638" s="7">
        <f t="shared" si="426"/>
        <v>4364402.7733333334</v>
      </c>
      <c r="AN638" s="7">
        <f t="shared" si="426"/>
        <v>4364402.7733333334</v>
      </c>
      <c r="BR638" s="5">
        <v>4102045</v>
      </c>
      <c r="BS638" s="18">
        <f>[1]monsters!$N638</f>
        <v>170.67</v>
      </c>
      <c r="BT638" s="18">
        <f>[1]monsters!$O638</f>
        <v>17.07</v>
      </c>
      <c r="BU638" s="18">
        <f>[1]monsters!$P638</f>
        <v>1920</v>
      </c>
      <c r="BV638" s="18">
        <f>[1]monsters!$Q638</f>
        <v>192</v>
      </c>
      <c r="BW638" s="18">
        <f>[1]monsters!$R638</f>
        <v>56.89</v>
      </c>
      <c r="BX638" s="18">
        <f>[1]monsters!$S638</f>
        <v>5.69</v>
      </c>
      <c r="BY638" s="18">
        <f>[1]monsters!$K638</f>
        <v>1.6</v>
      </c>
      <c r="BZ638" s="5">
        <f>[1]monsters!$D638</f>
        <v>2</v>
      </c>
      <c r="CA638" s="5">
        <f t="shared" si="389"/>
        <v>0.1</v>
      </c>
      <c r="CB638" s="5">
        <f t="shared" si="390"/>
        <v>225.92961464646464</v>
      </c>
      <c r="CC638" s="5">
        <f t="shared" si="391"/>
        <v>22.592961464646464</v>
      </c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R638" s="3" t="b">
        <f t="shared" si="408"/>
        <v>1</v>
      </c>
      <c r="CS638" s="3" t="b">
        <f t="shared" si="409"/>
        <v>1</v>
      </c>
      <c r="CT638" s="3" t="b">
        <f t="shared" si="410"/>
        <v>1</v>
      </c>
      <c r="CU638" s="3" t="b">
        <f t="shared" si="411"/>
        <v>1</v>
      </c>
      <c r="CV638" s="3" t="b">
        <f t="shared" si="412"/>
        <v>1</v>
      </c>
      <c r="CW638" s="3" t="b">
        <f t="shared" si="413"/>
        <v>1</v>
      </c>
      <c r="CX638" s="9" t="str">
        <f t="shared" si="414"/>
        <v>5200131</v>
      </c>
      <c r="CY638" s="9" t="str">
        <f t="shared" si="415"/>
        <v>5301132</v>
      </c>
      <c r="CZ638" s="9" t="str">
        <f t="shared" si="416"/>
        <v>5200132</v>
      </c>
      <c r="DA638" s="9" t="str">
        <f t="shared" si="417"/>
        <v>5402132</v>
      </c>
      <c r="DB638" s="9" t="str">
        <f t="shared" si="418"/>
        <v>5400135</v>
      </c>
      <c r="DC638" s="9" t="str">
        <f t="shared" si="419"/>
        <v>5400135</v>
      </c>
      <c r="DD638" s="9">
        <v>13</v>
      </c>
      <c r="DE638" s="9">
        <v>13</v>
      </c>
      <c r="DF638" s="9">
        <v>13</v>
      </c>
      <c r="DG638" s="9">
        <v>13</v>
      </c>
      <c r="DH638" s="9">
        <v>13</v>
      </c>
      <c r="DI638" s="9">
        <v>13</v>
      </c>
      <c r="DJ638" s="9">
        <v>5</v>
      </c>
      <c r="DK638" s="9">
        <v>5</v>
      </c>
      <c r="DL638" s="9">
        <v>5</v>
      </c>
      <c r="DM638" s="9">
        <v>5</v>
      </c>
      <c r="DN638" s="9">
        <v>5</v>
      </c>
      <c r="DO638" s="9">
        <v>5</v>
      </c>
      <c r="DP638" s="26" t="s">
        <v>194</v>
      </c>
      <c r="DQ638" s="26" t="s">
        <v>201</v>
      </c>
      <c r="DR638" s="26" t="s">
        <v>199</v>
      </c>
      <c r="DS638" s="26" t="s">
        <v>203</v>
      </c>
      <c r="DT638" s="26" t="s">
        <v>210</v>
      </c>
      <c r="DU638" s="26" t="s">
        <v>210</v>
      </c>
      <c r="DV638" s="25">
        <f t="shared" si="420"/>
        <v>1</v>
      </c>
      <c r="DW638" s="25">
        <f t="shared" si="421"/>
        <v>1</v>
      </c>
      <c r="DX638" s="25">
        <f t="shared" si="422"/>
        <v>1</v>
      </c>
      <c r="DY638" s="25">
        <f t="shared" si="423"/>
        <v>2</v>
      </c>
      <c r="DZ638" s="25">
        <f t="shared" si="424"/>
        <v>2</v>
      </c>
      <c r="EA638" s="25">
        <f t="shared" si="425"/>
        <v>2</v>
      </c>
      <c r="EB638" s="50"/>
    </row>
    <row r="639" spans="1:132" ht="13.5" customHeight="1">
      <c r="A639" s="9">
        <v>636</v>
      </c>
      <c r="B639" s="9">
        <v>1</v>
      </c>
      <c r="C639" s="9">
        <v>2001</v>
      </c>
      <c r="D639" s="9">
        <f t="shared" si="398"/>
        <v>34656756</v>
      </c>
      <c r="E639" s="9" t="str">
        <f t="shared" si="399"/>
        <v>5300135,5202135,5301132,5500132,5400135,5400135</v>
      </c>
      <c r="F639" s="9" t="str">
        <f t="shared" si="400"/>
        <v>13,13,13,13,13,13</v>
      </c>
      <c r="G639" s="9" t="str">
        <f t="shared" si="401"/>
        <v>1365,1475,1475,1475,1475,1475</v>
      </c>
      <c r="H639" s="9">
        <v>294</v>
      </c>
      <c r="I639" s="9" t="s">
        <v>278</v>
      </c>
      <c r="J639" s="9" t="s">
        <v>279</v>
      </c>
      <c r="K639" s="9" t="s">
        <v>279</v>
      </c>
      <c r="L639" s="9" t="s">
        <v>279</v>
      </c>
      <c r="M639" s="36" t="s">
        <v>317</v>
      </c>
      <c r="O639" s="3">
        <f t="shared" si="427"/>
        <v>34656756</v>
      </c>
      <c r="P639" s="9">
        <v>26255118.239999998</v>
      </c>
      <c r="Q639" s="9">
        <v>5300135</v>
      </c>
      <c r="R639" s="9">
        <v>5202135</v>
      </c>
      <c r="S639" s="9">
        <v>5301132</v>
      </c>
      <c r="T639" s="9">
        <v>5500132</v>
      </c>
      <c r="U639" s="9">
        <v>5400135</v>
      </c>
      <c r="V639" s="9">
        <v>5400135</v>
      </c>
      <c r="W639" s="9">
        <v>13</v>
      </c>
      <c r="X639" s="9">
        <v>13</v>
      </c>
      <c r="Y639" s="9">
        <v>13</v>
      </c>
      <c r="Z639" s="9">
        <v>13</v>
      </c>
      <c r="AA639" s="9">
        <v>13</v>
      </c>
      <c r="AB639" s="9">
        <v>13</v>
      </c>
      <c r="AC639" s="9">
        <f t="shared" si="402"/>
        <v>1365</v>
      </c>
      <c r="AD639" s="9">
        <f t="shared" si="403"/>
        <v>1475</v>
      </c>
      <c r="AE639" s="9">
        <f t="shared" si="404"/>
        <v>1475</v>
      </c>
      <c r="AF639" s="9">
        <f t="shared" si="405"/>
        <v>1475</v>
      </c>
      <c r="AG639" s="9">
        <f t="shared" si="406"/>
        <v>1475</v>
      </c>
      <c r="AH639" s="9">
        <f t="shared" si="407"/>
        <v>1475</v>
      </c>
      <c r="AI639" s="7">
        <f t="shared" si="426"/>
        <v>4375853.04</v>
      </c>
      <c r="AJ639" s="7">
        <f t="shared" si="426"/>
        <v>4375853.04</v>
      </c>
      <c r="AK639" s="7">
        <f t="shared" si="426"/>
        <v>4375853.04</v>
      </c>
      <c r="AL639" s="7">
        <f t="shared" si="426"/>
        <v>4375853.04</v>
      </c>
      <c r="AM639" s="7">
        <f t="shared" si="426"/>
        <v>4375853.04</v>
      </c>
      <c r="AN639" s="7">
        <f t="shared" si="426"/>
        <v>4375853.04</v>
      </c>
      <c r="BR639" s="5">
        <v>5206051</v>
      </c>
      <c r="BS639" s="18">
        <f>[1]monsters!$N639</f>
        <v>170.67</v>
      </c>
      <c r="BT639" s="18">
        <f>[1]monsters!$O639</f>
        <v>17.07</v>
      </c>
      <c r="BU639" s="18">
        <f>[1]monsters!$P639</f>
        <v>1920</v>
      </c>
      <c r="BV639" s="18">
        <f>[1]monsters!$Q639</f>
        <v>192</v>
      </c>
      <c r="BW639" s="18">
        <f>[1]monsters!$R639</f>
        <v>56.89</v>
      </c>
      <c r="BX639" s="18">
        <f>[1]monsters!$S639</f>
        <v>5.69</v>
      </c>
      <c r="BY639" s="18">
        <f>[1]monsters!$K639</f>
        <v>1.6</v>
      </c>
      <c r="BZ639" s="5">
        <f>[1]monsters!$D639</f>
        <v>2</v>
      </c>
      <c r="CA639" s="5">
        <f t="shared" si="389"/>
        <v>0.1</v>
      </c>
      <c r="CB639" s="5">
        <f t="shared" si="390"/>
        <v>225.92961464646464</v>
      </c>
      <c r="CC639" s="5">
        <f t="shared" si="391"/>
        <v>22.592961464646464</v>
      </c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R639" s="3" t="b">
        <f t="shared" si="408"/>
        <v>1</v>
      </c>
      <c r="CS639" s="3" t="b">
        <f t="shared" si="409"/>
        <v>1</v>
      </c>
      <c r="CT639" s="3" t="b">
        <f t="shared" si="410"/>
        <v>1</v>
      </c>
      <c r="CU639" s="3" t="b">
        <f t="shared" si="411"/>
        <v>1</v>
      </c>
      <c r="CV639" s="3" t="b">
        <f t="shared" si="412"/>
        <v>1</v>
      </c>
      <c r="CW639" s="3" t="b">
        <f t="shared" si="413"/>
        <v>1</v>
      </c>
      <c r="CX639" s="9" t="str">
        <f t="shared" si="414"/>
        <v>5300135</v>
      </c>
      <c r="CY639" s="9" t="str">
        <f t="shared" si="415"/>
        <v>5202135</v>
      </c>
      <c r="CZ639" s="9" t="str">
        <f t="shared" si="416"/>
        <v>5301132</v>
      </c>
      <c r="DA639" s="9" t="str">
        <f t="shared" si="417"/>
        <v>5500132</v>
      </c>
      <c r="DB639" s="9" t="str">
        <f t="shared" si="418"/>
        <v>5400135</v>
      </c>
      <c r="DC639" s="9" t="str">
        <f t="shared" si="419"/>
        <v>5400135</v>
      </c>
      <c r="DD639" s="9">
        <v>13</v>
      </c>
      <c r="DE639" s="9">
        <v>13</v>
      </c>
      <c r="DF639" s="9">
        <v>13</v>
      </c>
      <c r="DG639" s="9">
        <v>13</v>
      </c>
      <c r="DH639" s="9">
        <v>13</v>
      </c>
      <c r="DI639" s="9">
        <v>13</v>
      </c>
      <c r="DJ639" s="9">
        <v>5</v>
      </c>
      <c r="DK639" s="9">
        <v>5</v>
      </c>
      <c r="DL639" s="9">
        <v>5</v>
      </c>
      <c r="DM639" s="9">
        <v>5</v>
      </c>
      <c r="DN639" s="9">
        <v>5</v>
      </c>
      <c r="DO639" s="9">
        <v>5</v>
      </c>
      <c r="DP639" s="25" t="s">
        <v>212</v>
      </c>
      <c r="DQ639" s="25" t="s">
        <v>213</v>
      </c>
      <c r="DR639" s="26" t="s">
        <v>201</v>
      </c>
      <c r="DS639" s="26" t="s">
        <v>109</v>
      </c>
      <c r="DT639" s="25" t="s">
        <v>210</v>
      </c>
      <c r="DU639" s="25" t="s">
        <v>210</v>
      </c>
      <c r="DV639" s="25">
        <f t="shared" si="420"/>
        <v>1</v>
      </c>
      <c r="DW639" s="25">
        <f t="shared" si="421"/>
        <v>1</v>
      </c>
      <c r="DX639" s="25">
        <f t="shared" si="422"/>
        <v>1</v>
      </c>
      <c r="DY639" s="25">
        <f t="shared" si="423"/>
        <v>2</v>
      </c>
      <c r="DZ639" s="25">
        <f t="shared" si="424"/>
        <v>2</v>
      </c>
      <c r="EA639" s="25">
        <f t="shared" si="425"/>
        <v>2</v>
      </c>
      <c r="EB639" s="45"/>
    </row>
    <row r="640" spans="1:132" ht="13.5" customHeight="1">
      <c r="A640" s="9">
        <v>637</v>
      </c>
      <c r="B640" s="9">
        <v>1</v>
      </c>
      <c r="C640" s="9">
        <v>2001</v>
      </c>
      <c r="D640" s="9">
        <f t="shared" si="398"/>
        <v>34747565</v>
      </c>
      <c r="E640" s="9" t="str">
        <f t="shared" si="399"/>
        <v>5202133,5202132,5201134,5501134,5500133,5501134</v>
      </c>
      <c r="F640" s="9" t="str">
        <f t="shared" si="400"/>
        <v>13,13,13,13,13,13</v>
      </c>
      <c r="G640" s="9" t="str">
        <f t="shared" si="401"/>
        <v>1367,1477,1477,1477,1477,1477</v>
      </c>
      <c r="H640" s="9">
        <v>294</v>
      </c>
      <c r="I640" s="9" t="s">
        <v>278</v>
      </c>
      <c r="J640" s="9" t="s">
        <v>279</v>
      </c>
      <c r="K640" s="9" t="s">
        <v>279</v>
      </c>
      <c r="L640" s="9" t="s">
        <v>279</v>
      </c>
      <c r="M640" s="36" t="s">
        <v>317</v>
      </c>
      <c r="O640" s="3">
        <f t="shared" si="427"/>
        <v>34747565</v>
      </c>
      <c r="P640" s="9">
        <v>26323912.68</v>
      </c>
      <c r="Q640" s="9">
        <v>5202133</v>
      </c>
      <c r="R640" s="9">
        <v>5202132</v>
      </c>
      <c r="S640" s="9">
        <v>5201134</v>
      </c>
      <c r="T640" s="9">
        <v>5501134</v>
      </c>
      <c r="U640" s="9">
        <v>5500133</v>
      </c>
      <c r="V640" s="9">
        <v>5501134</v>
      </c>
      <c r="W640" s="9">
        <v>13</v>
      </c>
      <c r="X640" s="9">
        <v>13</v>
      </c>
      <c r="Y640" s="9">
        <v>13</v>
      </c>
      <c r="Z640" s="9">
        <v>13</v>
      </c>
      <c r="AA640" s="9">
        <v>13</v>
      </c>
      <c r="AB640" s="9">
        <v>13</v>
      </c>
      <c r="AC640" s="9">
        <f t="shared" si="402"/>
        <v>1367</v>
      </c>
      <c r="AD640" s="9">
        <f t="shared" si="403"/>
        <v>1477</v>
      </c>
      <c r="AE640" s="9">
        <f t="shared" si="404"/>
        <v>1477</v>
      </c>
      <c r="AF640" s="9">
        <f t="shared" si="405"/>
        <v>1477</v>
      </c>
      <c r="AG640" s="9">
        <f t="shared" si="406"/>
        <v>1477</v>
      </c>
      <c r="AH640" s="9">
        <f t="shared" si="407"/>
        <v>1477</v>
      </c>
      <c r="AI640" s="7">
        <f t="shared" si="426"/>
        <v>4387318.78</v>
      </c>
      <c r="AJ640" s="7">
        <f t="shared" si="426"/>
        <v>4387318.78</v>
      </c>
      <c r="AK640" s="7">
        <f t="shared" si="426"/>
        <v>4387318.78</v>
      </c>
      <c r="AL640" s="7">
        <f t="shared" si="426"/>
        <v>4387318.78</v>
      </c>
      <c r="AM640" s="7">
        <f t="shared" si="426"/>
        <v>4387318.78</v>
      </c>
      <c r="AN640" s="7">
        <f t="shared" si="426"/>
        <v>4387318.78</v>
      </c>
      <c r="BR640" s="5">
        <v>5406051</v>
      </c>
      <c r="BS640" s="18">
        <f>[1]monsters!$N640</f>
        <v>170.67</v>
      </c>
      <c r="BT640" s="18">
        <f>[1]monsters!$O640</f>
        <v>17.07</v>
      </c>
      <c r="BU640" s="18">
        <f>[1]monsters!$P640</f>
        <v>1920</v>
      </c>
      <c r="BV640" s="18">
        <f>[1]monsters!$Q640</f>
        <v>192</v>
      </c>
      <c r="BW640" s="18">
        <f>[1]monsters!$R640</f>
        <v>56.89</v>
      </c>
      <c r="BX640" s="18">
        <f>[1]monsters!$S640</f>
        <v>5.69</v>
      </c>
      <c r="BY640" s="18">
        <f>[1]monsters!$K640</f>
        <v>1.6</v>
      </c>
      <c r="BZ640" s="5">
        <f>[1]monsters!$D640</f>
        <v>2</v>
      </c>
      <c r="CA640" s="5">
        <f t="shared" si="389"/>
        <v>0.1</v>
      </c>
      <c r="CB640" s="5">
        <f t="shared" si="390"/>
        <v>225.92961464646464</v>
      </c>
      <c r="CC640" s="5">
        <f t="shared" si="391"/>
        <v>22.592961464646464</v>
      </c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R640" s="3" t="b">
        <f t="shared" si="408"/>
        <v>1</v>
      </c>
      <c r="CS640" s="3" t="b">
        <f t="shared" si="409"/>
        <v>1</v>
      </c>
      <c r="CT640" s="3" t="b">
        <f t="shared" si="410"/>
        <v>1</v>
      </c>
      <c r="CU640" s="3" t="b">
        <f t="shared" si="411"/>
        <v>1</v>
      </c>
      <c r="CV640" s="3" t="b">
        <f t="shared" si="412"/>
        <v>1</v>
      </c>
      <c r="CW640" s="3" t="b">
        <f t="shared" si="413"/>
        <v>1</v>
      </c>
      <c r="CX640" s="9" t="str">
        <f t="shared" si="414"/>
        <v>5202133</v>
      </c>
      <c r="CY640" s="9" t="str">
        <f t="shared" si="415"/>
        <v>5202132</v>
      </c>
      <c r="CZ640" s="9" t="str">
        <f t="shared" si="416"/>
        <v>5201134</v>
      </c>
      <c r="DA640" s="9" t="str">
        <f t="shared" si="417"/>
        <v>5501134</v>
      </c>
      <c r="DB640" s="9" t="str">
        <f t="shared" si="418"/>
        <v>5500133</v>
      </c>
      <c r="DC640" s="9" t="str">
        <f t="shared" si="419"/>
        <v>5501134</v>
      </c>
      <c r="DD640" s="9">
        <v>13</v>
      </c>
      <c r="DE640" s="9">
        <v>13</v>
      </c>
      <c r="DF640" s="9">
        <v>13</v>
      </c>
      <c r="DG640" s="9">
        <v>13</v>
      </c>
      <c r="DH640" s="9">
        <v>13</v>
      </c>
      <c r="DI640" s="9">
        <v>13</v>
      </c>
      <c r="DJ640" s="9">
        <v>5</v>
      </c>
      <c r="DK640" s="9">
        <v>5</v>
      </c>
      <c r="DL640" s="9">
        <v>5</v>
      </c>
      <c r="DM640" s="9">
        <v>5</v>
      </c>
      <c r="DN640" s="9">
        <v>5</v>
      </c>
      <c r="DO640" s="9">
        <v>5</v>
      </c>
      <c r="DP640" s="25" t="s">
        <v>208</v>
      </c>
      <c r="DQ640" s="25" t="s">
        <v>200</v>
      </c>
      <c r="DR640" s="26" t="s">
        <v>217</v>
      </c>
      <c r="DS640" s="26" t="s">
        <v>214</v>
      </c>
      <c r="DT640" s="26" t="s">
        <v>207</v>
      </c>
      <c r="DU640" s="26" t="s">
        <v>214</v>
      </c>
      <c r="DV640" s="25">
        <f t="shared" si="420"/>
        <v>1</v>
      </c>
      <c r="DW640" s="25">
        <f t="shared" si="421"/>
        <v>1</v>
      </c>
      <c r="DX640" s="25">
        <f t="shared" si="422"/>
        <v>1</v>
      </c>
      <c r="DY640" s="25">
        <f t="shared" si="423"/>
        <v>2</v>
      </c>
      <c r="DZ640" s="25">
        <f t="shared" si="424"/>
        <v>2</v>
      </c>
      <c r="EA640" s="25">
        <f t="shared" si="425"/>
        <v>2</v>
      </c>
      <c r="EB640" s="45"/>
    </row>
    <row r="641" spans="1:132" ht="13.5" customHeight="1">
      <c r="A641" s="9">
        <v>638</v>
      </c>
      <c r="B641" s="9">
        <v>1</v>
      </c>
      <c r="C641" s="9">
        <v>2001</v>
      </c>
      <c r="D641" s="9">
        <f t="shared" si="398"/>
        <v>34838490</v>
      </c>
      <c r="E641" s="9" t="str">
        <f t="shared" si="399"/>
        <v>5202133,5202132,5301133,5601133,5500133,5502133</v>
      </c>
      <c r="F641" s="9" t="str">
        <f t="shared" si="400"/>
        <v>13,13,13,13,13,13</v>
      </c>
      <c r="G641" s="9" t="str">
        <f t="shared" si="401"/>
        <v>1369,1479,1479,1479,1479,1479</v>
      </c>
      <c r="H641" s="9">
        <v>295</v>
      </c>
      <c r="I641" s="9" t="s">
        <v>278</v>
      </c>
      <c r="J641" s="9" t="s">
        <v>279</v>
      </c>
      <c r="K641" s="9" t="s">
        <v>279</v>
      </c>
      <c r="L641" s="9" t="s">
        <v>279</v>
      </c>
      <c r="M641" s="36" t="s">
        <v>317</v>
      </c>
      <c r="O641" s="3">
        <f t="shared" si="427"/>
        <v>34838490</v>
      </c>
      <c r="P641" s="9">
        <v>26392795.739999998</v>
      </c>
      <c r="Q641" s="9">
        <v>5202133</v>
      </c>
      <c r="R641" s="9">
        <v>5202132</v>
      </c>
      <c r="S641" s="9">
        <v>5301133</v>
      </c>
      <c r="T641" s="9">
        <v>5601133</v>
      </c>
      <c r="U641" s="9">
        <v>5500133</v>
      </c>
      <c r="V641" s="9">
        <v>5502133</v>
      </c>
      <c r="W641" s="9">
        <v>13</v>
      </c>
      <c r="X641" s="9">
        <v>13</v>
      </c>
      <c r="Y641" s="9">
        <v>13</v>
      </c>
      <c r="Z641" s="9">
        <v>13</v>
      </c>
      <c r="AA641" s="9">
        <v>13</v>
      </c>
      <c r="AB641" s="9">
        <v>13</v>
      </c>
      <c r="AC641" s="9">
        <f t="shared" si="402"/>
        <v>1369</v>
      </c>
      <c r="AD641" s="9">
        <f t="shared" si="403"/>
        <v>1479</v>
      </c>
      <c r="AE641" s="9">
        <f t="shared" si="404"/>
        <v>1479</v>
      </c>
      <c r="AF641" s="9">
        <f t="shared" si="405"/>
        <v>1479</v>
      </c>
      <c r="AG641" s="9">
        <f t="shared" si="406"/>
        <v>1479</v>
      </c>
      <c r="AH641" s="9">
        <f t="shared" si="407"/>
        <v>1479</v>
      </c>
      <c r="AI641" s="7">
        <f t="shared" si="426"/>
        <v>4398799.29</v>
      </c>
      <c r="AJ641" s="7">
        <f t="shared" si="426"/>
        <v>4398799.29</v>
      </c>
      <c r="AK641" s="7">
        <f t="shared" si="426"/>
        <v>4398799.29</v>
      </c>
      <c r="AL641" s="7">
        <f t="shared" si="426"/>
        <v>4398799.29</v>
      </c>
      <c r="AM641" s="7">
        <f t="shared" si="426"/>
        <v>4398799.29</v>
      </c>
      <c r="AN641" s="7">
        <f t="shared" si="426"/>
        <v>4398799.29</v>
      </c>
      <c r="BR641" s="5">
        <v>5205051</v>
      </c>
      <c r="BS641" s="18">
        <f>[1]monsters!$N641</f>
        <v>170.67</v>
      </c>
      <c r="BT641" s="18">
        <f>[1]monsters!$O641</f>
        <v>17.07</v>
      </c>
      <c r="BU641" s="18">
        <f>[1]monsters!$P641</f>
        <v>1920</v>
      </c>
      <c r="BV641" s="18">
        <f>[1]monsters!$Q641</f>
        <v>192</v>
      </c>
      <c r="BW641" s="18">
        <f>[1]monsters!$R641</f>
        <v>56.89</v>
      </c>
      <c r="BX641" s="18">
        <f>[1]monsters!$S641</f>
        <v>5.69</v>
      </c>
      <c r="BY641" s="18">
        <f>[1]monsters!$K641</f>
        <v>1.6</v>
      </c>
      <c r="BZ641" s="5">
        <f>[1]monsters!$D641</f>
        <v>2</v>
      </c>
      <c r="CA641" s="5">
        <f t="shared" si="389"/>
        <v>0.1</v>
      </c>
      <c r="CB641" s="5">
        <f t="shared" si="390"/>
        <v>225.92961464646464</v>
      </c>
      <c r="CC641" s="5">
        <f t="shared" si="391"/>
        <v>22.592961464646464</v>
      </c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R641" s="3" t="b">
        <f t="shared" si="408"/>
        <v>1</v>
      </c>
      <c r="CS641" s="3" t="b">
        <f t="shared" si="409"/>
        <v>1</v>
      </c>
      <c r="CT641" s="3" t="b">
        <f t="shared" si="410"/>
        <v>1</v>
      </c>
      <c r="CU641" s="3" t="b">
        <f t="shared" si="411"/>
        <v>1</v>
      </c>
      <c r="CV641" s="3" t="b">
        <f t="shared" si="412"/>
        <v>1</v>
      </c>
      <c r="CW641" s="3" t="b">
        <f t="shared" si="413"/>
        <v>1</v>
      </c>
      <c r="CX641" s="9" t="str">
        <f t="shared" si="414"/>
        <v>5202133</v>
      </c>
      <c r="CY641" s="9" t="str">
        <f t="shared" si="415"/>
        <v>5202132</v>
      </c>
      <c r="CZ641" s="9" t="str">
        <f t="shared" si="416"/>
        <v>5301133</v>
      </c>
      <c r="DA641" s="9" t="str">
        <f t="shared" si="417"/>
        <v>5601133</v>
      </c>
      <c r="DB641" s="9" t="str">
        <f t="shared" si="418"/>
        <v>5500133</v>
      </c>
      <c r="DC641" s="9" t="str">
        <f t="shared" si="419"/>
        <v>5502133</v>
      </c>
      <c r="DD641" s="9">
        <v>13</v>
      </c>
      <c r="DE641" s="9">
        <v>13</v>
      </c>
      <c r="DF641" s="9">
        <v>13</v>
      </c>
      <c r="DG641" s="9">
        <v>13</v>
      </c>
      <c r="DH641" s="9">
        <v>13</v>
      </c>
      <c r="DI641" s="9">
        <v>13</v>
      </c>
      <c r="DJ641" s="9">
        <v>5</v>
      </c>
      <c r="DK641" s="9">
        <v>5</v>
      </c>
      <c r="DL641" s="9">
        <v>5</v>
      </c>
      <c r="DM641" s="9">
        <v>5</v>
      </c>
      <c r="DN641" s="9">
        <v>5</v>
      </c>
      <c r="DO641" s="9">
        <v>5</v>
      </c>
      <c r="DP641" s="25" t="s">
        <v>208</v>
      </c>
      <c r="DQ641" s="25" t="s">
        <v>200</v>
      </c>
      <c r="DR641" s="25" t="s">
        <v>206</v>
      </c>
      <c r="DS641" s="25" t="s">
        <v>216</v>
      </c>
      <c r="DT641" s="26" t="s">
        <v>207</v>
      </c>
      <c r="DU641" s="26" t="s">
        <v>215</v>
      </c>
      <c r="DV641" s="25">
        <f t="shared" si="420"/>
        <v>1</v>
      </c>
      <c r="DW641" s="25">
        <f t="shared" si="421"/>
        <v>1</v>
      </c>
      <c r="DX641" s="25">
        <f t="shared" si="422"/>
        <v>1</v>
      </c>
      <c r="DY641" s="25">
        <f t="shared" si="423"/>
        <v>2</v>
      </c>
      <c r="DZ641" s="25">
        <f t="shared" si="424"/>
        <v>2</v>
      </c>
      <c r="EA641" s="25">
        <f t="shared" si="425"/>
        <v>2</v>
      </c>
      <c r="EB641" s="45"/>
    </row>
    <row r="642" spans="1:132" ht="13.5" customHeight="1">
      <c r="A642" s="9">
        <v>639</v>
      </c>
      <c r="B642" s="9">
        <v>1</v>
      </c>
      <c r="C642" s="9">
        <v>2001</v>
      </c>
      <c r="D642" s="9">
        <f t="shared" si="398"/>
        <v>34929539</v>
      </c>
      <c r="E642" s="9" t="str">
        <f t="shared" si="399"/>
        <v>5201133,5201133,5201133,5402133,5402133,5402133</v>
      </c>
      <c r="F642" s="9" t="str">
        <f t="shared" si="400"/>
        <v>13,13,13,13,13,13</v>
      </c>
      <c r="G642" s="9" t="str">
        <f t="shared" si="401"/>
        <v>1371,1481,1481,1481,1481,1481</v>
      </c>
      <c r="H642" s="9">
        <v>295</v>
      </c>
      <c r="I642" s="9" t="s">
        <v>278</v>
      </c>
      <c r="J642" s="9" t="s">
        <v>279</v>
      </c>
      <c r="K642" s="9" t="s">
        <v>279</v>
      </c>
      <c r="L642" s="9" t="s">
        <v>279</v>
      </c>
      <c r="M642" s="36" t="s">
        <v>317</v>
      </c>
      <c r="O642" s="3">
        <f t="shared" si="427"/>
        <v>34929539</v>
      </c>
      <c r="P642" s="9">
        <v>26461771.640000001</v>
      </c>
      <c r="Q642" s="9">
        <v>5201133</v>
      </c>
      <c r="R642" s="9">
        <v>5201133</v>
      </c>
      <c r="S642" s="9">
        <v>5201133</v>
      </c>
      <c r="T642" s="9">
        <v>5402133</v>
      </c>
      <c r="U642" s="9">
        <v>5402133</v>
      </c>
      <c r="V642" s="9">
        <v>5402133</v>
      </c>
      <c r="W642" s="9">
        <v>13</v>
      </c>
      <c r="X642" s="9">
        <v>13</v>
      </c>
      <c r="Y642" s="9">
        <v>13</v>
      </c>
      <c r="Z642" s="9">
        <v>13</v>
      </c>
      <c r="AA642" s="9">
        <v>13</v>
      </c>
      <c r="AB642" s="9">
        <v>13</v>
      </c>
      <c r="AC642" s="9">
        <f t="shared" si="402"/>
        <v>1371</v>
      </c>
      <c r="AD642" s="9">
        <f t="shared" si="403"/>
        <v>1481</v>
      </c>
      <c r="AE642" s="9">
        <f t="shared" si="404"/>
        <v>1481</v>
      </c>
      <c r="AF642" s="9">
        <f t="shared" si="405"/>
        <v>1481</v>
      </c>
      <c r="AG642" s="9">
        <f t="shared" si="406"/>
        <v>1481</v>
      </c>
      <c r="AH642" s="9">
        <f t="shared" si="407"/>
        <v>1481</v>
      </c>
      <c r="AI642" s="7">
        <f t="shared" si="426"/>
        <v>4410295.2733333334</v>
      </c>
      <c r="AJ642" s="7">
        <f t="shared" si="426"/>
        <v>4410295.2733333334</v>
      </c>
      <c r="AK642" s="7">
        <f t="shared" si="426"/>
        <v>4410295.2733333334</v>
      </c>
      <c r="AL642" s="7">
        <f t="shared" si="426"/>
        <v>4410295.2733333334</v>
      </c>
      <c r="AM642" s="7">
        <f t="shared" si="426"/>
        <v>4410295.2733333334</v>
      </c>
      <c r="AN642" s="7">
        <f t="shared" si="426"/>
        <v>4410295.2733333334</v>
      </c>
      <c r="BR642" s="5">
        <v>5405051</v>
      </c>
      <c r="BS642" s="18">
        <f>[1]monsters!$N642</f>
        <v>187.73</v>
      </c>
      <c r="BT642" s="18">
        <f>[1]monsters!$O642</f>
        <v>18.77</v>
      </c>
      <c r="BU642" s="18">
        <f>[1]monsters!$P642</f>
        <v>2112</v>
      </c>
      <c r="BV642" s="18">
        <f>[1]monsters!$Q642</f>
        <v>211.2</v>
      </c>
      <c r="BW642" s="18">
        <f>[1]monsters!$R642</f>
        <v>62.58</v>
      </c>
      <c r="BX642" s="18">
        <f>[1]monsters!$S642</f>
        <v>6.26</v>
      </c>
      <c r="BY642" s="18">
        <f>[1]monsters!$K642</f>
        <v>1.6</v>
      </c>
      <c r="BZ642" s="5">
        <f>[1]monsters!$D642</f>
        <v>2</v>
      </c>
      <c r="CA642" s="5">
        <f t="shared" si="389"/>
        <v>0.1</v>
      </c>
      <c r="CB642" s="5">
        <f t="shared" si="390"/>
        <v>248.51596111111112</v>
      </c>
      <c r="CC642" s="5">
        <f t="shared" si="391"/>
        <v>24.851596111111114</v>
      </c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R642" s="3" t="b">
        <f t="shared" si="408"/>
        <v>1</v>
      </c>
      <c r="CS642" s="3" t="b">
        <f t="shared" si="409"/>
        <v>1</v>
      </c>
      <c r="CT642" s="3" t="b">
        <f t="shared" si="410"/>
        <v>1</v>
      </c>
      <c r="CU642" s="3" t="b">
        <f t="shared" si="411"/>
        <v>1</v>
      </c>
      <c r="CV642" s="3" t="b">
        <f t="shared" si="412"/>
        <v>1</v>
      </c>
      <c r="CW642" s="3" t="b">
        <f t="shared" si="413"/>
        <v>1</v>
      </c>
      <c r="CX642" s="9" t="str">
        <f t="shared" si="414"/>
        <v>5201133</v>
      </c>
      <c r="CY642" s="9" t="str">
        <f t="shared" si="415"/>
        <v>5201133</v>
      </c>
      <c r="CZ642" s="9" t="str">
        <f t="shared" si="416"/>
        <v>5201133</v>
      </c>
      <c r="DA642" s="9" t="str">
        <f t="shared" si="417"/>
        <v>5402133</v>
      </c>
      <c r="DB642" s="9" t="str">
        <f t="shared" si="418"/>
        <v>5402133</v>
      </c>
      <c r="DC642" s="9" t="str">
        <f t="shared" si="419"/>
        <v>5402133</v>
      </c>
      <c r="DD642" s="9">
        <v>13</v>
      </c>
      <c r="DE642" s="9">
        <v>13</v>
      </c>
      <c r="DF642" s="9">
        <v>13</v>
      </c>
      <c r="DG642" s="9">
        <v>13</v>
      </c>
      <c r="DH642" s="9">
        <v>13</v>
      </c>
      <c r="DI642" s="9">
        <v>13</v>
      </c>
      <c r="DJ642" s="9">
        <v>5</v>
      </c>
      <c r="DK642" s="9">
        <v>5</v>
      </c>
      <c r="DL642" s="9">
        <v>5</v>
      </c>
      <c r="DM642" s="9">
        <v>5</v>
      </c>
      <c r="DN642" s="9">
        <v>5</v>
      </c>
      <c r="DO642" s="9">
        <v>5</v>
      </c>
      <c r="DP642" s="25" t="s">
        <v>205</v>
      </c>
      <c r="DQ642" s="25" t="s">
        <v>205</v>
      </c>
      <c r="DR642" s="25" t="s">
        <v>205</v>
      </c>
      <c r="DS642" s="26" t="s">
        <v>118</v>
      </c>
      <c r="DT642" s="26" t="s">
        <v>118</v>
      </c>
      <c r="DU642" s="26" t="s">
        <v>118</v>
      </c>
      <c r="DV642" s="25">
        <f t="shared" si="420"/>
        <v>1</v>
      </c>
      <c r="DW642" s="25">
        <f t="shared" si="421"/>
        <v>1</v>
      </c>
      <c r="DX642" s="25">
        <f t="shared" si="422"/>
        <v>1</v>
      </c>
      <c r="DY642" s="25">
        <f t="shared" si="423"/>
        <v>2</v>
      </c>
      <c r="DZ642" s="25">
        <f t="shared" si="424"/>
        <v>2</v>
      </c>
      <c r="EA642" s="25">
        <f t="shared" si="425"/>
        <v>2</v>
      </c>
      <c r="EB642" s="46"/>
    </row>
    <row r="643" spans="1:132" ht="13.5" customHeight="1">
      <c r="A643" s="9">
        <v>640</v>
      </c>
      <c r="B643" s="9">
        <v>1</v>
      </c>
      <c r="C643" s="9">
        <v>2001</v>
      </c>
      <c r="D643" s="9">
        <f t="shared" si="398"/>
        <v>35020704</v>
      </c>
      <c r="E643" s="9" t="str">
        <f t="shared" si="399"/>
        <v>5300135,5202135,5202135,5502132,5500132,5502131</v>
      </c>
      <c r="F643" s="9" t="str">
        <f t="shared" si="400"/>
        <v>13,13,13,13,13,13</v>
      </c>
      <c r="G643" s="9" t="str">
        <f t="shared" si="401"/>
        <v>1372,1483,1483,1483,1483,1483</v>
      </c>
      <c r="H643" s="9">
        <v>296</v>
      </c>
      <c r="I643" s="9" t="s">
        <v>278</v>
      </c>
      <c r="J643" s="9" t="s">
        <v>279</v>
      </c>
      <c r="K643" s="9" t="s">
        <v>279</v>
      </c>
      <c r="L643" s="9" t="s">
        <v>279</v>
      </c>
      <c r="M643" s="36" t="s">
        <v>317</v>
      </c>
      <c r="O643" s="3">
        <f t="shared" si="427"/>
        <v>35020704</v>
      </c>
      <c r="P643" s="9">
        <v>26530836.16</v>
      </c>
      <c r="Q643" s="9">
        <v>5300135</v>
      </c>
      <c r="R643" s="9">
        <v>5202135</v>
      </c>
      <c r="S643" s="9">
        <v>5202135</v>
      </c>
      <c r="T643" s="9">
        <v>5502132</v>
      </c>
      <c r="U643" s="9">
        <v>5500132</v>
      </c>
      <c r="V643" s="9">
        <v>5502131</v>
      </c>
      <c r="W643" s="9">
        <v>13</v>
      </c>
      <c r="X643" s="9">
        <v>13</v>
      </c>
      <c r="Y643" s="9">
        <v>13</v>
      </c>
      <c r="Z643" s="9">
        <v>13</v>
      </c>
      <c r="AA643" s="9">
        <v>13</v>
      </c>
      <c r="AB643" s="9">
        <v>13</v>
      </c>
      <c r="AC643" s="9">
        <f t="shared" si="402"/>
        <v>1372</v>
      </c>
      <c r="AD643" s="9">
        <f t="shared" si="403"/>
        <v>1483</v>
      </c>
      <c r="AE643" s="9">
        <f t="shared" si="404"/>
        <v>1483</v>
      </c>
      <c r="AF643" s="9">
        <f t="shared" si="405"/>
        <v>1483</v>
      </c>
      <c r="AG643" s="9">
        <f t="shared" si="406"/>
        <v>1483</v>
      </c>
      <c r="AH643" s="9">
        <f t="shared" si="407"/>
        <v>1483</v>
      </c>
      <c r="AI643" s="7">
        <f t="shared" si="426"/>
        <v>4421806.0266666664</v>
      </c>
      <c r="AJ643" s="7">
        <f t="shared" si="426"/>
        <v>4421806.0266666664</v>
      </c>
      <c r="AK643" s="7">
        <f t="shared" si="426"/>
        <v>4421806.0266666664</v>
      </c>
      <c r="AL643" s="7">
        <f t="shared" si="426"/>
        <v>4421806.0266666664</v>
      </c>
      <c r="AM643" s="7">
        <f t="shared" si="426"/>
        <v>4421806.0266666664</v>
      </c>
      <c r="AN643" s="7">
        <f t="shared" si="426"/>
        <v>4421806.0266666664</v>
      </c>
      <c r="BR643" s="5">
        <v>5203051</v>
      </c>
      <c r="BS643" s="18">
        <f>[1]monsters!$N643</f>
        <v>187.73</v>
      </c>
      <c r="BT643" s="18">
        <f>[1]monsters!$O643</f>
        <v>18.77</v>
      </c>
      <c r="BU643" s="18">
        <f>[1]monsters!$P643</f>
        <v>2112</v>
      </c>
      <c r="BV643" s="18">
        <f>[1]monsters!$Q643</f>
        <v>211.2</v>
      </c>
      <c r="BW643" s="18">
        <f>[1]monsters!$R643</f>
        <v>62.58</v>
      </c>
      <c r="BX643" s="18">
        <f>[1]monsters!$S643</f>
        <v>6.26</v>
      </c>
      <c r="BY643" s="18">
        <f>[1]monsters!$K643</f>
        <v>1.6</v>
      </c>
      <c r="BZ643" s="5">
        <f>[1]monsters!$D643</f>
        <v>2</v>
      </c>
      <c r="CA643" s="5">
        <f t="shared" si="389"/>
        <v>0.1</v>
      </c>
      <c r="CB643" s="5">
        <f t="shared" si="390"/>
        <v>248.51596111111112</v>
      </c>
      <c r="CC643" s="5">
        <f t="shared" si="391"/>
        <v>24.851596111111114</v>
      </c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R643" s="3" t="b">
        <f t="shared" si="408"/>
        <v>1</v>
      </c>
      <c r="CS643" s="3" t="b">
        <f t="shared" si="409"/>
        <v>1</v>
      </c>
      <c r="CT643" s="3" t="b">
        <f t="shared" si="410"/>
        <v>1</v>
      </c>
      <c r="CU643" s="3" t="b">
        <f t="shared" si="411"/>
        <v>1</v>
      </c>
      <c r="CV643" s="3" t="b">
        <f t="shared" si="412"/>
        <v>1</v>
      </c>
      <c r="CW643" s="3" t="b">
        <f t="shared" si="413"/>
        <v>1</v>
      </c>
      <c r="CX643" s="9" t="str">
        <f t="shared" si="414"/>
        <v>5300135</v>
      </c>
      <c r="CY643" s="9" t="str">
        <f t="shared" si="415"/>
        <v>5202135</v>
      </c>
      <c r="CZ643" s="9" t="str">
        <f t="shared" si="416"/>
        <v>5202135</v>
      </c>
      <c r="DA643" s="9" t="str">
        <f t="shared" si="417"/>
        <v>5502132</v>
      </c>
      <c r="DB643" s="9" t="str">
        <f t="shared" si="418"/>
        <v>5500132</v>
      </c>
      <c r="DC643" s="9" t="str">
        <f t="shared" si="419"/>
        <v>5502131</v>
      </c>
      <c r="DD643" s="9">
        <v>13</v>
      </c>
      <c r="DE643" s="9">
        <v>13</v>
      </c>
      <c r="DF643" s="9">
        <v>13</v>
      </c>
      <c r="DG643" s="9">
        <v>13</v>
      </c>
      <c r="DH643" s="9">
        <v>13</v>
      </c>
      <c r="DI643" s="9">
        <v>13</v>
      </c>
      <c r="DJ643" s="9">
        <v>5</v>
      </c>
      <c r="DK643" s="9">
        <v>5</v>
      </c>
      <c r="DL643" s="9">
        <v>5</v>
      </c>
      <c r="DM643" s="9">
        <v>5</v>
      </c>
      <c r="DN643" s="9">
        <v>5</v>
      </c>
      <c r="DO643" s="9">
        <v>5</v>
      </c>
      <c r="DP643" s="25" t="s">
        <v>212</v>
      </c>
      <c r="DQ643" s="25" t="s">
        <v>213</v>
      </c>
      <c r="DR643" s="25" t="s">
        <v>213</v>
      </c>
      <c r="DS643" s="26" t="s">
        <v>204</v>
      </c>
      <c r="DT643" s="26" t="s">
        <v>109</v>
      </c>
      <c r="DU643" s="26" t="s">
        <v>119</v>
      </c>
      <c r="DV643" s="25">
        <f t="shared" si="420"/>
        <v>1</v>
      </c>
      <c r="DW643" s="25">
        <f t="shared" si="421"/>
        <v>1</v>
      </c>
      <c r="DX643" s="25">
        <f t="shared" si="422"/>
        <v>1</v>
      </c>
      <c r="DY643" s="25">
        <f t="shared" si="423"/>
        <v>2</v>
      </c>
      <c r="DZ643" s="25">
        <f t="shared" si="424"/>
        <v>2</v>
      </c>
      <c r="EA643" s="25">
        <f t="shared" si="425"/>
        <v>2</v>
      </c>
      <c r="EB643" s="45"/>
    </row>
    <row r="644" spans="1:132" ht="13.5" customHeight="1">
      <c r="A644" s="9">
        <v>641</v>
      </c>
      <c r="B644" s="9">
        <v>1</v>
      </c>
      <c r="C644" s="9">
        <v>2001</v>
      </c>
      <c r="D644" s="9">
        <f t="shared" si="398"/>
        <v>35111991</v>
      </c>
      <c r="E644" s="9" t="str">
        <f t="shared" si="399"/>
        <v>5200132,5200133,5200132,5401131,5401133,5400135</v>
      </c>
      <c r="F644" s="9" t="str">
        <f t="shared" si="400"/>
        <v>13,13,13,13,13,13</v>
      </c>
      <c r="G644" s="9" t="str">
        <f t="shared" si="401"/>
        <v>1374,1485,1485,1485,1485,1485</v>
      </c>
      <c r="H644" s="9">
        <v>296</v>
      </c>
      <c r="I644" s="9" t="s">
        <v>278</v>
      </c>
      <c r="J644" s="9" t="s">
        <v>279</v>
      </c>
      <c r="K644" s="9" t="s">
        <v>279</v>
      </c>
      <c r="L644" s="9" t="s">
        <v>279</v>
      </c>
      <c r="M644" s="36" t="s">
        <v>317</v>
      </c>
      <c r="O644" s="3">
        <f t="shared" si="427"/>
        <v>35111991</v>
      </c>
      <c r="P644" s="9">
        <v>26599993.52</v>
      </c>
      <c r="Q644" s="9">
        <v>5200132</v>
      </c>
      <c r="R644" s="9">
        <v>5200133</v>
      </c>
      <c r="S644" s="9">
        <v>5200132</v>
      </c>
      <c r="T644" s="9">
        <v>5401131</v>
      </c>
      <c r="U644" s="9">
        <v>5401133</v>
      </c>
      <c r="V644" s="9">
        <v>5400135</v>
      </c>
      <c r="W644" s="9">
        <v>13</v>
      </c>
      <c r="X644" s="9">
        <v>13</v>
      </c>
      <c r="Y644" s="9">
        <v>13</v>
      </c>
      <c r="Z644" s="9">
        <v>13</v>
      </c>
      <c r="AA644" s="9">
        <v>13</v>
      </c>
      <c r="AB644" s="9">
        <v>13</v>
      </c>
      <c r="AC644" s="9">
        <f t="shared" si="402"/>
        <v>1374</v>
      </c>
      <c r="AD644" s="9">
        <f t="shared" si="403"/>
        <v>1485</v>
      </c>
      <c r="AE644" s="9">
        <f t="shared" si="404"/>
        <v>1485</v>
      </c>
      <c r="AF644" s="9">
        <f t="shared" si="405"/>
        <v>1485</v>
      </c>
      <c r="AG644" s="9">
        <f t="shared" si="406"/>
        <v>1485</v>
      </c>
      <c r="AH644" s="9">
        <f t="shared" si="407"/>
        <v>1485</v>
      </c>
      <c r="AI644" s="7">
        <f t="shared" si="426"/>
        <v>4433332.2533333329</v>
      </c>
      <c r="AJ644" s="7">
        <f t="shared" si="426"/>
        <v>4433332.2533333329</v>
      </c>
      <c r="AK644" s="7">
        <f t="shared" si="426"/>
        <v>4433332.2533333329</v>
      </c>
      <c r="AL644" s="7">
        <f t="shared" si="426"/>
        <v>4433332.2533333329</v>
      </c>
      <c r="AM644" s="7">
        <f t="shared" si="426"/>
        <v>4433332.2533333329</v>
      </c>
      <c r="AN644" s="7">
        <f t="shared" si="426"/>
        <v>4433332.2533333329</v>
      </c>
      <c r="BR644" s="5">
        <v>5403051</v>
      </c>
      <c r="BS644" s="18">
        <f>[1]monsters!$N644</f>
        <v>187.73</v>
      </c>
      <c r="BT644" s="18">
        <f>[1]monsters!$O644</f>
        <v>18.77</v>
      </c>
      <c r="BU644" s="18">
        <f>[1]monsters!$P644</f>
        <v>2112</v>
      </c>
      <c r="BV644" s="18">
        <f>[1]monsters!$Q644</f>
        <v>211.2</v>
      </c>
      <c r="BW644" s="18">
        <f>[1]monsters!$R644</f>
        <v>62.58</v>
      </c>
      <c r="BX644" s="18">
        <f>[1]monsters!$S644</f>
        <v>6.26</v>
      </c>
      <c r="BY644" s="18">
        <f>[1]monsters!$K644</f>
        <v>1.6</v>
      </c>
      <c r="BZ644" s="5">
        <f>[1]monsters!$D644</f>
        <v>2</v>
      </c>
      <c r="CA644" s="5">
        <f t="shared" si="389"/>
        <v>0.1</v>
      </c>
      <c r="CB644" s="5">
        <f t="shared" si="390"/>
        <v>248.51596111111112</v>
      </c>
      <c r="CC644" s="5">
        <f t="shared" si="391"/>
        <v>24.851596111111114</v>
      </c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R644" s="3" t="b">
        <f t="shared" si="408"/>
        <v>1</v>
      </c>
      <c r="CS644" s="3" t="b">
        <f t="shared" si="409"/>
        <v>1</v>
      </c>
      <c r="CT644" s="3" t="b">
        <f t="shared" si="410"/>
        <v>1</v>
      </c>
      <c r="CU644" s="3" t="b">
        <f t="shared" si="411"/>
        <v>1</v>
      </c>
      <c r="CV644" s="3" t="b">
        <f t="shared" si="412"/>
        <v>1</v>
      </c>
      <c r="CW644" s="3" t="b">
        <f t="shared" si="413"/>
        <v>1</v>
      </c>
      <c r="CX644" s="9" t="str">
        <f t="shared" si="414"/>
        <v>5200132</v>
      </c>
      <c r="CY644" s="9" t="str">
        <f t="shared" si="415"/>
        <v>5200133</v>
      </c>
      <c r="CZ644" s="9" t="str">
        <f t="shared" si="416"/>
        <v>5200132</v>
      </c>
      <c r="DA644" s="9" t="str">
        <f t="shared" si="417"/>
        <v>5401131</v>
      </c>
      <c r="DB644" s="9" t="str">
        <f t="shared" si="418"/>
        <v>5401133</v>
      </c>
      <c r="DC644" s="9" t="str">
        <f t="shared" si="419"/>
        <v>5400135</v>
      </c>
      <c r="DD644" s="9">
        <v>13</v>
      </c>
      <c r="DE644" s="9">
        <v>13</v>
      </c>
      <c r="DF644" s="9">
        <v>13</v>
      </c>
      <c r="DG644" s="9">
        <v>13</v>
      </c>
      <c r="DH644" s="9">
        <v>13</v>
      </c>
      <c r="DI644" s="9">
        <v>13</v>
      </c>
      <c r="DJ644" s="9">
        <v>5</v>
      </c>
      <c r="DK644" s="9">
        <v>5</v>
      </c>
      <c r="DL644" s="9">
        <v>5</v>
      </c>
      <c r="DM644" s="9">
        <v>5</v>
      </c>
      <c r="DN644" s="9">
        <v>5</v>
      </c>
      <c r="DO644" s="9">
        <v>5</v>
      </c>
      <c r="DP644" s="25" t="s">
        <v>199</v>
      </c>
      <c r="DQ644" s="25" t="s">
        <v>113</v>
      </c>
      <c r="DR644" s="25" t="s">
        <v>199</v>
      </c>
      <c r="DS644" s="26" t="s">
        <v>117</v>
      </c>
      <c r="DT644" s="26" t="s">
        <v>211</v>
      </c>
      <c r="DU644" s="26" t="s">
        <v>210</v>
      </c>
      <c r="DV644" s="25">
        <f t="shared" si="420"/>
        <v>1</v>
      </c>
      <c r="DW644" s="25">
        <f t="shared" si="421"/>
        <v>1</v>
      </c>
      <c r="DX644" s="25">
        <f t="shared" si="422"/>
        <v>1</v>
      </c>
      <c r="DY644" s="25">
        <f t="shared" si="423"/>
        <v>2</v>
      </c>
      <c r="DZ644" s="25">
        <f t="shared" si="424"/>
        <v>2</v>
      </c>
      <c r="EA644" s="25">
        <f t="shared" si="425"/>
        <v>2</v>
      </c>
      <c r="EB644" s="45"/>
    </row>
    <row r="645" spans="1:132" ht="13.5" customHeight="1">
      <c r="A645" s="9">
        <v>642</v>
      </c>
      <c r="B645" s="9">
        <v>1</v>
      </c>
      <c r="C645" s="9">
        <v>2001</v>
      </c>
      <c r="D645" s="9">
        <f t="shared" si="398"/>
        <v>35203396</v>
      </c>
      <c r="E645" s="9" t="str">
        <f t="shared" si="399"/>
        <v>5202131,5202132,5301132,5502131,5500131,5502131</v>
      </c>
      <c r="F645" s="9" t="str">
        <f t="shared" si="400"/>
        <v>13,13,13,13,13,13</v>
      </c>
      <c r="G645" s="9" t="str">
        <f t="shared" si="401"/>
        <v>1376,1487,1487,1487,1487,1487</v>
      </c>
      <c r="H645" s="9">
        <v>296</v>
      </c>
      <c r="I645" s="9" t="s">
        <v>278</v>
      </c>
      <c r="J645" s="9" t="s">
        <v>279</v>
      </c>
      <c r="K645" s="9" t="s">
        <v>279</v>
      </c>
      <c r="L645" s="9" t="s">
        <v>279</v>
      </c>
      <c r="M645" s="36" t="s">
        <v>317</v>
      </c>
      <c r="O645" s="3">
        <f t="shared" si="427"/>
        <v>35203396</v>
      </c>
      <c r="P645" s="9">
        <v>26669239.5</v>
      </c>
      <c r="Q645" s="9">
        <v>5202131</v>
      </c>
      <c r="R645" s="9">
        <v>5202132</v>
      </c>
      <c r="S645" s="9">
        <v>5301132</v>
      </c>
      <c r="T645" s="9">
        <v>5502131</v>
      </c>
      <c r="U645" s="9">
        <v>5500131</v>
      </c>
      <c r="V645" s="9">
        <v>5502131</v>
      </c>
      <c r="W645" s="9">
        <v>13</v>
      </c>
      <c r="X645" s="9">
        <v>13</v>
      </c>
      <c r="Y645" s="9">
        <v>13</v>
      </c>
      <c r="Z645" s="9">
        <v>13</v>
      </c>
      <c r="AA645" s="9">
        <v>13</v>
      </c>
      <c r="AB645" s="9">
        <v>13</v>
      </c>
      <c r="AC645" s="9">
        <f t="shared" si="402"/>
        <v>1376</v>
      </c>
      <c r="AD645" s="9">
        <f t="shared" si="403"/>
        <v>1487</v>
      </c>
      <c r="AE645" s="9">
        <f t="shared" si="404"/>
        <v>1487</v>
      </c>
      <c r="AF645" s="9">
        <f t="shared" si="405"/>
        <v>1487</v>
      </c>
      <c r="AG645" s="9">
        <f t="shared" si="406"/>
        <v>1487</v>
      </c>
      <c r="AH645" s="9">
        <f t="shared" si="407"/>
        <v>1487</v>
      </c>
      <c r="AI645" s="7">
        <f t="shared" si="426"/>
        <v>4444873.25</v>
      </c>
      <c r="AJ645" s="7">
        <f t="shared" si="426"/>
        <v>4444873.25</v>
      </c>
      <c r="AK645" s="7">
        <f t="shared" si="426"/>
        <v>4444873.25</v>
      </c>
      <c r="AL645" s="7">
        <f t="shared" si="426"/>
        <v>4444873.25</v>
      </c>
      <c r="AM645" s="7">
        <f t="shared" si="426"/>
        <v>4444873.25</v>
      </c>
      <c r="AN645" s="7">
        <f t="shared" si="426"/>
        <v>4444873.25</v>
      </c>
      <c r="BR645" s="5">
        <v>5204051</v>
      </c>
      <c r="BS645" s="18">
        <f>[1]monsters!$N645</f>
        <v>187.73</v>
      </c>
      <c r="BT645" s="18">
        <f>[1]monsters!$O645</f>
        <v>18.77</v>
      </c>
      <c r="BU645" s="18">
        <f>[1]monsters!$P645</f>
        <v>2112</v>
      </c>
      <c r="BV645" s="18">
        <f>[1]monsters!$Q645</f>
        <v>211.2</v>
      </c>
      <c r="BW645" s="18">
        <f>[1]monsters!$R645</f>
        <v>62.58</v>
      </c>
      <c r="BX645" s="18">
        <f>[1]monsters!$S645</f>
        <v>6.26</v>
      </c>
      <c r="BY645" s="18">
        <f>[1]monsters!$K645</f>
        <v>1.6</v>
      </c>
      <c r="BZ645" s="5">
        <f>[1]monsters!$D645</f>
        <v>2</v>
      </c>
      <c r="CA645" s="5">
        <f t="shared" ref="CA645:CA708" si="428">INDEX($CH$5:$CH$10,MATCH($BZ645,$CG$5:$CG$10))</f>
        <v>0.1</v>
      </c>
      <c r="CB645" s="5">
        <f t="shared" ref="CB645:CB708" si="429">(BU645/33/(1-CA645)/(1-0)+BS645*(1+0.5*0.1)*0.9)</f>
        <v>248.51596111111112</v>
      </c>
      <c r="CC645" s="5">
        <f t="shared" ref="CC645:CC708" si="430">(BU645/33/(1-CA645)/(1-0)+BS645*(1+0.5*0.1)*0.9)*0.1</f>
        <v>24.851596111111114</v>
      </c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R645" s="3" t="b">
        <f t="shared" si="408"/>
        <v>1</v>
      </c>
      <c r="CS645" s="3" t="b">
        <f t="shared" si="409"/>
        <v>1</v>
      </c>
      <c r="CT645" s="3" t="b">
        <f t="shared" si="410"/>
        <v>1</v>
      </c>
      <c r="CU645" s="3" t="b">
        <f t="shared" si="411"/>
        <v>1</v>
      </c>
      <c r="CV645" s="3" t="b">
        <f t="shared" si="412"/>
        <v>1</v>
      </c>
      <c r="CW645" s="3" t="b">
        <f t="shared" si="413"/>
        <v>1</v>
      </c>
      <c r="CX645" s="9" t="str">
        <f t="shared" si="414"/>
        <v>5202131</v>
      </c>
      <c r="CY645" s="9" t="str">
        <f t="shared" si="415"/>
        <v>5202132</v>
      </c>
      <c r="CZ645" s="9" t="str">
        <f t="shared" si="416"/>
        <v>5301132</v>
      </c>
      <c r="DA645" s="9" t="str">
        <f t="shared" si="417"/>
        <v>5502131</v>
      </c>
      <c r="DB645" s="9" t="str">
        <f t="shared" si="418"/>
        <v>5500131</v>
      </c>
      <c r="DC645" s="9" t="str">
        <f t="shared" si="419"/>
        <v>5502131</v>
      </c>
      <c r="DD645" s="9">
        <v>13</v>
      </c>
      <c r="DE645" s="9">
        <v>13</v>
      </c>
      <c r="DF645" s="9">
        <v>13</v>
      </c>
      <c r="DG645" s="9">
        <v>13</v>
      </c>
      <c r="DH645" s="9">
        <v>13</v>
      </c>
      <c r="DI645" s="9">
        <v>13</v>
      </c>
      <c r="DJ645" s="9">
        <v>5</v>
      </c>
      <c r="DK645" s="9">
        <v>5</v>
      </c>
      <c r="DL645" s="9">
        <v>5</v>
      </c>
      <c r="DM645" s="9">
        <v>5</v>
      </c>
      <c r="DN645" s="9">
        <v>5</v>
      </c>
      <c r="DO645" s="9">
        <v>5</v>
      </c>
      <c r="DP645" s="25" t="s">
        <v>111</v>
      </c>
      <c r="DQ645" s="25" t="s">
        <v>200</v>
      </c>
      <c r="DR645" s="25" t="s">
        <v>201</v>
      </c>
      <c r="DS645" s="26" t="s">
        <v>119</v>
      </c>
      <c r="DT645" s="26" t="s">
        <v>197</v>
      </c>
      <c r="DU645" s="26" t="s">
        <v>119</v>
      </c>
      <c r="DV645" s="25">
        <f t="shared" si="420"/>
        <v>1</v>
      </c>
      <c r="DW645" s="25">
        <f t="shared" si="421"/>
        <v>1</v>
      </c>
      <c r="DX645" s="25">
        <f t="shared" si="422"/>
        <v>1</v>
      </c>
      <c r="DY645" s="25">
        <f t="shared" si="423"/>
        <v>2</v>
      </c>
      <c r="DZ645" s="25">
        <f t="shared" si="424"/>
        <v>2</v>
      </c>
      <c r="EA645" s="25">
        <f t="shared" si="425"/>
        <v>2</v>
      </c>
      <c r="EB645" s="45"/>
    </row>
    <row r="646" spans="1:132" ht="13.5" customHeight="1">
      <c r="A646" s="9">
        <v>643</v>
      </c>
      <c r="B646" s="9">
        <v>1</v>
      </c>
      <c r="C646" s="9">
        <v>2001</v>
      </c>
      <c r="D646" s="9">
        <f t="shared" si="398"/>
        <v>35294923</v>
      </c>
      <c r="E646" s="9" t="str">
        <f t="shared" si="399"/>
        <v>5201134,5201134,5202135,5501135,5502132,5502132</v>
      </c>
      <c r="F646" s="9" t="str">
        <f t="shared" si="400"/>
        <v>13,13,13,13,13,13</v>
      </c>
      <c r="G646" s="9" t="str">
        <f t="shared" si="401"/>
        <v>1378,1489,1489,1489,1489,1489</v>
      </c>
      <c r="H646" s="9">
        <v>297</v>
      </c>
      <c r="I646" s="9" t="s">
        <v>278</v>
      </c>
      <c r="J646" s="9" t="s">
        <v>279</v>
      </c>
      <c r="K646" s="9" t="s">
        <v>279</v>
      </c>
      <c r="L646" s="9" t="s">
        <v>279</v>
      </c>
      <c r="M646" s="36" t="s">
        <v>317</v>
      </c>
      <c r="O646" s="3">
        <f t="shared" si="427"/>
        <v>35294923</v>
      </c>
      <c r="P646" s="9">
        <v>26738578.32</v>
      </c>
      <c r="Q646" s="9">
        <v>5201134</v>
      </c>
      <c r="R646" s="9">
        <v>5201134</v>
      </c>
      <c r="S646" s="9">
        <v>5202135</v>
      </c>
      <c r="T646" s="9">
        <v>5501135</v>
      </c>
      <c r="U646" s="9">
        <v>5502132</v>
      </c>
      <c r="V646" s="9">
        <v>5502132</v>
      </c>
      <c r="W646" s="9">
        <v>13</v>
      </c>
      <c r="X646" s="9">
        <v>13</v>
      </c>
      <c r="Y646" s="9">
        <v>13</v>
      </c>
      <c r="Z646" s="9">
        <v>13</v>
      </c>
      <c r="AA646" s="9">
        <v>13</v>
      </c>
      <c r="AB646" s="9">
        <v>13</v>
      </c>
      <c r="AC646" s="9">
        <f t="shared" si="402"/>
        <v>1378</v>
      </c>
      <c r="AD646" s="9">
        <f t="shared" si="403"/>
        <v>1489</v>
      </c>
      <c r="AE646" s="9">
        <f t="shared" si="404"/>
        <v>1489</v>
      </c>
      <c r="AF646" s="9">
        <f t="shared" si="405"/>
        <v>1489</v>
      </c>
      <c r="AG646" s="9">
        <f t="shared" si="406"/>
        <v>1489</v>
      </c>
      <c r="AH646" s="9">
        <f t="shared" si="407"/>
        <v>1489</v>
      </c>
      <c r="AI646" s="7">
        <f t="shared" si="426"/>
        <v>4456429.72</v>
      </c>
      <c r="AJ646" s="7">
        <f t="shared" si="426"/>
        <v>4456429.72</v>
      </c>
      <c r="AK646" s="7">
        <f t="shared" si="426"/>
        <v>4456429.72</v>
      </c>
      <c r="AL646" s="7">
        <f t="shared" si="426"/>
        <v>4456429.72</v>
      </c>
      <c r="AM646" s="7">
        <f t="shared" si="426"/>
        <v>4456429.72</v>
      </c>
      <c r="AN646" s="7">
        <f t="shared" si="426"/>
        <v>4456429.72</v>
      </c>
      <c r="BR646" s="5">
        <v>5404051</v>
      </c>
      <c r="BS646" s="18">
        <f>[1]monsters!$N646</f>
        <v>187.73</v>
      </c>
      <c r="BT646" s="18">
        <f>[1]monsters!$O646</f>
        <v>18.77</v>
      </c>
      <c r="BU646" s="18">
        <f>[1]monsters!$P646</f>
        <v>2112</v>
      </c>
      <c r="BV646" s="18">
        <f>[1]monsters!$Q646</f>
        <v>211.2</v>
      </c>
      <c r="BW646" s="18">
        <f>[1]monsters!$R646</f>
        <v>62.58</v>
      </c>
      <c r="BX646" s="18">
        <f>[1]monsters!$S646</f>
        <v>6.26</v>
      </c>
      <c r="BY646" s="18">
        <f>[1]monsters!$K646</f>
        <v>1.6</v>
      </c>
      <c r="BZ646" s="5">
        <f>[1]monsters!$D646</f>
        <v>2</v>
      </c>
      <c r="CA646" s="5">
        <f t="shared" si="428"/>
        <v>0.1</v>
      </c>
      <c r="CB646" s="5">
        <f t="shared" si="429"/>
        <v>248.51596111111112</v>
      </c>
      <c r="CC646" s="5">
        <f t="shared" si="430"/>
        <v>24.851596111111114</v>
      </c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R646" s="3" t="b">
        <f t="shared" si="408"/>
        <v>1</v>
      </c>
      <c r="CS646" s="3" t="b">
        <f t="shared" si="409"/>
        <v>1</v>
      </c>
      <c r="CT646" s="3" t="b">
        <f t="shared" si="410"/>
        <v>1</v>
      </c>
      <c r="CU646" s="3" t="b">
        <f t="shared" si="411"/>
        <v>1</v>
      </c>
      <c r="CV646" s="3" t="b">
        <f t="shared" si="412"/>
        <v>1</v>
      </c>
      <c r="CW646" s="3" t="b">
        <f t="shared" si="413"/>
        <v>1</v>
      </c>
      <c r="CX646" s="9" t="str">
        <f t="shared" si="414"/>
        <v>5201134</v>
      </c>
      <c r="CY646" s="9" t="str">
        <f t="shared" si="415"/>
        <v>5201134</v>
      </c>
      <c r="CZ646" s="9" t="str">
        <f t="shared" si="416"/>
        <v>5202135</v>
      </c>
      <c r="DA646" s="9" t="str">
        <f t="shared" si="417"/>
        <v>5501135</v>
      </c>
      <c r="DB646" s="9" t="str">
        <f t="shared" si="418"/>
        <v>5502132</v>
      </c>
      <c r="DC646" s="9" t="str">
        <f t="shared" si="419"/>
        <v>5502132</v>
      </c>
      <c r="DD646" s="9">
        <v>13</v>
      </c>
      <c r="DE646" s="9">
        <v>13</v>
      </c>
      <c r="DF646" s="9">
        <v>13</v>
      </c>
      <c r="DG646" s="9">
        <v>13</v>
      </c>
      <c r="DH646" s="9">
        <v>13</v>
      </c>
      <c r="DI646" s="9">
        <v>13</v>
      </c>
      <c r="DJ646" s="9">
        <v>5</v>
      </c>
      <c r="DK646" s="9">
        <v>5</v>
      </c>
      <c r="DL646" s="9">
        <v>5</v>
      </c>
      <c r="DM646" s="9">
        <v>5</v>
      </c>
      <c r="DN646" s="9">
        <v>5</v>
      </c>
      <c r="DO646" s="9">
        <v>5</v>
      </c>
      <c r="DP646" s="25" t="s">
        <v>217</v>
      </c>
      <c r="DQ646" s="25" t="s">
        <v>217</v>
      </c>
      <c r="DR646" s="27" t="s">
        <v>213</v>
      </c>
      <c r="DS646" s="25" t="s">
        <v>209</v>
      </c>
      <c r="DT646" s="28" t="s">
        <v>204</v>
      </c>
      <c r="DU646" s="28" t="s">
        <v>204</v>
      </c>
      <c r="DV646" s="25">
        <f t="shared" si="420"/>
        <v>1</v>
      </c>
      <c r="DW646" s="25">
        <f t="shared" si="421"/>
        <v>1</v>
      </c>
      <c r="DX646" s="25">
        <f t="shared" si="422"/>
        <v>1</v>
      </c>
      <c r="DY646" s="25">
        <f t="shared" si="423"/>
        <v>2</v>
      </c>
      <c r="DZ646" s="25">
        <f t="shared" si="424"/>
        <v>2</v>
      </c>
      <c r="EA646" s="25">
        <f t="shared" si="425"/>
        <v>2</v>
      </c>
      <c r="EB646" s="46"/>
    </row>
    <row r="647" spans="1:132" ht="13.5" customHeight="1">
      <c r="A647" s="9">
        <v>644</v>
      </c>
      <c r="B647" s="9">
        <v>1</v>
      </c>
      <c r="C647" s="9">
        <v>2001</v>
      </c>
      <c r="D647" s="9">
        <f t="shared" si="398"/>
        <v>35386568</v>
      </c>
      <c r="E647" s="9" t="str">
        <f t="shared" si="399"/>
        <v>5201132,5201132,5200132,5402132,5601132,5500132</v>
      </c>
      <c r="F647" s="9" t="str">
        <f t="shared" si="400"/>
        <v>13,13,13,13,13,13</v>
      </c>
      <c r="G647" s="9" t="str">
        <f t="shared" si="401"/>
        <v>1380,1491,1491,1491,1491,1491</v>
      </c>
      <c r="H647" s="9">
        <v>297</v>
      </c>
      <c r="I647" s="9" t="s">
        <v>278</v>
      </c>
      <c r="J647" s="9" t="s">
        <v>279</v>
      </c>
      <c r="K647" s="9" t="s">
        <v>279</v>
      </c>
      <c r="L647" s="9" t="s">
        <v>279</v>
      </c>
      <c r="M647" s="36" t="s">
        <v>317</v>
      </c>
      <c r="O647" s="3">
        <f t="shared" si="427"/>
        <v>35386568</v>
      </c>
      <c r="P647" s="9">
        <v>26808005.760000002</v>
      </c>
      <c r="Q647" s="9">
        <v>5201132</v>
      </c>
      <c r="R647" s="9">
        <v>5201132</v>
      </c>
      <c r="S647" s="9">
        <v>5200132</v>
      </c>
      <c r="T647" s="9">
        <v>5402132</v>
      </c>
      <c r="U647" s="9">
        <v>5601132</v>
      </c>
      <c r="V647" s="9">
        <v>5500132</v>
      </c>
      <c r="W647" s="9">
        <v>13</v>
      </c>
      <c r="X647" s="9">
        <v>13</v>
      </c>
      <c r="Y647" s="9">
        <v>13</v>
      </c>
      <c r="Z647" s="9">
        <v>13</v>
      </c>
      <c r="AA647" s="9">
        <v>13</v>
      </c>
      <c r="AB647" s="9">
        <v>13</v>
      </c>
      <c r="AC647" s="9">
        <f t="shared" si="402"/>
        <v>1380</v>
      </c>
      <c r="AD647" s="9">
        <f t="shared" si="403"/>
        <v>1491</v>
      </c>
      <c r="AE647" s="9">
        <f t="shared" si="404"/>
        <v>1491</v>
      </c>
      <c r="AF647" s="9">
        <f t="shared" si="405"/>
        <v>1491</v>
      </c>
      <c r="AG647" s="9">
        <f t="shared" si="406"/>
        <v>1491</v>
      </c>
      <c r="AH647" s="9">
        <f t="shared" si="407"/>
        <v>1491</v>
      </c>
      <c r="AI647" s="7">
        <f t="shared" si="426"/>
        <v>4468000.96</v>
      </c>
      <c r="AJ647" s="7">
        <f t="shared" si="426"/>
        <v>4468000.96</v>
      </c>
      <c r="AK647" s="7">
        <f t="shared" si="426"/>
        <v>4468000.96</v>
      </c>
      <c r="AL647" s="7">
        <f t="shared" si="426"/>
        <v>4468000.96</v>
      </c>
      <c r="AM647" s="7">
        <f t="shared" si="426"/>
        <v>4468000.96</v>
      </c>
      <c r="AN647" s="7">
        <f t="shared" si="426"/>
        <v>4468000.96</v>
      </c>
      <c r="BR647" s="5">
        <v>5303051</v>
      </c>
      <c r="BS647" s="18">
        <f>[1]monsters!$N647</f>
        <v>204.8</v>
      </c>
      <c r="BT647" s="18">
        <f>[1]monsters!$O647</f>
        <v>20.48</v>
      </c>
      <c r="BU647" s="18">
        <f>[1]monsters!$P647</f>
        <v>2304</v>
      </c>
      <c r="BV647" s="18">
        <f>[1]monsters!$Q647</f>
        <v>230.4</v>
      </c>
      <c r="BW647" s="18">
        <f>[1]monsters!$R647</f>
        <v>68.27</v>
      </c>
      <c r="BX647" s="18">
        <f>[1]monsters!$S647</f>
        <v>6.83</v>
      </c>
      <c r="BY647" s="18">
        <f>[1]monsters!$K647</f>
        <v>1.6</v>
      </c>
      <c r="BZ647" s="5">
        <f>[1]monsters!$D647</f>
        <v>2</v>
      </c>
      <c r="CA647" s="5">
        <f t="shared" si="428"/>
        <v>0.1</v>
      </c>
      <c r="CB647" s="5">
        <f t="shared" si="429"/>
        <v>271.11175757575757</v>
      </c>
      <c r="CC647" s="5">
        <f t="shared" si="430"/>
        <v>27.111175757575758</v>
      </c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R647" s="3" t="b">
        <f t="shared" si="408"/>
        <v>1</v>
      </c>
      <c r="CS647" s="3" t="b">
        <f t="shared" si="409"/>
        <v>1</v>
      </c>
      <c r="CT647" s="3" t="b">
        <f t="shared" si="410"/>
        <v>1</v>
      </c>
      <c r="CU647" s="3" t="b">
        <f t="shared" si="411"/>
        <v>1</v>
      </c>
      <c r="CV647" s="3" t="b">
        <f t="shared" si="412"/>
        <v>1</v>
      </c>
      <c r="CW647" s="3" t="b">
        <f t="shared" si="413"/>
        <v>1</v>
      </c>
      <c r="CX647" s="9" t="str">
        <f t="shared" si="414"/>
        <v>5201132</v>
      </c>
      <c r="CY647" s="9" t="str">
        <f t="shared" si="415"/>
        <v>5201132</v>
      </c>
      <c r="CZ647" s="9" t="str">
        <f t="shared" si="416"/>
        <v>5200132</v>
      </c>
      <c r="DA647" s="9" t="str">
        <f t="shared" si="417"/>
        <v>5402132</v>
      </c>
      <c r="DB647" s="9" t="str">
        <f t="shared" si="418"/>
        <v>5601132</v>
      </c>
      <c r="DC647" s="9" t="str">
        <f t="shared" si="419"/>
        <v>5500132</v>
      </c>
      <c r="DD647" s="9">
        <v>13</v>
      </c>
      <c r="DE647" s="9">
        <v>13</v>
      </c>
      <c r="DF647" s="9">
        <v>13</v>
      </c>
      <c r="DG647" s="9">
        <v>13</v>
      </c>
      <c r="DH647" s="9">
        <v>13</v>
      </c>
      <c r="DI647" s="9">
        <v>13</v>
      </c>
      <c r="DJ647" s="9">
        <v>5</v>
      </c>
      <c r="DK647" s="9">
        <v>5</v>
      </c>
      <c r="DL647" s="9">
        <v>5</v>
      </c>
      <c r="DM647" s="9">
        <v>5</v>
      </c>
      <c r="DN647" s="9">
        <v>5</v>
      </c>
      <c r="DO647" s="9">
        <v>5</v>
      </c>
      <c r="DP647" s="25" t="s">
        <v>114</v>
      </c>
      <c r="DQ647" s="25" t="s">
        <v>114</v>
      </c>
      <c r="DR647" s="26" t="s">
        <v>199</v>
      </c>
      <c r="DS647" s="26" t="s">
        <v>203</v>
      </c>
      <c r="DT647" s="25" t="s">
        <v>124</v>
      </c>
      <c r="DU647" s="25" t="s">
        <v>109</v>
      </c>
      <c r="DV647" s="25">
        <f t="shared" si="420"/>
        <v>1</v>
      </c>
      <c r="DW647" s="25">
        <f t="shared" si="421"/>
        <v>1</v>
      </c>
      <c r="DX647" s="25">
        <f t="shared" si="422"/>
        <v>1</v>
      </c>
      <c r="DY647" s="25">
        <f t="shared" si="423"/>
        <v>2</v>
      </c>
      <c r="DZ647" s="25">
        <f t="shared" si="424"/>
        <v>2</v>
      </c>
      <c r="EA647" s="25">
        <f t="shared" si="425"/>
        <v>2</v>
      </c>
      <c r="EB647" s="45"/>
    </row>
    <row r="648" spans="1:132" ht="13.5" customHeight="1">
      <c r="A648" s="9">
        <v>645</v>
      </c>
      <c r="B648" s="9">
        <v>1</v>
      </c>
      <c r="C648" s="9">
        <v>2001</v>
      </c>
      <c r="D648" s="9">
        <f t="shared" si="398"/>
        <v>35478332</v>
      </c>
      <c r="E648" s="9" t="str">
        <f t="shared" si="399"/>
        <v>5200132,5200133,5200132,5502132,5500132,5502131</v>
      </c>
      <c r="F648" s="9" t="str">
        <f t="shared" si="400"/>
        <v>13,13,13,13,13,13</v>
      </c>
      <c r="G648" s="9" t="str">
        <f t="shared" si="401"/>
        <v>1381,1493,1493,1493,1493,1493</v>
      </c>
      <c r="H648" s="9">
        <v>298</v>
      </c>
      <c r="I648" s="9" t="s">
        <v>278</v>
      </c>
      <c r="J648" s="9" t="s">
        <v>279</v>
      </c>
      <c r="K648" s="9" t="s">
        <v>279</v>
      </c>
      <c r="L648" s="9" t="s">
        <v>279</v>
      </c>
      <c r="M648" s="36" t="s">
        <v>317</v>
      </c>
      <c r="O648" s="3">
        <f t="shared" si="427"/>
        <v>35478332</v>
      </c>
      <c r="P648" s="9">
        <v>26877523.93</v>
      </c>
      <c r="Q648" s="9">
        <v>5200132</v>
      </c>
      <c r="R648" s="9">
        <v>5200133</v>
      </c>
      <c r="S648" s="9">
        <v>5200132</v>
      </c>
      <c r="T648" s="9">
        <v>5502132</v>
      </c>
      <c r="U648" s="9">
        <v>5500132</v>
      </c>
      <c r="V648" s="9">
        <v>5502131</v>
      </c>
      <c r="W648" s="9">
        <v>13</v>
      </c>
      <c r="X648" s="9">
        <v>13</v>
      </c>
      <c r="Y648" s="9">
        <v>13</v>
      </c>
      <c r="Z648" s="9">
        <v>13</v>
      </c>
      <c r="AA648" s="9">
        <v>13</v>
      </c>
      <c r="AB648" s="9">
        <v>13</v>
      </c>
      <c r="AC648" s="9">
        <f t="shared" si="402"/>
        <v>1381</v>
      </c>
      <c r="AD648" s="9">
        <f t="shared" si="403"/>
        <v>1493</v>
      </c>
      <c r="AE648" s="9">
        <f t="shared" si="404"/>
        <v>1493</v>
      </c>
      <c r="AF648" s="9">
        <f t="shared" si="405"/>
        <v>1493</v>
      </c>
      <c r="AG648" s="9">
        <f t="shared" si="406"/>
        <v>1493</v>
      </c>
      <c r="AH648" s="9">
        <f t="shared" si="407"/>
        <v>1493</v>
      </c>
      <c r="AI648" s="7">
        <f t="shared" si="426"/>
        <v>4479587.3216666663</v>
      </c>
      <c r="AJ648" s="7">
        <f t="shared" si="426"/>
        <v>4479587.3216666663</v>
      </c>
      <c r="AK648" s="7">
        <f t="shared" si="426"/>
        <v>4479587.3216666663</v>
      </c>
      <c r="AL648" s="7">
        <f t="shared" si="426"/>
        <v>4479587.3216666663</v>
      </c>
      <c r="AM648" s="7">
        <f t="shared" si="426"/>
        <v>4479587.3216666663</v>
      </c>
      <c r="AN648" s="7">
        <f t="shared" si="426"/>
        <v>4479587.3216666663</v>
      </c>
      <c r="BR648" s="5">
        <v>5304051</v>
      </c>
      <c r="BS648" s="18">
        <f>[1]monsters!$N648</f>
        <v>204.8</v>
      </c>
      <c r="BT648" s="18">
        <f>[1]monsters!$O648</f>
        <v>20.48</v>
      </c>
      <c r="BU648" s="18">
        <f>[1]monsters!$P648</f>
        <v>2304</v>
      </c>
      <c r="BV648" s="18">
        <f>[1]monsters!$Q648</f>
        <v>230.4</v>
      </c>
      <c r="BW648" s="18">
        <f>[1]monsters!$R648</f>
        <v>68.27</v>
      </c>
      <c r="BX648" s="18">
        <f>[1]monsters!$S648</f>
        <v>6.83</v>
      </c>
      <c r="BY648" s="18">
        <f>[1]monsters!$K648</f>
        <v>1.6</v>
      </c>
      <c r="BZ648" s="5">
        <f>[1]monsters!$D648</f>
        <v>2</v>
      </c>
      <c r="CA648" s="5">
        <f t="shared" si="428"/>
        <v>0.1</v>
      </c>
      <c r="CB648" s="5">
        <f t="shared" si="429"/>
        <v>271.11175757575757</v>
      </c>
      <c r="CC648" s="5">
        <f t="shared" si="430"/>
        <v>27.111175757575758</v>
      </c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R648" s="3" t="b">
        <f t="shared" si="408"/>
        <v>1</v>
      </c>
      <c r="CS648" s="3" t="b">
        <f t="shared" si="409"/>
        <v>1</v>
      </c>
      <c r="CT648" s="3" t="b">
        <f t="shared" si="410"/>
        <v>1</v>
      </c>
      <c r="CU648" s="3" t="b">
        <f t="shared" si="411"/>
        <v>1</v>
      </c>
      <c r="CV648" s="3" t="b">
        <f t="shared" si="412"/>
        <v>1</v>
      </c>
      <c r="CW648" s="3" t="b">
        <f t="shared" si="413"/>
        <v>1</v>
      </c>
      <c r="CX648" s="9" t="str">
        <f t="shared" si="414"/>
        <v>5200132</v>
      </c>
      <c r="CY648" s="9" t="str">
        <f t="shared" si="415"/>
        <v>5200133</v>
      </c>
      <c r="CZ648" s="9" t="str">
        <f t="shared" si="416"/>
        <v>5200132</v>
      </c>
      <c r="DA648" s="9" t="str">
        <f t="shared" si="417"/>
        <v>5502132</v>
      </c>
      <c r="DB648" s="9" t="str">
        <f t="shared" si="418"/>
        <v>5500132</v>
      </c>
      <c r="DC648" s="9" t="str">
        <f t="shared" si="419"/>
        <v>5502131</v>
      </c>
      <c r="DD648" s="9">
        <v>13</v>
      </c>
      <c r="DE648" s="9">
        <v>13</v>
      </c>
      <c r="DF648" s="9">
        <v>13</v>
      </c>
      <c r="DG648" s="9">
        <v>13</v>
      </c>
      <c r="DH648" s="9">
        <v>13</v>
      </c>
      <c r="DI648" s="9">
        <v>13</v>
      </c>
      <c r="DJ648" s="9">
        <v>5</v>
      </c>
      <c r="DK648" s="9">
        <v>5</v>
      </c>
      <c r="DL648" s="9">
        <v>5</v>
      </c>
      <c r="DM648" s="9">
        <v>5</v>
      </c>
      <c r="DN648" s="9">
        <v>5</v>
      </c>
      <c r="DO648" s="9">
        <v>5</v>
      </c>
      <c r="DP648" s="25" t="s">
        <v>199</v>
      </c>
      <c r="DQ648" s="25" t="s">
        <v>113</v>
      </c>
      <c r="DR648" s="25" t="s">
        <v>199</v>
      </c>
      <c r="DS648" s="28" t="s">
        <v>204</v>
      </c>
      <c r="DT648" s="28" t="s">
        <v>109</v>
      </c>
      <c r="DU648" s="28" t="s">
        <v>119</v>
      </c>
      <c r="DV648" s="25">
        <f t="shared" si="420"/>
        <v>1</v>
      </c>
      <c r="DW648" s="25">
        <f t="shared" si="421"/>
        <v>1</v>
      </c>
      <c r="DX648" s="25">
        <f t="shared" si="422"/>
        <v>1</v>
      </c>
      <c r="DY648" s="25">
        <f t="shared" si="423"/>
        <v>2</v>
      </c>
      <c r="DZ648" s="25">
        <f t="shared" si="424"/>
        <v>2</v>
      </c>
      <c r="EA648" s="25">
        <f t="shared" si="425"/>
        <v>2</v>
      </c>
      <c r="EB648" s="45"/>
    </row>
    <row r="649" spans="1:132" ht="13.5" customHeight="1">
      <c r="A649" s="9">
        <v>646</v>
      </c>
      <c r="B649" s="9">
        <v>1</v>
      </c>
      <c r="C649" s="9">
        <v>2001</v>
      </c>
      <c r="D649" s="9">
        <f t="shared" si="398"/>
        <v>35570218</v>
      </c>
      <c r="E649" s="9" t="str">
        <f t="shared" si="399"/>
        <v>5202133,5202132,5202133,5401133,5501135,5501135</v>
      </c>
      <c r="F649" s="9" t="str">
        <f t="shared" si="400"/>
        <v>13,13,13,13,13,13</v>
      </c>
      <c r="G649" s="9" t="str">
        <f t="shared" si="401"/>
        <v>1383,1495,1495,1495,1495,1495</v>
      </c>
      <c r="H649" s="9">
        <v>298</v>
      </c>
      <c r="I649" s="9" t="s">
        <v>278</v>
      </c>
      <c r="J649" s="9" t="s">
        <v>279</v>
      </c>
      <c r="K649" s="9" t="s">
        <v>279</v>
      </c>
      <c r="L649" s="9" t="s">
        <v>279</v>
      </c>
      <c r="M649" s="36" t="s">
        <v>317</v>
      </c>
      <c r="O649" s="3">
        <f t="shared" si="427"/>
        <v>35570218</v>
      </c>
      <c r="P649" s="9">
        <v>26947134.940000001</v>
      </c>
      <c r="Q649" s="9">
        <v>5202133</v>
      </c>
      <c r="R649" s="9">
        <v>5202132</v>
      </c>
      <c r="S649" s="9">
        <v>5202133</v>
      </c>
      <c r="T649" s="9">
        <v>5401133</v>
      </c>
      <c r="U649" s="9">
        <v>5501135</v>
      </c>
      <c r="V649" s="9">
        <v>5501135</v>
      </c>
      <c r="W649" s="9">
        <v>13</v>
      </c>
      <c r="X649" s="9">
        <v>13</v>
      </c>
      <c r="Y649" s="9">
        <v>13</v>
      </c>
      <c r="Z649" s="9">
        <v>13</v>
      </c>
      <c r="AA649" s="9">
        <v>13</v>
      </c>
      <c r="AB649" s="9">
        <v>13</v>
      </c>
      <c r="AC649" s="9">
        <f t="shared" si="402"/>
        <v>1383</v>
      </c>
      <c r="AD649" s="9">
        <f t="shared" si="403"/>
        <v>1495</v>
      </c>
      <c r="AE649" s="9">
        <f t="shared" si="404"/>
        <v>1495</v>
      </c>
      <c r="AF649" s="9">
        <f t="shared" si="405"/>
        <v>1495</v>
      </c>
      <c r="AG649" s="9">
        <f t="shared" si="406"/>
        <v>1495</v>
      </c>
      <c r="AH649" s="9">
        <f t="shared" si="407"/>
        <v>1495</v>
      </c>
      <c r="AI649" s="7">
        <f t="shared" si="426"/>
        <v>4491189.1566666672</v>
      </c>
      <c r="AJ649" s="7">
        <f t="shared" si="426"/>
        <v>4491189.1566666672</v>
      </c>
      <c r="AK649" s="7">
        <f t="shared" si="426"/>
        <v>4491189.1566666672</v>
      </c>
      <c r="AL649" s="7">
        <f t="shared" si="426"/>
        <v>4491189.1566666672</v>
      </c>
      <c r="AM649" s="7">
        <f t="shared" si="426"/>
        <v>4491189.1566666672</v>
      </c>
      <c r="AN649" s="7">
        <f t="shared" si="426"/>
        <v>4491189.1566666672</v>
      </c>
      <c r="BR649" s="5">
        <v>5503051</v>
      </c>
      <c r="BS649" s="18">
        <f>[1]monsters!$N649</f>
        <v>204.8</v>
      </c>
      <c r="BT649" s="18">
        <f>[1]monsters!$O649</f>
        <v>20.48</v>
      </c>
      <c r="BU649" s="18">
        <f>[1]monsters!$P649</f>
        <v>2304</v>
      </c>
      <c r="BV649" s="18">
        <f>[1]monsters!$Q649</f>
        <v>230.4</v>
      </c>
      <c r="BW649" s="18">
        <f>[1]monsters!$R649</f>
        <v>68.27</v>
      </c>
      <c r="BX649" s="18">
        <f>[1]monsters!$S649</f>
        <v>6.83</v>
      </c>
      <c r="BY649" s="18">
        <f>[1]monsters!$K649</f>
        <v>1.6</v>
      </c>
      <c r="BZ649" s="5">
        <f>[1]monsters!$D649</f>
        <v>2</v>
      </c>
      <c r="CA649" s="5">
        <f t="shared" si="428"/>
        <v>0.1</v>
      </c>
      <c r="CB649" s="5">
        <f t="shared" si="429"/>
        <v>271.11175757575757</v>
      </c>
      <c r="CC649" s="5">
        <f t="shared" si="430"/>
        <v>27.111175757575758</v>
      </c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R649" s="3" t="b">
        <f t="shared" si="408"/>
        <v>1</v>
      </c>
      <c r="CS649" s="3" t="b">
        <f t="shared" si="409"/>
        <v>1</v>
      </c>
      <c r="CT649" s="3" t="b">
        <f t="shared" si="410"/>
        <v>1</v>
      </c>
      <c r="CU649" s="3" t="b">
        <f t="shared" si="411"/>
        <v>1</v>
      </c>
      <c r="CV649" s="3" t="b">
        <f t="shared" si="412"/>
        <v>1</v>
      </c>
      <c r="CW649" s="3" t="b">
        <f t="shared" si="413"/>
        <v>1</v>
      </c>
      <c r="CX649" s="9" t="str">
        <f t="shared" si="414"/>
        <v>5202133</v>
      </c>
      <c r="CY649" s="9" t="str">
        <f t="shared" si="415"/>
        <v>5202132</v>
      </c>
      <c r="CZ649" s="9" t="str">
        <f t="shared" si="416"/>
        <v>5202133</v>
      </c>
      <c r="DA649" s="9" t="str">
        <f t="shared" si="417"/>
        <v>5401133</v>
      </c>
      <c r="DB649" s="9" t="str">
        <f t="shared" si="418"/>
        <v>5501135</v>
      </c>
      <c r="DC649" s="9" t="str">
        <f t="shared" si="419"/>
        <v>5501135</v>
      </c>
      <c r="DD649" s="9">
        <v>13</v>
      </c>
      <c r="DE649" s="9">
        <v>13</v>
      </c>
      <c r="DF649" s="9">
        <v>13</v>
      </c>
      <c r="DG649" s="9">
        <v>13</v>
      </c>
      <c r="DH649" s="9">
        <v>13</v>
      </c>
      <c r="DI649" s="9">
        <v>13</v>
      </c>
      <c r="DJ649" s="9">
        <v>5</v>
      </c>
      <c r="DK649" s="9">
        <v>5</v>
      </c>
      <c r="DL649" s="9">
        <v>5</v>
      </c>
      <c r="DM649" s="9">
        <v>5</v>
      </c>
      <c r="DN649" s="9">
        <v>5</v>
      </c>
      <c r="DO649" s="9">
        <v>5</v>
      </c>
      <c r="DP649" s="25" t="s">
        <v>208</v>
      </c>
      <c r="DQ649" s="25" t="s">
        <v>200</v>
      </c>
      <c r="DR649" s="26" t="s">
        <v>208</v>
      </c>
      <c r="DS649" s="26" t="s">
        <v>211</v>
      </c>
      <c r="DT649" s="25" t="s">
        <v>209</v>
      </c>
      <c r="DU649" s="25" t="s">
        <v>209</v>
      </c>
      <c r="DV649" s="25">
        <f t="shared" si="420"/>
        <v>1</v>
      </c>
      <c r="DW649" s="25">
        <f t="shared" si="421"/>
        <v>1</v>
      </c>
      <c r="DX649" s="25">
        <f t="shared" si="422"/>
        <v>1</v>
      </c>
      <c r="DY649" s="25">
        <f t="shared" si="423"/>
        <v>2</v>
      </c>
      <c r="DZ649" s="25">
        <f t="shared" si="424"/>
        <v>2</v>
      </c>
      <c r="EA649" s="25">
        <f t="shared" si="425"/>
        <v>2</v>
      </c>
      <c r="EB649" s="46"/>
    </row>
    <row r="650" spans="1:132" ht="13.5" customHeight="1">
      <c r="A650" s="9">
        <v>647</v>
      </c>
      <c r="B650" s="9">
        <v>1</v>
      </c>
      <c r="C650" s="9">
        <v>2001</v>
      </c>
      <c r="D650" s="9">
        <f t="shared" si="398"/>
        <v>35662222</v>
      </c>
      <c r="E650" s="9" t="str">
        <f t="shared" si="399"/>
        <v>5201131,5201132,5201134,5501134,5500133,5602134</v>
      </c>
      <c r="F650" s="9" t="str">
        <f t="shared" si="400"/>
        <v>13,13,13,13,13,13</v>
      </c>
      <c r="G650" s="9" t="str">
        <f t="shared" si="401"/>
        <v>1385,1497,1497,1497,1497,1497</v>
      </c>
      <c r="H650" s="9">
        <v>298</v>
      </c>
      <c r="I650" s="9" t="s">
        <v>278</v>
      </c>
      <c r="J650" s="9" t="s">
        <v>279</v>
      </c>
      <c r="K650" s="9" t="s">
        <v>279</v>
      </c>
      <c r="L650" s="9" t="s">
        <v>279</v>
      </c>
      <c r="M650" s="36" t="s">
        <v>317</v>
      </c>
      <c r="O650" s="3">
        <f t="shared" si="427"/>
        <v>35662222</v>
      </c>
      <c r="P650" s="9">
        <v>27016834.57</v>
      </c>
      <c r="Q650" s="9">
        <v>5201131</v>
      </c>
      <c r="R650" s="9">
        <v>5201132</v>
      </c>
      <c r="S650" s="9">
        <v>5201134</v>
      </c>
      <c r="T650" s="9">
        <v>5501134</v>
      </c>
      <c r="U650" s="9">
        <v>5500133</v>
      </c>
      <c r="V650" s="9">
        <v>5602134</v>
      </c>
      <c r="W650" s="9">
        <v>13</v>
      </c>
      <c r="X650" s="9">
        <v>13</v>
      </c>
      <c r="Y650" s="9">
        <v>13</v>
      </c>
      <c r="Z650" s="9">
        <v>13</v>
      </c>
      <c r="AA650" s="9">
        <v>13</v>
      </c>
      <c r="AB650" s="9">
        <v>13</v>
      </c>
      <c r="AC650" s="9">
        <f t="shared" si="402"/>
        <v>1385</v>
      </c>
      <c r="AD650" s="9">
        <f t="shared" si="403"/>
        <v>1497</v>
      </c>
      <c r="AE650" s="9">
        <f t="shared" si="404"/>
        <v>1497</v>
      </c>
      <c r="AF650" s="9">
        <f t="shared" si="405"/>
        <v>1497</v>
      </c>
      <c r="AG650" s="9">
        <f t="shared" si="406"/>
        <v>1497</v>
      </c>
      <c r="AH650" s="9">
        <f t="shared" si="407"/>
        <v>1497</v>
      </c>
      <c r="AI650" s="7">
        <f t="shared" si="426"/>
        <v>4502805.7616666667</v>
      </c>
      <c r="AJ650" s="7">
        <f t="shared" si="426"/>
        <v>4502805.7616666667</v>
      </c>
      <c r="AK650" s="7">
        <f t="shared" si="426"/>
        <v>4502805.7616666667</v>
      </c>
      <c r="AL650" s="7">
        <f t="shared" si="426"/>
        <v>4502805.7616666667</v>
      </c>
      <c r="AM650" s="7">
        <f t="shared" si="426"/>
        <v>4502805.7616666667</v>
      </c>
      <c r="AN650" s="7">
        <f t="shared" si="426"/>
        <v>4502805.7616666667</v>
      </c>
      <c r="BR650" s="5">
        <v>5504051</v>
      </c>
      <c r="BS650" s="18">
        <f>[1]monsters!$N650</f>
        <v>204.8</v>
      </c>
      <c r="BT650" s="18">
        <f>[1]monsters!$O650</f>
        <v>20.48</v>
      </c>
      <c r="BU650" s="18">
        <f>[1]monsters!$P650</f>
        <v>2304</v>
      </c>
      <c r="BV650" s="18">
        <f>[1]monsters!$Q650</f>
        <v>230.4</v>
      </c>
      <c r="BW650" s="18">
        <f>[1]monsters!$R650</f>
        <v>68.27</v>
      </c>
      <c r="BX650" s="18">
        <f>[1]monsters!$S650</f>
        <v>6.83</v>
      </c>
      <c r="BY650" s="18">
        <f>[1]monsters!$K650</f>
        <v>1.6</v>
      </c>
      <c r="BZ650" s="5">
        <f>[1]monsters!$D650</f>
        <v>2</v>
      </c>
      <c r="CA650" s="5">
        <f t="shared" si="428"/>
        <v>0.1</v>
      </c>
      <c r="CB650" s="5">
        <f t="shared" si="429"/>
        <v>271.11175757575757</v>
      </c>
      <c r="CC650" s="5">
        <f t="shared" si="430"/>
        <v>27.111175757575758</v>
      </c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R650" s="3" t="b">
        <f t="shared" si="408"/>
        <v>1</v>
      </c>
      <c r="CS650" s="3" t="b">
        <f t="shared" si="409"/>
        <v>1</v>
      </c>
      <c r="CT650" s="3" t="b">
        <f t="shared" si="410"/>
        <v>1</v>
      </c>
      <c r="CU650" s="3" t="b">
        <f t="shared" si="411"/>
        <v>1</v>
      </c>
      <c r="CV650" s="3" t="b">
        <f t="shared" si="412"/>
        <v>1</v>
      </c>
      <c r="CW650" s="3" t="b">
        <f t="shared" si="413"/>
        <v>1</v>
      </c>
      <c r="CX650" s="9" t="str">
        <f t="shared" si="414"/>
        <v>5201131</v>
      </c>
      <c r="CY650" s="9" t="str">
        <f t="shared" si="415"/>
        <v>5201132</v>
      </c>
      <c r="CZ650" s="9" t="str">
        <f t="shared" si="416"/>
        <v>5201134</v>
      </c>
      <c r="DA650" s="9" t="str">
        <f t="shared" si="417"/>
        <v>5501134</v>
      </c>
      <c r="DB650" s="9" t="str">
        <f t="shared" si="418"/>
        <v>5500133</v>
      </c>
      <c r="DC650" s="9" t="str">
        <f t="shared" si="419"/>
        <v>5602134</v>
      </c>
      <c r="DD650" s="9">
        <v>13</v>
      </c>
      <c r="DE650" s="9">
        <v>13</v>
      </c>
      <c r="DF650" s="9">
        <v>13</v>
      </c>
      <c r="DG650" s="9">
        <v>13</v>
      </c>
      <c r="DH650" s="9">
        <v>13</v>
      </c>
      <c r="DI650" s="9">
        <v>13</v>
      </c>
      <c r="DJ650" s="9">
        <v>5</v>
      </c>
      <c r="DK650" s="9">
        <v>5</v>
      </c>
      <c r="DL650" s="9">
        <v>5</v>
      </c>
      <c r="DM650" s="9">
        <v>5</v>
      </c>
      <c r="DN650" s="9">
        <v>5</v>
      </c>
      <c r="DO650" s="9">
        <v>5</v>
      </c>
      <c r="DP650" s="25" t="s">
        <v>195</v>
      </c>
      <c r="DQ650" s="25" t="s">
        <v>114</v>
      </c>
      <c r="DR650" s="26" t="s">
        <v>217</v>
      </c>
      <c r="DS650" s="26" t="s">
        <v>214</v>
      </c>
      <c r="DT650" s="26" t="s">
        <v>207</v>
      </c>
      <c r="DU650" s="26" t="s">
        <v>220</v>
      </c>
      <c r="DV650" s="25">
        <f t="shared" si="420"/>
        <v>1</v>
      </c>
      <c r="DW650" s="25">
        <f t="shared" si="421"/>
        <v>1</v>
      </c>
      <c r="DX650" s="25">
        <f t="shared" si="422"/>
        <v>1</v>
      </c>
      <c r="DY650" s="25">
        <f t="shared" si="423"/>
        <v>2</v>
      </c>
      <c r="DZ650" s="25">
        <f t="shared" si="424"/>
        <v>2</v>
      </c>
      <c r="EA650" s="25">
        <f t="shared" si="425"/>
        <v>2</v>
      </c>
      <c r="EB650" s="45"/>
    </row>
    <row r="651" spans="1:132" ht="13.5" customHeight="1">
      <c r="A651" s="9">
        <v>648</v>
      </c>
      <c r="B651" s="9">
        <v>1</v>
      </c>
      <c r="C651" s="9">
        <v>2001</v>
      </c>
      <c r="D651" s="9">
        <f t="shared" si="398"/>
        <v>35754348</v>
      </c>
      <c r="E651" s="9" t="str">
        <f t="shared" si="399"/>
        <v>5200132,5301132,5202133,5402131,5501135,5500131</v>
      </c>
      <c r="F651" s="9" t="str">
        <f t="shared" si="400"/>
        <v>13,13,13,13,13,13</v>
      </c>
      <c r="G651" s="9" t="str">
        <f t="shared" si="401"/>
        <v>1387,1499,1499,1499,1499,1499</v>
      </c>
      <c r="H651" s="9">
        <v>299</v>
      </c>
      <c r="I651" s="9" t="s">
        <v>278</v>
      </c>
      <c r="J651" s="9" t="s">
        <v>279</v>
      </c>
      <c r="K651" s="9" t="s">
        <v>279</v>
      </c>
      <c r="L651" s="9" t="s">
        <v>279</v>
      </c>
      <c r="M651" s="36" t="s">
        <v>317</v>
      </c>
      <c r="O651" s="3">
        <f t="shared" si="427"/>
        <v>35754348</v>
      </c>
      <c r="P651" s="9">
        <v>27086627.039999999</v>
      </c>
      <c r="Q651" s="9">
        <v>5200132</v>
      </c>
      <c r="R651" s="9">
        <v>5301132</v>
      </c>
      <c r="S651" s="9">
        <v>5202133</v>
      </c>
      <c r="T651" s="9">
        <v>5402131</v>
      </c>
      <c r="U651" s="9">
        <v>5501135</v>
      </c>
      <c r="V651" s="9">
        <v>5500131</v>
      </c>
      <c r="W651" s="9">
        <v>13</v>
      </c>
      <c r="X651" s="9">
        <v>13</v>
      </c>
      <c r="Y651" s="9">
        <v>13</v>
      </c>
      <c r="Z651" s="9">
        <v>13</v>
      </c>
      <c r="AA651" s="9">
        <v>13</v>
      </c>
      <c r="AB651" s="9">
        <v>13</v>
      </c>
      <c r="AC651" s="9">
        <f t="shared" si="402"/>
        <v>1387</v>
      </c>
      <c r="AD651" s="9">
        <f t="shared" si="403"/>
        <v>1499</v>
      </c>
      <c r="AE651" s="9">
        <f t="shared" si="404"/>
        <v>1499</v>
      </c>
      <c r="AF651" s="9">
        <f t="shared" si="405"/>
        <v>1499</v>
      </c>
      <c r="AG651" s="9">
        <f t="shared" si="406"/>
        <v>1499</v>
      </c>
      <c r="AH651" s="9">
        <f t="shared" si="407"/>
        <v>1499</v>
      </c>
      <c r="AI651" s="7">
        <f t="shared" si="426"/>
        <v>4514437.84</v>
      </c>
      <c r="AJ651" s="7">
        <f t="shared" si="426"/>
        <v>4514437.84</v>
      </c>
      <c r="AK651" s="7">
        <f t="shared" si="426"/>
        <v>4514437.84</v>
      </c>
      <c r="AL651" s="7">
        <f t="shared" si="426"/>
        <v>4514437.84</v>
      </c>
      <c r="AM651" s="7">
        <f t="shared" si="426"/>
        <v>4514437.84</v>
      </c>
      <c r="AN651" s="7">
        <f t="shared" si="426"/>
        <v>4514437.84</v>
      </c>
      <c r="BR651" s="5">
        <v>5101051</v>
      </c>
      <c r="BS651" s="18">
        <f>[1]monsters!$N651</f>
        <v>204.8</v>
      </c>
      <c r="BT651" s="18">
        <f>[1]monsters!$O651</f>
        <v>20.48</v>
      </c>
      <c r="BU651" s="18">
        <f>[1]monsters!$P651</f>
        <v>2304</v>
      </c>
      <c r="BV651" s="18">
        <f>[1]monsters!$Q651</f>
        <v>230.4</v>
      </c>
      <c r="BW651" s="18">
        <f>[1]monsters!$R651</f>
        <v>68.27</v>
      </c>
      <c r="BX651" s="18">
        <f>[1]monsters!$S651</f>
        <v>6.83</v>
      </c>
      <c r="BY651" s="18">
        <f>[1]monsters!$K651</f>
        <v>1.6</v>
      </c>
      <c r="BZ651" s="5">
        <f>[1]monsters!$D651</f>
        <v>2</v>
      </c>
      <c r="CA651" s="5">
        <f t="shared" si="428"/>
        <v>0.1</v>
      </c>
      <c r="CB651" s="5">
        <f t="shared" si="429"/>
        <v>271.11175757575757</v>
      </c>
      <c r="CC651" s="5">
        <f t="shared" si="430"/>
        <v>27.111175757575758</v>
      </c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R651" s="3" t="b">
        <f t="shared" si="408"/>
        <v>1</v>
      </c>
      <c r="CS651" s="3" t="b">
        <f t="shared" si="409"/>
        <v>1</v>
      </c>
      <c r="CT651" s="3" t="b">
        <f t="shared" si="410"/>
        <v>1</v>
      </c>
      <c r="CU651" s="3" t="b">
        <f t="shared" si="411"/>
        <v>1</v>
      </c>
      <c r="CV651" s="3" t="b">
        <f t="shared" si="412"/>
        <v>1</v>
      </c>
      <c r="CW651" s="3" t="b">
        <f t="shared" si="413"/>
        <v>1</v>
      </c>
      <c r="CX651" s="9" t="str">
        <f t="shared" si="414"/>
        <v>5200132</v>
      </c>
      <c r="CY651" s="9" t="str">
        <f t="shared" si="415"/>
        <v>5301132</v>
      </c>
      <c r="CZ651" s="9" t="str">
        <f t="shared" si="416"/>
        <v>5202133</v>
      </c>
      <c r="DA651" s="9" t="str">
        <f t="shared" si="417"/>
        <v>5402131</v>
      </c>
      <c r="DB651" s="9" t="str">
        <f t="shared" si="418"/>
        <v>5501135</v>
      </c>
      <c r="DC651" s="9" t="str">
        <f t="shared" si="419"/>
        <v>5500131</v>
      </c>
      <c r="DD651" s="9">
        <v>13</v>
      </c>
      <c r="DE651" s="9">
        <v>13</v>
      </c>
      <c r="DF651" s="9">
        <v>13</v>
      </c>
      <c r="DG651" s="9">
        <v>13</v>
      </c>
      <c r="DH651" s="9">
        <v>13</v>
      </c>
      <c r="DI651" s="9">
        <v>13</v>
      </c>
      <c r="DJ651" s="9">
        <v>5</v>
      </c>
      <c r="DK651" s="9">
        <v>5</v>
      </c>
      <c r="DL651" s="9">
        <v>5</v>
      </c>
      <c r="DM651" s="9">
        <v>5</v>
      </c>
      <c r="DN651" s="9">
        <v>5</v>
      </c>
      <c r="DO651" s="9">
        <v>5</v>
      </c>
      <c r="DP651" s="25" t="s">
        <v>199</v>
      </c>
      <c r="DQ651" s="26" t="s">
        <v>201</v>
      </c>
      <c r="DR651" s="25" t="s">
        <v>208</v>
      </c>
      <c r="DS651" s="26" t="s">
        <v>196</v>
      </c>
      <c r="DT651" s="26" t="s">
        <v>209</v>
      </c>
      <c r="DU651" s="28" t="s">
        <v>197</v>
      </c>
      <c r="DV651" s="25">
        <f t="shared" si="420"/>
        <v>1</v>
      </c>
      <c r="DW651" s="25">
        <f t="shared" si="421"/>
        <v>1</v>
      </c>
      <c r="DX651" s="25">
        <f t="shared" si="422"/>
        <v>1</v>
      </c>
      <c r="DY651" s="25">
        <f t="shared" si="423"/>
        <v>2</v>
      </c>
      <c r="DZ651" s="25">
        <f t="shared" si="424"/>
        <v>2</v>
      </c>
      <c r="EA651" s="25">
        <f t="shared" si="425"/>
        <v>2</v>
      </c>
      <c r="EB651" s="45"/>
    </row>
    <row r="652" spans="1:132" ht="13.5" customHeight="1">
      <c r="A652" s="9">
        <v>649</v>
      </c>
      <c r="B652" s="9">
        <v>1</v>
      </c>
      <c r="C652" s="9">
        <v>2001</v>
      </c>
      <c r="D652" s="9">
        <f t="shared" si="398"/>
        <v>35846591</v>
      </c>
      <c r="E652" s="9" t="str">
        <f t="shared" si="399"/>
        <v>5201133,5201133,5201133,5402133,5402133,5402133</v>
      </c>
      <c r="F652" s="9" t="str">
        <f t="shared" si="400"/>
        <v>13,13,13,13,13,13</v>
      </c>
      <c r="G652" s="9" t="str">
        <f t="shared" si="401"/>
        <v>1389,1501,1501,1501,1501,1501</v>
      </c>
      <c r="H652" s="9">
        <v>299</v>
      </c>
      <c r="I652" s="9" t="s">
        <v>278</v>
      </c>
      <c r="J652" s="9" t="s">
        <v>279</v>
      </c>
      <c r="K652" s="9" t="s">
        <v>279</v>
      </c>
      <c r="L652" s="9" t="s">
        <v>279</v>
      </c>
      <c r="M652" s="36" t="s">
        <v>317</v>
      </c>
      <c r="O652" s="3">
        <f t="shared" si="427"/>
        <v>35846591</v>
      </c>
      <c r="P652" s="9">
        <v>27156508.129999999</v>
      </c>
      <c r="Q652" s="9">
        <v>5201133</v>
      </c>
      <c r="R652" s="9">
        <v>5201133</v>
      </c>
      <c r="S652" s="9">
        <v>5201133</v>
      </c>
      <c r="T652" s="9">
        <v>5402133</v>
      </c>
      <c r="U652" s="9">
        <v>5402133</v>
      </c>
      <c r="V652" s="9">
        <v>5402133</v>
      </c>
      <c r="W652" s="9">
        <v>13</v>
      </c>
      <c r="X652" s="9">
        <v>13</v>
      </c>
      <c r="Y652" s="9">
        <v>13</v>
      </c>
      <c r="Z652" s="9">
        <v>13</v>
      </c>
      <c r="AA652" s="9">
        <v>13</v>
      </c>
      <c r="AB652" s="9">
        <v>13</v>
      </c>
      <c r="AC652" s="9">
        <f t="shared" si="402"/>
        <v>1389</v>
      </c>
      <c r="AD652" s="9">
        <f t="shared" si="403"/>
        <v>1501</v>
      </c>
      <c r="AE652" s="9">
        <f t="shared" si="404"/>
        <v>1501</v>
      </c>
      <c r="AF652" s="9">
        <f t="shared" si="405"/>
        <v>1501</v>
      </c>
      <c r="AG652" s="9">
        <f t="shared" si="406"/>
        <v>1501</v>
      </c>
      <c r="AH652" s="9">
        <f t="shared" si="407"/>
        <v>1501</v>
      </c>
      <c r="AI652" s="7">
        <f t="shared" si="426"/>
        <v>4526084.6883333335</v>
      </c>
      <c r="AJ652" s="7">
        <f t="shared" si="426"/>
        <v>4526084.6883333335</v>
      </c>
      <c r="AK652" s="7">
        <f t="shared" si="426"/>
        <v>4526084.6883333335</v>
      </c>
      <c r="AL652" s="7">
        <f t="shared" si="426"/>
        <v>4526084.6883333335</v>
      </c>
      <c r="AM652" s="7">
        <f t="shared" si="426"/>
        <v>4526084.6883333335</v>
      </c>
      <c r="AN652" s="7">
        <f t="shared" si="426"/>
        <v>4526084.6883333335</v>
      </c>
      <c r="BR652" s="5">
        <v>5102051</v>
      </c>
      <c r="BS652" s="18">
        <f>[1]monsters!$N652</f>
        <v>221.87</v>
      </c>
      <c r="BT652" s="18">
        <f>[1]monsters!$O652</f>
        <v>22.19</v>
      </c>
      <c r="BU652" s="18">
        <f>[1]monsters!$P652</f>
        <v>2496</v>
      </c>
      <c r="BV652" s="18">
        <f>[1]monsters!$Q652</f>
        <v>249.6</v>
      </c>
      <c r="BW652" s="18">
        <f>[1]monsters!$R652</f>
        <v>73.959999999999994</v>
      </c>
      <c r="BX652" s="18">
        <f>[1]monsters!$S652</f>
        <v>7.4</v>
      </c>
      <c r="BY652" s="18">
        <f>[1]monsters!$K652</f>
        <v>1.6</v>
      </c>
      <c r="BZ652" s="5">
        <f>[1]monsters!$D652</f>
        <v>2</v>
      </c>
      <c r="CA652" s="5">
        <f t="shared" si="428"/>
        <v>0.1</v>
      </c>
      <c r="CB652" s="5">
        <f t="shared" si="429"/>
        <v>293.70755404040403</v>
      </c>
      <c r="CC652" s="5">
        <f t="shared" si="430"/>
        <v>29.370755404040406</v>
      </c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R652" s="3" t="b">
        <f t="shared" si="408"/>
        <v>1</v>
      </c>
      <c r="CS652" s="3" t="b">
        <f t="shared" si="409"/>
        <v>1</v>
      </c>
      <c r="CT652" s="3" t="b">
        <f t="shared" si="410"/>
        <v>1</v>
      </c>
      <c r="CU652" s="3" t="b">
        <f t="shared" si="411"/>
        <v>1</v>
      </c>
      <c r="CV652" s="3" t="b">
        <f t="shared" si="412"/>
        <v>1</v>
      </c>
      <c r="CW652" s="3" t="b">
        <f t="shared" si="413"/>
        <v>1</v>
      </c>
      <c r="CX652" s="9" t="str">
        <f t="shared" si="414"/>
        <v>5201133</v>
      </c>
      <c r="CY652" s="9" t="str">
        <f t="shared" si="415"/>
        <v>5201133</v>
      </c>
      <c r="CZ652" s="9" t="str">
        <f t="shared" si="416"/>
        <v>5201133</v>
      </c>
      <c r="DA652" s="9" t="str">
        <f t="shared" si="417"/>
        <v>5402133</v>
      </c>
      <c r="DB652" s="9" t="str">
        <f t="shared" si="418"/>
        <v>5402133</v>
      </c>
      <c r="DC652" s="9" t="str">
        <f t="shared" si="419"/>
        <v>5402133</v>
      </c>
      <c r="DD652" s="9">
        <v>13</v>
      </c>
      <c r="DE652" s="9">
        <v>13</v>
      </c>
      <c r="DF652" s="9">
        <v>13</v>
      </c>
      <c r="DG652" s="9">
        <v>13</v>
      </c>
      <c r="DH652" s="9">
        <v>13</v>
      </c>
      <c r="DI652" s="9">
        <v>13</v>
      </c>
      <c r="DJ652" s="9">
        <v>5</v>
      </c>
      <c r="DK652" s="9">
        <v>5</v>
      </c>
      <c r="DL652" s="9">
        <v>5</v>
      </c>
      <c r="DM652" s="9">
        <v>5</v>
      </c>
      <c r="DN652" s="9">
        <v>5</v>
      </c>
      <c r="DO652" s="9">
        <v>5</v>
      </c>
      <c r="DP652" s="25" t="s">
        <v>205</v>
      </c>
      <c r="DQ652" s="25" t="s">
        <v>205</v>
      </c>
      <c r="DR652" s="25" t="s">
        <v>205</v>
      </c>
      <c r="DS652" s="26" t="s">
        <v>118</v>
      </c>
      <c r="DT652" s="26" t="s">
        <v>118</v>
      </c>
      <c r="DU652" s="26" t="s">
        <v>118</v>
      </c>
      <c r="DV652" s="25">
        <f t="shared" si="420"/>
        <v>1</v>
      </c>
      <c r="DW652" s="25">
        <f t="shared" si="421"/>
        <v>1</v>
      </c>
      <c r="DX652" s="25">
        <f t="shared" si="422"/>
        <v>1</v>
      </c>
      <c r="DY652" s="25">
        <f t="shared" si="423"/>
        <v>2</v>
      </c>
      <c r="DZ652" s="25">
        <f t="shared" si="424"/>
        <v>2</v>
      </c>
      <c r="EA652" s="25">
        <f t="shared" si="425"/>
        <v>2</v>
      </c>
      <c r="EB652" s="45"/>
    </row>
    <row r="653" spans="1:132" ht="13.5" customHeight="1">
      <c r="A653" s="9">
        <v>650</v>
      </c>
      <c r="B653" s="9">
        <v>1</v>
      </c>
      <c r="C653" s="9">
        <v>2001</v>
      </c>
      <c r="D653" s="9">
        <f t="shared" si="398"/>
        <v>35938954</v>
      </c>
      <c r="E653" s="9" t="str">
        <f t="shared" si="399"/>
        <v>5201131,5201132,5200131,5502131,5601131,5401131</v>
      </c>
      <c r="F653" s="9" t="str">
        <f t="shared" si="400"/>
        <v>13,13,13,13,13,13</v>
      </c>
      <c r="G653" s="9" t="str">
        <f t="shared" si="401"/>
        <v>1390,1503,1503,1503,1503,1503</v>
      </c>
      <c r="H653" s="9">
        <v>300</v>
      </c>
      <c r="I653" s="9" t="s">
        <v>278</v>
      </c>
      <c r="J653" s="9" t="s">
        <v>279</v>
      </c>
      <c r="K653" s="9" t="s">
        <v>279</v>
      </c>
      <c r="L653" s="9" t="s">
        <v>279</v>
      </c>
      <c r="M653" s="36" t="s">
        <v>317</v>
      </c>
      <c r="O653" s="3">
        <f t="shared" si="427"/>
        <v>35938954</v>
      </c>
      <c r="P653" s="9">
        <v>27226479.949999999</v>
      </c>
      <c r="Q653" s="9">
        <v>5201131</v>
      </c>
      <c r="R653" s="9">
        <v>5201132</v>
      </c>
      <c r="S653" s="9">
        <v>5200131</v>
      </c>
      <c r="T653" s="9">
        <v>5502131</v>
      </c>
      <c r="U653" s="9">
        <v>5601131</v>
      </c>
      <c r="V653" s="9">
        <v>5401131</v>
      </c>
      <c r="W653" s="9">
        <v>13</v>
      </c>
      <c r="X653" s="9">
        <v>13</v>
      </c>
      <c r="Y653" s="9">
        <v>13</v>
      </c>
      <c r="Z653" s="9">
        <v>13</v>
      </c>
      <c r="AA653" s="9">
        <v>13</v>
      </c>
      <c r="AB653" s="9">
        <v>13</v>
      </c>
      <c r="AC653" s="9">
        <f t="shared" si="402"/>
        <v>1390</v>
      </c>
      <c r="AD653" s="9">
        <f t="shared" si="403"/>
        <v>1503</v>
      </c>
      <c r="AE653" s="9">
        <f t="shared" si="404"/>
        <v>1503</v>
      </c>
      <c r="AF653" s="9">
        <f t="shared" si="405"/>
        <v>1503</v>
      </c>
      <c r="AG653" s="9">
        <f t="shared" si="406"/>
        <v>1503</v>
      </c>
      <c r="AH653" s="9">
        <f t="shared" si="407"/>
        <v>1503</v>
      </c>
      <c r="AI653" s="7">
        <f t="shared" si="426"/>
        <v>4537746.6583333332</v>
      </c>
      <c r="AJ653" s="7">
        <f t="shared" si="426"/>
        <v>4537746.6583333332</v>
      </c>
      <c r="AK653" s="7">
        <f t="shared" si="426"/>
        <v>4537746.6583333332</v>
      </c>
      <c r="AL653" s="7">
        <f t="shared" si="426"/>
        <v>4537746.6583333332</v>
      </c>
      <c r="AM653" s="7">
        <f t="shared" si="426"/>
        <v>4537746.6583333332</v>
      </c>
      <c r="AN653" s="7">
        <f t="shared" si="426"/>
        <v>4537746.6583333332</v>
      </c>
      <c r="BR653" s="5">
        <v>5206052</v>
      </c>
      <c r="BS653" s="18">
        <f>[1]monsters!$N653</f>
        <v>221.87</v>
      </c>
      <c r="BT653" s="18">
        <f>[1]monsters!$O653</f>
        <v>22.19</v>
      </c>
      <c r="BU653" s="18">
        <f>[1]monsters!$P653</f>
        <v>2496</v>
      </c>
      <c r="BV653" s="18">
        <f>[1]monsters!$Q653</f>
        <v>249.6</v>
      </c>
      <c r="BW653" s="18">
        <f>[1]monsters!$R653</f>
        <v>73.959999999999994</v>
      </c>
      <c r="BX653" s="18">
        <f>[1]monsters!$S653</f>
        <v>7.4</v>
      </c>
      <c r="BY653" s="18">
        <f>[1]monsters!$K653</f>
        <v>1.6</v>
      </c>
      <c r="BZ653" s="5">
        <f>[1]monsters!$D653</f>
        <v>2</v>
      </c>
      <c r="CA653" s="5">
        <f t="shared" si="428"/>
        <v>0.1</v>
      </c>
      <c r="CB653" s="5">
        <f t="shared" si="429"/>
        <v>293.70755404040403</v>
      </c>
      <c r="CC653" s="5">
        <f t="shared" si="430"/>
        <v>29.370755404040406</v>
      </c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R653" s="3" t="b">
        <f t="shared" si="408"/>
        <v>1</v>
      </c>
      <c r="CS653" s="3" t="b">
        <f t="shared" si="409"/>
        <v>1</v>
      </c>
      <c r="CT653" s="3" t="b">
        <f t="shared" si="410"/>
        <v>1</v>
      </c>
      <c r="CU653" s="3" t="b">
        <f t="shared" si="411"/>
        <v>1</v>
      </c>
      <c r="CV653" s="3" t="b">
        <f t="shared" si="412"/>
        <v>1</v>
      </c>
      <c r="CW653" s="3" t="b">
        <f t="shared" si="413"/>
        <v>1</v>
      </c>
      <c r="CX653" s="9" t="str">
        <f t="shared" si="414"/>
        <v>5201131</v>
      </c>
      <c r="CY653" s="9" t="str">
        <f t="shared" si="415"/>
        <v>5201132</v>
      </c>
      <c r="CZ653" s="9" t="str">
        <f t="shared" si="416"/>
        <v>5200131</v>
      </c>
      <c r="DA653" s="9" t="str">
        <f t="shared" si="417"/>
        <v>5502131</v>
      </c>
      <c r="DB653" s="9" t="str">
        <f t="shared" si="418"/>
        <v>5601131</v>
      </c>
      <c r="DC653" s="9" t="str">
        <f t="shared" si="419"/>
        <v>5401131</v>
      </c>
      <c r="DD653" s="9">
        <v>13</v>
      </c>
      <c r="DE653" s="9">
        <v>13</v>
      </c>
      <c r="DF653" s="9">
        <v>13</v>
      </c>
      <c r="DG653" s="9">
        <v>13</v>
      </c>
      <c r="DH653" s="9">
        <v>13</v>
      </c>
      <c r="DI653" s="9">
        <v>13</v>
      </c>
      <c r="DJ653" s="9">
        <v>5</v>
      </c>
      <c r="DK653" s="9">
        <v>5</v>
      </c>
      <c r="DL653" s="9">
        <v>5</v>
      </c>
      <c r="DM653" s="9">
        <v>5</v>
      </c>
      <c r="DN653" s="9">
        <v>5</v>
      </c>
      <c r="DO653" s="9">
        <v>5</v>
      </c>
      <c r="DP653" s="25" t="s">
        <v>195</v>
      </c>
      <c r="DQ653" s="25" t="s">
        <v>114</v>
      </c>
      <c r="DR653" s="25" t="s">
        <v>194</v>
      </c>
      <c r="DS653" s="25" t="s">
        <v>119</v>
      </c>
      <c r="DT653" s="25" t="s">
        <v>198</v>
      </c>
      <c r="DU653" s="25" t="s">
        <v>117</v>
      </c>
      <c r="DV653" s="25">
        <f t="shared" si="420"/>
        <v>1</v>
      </c>
      <c r="DW653" s="25">
        <f t="shared" si="421"/>
        <v>1</v>
      </c>
      <c r="DX653" s="25">
        <f t="shared" si="422"/>
        <v>1</v>
      </c>
      <c r="DY653" s="25">
        <f t="shared" si="423"/>
        <v>2</v>
      </c>
      <c r="DZ653" s="25">
        <f t="shared" si="424"/>
        <v>2</v>
      </c>
      <c r="EA653" s="25">
        <f t="shared" si="425"/>
        <v>2</v>
      </c>
      <c r="EB653" s="47"/>
    </row>
    <row r="654" spans="1:132" ht="13.5" customHeight="1">
      <c r="A654" s="9">
        <v>651</v>
      </c>
      <c r="B654" s="9">
        <v>1</v>
      </c>
      <c r="C654" s="9">
        <v>2001</v>
      </c>
      <c r="D654" s="9">
        <f t="shared" si="398"/>
        <v>36031439</v>
      </c>
      <c r="E654" s="9" t="str">
        <f t="shared" si="399"/>
        <v>5200132,5200133,5200132,5502132,5500132,5502131</v>
      </c>
      <c r="F654" s="9" t="str">
        <f t="shared" si="400"/>
        <v>13,13,13,13,13,13</v>
      </c>
      <c r="G654" s="9" t="str">
        <f t="shared" si="401"/>
        <v>1392,1505,1505,1505,1505,1505</v>
      </c>
      <c r="H654" s="9">
        <v>300</v>
      </c>
      <c r="I654" s="9" t="s">
        <v>278</v>
      </c>
      <c r="J654" s="9" t="s">
        <v>279</v>
      </c>
      <c r="K654" s="9" t="s">
        <v>279</v>
      </c>
      <c r="L654" s="9" t="s">
        <v>279</v>
      </c>
      <c r="M654" s="36" t="s">
        <v>317</v>
      </c>
      <c r="O654" s="3">
        <f t="shared" si="427"/>
        <v>36031439</v>
      </c>
      <c r="P654" s="9">
        <v>27296544.609999999</v>
      </c>
      <c r="Q654" s="9">
        <v>5200132</v>
      </c>
      <c r="R654" s="9">
        <v>5200133</v>
      </c>
      <c r="S654" s="9">
        <v>5200132</v>
      </c>
      <c r="T654" s="9">
        <v>5502132</v>
      </c>
      <c r="U654" s="9">
        <v>5500132</v>
      </c>
      <c r="V654" s="9">
        <v>5502131</v>
      </c>
      <c r="W654" s="9">
        <v>13</v>
      </c>
      <c r="X654" s="9">
        <v>13</v>
      </c>
      <c r="Y654" s="9">
        <v>13</v>
      </c>
      <c r="Z654" s="9">
        <v>13</v>
      </c>
      <c r="AA654" s="9">
        <v>13</v>
      </c>
      <c r="AB654" s="9">
        <v>13</v>
      </c>
      <c r="AC654" s="9">
        <f t="shared" si="402"/>
        <v>1392</v>
      </c>
      <c r="AD654" s="9">
        <f t="shared" si="403"/>
        <v>1505</v>
      </c>
      <c r="AE654" s="9">
        <f t="shared" si="404"/>
        <v>1505</v>
      </c>
      <c r="AF654" s="9">
        <f t="shared" si="405"/>
        <v>1505</v>
      </c>
      <c r="AG654" s="9">
        <f t="shared" si="406"/>
        <v>1505</v>
      </c>
      <c r="AH654" s="9">
        <f t="shared" si="407"/>
        <v>1505</v>
      </c>
      <c r="AI654" s="7">
        <f t="shared" si="426"/>
        <v>4549424.1016666666</v>
      </c>
      <c r="AJ654" s="7">
        <f t="shared" si="426"/>
        <v>4549424.1016666666</v>
      </c>
      <c r="AK654" s="7">
        <f t="shared" si="426"/>
        <v>4549424.1016666666</v>
      </c>
      <c r="AL654" s="7">
        <f t="shared" si="426"/>
        <v>4549424.1016666666</v>
      </c>
      <c r="AM654" s="7">
        <f t="shared" si="426"/>
        <v>4549424.1016666666</v>
      </c>
      <c r="AN654" s="7">
        <f t="shared" si="426"/>
        <v>4549424.1016666666</v>
      </c>
      <c r="BR654" s="5">
        <v>5406052</v>
      </c>
      <c r="BS654" s="18">
        <f>[1]monsters!$N654</f>
        <v>221.87</v>
      </c>
      <c r="BT654" s="18">
        <f>[1]monsters!$O654</f>
        <v>22.19</v>
      </c>
      <c r="BU654" s="18">
        <f>[1]monsters!$P654</f>
        <v>2496</v>
      </c>
      <c r="BV654" s="18">
        <f>[1]monsters!$Q654</f>
        <v>249.6</v>
      </c>
      <c r="BW654" s="18">
        <f>[1]monsters!$R654</f>
        <v>73.959999999999994</v>
      </c>
      <c r="BX654" s="18">
        <f>[1]monsters!$S654</f>
        <v>7.4</v>
      </c>
      <c r="BY654" s="18">
        <f>[1]monsters!$K654</f>
        <v>1.6</v>
      </c>
      <c r="BZ654" s="5">
        <f>[1]monsters!$D654</f>
        <v>2</v>
      </c>
      <c r="CA654" s="5">
        <f t="shared" si="428"/>
        <v>0.1</v>
      </c>
      <c r="CB654" s="5">
        <f t="shared" si="429"/>
        <v>293.70755404040403</v>
      </c>
      <c r="CC654" s="5">
        <f t="shared" si="430"/>
        <v>29.370755404040406</v>
      </c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R654" s="3" t="b">
        <f t="shared" si="408"/>
        <v>1</v>
      </c>
      <c r="CS654" s="3" t="b">
        <f t="shared" si="409"/>
        <v>1</v>
      </c>
      <c r="CT654" s="3" t="b">
        <f t="shared" si="410"/>
        <v>1</v>
      </c>
      <c r="CU654" s="3" t="b">
        <f t="shared" si="411"/>
        <v>1</v>
      </c>
      <c r="CV654" s="3" t="b">
        <f t="shared" si="412"/>
        <v>1</v>
      </c>
      <c r="CW654" s="3" t="b">
        <f t="shared" si="413"/>
        <v>1</v>
      </c>
      <c r="CX654" s="9" t="str">
        <f t="shared" si="414"/>
        <v>5200132</v>
      </c>
      <c r="CY654" s="9" t="str">
        <f t="shared" si="415"/>
        <v>5200133</v>
      </c>
      <c r="CZ654" s="9" t="str">
        <f t="shared" si="416"/>
        <v>5200132</v>
      </c>
      <c r="DA654" s="9" t="str">
        <f t="shared" si="417"/>
        <v>5502132</v>
      </c>
      <c r="DB654" s="9" t="str">
        <f t="shared" si="418"/>
        <v>5500132</v>
      </c>
      <c r="DC654" s="9" t="str">
        <f t="shared" si="419"/>
        <v>5502131</v>
      </c>
      <c r="DD654" s="9">
        <v>13</v>
      </c>
      <c r="DE654" s="9">
        <v>13</v>
      </c>
      <c r="DF654" s="9">
        <v>13</v>
      </c>
      <c r="DG654" s="9">
        <v>13</v>
      </c>
      <c r="DH654" s="9">
        <v>13</v>
      </c>
      <c r="DI654" s="9">
        <v>13</v>
      </c>
      <c r="DJ654" s="9">
        <v>5</v>
      </c>
      <c r="DK654" s="9">
        <v>5</v>
      </c>
      <c r="DL654" s="9">
        <v>5</v>
      </c>
      <c r="DM654" s="9">
        <v>5</v>
      </c>
      <c r="DN654" s="9">
        <v>5</v>
      </c>
      <c r="DO654" s="9">
        <v>5</v>
      </c>
      <c r="DP654" s="25" t="s">
        <v>199</v>
      </c>
      <c r="DQ654" s="25" t="s">
        <v>113</v>
      </c>
      <c r="DR654" s="25" t="s">
        <v>199</v>
      </c>
      <c r="DS654" s="25" t="s">
        <v>204</v>
      </c>
      <c r="DT654" s="25" t="s">
        <v>109</v>
      </c>
      <c r="DU654" s="25" t="s">
        <v>119</v>
      </c>
      <c r="DV654" s="25">
        <f t="shared" si="420"/>
        <v>1</v>
      </c>
      <c r="DW654" s="25">
        <f t="shared" si="421"/>
        <v>1</v>
      </c>
      <c r="DX654" s="25">
        <f t="shared" si="422"/>
        <v>1</v>
      </c>
      <c r="DY654" s="25">
        <f t="shared" si="423"/>
        <v>2</v>
      </c>
      <c r="DZ654" s="25">
        <f t="shared" si="424"/>
        <v>2</v>
      </c>
      <c r="EA654" s="25">
        <f t="shared" si="425"/>
        <v>2</v>
      </c>
      <c r="EB654" s="47"/>
    </row>
    <row r="655" spans="1:132" ht="13.5" customHeight="1">
      <c r="A655" s="9">
        <v>652</v>
      </c>
      <c r="B655" s="9">
        <v>1</v>
      </c>
      <c r="C655" s="9">
        <v>2001</v>
      </c>
      <c r="D655" s="9">
        <f t="shared" si="398"/>
        <v>36124041</v>
      </c>
      <c r="E655" s="9" t="str">
        <f t="shared" si="399"/>
        <v>5202133,5202132,5202133,5401133,5402132,5401133</v>
      </c>
      <c r="F655" s="9" t="str">
        <f t="shared" si="400"/>
        <v>13,13,13,13,13,13</v>
      </c>
      <c r="G655" s="9" t="str">
        <f t="shared" si="401"/>
        <v>1394,1507,1507,1507,1507,1507</v>
      </c>
      <c r="H655" s="9">
        <v>300</v>
      </c>
      <c r="I655" s="9" t="s">
        <v>278</v>
      </c>
      <c r="J655" s="9" t="s">
        <v>279</v>
      </c>
      <c r="K655" s="9" t="s">
        <v>279</v>
      </c>
      <c r="L655" s="9" t="s">
        <v>279</v>
      </c>
      <c r="M655" s="36" t="s">
        <v>317</v>
      </c>
      <c r="O655" s="3">
        <f t="shared" si="427"/>
        <v>36124041</v>
      </c>
      <c r="P655" s="9">
        <v>27366697.890000001</v>
      </c>
      <c r="Q655" s="9">
        <v>5202133</v>
      </c>
      <c r="R655" s="9">
        <v>5202132</v>
      </c>
      <c r="S655" s="9">
        <v>5202133</v>
      </c>
      <c r="T655" s="9">
        <v>5401133</v>
      </c>
      <c r="U655" s="9">
        <v>5402132</v>
      </c>
      <c r="V655" s="9">
        <v>5401133</v>
      </c>
      <c r="W655" s="9">
        <v>13</v>
      </c>
      <c r="X655" s="9">
        <v>13</v>
      </c>
      <c r="Y655" s="9">
        <v>13</v>
      </c>
      <c r="Z655" s="9">
        <v>13</v>
      </c>
      <c r="AA655" s="9">
        <v>13</v>
      </c>
      <c r="AB655" s="9">
        <v>13</v>
      </c>
      <c r="AC655" s="9">
        <f t="shared" si="402"/>
        <v>1394</v>
      </c>
      <c r="AD655" s="9">
        <f t="shared" si="403"/>
        <v>1507</v>
      </c>
      <c r="AE655" s="9">
        <f t="shared" si="404"/>
        <v>1507</v>
      </c>
      <c r="AF655" s="9">
        <f t="shared" si="405"/>
        <v>1507</v>
      </c>
      <c r="AG655" s="9">
        <f t="shared" si="406"/>
        <v>1507</v>
      </c>
      <c r="AH655" s="9">
        <f t="shared" si="407"/>
        <v>1507</v>
      </c>
      <c r="AI655" s="7">
        <f t="shared" si="426"/>
        <v>4561116.3150000004</v>
      </c>
      <c r="AJ655" s="7">
        <f t="shared" si="426"/>
        <v>4561116.3150000004</v>
      </c>
      <c r="AK655" s="7">
        <f t="shared" si="426"/>
        <v>4561116.3150000004</v>
      </c>
      <c r="AL655" s="7">
        <f t="shared" si="426"/>
        <v>4561116.3150000004</v>
      </c>
      <c r="AM655" s="7">
        <f t="shared" si="426"/>
        <v>4561116.3150000004</v>
      </c>
      <c r="AN655" s="7">
        <f t="shared" si="426"/>
        <v>4561116.3150000004</v>
      </c>
      <c r="BR655" s="5">
        <v>5205052</v>
      </c>
      <c r="BS655" s="18">
        <f>[1]monsters!$N655</f>
        <v>221.87</v>
      </c>
      <c r="BT655" s="18">
        <f>[1]monsters!$O655</f>
        <v>22.19</v>
      </c>
      <c r="BU655" s="18">
        <f>[1]monsters!$P655</f>
        <v>2496</v>
      </c>
      <c r="BV655" s="18">
        <f>[1]monsters!$Q655</f>
        <v>249.6</v>
      </c>
      <c r="BW655" s="18">
        <f>[1]monsters!$R655</f>
        <v>73.959999999999994</v>
      </c>
      <c r="BX655" s="18">
        <f>[1]monsters!$S655</f>
        <v>7.4</v>
      </c>
      <c r="BY655" s="18">
        <f>[1]monsters!$K655</f>
        <v>1.6</v>
      </c>
      <c r="BZ655" s="5">
        <f>[1]monsters!$D655</f>
        <v>2</v>
      </c>
      <c r="CA655" s="5">
        <f t="shared" si="428"/>
        <v>0.1</v>
      </c>
      <c r="CB655" s="5">
        <f t="shared" si="429"/>
        <v>293.70755404040403</v>
      </c>
      <c r="CC655" s="5">
        <f t="shared" si="430"/>
        <v>29.370755404040406</v>
      </c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R655" s="3" t="b">
        <f t="shared" si="408"/>
        <v>1</v>
      </c>
      <c r="CS655" s="3" t="b">
        <f t="shared" si="409"/>
        <v>1</v>
      </c>
      <c r="CT655" s="3" t="b">
        <f t="shared" si="410"/>
        <v>1</v>
      </c>
      <c r="CU655" s="3" t="b">
        <f t="shared" si="411"/>
        <v>1</v>
      </c>
      <c r="CV655" s="3" t="b">
        <f t="shared" si="412"/>
        <v>1</v>
      </c>
      <c r="CW655" s="3" t="b">
        <f t="shared" si="413"/>
        <v>1</v>
      </c>
      <c r="CX655" s="9" t="str">
        <f t="shared" si="414"/>
        <v>5202133</v>
      </c>
      <c r="CY655" s="9" t="str">
        <f t="shared" si="415"/>
        <v>5202132</v>
      </c>
      <c r="CZ655" s="9" t="str">
        <f t="shared" si="416"/>
        <v>5202133</v>
      </c>
      <c r="DA655" s="9" t="str">
        <f t="shared" si="417"/>
        <v>5401133</v>
      </c>
      <c r="DB655" s="9" t="str">
        <f t="shared" si="418"/>
        <v>5402132</v>
      </c>
      <c r="DC655" s="9" t="str">
        <f t="shared" si="419"/>
        <v>5401133</v>
      </c>
      <c r="DD655" s="9">
        <v>13</v>
      </c>
      <c r="DE655" s="9">
        <v>13</v>
      </c>
      <c r="DF655" s="9">
        <v>13</v>
      </c>
      <c r="DG655" s="9">
        <v>13</v>
      </c>
      <c r="DH655" s="9">
        <v>13</v>
      </c>
      <c r="DI655" s="9">
        <v>13</v>
      </c>
      <c r="DJ655" s="9">
        <v>5</v>
      </c>
      <c r="DK655" s="9">
        <v>5</v>
      </c>
      <c r="DL655" s="9">
        <v>5</v>
      </c>
      <c r="DM655" s="9">
        <v>5</v>
      </c>
      <c r="DN655" s="9">
        <v>5</v>
      </c>
      <c r="DO655" s="9">
        <v>5</v>
      </c>
      <c r="DP655" s="25" t="s">
        <v>208</v>
      </c>
      <c r="DQ655" s="25" t="s">
        <v>200</v>
      </c>
      <c r="DR655" s="25" t="s">
        <v>208</v>
      </c>
      <c r="DS655" s="25" t="s">
        <v>211</v>
      </c>
      <c r="DT655" s="25" t="s">
        <v>203</v>
      </c>
      <c r="DU655" s="25" t="s">
        <v>211</v>
      </c>
      <c r="DV655" s="25">
        <f t="shared" si="420"/>
        <v>1</v>
      </c>
      <c r="DW655" s="25">
        <f t="shared" si="421"/>
        <v>1</v>
      </c>
      <c r="DX655" s="25">
        <f t="shared" si="422"/>
        <v>1</v>
      </c>
      <c r="DY655" s="25">
        <f t="shared" si="423"/>
        <v>2</v>
      </c>
      <c r="DZ655" s="25">
        <f t="shared" si="424"/>
        <v>2</v>
      </c>
      <c r="EA655" s="25">
        <f t="shared" si="425"/>
        <v>2</v>
      </c>
      <c r="EB655" s="47"/>
    </row>
    <row r="656" spans="1:132" ht="13.5" customHeight="1">
      <c r="A656" s="9">
        <v>653</v>
      </c>
      <c r="B656" s="9">
        <v>1</v>
      </c>
      <c r="C656" s="9">
        <v>2001</v>
      </c>
      <c r="D656" s="9">
        <f t="shared" si="398"/>
        <v>36216763</v>
      </c>
      <c r="E656" s="9" t="str">
        <f t="shared" si="399"/>
        <v>5202133,5202132,5202133,5500132,5500131,5500132</v>
      </c>
      <c r="F656" s="9" t="str">
        <f t="shared" si="400"/>
        <v>13,13,13,13,13,13</v>
      </c>
      <c r="G656" s="9" t="str">
        <f t="shared" si="401"/>
        <v>1396,1509,1509,1509,1509,1509</v>
      </c>
      <c r="H656" s="9">
        <v>301</v>
      </c>
      <c r="I656" s="9" t="s">
        <v>278</v>
      </c>
      <c r="J656" s="9" t="s">
        <v>279</v>
      </c>
      <c r="K656" s="9" t="s">
        <v>279</v>
      </c>
      <c r="L656" s="9" t="s">
        <v>279</v>
      </c>
      <c r="M656" s="36" t="s">
        <v>317</v>
      </c>
      <c r="O656" s="3">
        <f t="shared" si="427"/>
        <v>36216763</v>
      </c>
      <c r="P656" s="9">
        <v>27436941.899999999</v>
      </c>
      <c r="Q656" s="9">
        <v>5202133</v>
      </c>
      <c r="R656" s="9">
        <v>5202132</v>
      </c>
      <c r="S656" s="9">
        <v>5202133</v>
      </c>
      <c r="T656" s="9">
        <v>5500132</v>
      </c>
      <c r="U656" s="9">
        <v>5500131</v>
      </c>
      <c r="V656" s="9">
        <v>5500132</v>
      </c>
      <c r="W656" s="9">
        <v>13</v>
      </c>
      <c r="X656" s="9">
        <v>13</v>
      </c>
      <c r="Y656" s="9">
        <v>13</v>
      </c>
      <c r="Z656" s="9">
        <v>13</v>
      </c>
      <c r="AA656" s="9">
        <v>13</v>
      </c>
      <c r="AB656" s="9">
        <v>13</v>
      </c>
      <c r="AC656" s="9">
        <f t="shared" si="402"/>
        <v>1396</v>
      </c>
      <c r="AD656" s="9">
        <f t="shared" si="403"/>
        <v>1509</v>
      </c>
      <c r="AE656" s="9">
        <f t="shared" si="404"/>
        <v>1509</v>
      </c>
      <c r="AF656" s="9">
        <f t="shared" si="405"/>
        <v>1509</v>
      </c>
      <c r="AG656" s="9">
        <f t="shared" si="406"/>
        <v>1509</v>
      </c>
      <c r="AH656" s="9">
        <f t="shared" si="407"/>
        <v>1509</v>
      </c>
      <c r="AI656" s="7">
        <f t="shared" si="426"/>
        <v>4572823.6499999994</v>
      </c>
      <c r="AJ656" s="7">
        <f t="shared" ref="AJ656:AN706" si="431">$P656/6</f>
        <v>4572823.6499999994</v>
      </c>
      <c r="AK656" s="7">
        <f t="shared" si="431"/>
        <v>4572823.6499999994</v>
      </c>
      <c r="AL656" s="7">
        <f t="shared" si="431"/>
        <v>4572823.6499999994</v>
      </c>
      <c r="AM656" s="7">
        <f t="shared" si="431"/>
        <v>4572823.6499999994</v>
      </c>
      <c r="AN656" s="7">
        <f t="shared" si="431"/>
        <v>4572823.6499999994</v>
      </c>
      <c r="BR656" s="5">
        <v>5405052</v>
      </c>
      <c r="BS656" s="18">
        <f>[1]monsters!$N656</f>
        <v>221.87</v>
      </c>
      <c r="BT656" s="18">
        <f>[1]monsters!$O656</f>
        <v>22.19</v>
      </c>
      <c r="BU656" s="18">
        <f>[1]monsters!$P656</f>
        <v>2496</v>
      </c>
      <c r="BV656" s="18">
        <f>[1]monsters!$Q656</f>
        <v>249.6</v>
      </c>
      <c r="BW656" s="18">
        <f>[1]monsters!$R656</f>
        <v>73.959999999999994</v>
      </c>
      <c r="BX656" s="18">
        <f>[1]monsters!$S656</f>
        <v>7.4</v>
      </c>
      <c r="BY656" s="18">
        <f>[1]monsters!$K656</f>
        <v>1.6</v>
      </c>
      <c r="BZ656" s="5">
        <f>[1]monsters!$D656</f>
        <v>2</v>
      </c>
      <c r="CA656" s="5">
        <f t="shared" si="428"/>
        <v>0.1</v>
      </c>
      <c r="CB656" s="5">
        <f t="shared" si="429"/>
        <v>293.70755404040403</v>
      </c>
      <c r="CC656" s="5">
        <f t="shared" si="430"/>
        <v>29.370755404040406</v>
      </c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R656" s="3" t="b">
        <f t="shared" si="408"/>
        <v>1</v>
      </c>
      <c r="CS656" s="3" t="b">
        <f t="shared" si="409"/>
        <v>1</v>
      </c>
      <c r="CT656" s="3" t="b">
        <f t="shared" si="410"/>
        <v>1</v>
      </c>
      <c r="CU656" s="3" t="b">
        <f t="shared" si="411"/>
        <v>1</v>
      </c>
      <c r="CV656" s="3" t="b">
        <f t="shared" si="412"/>
        <v>1</v>
      </c>
      <c r="CW656" s="3" t="b">
        <f t="shared" si="413"/>
        <v>1</v>
      </c>
      <c r="CX656" s="9" t="str">
        <f t="shared" si="414"/>
        <v>5202133</v>
      </c>
      <c r="CY656" s="9" t="str">
        <f t="shared" si="415"/>
        <v>5202132</v>
      </c>
      <c r="CZ656" s="9" t="str">
        <f t="shared" si="416"/>
        <v>5202133</v>
      </c>
      <c r="DA656" s="9" t="str">
        <f t="shared" si="417"/>
        <v>5500132</v>
      </c>
      <c r="DB656" s="9" t="str">
        <f t="shared" si="418"/>
        <v>5500131</v>
      </c>
      <c r="DC656" s="9" t="str">
        <f t="shared" si="419"/>
        <v>5500132</v>
      </c>
      <c r="DD656" s="9">
        <v>13</v>
      </c>
      <c r="DE656" s="9">
        <v>13</v>
      </c>
      <c r="DF656" s="9">
        <v>13</v>
      </c>
      <c r="DG656" s="9">
        <v>13</v>
      </c>
      <c r="DH656" s="9">
        <v>13</v>
      </c>
      <c r="DI656" s="9">
        <v>13</v>
      </c>
      <c r="DJ656" s="9">
        <v>5</v>
      </c>
      <c r="DK656" s="9">
        <v>5</v>
      </c>
      <c r="DL656" s="9">
        <v>5</v>
      </c>
      <c r="DM656" s="9">
        <v>5</v>
      </c>
      <c r="DN656" s="9">
        <v>5</v>
      </c>
      <c r="DO656" s="9">
        <v>5</v>
      </c>
      <c r="DP656" s="25" t="s">
        <v>208</v>
      </c>
      <c r="DQ656" s="25" t="s">
        <v>200</v>
      </c>
      <c r="DR656" s="25" t="s">
        <v>208</v>
      </c>
      <c r="DS656" s="25" t="s">
        <v>109</v>
      </c>
      <c r="DT656" s="25" t="s">
        <v>197</v>
      </c>
      <c r="DU656" s="25" t="s">
        <v>109</v>
      </c>
      <c r="DV656" s="25">
        <f t="shared" si="420"/>
        <v>1</v>
      </c>
      <c r="DW656" s="25">
        <f t="shared" si="421"/>
        <v>1</v>
      </c>
      <c r="DX656" s="25">
        <f t="shared" si="422"/>
        <v>1</v>
      </c>
      <c r="DY656" s="25">
        <f t="shared" si="423"/>
        <v>2</v>
      </c>
      <c r="DZ656" s="25">
        <f t="shared" si="424"/>
        <v>2</v>
      </c>
      <c r="EA656" s="25">
        <f t="shared" si="425"/>
        <v>2</v>
      </c>
      <c r="EB656" s="48"/>
    </row>
    <row r="657" spans="1:132" ht="13.5" customHeight="1">
      <c r="A657" s="9">
        <v>654</v>
      </c>
      <c r="B657" s="9">
        <v>1</v>
      </c>
      <c r="C657" s="9">
        <v>2001</v>
      </c>
      <c r="D657" s="9">
        <f t="shared" si="398"/>
        <v>36309608</v>
      </c>
      <c r="E657" s="9" t="str">
        <f t="shared" si="399"/>
        <v>5202131,5202131,5200131,5400135,5602134,5400135</v>
      </c>
      <c r="F657" s="9" t="str">
        <f t="shared" si="400"/>
        <v>13,13,13,13,13,13</v>
      </c>
      <c r="G657" s="9" t="str">
        <f t="shared" si="401"/>
        <v>1398,1510,1510,1510,1510,1510</v>
      </c>
      <c r="H657" s="9">
        <v>301</v>
      </c>
      <c r="I657" s="9" t="s">
        <v>278</v>
      </c>
      <c r="J657" s="9" t="s">
        <v>279</v>
      </c>
      <c r="K657" s="9" t="s">
        <v>279</v>
      </c>
      <c r="L657" s="9" t="s">
        <v>279</v>
      </c>
      <c r="M657" s="36" t="s">
        <v>317</v>
      </c>
      <c r="O657" s="3">
        <f t="shared" si="427"/>
        <v>36309608</v>
      </c>
      <c r="P657" s="9">
        <v>27507278.75</v>
      </c>
      <c r="Q657" s="9">
        <v>5202131</v>
      </c>
      <c r="R657" s="9">
        <v>5202131</v>
      </c>
      <c r="S657" s="9">
        <v>5200131</v>
      </c>
      <c r="T657" s="9">
        <v>5400135</v>
      </c>
      <c r="U657" s="9">
        <v>5602134</v>
      </c>
      <c r="V657" s="9">
        <v>5400135</v>
      </c>
      <c r="W657" s="9">
        <v>13</v>
      </c>
      <c r="X657" s="9">
        <v>13</v>
      </c>
      <c r="Y657" s="9">
        <v>13</v>
      </c>
      <c r="Z657" s="9">
        <v>13</v>
      </c>
      <c r="AA657" s="9">
        <v>13</v>
      </c>
      <c r="AB657" s="9">
        <v>13</v>
      </c>
      <c r="AC657" s="9">
        <f t="shared" si="402"/>
        <v>1398</v>
      </c>
      <c r="AD657" s="9">
        <f t="shared" si="403"/>
        <v>1510</v>
      </c>
      <c r="AE657" s="9">
        <f t="shared" si="404"/>
        <v>1510</v>
      </c>
      <c r="AF657" s="9">
        <f t="shared" si="405"/>
        <v>1510</v>
      </c>
      <c r="AG657" s="9">
        <f t="shared" si="406"/>
        <v>1510</v>
      </c>
      <c r="AH657" s="9">
        <f t="shared" si="407"/>
        <v>1510</v>
      </c>
      <c r="AI657" s="7">
        <f t="shared" ref="AI657:AN720" si="432">$P657/6</f>
        <v>4584546.458333333</v>
      </c>
      <c r="AJ657" s="7">
        <f t="shared" si="431"/>
        <v>4584546.458333333</v>
      </c>
      <c r="AK657" s="7">
        <f t="shared" si="431"/>
        <v>4584546.458333333</v>
      </c>
      <c r="AL657" s="7">
        <f t="shared" si="431"/>
        <v>4584546.458333333</v>
      </c>
      <c r="AM657" s="7">
        <f t="shared" si="431"/>
        <v>4584546.458333333</v>
      </c>
      <c r="AN657" s="7">
        <f t="shared" si="431"/>
        <v>4584546.458333333</v>
      </c>
      <c r="BR657" s="5">
        <v>5203052</v>
      </c>
      <c r="BS657" s="18">
        <f>[1]monsters!$N657</f>
        <v>238.93</v>
      </c>
      <c r="BT657" s="18">
        <f>[1]monsters!$O657</f>
        <v>23.89</v>
      </c>
      <c r="BU657" s="18">
        <f>[1]monsters!$P657</f>
        <v>2688</v>
      </c>
      <c r="BV657" s="18">
        <f>[1]monsters!$Q657</f>
        <v>268.8</v>
      </c>
      <c r="BW657" s="18">
        <f>[1]monsters!$R657</f>
        <v>79.64</v>
      </c>
      <c r="BX657" s="18">
        <f>[1]monsters!$S657</f>
        <v>7.96</v>
      </c>
      <c r="BY657" s="18">
        <f>[1]monsters!$K657</f>
        <v>1.6</v>
      </c>
      <c r="BZ657" s="5">
        <f>[1]monsters!$D657</f>
        <v>2</v>
      </c>
      <c r="CA657" s="5">
        <f t="shared" si="428"/>
        <v>0.1</v>
      </c>
      <c r="CB657" s="5">
        <f t="shared" si="429"/>
        <v>316.29390050505054</v>
      </c>
      <c r="CC657" s="5">
        <f t="shared" si="430"/>
        <v>31.629390050505055</v>
      </c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R657" s="3" t="b">
        <f t="shared" si="408"/>
        <v>1</v>
      </c>
      <c r="CS657" s="3" t="b">
        <f t="shared" si="409"/>
        <v>1</v>
      </c>
      <c r="CT657" s="3" t="b">
        <f t="shared" si="410"/>
        <v>1</v>
      </c>
      <c r="CU657" s="3" t="b">
        <f t="shared" si="411"/>
        <v>1</v>
      </c>
      <c r="CV657" s="3" t="b">
        <f t="shared" si="412"/>
        <v>1</v>
      </c>
      <c r="CW657" s="3" t="b">
        <f t="shared" si="413"/>
        <v>1</v>
      </c>
      <c r="CX657" s="9" t="str">
        <f t="shared" si="414"/>
        <v>5202131</v>
      </c>
      <c r="CY657" s="9" t="str">
        <f t="shared" si="415"/>
        <v>5202131</v>
      </c>
      <c r="CZ657" s="9" t="str">
        <f t="shared" si="416"/>
        <v>5200131</v>
      </c>
      <c r="DA657" s="9" t="str">
        <f t="shared" si="417"/>
        <v>5400135</v>
      </c>
      <c r="DB657" s="9" t="str">
        <f t="shared" si="418"/>
        <v>5602134</v>
      </c>
      <c r="DC657" s="9" t="str">
        <f t="shared" si="419"/>
        <v>5400135</v>
      </c>
      <c r="DD657" s="9">
        <v>13</v>
      </c>
      <c r="DE657" s="9">
        <v>13</v>
      </c>
      <c r="DF657" s="9">
        <v>13</v>
      </c>
      <c r="DG657" s="9">
        <v>13</v>
      </c>
      <c r="DH657" s="9">
        <v>13</v>
      </c>
      <c r="DI657" s="9">
        <v>13</v>
      </c>
      <c r="DJ657" s="9">
        <v>5</v>
      </c>
      <c r="DK657" s="9">
        <v>5</v>
      </c>
      <c r="DL657" s="9">
        <v>5</v>
      </c>
      <c r="DM657" s="9">
        <v>5</v>
      </c>
      <c r="DN657" s="9">
        <v>5</v>
      </c>
      <c r="DO657" s="9">
        <v>5</v>
      </c>
      <c r="DP657" s="25" t="s">
        <v>111</v>
      </c>
      <c r="DQ657" s="25" t="s">
        <v>111</v>
      </c>
      <c r="DR657" s="25" t="s">
        <v>194</v>
      </c>
      <c r="DS657" s="25" t="s">
        <v>210</v>
      </c>
      <c r="DT657" s="25" t="s">
        <v>220</v>
      </c>
      <c r="DU657" s="25" t="s">
        <v>210</v>
      </c>
      <c r="DV657" s="25">
        <f t="shared" si="420"/>
        <v>1</v>
      </c>
      <c r="DW657" s="25">
        <f t="shared" si="421"/>
        <v>1</v>
      </c>
      <c r="DX657" s="25">
        <f t="shared" si="422"/>
        <v>1</v>
      </c>
      <c r="DY657" s="25">
        <f t="shared" si="423"/>
        <v>2</v>
      </c>
      <c r="DZ657" s="25">
        <f t="shared" si="424"/>
        <v>2</v>
      </c>
      <c r="EA657" s="25">
        <f t="shared" si="425"/>
        <v>2</v>
      </c>
      <c r="EB657" s="47"/>
    </row>
    <row r="658" spans="1:132" ht="13.5" customHeight="1">
      <c r="A658" s="9">
        <v>655</v>
      </c>
      <c r="B658" s="9">
        <v>1</v>
      </c>
      <c r="C658" s="9">
        <v>2001</v>
      </c>
      <c r="D658" s="9">
        <f t="shared" si="398"/>
        <v>36402570</v>
      </c>
      <c r="E658" s="9" t="str">
        <f t="shared" si="399"/>
        <v>5202132,5201132,5301131,5501134,5500133,5501134</v>
      </c>
      <c r="F658" s="9" t="str">
        <f t="shared" si="400"/>
        <v>13,13,13,13,13,13</v>
      </c>
      <c r="G658" s="9" t="str">
        <f t="shared" si="401"/>
        <v>1399,1512,1512,1512,1512,1512</v>
      </c>
      <c r="H658" s="9">
        <v>302</v>
      </c>
      <c r="I658" s="9" t="s">
        <v>278</v>
      </c>
      <c r="J658" s="9" t="s">
        <v>279</v>
      </c>
      <c r="K658" s="9" t="s">
        <v>279</v>
      </c>
      <c r="L658" s="9" t="s">
        <v>279</v>
      </c>
      <c r="M658" s="36" t="s">
        <v>317</v>
      </c>
      <c r="O658" s="3">
        <f t="shared" si="427"/>
        <v>36402570</v>
      </c>
      <c r="P658" s="9">
        <v>27577704.219999999</v>
      </c>
      <c r="Q658" s="9">
        <v>5202132</v>
      </c>
      <c r="R658" s="9">
        <v>5201132</v>
      </c>
      <c r="S658" s="9">
        <v>5301131</v>
      </c>
      <c r="T658" s="9">
        <v>5501134</v>
      </c>
      <c r="U658" s="9">
        <v>5500133</v>
      </c>
      <c r="V658" s="9">
        <v>5501134</v>
      </c>
      <c r="W658" s="9">
        <v>13</v>
      </c>
      <c r="X658" s="9">
        <v>13</v>
      </c>
      <c r="Y658" s="9">
        <v>13</v>
      </c>
      <c r="Z658" s="9">
        <v>13</v>
      </c>
      <c r="AA658" s="9">
        <v>13</v>
      </c>
      <c r="AB658" s="9">
        <v>13</v>
      </c>
      <c r="AC658" s="9">
        <f t="shared" si="402"/>
        <v>1399</v>
      </c>
      <c r="AD658" s="9">
        <f t="shared" si="403"/>
        <v>1512</v>
      </c>
      <c r="AE658" s="9">
        <f t="shared" si="404"/>
        <v>1512</v>
      </c>
      <c r="AF658" s="9">
        <f t="shared" si="405"/>
        <v>1512</v>
      </c>
      <c r="AG658" s="9">
        <f t="shared" si="406"/>
        <v>1512</v>
      </c>
      <c r="AH658" s="9">
        <f t="shared" si="407"/>
        <v>1512</v>
      </c>
      <c r="AI658" s="7">
        <f t="shared" si="432"/>
        <v>4596284.0366666662</v>
      </c>
      <c r="AJ658" s="7">
        <f t="shared" si="431"/>
        <v>4596284.0366666662</v>
      </c>
      <c r="AK658" s="7">
        <f t="shared" si="431"/>
        <v>4596284.0366666662</v>
      </c>
      <c r="AL658" s="7">
        <f t="shared" si="431"/>
        <v>4596284.0366666662</v>
      </c>
      <c r="AM658" s="7">
        <f t="shared" si="431"/>
        <v>4596284.0366666662</v>
      </c>
      <c r="AN658" s="7">
        <f t="shared" si="431"/>
        <v>4596284.0366666662</v>
      </c>
      <c r="BR658" s="5">
        <v>5403052</v>
      </c>
      <c r="BS658" s="18">
        <f>[1]monsters!$N658</f>
        <v>238.93</v>
      </c>
      <c r="BT658" s="18">
        <f>[1]monsters!$O658</f>
        <v>23.89</v>
      </c>
      <c r="BU658" s="18">
        <f>[1]monsters!$P658</f>
        <v>2688</v>
      </c>
      <c r="BV658" s="18">
        <f>[1]monsters!$Q658</f>
        <v>268.8</v>
      </c>
      <c r="BW658" s="18">
        <f>[1]monsters!$R658</f>
        <v>79.64</v>
      </c>
      <c r="BX658" s="18">
        <f>[1]monsters!$S658</f>
        <v>7.96</v>
      </c>
      <c r="BY658" s="18">
        <f>[1]monsters!$K658</f>
        <v>1.6</v>
      </c>
      <c r="BZ658" s="5">
        <f>[1]monsters!$D658</f>
        <v>2</v>
      </c>
      <c r="CA658" s="5">
        <f t="shared" si="428"/>
        <v>0.1</v>
      </c>
      <c r="CB658" s="5">
        <f t="shared" si="429"/>
        <v>316.29390050505054</v>
      </c>
      <c r="CC658" s="5">
        <f t="shared" si="430"/>
        <v>31.629390050505055</v>
      </c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R658" s="3" t="b">
        <f t="shared" si="408"/>
        <v>1</v>
      </c>
      <c r="CS658" s="3" t="b">
        <f t="shared" si="409"/>
        <v>1</v>
      </c>
      <c r="CT658" s="3" t="b">
        <f t="shared" si="410"/>
        <v>1</v>
      </c>
      <c r="CU658" s="3" t="b">
        <f t="shared" si="411"/>
        <v>1</v>
      </c>
      <c r="CV658" s="3" t="b">
        <f t="shared" si="412"/>
        <v>1</v>
      </c>
      <c r="CW658" s="3" t="b">
        <f t="shared" si="413"/>
        <v>1</v>
      </c>
      <c r="CX658" s="9" t="str">
        <f t="shared" si="414"/>
        <v>5202132</v>
      </c>
      <c r="CY658" s="9" t="str">
        <f t="shared" si="415"/>
        <v>5201132</v>
      </c>
      <c r="CZ658" s="9" t="str">
        <f t="shared" si="416"/>
        <v>5301131</v>
      </c>
      <c r="DA658" s="9" t="str">
        <f t="shared" si="417"/>
        <v>5501134</v>
      </c>
      <c r="DB658" s="9" t="str">
        <f t="shared" si="418"/>
        <v>5500133</v>
      </c>
      <c r="DC658" s="9" t="str">
        <f t="shared" si="419"/>
        <v>5501134</v>
      </c>
      <c r="DD658" s="9">
        <v>13</v>
      </c>
      <c r="DE658" s="9">
        <v>13</v>
      </c>
      <c r="DF658" s="9">
        <v>13</v>
      </c>
      <c r="DG658" s="9">
        <v>13</v>
      </c>
      <c r="DH658" s="9">
        <v>13</v>
      </c>
      <c r="DI658" s="9">
        <v>13</v>
      </c>
      <c r="DJ658" s="9">
        <v>5</v>
      </c>
      <c r="DK658" s="9">
        <v>5</v>
      </c>
      <c r="DL658" s="9">
        <v>5</v>
      </c>
      <c r="DM658" s="9">
        <v>5</v>
      </c>
      <c r="DN658" s="9">
        <v>5</v>
      </c>
      <c r="DO658" s="9">
        <v>5</v>
      </c>
      <c r="DP658" s="25" t="s">
        <v>200</v>
      </c>
      <c r="DQ658" s="25" t="s">
        <v>114</v>
      </c>
      <c r="DR658" s="25" t="s">
        <v>107</v>
      </c>
      <c r="DS658" s="25" t="s">
        <v>214</v>
      </c>
      <c r="DT658" s="25" t="s">
        <v>207</v>
      </c>
      <c r="DU658" s="25" t="s">
        <v>214</v>
      </c>
      <c r="DV658" s="25">
        <f t="shared" si="420"/>
        <v>1</v>
      </c>
      <c r="DW658" s="25">
        <f t="shared" si="421"/>
        <v>1</v>
      </c>
      <c r="DX658" s="25">
        <f t="shared" si="422"/>
        <v>1</v>
      </c>
      <c r="DY658" s="25">
        <f t="shared" si="423"/>
        <v>2</v>
      </c>
      <c r="DZ658" s="25">
        <f t="shared" si="424"/>
        <v>2</v>
      </c>
      <c r="EA658" s="25">
        <f t="shared" si="425"/>
        <v>2</v>
      </c>
      <c r="EB658" s="47"/>
    </row>
    <row r="659" spans="1:132" ht="13.5" customHeight="1">
      <c r="A659" s="9">
        <v>656</v>
      </c>
      <c r="B659" s="9">
        <v>1</v>
      </c>
      <c r="C659" s="9">
        <v>2001</v>
      </c>
      <c r="D659" s="9">
        <f t="shared" si="398"/>
        <v>36495651</v>
      </c>
      <c r="E659" s="9" t="str">
        <f t="shared" si="399"/>
        <v>5201134,5302134,5302134,5500133,5500131,5400135</v>
      </c>
      <c r="F659" s="9" t="str">
        <f t="shared" si="400"/>
        <v>13,13,13,13,13,13</v>
      </c>
      <c r="G659" s="9" t="str">
        <f t="shared" si="401"/>
        <v>1401,1514,1514,1514,1514,1514</v>
      </c>
      <c r="H659" s="9">
        <v>302</v>
      </c>
      <c r="I659" s="9" t="s">
        <v>278</v>
      </c>
      <c r="J659" s="9" t="s">
        <v>279</v>
      </c>
      <c r="K659" s="9" t="s">
        <v>279</v>
      </c>
      <c r="L659" s="9" t="s">
        <v>279</v>
      </c>
      <c r="M659" s="36" t="s">
        <v>317</v>
      </c>
      <c r="O659" s="3">
        <f t="shared" si="427"/>
        <v>36495651</v>
      </c>
      <c r="P659" s="9">
        <v>27648220.420000002</v>
      </c>
      <c r="Q659" s="9">
        <v>5201134</v>
      </c>
      <c r="R659" s="9">
        <v>5302134</v>
      </c>
      <c r="S659" s="9">
        <v>5302134</v>
      </c>
      <c r="T659" s="9">
        <v>5500133</v>
      </c>
      <c r="U659" s="9">
        <v>5500131</v>
      </c>
      <c r="V659" s="9">
        <v>5400135</v>
      </c>
      <c r="W659" s="9">
        <v>13</v>
      </c>
      <c r="X659" s="9">
        <v>13</v>
      </c>
      <c r="Y659" s="9">
        <v>13</v>
      </c>
      <c r="Z659" s="9">
        <v>13</v>
      </c>
      <c r="AA659" s="9">
        <v>13</v>
      </c>
      <c r="AB659" s="9">
        <v>13</v>
      </c>
      <c r="AC659" s="9">
        <f t="shared" si="402"/>
        <v>1401</v>
      </c>
      <c r="AD659" s="9">
        <f t="shared" si="403"/>
        <v>1514</v>
      </c>
      <c r="AE659" s="9">
        <f t="shared" si="404"/>
        <v>1514</v>
      </c>
      <c r="AF659" s="9">
        <f t="shared" si="405"/>
        <v>1514</v>
      </c>
      <c r="AG659" s="9">
        <f t="shared" si="406"/>
        <v>1514</v>
      </c>
      <c r="AH659" s="9">
        <f t="shared" si="407"/>
        <v>1514</v>
      </c>
      <c r="AI659" s="7">
        <f t="shared" si="432"/>
        <v>4608036.7366666673</v>
      </c>
      <c r="AJ659" s="7">
        <f t="shared" si="431"/>
        <v>4608036.7366666673</v>
      </c>
      <c r="AK659" s="7">
        <f t="shared" si="431"/>
        <v>4608036.7366666673</v>
      </c>
      <c r="AL659" s="7">
        <f t="shared" si="431"/>
        <v>4608036.7366666673</v>
      </c>
      <c r="AM659" s="7">
        <f t="shared" si="431"/>
        <v>4608036.7366666673</v>
      </c>
      <c r="AN659" s="7">
        <f t="shared" si="431"/>
        <v>4608036.7366666673</v>
      </c>
      <c r="BR659" s="5">
        <v>5204052</v>
      </c>
      <c r="BS659" s="18">
        <f>[1]monsters!$N659</f>
        <v>238.93</v>
      </c>
      <c r="BT659" s="18">
        <f>[1]monsters!$O659</f>
        <v>23.89</v>
      </c>
      <c r="BU659" s="18">
        <f>[1]monsters!$P659</f>
        <v>2688</v>
      </c>
      <c r="BV659" s="18">
        <f>[1]monsters!$Q659</f>
        <v>268.8</v>
      </c>
      <c r="BW659" s="18">
        <f>[1]monsters!$R659</f>
        <v>79.64</v>
      </c>
      <c r="BX659" s="18">
        <f>[1]monsters!$S659</f>
        <v>7.96</v>
      </c>
      <c r="BY659" s="18">
        <f>[1]monsters!$K659</f>
        <v>1.6</v>
      </c>
      <c r="BZ659" s="5">
        <f>[1]monsters!$D659</f>
        <v>2</v>
      </c>
      <c r="CA659" s="5">
        <f t="shared" si="428"/>
        <v>0.1</v>
      </c>
      <c r="CB659" s="5">
        <f t="shared" si="429"/>
        <v>316.29390050505054</v>
      </c>
      <c r="CC659" s="5">
        <f t="shared" si="430"/>
        <v>31.629390050505055</v>
      </c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R659" s="3" t="b">
        <f t="shared" si="408"/>
        <v>1</v>
      </c>
      <c r="CS659" s="3" t="b">
        <f t="shared" si="409"/>
        <v>1</v>
      </c>
      <c r="CT659" s="3" t="b">
        <f t="shared" si="410"/>
        <v>1</v>
      </c>
      <c r="CU659" s="3" t="b">
        <f t="shared" si="411"/>
        <v>1</v>
      </c>
      <c r="CV659" s="3" t="b">
        <f t="shared" si="412"/>
        <v>1</v>
      </c>
      <c r="CW659" s="3" t="b">
        <f t="shared" si="413"/>
        <v>1</v>
      </c>
      <c r="CX659" s="9" t="str">
        <f t="shared" si="414"/>
        <v>5201134</v>
      </c>
      <c r="CY659" s="9" t="str">
        <f t="shared" si="415"/>
        <v>5302134</v>
      </c>
      <c r="CZ659" s="9" t="str">
        <f t="shared" si="416"/>
        <v>5302134</v>
      </c>
      <c r="DA659" s="9" t="str">
        <f t="shared" si="417"/>
        <v>5500133</v>
      </c>
      <c r="DB659" s="9" t="str">
        <f t="shared" si="418"/>
        <v>5500131</v>
      </c>
      <c r="DC659" s="9" t="str">
        <f t="shared" si="419"/>
        <v>5400135</v>
      </c>
      <c r="DD659" s="9">
        <v>13</v>
      </c>
      <c r="DE659" s="9">
        <v>13</v>
      </c>
      <c r="DF659" s="9">
        <v>13</v>
      </c>
      <c r="DG659" s="9">
        <v>13</v>
      </c>
      <c r="DH659" s="9">
        <v>13</v>
      </c>
      <c r="DI659" s="9">
        <v>13</v>
      </c>
      <c r="DJ659" s="9">
        <v>5</v>
      </c>
      <c r="DK659" s="9">
        <v>5</v>
      </c>
      <c r="DL659" s="9">
        <v>5</v>
      </c>
      <c r="DM659" s="9">
        <v>5</v>
      </c>
      <c r="DN659" s="9">
        <v>5</v>
      </c>
      <c r="DO659" s="9">
        <v>5</v>
      </c>
      <c r="DP659" s="27" t="s">
        <v>217</v>
      </c>
      <c r="DQ659" s="27" t="s">
        <v>218</v>
      </c>
      <c r="DR659" s="27" t="s">
        <v>218</v>
      </c>
      <c r="DS659" s="25" t="s">
        <v>207</v>
      </c>
      <c r="DT659" s="25" t="s">
        <v>197</v>
      </c>
      <c r="DU659" s="25" t="s">
        <v>210</v>
      </c>
      <c r="DV659" s="25">
        <f t="shared" si="420"/>
        <v>1</v>
      </c>
      <c r="DW659" s="25">
        <f t="shared" si="421"/>
        <v>1</v>
      </c>
      <c r="DX659" s="25">
        <f t="shared" si="422"/>
        <v>1</v>
      </c>
      <c r="DY659" s="25">
        <f t="shared" si="423"/>
        <v>2</v>
      </c>
      <c r="DZ659" s="25">
        <f t="shared" si="424"/>
        <v>2</v>
      </c>
      <c r="EA659" s="25">
        <f t="shared" si="425"/>
        <v>2</v>
      </c>
      <c r="EB659" s="47"/>
    </row>
    <row r="660" spans="1:132" ht="13.5" customHeight="1">
      <c r="A660" s="9">
        <v>657</v>
      </c>
      <c r="B660" s="9">
        <v>1</v>
      </c>
      <c r="C660" s="9">
        <v>2001</v>
      </c>
      <c r="D660" s="9">
        <f t="shared" si="398"/>
        <v>36588852</v>
      </c>
      <c r="E660" s="9" t="str">
        <f t="shared" si="399"/>
        <v>5302135,5202135,5202135,5401133,5402132,5401133</v>
      </c>
      <c r="F660" s="9" t="str">
        <f t="shared" si="400"/>
        <v>13,13,13,13,13,13</v>
      </c>
      <c r="G660" s="9" t="str">
        <f t="shared" si="401"/>
        <v>1403,1516,1516,1516,1516,1516</v>
      </c>
      <c r="H660" s="9">
        <v>302</v>
      </c>
      <c r="I660" s="9" t="s">
        <v>278</v>
      </c>
      <c r="J660" s="9" t="s">
        <v>279</v>
      </c>
      <c r="K660" s="9" t="s">
        <v>279</v>
      </c>
      <c r="L660" s="9" t="s">
        <v>279</v>
      </c>
      <c r="M660" s="36" t="s">
        <v>317</v>
      </c>
      <c r="O660" s="3">
        <f t="shared" si="427"/>
        <v>36588852</v>
      </c>
      <c r="P660" s="9">
        <v>27718827.350000001</v>
      </c>
      <c r="Q660" s="9">
        <v>5302135</v>
      </c>
      <c r="R660" s="9">
        <v>5202135</v>
      </c>
      <c r="S660" s="9">
        <v>5202135</v>
      </c>
      <c r="T660" s="9">
        <v>5401133</v>
      </c>
      <c r="U660" s="9">
        <v>5402132</v>
      </c>
      <c r="V660" s="9">
        <v>5401133</v>
      </c>
      <c r="W660" s="9">
        <v>13</v>
      </c>
      <c r="X660" s="9">
        <v>13</v>
      </c>
      <c r="Y660" s="9">
        <v>13</v>
      </c>
      <c r="Z660" s="9">
        <v>13</v>
      </c>
      <c r="AA660" s="9">
        <v>13</v>
      </c>
      <c r="AB660" s="9">
        <v>13</v>
      </c>
      <c r="AC660" s="9">
        <f t="shared" si="402"/>
        <v>1403</v>
      </c>
      <c r="AD660" s="9">
        <f t="shared" si="403"/>
        <v>1516</v>
      </c>
      <c r="AE660" s="9">
        <f t="shared" si="404"/>
        <v>1516</v>
      </c>
      <c r="AF660" s="9">
        <f t="shared" si="405"/>
        <v>1516</v>
      </c>
      <c r="AG660" s="9">
        <f t="shared" si="406"/>
        <v>1516</v>
      </c>
      <c r="AH660" s="9">
        <f t="shared" si="407"/>
        <v>1516</v>
      </c>
      <c r="AI660" s="7">
        <f t="shared" si="432"/>
        <v>4619804.5583333336</v>
      </c>
      <c r="AJ660" s="7">
        <f t="shared" si="431"/>
        <v>4619804.5583333336</v>
      </c>
      <c r="AK660" s="7">
        <f t="shared" si="431"/>
        <v>4619804.5583333336</v>
      </c>
      <c r="AL660" s="7">
        <f t="shared" si="431"/>
        <v>4619804.5583333336</v>
      </c>
      <c r="AM660" s="7">
        <f t="shared" si="431"/>
        <v>4619804.5583333336</v>
      </c>
      <c r="AN660" s="7">
        <f t="shared" si="431"/>
        <v>4619804.5583333336</v>
      </c>
      <c r="BR660" s="5">
        <v>5404052</v>
      </c>
      <c r="BS660" s="18">
        <f>[1]monsters!$N660</f>
        <v>238.93</v>
      </c>
      <c r="BT660" s="18">
        <f>[1]monsters!$O660</f>
        <v>23.89</v>
      </c>
      <c r="BU660" s="18">
        <f>[1]monsters!$P660</f>
        <v>2688</v>
      </c>
      <c r="BV660" s="18">
        <f>[1]monsters!$Q660</f>
        <v>268.8</v>
      </c>
      <c r="BW660" s="18">
        <f>[1]monsters!$R660</f>
        <v>79.64</v>
      </c>
      <c r="BX660" s="18">
        <f>[1]monsters!$S660</f>
        <v>7.96</v>
      </c>
      <c r="BY660" s="18">
        <f>[1]monsters!$K660</f>
        <v>1.6</v>
      </c>
      <c r="BZ660" s="5">
        <f>[1]monsters!$D660</f>
        <v>2</v>
      </c>
      <c r="CA660" s="5">
        <f t="shared" si="428"/>
        <v>0.1</v>
      </c>
      <c r="CB660" s="5">
        <f t="shared" si="429"/>
        <v>316.29390050505054</v>
      </c>
      <c r="CC660" s="5">
        <f t="shared" si="430"/>
        <v>31.629390050505055</v>
      </c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R660" s="3" t="b">
        <f t="shared" si="408"/>
        <v>1</v>
      </c>
      <c r="CS660" s="3" t="b">
        <f t="shared" si="409"/>
        <v>1</v>
      </c>
      <c r="CT660" s="3" t="b">
        <f t="shared" si="410"/>
        <v>1</v>
      </c>
      <c r="CU660" s="3" t="b">
        <f t="shared" si="411"/>
        <v>1</v>
      </c>
      <c r="CV660" s="3" t="b">
        <f t="shared" si="412"/>
        <v>1</v>
      </c>
      <c r="CW660" s="3" t="b">
        <f t="shared" si="413"/>
        <v>1</v>
      </c>
      <c r="CX660" s="9" t="str">
        <f t="shared" si="414"/>
        <v>5302135</v>
      </c>
      <c r="CY660" s="9" t="str">
        <f t="shared" si="415"/>
        <v>5202135</v>
      </c>
      <c r="CZ660" s="9" t="str">
        <f t="shared" si="416"/>
        <v>5202135</v>
      </c>
      <c r="DA660" s="9" t="str">
        <f t="shared" si="417"/>
        <v>5401133</v>
      </c>
      <c r="DB660" s="9" t="str">
        <f t="shared" si="418"/>
        <v>5402132</v>
      </c>
      <c r="DC660" s="9" t="str">
        <f t="shared" si="419"/>
        <v>5401133</v>
      </c>
      <c r="DD660" s="9">
        <v>13</v>
      </c>
      <c r="DE660" s="9">
        <v>13</v>
      </c>
      <c r="DF660" s="9">
        <v>13</v>
      </c>
      <c r="DG660" s="9">
        <v>13</v>
      </c>
      <c r="DH660" s="9">
        <v>13</v>
      </c>
      <c r="DI660" s="9">
        <v>13</v>
      </c>
      <c r="DJ660" s="9">
        <v>5</v>
      </c>
      <c r="DK660" s="9">
        <v>5</v>
      </c>
      <c r="DL660" s="9">
        <v>5</v>
      </c>
      <c r="DM660" s="9">
        <v>5</v>
      </c>
      <c r="DN660" s="9">
        <v>5</v>
      </c>
      <c r="DO660" s="9">
        <v>5</v>
      </c>
      <c r="DP660" s="25" t="s">
        <v>221</v>
      </c>
      <c r="DQ660" s="25" t="s">
        <v>213</v>
      </c>
      <c r="DR660" s="25" t="s">
        <v>213</v>
      </c>
      <c r="DS660" s="25" t="s">
        <v>211</v>
      </c>
      <c r="DT660" s="25" t="s">
        <v>203</v>
      </c>
      <c r="DU660" s="25" t="s">
        <v>211</v>
      </c>
      <c r="DV660" s="25">
        <f t="shared" si="420"/>
        <v>1</v>
      </c>
      <c r="DW660" s="25">
        <f t="shared" si="421"/>
        <v>1</v>
      </c>
      <c r="DX660" s="25">
        <f t="shared" si="422"/>
        <v>1</v>
      </c>
      <c r="DY660" s="25">
        <f t="shared" si="423"/>
        <v>2</v>
      </c>
      <c r="DZ660" s="25">
        <f t="shared" si="424"/>
        <v>2</v>
      </c>
      <c r="EA660" s="25">
        <f t="shared" si="425"/>
        <v>2</v>
      </c>
      <c r="EB660" s="48"/>
    </row>
    <row r="661" spans="1:132" ht="13.5" customHeight="1">
      <c r="A661" s="9">
        <v>658</v>
      </c>
      <c r="B661" s="9">
        <v>1</v>
      </c>
      <c r="C661" s="9">
        <v>2001</v>
      </c>
      <c r="D661" s="9">
        <f t="shared" si="398"/>
        <v>36682176</v>
      </c>
      <c r="E661" s="9" t="str">
        <f t="shared" si="399"/>
        <v>5202133,5202132,5202133,5400135,5501135,5402131</v>
      </c>
      <c r="F661" s="9" t="str">
        <f t="shared" si="400"/>
        <v>13,13,13,13,13,13</v>
      </c>
      <c r="G661" s="9" t="str">
        <f t="shared" si="401"/>
        <v>1405,1518,1518,1518,1518,1518</v>
      </c>
      <c r="H661" s="9">
        <v>303</v>
      </c>
      <c r="I661" s="9" t="s">
        <v>278</v>
      </c>
      <c r="J661" s="9" t="s">
        <v>279</v>
      </c>
      <c r="K661" s="9" t="s">
        <v>279</v>
      </c>
      <c r="L661" s="9" t="s">
        <v>279</v>
      </c>
      <c r="M661" s="36" t="s">
        <v>317</v>
      </c>
      <c r="O661" s="3">
        <f t="shared" si="427"/>
        <v>36682176</v>
      </c>
      <c r="P661" s="9">
        <v>27789527.120000001</v>
      </c>
      <c r="Q661" s="9">
        <v>5202133</v>
      </c>
      <c r="R661" s="9">
        <v>5202132</v>
      </c>
      <c r="S661" s="9">
        <v>5202133</v>
      </c>
      <c r="T661" s="9">
        <v>5400135</v>
      </c>
      <c r="U661" s="9">
        <v>5501135</v>
      </c>
      <c r="V661" s="9">
        <v>5402131</v>
      </c>
      <c r="W661" s="9">
        <v>13</v>
      </c>
      <c r="X661" s="9">
        <v>13</v>
      </c>
      <c r="Y661" s="9">
        <v>13</v>
      </c>
      <c r="Z661" s="9">
        <v>13</v>
      </c>
      <c r="AA661" s="9">
        <v>13</v>
      </c>
      <c r="AB661" s="9">
        <v>13</v>
      </c>
      <c r="AC661" s="9">
        <f t="shared" si="402"/>
        <v>1405</v>
      </c>
      <c r="AD661" s="9">
        <f t="shared" si="403"/>
        <v>1518</v>
      </c>
      <c r="AE661" s="9">
        <f t="shared" si="404"/>
        <v>1518</v>
      </c>
      <c r="AF661" s="9">
        <f t="shared" si="405"/>
        <v>1518</v>
      </c>
      <c r="AG661" s="9">
        <f t="shared" si="406"/>
        <v>1518</v>
      </c>
      <c r="AH661" s="9">
        <f t="shared" si="407"/>
        <v>1518</v>
      </c>
      <c r="AI661" s="7">
        <f t="shared" si="432"/>
        <v>4631587.8533333335</v>
      </c>
      <c r="AJ661" s="7">
        <f t="shared" si="431"/>
        <v>4631587.8533333335</v>
      </c>
      <c r="AK661" s="7">
        <f t="shared" si="431"/>
        <v>4631587.8533333335</v>
      </c>
      <c r="AL661" s="7">
        <f t="shared" si="431"/>
        <v>4631587.8533333335</v>
      </c>
      <c r="AM661" s="7">
        <f t="shared" si="431"/>
        <v>4631587.8533333335</v>
      </c>
      <c r="AN661" s="7">
        <f t="shared" si="431"/>
        <v>4631587.8533333335</v>
      </c>
      <c r="BR661" s="5">
        <v>5303052</v>
      </c>
      <c r="BS661" s="18">
        <f>[1]monsters!$N661</f>
        <v>238.93</v>
      </c>
      <c r="BT661" s="18">
        <f>[1]monsters!$O661</f>
        <v>23.89</v>
      </c>
      <c r="BU661" s="18">
        <f>[1]monsters!$P661</f>
        <v>2688</v>
      </c>
      <c r="BV661" s="18">
        <f>[1]monsters!$Q661</f>
        <v>268.8</v>
      </c>
      <c r="BW661" s="18">
        <f>[1]monsters!$R661</f>
        <v>79.64</v>
      </c>
      <c r="BX661" s="18">
        <f>[1]monsters!$S661</f>
        <v>7.96</v>
      </c>
      <c r="BY661" s="18">
        <f>[1]monsters!$K661</f>
        <v>1.6</v>
      </c>
      <c r="BZ661" s="5">
        <f>[1]monsters!$D661</f>
        <v>2</v>
      </c>
      <c r="CA661" s="5">
        <f t="shared" si="428"/>
        <v>0.1</v>
      </c>
      <c r="CB661" s="5">
        <f t="shared" si="429"/>
        <v>316.29390050505054</v>
      </c>
      <c r="CC661" s="5">
        <f t="shared" si="430"/>
        <v>31.629390050505055</v>
      </c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R661" s="3" t="b">
        <f t="shared" si="408"/>
        <v>1</v>
      </c>
      <c r="CS661" s="3" t="b">
        <f t="shared" si="409"/>
        <v>1</v>
      </c>
      <c r="CT661" s="3" t="b">
        <f t="shared" si="410"/>
        <v>1</v>
      </c>
      <c r="CU661" s="3" t="b">
        <f t="shared" si="411"/>
        <v>1</v>
      </c>
      <c r="CV661" s="3" t="b">
        <f t="shared" si="412"/>
        <v>1</v>
      </c>
      <c r="CW661" s="3" t="b">
        <f t="shared" si="413"/>
        <v>1</v>
      </c>
      <c r="CX661" s="9" t="str">
        <f t="shared" si="414"/>
        <v>5202133</v>
      </c>
      <c r="CY661" s="9" t="str">
        <f t="shared" si="415"/>
        <v>5202132</v>
      </c>
      <c r="CZ661" s="9" t="str">
        <f t="shared" si="416"/>
        <v>5202133</v>
      </c>
      <c r="DA661" s="9" t="str">
        <f t="shared" si="417"/>
        <v>5400135</v>
      </c>
      <c r="DB661" s="9" t="str">
        <f t="shared" si="418"/>
        <v>5501135</v>
      </c>
      <c r="DC661" s="9" t="str">
        <f t="shared" si="419"/>
        <v>5402131</v>
      </c>
      <c r="DD661" s="9">
        <v>13</v>
      </c>
      <c r="DE661" s="9">
        <v>13</v>
      </c>
      <c r="DF661" s="9">
        <v>13</v>
      </c>
      <c r="DG661" s="9">
        <v>13</v>
      </c>
      <c r="DH661" s="9">
        <v>13</v>
      </c>
      <c r="DI661" s="9">
        <v>13</v>
      </c>
      <c r="DJ661" s="9">
        <v>5</v>
      </c>
      <c r="DK661" s="9">
        <v>5</v>
      </c>
      <c r="DL661" s="9">
        <v>5</v>
      </c>
      <c r="DM661" s="9">
        <v>5</v>
      </c>
      <c r="DN661" s="9">
        <v>5</v>
      </c>
      <c r="DO661" s="9">
        <v>5</v>
      </c>
      <c r="DP661" s="25" t="s">
        <v>208</v>
      </c>
      <c r="DQ661" s="25" t="s">
        <v>200</v>
      </c>
      <c r="DR661" s="25" t="s">
        <v>208</v>
      </c>
      <c r="DS661" s="25" t="s">
        <v>210</v>
      </c>
      <c r="DT661" s="25" t="s">
        <v>209</v>
      </c>
      <c r="DU661" s="25" t="s">
        <v>196</v>
      </c>
      <c r="DV661" s="25">
        <f t="shared" si="420"/>
        <v>1</v>
      </c>
      <c r="DW661" s="25">
        <f t="shared" si="421"/>
        <v>1</v>
      </c>
      <c r="DX661" s="25">
        <f t="shared" si="422"/>
        <v>1</v>
      </c>
      <c r="DY661" s="25">
        <f t="shared" si="423"/>
        <v>2</v>
      </c>
      <c r="DZ661" s="25">
        <f t="shared" si="424"/>
        <v>2</v>
      </c>
      <c r="EA661" s="25">
        <f t="shared" si="425"/>
        <v>2</v>
      </c>
      <c r="EB661" s="47"/>
    </row>
    <row r="662" spans="1:132" ht="13.5" customHeight="1">
      <c r="A662" s="9">
        <v>659</v>
      </c>
      <c r="B662" s="9">
        <v>1</v>
      </c>
      <c r="C662" s="9">
        <v>2001</v>
      </c>
      <c r="D662" s="9">
        <f t="shared" si="398"/>
        <v>36775616</v>
      </c>
      <c r="E662" s="9" t="str">
        <f t="shared" si="399"/>
        <v>5201131,5201131,5200131,5601131,5501134,5501134</v>
      </c>
      <c r="F662" s="9" t="str">
        <f t="shared" si="400"/>
        <v>13,13,13,13,13,13</v>
      </c>
      <c r="G662" s="9" t="str">
        <f t="shared" si="401"/>
        <v>1407,1520,1520,1520,1520,1520</v>
      </c>
      <c r="H662" s="9">
        <v>303</v>
      </c>
      <c r="I662" s="9" t="s">
        <v>278</v>
      </c>
      <c r="J662" s="9" t="s">
        <v>279</v>
      </c>
      <c r="K662" s="9" t="s">
        <v>279</v>
      </c>
      <c r="L662" s="9" t="s">
        <v>279</v>
      </c>
      <c r="M662" s="36" t="s">
        <v>317</v>
      </c>
      <c r="O662" s="3">
        <f t="shared" si="427"/>
        <v>36775616</v>
      </c>
      <c r="P662" s="9">
        <v>27860315.510000002</v>
      </c>
      <c r="Q662" s="9">
        <v>5201131</v>
      </c>
      <c r="R662" s="9">
        <v>5201131</v>
      </c>
      <c r="S662" s="9">
        <v>5200131</v>
      </c>
      <c r="T662" s="9">
        <v>5601131</v>
      </c>
      <c r="U662" s="9">
        <v>5501134</v>
      </c>
      <c r="V662" s="9">
        <v>5501134</v>
      </c>
      <c r="W662" s="9">
        <v>13</v>
      </c>
      <c r="X662" s="9">
        <v>13</v>
      </c>
      <c r="Y662" s="9">
        <v>13</v>
      </c>
      <c r="Z662" s="9">
        <v>13</v>
      </c>
      <c r="AA662" s="9">
        <v>13</v>
      </c>
      <c r="AB662" s="9">
        <v>13</v>
      </c>
      <c r="AC662" s="9">
        <f t="shared" si="402"/>
        <v>1407</v>
      </c>
      <c r="AD662" s="9">
        <f t="shared" si="403"/>
        <v>1520</v>
      </c>
      <c r="AE662" s="9">
        <f t="shared" si="404"/>
        <v>1520</v>
      </c>
      <c r="AF662" s="9">
        <f t="shared" si="405"/>
        <v>1520</v>
      </c>
      <c r="AG662" s="9">
        <f t="shared" si="406"/>
        <v>1520</v>
      </c>
      <c r="AH662" s="9">
        <f t="shared" si="407"/>
        <v>1520</v>
      </c>
      <c r="AI662" s="7">
        <f t="shared" si="432"/>
        <v>4643385.9183333339</v>
      </c>
      <c r="AJ662" s="7">
        <f t="shared" si="431"/>
        <v>4643385.9183333339</v>
      </c>
      <c r="AK662" s="7">
        <f t="shared" si="431"/>
        <v>4643385.9183333339</v>
      </c>
      <c r="AL662" s="7">
        <f t="shared" si="431"/>
        <v>4643385.9183333339</v>
      </c>
      <c r="AM662" s="7">
        <f t="shared" si="431"/>
        <v>4643385.9183333339</v>
      </c>
      <c r="AN662" s="7">
        <f t="shared" si="431"/>
        <v>4643385.9183333339</v>
      </c>
      <c r="BR662" s="5">
        <v>5304052</v>
      </c>
      <c r="BS662" s="18">
        <f>[1]monsters!$N662</f>
        <v>256</v>
      </c>
      <c r="BT662" s="18">
        <f>[1]monsters!$O662</f>
        <v>25.6</v>
      </c>
      <c r="BU662" s="18">
        <f>[1]monsters!$P662</f>
        <v>2880</v>
      </c>
      <c r="BV662" s="18">
        <f>[1]monsters!$Q662</f>
        <v>288</v>
      </c>
      <c r="BW662" s="18">
        <f>[1]monsters!$R662</f>
        <v>85.33</v>
      </c>
      <c r="BX662" s="18">
        <f>[1]monsters!$S662</f>
        <v>8.5299999999999994</v>
      </c>
      <c r="BY662" s="18">
        <f>[1]monsters!$K662</f>
        <v>1.6</v>
      </c>
      <c r="BZ662" s="5">
        <f>[1]monsters!$D662</f>
        <v>2</v>
      </c>
      <c r="CA662" s="5">
        <f t="shared" si="428"/>
        <v>0.1</v>
      </c>
      <c r="CB662" s="5">
        <f t="shared" si="429"/>
        <v>338.88969696969696</v>
      </c>
      <c r="CC662" s="5">
        <f t="shared" si="430"/>
        <v>33.888969696969696</v>
      </c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R662" s="3" t="b">
        <f t="shared" si="408"/>
        <v>1</v>
      </c>
      <c r="CS662" s="3" t="b">
        <f t="shared" si="409"/>
        <v>1</v>
      </c>
      <c r="CT662" s="3" t="b">
        <f t="shared" si="410"/>
        <v>1</v>
      </c>
      <c r="CU662" s="3" t="b">
        <f t="shared" si="411"/>
        <v>1</v>
      </c>
      <c r="CV662" s="3" t="b">
        <f t="shared" si="412"/>
        <v>1</v>
      </c>
      <c r="CW662" s="3" t="b">
        <f t="shared" si="413"/>
        <v>1</v>
      </c>
      <c r="CX662" s="9" t="str">
        <f t="shared" si="414"/>
        <v>5201131</v>
      </c>
      <c r="CY662" s="9" t="str">
        <f t="shared" si="415"/>
        <v>5201131</v>
      </c>
      <c r="CZ662" s="9" t="str">
        <f t="shared" si="416"/>
        <v>5200131</v>
      </c>
      <c r="DA662" s="9" t="str">
        <f t="shared" si="417"/>
        <v>5601131</v>
      </c>
      <c r="DB662" s="9" t="str">
        <f t="shared" si="418"/>
        <v>5501134</v>
      </c>
      <c r="DC662" s="9" t="str">
        <f t="shared" si="419"/>
        <v>5501134</v>
      </c>
      <c r="DD662" s="9">
        <v>13</v>
      </c>
      <c r="DE662" s="9">
        <v>13</v>
      </c>
      <c r="DF662" s="9">
        <v>13</v>
      </c>
      <c r="DG662" s="9">
        <v>13</v>
      </c>
      <c r="DH662" s="9">
        <v>13</v>
      </c>
      <c r="DI662" s="9">
        <v>13</v>
      </c>
      <c r="DJ662" s="9">
        <v>5</v>
      </c>
      <c r="DK662" s="9">
        <v>5</v>
      </c>
      <c r="DL662" s="9">
        <v>5</v>
      </c>
      <c r="DM662" s="9">
        <v>5</v>
      </c>
      <c r="DN662" s="9">
        <v>5</v>
      </c>
      <c r="DO662" s="9">
        <v>5</v>
      </c>
      <c r="DP662" s="25" t="s">
        <v>195</v>
      </c>
      <c r="DQ662" s="25" t="s">
        <v>195</v>
      </c>
      <c r="DR662" s="25" t="s">
        <v>194</v>
      </c>
      <c r="DS662" s="25" t="s">
        <v>198</v>
      </c>
      <c r="DT662" s="25" t="s">
        <v>214</v>
      </c>
      <c r="DU662" s="25" t="s">
        <v>214</v>
      </c>
      <c r="DV662" s="25">
        <f t="shared" si="420"/>
        <v>1</v>
      </c>
      <c r="DW662" s="25">
        <f t="shared" si="421"/>
        <v>1</v>
      </c>
      <c r="DX662" s="25">
        <f t="shared" si="422"/>
        <v>1</v>
      </c>
      <c r="DY662" s="25">
        <f t="shared" si="423"/>
        <v>2</v>
      </c>
      <c r="DZ662" s="25">
        <f t="shared" si="424"/>
        <v>2</v>
      </c>
      <c r="EA662" s="25">
        <f t="shared" si="425"/>
        <v>2</v>
      </c>
      <c r="EB662" s="47"/>
    </row>
    <row r="663" spans="1:132" ht="13.5" customHeight="1">
      <c r="A663" s="9">
        <v>660</v>
      </c>
      <c r="B663" s="9">
        <v>1</v>
      </c>
      <c r="C663" s="9">
        <v>2001</v>
      </c>
      <c r="D663" s="9">
        <f t="shared" si="398"/>
        <v>36869177</v>
      </c>
      <c r="E663" s="9" t="str">
        <f t="shared" si="399"/>
        <v>5302135,5202135,5202135,5400135,5501135,5400135</v>
      </c>
      <c r="F663" s="9" t="str">
        <f t="shared" si="400"/>
        <v>13,13,13,13,13,13</v>
      </c>
      <c r="G663" s="9" t="str">
        <f t="shared" si="401"/>
        <v>1408,1522,1522,1522,1522,1522</v>
      </c>
      <c r="H663" s="9">
        <v>304</v>
      </c>
      <c r="I663" s="9" t="s">
        <v>278</v>
      </c>
      <c r="J663" s="9" t="s">
        <v>279</v>
      </c>
      <c r="K663" s="9" t="s">
        <v>279</v>
      </c>
      <c r="L663" s="9" t="s">
        <v>279</v>
      </c>
      <c r="M663" s="36" t="s">
        <v>317</v>
      </c>
      <c r="O663" s="3">
        <f t="shared" si="427"/>
        <v>36869177</v>
      </c>
      <c r="P663" s="9">
        <v>27931194.629999999</v>
      </c>
      <c r="Q663" s="9">
        <v>5302135</v>
      </c>
      <c r="R663" s="9">
        <v>5202135</v>
      </c>
      <c r="S663" s="9">
        <v>5202135</v>
      </c>
      <c r="T663" s="9">
        <v>5400135</v>
      </c>
      <c r="U663" s="9">
        <v>5501135</v>
      </c>
      <c r="V663" s="9">
        <v>5400135</v>
      </c>
      <c r="W663" s="9">
        <v>13</v>
      </c>
      <c r="X663" s="9">
        <v>13</v>
      </c>
      <c r="Y663" s="9">
        <v>13</v>
      </c>
      <c r="Z663" s="9">
        <v>13</v>
      </c>
      <c r="AA663" s="9">
        <v>13</v>
      </c>
      <c r="AB663" s="9">
        <v>13</v>
      </c>
      <c r="AC663" s="9">
        <f t="shared" si="402"/>
        <v>1408</v>
      </c>
      <c r="AD663" s="9">
        <f t="shared" si="403"/>
        <v>1522</v>
      </c>
      <c r="AE663" s="9">
        <f t="shared" si="404"/>
        <v>1522</v>
      </c>
      <c r="AF663" s="9">
        <f t="shared" si="405"/>
        <v>1522</v>
      </c>
      <c r="AG663" s="9">
        <f t="shared" si="406"/>
        <v>1522</v>
      </c>
      <c r="AH663" s="9">
        <f t="shared" si="407"/>
        <v>1522</v>
      </c>
      <c r="AI663" s="7">
        <f t="shared" si="432"/>
        <v>4655199.1049999995</v>
      </c>
      <c r="AJ663" s="7">
        <f t="shared" si="431"/>
        <v>4655199.1049999995</v>
      </c>
      <c r="AK663" s="7">
        <f t="shared" si="431"/>
        <v>4655199.1049999995</v>
      </c>
      <c r="AL663" s="7">
        <f t="shared" si="431"/>
        <v>4655199.1049999995</v>
      </c>
      <c r="AM663" s="7">
        <f t="shared" si="431"/>
        <v>4655199.1049999995</v>
      </c>
      <c r="AN663" s="7">
        <f t="shared" si="431"/>
        <v>4655199.1049999995</v>
      </c>
      <c r="BR663" s="5">
        <v>5503052</v>
      </c>
      <c r="BS663" s="18">
        <f>[1]monsters!$N663</f>
        <v>256</v>
      </c>
      <c r="BT663" s="18">
        <f>[1]monsters!$O663</f>
        <v>25.6</v>
      </c>
      <c r="BU663" s="18">
        <f>[1]monsters!$P663</f>
        <v>2880</v>
      </c>
      <c r="BV663" s="18">
        <f>[1]monsters!$Q663</f>
        <v>288</v>
      </c>
      <c r="BW663" s="18">
        <f>[1]monsters!$R663</f>
        <v>85.33</v>
      </c>
      <c r="BX663" s="18">
        <f>[1]monsters!$S663</f>
        <v>8.5299999999999994</v>
      </c>
      <c r="BY663" s="18">
        <f>[1]monsters!$K663</f>
        <v>1.6</v>
      </c>
      <c r="BZ663" s="5">
        <f>[1]monsters!$D663</f>
        <v>2</v>
      </c>
      <c r="CA663" s="5">
        <f t="shared" si="428"/>
        <v>0.1</v>
      </c>
      <c r="CB663" s="5">
        <f t="shared" si="429"/>
        <v>338.88969696969696</v>
      </c>
      <c r="CC663" s="5">
        <f t="shared" si="430"/>
        <v>33.888969696969696</v>
      </c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R663" s="3" t="b">
        <f t="shared" si="408"/>
        <v>1</v>
      </c>
      <c r="CS663" s="3" t="b">
        <f t="shared" si="409"/>
        <v>1</v>
      </c>
      <c r="CT663" s="3" t="b">
        <f t="shared" si="410"/>
        <v>1</v>
      </c>
      <c r="CU663" s="3" t="b">
        <f t="shared" si="411"/>
        <v>1</v>
      </c>
      <c r="CV663" s="3" t="b">
        <f t="shared" si="412"/>
        <v>1</v>
      </c>
      <c r="CW663" s="3" t="b">
        <f t="shared" si="413"/>
        <v>1</v>
      </c>
      <c r="CX663" s="9" t="str">
        <f t="shared" si="414"/>
        <v>5302135</v>
      </c>
      <c r="CY663" s="9" t="str">
        <f t="shared" si="415"/>
        <v>5202135</v>
      </c>
      <c r="CZ663" s="9" t="str">
        <f t="shared" si="416"/>
        <v>5202135</v>
      </c>
      <c r="DA663" s="9" t="str">
        <f t="shared" si="417"/>
        <v>5400135</v>
      </c>
      <c r="DB663" s="9" t="str">
        <f t="shared" si="418"/>
        <v>5501135</v>
      </c>
      <c r="DC663" s="9" t="str">
        <f t="shared" si="419"/>
        <v>5400135</v>
      </c>
      <c r="DD663" s="9">
        <v>13</v>
      </c>
      <c r="DE663" s="9">
        <v>13</v>
      </c>
      <c r="DF663" s="9">
        <v>13</v>
      </c>
      <c r="DG663" s="9">
        <v>13</v>
      </c>
      <c r="DH663" s="9">
        <v>13</v>
      </c>
      <c r="DI663" s="9">
        <v>13</v>
      </c>
      <c r="DJ663" s="9">
        <v>5</v>
      </c>
      <c r="DK663" s="9">
        <v>5</v>
      </c>
      <c r="DL663" s="9">
        <v>5</v>
      </c>
      <c r="DM663" s="9">
        <v>5</v>
      </c>
      <c r="DN663" s="9">
        <v>5</v>
      </c>
      <c r="DO663" s="9">
        <v>5</v>
      </c>
      <c r="DP663" s="25" t="s">
        <v>221</v>
      </c>
      <c r="DQ663" s="25" t="s">
        <v>213</v>
      </c>
      <c r="DR663" s="25" t="s">
        <v>213</v>
      </c>
      <c r="DS663" s="25" t="s">
        <v>210</v>
      </c>
      <c r="DT663" s="25" t="s">
        <v>209</v>
      </c>
      <c r="DU663" s="25" t="s">
        <v>210</v>
      </c>
      <c r="DV663" s="25">
        <f t="shared" si="420"/>
        <v>1</v>
      </c>
      <c r="DW663" s="25">
        <f t="shared" si="421"/>
        <v>1</v>
      </c>
      <c r="DX663" s="25">
        <f t="shared" si="422"/>
        <v>1</v>
      </c>
      <c r="DY663" s="25">
        <f t="shared" si="423"/>
        <v>2</v>
      </c>
      <c r="DZ663" s="25">
        <f t="shared" si="424"/>
        <v>2</v>
      </c>
      <c r="EA663" s="25">
        <f t="shared" si="425"/>
        <v>2</v>
      </c>
      <c r="EB663" s="48"/>
    </row>
    <row r="664" spans="1:132" ht="13.5" customHeight="1">
      <c r="A664" s="9">
        <v>661</v>
      </c>
      <c r="B664" s="9">
        <v>1</v>
      </c>
      <c r="C664" s="9">
        <v>2001</v>
      </c>
      <c r="D664" s="9">
        <f t="shared" si="398"/>
        <v>36962857</v>
      </c>
      <c r="E664" s="9" t="str">
        <f t="shared" si="399"/>
        <v>5301131,5301132,5301132,5500132,5400135,5502133</v>
      </c>
      <c r="F664" s="9" t="str">
        <f t="shared" si="400"/>
        <v>13,13,13,13,13,13</v>
      </c>
      <c r="G664" s="9" t="str">
        <f t="shared" si="401"/>
        <v>1410,1524,1524,1524,1524,1524</v>
      </c>
      <c r="H664" s="9">
        <v>304</v>
      </c>
      <c r="I664" s="9" t="s">
        <v>278</v>
      </c>
      <c r="J664" s="9" t="s">
        <v>279</v>
      </c>
      <c r="K664" s="9" t="s">
        <v>279</v>
      </c>
      <c r="L664" s="9" t="s">
        <v>279</v>
      </c>
      <c r="M664" s="36" t="s">
        <v>318</v>
      </c>
      <c r="O664" s="3">
        <f t="shared" si="427"/>
        <v>36962857</v>
      </c>
      <c r="P664" s="9">
        <v>28002164.48</v>
      </c>
      <c r="Q664" s="9">
        <v>5301131</v>
      </c>
      <c r="R664" s="9">
        <v>5301132</v>
      </c>
      <c r="S664" s="9">
        <v>5301132</v>
      </c>
      <c r="T664" s="9">
        <v>5500132</v>
      </c>
      <c r="U664" s="9">
        <v>5400135</v>
      </c>
      <c r="V664" s="9">
        <v>5502133</v>
      </c>
      <c r="W664" s="9">
        <v>13</v>
      </c>
      <c r="X664" s="9">
        <v>13</v>
      </c>
      <c r="Y664" s="9">
        <v>13</v>
      </c>
      <c r="Z664" s="9">
        <v>13</v>
      </c>
      <c r="AA664" s="9">
        <v>13</v>
      </c>
      <c r="AB664" s="9">
        <v>13</v>
      </c>
      <c r="AC664" s="9">
        <f t="shared" si="402"/>
        <v>1410</v>
      </c>
      <c r="AD664" s="9">
        <f t="shared" si="403"/>
        <v>1524</v>
      </c>
      <c r="AE664" s="9">
        <f t="shared" si="404"/>
        <v>1524</v>
      </c>
      <c r="AF664" s="9">
        <f t="shared" si="405"/>
        <v>1524</v>
      </c>
      <c r="AG664" s="9">
        <f t="shared" si="406"/>
        <v>1524</v>
      </c>
      <c r="AH664" s="9">
        <f t="shared" si="407"/>
        <v>1524</v>
      </c>
      <c r="AI664" s="7">
        <f t="shared" si="432"/>
        <v>4667027.4133333331</v>
      </c>
      <c r="AJ664" s="7">
        <f t="shared" si="431"/>
        <v>4667027.4133333331</v>
      </c>
      <c r="AK664" s="7">
        <f t="shared" si="431"/>
        <v>4667027.4133333331</v>
      </c>
      <c r="AL664" s="7">
        <f t="shared" si="431"/>
        <v>4667027.4133333331</v>
      </c>
      <c r="AM664" s="7">
        <f t="shared" si="431"/>
        <v>4667027.4133333331</v>
      </c>
      <c r="AN664" s="7">
        <f t="shared" si="431"/>
        <v>4667027.4133333331</v>
      </c>
      <c r="BR664" s="5">
        <v>5504052</v>
      </c>
      <c r="BS664" s="18">
        <f>[1]monsters!$N664</f>
        <v>256</v>
      </c>
      <c r="BT664" s="18">
        <f>[1]monsters!$O664</f>
        <v>25.6</v>
      </c>
      <c r="BU664" s="18">
        <f>[1]monsters!$P664</f>
        <v>2880</v>
      </c>
      <c r="BV664" s="18">
        <f>[1]monsters!$Q664</f>
        <v>288</v>
      </c>
      <c r="BW664" s="18">
        <f>[1]monsters!$R664</f>
        <v>85.33</v>
      </c>
      <c r="BX664" s="18">
        <f>[1]monsters!$S664</f>
        <v>8.5299999999999994</v>
      </c>
      <c r="BY664" s="18">
        <f>[1]monsters!$K664</f>
        <v>1.6</v>
      </c>
      <c r="BZ664" s="5">
        <f>[1]monsters!$D664</f>
        <v>2</v>
      </c>
      <c r="CA664" s="5">
        <f t="shared" si="428"/>
        <v>0.1</v>
      </c>
      <c r="CB664" s="5">
        <f t="shared" si="429"/>
        <v>338.88969696969696</v>
      </c>
      <c r="CC664" s="5">
        <f t="shared" si="430"/>
        <v>33.888969696969696</v>
      </c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R664" s="3" t="b">
        <f t="shared" si="408"/>
        <v>1</v>
      </c>
      <c r="CS664" s="3" t="b">
        <f t="shared" si="409"/>
        <v>1</v>
      </c>
      <c r="CT664" s="3" t="b">
        <f t="shared" si="410"/>
        <v>1</v>
      </c>
      <c r="CU664" s="3" t="b">
        <f t="shared" si="411"/>
        <v>1</v>
      </c>
      <c r="CV664" s="3" t="b">
        <f t="shared" si="412"/>
        <v>1</v>
      </c>
      <c r="CW664" s="3" t="b">
        <f t="shared" si="413"/>
        <v>1</v>
      </c>
      <c r="CX664" s="9" t="str">
        <f t="shared" si="414"/>
        <v>5301131</v>
      </c>
      <c r="CY664" s="9" t="str">
        <f t="shared" si="415"/>
        <v>5301132</v>
      </c>
      <c r="CZ664" s="9" t="str">
        <f t="shared" si="416"/>
        <v>5301132</v>
      </c>
      <c r="DA664" s="9" t="str">
        <f t="shared" si="417"/>
        <v>5500132</v>
      </c>
      <c r="DB664" s="9" t="str">
        <f t="shared" si="418"/>
        <v>5400135</v>
      </c>
      <c r="DC664" s="9" t="str">
        <f t="shared" si="419"/>
        <v>5502133</v>
      </c>
      <c r="DD664" s="9">
        <v>13</v>
      </c>
      <c r="DE664" s="9">
        <v>13</v>
      </c>
      <c r="DF664" s="9">
        <v>13</v>
      </c>
      <c r="DG664" s="9">
        <v>13</v>
      </c>
      <c r="DH664" s="9">
        <v>13</v>
      </c>
      <c r="DI664" s="9">
        <v>13</v>
      </c>
      <c r="DJ664" s="9">
        <v>5</v>
      </c>
      <c r="DK664" s="9">
        <v>5</v>
      </c>
      <c r="DL664" s="9">
        <v>5</v>
      </c>
      <c r="DM664" s="9">
        <v>5</v>
      </c>
      <c r="DN664" s="9">
        <v>5</v>
      </c>
      <c r="DO664" s="9">
        <v>5</v>
      </c>
      <c r="DP664" s="25" t="s">
        <v>107</v>
      </c>
      <c r="DQ664" s="25" t="s">
        <v>201</v>
      </c>
      <c r="DR664" s="25" t="s">
        <v>201</v>
      </c>
      <c r="DS664" s="25" t="s">
        <v>109</v>
      </c>
      <c r="DT664" s="25" t="s">
        <v>210</v>
      </c>
      <c r="DU664" s="25" t="s">
        <v>215</v>
      </c>
      <c r="DV664" s="25">
        <f t="shared" si="420"/>
        <v>1</v>
      </c>
      <c r="DW664" s="25">
        <f t="shared" si="421"/>
        <v>1</v>
      </c>
      <c r="DX664" s="25">
        <f t="shared" si="422"/>
        <v>1</v>
      </c>
      <c r="DY664" s="25">
        <f t="shared" si="423"/>
        <v>2</v>
      </c>
      <c r="DZ664" s="25">
        <f t="shared" si="424"/>
        <v>2</v>
      </c>
      <c r="EA664" s="25">
        <f t="shared" si="425"/>
        <v>2</v>
      </c>
      <c r="EB664" s="47"/>
    </row>
    <row r="665" spans="1:132" ht="13.5" customHeight="1">
      <c r="A665" s="9">
        <v>662</v>
      </c>
      <c r="B665" s="9">
        <v>1</v>
      </c>
      <c r="C665" s="9">
        <v>2001</v>
      </c>
      <c r="D665" s="9">
        <f t="shared" si="398"/>
        <v>37056657</v>
      </c>
      <c r="E665" s="9" t="str">
        <f t="shared" si="399"/>
        <v>5201133,5200133,5301131,5501134,5500133,5501134</v>
      </c>
      <c r="F665" s="9" t="str">
        <f t="shared" si="400"/>
        <v>13,13,13,13,13,13</v>
      </c>
      <c r="G665" s="9" t="str">
        <f t="shared" si="401"/>
        <v>1412,1526,1526,1526,1526,1526</v>
      </c>
      <c r="H665" s="9">
        <v>304</v>
      </c>
      <c r="I665" s="9" t="s">
        <v>278</v>
      </c>
      <c r="J665" s="9" t="s">
        <v>279</v>
      </c>
      <c r="K665" s="9" t="s">
        <v>279</v>
      </c>
      <c r="L665" s="9" t="s">
        <v>279</v>
      </c>
      <c r="M665" s="36" t="s">
        <v>318</v>
      </c>
      <c r="O665" s="3">
        <f t="shared" si="427"/>
        <v>37056657</v>
      </c>
      <c r="P665" s="9">
        <v>28073225.059999999</v>
      </c>
      <c r="Q665" s="9">
        <v>5201133</v>
      </c>
      <c r="R665" s="9">
        <v>5200133</v>
      </c>
      <c r="S665" s="9">
        <v>5301131</v>
      </c>
      <c r="T665" s="9">
        <v>5501134</v>
      </c>
      <c r="U665" s="9">
        <v>5500133</v>
      </c>
      <c r="V665" s="9">
        <v>5501134</v>
      </c>
      <c r="W665" s="9">
        <v>13</v>
      </c>
      <c r="X665" s="9">
        <v>13</v>
      </c>
      <c r="Y665" s="9">
        <v>13</v>
      </c>
      <c r="Z665" s="9">
        <v>13</v>
      </c>
      <c r="AA665" s="9">
        <v>13</v>
      </c>
      <c r="AB665" s="9">
        <v>13</v>
      </c>
      <c r="AC665" s="9">
        <f t="shared" si="402"/>
        <v>1412</v>
      </c>
      <c r="AD665" s="9">
        <f t="shared" si="403"/>
        <v>1526</v>
      </c>
      <c r="AE665" s="9">
        <f t="shared" si="404"/>
        <v>1526</v>
      </c>
      <c r="AF665" s="9">
        <f t="shared" si="405"/>
        <v>1526</v>
      </c>
      <c r="AG665" s="9">
        <f t="shared" si="406"/>
        <v>1526</v>
      </c>
      <c r="AH665" s="9">
        <f t="shared" si="407"/>
        <v>1526</v>
      </c>
      <c r="AI665" s="7">
        <f t="shared" si="432"/>
        <v>4678870.8433333328</v>
      </c>
      <c r="AJ665" s="7">
        <f t="shared" si="431"/>
        <v>4678870.8433333328</v>
      </c>
      <c r="AK665" s="7">
        <f t="shared" si="431"/>
        <v>4678870.8433333328</v>
      </c>
      <c r="AL665" s="7">
        <f t="shared" si="431"/>
        <v>4678870.8433333328</v>
      </c>
      <c r="AM665" s="7">
        <f t="shared" si="431"/>
        <v>4678870.8433333328</v>
      </c>
      <c r="AN665" s="7">
        <f t="shared" si="431"/>
        <v>4678870.8433333328</v>
      </c>
      <c r="BR665" s="5">
        <v>5101052</v>
      </c>
      <c r="BS665" s="18">
        <f>[1]monsters!$N665</f>
        <v>256</v>
      </c>
      <c r="BT665" s="18">
        <f>[1]monsters!$O665</f>
        <v>25.6</v>
      </c>
      <c r="BU665" s="18">
        <f>[1]monsters!$P665</f>
        <v>2880</v>
      </c>
      <c r="BV665" s="18">
        <f>[1]monsters!$Q665</f>
        <v>288</v>
      </c>
      <c r="BW665" s="18">
        <f>[1]monsters!$R665</f>
        <v>85.33</v>
      </c>
      <c r="BX665" s="18">
        <f>[1]monsters!$S665</f>
        <v>8.5299999999999994</v>
      </c>
      <c r="BY665" s="18">
        <f>[1]monsters!$K665</f>
        <v>1.6</v>
      </c>
      <c r="BZ665" s="5">
        <f>[1]monsters!$D665</f>
        <v>2</v>
      </c>
      <c r="CA665" s="5">
        <f t="shared" si="428"/>
        <v>0.1</v>
      </c>
      <c r="CB665" s="5">
        <f t="shared" si="429"/>
        <v>338.88969696969696</v>
      </c>
      <c r="CC665" s="5">
        <f t="shared" si="430"/>
        <v>33.888969696969696</v>
      </c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R665" s="3" t="b">
        <f t="shared" si="408"/>
        <v>1</v>
      </c>
      <c r="CS665" s="3" t="b">
        <f t="shared" si="409"/>
        <v>1</v>
      </c>
      <c r="CT665" s="3" t="b">
        <f t="shared" si="410"/>
        <v>1</v>
      </c>
      <c r="CU665" s="3" t="b">
        <f t="shared" si="411"/>
        <v>1</v>
      </c>
      <c r="CV665" s="3" t="b">
        <f t="shared" si="412"/>
        <v>1</v>
      </c>
      <c r="CW665" s="3" t="b">
        <f t="shared" si="413"/>
        <v>1</v>
      </c>
      <c r="CX665" s="9" t="str">
        <f t="shared" si="414"/>
        <v>5201133</v>
      </c>
      <c r="CY665" s="9" t="str">
        <f t="shared" si="415"/>
        <v>5200133</v>
      </c>
      <c r="CZ665" s="9" t="str">
        <f t="shared" si="416"/>
        <v>5301131</v>
      </c>
      <c r="DA665" s="9" t="str">
        <f t="shared" si="417"/>
        <v>5501134</v>
      </c>
      <c r="DB665" s="9" t="str">
        <f t="shared" si="418"/>
        <v>5500133</v>
      </c>
      <c r="DC665" s="9" t="str">
        <f t="shared" si="419"/>
        <v>5501134</v>
      </c>
      <c r="DD665" s="9">
        <v>13</v>
      </c>
      <c r="DE665" s="9">
        <v>13</v>
      </c>
      <c r="DF665" s="9">
        <v>13</v>
      </c>
      <c r="DG665" s="9">
        <v>13</v>
      </c>
      <c r="DH665" s="9">
        <v>13</v>
      </c>
      <c r="DI665" s="9">
        <v>13</v>
      </c>
      <c r="DJ665" s="9">
        <v>5</v>
      </c>
      <c r="DK665" s="9">
        <v>5</v>
      </c>
      <c r="DL665" s="9">
        <v>5</v>
      </c>
      <c r="DM665" s="9">
        <v>5</v>
      </c>
      <c r="DN665" s="9">
        <v>5</v>
      </c>
      <c r="DO665" s="9">
        <v>5</v>
      </c>
      <c r="DP665" s="25" t="s">
        <v>205</v>
      </c>
      <c r="DQ665" s="25" t="s">
        <v>113</v>
      </c>
      <c r="DR665" s="25" t="s">
        <v>107</v>
      </c>
      <c r="DS665" s="25" t="s">
        <v>214</v>
      </c>
      <c r="DT665" s="25" t="s">
        <v>207</v>
      </c>
      <c r="DU665" s="25" t="s">
        <v>214</v>
      </c>
      <c r="DV665" s="25">
        <f t="shared" si="420"/>
        <v>1</v>
      </c>
      <c r="DW665" s="25">
        <f t="shared" si="421"/>
        <v>1</v>
      </c>
      <c r="DX665" s="25">
        <f t="shared" si="422"/>
        <v>1</v>
      </c>
      <c r="DY665" s="25">
        <f t="shared" si="423"/>
        <v>2</v>
      </c>
      <c r="DZ665" s="25">
        <f t="shared" si="424"/>
        <v>2</v>
      </c>
      <c r="EA665" s="25">
        <f t="shared" si="425"/>
        <v>2</v>
      </c>
      <c r="EB665" s="47"/>
    </row>
    <row r="666" spans="1:132" ht="13.5" customHeight="1">
      <c r="A666" s="9">
        <v>663</v>
      </c>
      <c r="B666" s="9">
        <v>1</v>
      </c>
      <c r="C666" s="9">
        <v>2001</v>
      </c>
      <c r="D666" s="9">
        <f t="shared" si="398"/>
        <v>37150580</v>
      </c>
      <c r="E666" s="9" t="str">
        <f t="shared" si="399"/>
        <v>5200133,5200133,5201132,5401133,5402132,5401133</v>
      </c>
      <c r="F666" s="9" t="str">
        <f t="shared" si="400"/>
        <v>13,13,13,13,13,13</v>
      </c>
      <c r="G666" s="9" t="str">
        <f t="shared" si="401"/>
        <v>1414,1528,1528,1528,1528,1528</v>
      </c>
      <c r="H666" s="9">
        <v>305</v>
      </c>
      <c r="I666" s="9" t="s">
        <v>278</v>
      </c>
      <c r="J666" s="9" t="s">
        <v>279</v>
      </c>
      <c r="K666" s="9" t="s">
        <v>279</v>
      </c>
      <c r="L666" s="9" t="s">
        <v>279</v>
      </c>
      <c r="M666" s="36" t="s">
        <v>318</v>
      </c>
      <c r="O666" s="3">
        <f t="shared" si="427"/>
        <v>37150580</v>
      </c>
      <c r="P666" s="9">
        <v>28144378.48</v>
      </c>
      <c r="Q666" s="9">
        <v>5200133</v>
      </c>
      <c r="R666" s="9">
        <v>5200133</v>
      </c>
      <c r="S666" s="9">
        <v>5201132</v>
      </c>
      <c r="T666" s="9">
        <v>5401133</v>
      </c>
      <c r="U666" s="9">
        <v>5402132</v>
      </c>
      <c r="V666" s="9">
        <v>5401133</v>
      </c>
      <c r="W666" s="9">
        <v>13</v>
      </c>
      <c r="X666" s="9">
        <v>13</v>
      </c>
      <c r="Y666" s="9">
        <v>13</v>
      </c>
      <c r="Z666" s="9">
        <v>13</v>
      </c>
      <c r="AA666" s="9">
        <v>13</v>
      </c>
      <c r="AB666" s="9">
        <v>13</v>
      </c>
      <c r="AC666" s="9">
        <f t="shared" si="402"/>
        <v>1414</v>
      </c>
      <c r="AD666" s="9">
        <f t="shared" si="403"/>
        <v>1528</v>
      </c>
      <c r="AE666" s="9">
        <f t="shared" si="404"/>
        <v>1528</v>
      </c>
      <c r="AF666" s="9">
        <f t="shared" si="405"/>
        <v>1528</v>
      </c>
      <c r="AG666" s="9">
        <f t="shared" si="406"/>
        <v>1528</v>
      </c>
      <c r="AH666" s="9">
        <f t="shared" si="407"/>
        <v>1528</v>
      </c>
      <c r="AI666" s="7">
        <f t="shared" si="432"/>
        <v>4690729.7466666671</v>
      </c>
      <c r="AJ666" s="7">
        <f t="shared" si="431"/>
        <v>4690729.7466666671</v>
      </c>
      <c r="AK666" s="7">
        <f t="shared" si="431"/>
        <v>4690729.7466666671</v>
      </c>
      <c r="AL666" s="7">
        <f t="shared" si="431"/>
        <v>4690729.7466666671</v>
      </c>
      <c r="AM666" s="7">
        <f t="shared" si="431"/>
        <v>4690729.7466666671</v>
      </c>
      <c r="AN666" s="7">
        <f t="shared" si="431"/>
        <v>4690729.7466666671</v>
      </c>
      <c r="BR666" s="5">
        <v>5102052</v>
      </c>
      <c r="BS666" s="18">
        <f>[1]monsters!$N666</f>
        <v>256</v>
      </c>
      <c r="BT666" s="18">
        <f>[1]monsters!$O666</f>
        <v>25.6</v>
      </c>
      <c r="BU666" s="18">
        <f>[1]monsters!$P666</f>
        <v>2880</v>
      </c>
      <c r="BV666" s="18">
        <f>[1]monsters!$Q666</f>
        <v>288</v>
      </c>
      <c r="BW666" s="18">
        <f>[1]monsters!$R666</f>
        <v>85.33</v>
      </c>
      <c r="BX666" s="18">
        <f>[1]monsters!$S666</f>
        <v>8.5299999999999994</v>
      </c>
      <c r="BY666" s="18">
        <f>[1]monsters!$K666</f>
        <v>1.6</v>
      </c>
      <c r="BZ666" s="5">
        <f>[1]monsters!$D666</f>
        <v>2</v>
      </c>
      <c r="CA666" s="5">
        <f t="shared" si="428"/>
        <v>0.1</v>
      </c>
      <c r="CB666" s="5">
        <f t="shared" si="429"/>
        <v>338.88969696969696</v>
      </c>
      <c r="CC666" s="5">
        <f t="shared" si="430"/>
        <v>33.888969696969696</v>
      </c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R666" s="3" t="b">
        <f t="shared" si="408"/>
        <v>1</v>
      </c>
      <c r="CS666" s="3" t="b">
        <f t="shared" si="409"/>
        <v>1</v>
      </c>
      <c r="CT666" s="3" t="b">
        <f t="shared" si="410"/>
        <v>1</v>
      </c>
      <c r="CU666" s="3" t="b">
        <f t="shared" si="411"/>
        <v>1</v>
      </c>
      <c r="CV666" s="3" t="b">
        <f t="shared" si="412"/>
        <v>1</v>
      </c>
      <c r="CW666" s="3" t="b">
        <f t="shared" si="413"/>
        <v>1</v>
      </c>
      <c r="CX666" s="9" t="str">
        <f t="shared" si="414"/>
        <v>5200133</v>
      </c>
      <c r="CY666" s="9" t="str">
        <f t="shared" si="415"/>
        <v>5200133</v>
      </c>
      <c r="CZ666" s="9" t="str">
        <f t="shared" si="416"/>
        <v>5201132</v>
      </c>
      <c r="DA666" s="9" t="str">
        <f t="shared" si="417"/>
        <v>5401133</v>
      </c>
      <c r="DB666" s="9" t="str">
        <f t="shared" si="418"/>
        <v>5402132</v>
      </c>
      <c r="DC666" s="9" t="str">
        <f t="shared" si="419"/>
        <v>5401133</v>
      </c>
      <c r="DD666" s="9">
        <v>13</v>
      </c>
      <c r="DE666" s="9">
        <v>13</v>
      </c>
      <c r="DF666" s="9">
        <v>13</v>
      </c>
      <c r="DG666" s="9">
        <v>13</v>
      </c>
      <c r="DH666" s="9">
        <v>13</v>
      </c>
      <c r="DI666" s="9">
        <v>13</v>
      </c>
      <c r="DJ666" s="9">
        <v>5</v>
      </c>
      <c r="DK666" s="9">
        <v>5</v>
      </c>
      <c r="DL666" s="9">
        <v>5</v>
      </c>
      <c r="DM666" s="9">
        <v>5</v>
      </c>
      <c r="DN666" s="9">
        <v>5</v>
      </c>
      <c r="DO666" s="9">
        <v>5</v>
      </c>
      <c r="DP666" s="25" t="s">
        <v>113</v>
      </c>
      <c r="DQ666" s="25" t="s">
        <v>113</v>
      </c>
      <c r="DR666" s="25" t="s">
        <v>114</v>
      </c>
      <c r="DS666" s="25" t="s">
        <v>211</v>
      </c>
      <c r="DT666" s="25" t="s">
        <v>203</v>
      </c>
      <c r="DU666" s="25" t="s">
        <v>211</v>
      </c>
      <c r="DV666" s="25">
        <f t="shared" si="420"/>
        <v>1</v>
      </c>
      <c r="DW666" s="25">
        <f t="shared" si="421"/>
        <v>1</v>
      </c>
      <c r="DX666" s="25">
        <f t="shared" si="422"/>
        <v>1</v>
      </c>
      <c r="DY666" s="25">
        <f t="shared" si="423"/>
        <v>2</v>
      </c>
      <c r="DZ666" s="25">
        <f t="shared" si="424"/>
        <v>2</v>
      </c>
      <c r="EA666" s="25">
        <f t="shared" si="425"/>
        <v>2</v>
      </c>
      <c r="EB666" s="47"/>
    </row>
    <row r="667" spans="1:132" ht="13.5" customHeight="1">
      <c r="A667" s="9">
        <v>664</v>
      </c>
      <c r="B667" s="9">
        <v>1</v>
      </c>
      <c r="C667" s="9">
        <v>2001</v>
      </c>
      <c r="D667" s="9">
        <f t="shared" si="398"/>
        <v>37244619</v>
      </c>
      <c r="E667" s="9" t="str">
        <f t="shared" si="399"/>
        <v>5201131,5201131,5201131,5502131,5502131,5502131</v>
      </c>
      <c r="F667" s="9" t="str">
        <f t="shared" si="400"/>
        <v>13,13,13,13,13,13</v>
      </c>
      <c r="G667" s="9" t="str">
        <f t="shared" si="401"/>
        <v>1416,1530,1530,1530,1530,1530</v>
      </c>
      <c r="H667" s="9">
        <v>305</v>
      </c>
      <c r="I667" s="9" t="s">
        <v>278</v>
      </c>
      <c r="J667" s="9" t="s">
        <v>279</v>
      </c>
      <c r="K667" s="9" t="s">
        <v>279</v>
      </c>
      <c r="L667" s="9" t="s">
        <v>279</v>
      </c>
      <c r="M667" s="36" t="s">
        <v>318</v>
      </c>
      <c r="O667" s="3">
        <f t="shared" si="427"/>
        <v>37244619</v>
      </c>
      <c r="P667" s="9">
        <v>28215620.52</v>
      </c>
      <c r="Q667" s="9">
        <v>5201131</v>
      </c>
      <c r="R667" s="9">
        <v>5201131</v>
      </c>
      <c r="S667" s="9">
        <v>5201131</v>
      </c>
      <c r="T667" s="9">
        <v>5502131</v>
      </c>
      <c r="U667" s="9">
        <v>5502131</v>
      </c>
      <c r="V667" s="9">
        <v>5502131</v>
      </c>
      <c r="W667" s="9">
        <v>13</v>
      </c>
      <c r="X667" s="9">
        <v>13</v>
      </c>
      <c r="Y667" s="9">
        <v>13</v>
      </c>
      <c r="Z667" s="9">
        <v>13</v>
      </c>
      <c r="AA667" s="9">
        <v>13</v>
      </c>
      <c r="AB667" s="9">
        <v>13</v>
      </c>
      <c r="AC667" s="9">
        <f t="shared" si="402"/>
        <v>1416</v>
      </c>
      <c r="AD667" s="9">
        <f t="shared" si="403"/>
        <v>1530</v>
      </c>
      <c r="AE667" s="9">
        <f t="shared" si="404"/>
        <v>1530</v>
      </c>
      <c r="AF667" s="9">
        <f t="shared" si="405"/>
        <v>1530</v>
      </c>
      <c r="AG667" s="9">
        <f t="shared" si="406"/>
        <v>1530</v>
      </c>
      <c r="AH667" s="9">
        <f t="shared" si="407"/>
        <v>1530</v>
      </c>
      <c r="AI667" s="7">
        <f t="shared" si="432"/>
        <v>4702603.42</v>
      </c>
      <c r="AJ667" s="7">
        <f t="shared" si="431"/>
        <v>4702603.42</v>
      </c>
      <c r="AK667" s="7">
        <f t="shared" si="431"/>
        <v>4702603.42</v>
      </c>
      <c r="AL667" s="7">
        <f t="shared" si="431"/>
        <v>4702603.42</v>
      </c>
      <c r="AM667" s="7">
        <f t="shared" si="431"/>
        <v>4702603.42</v>
      </c>
      <c r="AN667" s="7">
        <f t="shared" si="431"/>
        <v>4702603.42</v>
      </c>
      <c r="BR667" s="5">
        <v>5206053</v>
      </c>
      <c r="BS667" s="18">
        <f>[1]monsters!$N667</f>
        <v>273.07</v>
      </c>
      <c r="BT667" s="18">
        <f>[1]monsters!$O667</f>
        <v>27.31</v>
      </c>
      <c r="BU667" s="18">
        <f>[1]monsters!$P667</f>
        <v>3072</v>
      </c>
      <c r="BV667" s="18">
        <f>[1]monsters!$Q667</f>
        <v>307.2</v>
      </c>
      <c r="BW667" s="18">
        <f>[1]monsters!$R667</f>
        <v>91.02</v>
      </c>
      <c r="BX667" s="18">
        <f>[1]monsters!$S667</f>
        <v>9.1</v>
      </c>
      <c r="BY667" s="18">
        <f>[1]monsters!$K667</f>
        <v>1.6</v>
      </c>
      <c r="BZ667" s="5">
        <f>[1]monsters!$D667</f>
        <v>2</v>
      </c>
      <c r="CA667" s="5">
        <f t="shared" si="428"/>
        <v>0.1</v>
      </c>
      <c r="CB667" s="5">
        <f t="shared" si="429"/>
        <v>361.48549343434343</v>
      </c>
      <c r="CC667" s="5">
        <f t="shared" si="430"/>
        <v>36.148549343434347</v>
      </c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R667" s="3" t="b">
        <f t="shared" si="408"/>
        <v>1</v>
      </c>
      <c r="CS667" s="3" t="b">
        <f t="shared" si="409"/>
        <v>1</v>
      </c>
      <c r="CT667" s="3" t="b">
        <f t="shared" si="410"/>
        <v>1</v>
      </c>
      <c r="CU667" s="3" t="b">
        <f t="shared" si="411"/>
        <v>1</v>
      </c>
      <c r="CV667" s="3" t="b">
        <f t="shared" si="412"/>
        <v>1</v>
      </c>
      <c r="CW667" s="3" t="b">
        <f t="shared" si="413"/>
        <v>1</v>
      </c>
      <c r="CX667" s="9" t="str">
        <f t="shared" si="414"/>
        <v>5201131</v>
      </c>
      <c r="CY667" s="9" t="str">
        <f t="shared" si="415"/>
        <v>5201131</v>
      </c>
      <c r="CZ667" s="9" t="str">
        <f t="shared" si="416"/>
        <v>5201131</v>
      </c>
      <c r="DA667" s="9" t="str">
        <f t="shared" si="417"/>
        <v>5502131</v>
      </c>
      <c r="DB667" s="9" t="str">
        <f t="shared" si="418"/>
        <v>5502131</v>
      </c>
      <c r="DC667" s="9" t="str">
        <f t="shared" si="419"/>
        <v>5502131</v>
      </c>
      <c r="DD667" s="9">
        <v>13</v>
      </c>
      <c r="DE667" s="9">
        <v>13</v>
      </c>
      <c r="DF667" s="9">
        <v>13</v>
      </c>
      <c r="DG667" s="9">
        <v>13</v>
      </c>
      <c r="DH667" s="9">
        <v>13</v>
      </c>
      <c r="DI667" s="9">
        <v>13</v>
      </c>
      <c r="DJ667" s="9">
        <v>5</v>
      </c>
      <c r="DK667" s="9">
        <v>5</v>
      </c>
      <c r="DL667" s="9">
        <v>5</v>
      </c>
      <c r="DM667" s="9">
        <v>5</v>
      </c>
      <c r="DN667" s="9">
        <v>5</v>
      </c>
      <c r="DO667" s="9">
        <v>5</v>
      </c>
      <c r="DP667" s="25" t="s">
        <v>195</v>
      </c>
      <c r="DQ667" s="25" t="s">
        <v>195</v>
      </c>
      <c r="DR667" s="25" t="s">
        <v>195</v>
      </c>
      <c r="DS667" s="25" t="s">
        <v>119</v>
      </c>
      <c r="DT667" s="25" t="s">
        <v>119</v>
      </c>
      <c r="DU667" s="25" t="s">
        <v>119</v>
      </c>
      <c r="DV667" s="25">
        <f t="shared" si="420"/>
        <v>1</v>
      </c>
      <c r="DW667" s="25">
        <f t="shared" si="421"/>
        <v>1</v>
      </c>
      <c r="DX667" s="25">
        <f t="shared" si="422"/>
        <v>1</v>
      </c>
      <c r="DY667" s="25">
        <f t="shared" si="423"/>
        <v>2</v>
      </c>
      <c r="DZ667" s="25">
        <f t="shared" si="424"/>
        <v>2</v>
      </c>
      <c r="EA667" s="25">
        <f t="shared" si="425"/>
        <v>2</v>
      </c>
      <c r="EB667" s="29"/>
    </row>
    <row r="668" spans="1:132" ht="13.5" customHeight="1">
      <c r="A668" s="9">
        <v>665</v>
      </c>
      <c r="B668" s="9">
        <v>1</v>
      </c>
      <c r="C668" s="9">
        <v>2001</v>
      </c>
      <c r="D668" s="9">
        <f t="shared" ref="D668:D731" si="433">O668</f>
        <v>37338778</v>
      </c>
      <c r="E668" s="9" t="str">
        <f t="shared" ref="E668:E731" si="434">Q668&amp;","&amp;R668&amp;","&amp;S668&amp;","&amp;T668&amp;","&amp;U668&amp;","&amp;V668</f>
        <v>5202133,5201133,5302134,5501134,5400135,5500132</v>
      </c>
      <c r="F668" s="9" t="str">
        <f t="shared" ref="F668:F731" si="435">W668&amp;","&amp;X668&amp;","&amp;Y668&amp;","&amp;Z668&amp;","&amp;AA668&amp;","&amp;AB668</f>
        <v>13,13,13,13,13,13</v>
      </c>
      <c r="G668" s="9" t="str">
        <f t="shared" ref="G668:G731" si="436">AC668&amp;","&amp;AD668&amp;","&amp;AE668&amp;","&amp;AF668&amp;","&amp;AG668&amp;","&amp;AH668</f>
        <v>1417,1532,1532,1532,1532,1532</v>
      </c>
      <c r="H668" s="9">
        <v>306</v>
      </c>
      <c r="I668" s="9" t="s">
        <v>278</v>
      </c>
      <c r="J668" s="9" t="s">
        <v>279</v>
      </c>
      <c r="K668" s="9" t="s">
        <v>279</v>
      </c>
      <c r="L668" s="9" t="s">
        <v>279</v>
      </c>
      <c r="M668" s="36" t="s">
        <v>318</v>
      </c>
      <c r="O668" s="3">
        <f t="shared" si="427"/>
        <v>37338778</v>
      </c>
      <c r="P668" s="9">
        <v>28286953.289999999</v>
      </c>
      <c r="Q668" s="9">
        <v>5202133</v>
      </c>
      <c r="R668" s="9">
        <v>5201133</v>
      </c>
      <c r="S668" s="9">
        <v>5302134</v>
      </c>
      <c r="T668" s="9">
        <v>5501134</v>
      </c>
      <c r="U668" s="9">
        <v>5400135</v>
      </c>
      <c r="V668" s="9">
        <v>5500132</v>
      </c>
      <c r="W668" s="9">
        <v>13</v>
      </c>
      <c r="X668" s="9">
        <v>13</v>
      </c>
      <c r="Y668" s="9">
        <v>13</v>
      </c>
      <c r="Z668" s="9">
        <v>13</v>
      </c>
      <c r="AA668" s="9">
        <v>13</v>
      </c>
      <c r="AB668" s="9">
        <v>13</v>
      </c>
      <c r="AC668" s="9">
        <f t="shared" ref="AC668:AC731" si="437">IF(AI668&gt;0,FLOOR((POWER((AI668/IF(AND(W668&gt;=2,W668&lt;4),1.1,IF(AND(W668&gt;=4,W668&lt;6),1.2,IF(W668&gt;=6,1.4,1)))/$Z$1),0.5)/INDEX($BD$4:$BQ$4,MATCH(W668,$BD$3:$BQ$3,0))-1)*10,1),"")</f>
        <v>1417</v>
      </c>
      <c r="AD668" s="9">
        <f t="shared" ref="AD668:AD731" si="438">IF(AJ668&gt;0,FLOOR((POWER((AJ668/IF(AND(X668&gt;=2,X668&lt;4),1.1,IF(AND(X668&gt;=4,X668&lt;6),1.15,IF(X668&gt;=6,1.2,1)))/$Z$1),0.5)/INDEX($BD$4:$BQ$4,MATCH(X668,$BD$3:$BQ$3,0))-1)*10,1),"")</f>
        <v>1532</v>
      </c>
      <c r="AE668" s="9">
        <f t="shared" ref="AE668:AE731" si="439">IF(AK668&gt;0,FLOOR((POWER((AK668/IF(AND(Y668&gt;=2,Y668&lt;4),1.1,IF(AND(Y668&gt;=4,Y668&lt;6),1.15,IF(Y668&gt;=6,1.2,1)))/$Z$1),0.5)/INDEX($BD$4:$BQ$4,MATCH(Y668,$BD$3:$BQ$3,0))-1)*10,1),"")</f>
        <v>1532</v>
      </c>
      <c r="AF668" s="9">
        <f t="shared" ref="AF668:AF731" si="440">IF(AL668&gt;0,FLOOR((POWER((AL668/IF(AND(Z668&gt;=2,Z668&lt;4),1.1,IF(AND(Z668&gt;=4,Z668&lt;6),1.15,IF(Z668&gt;=6,1.2,1)))/$Z$1),0.5)/INDEX($BD$4:$BQ$4,MATCH(Z668,$BD$3:$BQ$3,0))-1)*10,1),"")</f>
        <v>1532</v>
      </c>
      <c r="AG668" s="9">
        <f t="shared" ref="AG668:AG731" si="441">IF(AM668&gt;0,FLOOR((POWER((AM668/IF(AND(AA668&gt;=2,AA668&lt;4),1.1,IF(AND(AA668&gt;=4,AA668&lt;6),1.15,IF(AA668&gt;=6,1.2,1)))/$Z$1),0.5)/INDEX($BD$4:$BQ$4,MATCH(AA668,$BD$3:$BQ$3,0))-1)*10,1),"")</f>
        <v>1532</v>
      </c>
      <c r="AH668" s="9">
        <f t="shared" ref="AH668:AH731" si="442">IF(AN668&gt;0,FLOOR((POWER((AN668/IF(AND(AB668&gt;=2,AB668&lt;4),1.1,IF(AND(AB668&gt;=4,AB668&lt;6),1.15,IF(AB668&gt;=6,1.2,1)))/$Z$1),0.5)/INDEX($BD$4:$BQ$4,MATCH(AB668,$BD$3:$BQ$3,0))-1)*10,1),"")</f>
        <v>1532</v>
      </c>
      <c r="AI668" s="7">
        <f t="shared" si="432"/>
        <v>4714492.2149999999</v>
      </c>
      <c r="AJ668" s="7">
        <f t="shared" si="431"/>
        <v>4714492.2149999999</v>
      </c>
      <c r="AK668" s="7">
        <f t="shared" si="431"/>
        <v>4714492.2149999999</v>
      </c>
      <c r="AL668" s="7">
        <f t="shared" si="431"/>
        <v>4714492.2149999999</v>
      </c>
      <c r="AM668" s="7">
        <f t="shared" si="431"/>
        <v>4714492.2149999999</v>
      </c>
      <c r="AN668" s="7">
        <f t="shared" si="431"/>
        <v>4714492.2149999999</v>
      </c>
      <c r="BR668" s="5">
        <v>5406053</v>
      </c>
      <c r="BS668" s="18">
        <f>[1]monsters!$N668</f>
        <v>273.07</v>
      </c>
      <c r="BT668" s="18">
        <f>[1]monsters!$O668</f>
        <v>27.31</v>
      </c>
      <c r="BU668" s="18">
        <f>[1]monsters!$P668</f>
        <v>3072</v>
      </c>
      <c r="BV668" s="18">
        <f>[1]monsters!$Q668</f>
        <v>307.2</v>
      </c>
      <c r="BW668" s="18">
        <f>[1]monsters!$R668</f>
        <v>91.02</v>
      </c>
      <c r="BX668" s="18">
        <f>[1]monsters!$S668</f>
        <v>9.1</v>
      </c>
      <c r="BY668" s="18">
        <f>[1]monsters!$K668</f>
        <v>1.6</v>
      </c>
      <c r="BZ668" s="5">
        <f>[1]monsters!$D668</f>
        <v>2</v>
      </c>
      <c r="CA668" s="5">
        <f t="shared" si="428"/>
        <v>0.1</v>
      </c>
      <c r="CB668" s="5">
        <f t="shared" si="429"/>
        <v>361.48549343434343</v>
      </c>
      <c r="CC668" s="5">
        <f t="shared" si="430"/>
        <v>36.148549343434347</v>
      </c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R668" s="3" t="b">
        <f t="shared" ref="CR668:CR731" si="443">IF(ISERROR(MATCH(INT(CX668),$EC$4:$EC$426,0))=FALSE,TRUE)</f>
        <v>1</v>
      </c>
      <c r="CS668" s="3" t="b">
        <f t="shared" ref="CS668:CS731" si="444">IF(ISERROR(MATCH(INT(CY668),$EC$4:$EC$426,0))=FALSE,TRUE)</f>
        <v>1</v>
      </c>
      <c r="CT668" s="3" t="b">
        <f t="shared" ref="CT668:CT731" si="445">IF(ISERROR(MATCH(INT(CZ668),$EC$4:$EC$426,0))=FALSE,TRUE)</f>
        <v>1</v>
      </c>
      <c r="CU668" s="3" t="b">
        <f t="shared" ref="CU668:CU731" si="446">IF(ISERROR(MATCH(INT(DA668),$EC$4:$EC$426,0))=FALSE,TRUE)</f>
        <v>1</v>
      </c>
      <c r="CV668" s="3" t="b">
        <f t="shared" ref="CV668:CV731" si="447">IF(ISERROR(MATCH(INT(DB668),$EC$4:$EC$426,0))=FALSE,TRUE)</f>
        <v>1</v>
      </c>
      <c r="CW668" s="3" t="b">
        <f t="shared" ref="CW668:CW731" si="448">IF(ISERROR(MATCH(INT(DC668),$EC$4:$EC$426,0))=FALSE,TRUE)</f>
        <v>1</v>
      </c>
      <c r="CX668" s="9" t="str">
        <f t="shared" ref="CX668:CX731" si="449">REPLACE(REPLACE(INDEX($EC$4:$EC$426,MATCH(DP668,$ED$4:$ED$426,0)),IF(DD668&gt;9,5,6),IF(DD668&gt;9,2,1),DD668),1,1,DJ668)</f>
        <v>5202133</v>
      </c>
      <c r="CY668" s="9" t="str">
        <f t="shared" ref="CY668:CY731" si="450">REPLACE(REPLACE(INDEX($EC$4:$EC$426,MATCH(DQ668,$ED$4:$ED$426,0)),IF(DE668&gt;9,5,6),IF(DE668&gt;9,2,1),DE668),1,1,DK668)</f>
        <v>5201133</v>
      </c>
      <c r="CZ668" s="9" t="str">
        <f t="shared" ref="CZ668:CZ731" si="451">REPLACE(REPLACE(INDEX($EC$4:$EC$426,MATCH(DR668,$ED$4:$ED$426,0)),IF(DF668&gt;9,5,6),IF(DF668&gt;9,2,1),DF668),1,1,DL668)</f>
        <v>5302134</v>
      </c>
      <c r="DA668" s="9" t="str">
        <f t="shared" ref="DA668:DA731" si="452">REPLACE(REPLACE(INDEX($EC$4:$EC$426,MATCH(DS668,$ED$4:$ED$426,0)),IF(DG668&gt;9,5,6),IF(DG668&gt;9,2,1),DG668),1,1,DM668)</f>
        <v>5501134</v>
      </c>
      <c r="DB668" s="9" t="str">
        <f t="shared" ref="DB668:DB731" si="453">REPLACE(REPLACE(INDEX($EC$4:$EC$426,MATCH(DT668,$ED$4:$ED$426,0)),IF(DH668&gt;9,5,6),IF(DH668&gt;9,2,1),DH668),1,1,DN668)</f>
        <v>5400135</v>
      </c>
      <c r="DC668" s="9" t="str">
        <f t="shared" ref="DC668:DC731" si="454">REPLACE(REPLACE(INDEX($EC$4:$EC$426,MATCH(DU668,$ED$4:$ED$426,0)),IF(DI668&gt;9,5,6),IF(DI668&gt;9,2,1),DI668),1,1,DO668)</f>
        <v>5500132</v>
      </c>
      <c r="DD668" s="9">
        <v>13</v>
      </c>
      <c r="DE668" s="9">
        <v>13</v>
      </c>
      <c r="DF668" s="9">
        <v>13</v>
      </c>
      <c r="DG668" s="9">
        <v>13</v>
      </c>
      <c r="DH668" s="9">
        <v>13</v>
      </c>
      <c r="DI668" s="9">
        <v>13</v>
      </c>
      <c r="DJ668" s="9">
        <v>5</v>
      </c>
      <c r="DK668" s="9">
        <v>5</v>
      </c>
      <c r="DL668" s="9">
        <v>5</v>
      </c>
      <c r="DM668" s="9">
        <v>5</v>
      </c>
      <c r="DN668" s="9">
        <v>5</v>
      </c>
      <c r="DO668" s="9">
        <v>5</v>
      </c>
      <c r="DP668" s="25" t="s">
        <v>208</v>
      </c>
      <c r="DQ668" s="25" t="s">
        <v>205</v>
      </c>
      <c r="DR668" s="25" t="s">
        <v>218</v>
      </c>
      <c r="DS668" s="25" t="s">
        <v>214</v>
      </c>
      <c r="DT668" s="25" t="s">
        <v>210</v>
      </c>
      <c r="DU668" s="25" t="s">
        <v>109</v>
      </c>
      <c r="DV668" s="25">
        <f t="shared" ref="DV668:DV731" si="455">INDEX($EE$4:$EE$426,MATCH(DP668,$ED$4:$ED$426,0))</f>
        <v>1</v>
      </c>
      <c r="DW668" s="25">
        <f t="shared" ref="DW668:DW731" si="456">INDEX($EE$4:$EE$426,MATCH(DQ668,$ED$4:$ED$426,0))</f>
        <v>1</v>
      </c>
      <c r="DX668" s="25">
        <f t="shared" ref="DX668:DX731" si="457">INDEX($EE$4:$EE$426,MATCH(DR668,$ED$4:$ED$426,0))</f>
        <v>1</v>
      </c>
      <c r="DY668" s="25">
        <f t="shared" ref="DY668:DY731" si="458">INDEX($EE$4:$EE$426,MATCH(DS668,$ED$4:$ED$426,0))</f>
        <v>2</v>
      </c>
      <c r="DZ668" s="25">
        <f t="shared" ref="DZ668:DZ731" si="459">INDEX($EE$4:$EE$426,MATCH(DT668,$ED$4:$ED$426,0))</f>
        <v>2</v>
      </c>
      <c r="EA668" s="25">
        <f t="shared" ref="EA668:EA731" si="460">INDEX($EE$4:$EE$426,MATCH(DU668,$ED$4:$ED$426,0))</f>
        <v>2</v>
      </c>
      <c r="EB668" s="29"/>
    </row>
    <row r="669" spans="1:132" ht="13.5" customHeight="1">
      <c r="A669" s="9">
        <v>666</v>
      </c>
      <c r="B669" s="9">
        <v>1</v>
      </c>
      <c r="C669" s="9">
        <v>2001</v>
      </c>
      <c r="D669" s="9">
        <f t="shared" si="433"/>
        <v>37433057</v>
      </c>
      <c r="E669" s="9" t="str">
        <f t="shared" si="434"/>
        <v>5201133,5202135,5200131,5501134,5402132,5400135</v>
      </c>
      <c r="F669" s="9" t="str">
        <f t="shared" si="435"/>
        <v>13,13,13,13,13,13</v>
      </c>
      <c r="G669" s="9" t="str">
        <f t="shared" si="436"/>
        <v>1419,1534,1534,1534,1534,1534</v>
      </c>
      <c r="H669" s="9">
        <v>306</v>
      </c>
      <c r="I669" s="9" t="s">
        <v>278</v>
      </c>
      <c r="J669" s="9" t="s">
        <v>279</v>
      </c>
      <c r="K669" s="9" t="s">
        <v>279</v>
      </c>
      <c r="L669" s="9" t="s">
        <v>279</v>
      </c>
      <c r="M669" s="36" t="s">
        <v>318</v>
      </c>
      <c r="O669" s="3">
        <f t="shared" si="427"/>
        <v>37433057</v>
      </c>
      <c r="P669" s="9">
        <v>28358376.789999999</v>
      </c>
      <c r="Q669" s="9">
        <v>5201133</v>
      </c>
      <c r="R669" s="9">
        <v>5202135</v>
      </c>
      <c r="S669" s="9">
        <v>5200131</v>
      </c>
      <c r="T669" s="9">
        <v>5501134</v>
      </c>
      <c r="U669" s="9">
        <v>5402132</v>
      </c>
      <c r="V669" s="9">
        <v>5400135</v>
      </c>
      <c r="W669" s="9">
        <v>13</v>
      </c>
      <c r="X669" s="9">
        <v>13</v>
      </c>
      <c r="Y669" s="9">
        <v>13</v>
      </c>
      <c r="Z669" s="9">
        <v>13</v>
      </c>
      <c r="AA669" s="9">
        <v>13</v>
      </c>
      <c r="AB669" s="9">
        <v>13</v>
      </c>
      <c r="AC669" s="9">
        <f t="shared" si="437"/>
        <v>1419</v>
      </c>
      <c r="AD669" s="9">
        <f t="shared" si="438"/>
        <v>1534</v>
      </c>
      <c r="AE669" s="9">
        <f t="shared" si="439"/>
        <v>1534</v>
      </c>
      <c r="AF669" s="9">
        <f t="shared" si="440"/>
        <v>1534</v>
      </c>
      <c r="AG669" s="9">
        <f t="shared" si="441"/>
        <v>1534</v>
      </c>
      <c r="AH669" s="9">
        <f t="shared" si="442"/>
        <v>1534</v>
      </c>
      <c r="AI669" s="7">
        <f t="shared" si="432"/>
        <v>4726396.1316666668</v>
      </c>
      <c r="AJ669" s="7">
        <f t="shared" si="431"/>
        <v>4726396.1316666668</v>
      </c>
      <c r="AK669" s="7">
        <f t="shared" si="431"/>
        <v>4726396.1316666668</v>
      </c>
      <c r="AL669" s="7">
        <f t="shared" si="431"/>
        <v>4726396.1316666668</v>
      </c>
      <c r="AM669" s="7">
        <f t="shared" si="431"/>
        <v>4726396.1316666668</v>
      </c>
      <c r="AN669" s="7">
        <f t="shared" si="431"/>
        <v>4726396.1316666668</v>
      </c>
      <c r="BR669" s="5">
        <v>5205053</v>
      </c>
      <c r="BS669" s="18">
        <f>[1]monsters!$N669</f>
        <v>273.07</v>
      </c>
      <c r="BT669" s="18">
        <f>[1]monsters!$O669</f>
        <v>27.31</v>
      </c>
      <c r="BU669" s="18">
        <f>[1]monsters!$P669</f>
        <v>3072</v>
      </c>
      <c r="BV669" s="18">
        <f>[1]monsters!$Q669</f>
        <v>307.2</v>
      </c>
      <c r="BW669" s="18">
        <f>[1]monsters!$R669</f>
        <v>91.02</v>
      </c>
      <c r="BX669" s="18">
        <f>[1]monsters!$S669</f>
        <v>9.1</v>
      </c>
      <c r="BY669" s="18">
        <f>[1]monsters!$K669</f>
        <v>1.6</v>
      </c>
      <c r="BZ669" s="5">
        <f>[1]monsters!$D669</f>
        <v>2</v>
      </c>
      <c r="CA669" s="5">
        <f t="shared" si="428"/>
        <v>0.1</v>
      </c>
      <c r="CB669" s="5">
        <f t="shared" si="429"/>
        <v>361.48549343434343</v>
      </c>
      <c r="CC669" s="5">
        <f t="shared" si="430"/>
        <v>36.148549343434347</v>
      </c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R669" s="3" t="b">
        <f t="shared" si="443"/>
        <v>1</v>
      </c>
      <c r="CS669" s="3" t="b">
        <f t="shared" si="444"/>
        <v>1</v>
      </c>
      <c r="CT669" s="3" t="b">
        <f t="shared" si="445"/>
        <v>1</v>
      </c>
      <c r="CU669" s="3" t="b">
        <f t="shared" si="446"/>
        <v>1</v>
      </c>
      <c r="CV669" s="3" t="b">
        <f t="shared" si="447"/>
        <v>1</v>
      </c>
      <c r="CW669" s="3" t="b">
        <f t="shared" si="448"/>
        <v>1</v>
      </c>
      <c r="CX669" s="9" t="str">
        <f t="shared" si="449"/>
        <v>5201133</v>
      </c>
      <c r="CY669" s="9" t="str">
        <f t="shared" si="450"/>
        <v>5202135</v>
      </c>
      <c r="CZ669" s="9" t="str">
        <f t="shared" si="451"/>
        <v>5200131</v>
      </c>
      <c r="DA669" s="9" t="str">
        <f t="shared" si="452"/>
        <v>5501134</v>
      </c>
      <c r="DB669" s="9" t="str">
        <f t="shared" si="453"/>
        <v>5402132</v>
      </c>
      <c r="DC669" s="9" t="str">
        <f t="shared" si="454"/>
        <v>5400135</v>
      </c>
      <c r="DD669" s="9">
        <v>13</v>
      </c>
      <c r="DE669" s="9">
        <v>13</v>
      </c>
      <c r="DF669" s="9">
        <v>13</v>
      </c>
      <c r="DG669" s="9">
        <v>13</v>
      </c>
      <c r="DH669" s="9">
        <v>13</v>
      </c>
      <c r="DI669" s="9">
        <v>13</v>
      </c>
      <c r="DJ669" s="9">
        <v>5</v>
      </c>
      <c r="DK669" s="9">
        <v>5</v>
      </c>
      <c r="DL669" s="9">
        <v>5</v>
      </c>
      <c r="DM669" s="9">
        <v>5</v>
      </c>
      <c r="DN669" s="9">
        <v>5</v>
      </c>
      <c r="DO669" s="9">
        <v>5</v>
      </c>
      <c r="DP669" s="25" t="s">
        <v>205</v>
      </c>
      <c r="DQ669" s="25" t="s">
        <v>213</v>
      </c>
      <c r="DR669" s="25" t="s">
        <v>194</v>
      </c>
      <c r="DS669" s="25" t="s">
        <v>214</v>
      </c>
      <c r="DT669" s="25" t="s">
        <v>203</v>
      </c>
      <c r="DU669" s="25" t="s">
        <v>210</v>
      </c>
      <c r="DV669" s="25">
        <f t="shared" si="455"/>
        <v>1</v>
      </c>
      <c r="DW669" s="25">
        <f t="shared" si="456"/>
        <v>1</v>
      </c>
      <c r="DX669" s="25">
        <f t="shared" si="457"/>
        <v>1</v>
      </c>
      <c r="DY669" s="25">
        <f t="shared" si="458"/>
        <v>2</v>
      </c>
      <c r="DZ669" s="25">
        <f t="shared" si="459"/>
        <v>2</v>
      </c>
      <c r="EA669" s="25">
        <f t="shared" si="460"/>
        <v>2</v>
      </c>
      <c r="EB669" s="29"/>
    </row>
    <row r="670" spans="1:132" ht="13.5" customHeight="1">
      <c r="A670" s="9">
        <v>667</v>
      </c>
      <c r="B670" s="9">
        <v>1</v>
      </c>
      <c r="C670" s="9">
        <v>2001</v>
      </c>
      <c r="D670" s="9">
        <f t="shared" si="433"/>
        <v>37527456</v>
      </c>
      <c r="E670" s="9" t="str">
        <f t="shared" si="434"/>
        <v>5300135,5202135,5202133,5401133,5501135,5400135</v>
      </c>
      <c r="F670" s="9" t="str">
        <f t="shared" si="435"/>
        <v>13,13,13,13,13,13</v>
      </c>
      <c r="G670" s="9" t="str">
        <f t="shared" si="436"/>
        <v>1421,1536,1536,1536,1536,1536</v>
      </c>
      <c r="H670" s="9">
        <v>306</v>
      </c>
      <c r="I670" s="9" t="s">
        <v>278</v>
      </c>
      <c r="J670" s="9" t="s">
        <v>279</v>
      </c>
      <c r="K670" s="9" t="s">
        <v>279</v>
      </c>
      <c r="L670" s="9" t="s">
        <v>279</v>
      </c>
      <c r="M670" s="36" t="s">
        <v>318</v>
      </c>
      <c r="O670" s="3">
        <f t="shared" si="427"/>
        <v>37527456</v>
      </c>
      <c r="P670" s="9">
        <v>28429891.02</v>
      </c>
      <c r="Q670" s="9">
        <v>5300135</v>
      </c>
      <c r="R670" s="9">
        <v>5202135</v>
      </c>
      <c r="S670" s="9">
        <v>5202133</v>
      </c>
      <c r="T670" s="9">
        <v>5401133</v>
      </c>
      <c r="U670" s="9">
        <v>5501135</v>
      </c>
      <c r="V670" s="9">
        <v>5400135</v>
      </c>
      <c r="W670" s="9">
        <v>13</v>
      </c>
      <c r="X670" s="9">
        <v>13</v>
      </c>
      <c r="Y670" s="9">
        <v>13</v>
      </c>
      <c r="Z670" s="9">
        <v>13</v>
      </c>
      <c r="AA670" s="9">
        <v>13</v>
      </c>
      <c r="AB670" s="9">
        <v>13</v>
      </c>
      <c r="AC670" s="9">
        <f t="shared" si="437"/>
        <v>1421</v>
      </c>
      <c r="AD670" s="9">
        <f t="shared" si="438"/>
        <v>1536</v>
      </c>
      <c r="AE670" s="9">
        <f t="shared" si="439"/>
        <v>1536</v>
      </c>
      <c r="AF670" s="9">
        <f t="shared" si="440"/>
        <v>1536</v>
      </c>
      <c r="AG670" s="9">
        <f t="shared" si="441"/>
        <v>1536</v>
      </c>
      <c r="AH670" s="9">
        <f t="shared" si="442"/>
        <v>1536</v>
      </c>
      <c r="AI670" s="7">
        <f t="shared" si="432"/>
        <v>4738315.17</v>
      </c>
      <c r="AJ670" s="7">
        <f t="shared" si="431"/>
        <v>4738315.17</v>
      </c>
      <c r="AK670" s="7">
        <f t="shared" si="431"/>
        <v>4738315.17</v>
      </c>
      <c r="AL670" s="7">
        <f t="shared" si="431"/>
        <v>4738315.17</v>
      </c>
      <c r="AM670" s="7">
        <f t="shared" si="431"/>
        <v>4738315.17</v>
      </c>
      <c r="AN670" s="7">
        <f t="shared" si="431"/>
        <v>4738315.17</v>
      </c>
      <c r="BR670" s="5">
        <v>5405053</v>
      </c>
      <c r="BS670" s="18">
        <f>[1]monsters!$N670</f>
        <v>273.07</v>
      </c>
      <c r="BT670" s="18">
        <f>[1]monsters!$O670</f>
        <v>27.31</v>
      </c>
      <c r="BU670" s="18">
        <f>[1]monsters!$P670</f>
        <v>3072</v>
      </c>
      <c r="BV670" s="18">
        <f>[1]monsters!$Q670</f>
        <v>307.2</v>
      </c>
      <c r="BW670" s="18">
        <f>[1]monsters!$R670</f>
        <v>91.02</v>
      </c>
      <c r="BX670" s="18">
        <f>[1]monsters!$S670</f>
        <v>9.1</v>
      </c>
      <c r="BY670" s="18">
        <f>[1]monsters!$K670</f>
        <v>1.6</v>
      </c>
      <c r="BZ670" s="5">
        <f>[1]monsters!$D670</f>
        <v>2</v>
      </c>
      <c r="CA670" s="5">
        <f t="shared" si="428"/>
        <v>0.1</v>
      </c>
      <c r="CB670" s="5">
        <f t="shared" si="429"/>
        <v>361.48549343434343</v>
      </c>
      <c r="CC670" s="5">
        <f t="shared" si="430"/>
        <v>36.148549343434347</v>
      </c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R670" s="3" t="b">
        <f t="shared" si="443"/>
        <v>1</v>
      </c>
      <c r="CS670" s="3" t="b">
        <f t="shared" si="444"/>
        <v>1</v>
      </c>
      <c r="CT670" s="3" t="b">
        <f t="shared" si="445"/>
        <v>1</v>
      </c>
      <c r="CU670" s="3" t="b">
        <f t="shared" si="446"/>
        <v>1</v>
      </c>
      <c r="CV670" s="3" t="b">
        <f t="shared" si="447"/>
        <v>1</v>
      </c>
      <c r="CW670" s="3" t="b">
        <f t="shared" si="448"/>
        <v>1</v>
      </c>
      <c r="CX670" s="9" t="str">
        <f t="shared" si="449"/>
        <v>5300135</v>
      </c>
      <c r="CY670" s="9" t="str">
        <f t="shared" si="450"/>
        <v>5202135</v>
      </c>
      <c r="CZ670" s="9" t="str">
        <f t="shared" si="451"/>
        <v>5202133</v>
      </c>
      <c r="DA670" s="9" t="str">
        <f t="shared" si="452"/>
        <v>5401133</v>
      </c>
      <c r="DB670" s="9" t="str">
        <f t="shared" si="453"/>
        <v>5501135</v>
      </c>
      <c r="DC670" s="9" t="str">
        <f t="shared" si="454"/>
        <v>5400135</v>
      </c>
      <c r="DD670" s="9">
        <v>13</v>
      </c>
      <c r="DE670" s="9">
        <v>13</v>
      </c>
      <c r="DF670" s="9">
        <v>13</v>
      </c>
      <c r="DG670" s="9">
        <v>13</v>
      </c>
      <c r="DH670" s="9">
        <v>13</v>
      </c>
      <c r="DI670" s="9">
        <v>13</v>
      </c>
      <c r="DJ670" s="9">
        <v>5</v>
      </c>
      <c r="DK670" s="9">
        <v>5</v>
      </c>
      <c r="DL670" s="9">
        <v>5</v>
      </c>
      <c r="DM670" s="9">
        <v>5</v>
      </c>
      <c r="DN670" s="9">
        <v>5</v>
      </c>
      <c r="DO670" s="9">
        <v>5</v>
      </c>
      <c r="DP670" s="25" t="s">
        <v>212</v>
      </c>
      <c r="DQ670" s="25" t="s">
        <v>213</v>
      </c>
      <c r="DR670" s="25" t="s">
        <v>208</v>
      </c>
      <c r="DS670" s="25" t="s">
        <v>211</v>
      </c>
      <c r="DT670" s="25" t="s">
        <v>209</v>
      </c>
      <c r="DU670" s="25" t="s">
        <v>210</v>
      </c>
      <c r="DV670" s="25">
        <f t="shared" si="455"/>
        <v>1</v>
      </c>
      <c r="DW670" s="25">
        <f t="shared" si="456"/>
        <v>1</v>
      </c>
      <c r="DX670" s="25">
        <f t="shared" si="457"/>
        <v>1</v>
      </c>
      <c r="DY670" s="25">
        <f t="shared" si="458"/>
        <v>2</v>
      </c>
      <c r="DZ670" s="25">
        <f t="shared" si="459"/>
        <v>2</v>
      </c>
      <c r="EA670" s="25">
        <f t="shared" si="460"/>
        <v>2</v>
      </c>
      <c r="EB670" s="30"/>
    </row>
    <row r="671" spans="1:132" ht="13.5" customHeight="1">
      <c r="A671" s="9">
        <v>668</v>
      </c>
      <c r="B671" s="9">
        <v>1</v>
      </c>
      <c r="C671" s="9">
        <v>2001</v>
      </c>
      <c r="D671" s="9">
        <f t="shared" si="433"/>
        <v>37621975</v>
      </c>
      <c r="E671" s="9" t="str">
        <f t="shared" si="434"/>
        <v>5202132,5202132,5301132,5502132,5500131,5502131</v>
      </c>
      <c r="F671" s="9" t="str">
        <f t="shared" si="435"/>
        <v>13,13,13,13,13,13</v>
      </c>
      <c r="G671" s="9" t="str">
        <f t="shared" si="436"/>
        <v>1423,1538,1538,1538,1538,1538</v>
      </c>
      <c r="H671" s="9">
        <v>307</v>
      </c>
      <c r="I671" s="9" t="s">
        <v>278</v>
      </c>
      <c r="J671" s="9" t="s">
        <v>279</v>
      </c>
      <c r="K671" s="9" t="s">
        <v>279</v>
      </c>
      <c r="L671" s="9" t="s">
        <v>279</v>
      </c>
      <c r="M671" s="36" t="s">
        <v>318</v>
      </c>
      <c r="O671" s="3">
        <f t="shared" si="427"/>
        <v>37621975</v>
      </c>
      <c r="P671" s="9">
        <v>28501495.98</v>
      </c>
      <c r="Q671" s="9">
        <v>5202132</v>
      </c>
      <c r="R671" s="9">
        <v>5202132</v>
      </c>
      <c r="S671" s="9">
        <v>5301132</v>
      </c>
      <c r="T671" s="9">
        <v>5502132</v>
      </c>
      <c r="U671" s="9">
        <v>5500131</v>
      </c>
      <c r="V671" s="9">
        <v>5502131</v>
      </c>
      <c r="W671" s="9">
        <v>13</v>
      </c>
      <c r="X671" s="9">
        <v>13</v>
      </c>
      <c r="Y671" s="9">
        <v>13</v>
      </c>
      <c r="Z671" s="9">
        <v>13</v>
      </c>
      <c r="AA671" s="9">
        <v>13</v>
      </c>
      <c r="AB671" s="9">
        <v>13</v>
      </c>
      <c r="AC671" s="9">
        <f t="shared" si="437"/>
        <v>1423</v>
      </c>
      <c r="AD671" s="9">
        <f t="shared" si="438"/>
        <v>1538</v>
      </c>
      <c r="AE671" s="9">
        <f t="shared" si="439"/>
        <v>1538</v>
      </c>
      <c r="AF671" s="9">
        <f t="shared" si="440"/>
        <v>1538</v>
      </c>
      <c r="AG671" s="9">
        <f t="shared" si="441"/>
        <v>1538</v>
      </c>
      <c r="AH671" s="9">
        <f t="shared" si="442"/>
        <v>1538</v>
      </c>
      <c r="AI671" s="7">
        <f t="shared" si="432"/>
        <v>4750249.33</v>
      </c>
      <c r="AJ671" s="7">
        <f t="shared" si="431"/>
        <v>4750249.33</v>
      </c>
      <c r="AK671" s="7">
        <f t="shared" si="431"/>
        <v>4750249.33</v>
      </c>
      <c r="AL671" s="7">
        <f t="shared" si="431"/>
        <v>4750249.33</v>
      </c>
      <c r="AM671" s="7">
        <f t="shared" si="431"/>
        <v>4750249.33</v>
      </c>
      <c r="AN671" s="7">
        <f t="shared" si="431"/>
        <v>4750249.33</v>
      </c>
      <c r="BR671" s="5">
        <v>5203053</v>
      </c>
      <c r="BS671" s="18">
        <f>[1]monsters!$N671</f>
        <v>273.07</v>
      </c>
      <c r="BT671" s="18">
        <f>[1]monsters!$O671</f>
        <v>27.31</v>
      </c>
      <c r="BU671" s="18">
        <f>[1]monsters!$P671</f>
        <v>3072</v>
      </c>
      <c r="BV671" s="18">
        <f>[1]monsters!$Q671</f>
        <v>307.2</v>
      </c>
      <c r="BW671" s="18">
        <f>[1]monsters!$R671</f>
        <v>91.02</v>
      </c>
      <c r="BX671" s="18">
        <f>[1]monsters!$S671</f>
        <v>9.1</v>
      </c>
      <c r="BY671" s="18">
        <f>[1]monsters!$K671</f>
        <v>1.6</v>
      </c>
      <c r="BZ671" s="5">
        <f>[1]monsters!$D671</f>
        <v>2</v>
      </c>
      <c r="CA671" s="5">
        <f t="shared" si="428"/>
        <v>0.1</v>
      </c>
      <c r="CB671" s="5">
        <f t="shared" si="429"/>
        <v>361.48549343434343</v>
      </c>
      <c r="CC671" s="5">
        <f t="shared" si="430"/>
        <v>36.148549343434347</v>
      </c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R671" s="3" t="b">
        <f t="shared" si="443"/>
        <v>1</v>
      </c>
      <c r="CS671" s="3" t="b">
        <f t="shared" si="444"/>
        <v>1</v>
      </c>
      <c r="CT671" s="3" t="b">
        <f t="shared" si="445"/>
        <v>1</v>
      </c>
      <c r="CU671" s="3" t="b">
        <f t="shared" si="446"/>
        <v>1</v>
      </c>
      <c r="CV671" s="3" t="b">
        <f t="shared" si="447"/>
        <v>1</v>
      </c>
      <c r="CW671" s="3" t="b">
        <f t="shared" si="448"/>
        <v>1</v>
      </c>
      <c r="CX671" s="9" t="str">
        <f t="shared" si="449"/>
        <v>5202132</v>
      </c>
      <c r="CY671" s="9" t="str">
        <f t="shared" si="450"/>
        <v>5202132</v>
      </c>
      <c r="CZ671" s="9" t="str">
        <f t="shared" si="451"/>
        <v>5301132</v>
      </c>
      <c r="DA671" s="9" t="str">
        <f t="shared" si="452"/>
        <v>5502132</v>
      </c>
      <c r="DB671" s="9" t="str">
        <f t="shared" si="453"/>
        <v>5500131</v>
      </c>
      <c r="DC671" s="9" t="str">
        <f t="shared" si="454"/>
        <v>5502131</v>
      </c>
      <c r="DD671" s="9">
        <v>13</v>
      </c>
      <c r="DE671" s="9">
        <v>13</v>
      </c>
      <c r="DF671" s="9">
        <v>13</v>
      </c>
      <c r="DG671" s="9">
        <v>13</v>
      </c>
      <c r="DH671" s="9">
        <v>13</v>
      </c>
      <c r="DI671" s="9">
        <v>13</v>
      </c>
      <c r="DJ671" s="9">
        <v>5</v>
      </c>
      <c r="DK671" s="9">
        <v>5</v>
      </c>
      <c r="DL671" s="9">
        <v>5</v>
      </c>
      <c r="DM671" s="9">
        <v>5</v>
      </c>
      <c r="DN671" s="9">
        <v>5</v>
      </c>
      <c r="DO671" s="9">
        <v>5</v>
      </c>
      <c r="DP671" s="25" t="s">
        <v>200</v>
      </c>
      <c r="DQ671" s="25" t="s">
        <v>200</v>
      </c>
      <c r="DR671" s="25" t="s">
        <v>201</v>
      </c>
      <c r="DS671" s="25" t="s">
        <v>204</v>
      </c>
      <c r="DT671" s="25" t="s">
        <v>197</v>
      </c>
      <c r="DU671" s="25" t="s">
        <v>119</v>
      </c>
      <c r="DV671" s="25">
        <f t="shared" si="455"/>
        <v>1</v>
      </c>
      <c r="DW671" s="25">
        <f t="shared" si="456"/>
        <v>1</v>
      </c>
      <c r="DX671" s="25">
        <f t="shared" si="457"/>
        <v>1</v>
      </c>
      <c r="DY671" s="25">
        <f t="shared" si="458"/>
        <v>2</v>
      </c>
      <c r="DZ671" s="25">
        <f t="shared" si="459"/>
        <v>2</v>
      </c>
      <c r="EA671" s="25">
        <f t="shared" si="460"/>
        <v>2</v>
      </c>
      <c r="EB671" s="29"/>
    </row>
    <row r="672" spans="1:132" ht="13.5" customHeight="1">
      <c r="A672" s="9">
        <v>669</v>
      </c>
      <c r="B672" s="9">
        <v>1</v>
      </c>
      <c r="C672" s="9">
        <v>2001</v>
      </c>
      <c r="D672" s="9">
        <f t="shared" si="433"/>
        <v>37716613</v>
      </c>
      <c r="E672" s="9" t="str">
        <f t="shared" si="434"/>
        <v>5202133,5201133,5302134,5400135,5601131,5400135</v>
      </c>
      <c r="F672" s="9" t="str">
        <f t="shared" si="435"/>
        <v>13,13,13,13,13,13</v>
      </c>
      <c r="G672" s="9" t="str">
        <f t="shared" si="436"/>
        <v>1425,1540,1540,1540,1540,1540</v>
      </c>
      <c r="H672" s="9">
        <v>307</v>
      </c>
      <c r="I672" s="9" t="s">
        <v>278</v>
      </c>
      <c r="J672" s="9" t="s">
        <v>279</v>
      </c>
      <c r="K672" s="9" t="s">
        <v>279</v>
      </c>
      <c r="L672" s="9" t="s">
        <v>279</v>
      </c>
      <c r="M672" s="36" t="s">
        <v>318</v>
      </c>
      <c r="O672" s="3">
        <f t="shared" si="427"/>
        <v>37716613</v>
      </c>
      <c r="P672" s="9">
        <v>28573191.670000002</v>
      </c>
      <c r="Q672" s="9">
        <v>5202133</v>
      </c>
      <c r="R672" s="9">
        <v>5201133</v>
      </c>
      <c r="S672" s="9">
        <v>5302134</v>
      </c>
      <c r="T672" s="9">
        <v>5400135</v>
      </c>
      <c r="U672" s="9">
        <v>5601131</v>
      </c>
      <c r="V672" s="9">
        <v>5400135</v>
      </c>
      <c r="W672" s="9">
        <v>13</v>
      </c>
      <c r="X672" s="9">
        <v>13</v>
      </c>
      <c r="Y672" s="9">
        <v>13</v>
      </c>
      <c r="Z672" s="9">
        <v>13</v>
      </c>
      <c r="AA672" s="9">
        <v>13</v>
      </c>
      <c r="AB672" s="9">
        <v>13</v>
      </c>
      <c r="AC672" s="9">
        <f t="shared" si="437"/>
        <v>1425</v>
      </c>
      <c r="AD672" s="9">
        <f t="shared" si="438"/>
        <v>1540</v>
      </c>
      <c r="AE672" s="9">
        <f t="shared" si="439"/>
        <v>1540</v>
      </c>
      <c r="AF672" s="9">
        <f t="shared" si="440"/>
        <v>1540</v>
      </c>
      <c r="AG672" s="9">
        <f t="shared" si="441"/>
        <v>1540</v>
      </c>
      <c r="AH672" s="9">
        <f t="shared" si="442"/>
        <v>1540</v>
      </c>
      <c r="AI672" s="7">
        <f t="shared" si="432"/>
        <v>4762198.6116666673</v>
      </c>
      <c r="AJ672" s="7">
        <f t="shared" si="431"/>
        <v>4762198.6116666673</v>
      </c>
      <c r="AK672" s="7">
        <f t="shared" si="431"/>
        <v>4762198.6116666673</v>
      </c>
      <c r="AL672" s="7">
        <f t="shared" si="431"/>
        <v>4762198.6116666673</v>
      </c>
      <c r="AM672" s="7">
        <f t="shared" si="431"/>
        <v>4762198.6116666673</v>
      </c>
      <c r="AN672" s="7">
        <f t="shared" si="431"/>
        <v>4762198.6116666673</v>
      </c>
      <c r="BR672" s="5">
        <v>5403053</v>
      </c>
      <c r="BS672" s="18">
        <f>[1]monsters!$N672</f>
        <v>80</v>
      </c>
      <c r="BT672" s="18">
        <f>[1]monsters!$O672</f>
        <v>8</v>
      </c>
      <c r="BU672" s="18">
        <f>[1]monsters!$P672</f>
        <v>960</v>
      </c>
      <c r="BV672" s="18">
        <f>[1]monsters!$Q672</f>
        <v>96</v>
      </c>
      <c r="BW672" s="18">
        <f>[1]monsters!$R672</f>
        <v>26.67</v>
      </c>
      <c r="BX672" s="18">
        <f>[1]monsters!$S672</f>
        <v>2.67</v>
      </c>
      <c r="BY672" s="18">
        <f>[1]monsters!$K672</f>
        <v>1.5</v>
      </c>
      <c r="BZ672" s="5">
        <f>[1]monsters!$D672</f>
        <v>2</v>
      </c>
      <c r="CA672" s="5">
        <f t="shared" si="428"/>
        <v>0.1</v>
      </c>
      <c r="CB672" s="5">
        <f t="shared" si="429"/>
        <v>107.92323232323233</v>
      </c>
      <c r="CC672" s="5">
        <f t="shared" si="430"/>
        <v>10.792323232323234</v>
      </c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R672" s="3" t="b">
        <f t="shared" si="443"/>
        <v>1</v>
      </c>
      <c r="CS672" s="3" t="b">
        <f t="shared" si="444"/>
        <v>1</v>
      </c>
      <c r="CT672" s="3" t="b">
        <f t="shared" si="445"/>
        <v>1</v>
      </c>
      <c r="CU672" s="3" t="b">
        <f t="shared" si="446"/>
        <v>1</v>
      </c>
      <c r="CV672" s="3" t="b">
        <f t="shared" si="447"/>
        <v>1</v>
      </c>
      <c r="CW672" s="3" t="b">
        <f t="shared" si="448"/>
        <v>1</v>
      </c>
      <c r="CX672" s="9" t="str">
        <f t="shared" si="449"/>
        <v>5202133</v>
      </c>
      <c r="CY672" s="9" t="str">
        <f t="shared" si="450"/>
        <v>5201133</v>
      </c>
      <c r="CZ672" s="9" t="str">
        <f t="shared" si="451"/>
        <v>5302134</v>
      </c>
      <c r="DA672" s="9" t="str">
        <f t="shared" si="452"/>
        <v>5400135</v>
      </c>
      <c r="DB672" s="9" t="str">
        <f t="shared" si="453"/>
        <v>5601131</v>
      </c>
      <c r="DC672" s="9" t="str">
        <f t="shared" si="454"/>
        <v>5400135</v>
      </c>
      <c r="DD672" s="9">
        <v>13</v>
      </c>
      <c r="DE672" s="9">
        <v>13</v>
      </c>
      <c r="DF672" s="9">
        <v>13</v>
      </c>
      <c r="DG672" s="9">
        <v>13</v>
      </c>
      <c r="DH672" s="9">
        <v>13</v>
      </c>
      <c r="DI672" s="9">
        <v>13</v>
      </c>
      <c r="DJ672" s="9">
        <v>5</v>
      </c>
      <c r="DK672" s="9">
        <v>5</v>
      </c>
      <c r="DL672" s="9">
        <v>5</v>
      </c>
      <c r="DM672" s="9">
        <v>5</v>
      </c>
      <c r="DN672" s="9">
        <v>5</v>
      </c>
      <c r="DO672" s="9">
        <v>5</v>
      </c>
      <c r="DP672" s="25" t="s">
        <v>208</v>
      </c>
      <c r="DQ672" s="25" t="s">
        <v>205</v>
      </c>
      <c r="DR672" s="25" t="s">
        <v>218</v>
      </c>
      <c r="DS672" s="25" t="s">
        <v>210</v>
      </c>
      <c r="DT672" s="25" t="s">
        <v>198</v>
      </c>
      <c r="DU672" s="25" t="s">
        <v>210</v>
      </c>
      <c r="DV672" s="25">
        <f t="shared" si="455"/>
        <v>1</v>
      </c>
      <c r="DW672" s="25">
        <f t="shared" si="456"/>
        <v>1</v>
      </c>
      <c r="DX672" s="25">
        <f t="shared" si="457"/>
        <v>1</v>
      </c>
      <c r="DY672" s="25">
        <f t="shared" si="458"/>
        <v>2</v>
      </c>
      <c r="DZ672" s="25">
        <f t="shared" si="459"/>
        <v>2</v>
      </c>
      <c r="EA672" s="25">
        <f t="shared" si="460"/>
        <v>2</v>
      </c>
      <c r="EB672" s="29"/>
    </row>
    <row r="673" spans="1:132" ht="13.5" customHeight="1">
      <c r="A673" s="9">
        <v>670</v>
      </c>
      <c r="B673" s="9">
        <v>1</v>
      </c>
      <c r="C673" s="9">
        <v>2001</v>
      </c>
      <c r="D673" s="9">
        <f t="shared" si="433"/>
        <v>37811374</v>
      </c>
      <c r="E673" s="9" t="str">
        <f t="shared" si="434"/>
        <v>5200133,5202135,5301133,5401133,5501135,5400135</v>
      </c>
      <c r="F673" s="9" t="str">
        <f t="shared" si="435"/>
        <v>13,13,13,13,13,13</v>
      </c>
      <c r="G673" s="9" t="str">
        <f t="shared" si="436"/>
        <v>1426,1542,1542,1542,1542,1542</v>
      </c>
      <c r="H673" s="9">
        <v>308</v>
      </c>
      <c r="I673" s="9" t="s">
        <v>278</v>
      </c>
      <c r="J673" s="9" t="s">
        <v>279</v>
      </c>
      <c r="K673" s="9" t="s">
        <v>279</v>
      </c>
      <c r="L673" s="9" t="s">
        <v>279</v>
      </c>
      <c r="M673" s="36" t="s">
        <v>318</v>
      </c>
      <c r="O673" s="3">
        <f t="shared" si="427"/>
        <v>37811374</v>
      </c>
      <c r="P673" s="9">
        <v>28644980.199999999</v>
      </c>
      <c r="Q673" s="9">
        <v>5200133</v>
      </c>
      <c r="R673" s="9">
        <v>5202135</v>
      </c>
      <c r="S673" s="9">
        <v>5301133</v>
      </c>
      <c r="T673" s="9">
        <v>5401133</v>
      </c>
      <c r="U673" s="9">
        <v>5501135</v>
      </c>
      <c r="V673" s="9">
        <v>5400135</v>
      </c>
      <c r="W673" s="9">
        <v>13</v>
      </c>
      <c r="X673" s="9">
        <v>13</v>
      </c>
      <c r="Y673" s="9">
        <v>13</v>
      </c>
      <c r="Z673" s="9">
        <v>13</v>
      </c>
      <c r="AA673" s="9">
        <v>13</v>
      </c>
      <c r="AB673" s="9">
        <v>13</v>
      </c>
      <c r="AC673" s="9">
        <f t="shared" si="437"/>
        <v>1426</v>
      </c>
      <c r="AD673" s="9">
        <f t="shared" si="438"/>
        <v>1542</v>
      </c>
      <c r="AE673" s="9">
        <f t="shared" si="439"/>
        <v>1542</v>
      </c>
      <c r="AF673" s="9">
        <f t="shared" si="440"/>
        <v>1542</v>
      </c>
      <c r="AG673" s="9">
        <f t="shared" si="441"/>
        <v>1542</v>
      </c>
      <c r="AH673" s="9">
        <f t="shared" si="442"/>
        <v>1542</v>
      </c>
      <c r="AI673" s="7">
        <f t="shared" si="432"/>
        <v>4774163.3666666662</v>
      </c>
      <c r="AJ673" s="7">
        <f t="shared" si="431"/>
        <v>4774163.3666666662</v>
      </c>
      <c r="AK673" s="7">
        <f t="shared" si="431"/>
        <v>4774163.3666666662</v>
      </c>
      <c r="AL673" s="7">
        <f t="shared" si="431"/>
        <v>4774163.3666666662</v>
      </c>
      <c r="AM673" s="7">
        <f t="shared" si="431"/>
        <v>4774163.3666666662</v>
      </c>
      <c r="AN673" s="7">
        <f t="shared" si="431"/>
        <v>4774163.3666666662</v>
      </c>
      <c r="BR673" s="5">
        <v>5204053</v>
      </c>
      <c r="BS673" s="18">
        <f>[1]monsters!$N673</f>
        <v>80</v>
      </c>
      <c r="BT673" s="18">
        <f>[1]monsters!$O673</f>
        <v>8</v>
      </c>
      <c r="BU673" s="18">
        <f>[1]monsters!$P673</f>
        <v>960</v>
      </c>
      <c r="BV673" s="18">
        <f>[1]monsters!$Q673</f>
        <v>96</v>
      </c>
      <c r="BW673" s="18">
        <f>[1]monsters!$R673</f>
        <v>26.67</v>
      </c>
      <c r="BX673" s="18">
        <f>[1]monsters!$S673</f>
        <v>2.67</v>
      </c>
      <c r="BY673" s="18">
        <f>[1]monsters!$K673</f>
        <v>1.5</v>
      </c>
      <c r="BZ673" s="5">
        <f>[1]monsters!$D673</f>
        <v>2</v>
      </c>
      <c r="CA673" s="5">
        <f t="shared" si="428"/>
        <v>0.1</v>
      </c>
      <c r="CB673" s="5">
        <f t="shared" si="429"/>
        <v>107.92323232323233</v>
      </c>
      <c r="CC673" s="5">
        <f t="shared" si="430"/>
        <v>10.792323232323234</v>
      </c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R673" s="3" t="b">
        <f t="shared" si="443"/>
        <v>1</v>
      </c>
      <c r="CS673" s="3" t="b">
        <f t="shared" si="444"/>
        <v>1</v>
      </c>
      <c r="CT673" s="3" t="b">
        <f t="shared" si="445"/>
        <v>1</v>
      </c>
      <c r="CU673" s="3" t="b">
        <f t="shared" si="446"/>
        <v>1</v>
      </c>
      <c r="CV673" s="3" t="b">
        <f t="shared" si="447"/>
        <v>1</v>
      </c>
      <c r="CW673" s="3" t="b">
        <f t="shared" si="448"/>
        <v>1</v>
      </c>
      <c r="CX673" s="9" t="str">
        <f t="shared" si="449"/>
        <v>5200133</v>
      </c>
      <c r="CY673" s="9" t="str">
        <f t="shared" si="450"/>
        <v>5202135</v>
      </c>
      <c r="CZ673" s="9" t="str">
        <f t="shared" si="451"/>
        <v>5301133</v>
      </c>
      <c r="DA673" s="9" t="str">
        <f t="shared" si="452"/>
        <v>5401133</v>
      </c>
      <c r="DB673" s="9" t="str">
        <f t="shared" si="453"/>
        <v>5501135</v>
      </c>
      <c r="DC673" s="9" t="str">
        <f t="shared" si="454"/>
        <v>5400135</v>
      </c>
      <c r="DD673" s="9">
        <v>13</v>
      </c>
      <c r="DE673" s="9">
        <v>13</v>
      </c>
      <c r="DF673" s="9">
        <v>13</v>
      </c>
      <c r="DG673" s="9">
        <v>13</v>
      </c>
      <c r="DH673" s="9">
        <v>13</v>
      </c>
      <c r="DI673" s="9">
        <v>13</v>
      </c>
      <c r="DJ673" s="9">
        <v>5</v>
      </c>
      <c r="DK673" s="9">
        <v>5</v>
      </c>
      <c r="DL673" s="9">
        <v>5</v>
      </c>
      <c r="DM673" s="9">
        <v>5</v>
      </c>
      <c r="DN673" s="9">
        <v>5</v>
      </c>
      <c r="DO673" s="9">
        <v>5</v>
      </c>
      <c r="DP673" s="25" t="s">
        <v>113</v>
      </c>
      <c r="DQ673" s="25" t="s">
        <v>213</v>
      </c>
      <c r="DR673" s="25" t="s">
        <v>206</v>
      </c>
      <c r="DS673" s="25" t="s">
        <v>211</v>
      </c>
      <c r="DT673" s="25" t="s">
        <v>209</v>
      </c>
      <c r="DU673" s="25" t="s">
        <v>210</v>
      </c>
      <c r="DV673" s="25">
        <f t="shared" si="455"/>
        <v>1</v>
      </c>
      <c r="DW673" s="25">
        <f t="shared" si="456"/>
        <v>1</v>
      </c>
      <c r="DX673" s="25">
        <f t="shared" si="457"/>
        <v>1</v>
      </c>
      <c r="DY673" s="25">
        <f t="shared" si="458"/>
        <v>2</v>
      </c>
      <c r="DZ673" s="25">
        <f t="shared" si="459"/>
        <v>2</v>
      </c>
      <c r="EA673" s="25">
        <f t="shared" si="460"/>
        <v>2</v>
      </c>
      <c r="EB673" s="29"/>
    </row>
    <row r="674" spans="1:132" ht="13.5" customHeight="1">
      <c r="A674" s="9">
        <v>671</v>
      </c>
      <c r="B674" s="9">
        <v>1</v>
      </c>
      <c r="C674" s="9">
        <v>2001</v>
      </c>
      <c r="D674" s="9">
        <f t="shared" si="433"/>
        <v>37906252</v>
      </c>
      <c r="E674" s="9" t="str">
        <f t="shared" si="434"/>
        <v>5301131,5301132,5301133,5500131,5500132,5500133</v>
      </c>
      <c r="F674" s="9" t="str">
        <f t="shared" si="435"/>
        <v>13,13,13,13,13,13</v>
      </c>
      <c r="G674" s="9" t="str">
        <f t="shared" si="436"/>
        <v>1428,1544,1544,1544,1544,1544</v>
      </c>
      <c r="H674" s="9">
        <v>308</v>
      </c>
      <c r="I674" s="9" t="s">
        <v>278</v>
      </c>
      <c r="J674" s="9" t="s">
        <v>279</v>
      </c>
      <c r="K674" s="9" t="s">
        <v>279</v>
      </c>
      <c r="L674" s="9" t="s">
        <v>279</v>
      </c>
      <c r="M674" s="36" t="s">
        <v>318</v>
      </c>
      <c r="O674" s="3">
        <f t="shared" si="427"/>
        <v>37906252</v>
      </c>
      <c r="P674" s="9">
        <v>28716857.350000001</v>
      </c>
      <c r="Q674" s="9">
        <v>5301131</v>
      </c>
      <c r="R674" s="9">
        <v>5301132</v>
      </c>
      <c r="S674" s="9">
        <v>5301133</v>
      </c>
      <c r="T674" s="9">
        <v>5500131</v>
      </c>
      <c r="U674" s="9">
        <v>5500132</v>
      </c>
      <c r="V674" s="9">
        <v>5500133</v>
      </c>
      <c r="W674" s="9">
        <v>13</v>
      </c>
      <c r="X674" s="9">
        <v>13</v>
      </c>
      <c r="Y674" s="9">
        <v>13</v>
      </c>
      <c r="Z674" s="9">
        <v>13</v>
      </c>
      <c r="AA674" s="9">
        <v>13</v>
      </c>
      <c r="AB674" s="9">
        <v>13</v>
      </c>
      <c r="AC674" s="9">
        <f t="shared" si="437"/>
        <v>1428</v>
      </c>
      <c r="AD674" s="9">
        <f t="shared" si="438"/>
        <v>1544</v>
      </c>
      <c r="AE674" s="9">
        <f t="shared" si="439"/>
        <v>1544</v>
      </c>
      <c r="AF674" s="9">
        <f t="shared" si="440"/>
        <v>1544</v>
      </c>
      <c r="AG674" s="9">
        <f t="shared" si="441"/>
        <v>1544</v>
      </c>
      <c r="AH674" s="9">
        <f t="shared" si="442"/>
        <v>1544</v>
      </c>
      <c r="AI674" s="7">
        <f t="shared" si="432"/>
        <v>4786142.8916666666</v>
      </c>
      <c r="AJ674" s="7">
        <f t="shared" si="431"/>
        <v>4786142.8916666666</v>
      </c>
      <c r="AK674" s="7">
        <f t="shared" si="431"/>
        <v>4786142.8916666666</v>
      </c>
      <c r="AL674" s="7">
        <f t="shared" si="431"/>
        <v>4786142.8916666666</v>
      </c>
      <c r="AM674" s="7">
        <f t="shared" si="431"/>
        <v>4786142.8916666666</v>
      </c>
      <c r="AN674" s="7">
        <f t="shared" si="431"/>
        <v>4786142.8916666666</v>
      </c>
      <c r="BR674" s="5">
        <v>5404053</v>
      </c>
      <c r="BS674" s="18">
        <f>[1]monsters!$N674</f>
        <v>80</v>
      </c>
      <c r="BT674" s="18">
        <f>[1]monsters!$O674</f>
        <v>8</v>
      </c>
      <c r="BU674" s="18">
        <f>[1]monsters!$P674</f>
        <v>960</v>
      </c>
      <c r="BV674" s="18">
        <f>[1]monsters!$Q674</f>
        <v>96</v>
      </c>
      <c r="BW674" s="18">
        <f>[1]monsters!$R674</f>
        <v>26.67</v>
      </c>
      <c r="BX674" s="18">
        <f>[1]monsters!$S674</f>
        <v>2.67</v>
      </c>
      <c r="BY674" s="18">
        <f>[1]monsters!$K674</f>
        <v>1.5</v>
      </c>
      <c r="BZ674" s="5">
        <f>[1]monsters!$D674</f>
        <v>2</v>
      </c>
      <c r="CA674" s="5">
        <f t="shared" si="428"/>
        <v>0.1</v>
      </c>
      <c r="CB674" s="5">
        <f t="shared" si="429"/>
        <v>107.92323232323233</v>
      </c>
      <c r="CC674" s="5">
        <f t="shared" si="430"/>
        <v>10.792323232323234</v>
      </c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R674" s="3" t="b">
        <f t="shared" si="443"/>
        <v>1</v>
      </c>
      <c r="CS674" s="3" t="b">
        <f t="shared" si="444"/>
        <v>1</v>
      </c>
      <c r="CT674" s="3" t="b">
        <f t="shared" si="445"/>
        <v>1</v>
      </c>
      <c r="CU674" s="3" t="b">
        <f t="shared" si="446"/>
        <v>1</v>
      </c>
      <c r="CV674" s="3" t="b">
        <f t="shared" si="447"/>
        <v>1</v>
      </c>
      <c r="CW674" s="3" t="b">
        <f t="shared" si="448"/>
        <v>1</v>
      </c>
      <c r="CX674" s="9" t="str">
        <f t="shared" si="449"/>
        <v>5301131</v>
      </c>
      <c r="CY674" s="9" t="str">
        <f t="shared" si="450"/>
        <v>5301132</v>
      </c>
      <c r="CZ674" s="9" t="str">
        <f t="shared" si="451"/>
        <v>5301133</v>
      </c>
      <c r="DA674" s="9" t="str">
        <f t="shared" si="452"/>
        <v>5500131</v>
      </c>
      <c r="DB674" s="9" t="str">
        <f t="shared" si="453"/>
        <v>5500132</v>
      </c>
      <c r="DC674" s="9" t="str">
        <f t="shared" si="454"/>
        <v>5500133</v>
      </c>
      <c r="DD674" s="9">
        <v>13</v>
      </c>
      <c r="DE674" s="9">
        <v>13</v>
      </c>
      <c r="DF674" s="9">
        <v>13</v>
      </c>
      <c r="DG674" s="9">
        <v>13</v>
      </c>
      <c r="DH674" s="9">
        <v>13</v>
      </c>
      <c r="DI674" s="9">
        <v>13</v>
      </c>
      <c r="DJ674" s="9">
        <v>5</v>
      </c>
      <c r="DK674" s="9">
        <v>5</v>
      </c>
      <c r="DL674" s="9">
        <v>5</v>
      </c>
      <c r="DM674" s="9">
        <v>5</v>
      </c>
      <c r="DN674" s="9">
        <v>5</v>
      </c>
      <c r="DO674" s="9">
        <v>5</v>
      </c>
      <c r="DP674" s="3" t="s">
        <v>107</v>
      </c>
      <c r="DQ674" s="3" t="s">
        <v>201</v>
      </c>
      <c r="DR674" s="3" t="s">
        <v>206</v>
      </c>
      <c r="DS674" s="3" t="s">
        <v>197</v>
      </c>
      <c r="DT674" s="3" t="s">
        <v>109</v>
      </c>
      <c r="DU674" s="3" t="s">
        <v>207</v>
      </c>
      <c r="DV674" s="25">
        <f t="shared" si="455"/>
        <v>1</v>
      </c>
      <c r="DW674" s="25">
        <f t="shared" si="456"/>
        <v>1</v>
      </c>
      <c r="DX674" s="25">
        <f t="shared" si="457"/>
        <v>1</v>
      </c>
      <c r="DY674" s="25">
        <f t="shared" si="458"/>
        <v>2</v>
      </c>
      <c r="DZ674" s="25">
        <f t="shared" si="459"/>
        <v>2</v>
      </c>
      <c r="EA674" s="25">
        <f t="shared" si="460"/>
        <v>2</v>
      </c>
      <c r="EB674" s="30"/>
    </row>
    <row r="675" spans="1:132" ht="13.5" customHeight="1">
      <c r="A675" s="9">
        <v>672</v>
      </c>
      <c r="B675" s="9">
        <v>1</v>
      </c>
      <c r="C675" s="9">
        <v>2001</v>
      </c>
      <c r="D675" s="9">
        <f t="shared" si="433"/>
        <v>38001249</v>
      </c>
      <c r="E675" s="9" t="str">
        <f t="shared" si="434"/>
        <v>5200132,5200133,5200132,5501135,5501135,5402131</v>
      </c>
      <c r="F675" s="9" t="str">
        <f t="shared" si="435"/>
        <v>13,13,13,13,13,13</v>
      </c>
      <c r="G675" s="9" t="str">
        <f t="shared" si="436"/>
        <v>1430,1545,1545,1545,1545,1545</v>
      </c>
      <c r="H675" s="9">
        <v>308</v>
      </c>
      <c r="I675" s="9" t="s">
        <v>278</v>
      </c>
      <c r="J675" s="9" t="s">
        <v>279</v>
      </c>
      <c r="K675" s="9" t="s">
        <v>279</v>
      </c>
      <c r="L675" s="9" t="s">
        <v>279</v>
      </c>
      <c r="M675" s="36" t="s">
        <v>318</v>
      </c>
      <c r="O675" s="3">
        <f t="shared" si="427"/>
        <v>38001249</v>
      </c>
      <c r="P675" s="9">
        <v>28788825.23</v>
      </c>
      <c r="Q675" s="9">
        <v>5200132</v>
      </c>
      <c r="R675" s="9">
        <v>5200133</v>
      </c>
      <c r="S675" s="9">
        <v>5200132</v>
      </c>
      <c r="T675" s="9">
        <v>5501135</v>
      </c>
      <c r="U675" s="9">
        <v>5501135</v>
      </c>
      <c r="V675" s="9">
        <v>5402131</v>
      </c>
      <c r="W675" s="9">
        <v>13</v>
      </c>
      <c r="X675" s="9">
        <v>13</v>
      </c>
      <c r="Y675" s="9">
        <v>13</v>
      </c>
      <c r="Z675" s="9">
        <v>13</v>
      </c>
      <c r="AA675" s="9">
        <v>13</v>
      </c>
      <c r="AB675" s="9">
        <v>13</v>
      </c>
      <c r="AC675" s="9">
        <f t="shared" si="437"/>
        <v>1430</v>
      </c>
      <c r="AD675" s="9">
        <f t="shared" si="438"/>
        <v>1545</v>
      </c>
      <c r="AE675" s="9">
        <f t="shared" si="439"/>
        <v>1545</v>
      </c>
      <c r="AF675" s="9">
        <f t="shared" si="440"/>
        <v>1545</v>
      </c>
      <c r="AG675" s="9">
        <f t="shared" si="441"/>
        <v>1545</v>
      </c>
      <c r="AH675" s="9">
        <f t="shared" si="442"/>
        <v>1545</v>
      </c>
      <c r="AI675" s="7">
        <f t="shared" si="432"/>
        <v>4798137.5383333331</v>
      </c>
      <c r="AJ675" s="7">
        <f t="shared" si="431"/>
        <v>4798137.5383333331</v>
      </c>
      <c r="AK675" s="7">
        <f t="shared" si="431"/>
        <v>4798137.5383333331</v>
      </c>
      <c r="AL675" s="7">
        <f t="shared" si="431"/>
        <v>4798137.5383333331</v>
      </c>
      <c r="AM675" s="7">
        <f t="shared" si="431"/>
        <v>4798137.5383333331</v>
      </c>
      <c r="AN675" s="7">
        <f t="shared" si="431"/>
        <v>4798137.5383333331</v>
      </c>
      <c r="BR675" s="5">
        <v>5303053</v>
      </c>
      <c r="BS675" s="18">
        <f>[1]monsters!$N675</f>
        <v>80</v>
      </c>
      <c r="BT675" s="18">
        <f>[1]monsters!$O675</f>
        <v>8</v>
      </c>
      <c r="BU675" s="18">
        <f>[1]monsters!$P675</f>
        <v>960</v>
      </c>
      <c r="BV675" s="18">
        <f>[1]monsters!$Q675</f>
        <v>96</v>
      </c>
      <c r="BW675" s="18">
        <f>[1]monsters!$R675</f>
        <v>26.67</v>
      </c>
      <c r="BX675" s="18">
        <f>[1]monsters!$S675</f>
        <v>2.67</v>
      </c>
      <c r="BY675" s="18">
        <f>[1]monsters!$K675</f>
        <v>1.5</v>
      </c>
      <c r="BZ675" s="5">
        <f>[1]monsters!$D675</f>
        <v>2</v>
      </c>
      <c r="CA675" s="5">
        <f t="shared" si="428"/>
        <v>0.1</v>
      </c>
      <c r="CB675" s="5">
        <f t="shared" si="429"/>
        <v>107.92323232323233</v>
      </c>
      <c r="CC675" s="5">
        <f t="shared" si="430"/>
        <v>10.792323232323234</v>
      </c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R675" s="3" t="b">
        <f t="shared" si="443"/>
        <v>1</v>
      </c>
      <c r="CS675" s="3" t="b">
        <f t="shared" si="444"/>
        <v>1</v>
      </c>
      <c r="CT675" s="3" t="b">
        <f t="shared" si="445"/>
        <v>1</v>
      </c>
      <c r="CU675" s="3" t="b">
        <f t="shared" si="446"/>
        <v>1</v>
      </c>
      <c r="CV675" s="3" t="b">
        <f t="shared" si="447"/>
        <v>1</v>
      </c>
      <c r="CW675" s="3" t="b">
        <f t="shared" si="448"/>
        <v>1</v>
      </c>
      <c r="CX675" s="9" t="str">
        <f t="shared" si="449"/>
        <v>5200132</v>
      </c>
      <c r="CY675" s="9" t="str">
        <f t="shared" si="450"/>
        <v>5200133</v>
      </c>
      <c r="CZ675" s="9" t="str">
        <f t="shared" si="451"/>
        <v>5200132</v>
      </c>
      <c r="DA675" s="9" t="str">
        <f t="shared" si="452"/>
        <v>5501135</v>
      </c>
      <c r="DB675" s="9" t="str">
        <f t="shared" si="453"/>
        <v>5501135</v>
      </c>
      <c r="DC675" s="9" t="str">
        <f t="shared" si="454"/>
        <v>5402131</v>
      </c>
      <c r="DD675" s="9">
        <v>13</v>
      </c>
      <c r="DE675" s="9">
        <v>13</v>
      </c>
      <c r="DF675" s="9">
        <v>13</v>
      </c>
      <c r="DG675" s="9">
        <v>13</v>
      </c>
      <c r="DH675" s="9">
        <v>13</v>
      </c>
      <c r="DI675" s="9">
        <v>13</v>
      </c>
      <c r="DJ675" s="9">
        <v>5</v>
      </c>
      <c r="DK675" s="9">
        <v>5</v>
      </c>
      <c r="DL675" s="9">
        <v>5</v>
      </c>
      <c r="DM675" s="9">
        <v>5</v>
      </c>
      <c r="DN675" s="9">
        <v>5</v>
      </c>
      <c r="DO675" s="9">
        <v>5</v>
      </c>
      <c r="DP675" s="3" t="s">
        <v>199</v>
      </c>
      <c r="DQ675" s="3" t="s">
        <v>113</v>
      </c>
      <c r="DR675" s="3" t="s">
        <v>199</v>
      </c>
      <c r="DS675" s="25" t="s">
        <v>209</v>
      </c>
      <c r="DT675" s="25" t="s">
        <v>209</v>
      </c>
      <c r="DU675" s="25" t="s">
        <v>196</v>
      </c>
      <c r="DV675" s="25">
        <f t="shared" si="455"/>
        <v>1</v>
      </c>
      <c r="DW675" s="25">
        <f t="shared" si="456"/>
        <v>1</v>
      </c>
      <c r="DX675" s="25">
        <f t="shared" si="457"/>
        <v>1</v>
      </c>
      <c r="DY675" s="25">
        <f t="shared" si="458"/>
        <v>2</v>
      </c>
      <c r="DZ675" s="25">
        <f t="shared" si="459"/>
        <v>2</v>
      </c>
      <c r="EA675" s="25">
        <f t="shared" si="460"/>
        <v>2</v>
      </c>
      <c r="EB675" s="29"/>
    </row>
    <row r="676" spans="1:132" ht="13.5" customHeight="1">
      <c r="A676" s="9">
        <v>673</v>
      </c>
      <c r="B676" s="9">
        <v>1</v>
      </c>
      <c r="C676" s="9">
        <v>2001</v>
      </c>
      <c r="D676" s="9">
        <f t="shared" si="433"/>
        <v>38096367</v>
      </c>
      <c r="E676" s="9" t="str">
        <f t="shared" si="434"/>
        <v>5201131,5201132,5202131,5401131,5401133,5400135</v>
      </c>
      <c r="F676" s="9" t="str">
        <f t="shared" si="435"/>
        <v>13,13,13,13,13,13</v>
      </c>
      <c r="G676" s="9" t="str">
        <f t="shared" si="436"/>
        <v>1432,1547,1547,1547,1547,1547</v>
      </c>
      <c r="H676" s="9">
        <v>309</v>
      </c>
      <c r="I676" s="9" t="s">
        <v>278</v>
      </c>
      <c r="J676" s="9" t="s">
        <v>279</v>
      </c>
      <c r="K676" s="9" t="s">
        <v>279</v>
      </c>
      <c r="L676" s="9" t="s">
        <v>279</v>
      </c>
      <c r="M676" s="36" t="s">
        <v>318</v>
      </c>
      <c r="O676" s="3">
        <f t="shared" si="427"/>
        <v>38096367</v>
      </c>
      <c r="P676" s="9">
        <v>28860883.84</v>
      </c>
      <c r="Q676" s="9">
        <v>5201131</v>
      </c>
      <c r="R676" s="9">
        <v>5201132</v>
      </c>
      <c r="S676" s="9">
        <v>5202131</v>
      </c>
      <c r="T676" s="9">
        <v>5401131</v>
      </c>
      <c r="U676" s="9">
        <v>5401133</v>
      </c>
      <c r="V676" s="9">
        <v>5400135</v>
      </c>
      <c r="W676" s="9">
        <v>13</v>
      </c>
      <c r="X676" s="9">
        <v>13</v>
      </c>
      <c r="Y676" s="9">
        <v>13</v>
      </c>
      <c r="Z676" s="9">
        <v>13</v>
      </c>
      <c r="AA676" s="9">
        <v>13</v>
      </c>
      <c r="AB676" s="9">
        <v>13</v>
      </c>
      <c r="AC676" s="9">
        <f t="shared" si="437"/>
        <v>1432</v>
      </c>
      <c r="AD676" s="9">
        <f t="shared" si="438"/>
        <v>1547</v>
      </c>
      <c r="AE676" s="9">
        <f t="shared" si="439"/>
        <v>1547</v>
      </c>
      <c r="AF676" s="9">
        <f t="shared" si="440"/>
        <v>1547</v>
      </c>
      <c r="AG676" s="9">
        <f t="shared" si="441"/>
        <v>1547</v>
      </c>
      <c r="AH676" s="9">
        <f t="shared" si="442"/>
        <v>1547</v>
      </c>
      <c r="AI676" s="7">
        <f t="shared" si="432"/>
        <v>4810147.3066666666</v>
      </c>
      <c r="AJ676" s="7">
        <f t="shared" si="431"/>
        <v>4810147.3066666666</v>
      </c>
      <c r="AK676" s="7">
        <f t="shared" si="431"/>
        <v>4810147.3066666666</v>
      </c>
      <c r="AL676" s="7">
        <f t="shared" si="431"/>
        <v>4810147.3066666666</v>
      </c>
      <c r="AM676" s="7">
        <f t="shared" si="431"/>
        <v>4810147.3066666666</v>
      </c>
      <c r="AN676" s="7">
        <f t="shared" si="431"/>
        <v>4810147.3066666666</v>
      </c>
      <c r="BR676" s="5">
        <v>5304053</v>
      </c>
      <c r="BS676" s="18">
        <f>[1]monsters!$N676</f>
        <v>80</v>
      </c>
      <c r="BT676" s="18">
        <f>[1]monsters!$O676</f>
        <v>8</v>
      </c>
      <c r="BU676" s="18">
        <f>[1]monsters!$P676</f>
        <v>960</v>
      </c>
      <c r="BV676" s="18">
        <f>[1]monsters!$Q676</f>
        <v>96</v>
      </c>
      <c r="BW676" s="18">
        <f>[1]monsters!$R676</f>
        <v>26.67</v>
      </c>
      <c r="BX676" s="18">
        <f>[1]monsters!$S676</f>
        <v>2.67</v>
      </c>
      <c r="BY676" s="18">
        <f>[1]monsters!$K676</f>
        <v>1.5</v>
      </c>
      <c r="BZ676" s="5">
        <f>[1]monsters!$D676</f>
        <v>2</v>
      </c>
      <c r="CA676" s="5">
        <f t="shared" si="428"/>
        <v>0.1</v>
      </c>
      <c r="CB676" s="5">
        <f t="shared" si="429"/>
        <v>107.92323232323233</v>
      </c>
      <c r="CC676" s="5">
        <f t="shared" si="430"/>
        <v>10.792323232323234</v>
      </c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R676" s="3" t="b">
        <f t="shared" si="443"/>
        <v>1</v>
      </c>
      <c r="CS676" s="3" t="b">
        <f t="shared" si="444"/>
        <v>1</v>
      </c>
      <c r="CT676" s="3" t="b">
        <f t="shared" si="445"/>
        <v>1</v>
      </c>
      <c r="CU676" s="3" t="b">
        <f t="shared" si="446"/>
        <v>1</v>
      </c>
      <c r="CV676" s="3" t="b">
        <f t="shared" si="447"/>
        <v>1</v>
      </c>
      <c r="CW676" s="3" t="b">
        <f t="shared" si="448"/>
        <v>1</v>
      </c>
      <c r="CX676" s="9" t="str">
        <f t="shared" si="449"/>
        <v>5201131</v>
      </c>
      <c r="CY676" s="9" t="str">
        <f t="shared" si="450"/>
        <v>5201132</v>
      </c>
      <c r="CZ676" s="9" t="str">
        <f t="shared" si="451"/>
        <v>5202131</v>
      </c>
      <c r="DA676" s="9" t="str">
        <f t="shared" si="452"/>
        <v>5401131</v>
      </c>
      <c r="DB676" s="9" t="str">
        <f t="shared" si="453"/>
        <v>5401133</v>
      </c>
      <c r="DC676" s="9" t="str">
        <f t="shared" si="454"/>
        <v>5400135</v>
      </c>
      <c r="DD676" s="9">
        <v>13</v>
      </c>
      <c r="DE676" s="9">
        <v>13</v>
      </c>
      <c r="DF676" s="9">
        <v>13</v>
      </c>
      <c r="DG676" s="9">
        <v>13</v>
      </c>
      <c r="DH676" s="9">
        <v>13</v>
      </c>
      <c r="DI676" s="9">
        <v>13</v>
      </c>
      <c r="DJ676" s="9">
        <v>5</v>
      </c>
      <c r="DK676" s="9">
        <v>5</v>
      </c>
      <c r="DL676" s="9">
        <v>5</v>
      </c>
      <c r="DM676" s="9">
        <v>5</v>
      </c>
      <c r="DN676" s="9">
        <v>5</v>
      </c>
      <c r="DO676" s="9">
        <v>5</v>
      </c>
      <c r="DP676" s="3" t="s">
        <v>195</v>
      </c>
      <c r="DQ676" s="3" t="s">
        <v>114</v>
      </c>
      <c r="DR676" s="3" t="s">
        <v>111</v>
      </c>
      <c r="DS676" s="3" t="s">
        <v>117</v>
      </c>
      <c r="DT676" s="3" t="s">
        <v>211</v>
      </c>
      <c r="DU676" s="3" t="s">
        <v>210</v>
      </c>
      <c r="DV676" s="25">
        <f t="shared" si="455"/>
        <v>1</v>
      </c>
      <c r="DW676" s="25">
        <f t="shared" si="456"/>
        <v>1</v>
      </c>
      <c r="DX676" s="25">
        <f t="shared" si="457"/>
        <v>1</v>
      </c>
      <c r="DY676" s="25">
        <f t="shared" si="458"/>
        <v>2</v>
      </c>
      <c r="DZ676" s="25">
        <f t="shared" si="459"/>
        <v>2</v>
      </c>
      <c r="EA676" s="25">
        <f t="shared" si="460"/>
        <v>2</v>
      </c>
      <c r="EB676" s="29"/>
    </row>
    <row r="677" spans="1:132" ht="13.5" customHeight="1">
      <c r="A677" s="9">
        <v>674</v>
      </c>
      <c r="B677" s="9">
        <v>1</v>
      </c>
      <c r="C677" s="9">
        <v>2001</v>
      </c>
      <c r="D677" s="9">
        <f t="shared" si="433"/>
        <v>38191604</v>
      </c>
      <c r="E677" s="9" t="str">
        <f t="shared" si="434"/>
        <v>5302135,5201132,5301131,5501134,5500133,5501134</v>
      </c>
      <c r="F677" s="9" t="str">
        <f t="shared" si="435"/>
        <v>13,13,13,13,13,13</v>
      </c>
      <c r="G677" s="9" t="str">
        <f t="shared" si="436"/>
        <v>1434,1549,1549,1549,1549,1549</v>
      </c>
      <c r="H677" s="9">
        <v>309</v>
      </c>
      <c r="I677" s="9" t="s">
        <v>278</v>
      </c>
      <c r="J677" s="9" t="s">
        <v>279</v>
      </c>
      <c r="K677" s="9" t="s">
        <v>279</v>
      </c>
      <c r="L677" s="9" t="s">
        <v>279</v>
      </c>
      <c r="M677" s="36" t="s">
        <v>318</v>
      </c>
      <c r="O677" s="3">
        <f t="shared" si="427"/>
        <v>38191604</v>
      </c>
      <c r="P677" s="9">
        <v>28933033.18</v>
      </c>
      <c r="Q677" s="9">
        <v>5302135</v>
      </c>
      <c r="R677" s="9">
        <v>5201132</v>
      </c>
      <c r="S677" s="9">
        <v>5301131</v>
      </c>
      <c r="T677" s="9">
        <v>5501134</v>
      </c>
      <c r="U677" s="9">
        <v>5500133</v>
      </c>
      <c r="V677" s="9">
        <v>5501134</v>
      </c>
      <c r="W677" s="9">
        <v>13</v>
      </c>
      <c r="X677" s="9">
        <v>13</v>
      </c>
      <c r="Y677" s="9">
        <v>13</v>
      </c>
      <c r="Z677" s="9">
        <v>13</v>
      </c>
      <c r="AA677" s="9">
        <v>13</v>
      </c>
      <c r="AB677" s="9">
        <v>13</v>
      </c>
      <c r="AC677" s="9">
        <f t="shared" si="437"/>
        <v>1434</v>
      </c>
      <c r="AD677" s="9">
        <f t="shared" si="438"/>
        <v>1549</v>
      </c>
      <c r="AE677" s="9">
        <f t="shared" si="439"/>
        <v>1549</v>
      </c>
      <c r="AF677" s="9">
        <f t="shared" si="440"/>
        <v>1549</v>
      </c>
      <c r="AG677" s="9">
        <f t="shared" si="441"/>
        <v>1549</v>
      </c>
      <c r="AH677" s="9">
        <f t="shared" si="442"/>
        <v>1549</v>
      </c>
      <c r="AI677" s="7">
        <f t="shared" si="432"/>
        <v>4822172.1966666663</v>
      </c>
      <c r="AJ677" s="7">
        <f t="shared" si="431"/>
        <v>4822172.1966666663</v>
      </c>
      <c r="AK677" s="7">
        <f t="shared" si="431"/>
        <v>4822172.1966666663</v>
      </c>
      <c r="AL677" s="7">
        <f t="shared" si="431"/>
        <v>4822172.1966666663</v>
      </c>
      <c r="AM677" s="7">
        <f t="shared" si="431"/>
        <v>4822172.1966666663</v>
      </c>
      <c r="AN677" s="7">
        <f t="shared" si="431"/>
        <v>4822172.1966666663</v>
      </c>
      <c r="BR677" s="5">
        <v>5503053</v>
      </c>
      <c r="BS677" s="18">
        <f>[1]monsters!$N677</f>
        <v>88</v>
      </c>
      <c r="BT677" s="18">
        <f>[1]monsters!$O677</f>
        <v>8.8000000000000007</v>
      </c>
      <c r="BU677" s="18">
        <f>[1]monsters!$P677</f>
        <v>1056</v>
      </c>
      <c r="BV677" s="18">
        <f>[1]monsters!$Q677</f>
        <v>105.6</v>
      </c>
      <c r="BW677" s="18">
        <f>[1]monsters!$R677</f>
        <v>29.33</v>
      </c>
      <c r="BX677" s="18">
        <f>[1]monsters!$S677</f>
        <v>2.93</v>
      </c>
      <c r="BY677" s="18">
        <f>[1]monsters!$K677</f>
        <v>1.5</v>
      </c>
      <c r="BZ677" s="5">
        <f>[1]monsters!$D677</f>
        <v>2</v>
      </c>
      <c r="CA677" s="5">
        <f t="shared" si="428"/>
        <v>0.1</v>
      </c>
      <c r="CB677" s="5">
        <f t="shared" si="429"/>
        <v>118.71555555555557</v>
      </c>
      <c r="CC677" s="5">
        <f t="shared" si="430"/>
        <v>11.871555555555558</v>
      </c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R677" s="3" t="b">
        <f t="shared" si="443"/>
        <v>1</v>
      </c>
      <c r="CS677" s="3" t="b">
        <f t="shared" si="444"/>
        <v>1</v>
      </c>
      <c r="CT677" s="3" t="b">
        <f t="shared" si="445"/>
        <v>1</v>
      </c>
      <c r="CU677" s="3" t="b">
        <f t="shared" si="446"/>
        <v>1</v>
      </c>
      <c r="CV677" s="3" t="b">
        <f t="shared" si="447"/>
        <v>1</v>
      </c>
      <c r="CW677" s="3" t="b">
        <f t="shared" si="448"/>
        <v>1</v>
      </c>
      <c r="CX677" s="9" t="str">
        <f t="shared" si="449"/>
        <v>5302135</v>
      </c>
      <c r="CY677" s="9" t="str">
        <f t="shared" si="450"/>
        <v>5201132</v>
      </c>
      <c r="CZ677" s="9" t="str">
        <f t="shared" si="451"/>
        <v>5301131</v>
      </c>
      <c r="DA677" s="9" t="str">
        <f t="shared" si="452"/>
        <v>5501134</v>
      </c>
      <c r="DB677" s="9" t="str">
        <f t="shared" si="453"/>
        <v>5500133</v>
      </c>
      <c r="DC677" s="9" t="str">
        <f t="shared" si="454"/>
        <v>5501134</v>
      </c>
      <c r="DD677" s="9">
        <v>13</v>
      </c>
      <c r="DE677" s="9">
        <v>13</v>
      </c>
      <c r="DF677" s="9">
        <v>13</v>
      </c>
      <c r="DG677" s="9">
        <v>13</v>
      </c>
      <c r="DH677" s="9">
        <v>13</v>
      </c>
      <c r="DI677" s="9">
        <v>13</v>
      </c>
      <c r="DJ677" s="9">
        <v>5</v>
      </c>
      <c r="DK677" s="9">
        <v>5</v>
      </c>
      <c r="DL677" s="9">
        <v>5</v>
      </c>
      <c r="DM677" s="9">
        <v>5</v>
      </c>
      <c r="DN677" s="9">
        <v>5</v>
      </c>
      <c r="DO677" s="9">
        <v>5</v>
      </c>
      <c r="DP677" s="3" t="s">
        <v>221</v>
      </c>
      <c r="DQ677" s="3" t="s">
        <v>114</v>
      </c>
      <c r="DR677" s="3" t="s">
        <v>107</v>
      </c>
      <c r="DS677" s="3" t="s">
        <v>214</v>
      </c>
      <c r="DT677" s="3" t="s">
        <v>207</v>
      </c>
      <c r="DU677" s="3" t="s">
        <v>214</v>
      </c>
      <c r="DV677" s="25">
        <f t="shared" si="455"/>
        <v>1</v>
      </c>
      <c r="DW677" s="25">
        <f t="shared" si="456"/>
        <v>1</v>
      </c>
      <c r="DX677" s="25">
        <f t="shared" si="457"/>
        <v>1</v>
      </c>
      <c r="DY677" s="25">
        <f t="shared" si="458"/>
        <v>2</v>
      </c>
      <c r="DZ677" s="25">
        <f t="shared" si="459"/>
        <v>2</v>
      </c>
      <c r="EA677" s="25">
        <f t="shared" si="460"/>
        <v>2</v>
      </c>
      <c r="EB677" s="30"/>
    </row>
    <row r="678" spans="1:132" ht="13.5" customHeight="1">
      <c r="A678" s="9">
        <v>675</v>
      </c>
      <c r="B678" s="9">
        <v>1</v>
      </c>
      <c r="C678" s="9">
        <v>2001</v>
      </c>
      <c r="D678" s="9">
        <f t="shared" si="433"/>
        <v>38286961</v>
      </c>
      <c r="E678" s="9" t="str">
        <f t="shared" si="434"/>
        <v>5201131,5201132,5200132,5502132,5500133,5501134</v>
      </c>
      <c r="F678" s="9" t="str">
        <f t="shared" si="435"/>
        <v>13,13,13,13,13,13</v>
      </c>
      <c r="G678" s="9" t="str">
        <f t="shared" si="436"/>
        <v>1435,1551,1551,1551,1551,1551</v>
      </c>
      <c r="H678" s="9">
        <v>310</v>
      </c>
      <c r="I678" s="9" t="s">
        <v>278</v>
      </c>
      <c r="J678" s="9" t="s">
        <v>279</v>
      </c>
      <c r="K678" s="9" t="s">
        <v>279</v>
      </c>
      <c r="L678" s="9" t="s">
        <v>279</v>
      </c>
      <c r="M678" s="36" t="s">
        <v>318</v>
      </c>
      <c r="O678" s="3">
        <f t="shared" si="427"/>
        <v>38286961</v>
      </c>
      <c r="P678" s="9">
        <v>29005273.25</v>
      </c>
      <c r="Q678" s="9">
        <v>5201131</v>
      </c>
      <c r="R678" s="9">
        <v>5201132</v>
      </c>
      <c r="S678" s="9">
        <v>5200132</v>
      </c>
      <c r="T678" s="9">
        <v>5502132</v>
      </c>
      <c r="U678" s="9">
        <v>5500133</v>
      </c>
      <c r="V678" s="9">
        <v>5501134</v>
      </c>
      <c r="W678" s="9">
        <v>13</v>
      </c>
      <c r="X678" s="9">
        <v>13</v>
      </c>
      <c r="Y678" s="9">
        <v>13</v>
      </c>
      <c r="Z678" s="9">
        <v>13</v>
      </c>
      <c r="AA678" s="9">
        <v>13</v>
      </c>
      <c r="AB678" s="9">
        <v>13</v>
      </c>
      <c r="AC678" s="9">
        <f t="shared" si="437"/>
        <v>1435</v>
      </c>
      <c r="AD678" s="9">
        <f t="shared" si="438"/>
        <v>1551</v>
      </c>
      <c r="AE678" s="9">
        <f t="shared" si="439"/>
        <v>1551</v>
      </c>
      <c r="AF678" s="9">
        <f t="shared" si="440"/>
        <v>1551</v>
      </c>
      <c r="AG678" s="9">
        <f t="shared" si="441"/>
        <v>1551</v>
      </c>
      <c r="AH678" s="9">
        <f t="shared" si="442"/>
        <v>1551</v>
      </c>
      <c r="AI678" s="7">
        <f t="shared" si="432"/>
        <v>4834212.208333333</v>
      </c>
      <c r="AJ678" s="7">
        <f t="shared" si="431"/>
        <v>4834212.208333333</v>
      </c>
      <c r="AK678" s="7">
        <f t="shared" si="431"/>
        <v>4834212.208333333</v>
      </c>
      <c r="AL678" s="7">
        <f t="shared" si="431"/>
        <v>4834212.208333333</v>
      </c>
      <c r="AM678" s="7">
        <f t="shared" si="431"/>
        <v>4834212.208333333</v>
      </c>
      <c r="AN678" s="7">
        <f t="shared" si="431"/>
        <v>4834212.208333333</v>
      </c>
      <c r="BR678" s="5">
        <v>5504053</v>
      </c>
      <c r="BS678" s="18">
        <f>[1]monsters!$N678</f>
        <v>88</v>
      </c>
      <c r="BT678" s="18">
        <f>[1]monsters!$O678</f>
        <v>8.8000000000000007</v>
      </c>
      <c r="BU678" s="18">
        <f>[1]monsters!$P678</f>
        <v>1056</v>
      </c>
      <c r="BV678" s="18">
        <f>[1]monsters!$Q678</f>
        <v>105.6</v>
      </c>
      <c r="BW678" s="18">
        <f>[1]monsters!$R678</f>
        <v>29.33</v>
      </c>
      <c r="BX678" s="18">
        <f>[1]monsters!$S678</f>
        <v>2.93</v>
      </c>
      <c r="BY678" s="18">
        <f>[1]monsters!$K678</f>
        <v>1.5</v>
      </c>
      <c r="BZ678" s="5">
        <f>[1]monsters!$D678</f>
        <v>2</v>
      </c>
      <c r="CA678" s="5">
        <f t="shared" si="428"/>
        <v>0.1</v>
      </c>
      <c r="CB678" s="5">
        <f t="shared" si="429"/>
        <v>118.71555555555557</v>
      </c>
      <c r="CC678" s="5">
        <f t="shared" si="430"/>
        <v>11.871555555555558</v>
      </c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R678" s="3" t="b">
        <f t="shared" si="443"/>
        <v>1</v>
      </c>
      <c r="CS678" s="3" t="b">
        <f t="shared" si="444"/>
        <v>1</v>
      </c>
      <c r="CT678" s="3" t="b">
        <f t="shared" si="445"/>
        <v>1</v>
      </c>
      <c r="CU678" s="3" t="b">
        <f t="shared" si="446"/>
        <v>1</v>
      </c>
      <c r="CV678" s="3" t="b">
        <f t="shared" si="447"/>
        <v>1</v>
      </c>
      <c r="CW678" s="3" t="b">
        <f t="shared" si="448"/>
        <v>1</v>
      </c>
      <c r="CX678" s="9" t="str">
        <f t="shared" si="449"/>
        <v>5201131</v>
      </c>
      <c r="CY678" s="9" t="str">
        <f t="shared" si="450"/>
        <v>5201132</v>
      </c>
      <c r="CZ678" s="9" t="str">
        <f t="shared" si="451"/>
        <v>5200132</v>
      </c>
      <c r="DA678" s="9" t="str">
        <f t="shared" si="452"/>
        <v>5502132</v>
      </c>
      <c r="DB678" s="9" t="str">
        <f t="shared" si="453"/>
        <v>5500133</v>
      </c>
      <c r="DC678" s="9" t="str">
        <f t="shared" si="454"/>
        <v>5501134</v>
      </c>
      <c r="DD678" s="9">
        <v>13</v>
      </c>
      <c r="DE678" s="9">
        <v>13</v>
      </c>
      <c r="DF678" s="9">
        <v>13</v>
      </c>
      <c r="DG678" s="9">
        <v>13</v>
      </c>
      <c r="DH678" s="9">
        <v>13</v>
      </c>
      <c r="DI678" s="9">
        <v>13</v>
      </c>
      <c r="DJ678" s="9">
        <v>5</v>
      </c>
      <c r="DK678" s="9">
        <v>5</v>
      </c>
      <c r="DL678" s="9">
        <v>5</v>
      </c>
      <c r="DM678" s="9">
        <v>5</v>
      </c>
      <c r="DN678" s="9">
        <v>5</v>
      </c>
      <c r="DO678" s="9">
        <v>5</v>
      </c>
      <c r="DP678" s="3" t="s">
        <v>195</v>
      </c>
      <c r="DQ678" s="3" t="s">
        <v>114</v>
      </c>
      <c r="DR678" s="3" t="s">
        <v>199</v>
      </c>
      <c r="DS678" s="3" t="s">
        <v>204</v>
      </c>
      <c r="DT678" s="3" t="s">
        <v>207</v>
      </c>
      <c r="DU678" s="3" t="s">
        <v>214</v>
      </c>
      <c r="DV678" s="25">
        <f t="shared" si="455"/>
        <v>1</v>
      </c>
      <c r="DW678" s="25">
        <f t="shared" si="456"/>
        <v>1</v>
      </c>
      <c r="DX678" s="25">
        <f t="shared" si="457"/>
        <v>1</v>
      </c>
      <c r="DY678" s="25">
        <f t="shared" si="458"/>
        <v>2</v>
      </c>
      <c r="DZ678" s="25">
        <f t="shared" si="459"/>
        <v>2</v>
      </c>
      <c r="EA678" s="25">
        <f t="shared" si="460"/>
        <v>2</v>
      </c>
      <c r="EB678" s="29"/>
    </row>
    <row r="679" spans="1:132" ht="13.5" customHeight="1">
      <c r="A679" s="9">
        <v>676</v>
      </c>
      <c r="B679" s="9">
        <v>1</v>
      </c>
      <c r="C679" s="9">
        <v>2001</v>
      </c>
      <c r="D679" s="9">
        <f t="shared" si="433"/>
        <v>38382437</v>
      </c>
      <c r="E679" s="9" t="str">
        <f t="shared" si="434"/>
        <v>5202133,5202132,5202133,5400135,5501135,5402131</v>
      </c>
      <c r="F679" s="9" t="str">
        <f t="shared" si="435"/>
        <v>13,13,13,13,13,13</v>
      </c>
      <c r="G679" s="9" t="str">
        <f t="shared" si="436"/>
        <v>1437,1553,1553,1553,1553,1553</v>
      </c>
      <c r="H679" s="9">
        <v>310</v>
      </c>
      <c r="I679" s="9" t="s">
        <v>278</v>
      </c>
      <c r="J679" s="9" t="s">
        <v>279</v>
      </c>
      <c r="K679" s="9" t="s">
        <v>279</v>
      </c>
      <c r="L679" s="9" t="s">
        <v>279</v>
      </c>
      <c r="M679" s="36" t="s">
        <v>318</v>
      </c>
      <c r="O679" s="3">
        <f t="shared" si="427"/>
        <v>38382437</v>
      </c>
      <c r="P679" s="9">
        <v>29077604.050000001</v>
      </c>
      <c r="Q679" s="9">
        <v>5202133</v>
      </c>
      <c r="R679" s="9">
        <v>5202132</v>
      </c>
      <c r="S679" s="9">
        <v>5202133</v>
      </c>
      <c r="T679" s="9">
        <v>5400135</v>
      </c>
      <c r="U679" s="9">
        <v>5501135</v>
      </c>
      <c r="V679" s="9">
        <v>5402131</v>
      </c>
      <c r="W679" s="9">
        <v>13</v>
      </c>
      <c r="X679" s="9">
        <v>13</v>
      </c>
      <c r="Y679" s="9">
        <v>13</v>
      </c>
      <c r="Z679" s="9">
        <v>13</v>
      </c>
      <c r="AA679" s="9">
        <v>13</v>
      </c>
      <c r="AB679" s="9">
        <v>13</v>
      </c>
      <c r="AC679" s="9">
        <f t="shared" si="437"/>
        <v>1437</v>
      </c>
      <c r="AD679" s="9">
        <f t="shared" si="438"/>
        <v>1553</v>
      </c>
      <c r="AE679" s="9">
        <f t="shared" si="439"/>
        <v>1553</v>
      </c>
      <c r="AF679" s="9">
        <f t="shared" si="440"/>
        <v>1553</v>
      </c>
      <c r="AG679" s="9">
        <f t="shared" si="441"/>
        <v>1553</v>
      </c>
      <c r="AH679" s="9">
        <f t="shared" si="442"/>
        <v>1553</v>
      </c>
      <c r="AI679" s="7">
        <f t="shared" si="432"/>
        <v>4846267.3416666668</v>
      </c>
      <c r="AJ679" s="7">
        <f t="shared" si="431"/>
        <v>4846267.3416666668</v>
      </c>
      <c r="AK679" s="7">
        <f t="shared" si="431"/>
        <v>4846267.3416666668</v>
      </c>
      <c r="AL679" s="7">
        <f t="shared" si="431"/>
        <v>4846267.3416666668</v>
      </c>
      <c r="AM679" s="7">
        <f t="shared" si="431"/>
        <v>4846267.3416666668</v>
      </c>
      <c r="AN679" s="7">
        <f t="shared" si="431"/>
        <v>4846267.3416666668</v>
      </c>
      <c r="BR679" s="5">
        <v>5101053</v>
      </c>
      <c r="BS679" s="18">
        <f>[1]monsters!$N679</f>
        <v>88</v>
      </c>
      <c r="BT679" s="18">
        <f>[1]monsters!$O679</f>
        <v>8.8000000000000007</v>
      </c>
      <c r="BU679" s="18">
        <f>[1]monsters!$P679</f>
        <v>1056</v>
      </c>
      <c r="BV679" s="18">
        <f>[1]monsters!$Q679</f>
        <v>105.6</v>
      </c>
      <c r="BW679" s="18">
        <f>[1]monsters!$R679</f>
        <v>29.33</v>
      </c>
      <c r="BX679" s="18">
        <f>[1]monsters!$S679</f>
        <v>2.93</v>
      </c>
      <c r="BY679" s="18">
        <f>[1]monsters!$K679</f>
        <v>1.5</v>
      </c>
      <c r="BZ679" s="5">
        <f>[1]monsters!$D679</f>
        <v>2</v>
      </c>
      <c r="CA679" s="5">
        <f t="shared" si="428"/>
        <v>0.1</v>
      </c>
      <c r="CB679" s="5">
        <f t="shared" si="429"/>
        <v>118.71555555555557</v>
      </c>
      <c r="CC679" s="5">
        <f t="shared" si="430"/>
        <v>11.871555555555558</v>
      </c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R679" s="3" t="b">
        <f t="shared" si="443"/>
        <v>1</v>
      </c>
      <c r="CS679" s="3" t="b">
        <f t="shared" si="444"/>
        <v>1</v>
      </c>
      <c r="CT679" s="3" t="b">
        <f t="shared" si="445"/>
        <v>1</v>
      </c>
      <c r="CU679" s="3" t="b">
        <f t="shared" si="446"/>
        <v>1</v>
      </c>
      <c r="CV679" s="3" t="b">
        <f t="shared" si="447"/>
        <v>1</v>
      </c>
      <c r="CW679" s="3" t="b">
        <f t="shared" si="448"/>
        <v>1</v>
      </c>
      <c r="CX679" s="9" t="str">
        <f t="shared" si="449"/>
        <v>5202133</v>
      </c>
      <c r="CY679" s="9" t="str">
        <f t="shared" si="450"/>
        <v>5202132</v>
      </c>
      <c r="CZ679" s="9" t="str">
        <f t="shared" si="451"/>
        <v>5202133</v>
      </c>
      <c r="DA679" s="9" t="str">
        <f t="shared" si="452"/>
        <v>5400135</v>
      </c>
      <c r="DB679" s="9" t="str">
        <f t="shared" si="453"/>
        <v>5501135</v>
      </c>
      <c r="DC679" s="9" t="str">
        <f t="shared" si="454"/>
        <v>5402131</v>
      </c>
      <c r="DD679" s="9">
        <v>13</v>
      </c>
      <c r="DE679" s="9">
        <v>13</v>
      </c>
      <c r="DF679" s="9">
        <v>13</v>
      </c>
      <c r="DG679" s="9">
        <v>13</v>
      </c>
      <c r="DH679" s="9">
        <v>13</v>
      </c>
      <c r="DI679" s="9">
        <v>13</v>
      </c>
      <c r="DJ679" s="9">
        <v>5</v>
      </c>
      <c r="DK679" s="9">
        <v>5</v>
      </c>
      <c r="DL679" s="9">
        <v>5</v>
      </c>
      <c r="DM679" s="9">
        <v>5</v>
      </c>
      <c r="DN679" s="9">
        <v>5</v>
      </c>
      <c r="DO679" s="9">
        <v>5</v>
      </c>
      <c r="DP679" s="25" t="s">
        <v>208</v>
      </c>
      <c r="DQ679" s="25" t="s">
        <v>200</v>
      </c>
      <c r="DR679" s="25" t="s">
        <v>208</v>
      </c>
      <c r="DS679" s="25" t="s">
        <v>210</v>
      </c>
      <c r="DT679" s="25" t="s">
        <v>209</v>
      </c>
      <c r="DU679" s="25" t="s">
        <v>196</v>
      </c>
      <c r="DV679" s="25">
        <f t="shared" si="455"/>
        <v>1</v>
      </c>
      <c r="DW679" s="25">
        <f t="shared" si="456"/>
        <v>1</v>
      </c>
      <c r="DX679" s="25">
        <f t="shared" si="457"/>
        <v>1</v>
      </c>
      <c r="DY679" s="25">
        <f t="shared" si="458"/>
        <v>2</v>
      </c>
      <c r="DZ679" s="25">
        <f t="shared" si="459"/>
        <v>2</v>
      </c>
      <c r="EA679" s="25">
        <f t="shared" si="460"/>
        <v>2</v>
      </c>
      <c r="EB679" s="29"/>
    </row>
    <row r="680" spans="1:132" ht="13.5" customHeight="1">
      <c r="A680" s="9">
        <v>677</v>
      </c>
      <c r="B680" s="9">
        <v>1</v>
      </c>
      <c r="C680" s="9">
        <v>2001</v>
      </c>
      <c r="D680" s="9">
        <f t="shared" si="433"/>
        <v>38478034</v>
      </c>
      <c r="E680" s="9" t="str">
        <f t="shared" si="434"/>
        <v>5301131,5301132,5301133,5501134,5400135,5502133</v>
      </c>
      <c r="F680" s="9" t="str">
        <f t="shared" si="435"/>
        <v>13,13,13,13,13,13</v>
      </c>
      <c r="G680" s="9" t="str">
        <f t="shared" si="436"/>
        <v>1439,1555,1555,1555,1555,1555</v>
      </c>
      <c r="H680" s="9">
        <v>310</v>
      </c>
      <c r="I680" s="9" t="s">
        <v>278</v>
      </c>
      <c r="J680" s="9" t="s">
        <v>279</v>
      </c>
      <c r="K680" s="9" t="s">
        <v>279</v>
      </c>
      <c r="L680" s="9" t="s">
        <v>279</v>
      </c>
      <c r="M680" s="36" t="s">
        <v>318</v>
      </c>
      <c r="O680" s="3">
        <f t="shared" si="427"/>
        <v>38478034</v>
      </c>
      <c r="P680" s="9">
        <v>29150025.579999998</v>
      </c>
      <c r="Q680" s="9">
        <v>5301131</v>
      </c>
      <c r="R680" s="9">
        <v>5301132</v>
      </c>
      <c r="S680" s="9">
        <v>5301133</v>
      </c>
      <c r="T680" s="9">
        <v>5501134</v>
      </c>
      <c r="U680" s="9">
        <v>5400135</v>
      </c>
      <c r="V680" s="9">
        <v>5502133</v>
      </c>
      <c r="W680" s="9">
        <v>13</v>
      </c>
      <c r="X680" s="9">
        <v>13</v>
      </c>
      <c r="Y680" s="9">
        <v>13</v>
      </c>
      <c r="Z680" s="9">
        <v>13</v>
      </c>
      <c r="AA680" s="9">
        <v>13</v>
      </c>
      <c r="AB680" s="9">
        <v>13</v>
      </c>
      <c r="AC680" s="9">
        <f t="shared" si="437"/>
        <v>1439</v>
      </c>
      <c r="AD680" s="9">
        <f t="shared" si="438"/>
        <v>1555</v>
      </c>
      <c r="AE680" s="9">
        <f t="shared" si="439"/>
        <v>1555</v>
      </c>
      <c r="AF680" s="9">
        <f t="shared" si="440"/>
        <v>1555</v>
      </c>
      <c r="AG680" s="9">
        <f t="shared" si="441"/>
        <v>1555</v>
      </c>
      <c r="AH680" s="9">
        <f t="shared" si="442"/>
        <v>1555</v>
      </c>
      <c r="AI680" s="7">
        <f t="shared" si="432"/>
        <v>4858337.5966666667</v>
      </c>
      <c r="AJ680" s="7">
        <f t="shared" si="431"/>
        <v>4858337.5966666667</v>
      </c>
      <c r="AK680" s="7">
        <f t="shared" si="431"/>
        <v>4858337.5966666667</v>
      </c>
      <c r="AL680" s="7">
        <f t="shared" si="431"/>
        <v>4858337.5966666667</v>
      </c>
      <c r="AM680" s="7">
        <f t="shared" si="431"/>
        <v>4858337.5966666667</v>
      </c>
      <c r="AN680" s="7">
        <f t="shared" si="431"/>
        <v>4858337.5966666667</v>
      </c>
      <c r="BR680" s="5">
        <v>5102053</v>
      </c>
      <c r="BS680" s="18">
        <f>[1]monsters!$N680</f>
        <v>88</v>
      </c>
      <c r="BT680" s="18">
        <f>[1]monsters!$O680</f>
        <v>8.8000000000000007</v>
      </c>
      <c r="BU680" s="18">
        <f>[1]monsters!$P680</f>
        <v>1056</v>
      </c>
      <c r="BV680" s="18">
        <f>[1]monsters!$Q680</f>
        <v>105.6</v>
      </c>
      <c r="BW680" s="18">
        <f>[1]monsters!$R680</f>
        <v>29.33</v>
      </c>
      <c r="BX680" s="18">
        <f>[1]monsters!$S680</f>
        <v>2.93</v>
      </c>
      <c r="BY680" s="18">
        <f>[1]monsters!$K680</f>
        <v>1.5</v>
      </c>
      <c r="BZ680" s="5">
        <f>[1]monsters!$D680</f>
        <v>2</v>
      </c>
      <c r="CA680" s="5">
        <f t="shared" si="428"/>
        <v>0.1</v>
      </c>
      <c r="CB680" s="5">
        <f t="shared" si="429"/>
        <v>118.71555555555557</v>
      </c>
      <c r="CC680" s="5">
        <f t="shared" si="430"/>
        <v>11.871555555555558</v>
      </c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R680" s="3" t="b">
        <f t="shared" si="443"/>
        <v>1</v>
      </c>
      <c r="CS680" s="3" t="b">
        <f t="shared" si="444"/>
        <v>1</v>
      </c>
      <c r="CT680" s="3" t="b">
        <f t="shared" si="445"/>
        <v>1</v>
      </c>
      <c r="CU680" s="3" t="b">
        <f t="shared" si="446"/>
        <v>1</v>
      </c>
      <c r="CV680" s="3" t="b">
        <f t="shared" si="447"/>
        <v>1</v>
      </c>
      <c r="CW680" s="3" t="b">
        <f t="shared" si="448"/>
        <v>1</v>
      </c>
      <c r="CX680" s="9" t="str">
        <f t="shared" si="449"/>
        <v>5301131</v>
      </c>
      <c r="CY680" s="9" t="str">
        <f t="shared" si="450"/>
        <v>5301132</v>
      </c>
      <c r="CZ680" s="9" t="str">
        <f t="shared" si="451"/>
        <v>5301133</v>
      </c>
      <c r="DA680" s="9" t="str">
        <f t="shared" si="452"/>
        <v>5501134</v>
      </c>
      <c r="DB680" s="9" t="str">
        <f t="shared" si="453"/>
        <v>5400135</v>
      </c>
      <c r="DC680" s="9" t="str">
        <f t="shared" si="454"/>
        <v>5502133</v>
      </c>
      <c r="DD680" s="9">
        <v>13</v>
      </c>
      <c r="DE680" s="9">
        <v>13</v>
      </c>
      <c r="DF680" s="9">
        <v>13</v>
      </c>
      <c r="DG680" s="9">
        <v>13</v>
      </c>
      <c r="DH680" s="9">
        <v>13</v>
      </c>
      <c r="DI680" s="9">
        <v>13</v>
      </c>
      <c r="DJ680" s="9">
        <v>5</v>
      </c>
      <c r="DK680" s="9">
        <v>5</v>
      </c>
      <c r="DL680" s="9">
        <v>5</v>
      </c>
      <c r="DM680" s="9">
        <v>5</v>
      </c>
      <c r="DN680" s="9">
        <v>5</v>
      </c>
      <c r="DO680" s="9">
        <v>5</v>
      </c>
      <c r="DP680" s="26" t="s">
        <v>107</v>
      </c>
      <c r="DQ680" s="26" t="s">
        <v>201</v>
      </c>
      <c r="DR680" s="26" t="s">
        <v>206</v>
      </c>
      <c r="DS680" s="26" t="s">
        <v>214</v>
      </c>
      <c r="DT680" s="26" t="s">
        <v>210</v>
      </c>
      <c r="DU680" s="26" t="s">
        <v>215</v>
      </c>
      <c r="DV680" s="25">
        <f t="shared" si="455"/>
        <v>1</v>
      </c>
      <c r="DW680" s="25">
        <f t="shared" si="456"/>
        <v>1</v>
      </c>
      <c r="DX680" s="25">
        <f t="shared" si="457"/>
        <v>1</v>
      </c>
      <c r="DY680" s="25">
        <f t="shared" si="458"/>
        <v>2</v>
      </c>
      <c r="DZ680" s="25">
        <f t="shared" si="459"/>
        <v>2</v>
      </c>
      <c r="EA680" s="25">
        <f t="shared" si="460"/>
        <v>2</v>
      </c>
      <c r="EB680" s="29"/>
    </row>
    <row r="681" spans="1:132" ht="13.5" customHeight="1">
      <c r="A681" s="9">
        <v>678</v>
      </c>
      <c r="B681" s="9">
        <v>1</v>
      </c>
      <c r="C681" s="9">
        <v>2001</v>
      </c>
      <c r="D681" s="9">
        <f t="shared" si="433"/>
        <v>38573750</v>
      </c>
      <c r="E681" s="9" t="str">
        <f t="shared" si="434"/>
        <v>5200132,5200133,5202132,5402132,5500133,5501134</v>
      </c>
      <c r="F681" s="9" t="str">
        <f t="shared" si="435"/>
        <v>13,13,13,13,13,13</v>
      </c>
      <c r="G681" s="9" t="str">
        <f t="shared" si="436"/>
        <v>1441,1557,1557,1557,1557,1557</v>
      </c>
      <c r="H681" s="9">
        <v>311</v>
      </c>
      <c r="I681" s="9" t="s">
        <v>278</v>
      </c>
      <c r="J681" s="9" t="s">
        <v>279</v>
      </c>
      <c r="K681" s="9" t="s">
        <v>279</v>
      </c>
      <c r="L681" s="9" t="s">
        <v>279</v>
      </c>
      <c r="M681" s="36" t="s">
        <v>318</v>
      </c>
      <c r="O681" s="3">
        <f t="shared" si="427"/>
        <v>38573750</v>
      </c>
      <c r="P681" s="9">
        <v>29222537.84</v>
      </c>
      <c r="Q681" s="9">
        <v>5200132</v>
      </c>
      <c r="R681" s="9">
        <v>5200133</v>
      </c>
      <c r="S681" s="9">
        <v>5202132</v>
      </c>
      <c r="T681" s="9">
        <v>5402132</v>
      </c>
      <c r="U681" s="9">
        <v>5500133</v>
      </c>
      <c r="V681" s="9">
        <v>5501134</v>
      </c>
      <c r="W681" s="9">
        <v>13</v>
      </c>
      <c r="X681" s="9">
        <v>13</v>
      </c>
      <c r="Y681" s="9">
        <v>13</v>
      </c>
      <c r="Z681" s="9">
        <v>13</v>
      </c>
      <c r="AA681" s="9">
        <v>13</v>
      </c>
      <c r="AB681" s="9">
        <v>13</v>
      </c>
      <c r="AC681" s="9">
        <f t="shared" si="437"/>
        <v>1441</v>
      </c>
      <c r="AD681" s="9">
        <f t="shared" si="438"/>
        <v>1557</v>
      </c>
      <c r="AE681" s="9">
        <f t="shared" si="439"/>
        <v>1557</v>
      </c>
      <c r="AF681" s="9">
        <f t="shared" si="440"/>
        <v>1557</v>
      </c>
      <c r="AG681" s="9">
        <f t="shared" si="441"/>
        <v>1557</v>
      </c>
      <c r="AH681" s="9">
        <f t="shared" si="442"/>
        <v>1557</v>
      </c>
      <c r="AI681" s="7">
        <f t="shared" si="432"/>
        <v>4870422.9733333336</v>
      </c>
      <c r="AJ681" s="7">
        <f t="shared" si="431"/>
        <v>4870422.9733333336</v>
      </c>
      <c r="AK681" s="7">
        <f t="shared" si="431"/>
        <v>4870422.9733333336</v>
      </c>
      <c r="AL681" s="7">
        <f t="shared" si="431"/>
        <v>4870422.9733333336</v>
      </c>
      <c r="AM681" s="7">
        <f t="shared" si="431"/>
        <v>4870422.9733333336</v>
      </c>
      <c r="AN681" s="7">
        <f t="shared" si="431"/>
        <v>4870422.9733333336</v>
      </c>
      <c r="BR681" s="5">
        <v>5206054</v>
      </c>
      <c r="BS681" s="18">
        <f>[1]monsters!$N681</f>
        <v>88</v>
      </c>
      <c r="BT681" s="18">
        <f>[1]monsters!$O681</f>
        <v>8.8000000000000007</v>
      </c>
      <c r="BU681" s="18">
        <f>[1]monsters!$P681</f>
        <v>1056</v>
      </c>
      <c r="BV681" s="18">
        <f>[1]monsters!$Q681</f>
        <v>105.6</v>
      </c>
      <c r="BW681" s="18">
        <f>[1]monsters!$R681</f>
        <v>29.33</v>
      </c>
      <c r="BX681" s="18">
        <f>[1]monsters!$S681</f>
        <v>2.93</v>
      </c>
      <c r="BY681" s="18">
        <f>[1]monsters!$K681</f>
        <v>1.5</v>
      </c>
      <c r="BZ681" s="5">
        <f>[1]monsters!$D681</f>
        <v>2</v>
      </c>
      <c r="CA681" s="5">
        <f t="shared" si="428"/>
        <v>0.1</v>
      </c>
      <c r="CB681" s="5">
        <f t="shared" si="429"/>
        <v>118.71555555555557</v>
      </c>
      <c r="CC681" s="5">
        <f t="shared" si="430"/>
        <v>11.871555555555558</v>
      </c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R681" s="3" t="b">
        <f t="shared" si="443"/>
        <v>1</v>
      </c>
      <c r="CS681" s="3" t="b">
        <f t="shared" si="444"/>
        <v>1</v>
      </c>
      <c r="CT681" s="3" t="b">
        <f t="shared" si="445"/>
        <v>1</v>
      </c>
      <c r="CU681" s="3" t="b">
        <f t="shared" si="446"/>
        <v>1</v>
      </c>
      <c r="CV681" s="3" t="b">
        <f t="shared" si="447"/>
        <v>1</v>
      </c>
      <c r="CW681" s="3" t="b">
        <f t="shared" si="448"/>
        <v>1</v>
      </c>
      <c r="CX681" s="9" t="str">
        <f t="shared" si="449"/>
        <v>5200132</v>
      </c>
      <c r="CY681" s="9" t="str">
        <f t="shared" si="450"/>
        <v>5200133</v>
      </c>
      <c r="CZ681" s="9" t="str">
        <f t="shared" si="451"/>
        <v>5202132</v>
      </c>
      <c r="DA681" s="9" t="str">
        <f t="shared" si="452"/>
        <v>5402132</v>
      </c>
      <c r="DB681" s="9" t="str">
        <f t="shared" si="453"/>
        <v>5500133</v>
      </c>
      <c r="DC681" s="9" t="str">
        <f t="shared" si="454"/>
        <v>5501134</v>
      </c>
      <c r="DD681" s="9">
        <v>13</v>
      </c>
      <c r="DE681" s="9">
        <v>13</v>
      </c>
      <c r="DF681" s="9">
        <v>13</v>
      </c>
      <c r="DG681" s="9">
        <v>13</v>
      </c>
      <c r="DH681" s="9">
        <v>13</v>
      </c>
      <c r="DI681" s="9">
        <v>13</v>
      </c>
      <c r="DJ681" s="9">
        <v>5</v>
      </c>
      <c r="DK681" s="9">
        <v>5</v>
      </c>
      <c r="DL681" s="9">
        <v>5</v>
      </c>
      <c r="DM681" s="9">
        <v>5</v>
      </c>
      <c r="DN681" s="9">
        <v>5</v>
      </c>
      <c r="DO681" s="9">
        <v>5</v>
      </c>
      <c r="DP681" s="25" t="s">
        <v>199</v>
      </c>
      <c r="DQ681" s="25" t="s">
        <v>113</v>
      </c>
      <c r="DR681" s="26" t="s">
        <v>200</v>
      </c>
      <c r="DS681" s="26" t="s">
        <v>203</v>
      </c>
      <c r="DT681" s="26" t="s">
        <v>207</v>
      </c>
      <c r="DU681" s="26" t="s">
        <v>214</v>
      </c>
      <c r="DV681" s="25">
        <f t="shared" si="455"/>
        <v>1</v>
      </c>
      <c r="DW681" s="25">
        <f t="shared" si="456"/>
        <v>1</v>
      </c>
      <c r="DX681" s="25">
        <f t="shared" si="457"/>
        <v>1</v>
      </c>
      <c r="DY681" s="25">
        <f t="shared" si="458"/>
        <v>2</v>
      </c>
      <c r="DZ681" s="25">
        <f t="shared" si="459"/>
        <v>2</v>
      </c>
      <c r="EA681" s="25">
        <f t="shared" si="460"/>
        <v>2</v>
      </c>
      <c r="EB681" s="38"/>
    </row>
    <row r="682" spans="1:132" ht="13.5" customHeight="1">
      <c r="A682" s="9">
        <v>679</v>
      </c>
      <c r="B682" s="9">
        <v>1</v>
      </c>
      <c r="C682" s="9">
        <v>2001</v>
      </c>
      <c r="D682" s="9">
        <f t="shared" si="433"/>
        <v>38669586</v>
      </c>
      <c r="E682" s="9" t="str">
        <f t="shared" si="434"/>
        <v>5300135,5201132,5301131,5400135,5501135,5400135</v>
      </c>
      <c r="F682" s="9" t="str">
        <f t="shared" si="435"/>
        <v>13,13,13,13,13,13</v>
      </c>
      <c r="G682" s="9" t="str">
        <f t="shared" si="436"/>
        <v>1443,1559,1559,1559,1559,1559</v>
      </c>
      <c r="H682" s="9">
        <v>311</v>
      </c>
      <c r="I682" s="9" t="s">
        <v>278</v>
      </c>
      <c r="J682" s="9" t="s">
        <v>279</v>
      </c>
      <c r="K682" s="9" t="s">
        <v>279</v>
      </c>
      <c r="L682" s="9" t="s">
        <v>279</v>
      </c>
      <c r="M682" s="36" t="s">
        <v>318</v>
      </c>
      <c r="O682" s="3">
        <f t="shared" si="427"/>
        <v>38669586</v>
      </c>
      <c r="P682" s="9">
        <v>29295140.829999998</v>
      </c>
      <c r="Q682" s="9">
        <v>5300135</v>
      </c>
      <c r="R682" s="9">
        <v>5201132</v>
      </c>
      <c r="S682" s="9">
        <v>5301131</v>
      </c>
      <c r="T682" s="9">
        <v>5400135</v>
      </c>
      <c r="U682" s="9">
        <v>5501135</v>
      </c>
      <c r="V682" s="9">
        <v>5400135</v>
      </c>
      <c r="W682" s="9">
        <v>13</v>
      </c>
      <c r="X682" s="9">
        <v>13</v>
      </c>
      <c r="Y682" s="9">
        <v>13</v>
      </c>
      <c r="Z682" s="9">
        <v>13</v>
      </c>
      <c r="AA682" s="9">
        <v>13</v>
      </c>
      <c r="AB682" s="9">
        <v>13</v>
      </c>
      <c r="AC682" s="9">
        <f t="shared" si="437"/>
        <v>1443</v>
      </c>
      <c r="AD682" s="9">
        <f t="shared" si="438"/>
        <v>1559</v>
      </c>
      <c r="AE682" s="9">
        <f t="shared" si="439"/>
        <v>1559</v>
      </c>
      <c r="AF682" s="9">
        <f t="shared" si="440"/>
        <v>1559</v>
      </c>
      <c r="AG682" s="9">
        <f t="shared" si="441"/>
        <v>1559</v>
      </c>
      <c r="AH682" s="9">
        <f t="shared" si="442"/>
        <v>1559</v>
      </c>
      <c r="AI682" s="7">
        <f t="shared" si="432"/>
        <v>4882523.4716666667</v>
      </c>
      <c r="AJ682" s="7">
        <f t="shared" si="431"/>
        <v>4882523.4716666667</v>
      </c>
      <c r="AK682" s="7">
        <f t="shared" si="431"/>
        <v>4882523.4716666667</v>
      </c>
      <c r="AL682" s="7">
        <f t="shared" si="431"/>
        <v>4882523.4716666667</v>
      </c>
      <c r="AM682" s="7">
        <f t="shared" si="431"/>
        <v>4882523.4716666667</v>
      </c>
      <c r="AN682" s="7">
        <f t="shared" si="431"/>
        <v>4882523.4716666667</v>
      </c>
      <c r="BR682" s="5">
        <v>5406054</v>
      </c>
      <c r="BS682" s="18">
        <f>[1]monsters!$N682</f>
        <v>96</v>
      </c>
      <c r="BT682" s="18">
        <f>[1]monsters!$O682</f>
        <v>9.6</v>
      </c>
      <c r="BU682" s="18">
        <f>[1]monsters!$P682</f>
        <v>1152</v>
      </c>
      <c r="BV682" s="18">
        <f>[1]monsters!$Q682</f>
        <v>115.2</v>
      </c>
      <c r="BW682" s="18">
        <f>[1]monsters!$R682</f>
        <v>32</v>
      </c>
      <c r="BX682" s="18">
        <f>[1]monsters!$S682</f>
        <v>3.2</v>
      </c>
      <c r="BY682" s="18">
        <f>[1]monsters!$K682</f>
        <v>1.5</v>
      </c>
      <c r="BZ682" s="5">
        <f>[1]monsters!$D682</f>
        <v>2</v>
      </c>
      <c r="CA682" s="5">
        <f t="shared" si="428"/>
        <v>0.1</v>
      </c>
      <c r="CB682" s="5">
        <f t="shared" si="429"/>
        <v>129.50787878787878</v>
      </c>
      <c r="CC682" s="5">
        <f t="shared" si="430"/>
        <v>12.950787878787878</v>
      </c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R682" s="3" t="b">
        <f t="shared" si="443"/>
        <v>1</v>
      </c>
      <c r="CS682" s="3" t="b">
        <f t="shared" si="444"/>
        <v>1</v>
      </c>
      <c r="CT682" s="3" t="b">
        <f t="shared" si="445"/>
        <v>1</v>
      </c>
      <c r="CU682" s="3" t="b">
        <f t="shared" si="446"/>
        <v>1</v>
      </c>
      <c r="CV682" s="3" t="b">
        <f t="shared" si="447"/>
        <v>1</v>
      </c>
      <c r="CW682" s="3" t="b">
        <f t="shared" si="448"/>
        <v>1</v>
      </c>
      <c r="CX682" s="9" t="str">
        <f t="shared" si="449"/>
        <v>5300135</v>
      </c>
      <c r="CY682" s="9" t="str">
        <f t="shared" si="450"/>
        <v>5201132</v>
      </c>
      <c r="CZ682" s="9" t="str">
        <f t="shared" si="451"/>
        <v>5301131</v>
      </c>
      <c r="DA682" s="9" t="str">
        <f t="shared" si="452"/>
        <v>5400135</v>
      </c>
      <c r="DB682" s="9" t="str">
        <f t="shared" si="453"/>
        <v>5501135</v>
      </c>
      <c r="DC682" s="9" t="str">
        <f t="shared" si="454"/>
        <v>5400135</v>
      </c>
      <c r="DD682" s="9">
        <v>13</v>
      </c>
      <c r="DE682" s="9">
        <v>13</v>
      </c>
      <c r="DF682" s="9">
        <v>13</v>
      </c>
      <c r="DG682" s="9">
        <v>13</v>
      </c>
      <c r="DH682" s="9">
        <v>13</v>
      </c>
      <c r="DI682" s="9">
        <v>13</v>
      </c>
      <c r="DJ682" s="9">
        <v>5</v>
      </c>
      <c r="DK682" s="9">
        <v>5</v>
      </c>
      <c r="DL682" s="9">
        <v>5</v>
      </c>
      <c r="DM682" s="9">
        <v>5</v>
      </c>
      <c r="DN682" s="9">
        <v>5</v>
      </c>
      <c r="DO682" s="9">
        <v>5</v>
      </c>
      <c r="DP682" s="25" t="s">
        <v>212</v>
      </c>
      <c r="DQ682" s="25" t="s">
        <v>114</v>
      </c>
      <c r="DR682" s="25" t="s">
        <v>107</v>
      </c>
      <c r="DS682" s="26" t="s">
        <v>210</v>
      </c>
      <c r="DT682" s="26" t="s">
        <v>209</v>
      </c>
      <c r="DU682" s="26" t="s">
        <v>210</v>
      </c>
      <c r="DV682" s="25">
        <f t="shared" si="455"/>
        <v>1</v>
      </c>
      <c r="DW682" s="25">
        <f t="shared" si="456"/>
        <v>1</v>
      </c>
      <c r="DX682" s="25">
        <f t="shared" si="457"/>
        <v>1</v>
      </c>
      <c r="DY682" s="25">
        <f t="shared" si="458"/>
        <v>2</v>
      </c>
      <c r="DZ682" s="25">
        <f t="shared" si="459"/>
        <v>2</v>
      </c>
      <c r="EA682" s="25">
        <f t="shared" si="460"/>
        <v>2</v>
      </c>
      <c r="EB682" s="38"/>
    </row>
    <row r="683" spans="1:132" ht="13.5" customHeight="1">
      <c r="A683" s="9">
        <v>680</v>
      </c>
      <c r="B683" s="9">
        <v>1</v>
      </c>
      <c r="C683" s="9">
        <v>2001</v>
      </c>
      <c r="D683" s="9">
        <f t="shared" si="433"/>
        <v>38765542</v>
      </c>
      <c r="E683" s="9" t="str">
        <f t="shared" si="434"/>
        <v>5201131,5200133,5202131,5502132,5500131,5601132</v>
      </c>
      <c r="F683" s="9" t="str">
        <f t="shared" si="435"/>
        <v>13,13,13,13,13,13</v>
      </c>
      <c r="G683" s="9" t="str">
        <f t="shared" si="436"/>
        <v>1444,1561,1561,1561,1561,1561</v>
      </c>
      <c r="H683" s="9">
        <v>312</v>
      </c>
      <c r="I683" s="9" t="s">
        <v>278</v>
      </c>
      <c r="J683" s="9" t="s">
        <v>279</v>
      </c>
      <c r="K683" s="9" t="s">
        <v>279</v>
      </c>
      <c r="L683" s="9" t="s">
        <v>279</v>
      </c>
      <c r="M683" s="36" t="s">
        <v>318</v>
      </c>
      <c r="O683" s="3">
        <f t="shared" si="427"/>
        <v>38765542</v>
      </c>
      <c r="P683" s="9">
        <v>29367834.550000001</v>
      </c>
      <c r="Q683" s="9">
        <v>5201131</v>
      </c>
      <c r="R683" s="9">
        <v>5200133</v>
      </c>
      <c r="S683" s="9">
        <v>5202131</v>
      </c>
      <c r="T683" s="9">
        <v>5502132</v>
      </c>
      <c r="U683" s="9">
        <v>5500131</v>
      </c>
      <c r="V683" s="9">
        <v>5601132</v>
      </c>
      <c r="W683" s="9">
        <v>13</v>
      </c>
      <c r="X683" s="9">
        <v>13</v>
      </c>
      <c r="Y683" s="9">
        <v>13</v>
      </c>
      <c r="Z683" s="9">
        <v>13</v>
      </c>
      <c r="AA683" s="9">
        <v>13</v>
      </c>
      <c r="AB683" s="9">
        <v>13</v>
      </c>
      <c r="AC683" s="9">
        <f t="shared" si="437"/>
        <v>1444</v>
      </c>
      <c r="AD683" s="9">
        <f t="shared" si="438"/>
        <v>1561</v>
      </c>
      <c r="AE683" s="9">
        <f t="shared" si="439"/>
        <v>1561</v>
      </c>
      <c r="AF683" s="9">
        <f t="shared" si="440"/>
        <v>1561</v>
      </c>
      <c r="AG683" s="9">
        <f t="shared" si="441"/>
        <v>1561</v>
      </c>
      <c r="AH683" s="9">
        <f t="shared" si="442"/>
        <v>1561</v>
      </c>
      <c r="AI683" s="7">
        <f t="shared" si="432"/>
        <v>4894639.0916666668</v>
      </c>
      <c r="AJ683" s="7">
        <f t="shared" si="431"/>
        <v>4894639.0916666668</v>
      </c>
      <c r="AK683" s="7">
        <f t="shared" si="431"/>
        <v>4894639.0916666668</v>
      </c>
      <c r="AL683" s="7">
        <f t="shared" si="431"/>
        <v>4894639.0916666668</v>
      </c>
      <c r="AM683" s="7">
        <f t="shared" si="431"/>
        <v>4894639.0916666668</v>
      </c>
      <c r="AN683" s="7">
        <f t="shared" si="431"/>
        <v>4894639.0916666668</v>
      </c>
      <c r="BR683" s="5">
        <v>5205054</v>
      </c>
      <c r="BS683" s="18">
        <f>[1]monsters!$N683</f>
        <v>96</v>
      </c>
      <c r="BT683" s="18">
        <f>[1]monsters!$O683</f>
        <v>9.6</v>
      </c>
      <c r="BU683" s="18">
        <f>[1]monsters!$P683</f>
        <v>1152</v>
      </c>
      <c r="BV683" s="18">
        <f>[1]monsters!$Q683</f>
        <v>115.2</v>
      </c>
      <c r="BW683" s="18">
        <f>[1]monsters!$R683</f>
        <v>32</v>
      </c>
      <c r="BX683" s="18">
        <f>[1]monsters!$S683</f>
        <v>3.2</v>
      </c>
      <c r="BY683" s="18">
        <f>[1]monsters!$K683</f>
        <v>1.5</v>
      </c>
      <c r="BZ683" s="5">
        <f>[1]monsters!$D683</f>
        <v>2</v>
      </c>
      <c r="CA683" s="5">
        <f t="shared" si="428"/>
        <v>0.1</v>
      </c>
      <c r="CB683" s="5">
        <f t="shared" si="429"/>
        <v>129.50787878787878</v>
      </c>
      <c r="CC683" s="5">
        <f t="shared" si="430"/>
        <v>12.950787878787878</v>
      </c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R683" s="3" t="b">
        <f t="shared" si="443"/>
        <v>1</v>
      </c>
      <c r="CS683" s="3" t="b">
        <f t="shared" si="444"/>
        <v>1</v>
      </c>
      <c r="CT683" s="3" t="b">
        <f t="shared" si="445"/>
        <v>1</v>
      </c>
      <c r="CU683" s="3" t="b">
        <f t="shared" si="446"/>
        <v>1</v>
      </c>
      <c r="CV683" s="3" t="b">
        <f t="shared" si="447"/>
        <v>1</v>
      </c>
      <c r="CW683" s="3" t="b">
        <f t="shared" si="448"/>
        <v>1</v>
      </c>
      <c r="CX683" s="9" t="str">
        <f t="shared" si="449"/>
        <v>5201131</v>
      </c>
      <c r="CY683" s="9" t="str">
        <f t="shared" si="450"/>
        <v>5200133</v>
      </c>
      <c r="CZ683" s="9" t="str">
        <f t="shared" si="451"/>
        <v>5202131</v>
      </c>
      <c r="DA683" s="9" t="str">
        <f t="shared" si="452"/>
        <v>5502132</v>
      </c>
      <c r="DB683" s="9" t="str">
        <f t="shared" si="453"/>
        <v>5500131</v>
      </c>
      <c r="DC683" s="9" t="str">
        <f t="shared" si="454"/>
        <v>5601132</v>
      </c>
      <c r="DD683" s="9">
        <v>13</v>
      </c>
      <c r="DE683" s="9">
        <v>13</v>
      </c>
      <c r="DF683" s="9">
        <v>13</v>
      </c>
      <c r="DG683" s="9">
        <v>13</v>
      </c>
      <c r="DH683" s="9">
        <v>13</v>
      </c>
      <c r="DI683" s="9">
        <v>13</v>
      </c>
      <c r="DJ683" s="9">
        <v>5</v>
      </c>
      <c r="DK683" s="9">
        <v>5</v>
      </c>
      <c r="DL683" s="9">
        <v>5</v>
      </c>
      <c r="DM683" s="9">
        <v>5</v>
      </c>
      <c r="DN683" s="9">
        <v>5</v>
      </c>
      <c r="DO683" s="9">
        <v>5</v>
      </c>
      <c r="DP683" s="25" t="s">
        <v>195</v>
      </c>
      <c r="DQ683" s="25" t="s">
        <v>113</v>
      </c>
      <c r="DR683" s="26" t="s">
        <v>111</v>
      </c>
      <c r="DS683" s="28" t="s">
        <v>204</v>
      </c>
      <c r="DT683" s="26" t="s">
        <v>197</v>
      </c>
      <c r="DU683" s="26" t="s">
        <v>124</v>
      </c>
      <c r="DV683" s="25">
        <f t="shared" si="455"/>
        <v>1</v>
      </c>
      <c r="DW683" s="25">
        <f t="shared" si="456"/>
        <v>1</v>
      </c>
      <c r="DX683" s="25">
        <f t="shared" si="457"/>
        <v>1</v>
      </c>
      <c r="DY683" s="25">
        <f t="shared" si="458"/>
        <v>2</v>
      </c>
      <c r="DZ683" s="25">
        <f t="shared" si="459"/>
        <v>2</v>
      </c>
      <c r="EA683" s="25">
        <f t="shared" si="460"/>
        <v>2</v>
      </c>
      <c r="EB683" s="38"/>
    </row>
    <row r="684" spans="1:132" ht="13.5" customHeight="1">
      <c r="A684" s="9">
        <v>681</v>
      </c>
      <c r="B684" s="9">
        <v>1</v>
      </c>
      <c r="C684" s="9">
        <v>2001</v>
      </c>
      <c r="D684" s="9">
        <f t="shared" si="433"/>
        <v>38861617</v>
      </c>
      <c r="E684" s="9" t="str">
        <f t="shared" si="434"/>
        <v>5200132,5200133,5200132,5501134,5500133,5501134</v>
      </c>
      <c r="F684" s="9" t="str">
        <f t="shared" si="435"/>
        <v>13,13,13,13,13,13</v>
      </c>
      <c r="G684" s="9" t="str">
        <f t="shared" si="436"/>
        <v>1446,1563,1563,1563,1563,1563</v>
      </c>
      <c r="H684" s="9">
        <v>312</v>
      </c>
      <c r="I684" s="9" t="s">
        <v>278</v>
      </c>
      <c r="J684" s="9" t="s">
        <v>279</v>
      </c>
      <c r="K684" s="9" t="s">
        <v>279</v>
      </c>
      <c r="L684" s="9" t="s">
        <v>279</v>
      </c>
      <c r="M684" s="36" t="s">
        <v>318</v>
      </c>
      <c r="O684" s="3">
        <f t="shared" si="427"/>
        <v>38861617</v>
      </c>
      <c r="P684" s="9">
        <v>29440619</v>
      </c>
      <c r="Q684" s="9">
        <v>5200132</v>
      </c>
      <c r="R684" s="9">
        <v>5200133</v>
      </c>
      <c r="S684" s="9">
        <v>5200132</v>
      </c>
      <c r="T684" s="9">
        <v>5501134</v>
      </c>
      <c r="U684" s="9">
        <v>5500133</v>
      </c>
      <c r="V684" s="9">
        <v>5501134</v>
      </c>
      <c r="W684" s="9">
        <v>13</v>
      </c>
      <c r="X684" s="9">
        <v>13</v>
      </c>
      <c r="Y684" s="9">
        <v>13</v>
      </c>
      <c r="Z684" s="9">
        <v>13</v>
      </c>
      <c r="AA684" s="9">
        <v>13</v>
      </c>
      <c r="AB684" s="9">
        <v>13</v>
      </c>
      <c r="AC684" s="9">
        <f t="shared" si="437"/>
        <v>1446</v>
      </c>
      <c r="AD684" s="9">
        <f t="shared" si="438"/>
        <v>1563</v>
      </c>
      <c r="AE684" s="9">
        <f t="shared" si="439"/>
        <v>1563</v>
      </c>
      <c r="AF684" s="9">
        <f t="shared" si="440"/>
        <v>1563</v>
      </c>
      <c r="AG684" s="9">
        <f t="shared" si="441"/>
        <v>1563</v>
      </c>
      <c r="AH684" s="9">
        <f t="shared" si="442"/>
        <v>1563</v>
      </c>
      <c r="AI684" s="7">
        <f t="shared" si="432"/>
        <v>4906769.833333333</v>
      </c>
      <c r="AJ684" s="7">
        <f t="shared" si="431"/>
        <v>4906769.833333333</v>
      </c>
      <c r="AK684" s="7">
        <f t="shared" si="431"/>
        <v>4906769.833333333</v>
      </c>
      <c r="AL684" s="7">
        <f t="shared" si="431"/>
        <v>4906769.833333333</v>
      </c>
      <c r="AM684" s="7">
        <f t="shared" si="431"/>
        <v>4906769.833333333</v>
      </c>
      <c r="AN684" s="7">
        <f t="shared" si="431"/>
        <v>4906769.833333333</v>
      </c>
      <c r="BR684" s="5">
        <v>5405054</v>
      </c>
      <c r="BS684" s="18">
        <f>[1]monsters!$N684</f>
        <v>96</v>
      </c>
      <c r="BT684" s="18">
        <f>[1]monsters!$O684</f>
        <v>9.6</v>
      </c>
      <c r="BU684" s="18">
        <f>[1]monsters!$P684</f>
        <v>1152</v>
      </c>
      <c r="BV684" s="18">
        <f>[1]monsters!$Q684</f>
        <v>115.2</v>
      </c>
      <c r="BW684" s="18">
        <f>[1]monsters!$R684</f>
        <v>32</v>
      </c>
      <c r="BX684" s="18">
        <f>[1]monsters!$S684</f>
        <v>3.2</v>
      </c>
      <c r="BY684" s="18">
        <f>[1]monsters!$K684</f>
        <v>1.5</v>
      </c>
      <c r="BZ684" s="5">
        <f>[1]monsters!$D684</f>
        <v>2</v>
      </c>
      <c r="CA684" s="5">
        <f t="shared" si="428"/>
        <v>0.1</v>
      </c>
      <c r="CB684" s="5">
        <f t="shared" si="429"/>
        <v>129.50787878787878</v>
      </c>
      <c r="CC684" s="5">
        <f t="shared" si="430"/>
        <v>12.950787878787878</v>
      </c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R684" s="3" t="b">
        <f t="shared" si="443"/>
        <v>1</v>
      </c>
      <c r="CS684" s="3" t="b">
        <f t="shared" si="444"/>
        <v>1</v>
      </c>
      <c r="CT684" s="3" t="b">
        <f t="shared" si="445"/>
        <v>1</v>
      </c>
      <c r="CU684" s="3" t="b">
        <f t="shared" si="446"/>
        <v>1</v>
      </c>
      <c r="CV684" s="3" t="b">
        <f t="shared" si="447"/>
        <v>1</v>
      </c>
      <c r="CW684" s="3" t="b">
        <f t="shared" si="448"/>
        <v>1</v>
      </c>
      <c r="CX684" s="9" t="str">
        <f t="shared" si="449"/>
        <v>5200132</v>
      </c>
      <c r="CY684" s="9" t="str">
        <f t="shared" si="450"/>
        <v>5200133</v>
      </c>
      <c r="CZ684" s="9" t="str">
        <f t="shared" si="451"/>
        <v>5200132</v>
      </c>
      <c r="DA684" s="9" t="str">
        <f t="shared" si="452"/>
        <v>5501134</v>
      </c>
      <c r="DB684" s="9" t="str">
        <f t="shared" si="453"/>
        <v>5500133</v>
      </c>
      <c r="DC684" s="9" t="str">
        <f t="shared" si="454"/>
        <v>5501134</v>
      </c>
      <c r="DD684" s="9">
        <v>13</v>
      </c>
      <c r="DE684" s="9">
        <v>13</v>
      </c>
      <c r="DF684" s="9">
        <v>13</v>
      </c>
      <c r="DG684" s="9">
        <v>13</v>
      </c>
      <c r="DH684" s="9">
        <v>13</v>
      </c>
      <c r="DI684" s="9">
        <v>13</v>
      </c>
      <c r="DJ684" s="9">
        <v>5</v>
      </c>
      <c r="DK684" s="9">
        <v>5</v>
      </c>
      <c r="DL684" s="9">
        <v>5</v>
      </c>
      <c r="DM684" s="9">
        <v>5</v>
      </c>
      <c r="DN684" s="9">
        <v>5</v>
      </c>
      <c r="DO684" s="9">
        <v>5</v>
      </c>
      <c r="DP684" s="25" t="s">
        <v>199</v>
      </c>
      <c r="DQ684" s="25" t="s">
        <v>113</v>
      </c>
      <c r="DR684" s="25" t="s">
        <v>199</v>
      </c>
      <c r="DS684" s="26" t="s">
        <v>214</v>
      </c>
      <c r="DT684" s="26" t="s">
        <v>207</v>
      </c>
      <c r="DU684" s="26" t="s">
        <v>214</v>
      </c>
      <c r="DV684" s="25">
        <f t="shared" si="455"/>
        <v>1</v>
      </c>
      <c r="DW684" s="25">
        <f t="shared" si="456"/>
        <v>1</v>
      </c>
      <c r="DX684" s="25">
        <f t="shared" si="457"/>
        <v>1</v>
      </c>
      <c r="DY684" s="25">
        <f t="shared" si="458"/>
        <v>2</v>
      </c>
      <c r="DZ684" s="25">
        <f t="shared" si="459"/>
        <v>2</v>
      </c>
      <c r="EA684" s="25">
        <f t="shared" si="460"/>
        <v>2</v>
      </c>
      <c r="EB684" s="49"/>
    </row>
    <row r="685" spans="1:132" ht="13.5" customHeight="1">
      <c r="A685" s="9">
        <v>682</v>
      </c>
      <c r="B685" s="9">
        <v>1</v>
      </c>
      <c r="C685" s="9">
        <v>2001</v>
      </c>
      <c r="D685" s="9">
        <f t="shared" si="433"/>
        <v>38957812</v>
      </c>
      <c r="E685" s="9" t="str">
        <f t="shared" si="434"/>
        <v>5202132,5201132,5301131,5400135,5501135,5402131</v>
      </c>
      <c r="F685" s="9" t="str">
        <f t="shared" si="435"/>
        <v>13,13,13,13,13,13</v>
      </c>
      <c r="G685" s="9" t="str">
        <f t="shared" si="436"/>
        <v>1448,1565,1565,1565,1565,1565</v>
      </c>
      <c r="H685" s="9">
        <v>312</v>
      </c>
      <c r="I685" s="9" t="s">
        <v>278</v>
      </c>
      <c r="J685" s="9" t="s">
        <v>279</v>
      </c>
      <c r="K685" s="9" t="s">
        <v>279</v>
      </c>
      <c r="L685" s="9" t="s">
        <v>279</v>
      </c>
      <c r="M685" s="36" t="s">
        <v>318</v>
      </c>
      <c r="O685" s="3">
        <f t="shared" si="427"/>
        <v>38957812</v>
      </c>
      <c r="P685" s="9">
        <v>29513494.18</v>
      </c>
      <c r="Q685" s="9">
        <v>5202132</v>
      </c>
      <c r="R685" s="9">
        <v>5201132</v>
      </c>
      <c r="S685" s="9">
        <v>5301131</v>
      </c>
      <c r="T685" s="9">
        <v>5400135</v>
      </c>
      <c r="U685" s="9">
        <v>5501135</v>
      </c>
      <c r="V685" s="9">
        <v>5402131</v>
      </c>
      <c r="W685" s="9">
        <v>13</v>
      </c>
      <c r="X685" s="9">
        <v>13</v>
      </c>
      <c r="Y685" s="9">
        <v>13</v>
      </c>
      <c r="Z685" s="9">
        <v>13</v>
      </c>
      <c r="AA685" s="9">
        <v>13</v>
      </c>
      <c r="AB685" s="9">
        <v>13</v>
      </c>
      <c r="AC685" s="9">
        <f t="shared" si="437"/>
        <v>1448</v>
      </c>
      <c r="AD685" s="9">
        <f t="shared" si="438"/>
        <v>1565</v>
      </c>
      <c r="AE685" s="9">
        <f t="shared" si="439"/>
        <v>1565</v>
      </c>
      <c r="AF685" s="9">
        <f t="shared" si="440"/>
        <v>1565</v>
      </c>
      <c r="AG685" s="9">
        <f t="shared" si="441"/>
        <v>1565</v>
      </c>
      <c r="AH685" s="9">
        <f t="shared" si="442"/>
        <v>1565</v>
      </c>
      <c r="AI685" s="7">
        <f t="shared" si="432"/>
        <v>4918915.6966666663</v>
      </c>
      <c r="AJ685" s="7">
        <f t="shared" si="431"/>
        <v>4918915.6966666663</v>
      </c>
      <c r="AK685" s="7">
        <f t="shared" si="431"/>
        <v>4918915.6966666663</v>
      </c>
      <c r="AL685" s="7">
        <f t="shared" si="431"/>
        <v>4918915.6966666663</v>
      </c>
      <c r="AM685" s="7">
        <f t="shared" si="431"/>
        <v>4918915.6966666663</v>
      </c>
      <c r="AN685" s="7">
        <f t="shared" si="431"/>
        <v>4918915.6966666663</v>
      </c>
      <c r="BR685" s="5">
        <v>5203054</v>
      </c>
      <c r="BS685" s="18">
        <f>[1]monsters!$N685</f>
        <v>96</v>
      </c>
      <c r="BT685" s="18">
        <f>[1]monsters!$O685</f>
        <v>9.6</v>
      </c>
      <c r="BU685" s="18">
        <f>[1]monsters!$P685</f>
        <v>1152</v>
      </c>
      <c r="BV685" s="18">
        <f>[1]monsters!$Q685</f>
        <v>115.2</v>
      </c>
      <c r="BW685" s="18">
        <f>[1]monsters!$R685</f>
        <v>32</v>
      </c>
      <c r="BX685" s="18">
        <f>[1]monsters!$S685</f>
        <v>3.2</v>
      </c>
      <c r="BY685" s="18">
        <f>[1]monsters!$K685</f>
        <v>1.5</v>
      </c>
      <c r="BZ685" s="5">
        <f>[1]monsters!$D685</f>
        <v>2</v>
      </c>
      <c r="CA685" s="5">
        <f t="shared" si="428"/>
        <v>0.1</v>
      </c>
      <c r="CB685" s="5">
        <f t="shared" si="429"/>
        <v>129.50787878787878</v>
      </c>
      <c r="CC685" s="5">
        <f t="shared" si="430"/>
        <v>12.950787878787878</v>
      </c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R685" s="3" t="b">
        <f t="shared" si="443"/>
        <v>1</v>
      </c>
      <c r="CS685" s="3" t="b">
        <f t="shared" si="444"/>
        <v>1</v>
      </c>
      <c r="CT685" s="3" t="b">
        <f t="shared" si="445"/>
        <v>1</v>
      </c>
      <c r="CU685" s="3" t="b">
        <f t="shared" si="446"/>
        <v>1</v>
      </c>
      <c r="CV685" s="3" t="b">
        <f t="shared" si="447"/>
        <v>1</v>
      </c>
      <c r="CW685" s="3" t="b">
        <f t="shared" si="448"/>
        <v>1</v>
      </c>
      <c r="CX685" s="9" t="str">
        <f t="shared" si="449"/>
        <v>5202132</v>
      </c>
      <c r="CY685" s="9" t="str">
        <f t="shared" si="450"/>
        <v>5201132</v>
      </c>
      <c r="CZ685" s="9" t="str">
        <f t="shared" si="451"/>
        <v>5301131</v>
      </c>
      <c r="DA685" s="9" t="str">
        <f t="shared" si="452"/>
        <v>5400135</v>
      </c>
      <c r="DB685" s="9" t="str">
        <f t="shared" si="453"/>
        <v>5501135</v>
      </c>
      <c r="DC685" s="9" t="str">
        <f t="shared" si="454"/>
        <v>5402131</v>
      </c>
      <c r="DD685" s="9">
        <v>13</v>
      </c>
      <c r="DE685" s="9">
        <v>13</v>
      </c>
      <c r="DF685" s="9">
        <v>13</v>
      </c>
      <c r="DG685" s="9">
        <v>13</v>
      </c>
      <c r="DH685" s="9">
        <v>13</v>
      </c>
      <c r="DI685" s="9">
        <v>13</v>
      </c>
      <c r="DJ685" s="9">
        <v>5</v>
      </c>
      <c r="DK685" s="9">
        <v>5</v>
      </c>
      <c r="DL685" s="9">
        <v>5</v>
      </c>
      <c r="DM685" s="9">
        <v>5</v>
      </c>
      <c r="DN685" s="9">
        <v>5</v>
      </c>
      <c r="DO685" s="9">
        <v>5</v>
      </c>
      <c r="DP685" s="25" t="s">
        <v>200</v>
      </c>
      <c r="DQ685" s="25" t="s">
        <v>114</v>
      </c>
      <c r="DR685" s="25" t="s">
        <v>107</v>
      </c>
      <c r="DS685" s="25" t="s">
        <v>210</v>
      </c>
      <c r="DT685" s="25" t="s">
        <v>209</v>
      </c>
      <c r="DU685" s="25" t="s">
        <v>196</v>
      </c>
      <c r="DV685" s="25">
        <f t="shared" si="455"/>
        <v>1</v>
      </c>
      <c r="DW685" s="25">
        <f t="shared" si="456"/>
        <v>1</v>
      </c>
      <c r="DX685" s="25">
        <f t="shared" si="457"/>
        <v>1</v>
      </c>
      <c r="DY685" s="25">
        <f t="shared" si="458"/>
        <v>2</v>
      </c>
      <c r="DZ685" s="25">
        <f t="shared" si="459"/>
        <v>2</v>
      </c>
      <c r="EA685" s="25">
        <f t="shared" si="460"/>
        <v>2</v>
      </c>
      <c r="EB685" s="38"/>
    </row>
    <row r="686" spans="1:132" ht="13.5" customHeight="1">
      <c r="A686" s="9">
        <v>683</v>
      </c>
      <c r="B686" s="9">
        <v>1</v>
      </c>
      <c r="C686" s="9">
        <v>2001</v>
      </c>
      <c r="D686" s="9">
        <f t="shared" si="433"/>
        <v>39054127</v>
      </c>
      <c r="E686" s="9" t="str">
        <f t="shared" si="434"/>
        <v>5301131,5301132,5301133,5500132,5500131,5500132</v>
      </c>
      <c r="F686" s="9" t="str">
        <f t="shared" si="435"/>
        <v>13,13,13,13,13,13</v>
      </c>
      <c r="G686" s="9" t="str">
        <f t="shared" si="436"/>
        <v>1450,1567,1567,1567,1567,1567</v>
      </c>
      <c r="H686" s="9">
        <v>313</v>
      </c>
      <c r="I686" s="9" t="s">
        <v>278</v>
      </c>
      <c r="J686" s="9" t="s">
        <v>279</v>
      </c>
      <c r="K686" s="9" t="s">
        <v>279</v>
      </c>
      <c r="L686" s="9" t="s">
        <v>279</v>
      </c>
      <c r="M686" s="36" t="s">
        <v>318</v>
      </c>
      <c r="O686" s="3">
        <f t="shared" si="427"/>
        <v>39054127</v>
      </c>
      <c r="P686" s="9">
        <v>29586460.09</v>
      </c>
      <c r="Q686" s="9">
        <v>5301131</v>
      </c>
      <c r="R686" s="9">
        <v>5301132</v>
      </c>
      <c r="S686" s="9">
        <v>5301133</v>
      </c>
      <c r="T686" s="9">
        <v>5500132</v>
      </c>
      <c r="U686" s="9">
        <v>5500131</v>
      </c>
      <c r="V686" s="9">
        <v>5500132</v>
      </c>
      <c r="W686" s="9">
        <v>13</v>
      </c>
      <c r="X686" s="9">
        <v>13</v>
      </c>
      <c r="Y686" s="9">
        <v>13</v>
      </c>
      <c r="Z686" s="9">
        <v>13</v>
      </c>
      <c r="AA686" s="9">
        <v>13</v>
      </c>
      <c r="AB686" s="9">
        <v>13</v>
      </c>
      <c r="AC686" s="9">
        <f t="shared" si="437"/>
        <v>1450</v>
      </c>
      <c r="AD686" s="9">
        <f t="shared" si="438"/>
        <v>1567</v>
      </c>
      <c r="AE686" s="9">
        <f t="shared" si="439"/>
        <v>1567</v>
      </c>
      <c r="AF686" s="9">
        <f t="shared" si="440"/>
        <v>1567</v>
      </c>
      <c r="AG686" s="9">
        <f t="shared" si="441"/>
        <v>1567</v>
      </c>
      <c r="AH686" s="9">
        <f t="shared" si="442"/>
        <v>1567</v>
      </c>
      <c r="AI686" s="7">
        <f t="shared" si="432"/>
        <v>4931076.6816666666</v>
      </c>
      <c r="AJ686" s="7">
        <f t="shared" si="431"/>
        <v>4931076.6816666666</v>
      </c>
      <c r="AK686" s="7">
        <f t="shared" si="431"/>
        <v>4931076.6816666666</v>
      </c>
      <c r="AL686" s="7">
        <f t="shared" si="431"/>
        <v>4931076.6816666666</v>
      </c>
      <c r="AM686" s="7">
        <f t="shared" si="431"/>
        <v>4931076.6816666666</v>
      </c>
      <c r="AN686" s="7">
        <f t="shared" si="431"/>
        <v>4931076.6816666666</v>
      </c>
      <c r="BR686" s="5">
        <v>5403054</v>
      </c>
      <c r="BS686" s="18">
        <f>[1]monsters!$N686</f>
        <v>96</v>
      </c>
      <c r="BT686" s="18">
        <f>[1]monsters!$O686</f>
        <v>9.6</v>
      </c>
      <c r="BU686" s="18">
        <f>[1]monsters!$P686</f>
        <v>1152</v>
      </c>
      <c r="BV686" s="18">
        <f>[1]monsters!$Q686</f>
        <v>115.2</v>
      </c>
      <c r="BW686" s="18">
        <f>[1]monsters!$R686</f>
        <v>32</v>
      </c>
      <c r="BX686" s="18">
        <f>[1]monsters!$S686</f>
        <v>3.2</v>
      </c>
      <c r="BY686" s="18">
        <f>[1]monsters!$K686</f>
        <v>1.5</v>
      </c>
      <c r="BZ686" s="5">
        <f>[1]monsters!$D686</f>
        <v>2</v>
      </c>
      <c r="CA686" s="5">
        <f t="shared" si="428"/>
        <v>0.1</v>
      </c>
      <c r="CB686" s="5">
        <f t="shared" si="429"/>
        <v>129.50787878787878</v>
      </c>
      <c r="CC686" s="5">
        <f t="shared" si="430"/>
        <v>12.950787878787878</v>
      </c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R686" s="3" t="b">
        <f t="shared" si="443"/>
        <v>1</v>
      </c>
      <c r="CS686" s="3" t="b">
        <f t="shared" si="444"/>
        <v>1</v>
      </c>
      <c r="CT686" s="3" t="b">
        <f t="shared" si="445"/>
        <v>1</v>
      </c>
      <c r="CU686" s="3" t="b">
        <f t="shared" si="446"/>
        <v>1</v>
      </c>
      <c r="CV686" s="3" t="b">
        <f t="shared" si="447"/>
        <v>1</v>
      </c>
      <c r="CW686" s="3" t="b">
        <f t="shared" si="448"/>
        <v>1</v>
      </c>
      <c r="CX686" s="9" t="str">
        <f t="shared" si="449"/>
        <v>5301131</v>
      </c>
      <c r="CY686" s="9" t="str">
        <f t="shared" si="450"/>
        <v>5301132</v>
      </c>
      <c r="CZ686" s="9" t="str">
        <f t="shared" si="451"/>
        <v>5301133</v>
      </c>
      <c r="DA686" s="9" t="str">
        <f t="shared" si="452"/>
        <v>5500132</v>
      </c>
      <c r="DB686" s="9" t="str">
        <f t="shared" si="453"/>
        <v>5500131</v>
      </c>
      <c r="DC686" s="9" t="str">
        <f t="shared" si="454"/>
        <v>5500132</v>
      </c>
      <c r="DD686" s="9">
        <v>13</v>
      </c>
      <c r="DE686" s="9">
        <v>13</v>
      </c>
      <c r="DF686" s="9">
        <v>13</v>
      </c>
      <c r="DG686" s="9">
        <v>13</v>
      </c>
      <c r="DH686" s="9">
        <v>13</v>
      </c>
      <c r="DI686" s="9">
        <v>13</v>
      </c>
      <c r="DJ686" s="9">
        <v>5</v>
      </c>
      <c r="DK686" s="9">
        <v>5</v>
      </c>
      <c r="DL686" s="9">
        <v>5</v>
      </c>
      <c r="DM686" s="9">
        <v>5</v>
      </c>
      <c r="DN686" s="9">
        <v>5</v>
      </c>
      <c r="DO686" s="9">
        <v>5</v>
      </c>
      <c r="DP686" s="26" t="s">
        <v>107</v>
      </c>
      <c r="DQ686" s="26" t="s">
        <v>201</v>
      </c>
      <c r="DR686" s="26" t="s">
        <v>206</v>
      </c>
      <c r="DS686" s="26" t="s">
        <v>109</v>
      </c>
      <c r="DT686" s="26" t="s">
        <v>197</v>
      </c>
      <c r="DU686" s="26" t="s">
        <v>109</v>
      </c>
      <c r="DV686" s="25">
        <f t="shared" si="455"/>
        <v>1</v>
      </c>
      <c r="DW686" s="25">
        <f t="shared" si="456"/>
        <v>1</v>
      </c>
      <c r="DX686" s="25">
        <f t="shared" si="457"/>
        <v>1</v>
      </c>
      <c r="DY686" s="25">
        <f t="shared" si="458"/>
        <v>2</v>
      </c>
      <c r="DZ686" s="25">
        <f t="shared" si="459"/>
        <v>2</v>
      </c>
      <c r="EA686" s="25">
        <f t="shared" si="460"/>
        <v>2</v>
      </c>
      <c r="EB686" s="38"/>
    </row>
    <row r="687" spans="1:132" ht="13.5" customHeight="1">
      <c r="A687" s="9">
        <v>684</v>
      </c>
      <c r="B687" s="9">
        <v>1</v>
      </c>
      <c r="C687" s="9">
        <v>2001</v>
      </c>
      <c r="D687" s="9">
        <f t="shared" si="433"/>
        <v>39150562</v>
      </c>
      <c r="E687" s="9" t="str">
        <f t="shared" si="434"/>
        <v>5201132,5201132,5201132,5501135,5400135,5501135</v>
      </c>
      <c r="F687" s="9" t="str">
        <f t="shared" si="435"/>
        <v>13,13,13,13,13,13</v>
      </c>
      <c r="G687" s="9" t="str">
        <f t="shared" si="436"/>
        <v>1452,1569,1569,1569,1569,1569</v>
      </c>
      <c r="H687" s="9">
        <v>313</v>
      </c>
      <c r="I687" s="9" t="s">
        <v>278</v>
      </c>
      <c r="J687" s="9" t="s">
        <v>279</v>
      </c>
      <c r="K687" s="9" t="s">
        <v>279</v>
      </c>
      <c r="L687" s="9" t="s">
        <v>279</v>
      </c>
      <c r="M687" s="36" t="s">
        <v>318</v>
      </c>
      <c r="O687" s="3">
        <f t="shared" si="427"/>
        <v>39150562</v>
      </c>
      <c r="P687" s="9">
        <v>29659516.73</v>
      </c>
      <c r="Q687" s="9">
        <v>5201132</v>
      </c>
      <c r="R687" s="9">
        <v>5201132</v>
      </c>
      <c r="S687" s="9">
        <v>5201132</v>
      </c>
      <c r="T687" s="9">
        <v>5501135</v>
      </c>
      <c r="U687" s="9">
        <v>5400135</v>
      </c>
      <c r="V687" s="9">
        <v>5501135</v>
      </c>
      <c r="W687" s="9">
        <v>13</v>
      </c>
      <c r="X687" s="9">
        <v>13</v>
      </c>
      <c r="Y687" s="9">
        <v>13</v>
      </c>
      <c r="Z687" s="9">
        <v>13</v>
      </c>
      <c r="AA687" s="9">
        <v>13</v>
      </c>
      <c r="AB687" s="9">
        <v>13</v>
      </c>
      <c r="AC687" s="9">
        <f t="shared" si="437"/>
        <v>1452</v>
      </c>
      <c r="AD687" s="9">
        <f t="shared" si="438"/>
        <v>1569</v>
      </c>
      <c r="AE687" s="9">
        <f t="shared" si="439"/>
        <v>1569</v>
      </c>
      <c r="AF687" s="9">
        <f t="shared" si="440"/>
        <v>1569</v>
      </c>
      <c r="AG687" s="9">
        <f t="shared" si="441"/>
        <v>1569</v>
      </c>
      <c r="AH687" s="9">
        <f t="shared" si="442"/>
        <v>1569</v>
      </c>
      <c r="AI687" s="7">
        <f t="shared" si="432"/>
        <v>4943252.7883333331</v>
      </c>
      <c r="AJ687" s="7">
        <f t="shared" si="431"/>
        <v>4943252.7883333331</v>
      </c>
      <c r="AK687" s="7">
        <f t="shared" si="431"/>
        <v>4943252.7883333331</v>
      </c>
      <c r="AL687" s="7">
        <f t="shared" si="431"/>
        <v>4943252.7883333331</v>
      </c>
      <c r="AM687" s="7">
        <f t="shared" si="431"/>
        <v>4943252.7883333331</v>
      </c>
      <c r="AN687" s="7">
        <f t="shared" si="431"/>
        <v>4943252.7883333331</v>
      </c>
      <c r="BR687" s="5">
        <v>5204054</v>
      </c>
      <c r="BS687" s="18">
        <f>[1]monsters!$N687</f>
        <v>112</v>
      </c>
      <c r="BT687" s="18">
        <f>[1]monsters!$O687</f>
        <v>11.2</v>
      </c>
      <c r="BU687" s="18">
        <f>[1]monsters!$P687</f>
        <v>1344</v>
      </c>
      <c r="BV687" s="18">
        <f>[1]monsters!$Q687</f>
        <v>134.4</v>
      </c>
      <c r="BW687" s="18">
        <f>[1]monsters!$R687</f>
        <v>37.33</v>
      </c>
      <c r="BX687" s="18">
        <f>[1]monsters!$S687</f>
        <v>3.73</v>
      </c>
      <c r="BY687" s="18">
        <f>[1]monsters!$K687</f>
        <v>1.5</v>
      </c>
      <c r="BZ687" s="5">
        <f>[1]monsters!$D687</f>
        <v>2</v>
      </c>
      <c r="CA687" s="5">
        <f t="shared" si="428"/>
        <v>0.1</v>
      </c>
      <c r="CB687" s="5">
        <f t="shared" si="429"/>
        <v>151.09252525252526</v>
      </c>
      <c r="CC687" s="5">
        <f t="shared" si="430"/>
        <v>15.109252525252527</v>
      </c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R687" s="3" t="b">
        <f t="shared" si="443"/>
        <v>1</v>
      </c>
      <c r="CS687" s="3" t="b">
        <f t="shared" si="444"/>
        <v>1</v>
      </c>
      <c r="CT687" s="3" t="b">
        <f t="shared" si="445"/>
        <v>1</v>
      </c>
      <c r="CU687" s="3" t="b">
        <f t="shared" si="446"/>
        <v>1</v>
      </c>
      <c r="CV687" s="3" t="b">
        <f t="shared" si="447"/>
        <v>1</v>
      </c>
      <c r="CW687" s="3" t="b">
        <f t="shared" si="448"/>
        <v>1</v>
      </c>
      <c r="CX687" s="9" t="str">
        <f t="shared" si="449"/>
        <v>5201132</v>
      </c>
      <c r="CY687" s="9" t="str">
        <f t="shared" si="450"/>
        <v>5201132</v>
      </c>
      <c r="CZ687" s="9" t="str">
        <f t="shared" si="451"/>
        <v>5201132</v>
      </c>
      <c r="DA687" s="9" t="str">
        <f t="shared" si="452"/>
        <v>5501135</v>
      </c>
      <c r="DB687" s="9" t="str">
        <f t="shared" si="453"/>
        <v>5400135</v>
      </c>
      <c r="DC687" s="9" t="str">
        <f t="shared" si="454"/>
        <v>5501135</v>
      </c>
      <c r="DD687" s="9">
        <v>13</v>
      </c>
      <c r="DE687" s="9">
        <v>13</v>
      </c>
      <c r="DF687" s="9">
        <v>13</v>
      </c>
      <c r="DG687" s="9">
        <v>13</v>
      </c>
      <c r="DH687" s="9">
        <v>13</v>
      </c>
      <c r="DI687" s="9">
        <v>13</v>
      </c>
      <c r="DJ687" s="9">
        <v>5</v>
      </c>
      <c r="DK687" s="9">
        <v>5</v>
      </c>
      <c r="DL687" s="9">
        <v>5</v>
      </c>
      <c r="DM687" s="9">
        <v>5</v>
      </c>
      <c r="DN687" s="9">
        <v>5</v>
      </c>
      <c r="DO687" s="9">
        <v>5</v>
      </c>
      <c r="DP687" s="25" t="s">
        <v>114</v>
      </c>
      <c r="DQ687" s="25" t="s">
        <v>114</v>
      </c>
      <c r="DR687" s="25" t="s">
        <v>114</v>
      </c>
      <c r="DS687" s="25" t="s">
        <v>209</v>
      </c>
      <c r="DT687" s="25" t="s">
        <v>210</v>
      </c>
      <c r="DU687" s="25" t="s">
        <v>209</v>
      </c>
      <c r="DV687" s="25">
        <f t="shared" si="455"/>
        <v>1</v>
      </c>
      <c r="DW687" s="25">
        <f t="shared" si="456"/>
        <v>1</v>
      </c>
      <c r="DX687" s="25">
        <f t="shared" si="457"/>
        <v>1</v>
      </c>
      <c r="DY687" s="25">
        <f t="shared" si="458"/>
        <v>2</v>
      </c>
      <c r="DZ687" s="25">
        <f t="shared" si="459"/>
        <v>2</v>
      </c>
      <c r="EA687" s="25">
        <f t="shared" si="460"/>
        <v>2</v>
      </c>
      <c r="EB687" s="38"/>
    </row>
    <row r="688" spans="1:132" ht="13.5" customHeight="1">
      <c r="A688" s="9">
        <v>685</v>
      </c>
      <c r="B688" s="9">
        <v>1</v>
      </c>
      <c r="C688" s="9">
        <v>2001</v>
      </c>
      <c r="D688" s="9">
        <f t="shared" si="433"/>
        <v>39247117</v>
      </c>
      <c r="E688" s="9" t="str">
        <f t="shared" si="434"/>
        <v>5201134,5202132,5302134,5501134,5500133,5501134</v>
      </c>
      <c r="F688" s="9" t="str">
        <f t="shared" si="435"/>
        <v>13,13,13,13,13,13</v>
      </c>
      <c r="G688" s="9" t="str">
        <f t="shared" si="436"/>
        <v>1453,1571,1571,1571,1571,1571</v>
      </c>
      <c r="H688" s="9">
        <v>314</v>
      </c>
      <c r="I688" s="9" t="s">
        <v>278</v>
      </c>
      <c r="J688" s="9" t="s">
        <v>279</v>
      </c>
      <c r="K688" s="9" t="s">
        <v>279</v>
      </c>
      <c r="L688" s="9" t="s">
        <v>279</v>
      </c>
      <c r="M688" s="36" t="s">
        <v>318</v>
      </c>
      <c r="O688" s="3">
        <f t="shared" si="427"/>
        <v>39247117</v>
      </c>
      <c r="P688" s="9">
        <v>29732664.100000001</v>
      </c>
      <c r="Q688" s="9">
        <v>5201134</v>
      </c>
      <c r="R688" s="9">
        <v>5202132</v>
      </c>
      <c r="S688" s="9">
        <v>5302134</v>
      </c>
      <c r="T688" s="9">
        <v>5501134</v>
      </c>
      <c r="U688" s="9">
        <v>5500133</v>
      </c>
      <c r="V688" s="9">
        <v>5501134</v>
      </c>
      <c r="W688" s="9">
        <v>13</v>
      </c>
      <c r="X688" s="9">
        <v>13</v>
      </c>
      <c r="Y688" s="9">
        <v>13</v>
      </c>
      <c r="Z688" s="9">
        <v>13</v>
      </c>
      <c r="AA688" s="9">
        <v>13</v>
      </c>
      <c r="AB688" s="9">
        <v>13</v>
      </c>
      <c r="AC688" s="9">
        <f t="shared" si="437"/>
        <v>1453</v>
      </c>
      <c r="AD688" s="9">
        <f t="shared" si="438"/>
        <v>1571</v>
      </c>
      <c r="AE688" s="9">
        <f t="shared" si="439"/>
        <v>1571</v>
      </c>
      <c r="AF688" s="9">
        <f t="shared" si="440"/>
        <v>1571</v>
      </c>
      <c r="AG688" s="9">
        <f t="shared" si="441"/>
        <v>1571</v>
      </c>
      <c r="AH688" s="9">
        <f t="shared" si="442"/>
        <v>1571</v>
      </c>
      <c r="AI688" s="7">
        <f t="shared" si="432"/>
        <v>4955444.0166666666</v>
      </c>
      <c r="AJ688" s="7">
        <f t="shared" si="431"/>
        <v>4955444.0166666666</v>
      </c>
      <c r="AK688" s="7">
        <f t="shared" si="431"/>
        <v>4955444.0166666666</v>
      </c>
      <c r="AL688" s="7">
        <f t="shared" si="431"/>
        <v>4955444.0166666666</v>
      </c>
      <c r="AM688" s="7">
        <f t="shared" si="431"/>
        <v>4955444.0166666666</v>
      </c>
      <c r="AN688" s="7">
        <f t="shared" si="431"/>
        <v>4955444.0166666666</v>
      </c>
      <c r="BR688" s="5">
        <v>5404054</v>
      </c>
      <c r="BS688" s="18">
        <f>[1]monsters!$N688</f>
        <v>112</v>
      </c>
      <c r="BT688" s="18">
        <f>[1]monsters!$O688</f>
        <v>11.2</v>
      </c>
      <c r="BU688" s="18">
        <f>[1]monsters!$P688</f>
        <v>1344</v>
      </c>
      <c r="BV688" s="18">
        <f>[1]monsters!$Q688</f>
        <v>134.4</v>
      </c>
      <c r="BW688" s="18">
        <f>[1]monsters!$R688</f>
        <v>37.33</v>
      </c>
      <c r="BX688" s="18">
        <f>[1]monsters!$S688</f>
        <v>3.73</v>
      </c>
      <c r="BY688" s="18">
        <f>[1]monsters!$K688</f>
        <v>1.5</v>
      </c>
      <c r="BZ688" s="5">
        <f>[1]monsters!$D688</f>
        <v>2</v>
      </c>
      <c r="CA688" s="5">
        <f t="shared" si="428"/>
        <v>0.1</v>
      </c>
      <c r="CB688" s="5">
        <f t="shared" si="429"/>
        <v>151.09252525252526</v>
      </c>
      <c r="CC688" s="5">
        <f t="shared" si="430"/>
        <v>15.109252525252527</v>
      </c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R688" s="3" t="b">
        <f t="shared" si="443"/>
        <v>1</v>
      </c>
      <c r="CS688" s="3" t="b">
        <f t="shared" si="444"/>
        <v>1</v>
      </c>
      <c r="CT688" s="3" t="b">
        <f t="shared" si="445"/>
        <v>1</v>
      </c>
      <c r="CU688" s="3" t="b">
        <f t="shared" si="446"/>
        <v>1</v>
      </c>
      <c r="CV688" s="3" t="b">
        <f t="shared" si="447"/>
        <v>1</v>
      </c>
      <c r="CW688" s="3" t="b">
        <f t="shared" si="448"/>
        <v>1</v>
      </c>
      <c r="CX688" s="9" t="str">
        <f t="shared" si="449"/>
        <v>5201134</v>
      </c>
      <c r="CY688" s="9" t="str">
        <f t="shared" si="450"/>
        <v>5202132</v>
      </c>
      <c r="CZ688" s="9" t="str">
        <f t="shared" si="451"/>
        <v>5302134</v>
      </c>
      <c r="DA688" s="9" t="str">
        <f t="shared" si="452"/>
        <v>5501134</v>
      </c>
      <c r="DB688" s="9" t="str">
        <f t="shared" si="453"/>
        <v>5500133</v>
      </c>
      <c r="DC688" s="9" t="str">
        <f t="shared" si="454"/>
        <v>5501134</v>
      </c>
      <c r="DD688" s="9">
        <v>13</v>
      </c>
      <c r="DE688" s="9">
        <v>13</v>
      </c>
      <c r="DF688" s="9">
        <v>13</v>
      </c>
      <c r="DG688" s="9">
        <v>13</v>
      </c>
      <c r="DH688" s="9">
        <v>13</v>
      </c>
      <c r="DI688" s="9">
        <v>13</v>
      </c>
      <c r="DJ688" s="9">
        <v>5</v>
      </c>
      <c r="DK688" s="9">
        <v>5</v>
      </c>
      <c r="DL688" s="9">
        <v>5</v>
      </c>
      <c r="DM688" s="9">
        <v>5</v>
      </c>
      <c r="DN688" s="9">
        <v>5</v>
      </c>
      <c r="DO688" s="9">
        <v>5</v>
      </c>
      <c r="DP688" s="27" t="s">
        <v>217</v>
      </c>
      <c r="DQ688" s="25" t="s">
        <v>200</v>
      </c>
      <c r="DR688" s="27" t="s">
        <v>218</v>
      </c>
      <c r="DS688" s="25" t="s">
        <v>214</v>
      </c>
      <c r="DT688" s="25" t="s">
        <v>207</v>
      </c>
      <c r="DU688" s="25" t="s">
        <v>214</v>
      </c>
      <c r="DV688" s="25">
        <f t="shared" si="455"/>
        <v>1</v>
      </c>
      <c r="DW688" s="25">
        <f t="shared" si="456"/>
        <v>1</v>
      </c>
      <c r="DX688" s="25">
        <f t="shared" si="457"/>
        <v>1</v>
      </c>
      <c r="DY688" s="25">
        <f t="shared" si="458"/>
        <v>2</v>
      </c>
      <c r="DZ688" s="25">
        <f t="shared" si="459"/>
        <v>2</v>
      </c>
      <c r="EA688" s="25">
        <f t="shared" si="460"/>
        <v>2</v>
      </c>
      <c r="EB688" s="49"/>
    </row>
    <row r="689" spans="1:132" ht="13.5" customHeight="1">
      <c r="A689" s="9">
        <v>686</v>
      </c>
      <c r="B689" s="9">
        <v>1</v>
      </c>
      <c r="C689" s="9">
        <v>2001</v>
      </c>
      <c r="D689" s="9">
        <f t="shared" si="433"/>
        <v>39343788</v>
      </c>
      <c r="E689" s="9" t="str">
        <f t="shared" si="434"/>
        <v>5201131,5201132,5202131,5402132,5400135,5400135</v>
      </c>
      <c r="F689" s="9" t="str">
        <f t="shared" si="435"/>
        <v>13,13,13,13,13,13</v>
      </c>
      <c r="G689" s="9" t="str">
        <f t="shared" si="436"/>
        <v>1455,1573,1573,1573,1573,1573</v>
      </c>
      <c r="H689" s="9">
        <v>314</v>
      </c>
      <c r="I689" s="9" t="s">
        <v>278</v>
      </c>
      <c r="J689" s="9" t="s">
        <v>279</v>
      </c>
      <c r="K689" s="9" t="s">
        <v>279</v>
      </c>
      <c r="L689" s="9" t="s">
        <v>279</v>
      </c>
      <c r="M689" s="36" t="s">
        <v>318</v>
      </c>
      <c r="O689" s="3">
        <f t="shared" si="427"/>
        <v>39343788</v>
      </c>
      <c r="P689" s="9">
        <v>29805900.09</v>
      </c>
      <c r="Q689" s="9">
        <v>5201131</v>
      </c>
      <c r="R689" s="9">
        <v>5201132</v>
      </c>
      <c r="S689" s="9">
        <v>5202131</v>
      </c>
      <c r="T689" s="9">
        <v>5402132</v>
      </c>
      <c r="U689" s="9">
        <v>5400135</v>
      </c>
      <c r="V689" s="9">
        <v>5400135</v>
      </c>
      <c r="W689" s="9">
        <v>13</v>
      </c>
      <c r="X689" s="9">
        <v>13</v>
      </c>
      <c r="Y689" s="9">
        <v>13</v>
      </c>
      <c r="Z689" s="9">
        <v>13</v>
      </c>
      <c r="AA689" s="9">
        <v>13</v>
      </c>
      <c r="AB689" s="9">
        <v>13</v>
      </c>
      <c r="AC689" s="9">
        <f t="shared" si="437"/>
        <v>1455</v>
      </c>
      <c r="AD689" s="9">
        <f t="shared" si="438"/>
        <v>1573</v>
      </c>
      <c r="AE689" s="9">
        <f t="shared" si="439"/>
        <v>1573</v>
      </c>
      <c r="AF689" s="9">
        <f t="shared" si="440"/>
        <v>1573</v>
      </c>
      <c r="AG689" s="9">
        <f t="shared" si="441"/>
        <v>1573</v>
      </c>
      <c r="AH689" s="9">
        <f t="shared" si="442"/>
        <v>1573</v>
      </c>
      <c r="AI689" s="7">
        <f t="shared" si="432"/>
        <v>4967650.0149999997</v>
      </c>
      <c r="AJ689" s="7">
        <f t="shared" si="431"/>
        <v>4967650.0149999997</v>
      </c>
      <c r="AK689" s="7">
        <f t="shared" si="431"/>
        <v>4967650.0149999997</v>
      </c>
      <c r="AL689" s="7">
        <f t="shared" si="431"/>
        <v>4967650.0149999997</v>
      </c>
      <c r="AM689" s="7">
        <f t="shared" si="431"/>
        <v>4967650.0149999997</v>
      </c>
      <c r="AN689" s="7">
        <f t="shared" si="431"/>
        <v>4967650.0149999997</v>
      </c>
      <c r="BR689" s="5">
        <v>5303054</v>
      </c>
      <c r="BS689" s="18">
        <f>[1]monsters!$N689</f>
        <v>112</v>
      </c>
      <c r="BT689" s="18">
        <f>[1]monsters!$O689</f>
        <v>11.2</v>
      </c>
      <c r="BU689" s="18">
        <f>[1]monsters!$P689</f>
        <v>1344</v>
      </c>
      <c r="BV689" s="18">
        <f>[1]monsters!$Q689</f>
        <v>134.4</v>
      </c>
      <c r="BW689" s="18">
        <f>[1]monsters!$R689</f>
        <v>37.33</v>
      </c>
      <c r="BX689" s="18">
        <f>[1]monsters!$S689</f>
        <v>3.73</v>
      </c>
      <c r="BY689" s="18">
        <f>[1]monsters!$K689</f>
        <v>1.5</v>
      </c>
      <c r="BZ689" s="5">
        <f>[1]monsters!$D689</f>
        <v>2</v>
      </c>
      <c r="CA689" s="5">
        <f t="shared" si="428"/>
        <v>0.1</v>
      </c>
      <c r="CB689" s="5">
        <f t="shared" si="429"/>
        <v>151.09252525252526</v>
      </c>
      <c r="CC689" s="5">
        <f t="shared" si="430"/>
        <v>15.109252525252527</v>
      </c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R689" s="3" t="b">
        <f t="shared" si="443"/>
        <v>1</v>
      </c>
      <c r="CS689" s="3" t="b">
        <f t="shared" si="444"/>
        <v>1</v>
      </c>
      <c r="CT689" s="3" t="b">
        <f t="shared" si="445"/>
        <v>1</v>
      </c>
      <c r="CU689" s="3" t="b">
        <f t="shared" si="446"/>
        <v>1</v>
      </c>
      <c r="CV689" s="3" t="b">
        <f t="shared" si="447"/>
        <v>1</v>
      </c>
      <c r="CW689" s="3" t="b">
        <f t="shared" si="448"/>
        <v>1</v>
      </c>
      <c r="CX689" s="9" t="str">
        <f t="shared" si="449"/>
        <v>5201131</v>
      </c>
      <c r="CY689" s="9" t="str">
        <f t="shared" si="450"/>
        <v>5201132</v>
      </c>
      <c r="CZ689" s="9" t="str">
        <f t="shared" si="451"/>
        <v>5202131</v>
      </c>
      <c r="DA689" s="9" t="str">
        <f t="shared" si="452"/>
        <v>5402132</v>
      </c>
      <c r="DB689" s="9" t="str">
        <f t="shared" si="453"/>
        <v>5400135</v>
      </c>
      <c r="DC689" s="9" t="str">
        <f t="shared" si="454"/>
        <v>5400135</v>
      </c>
      <c r="DD689" s="9">
        <v>13</v>
      </c>
      <c r="DE689" s="9">
        <v>13</v>
      </c>
      <c r="DF689" s="9">
        <v>13</v>
      </c>
      <c r="DG689" s="9">
        <v>13</v>
      </c>
      <c r="DH689" s="9">
        <v>13</v>
      </c>
      <c r="DI689" s="9">
        <v>13</v>
      </c>
      <c r="DJ689" s="9">
        <v>5</v>
      </c>
      <c r="DK689" s="9">
        <v>5</v>
      </c>
      <c r="DL689" s="9">
        <v>5</v>
      </c>
      <c r="DM689" s="9">
        <v>5</v>
      </c>
      <c r="DN689" s="9">
        <v>5</v>
      </c>
      <c r="DO689" s="9">
        <v>5</v>
      </c>
      <c r="DP689" s="26" t="s">
        <v>195</v>
      </c>
      <c r="DQ689" s="26" t="s">
        <v>114</v>
      </c>
      <c r="DR689" s="26" t="s">
        <v>111</v>
      </c>
      <c r="DS689" s="26" t="s">
        <v>203</v>
      </c>
      <c r="DT689" s="26" t="s">
        <v>210</v>
      </c>
      <c r="DU689" s="26" t="s">
        <v>210</v>
      </c>
      <c r="DV689" s="25">
        <f t="shared" si="455"/>
        <v>1</v>
      </c>
      <c r="DW689" s="25">
        <f t="shared" si="456"/>
        <v>1</v>
      </c>
      <c r="DX689" s="25">
        <f t="shared" si="457"/>
        <v>1</v>
      </c>
      <c r="DY689" s="25">
        <f t="shared" si="458"/>
        <v>2</v>
      </c>
      <c r="DZ689" s="25">
        <f t="shared" si="459"/>
        <v>2</v>
      </c>
      <c r="EA689" s="25">
        <f t="shared" si="460"/>
        <v>2</v>
      </c>
      <c r="EB689" s="38"/>
    </row>
    <row r="690" spans="1:132" ht="13.5" customHeight="1">
      <c r="A690" s="9">
        <v>687</v>
      </c>
      <c r="B690" s="9">
        <v>1</v>
      </c>
      <c r="C690" s="9">
        <v>2001</v>
      </c>
      <c r="D690" s="9">
        <f t="shared" si="433"/>
        <v>39440582</v>
      </c>
      <c r="E690" s="9" t="str">
        <f t="shared" si="434"/>
        <v>5302135,5202135,5301132,5500132,5501135,5400135</v>
      </c>
      <c r="F690" s="9" t="str">
        <f t="shared" si="435"/>
        <v>13,13,13,13,13,13</v>
      </c>
      <c r="G690" s="9" t="str">
        <f t="shared" si="436"/>
        <v>1457,1575,1575,1575,1575,1575</v>
      </c>
      <c r="H690" s="9">
        <v>314</v>
      </c>
      <c r="I690" s="9" t="s">
        <v>278</v>
      </c>
      <c r="J690" s="9" t="s">
        <v>279</v>
      </c>
      <c r="K690" s="9" t="s">
        <v>279</v>
      </c>
      <c r="L690" s="9" t="s">
        <v>279</v>
      </c>
      <c r="M690" s="36" t="s">
        <v>318</v>
      </c>
      <c r="O690" s="3">
        <f t="shared" si="427"/>
        <v>39440582</v>
      </c>
      <c r="P690" s="9">
        <v>29879228.920000002</v>
      </c>
      <c r="Q690" s="9">
        <v>5302135</v>
      </c>
      <c r="R690" s="9">
        <v>5202135</v>
      </c>
      <c r="S690" s="9">
        <v>5301132</v>
      </c>
      <c r="T690" s="9">
        <v>5500132</v>
      </c>
      <c r="U690" s="9">
        <v>5501135</v>
      </c>
      <c r="V690" s="9">
        <v>5400135</v>
      </c>
      <c r="W690" s="9">
        <v>13</v>
      </c>
      <c r="X690" s="9">
        <v>13</v>
      </c>
      <c r="Y690" s="9">
        <v>13</v>
      </c>
      <c r="Z690" s="9">
        <v>13</v>
      </c>
      <c r="AA690" s="9">
        <v>13</v>
      </c>
      <c r="AB690" s="9">
        <v>13</v>
      </c>
      <c r="AC690" s="9">
        <f t="shared" si="437"/>
        <v>1457</v>
      </c>
      <c r="AD690" s="9">
        <f t="shared" si="438"/>
        <v>1575</v>
      </c>
      <c r="AE690" s="9">
        <f t="shared" si="439"/>
        <v>1575</v>
      </c>
      <c r="AF690" s="9">
        <f t="shared" si="440"/>
        <v>1575</v>
      </c>
      <c r="AG690" s="9">
        <f t="shared" si="441"/>
        <v>1575</v>
      </c>
      <c r="AH690" s="9">
        <f t="shared" si="442"/>
        <v>1575</v>
      </c>
      <c r="AI690" s="7">
        <f t="shared" si="432"/>
        <v>4979871.4866666673</v>
      </c>
      <c r="AJ690" s="7">
        <f t="shared" si="431"/>
        <v>4979871.4866666673</v>
      </c>
      <c r="AK690" s="7">
        <f t="shared" si="431"/>
        <v>4979871.4866666673</v>
      </c>
      <c r="AL690" s="7">
        <f t="shared" si="431"/>
        <v>4979871.4866666673</v>
      </c>
      <c r="AM690" s="7">
        <f t="shared" si="431"/>
        <v>4979871.4866666673</v>
      </c>
      <c r="AN690" s="7">
        <f t="shared" si="431"/>
        <v>4979871.4866666673</v>
      </c>
      <c r="BR690" s="5">
        <v>5304054</v>
      </c>
      <c r="BS690" s="18">
        <f>[1]monsters!$N690</f>
        <v>112</v>
      </c>
      <c r="BT690" s="18">
        <f>[1]monsters!$O690</f>
        <v>11.2</v>
      </c>
      <c r="BU690" s="18">
        <f>[1]monsters!$P690</f>
        <v>1344</v>
      </c>
      <c r="BV690" s="18">
        <f>[1]monsters!$Q690</f>
        <v>134.4</v>
      </c>
      <c r="BW690" s="18">
        <f>[1]monsters!$R690</f>
        <v>37.33</v>
      </c>
      <c r="BX690" s="18">
        <f>[1]monsters!$S690</f>
        <v>3.73</v>
      </c>
      <c r="BY690" s="18">
        <f>[1]monsters!$K690</f>
        <v>1.5</v>
      </c>
      <c r="BZ690" s="5">
        <f>[1]monsters!$D690</f>
        <v>2</v>
      </c>
      <c r="CA690" s="5">
        <f t="shared" si="428"/>
        <v>0.1</v>
      </c>
      <c r="CB690" s="5">
        <f t="shared" si="429"/>
        <v>151.09252525252526</v>
      </c>
      <c r="CC690" s="5">
        <f t="shared" si="430"/>
        <v>15.109252525252527</v>
      </c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R690" s="3" t="b">
        <f t="shared" si="443"/>
        <v>1</v>
      </c>
      <c r="CS690" s="3" t="b">
        <f t="shared" si="444"/>
        <v>1</v>
      </c>
      <c r="CT690" s="3" t="b">
        <f t="shared" si="445"/>
        <v>1</v>
      </c>
      <c r="CU690" s="3" t="b">
        <f t="shared" si="446"/>
        <v>1</v>
      </c>
      <c r="CV690" s="3" t="b">
        <f t="shared" si="447"/>
        <v>1</v>
      </c>
      <c r="CW690" s="3" t="b">
        <f t="shared" si="448"/>
        <v>1</v>
      </c>
      <c r="CX690" s="9" t="str">
        <f t="shared" si="449"/>
        <v>5302135</v>
      </c>
      <c r="CY690" s="9" t="str">
        <f t="shared" si="450"/>
        <v>5202135</v>
      </c>
      <c r="CZ690" s="9" t="str">
        <f t="shared" si="451"/>
        <v>5301132</v>
      </c>
      <c r="DA690" s="9" t="str">
        <f t="shared" si="452"/>
        <v>5500132</v>
      </c>
      <c r="DB690" s="9" t="str">
        <f t="shared" si="453"/>
        <v>5501135</v>
      </c>
      <c r="DC690" s="9" t="str">
        <f t="shared" si="454"/>
        <v>5400135</v>
      </c>
      <c r="DD690" s="9">
        <v>13</v>
      </c>
      <c r="DE690" s="9">
        <v>13</v>
      </c>
      <c r="DF690" s="9">
        <v>13</v>
      </c>
      <c r="DG690" s="9">
        <v>13</v>
      </c>
      <c r="DH690" s="9">
        <v>13</v>
      </c>
      <c r="DI690" s="9">
        <v>13</v>
      </c>
      <c r="DJ690" s="9">
        <v>5</v>
      </c>
      <c r="DK690" s="9">
        <v>5</v>
      </c>
      <c r="DL690" s="9">
        <v>5</v>
      </c>
      <c r="DM690" s="9">
        <v>5</v>
      </c>
      <c r="DN690" s="9">
        <v>5</v>
      </c>
      <c r="DO690" s="9">
        <v>5</v>
      </c>
      <c r="DP690" s="25" t="s">
        <v>221</v>
      </c>
      <c r="DQ690" s="25" t="s">
        <v>213</v>
      </c>
      <c r="DR690" s="26" t="s">
        <v>201</v>
      </c>
      <c r="DS690" s="26" t="s">
        <v>109</v>
      </c>
      <c r="DT690" s="25" t="s">
        <v>209</v>
      </c>
      <c r="DU690" s="25" t="s">
        <v>210</v>
      </c>
      <c r="DV690" s="25">
        <f t="shared" si="455"/>
        <v>1</v>
      </c>
      <c r="DW690" s="25">
        <f t="shared" si="456"/>
        <v>1</v>
      </c>
      <c r="DX690" s="25">
        <f t="shared" si="457"/>
        <v>1</v>
      </c>
      <c r="DY690" s="25">
        <f t="shared" si="458"/>
        <v>2</v>
      </c>
      <c r="DZ690" s="25">
        <f t="shared" si="459"/>
        <v>2</v>
      </c>
      <c r="EA690" s="25">
        <f t="shared" si="460"/>
        <v>2</v>
      </c>
      <c r="EB690" s="38"/>
    </row>
    <row r="691" spans="1:132" ht="13.5" customHeight="1">
      <c r="A691" s="9">
        <v>688</v>
      </c>
      <c r="B691" s="9">
        <v>1</v>
      </c>
      <c r="C691" s="9">
        <v>2001</v>
      </c>
      <c r="D691" s="9">
        <f t="shared" si="433"/>
        <v>39537496</v>
      </c>
      <c r="E691" s="9" t="str">
        <f t="shared" si="434"/>
        <v>5202133,5202132,5201134,5501134,5500133,5501134</v>
      </c>
      <c r="F691" s="9" t="str">
        <f t="shared" si="435"/>
        <v>13,13,13,13,13,13</v>
      </c>
      <c r="G691" s="9" t="str">
        <f t="shared" si="436"/>
        <v>1459,1577,1577,1577,1577,1577</v>
      </c>
      <c r="H691" s="9">
        <v>315</v>
      </c>
      <c r="I691" s="9" t="s">
        <v>278</v>
      </c>
      <c r="J691" s="9" t="s">
        <v>279</v>
      </c>
      <c r="K691" s="9" t="s">
        <v>279</v>
      </c>
      <c r="L691" s="9" t="s">
        <v>279</v>
      </c>
      <c r="M691" s="36" t="s">
        <v>318</v>
      </c>
      <c r="O691" s="3">
        <f t="shared" si="427"/>
        <v>39537496</v>
      </c>
      <c r="P691" s="9">
        <v>29952648.48</v>
      </c>
      <c r="Q691" s="9">
        <v>5202133</v>
      </c>
      <c r="R691" s="9">
        <v>5202132</v>
      </c>
      <c r="S691" s="9">
        <v>5201134</v>
      </c>
      <c r="T691" s="9">
        <v>5501134</v>
      </c>
      <c r="U691" s="9">
        <v>5500133</v>
      </c>
      <c r="V691" s="9">
        <v>5501134</v>
      </c>
      <c r="W691" s="9">
        <v>13</v>
      </c>
      <c r="X691" s="9">
        <v>13</v>
      </c>
      <c r="Y691" s="9">
        <v>13</v>
      </c>
      <c r="Z691" s="9">
        <v>13</v>
      </c>
      <c r="AA691" s="9">
        <v>13</v>
      </c>
      <c r="AB691" s="9">
        <v>13</v>
      </c>
      <c r="AC691" s="9">
        <f t="shared" si="437"/>
        <v>1459</v>
      </c>
      <c r="AD691" s="9">
        <f t="shared" si="438"/>
        <v>1577</v>
      </c>
      <c r="AE691" s="9">
        <f t="shared" si="439"/>
        <v>1577</v>
      </c>
      <c r="AF691" s="9">
        <f t="shared" si="440"/>
        <v>1577</v>
      </c>
      <c r="AG691" s="9">
        <f t="shared" si="441"/>
        <v>1577</v>
      </c>
      <c r="AH691" s="9">
        <f t="shared" si="442"/>
        <v>1577</v>
      </c>
      <c r="AI691" s="7">
        <f t="shared" si="432"/>
        <v>4992108.08</v>
      </c>
      <c r="AJ691" s="7">
        <f t="shared" si="431"/>
        <v>4992108.08</v>
      </c>
      <c r="AK691" s="7">
        <f t="shared" si="431"/>
        <v>4992108.08</v>
      </c>
      <c r="AL691" s="7">
        <f t="shared" si="431"/>
        <v>4992108.08</v>
      </c>
      <c r="AM691" s="7">
        <f t="shared" si="431"/>
        <v>4992108.08</v>
      </c>
      <c r="AN691" s="7">
        <f t="shared" si="431"/>
        <v>4992108.08</v>
      </c>
      <c r="BR691" s="5">
        <v>5503054</v>
      </c>
      <c r="BS691" s="18">
        <f>[1]monsters!$N691</f>
        <v>112</v>
      </c>
      <c r="BT691" s="18">
        <f>[1]monsters!$O691</f>
        <v>11.2</v>
      </c>
      <c r="BU691" s="18">
        <f>[1]monsters!$P691</f>
        <v>1344</v>
      </c>
      <c r="BV691" s="18">
        <f>[1]monsters!$Q691</f>
        <v>134.4</v>
      </c>
      <c r="BW691" s="18">
        <f>[1]monsters!$R691</f>
        <v>37.33</v>
      </c>
      <c r="BX691" s="18">
        <f>[1]monsters!$S691</f>
        <v>3.73</v>
      </c>
      <c r="BY691" s="18">
        <f>[1]monsters!$K691</f>
        <v>1.5</v>
      </c>
      <c r="BZ691" s="5">
        <f>[1]monsters!$D691</f>
        <v>2</v>
      </c>
      <c r="CA691" s="5">
        <f t="shared" si="428"/>
        <v>0.1</v>
      </c>
      <c r="CB691" s="5">
        <f t="shared" si="429"/>
        <v>151.09252525252526</v>
      </c>
      <c r="CC691" s="5">
        <f t="shared" si="430"/>
        <v>15.109252525252527</v>
      </c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R691" s="3" t="b">
        <f t="shared" si="443"/>
        <v>1</v>
      </c>
      <c r="CS691" s="3" t="b">
        <f t="shared" si="444"/>
        <v>1</v>
      </c>
      <c r="CT691" s="3" t="b">
        <f t="shared" si="445"/>
        <v>1</v>
      </c>
      <c r="CU691" s="3" t="b">
        <f t="shared" si="446"/>
        <v>1</v>
      </c>
      <c r="CV691" s="3" t="b">
        <f t="shared" si="447"/>
        <v>1</v>
      </c>
      <c r="CW691" s="3" t="b">
        <f t="shared" si="448"/>
        <v>1</v>
      </c>
      <c r="CX691" s="9" t="str">
        <f t="shared" si="449"/>
        <v>5202133</v>
      </c>
      <c r="CY691" s="9" t="str">
        <f t="shared" si="450"/>
        <v>5202132</v>
      </c>
      <c r="CZ691" s="9" t="str">
        <f t="shared" si="451"/>
        <v>5201134</v>
      </c>
      <c r="DA691" s="9" t="str">
        <f t="shared" si="452"/>
        <v>5501134</v>
      </c>
      <c r="DB691" s="9" t="str">
        <f t="shared" si="453"/>
        <v>5500133</v>
      </c>
      <c r="DC691" s="9" t="str">
        <f t="shared" si="454"/>
        <v>5501134</v>
      </c>
      <c r="DD691" s="9">
        <v>13</v>
      </c>
      <c r="DE691" s="9">
        <v>13</v>
      </c>
      <c r="DF691" s="9">
        <v>13</v>
      </c>
      <c r="DG691" s="9">
        <v>13</v>
      </c>
      <c r="DH691" s="9">
        <v>13</v>
      </c>
      <c r="DI691" s="9">
        <v>13</v>
      </c>
      <c r="DJ691" s="9">
        <v>5</v>
      </c>
      <c r="DK691" s="9">
        <v>5</v>
      </c>
      <c r="DL691" s="9">
        <v>5</v>
      </c>
      <c r="DM691" s="9">
        <v>5</v>
      </c>
      <c r="DN691" s="9">
        <v>5</v>
      </c>
      <c r="DO691" s="9">
        <v>5</v>
      </c>
      <c r="DP691" s="25" t="s">
        <v>208</v>
      </c>
      <c r="DQ691" s="25" t="s">
        <v>200</v>
      </c>
      <c r="DR691" s="26" t="s">
        <v>217</v>
      </c>
      <c r="DS691" s="26" t="s">
        <v>214</v>
      </c>
      <c r="DT691" s="26" t="s">
        <v>207</v>
      </c>
      <c r="DU691" s="26" t="s">
        <v>214</v>
      </c>
      <c r="DV691" s="25">
        <f t="shared" si="455"/>
        <v>1</v>
      </c>
      <c r="DW691" s="25">
        <f t="shared" si="456"/>
        <v>1</v>
      </c>
      <c r="DX691" s="25">
        <f t="shared" si="457"/>
        <v>1</v>
      </c>
      <c r="DY691" s="25">
        <f t="shared" si="458"/>
        <v>2</v>
      </c>
      <c r="DZ691" s="25">
        <f t="shared" si="459"/>
        <v>2</v>
      </c>
      <c r="EA691" s="25">
        <f t="shared" si="460"/>
        <v>2</v>
      </c>
      <c r="EB691" s="49"/>
    </row>
    <row r="692" spans="1:132" ht="13.5" customHeight="1">
      <c r="A692" s="9">
        <v>689</v>
      </c>
      <c r="B692" s="9">
        <v>1</v>
      </c>
      <c r="C692" s="9">
        <v>2001</v>
      </c>
      <c r="D692" s="9">
        <f t="shared" si="433"/>
        <v>39634530</v>
      </c>
      <c r="E692" s="9" t="str">
        <f t="shared" si="434"/>
        <v>5202133,5202133,5301133,5601133,5500133,5500133</v>
      </c>
      <c r="F692" s="9" t="str">
        <f t="shared" si="435"/>
        <v>13,13,13,13,13,13</v>
      </c>
      <c r="G692" s="9" t="str">
        <f t="shared" si="436"/>
        <v>1461,1579,1579,1579,1579,1579</v>
      </c>
      <c r="H692" s="9">
        <v>315</v>
      </c>
      <c r="I692" s="9" t="s">
        <v>278</v>
      </c>
      <c r="J692" s="9" t="s">
        <v>279</v>
      </c>
      <c r="K692" s="9" t="s">
        <v>279</v>
      </c>
      <c r="L692" s="9" t="s">
        <v>279</v>
      </c>
      <c r="M692" s="36" t="s">
        <v>318</v>
      </c>
      <c r="O692" s="3">
        <f t="shared" si="427"/>
        <v>39634530</v>
      </c>
      <c r="P692" s="9">
        <v>30026158.77</v>
      </c>
      <c r="Q692" s="9">
        <v>5202133</v>
      </c>
      <c r="R692" s="9">
        <v>5202133</v>
      </c>
      <c r="S692" s="9">
        <v>5301133</v>
      </c>
      <c r="T692" s="9">
        <v>5601133</v>
      </c>
      <c r="U692" s="9">
        <v>5500133</v>
      </c>
      <c r="V692" s="9">
        <v>5500133</v>
      </c>
      <c r="W692" s="9">
        <v>13</v>
      </c>
      <c r="X692" s="9">
        <v>13</v>
      </c>
      <c r="Y692" s="9">
        <v>13</v>
      </c>
      <c r="Z692" s="9">
        <v>13</v>
      </c>
      <c r="AA692" s="9">
        <v>13</v>
      </c>
      <c r="AB692" s="9">
        <v>13</v>
      </c>
      <c r="AC692" s="9">
        <f t="shared" si="437"/>
        <v>1461</v>
      </c>
      <c r="AD692" s="9">
        <f t="shared" si="438"/>
        <v>1579</v>
      </c>
      <c r="AE692" s="9">
        <f t="shared" si="439"/>
        <v>1579</v>
      </c>
      <c r="AF692" s="9">
        <f t="shared" si="440"/>
        <v>1579</v>
      </c>
      <c r="AG692" s="9">
        <f t="shared" si="441"/>
        <v>1579</v>
      </c>
      <c r="AH692" s="9">
        <f t="shared" si="442"/>
        <v>1579</v>
      </c>
      <c r="AI692" s="7">
        <f t="shared" si="432"/>
        <v>5004359.7949999999</v>
      </c>
      <c r="AJ692" s="7">
        <f t="shared" si="431"/>
        <v>5004359.7949999999</v>
      </c>
      <c r="AK692" s="7">
        <f t="shared" si="431"/>
        <v>5004359.7949999999</v>
      </c>
      <c r="AL692" s="7">
        <f t="shared" si="431"/>
        <v>5004359.7949999999</v>
      </c>
      <c r="AM692" s="7">
        <f t="shared" si="431"/>
        <v>5004359.7949999999</v>
      </c>
      <c r="AN692" s="7">
        <f t="shared" si="431"/>
        <v>5004359.7949999999</v>
      </c>
      <c r="BR692" s="5">
        <v>5504054</v>
      </c>
      <c r="BS692" s="18">
        <f>[1]monsters!$N692</f>
        <v>128</v>
      </c>
      <c r="BT692" s="18">
        <f>[1]monsters!$O692</f>
        <v>12.8</v>
      </c>
      <c r="BU692" s="18">
        <f>[1]monsters!$P692</f>
        <v>1536</v>
      </c>
      <c r="BV692" s="18">
        <f>[1]monsters!$Q692</f>
        <v>153.6</v>
      </c>
      <c r="BW692" s="18">
        <f>[1]monsters!$R692</f>
        <v>42.67</v>
      </c>
      <c r="BX692" s="18">
        <f>[1]monsters!$S692</f>
        <v>4.2699999999999996</v>
      </c>
      <c r="BY692" s="18">
        <f>[1]monsters!$K692</f>
        <v>1.5</v>
      </c>
      <c r="BZ692" s="5">
        <f>[1]monsters!$D692</f>
        <v>2</v>
      </c>
      <c r="CA692" s="5">
        <f t="shared" si="428"/>
        <v>0.1</v>
      </c>
      <c r="CB692" s="5">
        <f t="shared" si="429"/>
        <v>172.67717171717172</v>
      </c>
      <c r="CC692" s="5">
        <f t="shared" si="430"/>
        <v>17.267717171717173</v>
      </c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R692" s="3" t="b">
        <f t="shared" si="443"/>
        <v>1</v>
      </c>
      <c r="CS692" s="3" t="b">
        <f t="shared" si="444"/>
        <v>1</v>
      </c>
      <c r="CT692" s="3" t="b">
        <f t="shared" si="445"/>
        <v>1</v>
      </c>
      <c r="CU692" s="3" t="b">
        <f t="shared" si="446"/>
        <v>1</v>
      </c>
      <c r="CV692" s="3" t="b">
        <f t="shared" si="447"/>
        <v>1</v>
      </c>
      <c r="CW692" s="3" t="b">
        <f t="shared" si="448"/>
        <v>1</v>
      </c>
      <c r="CX692" s="9" t="str">
        <f t="shared" si="449"/>
        <v>5202133</v>
      </c>
      <c r="CY692" s="9" t="str">
        <f t="shared" si="450"/>
        <v>5202133</v>
      </c>
      <c r="CZ692" s="9" t="str">
        <f t="shared" si="451"/>
        <v>5301133</v>
      </c>
      <c r="DA692" s="9" t="str">
        <f t="shared" si="452"/>
        <v>5601133</v>
      </c>
      <c r="DB692" s="9" t="str">
        <f t="shared" si="453"/>
        <v>5500133</v>
      </c>
      <c r="DC692" s="9" t="str">
        <f t="shared" si="454"/>
        <v>5500133</v>
      </c>
      <c r="DD692" s="9">
        <v>13</v>
      </c>
      <c r="DE692" s="9">
        <v>13</v>
      </c>
      <c r="DF692" s="9">
        <v>13</v>
      </c>
      <c r="DG692" s="9">
        <v>13</v>
      </c>
      <c r="DH692" s="9">
        <v>13</v>
      </c>
      <c r="DI692" s="9">
        <v>13</v>
      </c>
      <c r="DJ692" s="9">
        <v>5</v>
      </c>
      <c r="DK692" s="9">
        <v>5</v>
      </c>
      <c r="DL692" s="9">
        <v>5</v>
      </c>
      <c r="DM692" s="9">
        <v>5</v>
      </c>
      <c r="DN692" s="9">
        <v>5</v>
      </c>
      <c r="DO692" s="9">
        <v>5</v>
      </c>
      <c r="DP692" s="25" t="s">
        <v>208</v>
      </c>
      <c r="DQ692" s="25" t="s">
        <v>208</v>
      </c>
      <c r="DR692" s="25" t="s">
        <v>206</v>
      </c>
      <c r="DS692" s="25" t="s">
        <v>216</v>
      </c>
      <c r="DT692" s="26" t="s">
        <v>207</v>
      </c>
      <c r="DU692" s="26" t="s">
        <v>207</v>
      </c>
      <c r="DV692" s="25">
        <f t="shared" si="455"/>
        <v>1</v>
      </c>
      <c r="DW692" s="25">
        <f t="shared" si="456"/>
        <v>1</v>
      </c>
      <c r="DX692" s="25">
        <f t="shared" si="457"/>
        <v>1</v>
      </c>
      <c r="DY692" s="25">
        <f t="shared" si="458"/>
        <v>2</v>
      </c>
      <c r="DZ692" s="25">
        <f t="shared" si="459"/>
        <v>2</v>
      </c>
      <c r="EA692" s="25">
        <f t="shared" si="460"/>
        <v>2</v>
      </c>
      <c r="EB692" s="38"/>
    </row>
    <row r="693" spans="1:132" ht="13.5" customHeight="1">
      <c r="A693" s="9">
        <v>690</v>
      </c>
      <c r="B693" s="9">
        <v>1</v>
      </c>
      <c r="C693" s="9">
        <v>2001</v>
      </c>
      <c r="D693" s="9">
        <f t="shared" si="433"/>
        <v>39731683</v>
      </c>
      <c r="E693" s="9" t="str">
        <f t="shared" si="434"/>
        <v>5201133,5200133,5200132,5402133,5500133,5402133</v>
      </c>
      <c r="F693" s="9" t="str">
        <f t="shared" si="435"/>
        <v>13,13,13,13,13,13</v>
      </c>
      <c r="G693" s="9" t="str">
        <f t="shared" si="436"/>
        <v>1462,1581,1581,1581,1581,1581</v>
      </c>
      <c r="H693" s="9">
        <v>316</v>
      </c>
      <c r="I693" s="9" t="s">
        <v>278</v>
      </c>
      <c r="J693" s="9" t="s">
        <v>279</v>
      </c>
      <c r="K693" s="9" t="s">
        <v>279</v>
      </c>
      <c r="L693" s="9" t="s">
        <v>279</v>
      </c>
      <c r="M693" s="36" t="s">
        <v>318</v>
      </c>
      <c r="O693" s="3">
        <f t="shared" si="427"/>
        <v>39731683</v>
      </c>
      <c r="P693" s="9">
        <v>30099759.789999999</v>
      </c>
      <c r="Q693" s="9">
        <v>5201133</v>
      </c>
      <c r="R693" s="9">
        <v>5200133</v>
      </c>
      <c r="S693" s="9">
        <v>5200132</v>
      </c>
      <c r="T693" s="9">
        <v>5402133</v>
      </c>
      <c r="U693" s="9">
        <v>5500133</v>
      </c>
      <c r="V693" s="9">
        <v>5402133</v>
      </c>
      <c r="W693" s="9">
        <v>13</v>
      </c>
      <c r="X693" s="9">
        <v>13</v>
      </c>
      <c r="Y693" s="9">
        <v>13</v>
      </c>
      <c r="Z693" s="9">
        <v>13</v>
      </c>
      <c r="AA693" s="9">
        <v>13</v>
      </c>
      <c r="AB693" s="9">
        <v>13</v>
      </c>
      <c r="AC693" s="9">
        <f t="shared" si="437"/>
        <v>1462</v>
      </c>
      <c r="AD693" s="9">
        <f t="shared" si="438"/>
        <v>1581</v>
      </c>
      <c r="AE693" s="9">
        <f t="shared" si="439"/>
        <v>1581</v>
      </c>
      <c r="AF693" s="9">
        <f t="shared" si="440"/>
        <v>1581</v>
      </c>
      <c r="AG693" s="9">
        <f t="shared" si="441"/>
        <v>1581</v>
      </c>
      <c r="AH693" s="9">
        <f t="shared" si="442"/>
        <v>1581</v>
      </c>
      <c r="AI693" s="7">
        <f t="shared" si="432"/>
        <v>5016626.6316666668</v>
      </c>
      <c r="AJ693" s="7">
        <f t="shared" si="431"/>
        <v>5016626.6316666668</v>
      </c>
      <c r="AK693" s="7">
        <f t="shared" si="431"/>
        <v>5016626.6316666668</v>
      </c>
      <c r="AL693" s="7">
        <f t="shared" si="431"/>
        <v>5016626.6316666668</v>
      </c>
      <c r="AM693" s="7">
        <f t="shared" si="431"/>
        <v>5016626.6316666668</v>
      </c>
      <c r="AN693" s="7">
        <f t="shared" si="431"/>
        <v>5016626.6316666668</v>
      </c>
      <c r="BR693" s="5">
        <v>5101054</v>
      </c>
      <c r="BS693" s="18">
        <f>[1]monsters!$N693</f>
        <v>128</v>
      </c>
      <c r="BT693" s="18">
        <f>[1]monsters!$O693</f>
        <v>12.8</v>
      </c>
      <c r="BU693" s="18">
        <f>[1]monsters!$P693</f>
        <v>1536</v>
      </c>
      <c r="BV693" s="18">
        <f>[1]monsters!$Q693</f>
        <v>153.6</v>
      </c>
      <c r="BW693" s="18">
        <f>[1]monsters!$R693</f>
        <v>42.67</v>
      </c>
      <c r="BX693" s="18">
        <f>[1]monsters!$S693</f>
        <v>4.2699999999999996</v>
      </c>
      <c r="BY693" s="18">
        <f>[1]monsters!$K693</f>
        <v>1.5</v>
      </c>
      <c r="BZ693" s="5">
        <f>[1]monsters!$D693</f>
        <v>2</v>
      </c>
      <c r="CA693" s="5">
        <f t="shared" si="428"/>
        <v>0.1</v>
      </c>
      <c r="CB693" s="5">
        <f t="shared" si="429"/>
        <v>172.67717171717172</v>
      </c>
      <c r="CC693" s="5">
        <f t="shared" si="430"/>
        <v>17.267717171717173</v>
      </c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R693" s="3" t="b">
        <f t="shared" si="443"/>
        <v>1</v>
      </c>
      <c r="CS693" s="3" t="b">
        <f t="shared" si="444"/>
        <v>1</v>
      </c>
      <c r="CT693" s="3" t="b">
        <f t="shared" si="445"/>
        <v>1</v>
      </c>
      <c r="CU693" s="3" t="b">
        <f t="shared" si="446"/>
        <v>1</v>
      </c>
      <c r="CV693" s="3" t="b">
        <f t="shared" si="447"/>
        <v>1</v>
      </c>
      <c r="CW693" s="3" t="b">
        <f t="shared" si="448"/>
        <v>1</v>
      </c>
      <c r="CX693" s="9" t="str">
        <f t="shared" si="449"/>
        <v>5201133</v>
      </c>
      <c r="CY693" s="9" t="str">
        <f t="shared" si="450"/>
        <v>5200133</v>
      </c>
      <c r="CZ693" s="9" t="str">
        <f t="shared" si="451"/>
        <v>5200132</v>
      </c>
      <c r="DA693" s="9" t="str">
        <f t="shared" si="452"/>
        <v>5402133</v>
      </c>
      <c r="DB693" s="9" t="str">
        <f t="shared" si="453"/>
        <v>5500133</v>
      </c>
      <c r="DC693" s="9" t="str">
        <f t="shared" si="454"/>
        <v>5402133</v>
      </c>
      <c r="DD693" s="9">
        <v>13</v>
      </c>
      <c r="DE693" s="9">
        <v>13</v>
      </c>
      <c r="DF693" s="9">
        <v>13</v>
      </c>
      <c r="DG693" s="9">
        <v>13</v>
      </c>
      <c r="DH693" s="9">
        <v>13</v>
      </c>
      <c r="DI693" s="9">
        <v>13</v>
      </c>
      <c r="DJ693" s="9">
        <v>5</v>
      </c>
      <c r="DK693" s="9">
        <v>5</v>
      </c>
      <c r="DL693" s="9">
        <v>5</v>
      </c>
      <c r="DM693" s="9">
        <v>5</v>
      </c>
      <c r="DN693" s="9">
        <v>5</v>
      </c>
      <c r="DO693" s="9">
        <v>5</v>
      </c>
      <c r="DP693" s="25" t="s">
        <v>205</v>
      </c>
      <c r="DQ693" s="25" t="s">
        <v>113</v>
      </c>
      <c r="DR693" s="25" t="s">
        <v>199</v>
      </c>
      <c r="DS693" s="26" t="s">
        <v>118</v>
      </c>
      <c r="DT693" s="26" t="s">
        <v>207</v>
      </c>
      <c r="DU693" s="26" t="s">
        <v>118</v>
      </c>
      <c r="DV693" s="25">
        <f t="shared" si="455"/>
        <v>1</v>
      </c>
      <c r="DW693" s="25">
        <f t="shared" si="456"/>
        <v>1</v>
      </c>
      <c r="DX693" s="25">
        <f t="shared" si="457"/>
        <v>1</v>
      </c>
      <c r="DY693" s="25">
        <f t="shared" si="458"/>
        <v>2</v>
      </c>
      <c r="DZ693" s="25">
        <f t="shared" si="459"/>
        <v>2</v>
      </c>
      <c r="EA693" s="25">
        <f t="shared" si="460"/>
        <v>2</v>
      </c>
      <c r="EB693" s="38"/>
    </row>
    <row r="694" spans="1:132" ht="13.5" customHeight="1">
      <c r="A694" s="9">
        <v>691</v>
      </c>
      <c r="B694" s="9">
        <v>1</v>
      </c>
      <c r="C694" s="9">
        <v>2001</v>
      </c>
      <c r="D694" s="9">
        <f t="shared" si="433"/>
        <v>39828956</v>
      </c>
      <c r="E694" s="9" t="str">
        <f t="shared" si="434"/>
        <v>5302135,5202135,5202135,5502132,5500132,5502131</v>
      </c>
      <c r="F694" s="9" t="str">
        <f t="shared" si="435"/>
        <v>13,13,13,13,13,13</v>
      </c>
      <c r="G694" s="9" t="str">
        <f t="shared" si="436"/>
        <v>1464,1582,1582,1582,1582,1582</v>
      </c>
      <c r="H694" s="9">
        <v>316</v>
      </c>
      <c r="I694" s="9" t="s">
        <v>278</v>
      </c>
      <c r="J694" s="9" t="s">
        <v>279</v>
      </c>
      <c r="K694" s="9" t="s">
        <v>279</v>
      </c>
      <c r="L694" s="9" t="s">
        <v>279</v>
      </c>
      <c r="M694" s="36" t="s">
        <v>318</v>
      </c>
      <c r="O694" s="3">
        <f t="shared" si="427"/>
        <v>39828956</v>
      </c>
      <c r="P694" s="9">
        <v>30173451.539999999</v>
      </c>
      <c r="Q694" s="9">
        <v>5302135</v>
      </c>
      <c r="R694" s="9">
        <v>5202135</v>
      </c>
      <c r="S694" s="9">
        <v>5202135</v>
      </c>
      <c r="T694" s="9">
        <v>5502132</v>
      </c>
      <c r="U694" s="9">
        <v>5500132</v>
      </c>
      <c r="V694" s="9">
        <v>5502131</v>
      </c>
      <c r="W694" s="9">
        <v>13</v>
      </c>
      <c r="X694" s="9">
        <v>13</v>
      </c>
      <c r="Y694" s="9">
        <v>13</v>
      </c>
      <c r="Z694" s="9">
        <v>13</v>
      </c>
      <c r="AA694" s="9">
        <v>13</v>
      </c>
      <c r="AB694" s="9">
        <v>13</v>
      </c>
      <c r="AC694" s="9">
        <f t="shared" si="437"/>
        <v>1464</v>
      </c>
      <c r="AD694" s="9">
        <f t="shared" si="438"/>
        <v>1582</v>
      </c>
      <c r="AE694" s="9">
        <f t="shared" si="439"/>
        <v>1582</v>
      </c>
      <c r="AF694" s="9">
        <f t="shared" si="440"/>
        <v>1582</v>
      </c>
      <c r="AG694" s="9">
        <f t="shared" si="441"/>
        <v>1582</v>
      </c>
      <c r="AH694" s="9">
        <f t="shared" si="442"/>
        <v>1582</v>
      </c>
      <c r="AI694" s="7">
        <f t="shared" si="432"/>
        <v>5028908.59</v>
      </c>
      <c r="AJ694" s="7">
        <f t="shared" si="431"/>
        <v>5028908.59</v>
      </c>
      <c r="AK694" s="7">
        <f t="shared" si="431"/>
        <v>5028908.59</v>
      </c>
      <c r="AL694" s="7">
        <f t="shared" si="431"/>
        <v>5028908.59</v>
      </c>
      <c r="AM694" s="7">
        <f t="shared" si="431"/>
        <v>5028908.59</v>
      </c>
      <c r="AN694" s="7">
        <f t="shared" si="431"/>
        <v>5028908.59</v>
      </c>
      <c r="BR694" s="5">
        <v>5102054</v>
      </c>
      <c r="BS694" s="18">
        <f>[1]monsters!$N694</f>
        <v>128</v>
      </c>
      <c r="BT694" s="18">
        <f>[1]monsters!$O694</f>
        <v>12.8</v>
      </c>
      <c r="BU694" s="18">
        <f>[1]monsters!$P694</f>
        <v>1536</v>
      </c>
      <c r="BV694" s="18">
        <f>[1]monsters!$Q694</f>
        <v>153.6</v>
      </c>
      <c r="BW694" s="18">
        <f>[1]monsters!$R694</f>
        <v>42.67</v>
      </c>
      <c r="BX694" s="18">
        <f>[1]monsters!$S694</f>
        <v>4.2699999999999996</v>
      </c>
      <c r="BY694" s="18">
        <f>[1]monsters!$K694</f>
        <v>1.5</v>
      </c>
      <c r="BZ694" s="5">
        <f>[1]monsters!$D694</f>
        <v>2</v>
      </c>
      <c r="CA694" s="5">
        <f t="shared" si="428"/>
        <v>0.1</v>
      </c>
      <c r="CB694" s="5">
        <f t="shared" si="429"/>
        <v>172.67717171717172</v>
      </c>
      <c r="CC694" s="5">
        <f t="shared" si="430"/>
        <v>17.267717171717173</v>
      </c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R694" s="3" t="b">
        <f t="shared" si="443"/>
        <v>1</v>
      </c>
      <c r="CS694" s="3" t="b">
        <f t="shared" si="444"/>
        <v>1</v>
      </c>
      <c r="CT694" s="3" t="b">
        <f t="shared" si="445"/>
        <v>1</v>
      </c>
      <c r="CU694" s="3" t="b">
        <f t="shared" si="446"/>
        <v>1</v>
      </c>
      <c r="CV694" s="3" t="b">
        <f t="shared" si="447"/>
        <v>1</v>
      </c>
      <c r="CW694" s="3" t="b">
        <f t="shared" si="448"/>
        <v>1</v>
      </c>
      <c r="CX694" s="9" t="str">
        <f t="shared" si="449"/>
        <v>5302135</v>
      </c>
      <c r="CY694" s="9" t="str">
        <f t="shared" si="450"/>
        <v>5202135</v>
      </c>
      <c r="CZ694" s="9" t="str">
        <f t="shared" si="451"/>
        <v>5202135</v>
      </c>
      <c r="DA694" s="9" t="str">
        <f t="shared" si="452"/>
        <v>5502132</v>
      </c>
      <c r="DB694" s="9" t="str">
        <f t="shared" si="453"/>
        <v>5500132</v>
      </c>
      <c r="DC694" s="9" t="str">
        <f t="shared" si="454"/>
        <v>5502131</v>
      </c>
      <c r="DD694" s="9">
        <v>13</v>
      </c>
      <c r="DE694" s="9">
        <v>13</v>
      </c>
      <c r="DF694" s="9">
        <v>13</v>
      </c>
      <c r="DG694" s="9">
        <v>13</v>
      </c>
      <c r="DH694" s="9">
        <v>13</v>
      </c>
      <c r="DI694" s="9">
        <v>13</v>
      </c>
      <c r="DJ694" s="9">
        <v>5</v>
      </c>
      <c r="DK694" s="9">
        <v>5</v>
      </c>
      <c r="DL694" s="9">
        <v>5</v>
      </c>
      <c r="DM694" s="9">
        <v>5</v>
      </c>
      <c r="DN694" s="9">
        <v>5</v>
      </c>
      <c r="DO694" s="9">
        <v>5</v>
      </c>
      <c r="DP694" s="25" t="s">
        <v>221</v>
      </c>
      <c r="DQ694" s="25" t="s">
        <v>213</v>
      </c>
      <c r="DR694" s="25" t="s">
        <v>213</v>
      </c>
      <c r="DS694" s="26" t="s">
        <v>204</v>
      </c>
      <c r="DT694" s="26" t="s">
        <v>109</v>
      </c>
      <c r="DU694" s="26" t="s">
        <v>119</v>
      </c>
      <c r="DV694" s="25">
        <f t="shared" si="455"/>
        <v>1</v>
      </c>
      <c r="DW694" s="25">
        <f t="shared" si="456"/>
        <v>1</v>
      </c>
      <c r="DX694" s="25">
        <f t="shared" si="457"/>
        <v>1</v>
      </c>
      <c r="DY694" s="25">
        <f t="shared" si="458"/>
        <v>2</v>
      </c>
      <c r="DZ694" s="25">
        <f t="shared" si="459"/>
        <v>2</v>
      </c>
      <c r="EA694" s="25">
        <f t="shared" si="460"/>
        <v>2</v>
      </c>
      <c r="EB694" s="38"/>
    </row>
    <row r="695" spans="1:132" ht="13.5" customHeight="1">
      <c r="A695" s="9">
        <v>692</v>
      </c>
      <c r="B695" s="9">
        <v>1</v>
      </c>
      <c r="C695" s="9">
        <v>2001</v>
      </c>
      <c r="D695" s="9">
        <f t="shared" si="433"/>
        <v>39926349</v>
      </c>
      <c r="E695" s="9" t="str">
        <f t="shared" si="434"/>
        <v>5200132,5200133,5200132,5401131,5401133,5400135</v>
      </c>
      <c r="F695" s="9" t="str">
        <f t="shared" si="435"/>
        <v>13,13,13,13,13,13</v>
      </c>
      <c r="G695" s="9" t="str">
        <f t="shared" si="436"/>
        <v>1466,1584,1584,1584,1584,1584</v>
      </c>
      <c r="H695" s="9">
        <v>316</v>
      </c>
      <c r="I695" s="9" t="s">
        <v>278</v>
      </c>
      <c r="J695" s="9" t="s">
        <v>279</v>
      </c>
      <c r="K695" s="9" t="s">
        <v>279</v>
      </c>
      <c r="L695" s="9" t="s">
        <v>279</v>
      </c>
      <c r="M695" s="36" t="s">
        <v>318</v>
      </c>
      <c r="O695" s="3">
        <f t="shared" si="427"/>
        <v>39926349</v>
      </c>
      <c r="P695" s="9">
        <v>30247234.02</v>
      </c>
      <c r="Q695" s="9">
        <v>5200132</v>
      </c>
      <c r="R695" s="9">
        <v>5200133</v>
      </c>
      <c r="S695" s="9">
        <v>5200132</v>
      </c>
      <c r="T695" s="9">
        <v>5401131</v>
      </c>
      <c r="U695" s="9">
        <v>5401133</v>
      </c>
      <c r="V695" s="9">
        <v>5400135</v>
      </c>
      <c r="W695" s="9">
        <v>13</v>
      </c>
      <c r="X695" s="9">
        <v>13</v>
      </c>
      <c r="Y695" s="9">
        <v>13</v>
      </c>
      <c r="Z695" s="9">
        <v>13</v>
      </c>
      <c r="AA695" s="9">
        <v>13</v>
      </c>
      <c r="AB695" s="9">
        <v>13</v>
      </c>
      <c r="AC695" s="9">
        <f t="shared" si="437"/>
        <v>1466</v>
      </c>
      <c r="AD695" s="9">
        <f t="shared" si="438"/>
        <v>1584</v>
      </c>
      <c r="AE695" s="9">
        <f t="shared" si="439"/>
        <v>1584</v>
      </c>
      <c r="AF695" s="9">
        <f t="shared" si="440"/>
        <v>1584</v>
      </c>
      <c r="AG695" s="9">
        <f t="shared" si="441"/>
        <v>1584</v>
      </c>
      <c r="AH695" s="9">
        <f t="shared" si="442"/>
        <v>1584</v>
      </c>
      <c r="AI695" s="7">
        <f t="shared" si="432"/>
        <v>5041205.67</v>
      </c>
      <c r="AJ695" s="7">
        <f t="shared" si="431"/>
        <v>5041205.67</v>
      </c>
      <c r="AK695" s="7">
        <f t="shared" si="431"/>
        <v>5041205.67</v>
      </c>
      <c r="AL695" s="7">
        <f t="shared" si="431"/>
        <v>5041205.67</v>
      </c>
      <c r="AM695" s="7">
        <f t="shared" si="431"/>
        <v>5041205.67</v>
      </c>
      <c r="AN695" s="7">
        <f t="shared" si="431"/>
        <v>5041205.67</v>
      </c>
      <c r="BR695" s="5">
        <v>5206055</v>
      </c>
      <c r="BS695" s="18">
        <f>[1]monsters!$N695</f>
        <v>128</v>
      </c>
      <c r="BT695" s="18">
        <f>[1]monsters!$O695</f>
        <v>12.8</v>
      </c>
      <c r="BU695" s="18">
        <f>[1]monsters!$P695</f>
        <v>1536</v>
      </c>
      <c r="BV695" s="18">
        <f>[1]monsters!$Q695</f>
        <v>153.6</v>
      </c>
      <c r="BW695" s="18">
        <f>[1]monsters!$R695</f>
        <v>42.67</v>
      </c>
      <c r="BX695" s="18">
        <f>[1]monsters!$S695</f>
        <v>4.2699999999999996</v>
      </c>
      <c r="BY695" s="18">
        <f>[1]monsters!$K695</f>
        <v>1.5</v>
      </c>
      <c r="BZ695" s="5">
        <f>[1]monsters!$D695</f>
        <v>2</v>
      </c>
      <c r="CA695" s="5">
        <f t="shared" si="428"/>
        <v>0.1</v>
      </c>
      <c r="CB695" s="5">
        <f t="shared" si="429"/>
        <v>172.67717171717172</v>
      </c>
      <c r="CC695" s="5">
        <f t="shared" si="430"/>
        <v>17.267717171717173</v>
      </c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R695" s="3" t="b">
        <f t="shared" si="443"/>
        <v>1</v>
      </c>
      <c r="CS695" s="3" t="b">
        <f t="shared" si="444"/>
        <v>1</v>
      </c>
      <c r="CT695" s="3" t="b">
        <f t="shared" si="445"/>
        <v>1</v>
      </c>
      <c r="CU695" s="3" t="b">
        <f t="shared" si="446"/>
        <v>1</v>
      </c>
      <c r="CV695" s="3" t="b">
        <f t="shared" si="447"/>
        <v>1</v>
      </c>
      <c r="CW695" s="3" t="b">
        <f t="shared" si="448"/>
        <v>1</v>
      </c>
      <c r="CX695" s="9" t="str">
        <f t="shared" si="449"/>
        <v>5200132</v>
      </c>
      <c r="CY695" s="9" t="str">
        <f t="shared" si="450"/>
        <v>5200133</v>
      </c>
      <c r="CZ695" s="9" t="str">
        <f t="shared" si="451"/>
        <v>5200132</v>
      </c>
      <c r="DA695" s="9" t="str">
        <f t="shared" si="452"/>
        <v>5401131</v>
      </c>
      <c r="DB695" s="9" t="str">
        <f t="shared" si="453"/>
        <v>5401133</v>
      </c>
      <c r="DC695" s="9" t="str">
        <f t="shared" si="454"/>
        <v>5400135</v>
      </c>
      <c r="DD695" s="9">
        <v>13</v>
      </c>
      <c r="DE695" s="9">
        <v>13</v>
      </c>
      <c r="DF695" s="9">
        <v>13</v>
      </c>
      <c r="DG695" s="9">
        <v>13</v>
      </c>
      <c r="DH695" s="9">
        <v>13</v>
      </c>
      <c r="DI695" s="9">
        <v>13</v>
      </c>
      <c r="DJ695" s="9">
        <v>5</v>
      </c>
      <c r="DK695" s="9">
        <v>5</v>
      </c>
      <c r="DL695" s="9">
        <v>5</v>
      </c>
      <c r="DM695" s="9">
        <v>5</v>
      </c>
      <c r="DN695" s="9">
        <v>5</v>
      </c>
      <c r="DO695" s="9">
        <v>5</v>
      </c>
      <c r="DP695" s="25" t="s">
        <v>199</v>
      </c>
      <c r="DQ695" s="25" t="s">
        <v>113</v>
      </c>
      <c r="DR695" s="25" t="s">
        <v>199</v>
      </c>
      <c r="DS695" s="26" t="s">
        <v>117</v>
      </c>
      <c r="DT695" s="26" t="s">
        <v>211</v>
      </c>
      <c r="DU695" s="26" t="s">
        <v>210</v>
      </c>
      <c r="DV695" s="25">
        <f t="shared" si="455"/>
        <v>1</v>
      </c>
      <c r="DW695" s="25">
        <f t="shared" si="456"/>
        <v>1</v>
      </c>
      <c r="DX695" s="25">
        <f t="shared" si="457"/>
        <v>1</v>
      </c>
      <c r="DY695" s="25">
        <f t="shared" si="458"/>
        <v>2</v>
      </c>
      <c r="DZ695" s="25">
        <f t="shared" si="459"/>
        <v>2</v>
      </c>
      <c r="EA695" s="25">
        <f t="shared" si="460"/>
        <v>2</v>
      </c>
      <c r="EB695" s="50"/>
    </row>
    <row r="696" spans="1:132" ht="13.5" customHeight="1">
      <c r="A696" s="9">
        <v>693</v>
      </c>
      <c r="B696" s="9">
        <v>1</v>
      </c>
      <c r="C696" s="9">
        <v>2001</v>
      </c>
      <c r="D696" s="9">
        <f t="shared" si="433"/>
        <v>40023862</v>
      </c>
      <c r="E696" s="9" t="str">
        <f t="shared" si="434"/>
        <v>5202131,5202132,5301132,5502131,5500131,5502131</v>
      </c>
      <c r="F696" s="9" t="str">
        <f t="shared" si="435"/>
        <v>13,13,13,13,13,13</v>
      </c>
      <c r="G696" s="9" t="str">
        <f t="shared" si="436"/>
        <v>1468,1586,1586,1586,1586,1586</v>
      </c>
      <c r="H696" s="9">
        <v>317</v>
      </c>
      <c r="I696" s="9" t="s">
        <v>278</v>
      </c>
      <c r="J696" s="9" t="s">
        <v>279</v>
      </c>
      <c r="K696" s="9" t="s">
        <v>279</v>
      </c>
      <c r="L696" s="9" t="s">
        <v>279</v>
      </c>
      <c r="M696" s="36" t="s">
        <v>318</v>
      </c>
      <c r="O696" s="3">
        <f t="shared" ref="O696:O759" si="461">ROUND(P696*1.1*1.2,0)</f>
        <v>40023862</v>
      </c>
      <c r="P696" s="9">
        <v>30321107.23</v>
      </c>
      <c r="Q696" s="9">
        <v>5202131</v>
      </c>
      <c r="R696" s="9">
        <v>5202132</v>
      </c>
      <c r="S696" s="9">
        <v>5301132</v>
      </c>
      <c r="T696" s="9">
        <v>5502131</v>
      </c>
      <c r="U696" s="9">
        <v>5500131</v>
      </c>
      <c r="V696" s="9">
        <v>5502131</v>
      </c>
      <c r="W696" s="9">
        <v>13</v>
      </c>
      <c r="X696" s="9">
        <v>13</v>
      </c>
      <c r="Y696" s="9">
        <v>13</v>
      </c>
      <c r="Z696" s="9">
        <v>13</v>
      </c>
      <c r="AA696" s="9">
        <v>13</v>
      </c>
      <c r="AB696" s="9">
        <v>13</v>
      </c>
      <c r="AC696" s="9">
        <f t="shared" si="437"/>
        <v>1468</v>
      </c>
      <c r="AD696" s="9">
        <f t="shared" si="438"/>
        <v>1586</v>
      </c>
      <c r="AE696" s="9">
        <f t="shared" si="439"/>
        <v>1586</v>
      </c>
      <c r="AF696" s="9">
        <f t="shared" si="440"/>
        <v>1586</v>
      </c>
      <c r="AG696" s="9">
        <f t="shared" si="441"/>
        <v>1586</v>
      </c>
      <c r="AH696" s="9">
        <f t="shared" si="442"/>
        <v>1586</v>
      </c>
      <c r="AI696" s="7">
        <f t="shared" si="432"/>
        <v>5053517.8716666671</v>
      </c>
      <c r="AJ696" s="7">
        <f t="shared" si="431"/>
        <v>5053517.8716666671</v>
      </c>
      <c r="AK696" s="7">
        <f t="shared" si="431"/>
        <v>5053517.8716666671</v>
      </c>
      <c r="AL696" s="7">
        <f t="shared" si="431"/>
        <v>5053517.8716666671</v>
      </c>
      <c r="AM696" s="7">
        <f t="shared" si="431"/>
        <v>5053517.8716666671</v>
      </c>
      <c r="AN696" s="7">
        <f t="shared" si="431"/>
        <v>5053517.8716666671</v>
      </c>
      <c r="BR696" s="5">
        <v>5406055</v>
      </c>
      <c r="BS696" s="18">
        <f>[1]monsters!$N696</f>
        <v>128</v>
      </c>
      <c r="BT696" s="18">
        <f>[1]monsters!$O696</f>
        <v>12.8</v>
      </c>
      <c r="BU696" s="18">
        <f>[1]monsters!$P696</f>
        <v>1536</v>
      </c>
      <c r="BV696" s="18">
        <f>[1]monsters!$Q696</f>
        <v>153.6</v>
      </c>
      <c r="BW696" s="18">
        <f>[1]monsters!$R696</f>
        <v>42.67</v>
      </c>
      <c r="BX696" s="18">
        <f>[1]monsters!$S696</f>
        <v>4.2699999999999996</v>
      </c>
      <c r="BY696" s="18">
        <f>[1]monsters!$K696</f>
        <v>1.5</v>
      </c>
      <c r="BZ696" s="5">
        <f>[1]monsters!$D696</f>
        <v>2</v>
      </c>
      <c r="CA696" s="5">
        <f t="shared" si="428"/>
        <v>0.1</v>
      </c>
      <c r="CB696" s="5">
        <f t="shared" si="429"/>
        <v>172.67717171717172</v>
      </c>
      <c r="CC696" s="5">
        <f t="shared" si="430"/>
        <v>17.267717171717173</v>
      </c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R696" s="3" t="b">
        <f t="shared" si="443"/>
        <v>1</v>
      </c>
      <c r="CS696" s="3" t="b">
        <f t="shared" si="444"/>
        <v>1</v>
      </c>
      <c r="CT696" s="3" t="b">
        <f t="shared" si="445"/>
        <v>1</v>
      </c>
      <c r="CU696" s="3" t="b">
        <f t="shared" si="446"/>
        <v>1</v>
      </c>
      <c r="CV696" s="3" t="b">
        <f t="shared" si="447"/>
        <v>1</v>
      </c>
      <c r="CW696" s="3" t="b">
        <f t="shared" si="448"/>
        <v>1</v>
      </c>
      <c r="CX696" s="9" t="str">
        <f t="shared" si="449"/>
        <v>5202131</v>
      </c>
      <c r="CY696" s="9" t="str">
        <f t="shared" si="450"/>
        <v>5202132</v>
      </c>
      <c r="CZ696" s="9" t="str">
        <f t="shared" si="451"/>
        <v>5301132</v>
      </c>
      <c r="DA696" s="9" t="str">
        <f t="shared" si="452"/>
        <v>5502131</v>
      </c>
      <c r="DB696" s="9" t="str">
        <f t="shared" si="453"/>
        <v>5500131</v>
      </c>
      <c r="DC696" s="9" t="str">
        <f t="shared" si="454"/>
        <v>5502131</v>
      </c>
      <c r="DD696" s="9">
        <v>13</v>
      </c>
      <c r="DE696" s="9">
        <v>13</v>
      </c>
      <c r="DF696" s="9">
        <v>13</v>
      </c>
      <c r="DG696" s="9">
        <v>13</v>
      </c>
      <c r="DH696" s="9">
        <v>13</v>
      </c>
      <c r="DI696" s="9">
        <v>13</v>
      </c>
      <c r="DJ696" s="9">
        <v>5</v>
      </c>
      <c r="DK696" s="9">
        <v>5</v>
      </c>
      <c r="DL696" s="9">
        <v>5</v>
      </c>
      <c r="DM696" s="9">
        <v>5</v>
      </c>
      <c r="DN696" s="9">
        <v>5</v>
      </c>
      <c r="DO696" s="9">
        <v>5</v>
      </c>
      <c r="DP696" s="25" t="s">
        <v>111</v>
      </c>
      <c r="DQ696" s="25" t="s">
        <v>200</v>
      </c>
      <c r="DR696" s="25" t="s">
        <v>201</v>
      </c>
      <c r="DS696" s="26" t="s">
        <v>119</v>
      </c>
      <c r="DT696" s="26" t="s">
        <v>197</v>
      </c>
      <c r="DU696" s="26" t="s">
        <v>119</v>
      </c>
      <c r="DV696" s="25">
        <f t="shared" si="455"/>
        <v>1</v>
      </c>
      <c r="DW696" s="25">
        <f t="shared" si="456"/>
        <v>1</v>
      </c>
      <c r="DX696" s="25">
        <f t="shared" si="457"/>
        <v>1</v>
      </c>
      <c r="DY696" s="25">
        <f t="shared" si="458"/>
        <v>2</v>
      </c>
      <c r="DZ696" s="25">
        <f t="shared" si="459"/>
        <v>2</v>
      </c>
      <c r="EA696" s="25">
        <f t="shared" si="460"/>
        <v>2</v>
      </c>
      <c r="EB696" s="50"/>
    </row>
    <row r="697" spans="1:132" ht="13.5" customHeight="1">
      <c r="A697" s="9">
        <v>694</v>
      </c>
      <c r="B697" s="9">
        <v>1</v>
      </c>
      <c r="C697" s="9">
        <v>2001</v>
      </c>
      <c r="D697" s="9">
        <f t="shared" si="433"/>
        <v>40121491</v>
      </c>
      <c r="E697" s="9" t="str">
        <f t="shared" si="434"/>
        <v>5300135,5201132,5301131,5400135,5502132,5502132</v>
      </c>
      <c r="F697" s="9" t="str">
        <f t="shared" si="435"/>
        <v>13,13,13,13,13,13</v>
      </c>
      <c r="G697" s="9" t="str">
        <f t="shared" si="436"/>
        <v>1470,1588,1588,1588,1588,1588</v>
      </c>
      <c r="H697" s="9">
        <v>317</v>
      </c>
      <c r="I697" s="9" t="s">
        <v>278</v>
      </c>
      <c r="J697" s="9" t="s">
        <v>279</v>
      </c>
      <c r="K697" s="9" t="s">
        <v>279</v>
      </c>
      <c r="L697" s="9" t="s">
        <v>279</v>
      </c>
      <c r="M697" s="36" t="s">
        <v>318</v>
      </c>
      <c r="O697" s="3">
        <f t="shared" si="461"/>
        <v>40121491</v>
      </c>
      <c r="P697" s="9">
        <v>30395069.059999999</v>
      </c>
      <c r="Q697" s="9">
        <v>5300135</v>
      </c>
      <c r="R697" s="9">
        <v>5201132</v>
      </c>
      <c r="S697" s="9">
        <v>5301131</v>
      </c>
      <c r="T697" s="9">
        <v>5400135</v>
      </c>
      <c r="U697" s="9">
        <v>5502132</v>
      </c>
      <c r="V697" s="9">
        <v>5502132</v>
      </c>
      <c r="W697" s="9">
        <v>13</v>
      </c>
      <c r="X697" s="9">
        <v>13</v>
      </c>
      <c r="Y697" s="9">
        <v>13</v>
      </c>
      <c r="Z697" s="9">
        <v>13</v>
      </c>
      <c r="AA697" s="9">
        <v>13</v>
      </c>
      <c r="AB697" s="9">
        <v>13</v>
      </c>
      <c r="AC697" s="9">
        <f t="shared" si="437"/>
        <v>1470</v>
      </c>
      <c r="AD697" s="9">
        <f t="shared" si="438"/>
        <v>1588</v>
      </c>
      <c r="AE697" s="9">
        <f t="shared" si="439"/>
        <v>1588</v>
      </c>
      <c r="AF697" s="9">
        <f t="shared" si="440"/>
        <v>1588</v>
      </c>
      <c r="AG697" s="9">
        <f t="shared" si="441"/>
        <v>1588</v>
      </c>
      <c r="AH697" s="9">
        <f t="shared" si="442"/>
        <v>1588</v>
      </c>
      <c r="AI697" s="7">
        <f t="shared" si="432"/>
        <v>5065844.8433333328</v>
      </c>
      <c r="AJ697" s="7">
        <f t="shared" si="431"/>
        <v>5065844.8433333328</v>
      </c>
      <c r="AK697" s="7">
        <f t="shared" si="431"/>
        <v>5065844.8433333328</v>
      </c>
      <c r="AL697" s="7">
        <f t="shared" si="431"/>
        <v>5065844.8433333328</v>
      </c>
      <c r="AM697" s="7">
        <f t="shared" si="431"/>
        <v>5065844.8433333328</v>
      </c>
      <c r="AN697" s="7">
        <f t="shared" si="431"/>
        <v>5065844.8433333328</v>
      </c>
      <c r="BR697" s="5">
        <v>5205055</v>
      </c>
      <c r="BS697" s="18">
        <f>[1]monsters!$N697</f>
        <v>144</v>
      </c>
      <c r="BT697" s="18">
        <f>[1]monsters!$O697</f>
        <v>14.4</v>
      </c>
      <c r="BU697" s="18">
        <f>[1]monsters!$P697</f>
        <v>1728</v>
      </c>
      <c r="BV697" s="18">
        <f>[1]monsters!$Q697</f>
        <v>172.8</v>
      </c>
      <c r="BW697" s="18">
        <f>[1]monsters!$R697</f>
        <v>48</v>
      </c>
      <c r="BX697" s="18">
        <f>[1]monsters!$S697</f>
        <v>4.8</v>
      </c>
      <c r="BY697" s="18">
        <f>[1]monsters!$K697</f>
        <v>1.5</v>
      </c>
      <c r="BZ697" s="5">
        <f>[1]monsters!$D697</f>
        <v>2</v>
      </c>
      <c r="CA697" s="5">
        <f t="shared" si="428"/>
        <v>0.1</v>
      </c>
      <c r="CB697" s="5">
        <f t="shared" si="429"/>
        <v>194.2618181818182</v>
      </c>
      <c r="CC697" s="5">
        <f t="shared" si="430"/>
        <v>19.426181818181821</v>
      </c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R697" s="3" t="b">
        <f t="shared" si="443"/>
        <v>1</v>
      </c>
      <c r="CS697" s="3" t="b">
        <f t="shared" si="444"/>
        <v>1</v>
      </c>
      <c r="CT697" s="3" t="b">
        <f t="shared" si="445"/>
        <v>1</v>
      </c>
      <c r="CU697" s="3" t="b">
        <f t="shared" si="446"/>
        <v>1</v>
      </c>
      <c r="CV697" s="3" t="b">
        <f t="shared" si="447"/>
        <v>1</v>
      </c>
      <c r="CW697" s="3" t="b">
        <f t="shared" si="448"/>
        <v>1</v>
      </c>
      <c r="CX697" s="9" t="str">
        <f t="shared" si="449"/>
        <v>5300135</v>
      </c>
      <c r="CY697" s="9" t="str">
        <f t="shared" si="450"/>
        <v>5201132</v>
      </c>
      <c r="CZ697" s="9" t="str">
        <f t="shared" si="451"/>
        <v>5301131</v>
      </c>
      <c r="DA697" s="9" t="str">
        <f t="shared" si="452"/>
        <v>5400135</v>
      </c>
      <c r="DB697" s="9" t="str">
        <f t="shared" si="453"/>
        <v>5502132</v>
      </c>
      <c r="DC697" s="9" t="str">
        <f t="shared" si="454"/>
        <v>5502132</v>
      </c>
      <c r="DD697" s="9">
        <v>13</v>
      </c>
      <c r="DE697" s="9">
        <v>13</v>
      </c>
      <c r="DF697" s="9">
        <v>13</v>
      </c>
      <c r="DG697" s="9">
        <v>13</v>
      </c>
      <c r="DH697" s="9">
        <v>13</v>
      </c>
      <c r="DI697" s="9">
        <v>13</v>
      </c>
      <c r="DJ697" s="9">
        <v>5</v>
      </c>
      <c r="DK697" s="9">
        <v>5</v>
      </c>
      <c r="DL697" s="9">
        <v>5</v>
      </c>
      <c r="DM697" s="9">
        <v>5</v>
      </c>
      <c r="DN697" s="9">
        <v>5</v>
      </c>
      <c r="DO697" s="9">
        <v>5</v>
      </c>
      <c r="DP697" s="25" t="s">
        <v>212</v>
      </c>
      <c r="DQ697" s="27" t="s">
        <v>114</v>
      </c>
      <c r="DR697" s="27" t="s">
        <v>107</v>
      </c>
      <c r="DS697" s="25" t="s">
        <v>210</v>
      </c>
      <c r="DT697" s="28" t="s">
        <v>204</v>
      </c>
      <c r="DU697" s="28" t="s">
        <v>204</v>
      </c>
      <c r="DV697" s="25">
        <f t="shared" si="455"/>
        <v>1</v>
      </c>
      <c r="DW697" s="25">
        <f t="shared" si="456"/>
        <v>1</v>
      </c>
      <c r="DX697" s="25">
        <f t="shared" si="457"/>
        <v>1</v>
      </c>
      <c r="DY697" s="25">
        <f t="shared" si="458"/>
        <v>2</v>
      </c>
      <c r="DZ697" s="25">
        <f t="shared" si="459"/>
        <v>2</v>
      </c>
      <c r="EA697" s="25">
        <f t="shared" si="460"/>
        <v>2</v>
      </c>
      <c r="EB697" s="50"/>
    </row>
    <row r="698" spans="1:132" ht="13.5" customHeight="1">
      <c r="A698" s="9">
        <v>695</v>
      </c>
      <c r="B698" s="9">
        <v>1</v>
      </c>
      <c r="C698" s="9">
        <v>2001</v>
      </c>
      <c r="D698" s="9">
        <f t="shared" si="433"/>
        <v>40219243</v>
      </c>
      <c r="E698" s="9" t="str">
        <f t="shared" si="434"/>
        <v>5201132,5201132,5200132,5402132,5601132,5500132</v>
      </c>
      <c r="F698" s="9" t="str">
        <f t="shared" si="435"/>
        <v>13,13,13,13,13,13</v>
      </c>
      <c r="G698" s="9" t="str">
        <f t="shared" si="436"/>
        <v>1472,1590,1590,1590,1590,1590</v>
      </c>
      <c r="H698" s="9">
        <v>318</v>
      </c>
      <c r="I698" s="9" t="s">
        <v>278</v>
      </c>
      <c r="J698" s="9" t="s">
        <v>279</v>
      </c>
      <c r="K698" s="9" t="s">
        <v>279</v>
      </c>
      <c r="L698" s="9" t="s">
        <v>279</v>
      </c>
      <c r="M698" s="36" t="s">
        <v>318</v>
      </c>
      <c r="O698" s="3">
        <f t="shared" si="461"/>
        <v>40219243</v>
      </c>
      <c r="P698" s="9">
        <v>30469123.73</v>
      </c>
      <c r="Q698" s="9">
        <v>5201132</v>
      </c>
      <c r="R698" s="9">
        <v>5201132</v>
      </c>
      <c r="S698" s="9">
        <v>5200132</v>
      </c>
      <c r="T698" s="9">
        <v>5402132</v>
      </c>
      <c r="U698" s="9">
        <v>5601132</v>
      </c>
      <c r="V698" s="9">
        <v>5500132</v>
      </c>
      <c r="W698" s="9">
        <v>13</v>
      </c>
      <c r="X698" s="9">
        <v>13</v>
      </c>
      <c r="Y698" s="9">
        <v>13</v>
      </c>
      <c r="Z698" s="9">
        <v>13</v>
      </c>
      <c r="AA698" s="9">
        <v>13</v>
      </c>
      <c r="AB698" s="9">
        <v>13</v>
      </c>
      <c r="AC698" s="9">
        <f t="shared" si="437"/>
        <v>1472</v>
      </c>
      <c r="AD698" s="9">
        <f t="shared" si="438"/>
        <v>1590</v>
      </c>
      <c r="AE698" s="9">
        <f t="shared" si="439"/>
        <v>1590</v>
      </c>
      <c r="AF698" s="9">
        <f t="shared" si="440"/>
        <v>1590</v>
      </c>
      <c r="AG698" s="9">
        <f t="shared" si="441"/>
        <v>1590</v>
      </c>
      <c r="AH698" s="9">
        <f t="shared" si="442"/>
        <v>1590</v>
      </c>
      <c r="AI698" s="7">
        <f t="shared" si="432"/>
        <v>5078187.2883333331</v>
      </c>
      <c r="AJ698" s="7">
        <f t="shared" si="431"/>
        <v>5078187.2883333331</v>
      </c>
      <c r="AK698" s="7">
        <f t="shared" si="431"/>
        <v>5078187.2883333331</v>
      </c>
      <c r="AL698" s="7">
        <f t="shared" si="431"/>
        <v>5078187.2883333331</v>
      </c>
      <c r="AM698" s="7">
        <f t="shared" si="431"/>
        <v>5078187.2883333331</v>
      </c>
      <c r="AN698" s="7">
        <f t="shared" si="431"/>
        <v>5078187.2883333331</v>
      </c>
      <c r="BR698" s="5">
        <v>5405055</v>
      </c>
      <c r="BS698" s="18">
        <f>[1]monsters!$N698</f>
        <v>144</v>
      </c>
      <c r="BT698" s="18">
        <f>[1]monsters!$O698</f>
        <v>14.4</v>
      </c>
      <c r="BU698" s="18">
        <f>[1]monsters!$P698</f>
        <v>1728</v>
      </c>
      <c r="BV698" s="18">
        <f>[1]monsters!$Q698</f>
        <v>172.8</v>
      </c>
      <c r="BW698" s="18">
        <f>[1]monsters!$R698</f>
        <v>48</v>
      </c>
      <c r="BX698" s="18">
        <f>[1]monsters!$S698</f>
        <v>4.8</v>
      </c>
      <c r="BY698" s="18">
        <f>[1]monsters!$K698</f>
        <v>1.5</v>
      </c>
      <c r="BZ698" s="5">
        <f>[1]monsters!$D698</f>
        <v>2</v>
      </c>
      <c r="CA698" s="5">
        <f t="shared" si="428"/>
        <v>0.1</v>
      </c>
      <c r="CB698" s="5">
        <f t="shared" si="429"/>
        <v>194.2618181818182</v>
      </c>
      <c r="CC698" s="5">
        <f t="shared" si="430"/>
        <v>19.426181818181821</v>
      </c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R698" s="3" t="b">
        <f t="shared" si="443"/>
        <v>1</v>
      </c>
      <c r="CS698" s="3" t="b">
        <f t="shared" si="444"/>
        <v>1</v>
      </c>
      <c r="CT698" s="3" t="b">
        <f t="shared" si="445"/>
        <v>1</v>
      </c>
      <c r="CU698" s="3" t="b">
        <f t="shared" si="446"/>
        <v>1</v>
      </c>
      <c r="CV698" s="3" t="b">
        <f t="shared" si="447"/>
        <v>1</v>
      </c>
      <c r="CW698" s="3" t="b">
        <f t="shared" si="448"/>
        <v>1</v>
      </c>
      <c r="CX698" s="9" t="str">
        <f t="shared" si="449"/>
        <v>5201132</v>
      </c>
      <c r="CY698" s="9" t="str">
        <f t="shared" si="450"/>
        <v>5201132</v>
      </c>
      <c r="CZ698" s="9" t="str">
        <f t="shared" si="451"/>
        <v>5200132</v>
      </c>
      <c r="DA698" s="9" t="str">
        <f t="shared" si="452"/>
        <v>5402132</v>
      </c>
      <c r="DB698" s="9" t="str">
        <f t="shared" si="453"/>
        <v>5601132</v>
      </c>
      <c r="DC698" s="9" t="str">
        <f t="shared" si="454"/>
        <v>5500132</v>
      </c>
      <c r="DD698" s="9">
        <v>13</v>
      </c>
      <c r="DE698" s="9">
        <v>13</v>
      </c>
      <c r="DF698" s="9">
        <v>13</v>
      </c>
      <c r="DG698" s="9">
        <v>13</v>
      </c>
      <c r="DH698" s="9">
        <v>13</v>
      </c>
      <c r="DI698" s="9">
        <v>13</v>
      </c>
      <c r="DJ698" s="9">
        <v>5</v>
      </c>
      <c r="DK698" s="9">
        <v>5</v>
      </c>
      <c r="DL698" s="9">
        <v>5</v>
      </c>
      <c r="DM698" s="9">
        <v>5</v>
      </c>
      <c r="DN698" s="9">
        <v>5</v>
      </c>
      <c r="DO698" s="9">
        <v>5</v>
      </c>
      <c r="DP698" s="25" t="s">
        <v>114</v>
      </c>
      <c r="DQ698" s="25" t="s">
        <v>114</v>
      </c>
      <c r="DR698" s="26" t="s">
        <v>199</v>
      </c>
      <c r="DS698" s="26" t="s">
        <v>203</v>
      </c>
      <c r="DT698" s="25" t="s">
        <v>124</v>
      </c>
      <c r="DU698" s="25" t="s">
        <v>109</v>
      </c>
      <c r="DV698" s="25">
        <f t="shared" si="455"/>
        <v>1</v>
      </c>
      <c r="DW698" s="25">
        <f t="shared" si="456"/>
        <v>1</v>
      </c>
      <c r="DX698" s="25">
        <f t="shared" si="457"/>
        <v>1</v>
      </c>
      <c r="DY698" s="25">
        <f t="shared" si="458"/>
        <v>2</v>
      </c>
      <c r="DZ698" s="25">
        <f t="shared" si="459"/>
        <v>2</v>
      </c>
      <c r="EA698" s="25">
        <f t="shared" si="460"/>
        <v>2</v>
      </c>
      <c r="EB698" s="51"/>
    </row>
    <row r="699" spans="1:132" ht="13.5" customHeight="1">
      <c r="A699" s="9">
        <v>696</v>
      </c>
      <c r="B699" s="9">
        <v>1</v>
      </c>
      <c r="C699" s="9">
        <v>2001</v>
      </c>
      <c r="D699" s="9">
        <f t="shared" si="433"/>
        <v>40317115</v>
      </c>
      <c r="E699" s="9" t="str">
        <f t="shared" si="434"/>
        <v>5200132,5200133,5200132,5502132,5500132,5502133</v>
      </c>
      <c r="F699" s="9" t="str">
        <f t="shared" si="435"/>
        <v>13,13,13,13,13,13</v>
      </c>
      <c r="G699" s="9" t="str">
        <f t="shared" si="436"/>
        <v>1473,1592,1592,1592,1592,1592</v>
      </c>
      <c r="H699" s="9">
        <v>318</v>
      </c>
      <c r="I699" s="9" t="s">
        <v>278</v>
      </c>
      <c r="J699" s="9" t="s">
        <v>279</v>
      </c>
      <c r="K699" s="9" t="s">
        <v>279</v>
      </c>
      <c r="L699" s="9" t="s">
        <v>279</v>
      </c>
      <c r="M699" s="36" t="s">
        <v>318</v>
      </c>
      <c r="O699" s="3">
        <f t="shared" si="461"/>
        <v>40317115</v>
      </c>
      <c r="P699" s="9">
        <v>30543269.129999999</v>
      </c>
      <c r="Q699" s="9">
        <v>5200132</v>
      </c>
      <c r="R699" s="9">
        <v>5200133</v>
      </c>
      <c r="S699" s="9">
        <v>5200132</v>
      </c>
      <c r="T699" s="9">
        <v>5502132</v>
      </c>
      <c r="U699" s="9">
        <v>5500132</v>
      </c>
      <c r="V699" s="9">
        <v>5502133</v>
      </c>
      <c r="W699" s="9">
        <v>13</v>
      </c>
      <c r="X699" s="9">
        <v>13</v>
      </c>
      <c r="Y699" s="9">
        <v>13</v>
      </c>
      <c r="Z699" s="9">
        <v>13</v>
      </c>
      <c r="AA699" s="9">
        <v>13</v>
      </c>
      <c r="AB699" s="9">
        <v>13</v>
      </c>
      <c r="AC699" s="9">
        <f t="shared" si="437"/>
        <v>1473</v>
      </c>
      <c r="AD699" s="9">
        <f t="shared" si="438"/>
        <v>1592</v>
      </c>
      <c r="AE699" s="9">
        <f t="shared" si="439"/>
        <v>1592</v>
      </c>
      <c r="AF699" s="9">
        <f t="shared" si="440"/>
        <v>1592</v>
      </c>
      <c r="AG699" s="9">
        <f t="shared" si="441"/>
        <v>1592</v>
      </c>
      <c r="AH699" s="9">
        <f t="shared" si="442"/>
        <v>1592</v>
      </c>
      <c r="AI699" s="7">
        <f t="shared" si="432"/>
        <v>5090544.8549999995</v>
      </c>
      <c r="AJ699" s="7">
        <f t="shared" si="431"/>
        <v>5090544.8549999995</v>
      </c>
      <c r="AK699" s="7">
        <f t="shared" si="431"/>
        <v>5090544.8549999995</v>
      </c>
      <c r="AL699" s="7">
        <f t="shared" si="431"/>
        <v>5090544.8549999995</v>
      </c>
      <c r="AM699" s="7">
        <f t="shared" si="431"/>
        <v>5090544.8549999995</v>
      </c>
      <c r="AN699" s="7">
        <f t="shared" si="431"/>
        <v>5090544.8549999995</v>
      </c>
      <c r="BR699" s="5">
        <v>5203055</v>
      </c>
      <c r="BS699" s="18">
        <f>[1]monsters!$N699</f>
        <v>144</v>
      </c>
      <c r="BT699" s="18">
        <f>[1]monsters!$O699</f>
        <v>14.4</v>
      </c>
      <c r="BU699" s="18">
        <f>[1]monsters!$P699</f>
        <v>1728</v>
      </c>
      <c r="BV699" s="18">
        <f>[1]monsters!$Q699</f>
        <v>172.8</v>
      </c>
      <c r="BW699" s="18">
        <f>[1]monsters!$R699</f>
        <v>48</v>
      </c>
      <c r="BX699" s="18">
        <f>[1]monsters!$S699</f>
        <v>4.8</v>
      </c>
      <c r="BY699" s="18">
        <f>[1]monsters!$K699</f>
        <v>1.5</v>
      </c>
      <c r="BZ699" s="5">
        <f>[1]monsters!$D699</f>
        <v>2</v>
      </c>
      <c r="CA699" s="5">
        <f t="shared" si="428"/>
        <v>0.1</v>
      </c>
      <c r="CB699" s="5">
        <f t="shared" si="429"/>
        <v>194.2618181818182</v>
      </c>
      <c r="CC699" s="5">
        <f t="shared" si="430"/>
        <v>19.426181818181821</v>
      </c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R699" s="3" t="b">
        <f t="shared" si="443"/>
        <v>1</v>
      </c>
      <c r="CS699" s="3" t="b">
        <f t="shared" si="444"/>
        <v>1</v>
      </c>
      <c r="CT699" s="3" t="b">
        <f t="shared" si="445"/>
        <v>1</v>
      </c>
      <c r="CU699" s="3" t="b">
        <f t="shared" si="446"/>
        <v>1</v>
      </c>
      <c r="CV699" s="3" t="b">
        <f t="shared" si="447"/>
        <v>1</v>
      </c>
      <c r="CW699" s="3" t="b">
        <f t="shared" si="448"/>
        <v>1</v>
      </c>
      <c r="CX699" s="9" t="str">
        <f t="shared" si="449"/>
        <v>5200132</v>
      </c>
      <c r="CY699" s="9" t="str">
        <f t="shared" si="450"/>
        <v>5200133</v>
      </c>
      <c r="CZ699" s="9" t="str">
        <f t="shared" si="451"/>
        <v>5200132</v>
      </c>
      <c r="DA699" s="9" t="str">
        <f t="shared" si="452"/>
        <v>5502132</v>
      </c>
      <c r="DB699" s="9" t="str">
        <f t="shared" si="453"/>
        <v>5500132</v>
      </c>
      <c r="DC699" s="9" t="str">
        <f t="shared" si="454"/>
        <v>5502133</v>
      </c>
      <c r="DD699" s="9">
        <v>13</v>
      </c>
      <c r="DE699" s="9">
        <v>13</v>
      </c>
      <c r="DF699" s="9">
        <v>13</v>
      </c>
      <c r="DG699" s="9">
        <v>13</v>
      </c>
      <c r="DH699" s="9">
        <v>13</v>
      </c>
      <c r="DI699" s="9">
        <v>13</v>
      </c>
      <c r="DJ699" s="9">
        <v>5</v>
      </c>
      <c r="DK699" s="9">
        <v>5</v>
      </c>
      <c r="DL699" s="9">
        <v>5</v>
      </c>
      <c r="DM699" s="9">
        <v>5</v>
      </c>
      <c r="DN699" s="9">
        <v>5</v>
      </c>
      <c r="DO699" s="9">
        <v>5</v>
      </c>
      <c r="DP699" s="25" t="s">
        <v>199</v>
      </c>
      <c r="DQ699" s="25" t="s">
        <v>113</v>
      </c>
      <c r="DR699" s="25" t="s">
        <v>199</v>
      </c>
      <c r="DS699" s="28" t="s">
        <v>204</v>
      </c>
      <c r="DT699" s="28" t="s">
        <v>109</v>
      </c>
      <c r="DU699" s="28" t="s">
        <v>215</v>
      </c>
      <c r="DV699" s="25">
        <f t="shared" si="455"/>
        <v>1</v>
      </c>
      <c r="DW699" s="25">
        <f t="shared" si="456"/>
        <v>1</v>
      </c>
      <c r="DX699" s="25">
        <f t="shared" si="457"/>
        <v>1</v>
      </c>
      <c r="DY699" s="25">
        <f t="shared" si="458"/>
        <v>2</v>
      </c>
      <c r="DZ699" s="25">
        <f t="shared" si="459"/>
        <v>2</v>
      </c>
      <c r="EA699" s="25">
        <f t="shared" si="460"/>
        <v>2</v>
      </c>
      <c r="EB699" s="50"/>
    </row>
    <row r="700" spans="1:132" ht="13.5" customHeight="1">
      <c r="A700" s="9">
        <v>697</v>
      </c>
      <c r="B700" s="9">
        <v>1</v>
      </c>
      <c r="C700" s="9">
        <v>2001</v>
      </c>
      <c r="D700" s="9">
        <f t="shared" si="433"/>
        <v>40415107</v>
      </c>
      <c r="E700" s="9" t="str">
        <f t="shared" si="434"/>
        <v>5202133,5202132,5202133,5401133,5400135,5501135</v>
      </c>
      <c r="F700" s="9" t="str">
        <f t="shared" si="435"/>
        <v>13,13,13,13,13,13</v>
      </c>
      <c r="G700" s="9" t="str">
        <f t="shared" si="436"/>
        <v>1475,1594,1594,1594,1594,1594</v>
      </c>
      <c r="H700" s="9">
        <v>318</v>
      </c>
      <c r="I700" s="9" t="s">
        <v>278</v>
      </c>
      <c r="J700" s="9" t="s">
        <v>279</v>
      </c>
      <c r="K700" s="9" t="s">
        <v>279</v>
      </c>
      <c r="L700" s="9" t="s">
        <v>279</v>
      </c>
      <c r="M700" s="36" t="s">
        <v>318</v>
      </c>
      <c r="O700" s="3">
        <f t="shared" si="461"/>
        <v>40415107</v>
      </c>
      <c r="P700" s="9">
        <v>30617505.260000002</v>
      </c>
      <c r="Q700" s="9">
        <v>5202133</v>
      </c>
      <c r="R700" s="9">
        <v>5202132</v>
      </c>
      <c r="S700" s="9">
        <v>5202133</v>
      </c>
      <c r="T700" s="9">
        <v>5401133</v>
      </c>
      <c r="U700" s="9">
        <v>5400135</v>
      </c>
      <c r="V700" s="9">
        <v>5501135</v>
      </c>
      <c r="W700" s="9">
        <v>13</v>
      </c>
      <c r="X700" s="9">
        <v>13</v>
      </c>
      <c r="Y700" s="9">
        <v>13</v>
      </c>
      <c r="Z700" s="9">
        <v>13</v>
      </c>
      <c r="AA700" s="9">
        <v>13</v>
      </c>
      <c r="AB700" s="9">
        <v>13</v>
      </c>
      <c r="AC700" s="9">
        <f t="shared" si="437"/>
        <v>1475</v>
      </c>
      <c r="AD700" s="9">
        <f t="shared" si="438"/>
        <v>1594</v>
      </c>
      <c r="AE700" s="9">
        <f t="shared" si="439"/>
        <v>1594</v>
      </c>
      <c r="AF700" s="9">
        <f t="shared" si="440"/>
        <v>1594</v>
      </c>
      <c r="AG700" s="9">
        <f t="shared" si="441"/>
        <v>1594</v>
      </c>
      <c r="AH700" s="9">
        <f t="shared" si="442"/>
        <v>1594</v>
      </c>
      <c r="AI700" s="7">
        <f t="shared" si="432"/>
        <v>5102917.5433333339</v>
      </c>
      <c r="AJ700" s="7">
        <f t="shared" si="431"/>
        <v>5102917.5433333339</v>
      </c>
      <c r="AK700" s="7">
        <f t="shared" si="431"/>
        <v>5102917.5433333339</v>
      </c>
      <c r="AL700" s="7">
        <f t="shared" si="431"/>
        <v>5102917.5433333339</v>
      </c>
      <c r="AM700" s="7">
        <f t="shared" si="431"/>
        <v>5102917.5433333339</v>
      </c>
      <c r="AN700" s="7">
        <f t="shared" si="431"/>
        <v>5102917.5433333339</v>
      </c>
      <c r="BR700" s="5">
        <v>5403055</v>
      </c>
      <c r="BS700" s="18">
        <f>[1]monsters!$N700</f>
        <v>144</v>
      </c>
      <c r="BT700" s="18">
        <f>[1]monsters!$O700</f>
        <v>14.4</v>
      </c>
      <c r="BU700" s="18">
        <f>[1]monsters!$P700</f>
        <v>1728</v>
      </c>
      <c r="BV700" s="18">
        <f>[1]monsters!$Q700</f>
        <v>172.8</v>
      </c>
      <c r="BW700" s="18">
        <f>[1]monsters!$R700</f>
        <v>48</v>
      </c>
      <c r="BX700" s="18">
        <f>[1]monsters!$S700</f>
        <v>4.8</v>
      </c>
      <c r="BY700" s="18">
        <f>[1]monsters!$K700</f>
        <v>1.5</v>
      </c>
      <c r="BZ700" s="5">
        <f>[1]monsters!$D700</f>
        <v>2</v>
      </c>
      <c r="CA700" s="5">
        <f t="shared" si="428"/>
        <v>0.1</v>
      </c>
      <c r="CB700" s="5">
        <f t="shared" si="429"/>
        <v>194.2618181818182</v>
      </c>
      <c r="CC700" s="5">
        <f t="shared" si="430"/>
        <v>19.426181818181821</v>
      </c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R700" s="3" t="b">
        <f t="shared" si="443"/>
        <v>1</v>
      </c>
      <c r="CS700" s="3" t="b">
        <f t="shared" si="444"/>
        <v>1</v>
      </c>
      <c r="CT700" s="3" t="b">
        <f t="shared" si="445"/>
        <v>1</v>
      </c>
      <c r="CU700" s="3" t="b">
        <f t="shared" si="446"/>
        <v>1</v>
      </c>
      <c r="CV700" s="3" t="b">
        <f t="shared" si="447"/>
        <v>1</v>
      </c>
      <c r="CW700" s="3" t="b">
        <f t="shared" si="448"/>
        <v>1</v>
      </c>
      <c r="CX700" s="9" t="str">
        <f t="shared" si="449"/>
        <v>5202133</v>
      </c>
      <c r="CY700" s="9" t="str">
        <f t="shared" si="450"/>
        <v>5202132</v>
      </c>
      <c r="CZ700" s="9" t="str">
        <f t="shared" si="451"/>
        <v>5202133</v>
      </c>
      <c r="DA700" s="9" t="str">
        <f t="shared" si="452"/>
        <v>5401133</v>
      </c>
      <c r="DB700" s="9" t="str">
        <f t="shared" si="453"/>
        <v>5400135</v>
      </c>
      <c r="DC700" s="9" t="str">
        <f t="shared" si="454"/>
        <v>5501135</v>
      </c>
      <c r="DD700" s="9">
        <v>13</v>
      </c>
      <c r="DE700" s="9">
        <v>13</v>
      </c>
      <c r="DF700" s="9">
        <v>13</v>
      </c>
      <c r="DG700" s="9">
        <v>13</v>
      </c>
      <c r="DH700" s="9">
        <v>13</v>
      </c>
      <c r="DI700" s="9">
        <v>13</v>
      </c>
      <c r="DJ700" s="9">
        <v>5</v>
      </c>
      <c r="DK700" s="9">
        <v>5</v>
      </c>
      <c r="DL700" s="9">
        <v>5</v>
      </c>
      <c r="DM700" s="9">
        <v>5</v>
      </c>
      <c r="DN700" s="9">
        <v>5</v>
      </c>
      <c r="DO700" s="9">
        <v>5</v>
      </c>
      <c r="DP700" s="25" t="s">
        <v>208</v>
      </c>
      <c r="DQ700" s="25" t="s">
        <v>200</v>
      </c>
      <c r="DR700" s="26" t="s">
        <v>208</v>
      </c>
      <c r="DS700" s="26" t="s">
        <v>211</v>
      </c>
      <c r="DT700" s="25" t="s">
        <v>210</v>
      </c>
      <c r="DU700" s="25" t="s">
        <v>209</v>
      </c>
      <c r="DV700" s="25">
        <f t="shared" si="455"/>
        <v>1</v>
      </c>
      <c r="DW700" s="25">
        <f t="shared" si="456"/>
        <v>1</v>
      </c>
      <c r="DX700" s="25">
        <f t="shared" si="457"/>
        <v>1</v>
      </c>
      <c r="DY700" s="25">
        <f t="shared" si="458"/>
        <v>2</v>
      </c>
      <c r="DZ700" s="25">
        <f t="shared" si="459"/>
        <v>2</v>
      </c>
      <c r="EA700" s="25">
        <f t="shared" si="460"/>
        <v>2</v>
      </c>
      <c r="EB700" s="50"/>
    </row>
    <row r="701" spans="1:132" ht="13.5" customHeight="1">
      <c r="A701" s="9">
        <v>698</v>
      </c>
      <c r="B701" s="9">
        <v>1</v>
      </c>
      <c r="C701" s="9">
        <v>2001</v>
      </c>
      <c r="D701" s="9">
        <f t="shared" si="433"/>
        <v>40513216</v>
      </c>
      <c r="E701" s="9" t="str">
        <f t="shared" si="434"/>
        <v>5201131,5201132,5201134,5501134,5500133,5602134</v>
      </c>
      <c r="F701" s="9" t="str">
        <f t="shared" si="435"/>
        <v>13,13,13,13,13,13</v>
      </c>
      <c r="G701" s="9" t="str">
        <f t="shared" si="436"/>
        <v>1477,1596,1596,1596,1596,1596</v>
      </c>
      <c r="H701" s="9">
        <v>319</v>
      </c>
      <c r="I701" s="9" t="s">
        <v>278</v>
      </c>
      <c r="J701" s="9" t="s">
        <v>279</v>
      </c>
      <c r="K701" s="9" t="s">
        <v>279</v>
      </c>
      <c r="L701" s="9" t="s">
        <v>279</v>
      </c>
      <c r="M701" s="36" t="s">
        <v>318</v>
      </c>
      <c r="O701" s="3">
        <f t="shared" si="461"/>
        <v>40513216</v>
      </c>
      <c r="P701" s="9">
        <v>30691830.010000002</v>
      </c>
      <c r="Q701" s="9">
        <v>5201131</v>
      </c>
      <c r="R701" s="9">
        <v>5201132</v>
      </c>
      <c r="S701" s="9">
        <v>5201134</v>
      </c>
      <c r="T701" s="9">
        <v>5501134</v>
      </c>
      <c r="U701" s="9">
        <v>5500133</v>
      </c>
      <c r="V701" s="9">
        <v>5602134</v>
      </c>
      <c r="W701" s="9">
        <v>13</v>
      </c>
      <c r="X701" s="9">
        <v>13</v>
      </c>
      <c r="Y701" s="9">
        <v>13</v>
      </c>
      <c r="Z701" s="9">
        <v>13</v>
      </c>
      <c r="AA701" s="9">
        <v>13</v>
      </c>
      <c r="AB701" s="9">
        <v>13</v>
      </c>
      <c r="AC701" s="9">
        <f t="shared" si="437"/>
        <v>1477</v>
      </c>
      <c r="AD701" s="9">
        <f t="shared" si="438"/>
        <v>1596</v>
      </c>
      <c r="AE701" s="9">
        <f t="shared" si="439"/>
        <v>1596</v>
      </c>
      <c r="AF701" s="9">
        <f t="shared" si="440"/>
        <v>1596</v>
      </c>
      <c r="AG701" s="9">
        <f t="shared" si="441"/>
        <v>1596</v>
      </c>
      <c r="AH701" s="9">
        <f t="shared" si="442"/>
        <v>1596</v>
      </c>
      <c r="AI701" s="7">
        <f t="shared" si="432"/>
        <v>5115305.0016666669</v>
      </c>
      <c r="AJ701" s="7">
        <f t="shared" si="431"/>
        <v>5115305.0016666669</v>
      </c>
      <c r="AK701" s="7">
        <f t="shared" si="431"/>
        <v>5115305.0016666669</v>
      </c>
      <c r="AL701" s="7">
        <f t="shared" si="431"/>
        <v>5115305.0016666669</v>
      </c>
      <c r="AM701" s="7">
        <f t="shared" si="431"/>
        <v>5115305.0016666669</v>
      </c>
      <c r="AN701" s="7">
        <f t="shared" si="431"/>
        <v>5115305.0016666669</v>
      </c>
      <c r="BR701" s="5">
        <v>5204055</v>
      </c>
      <c r="BS701" s="18">
        <f>[1]monsters!$N701</f>
        <v>144</v>
      </c>
      <c r="BT701" s="18">
        <f>[1]monsters!$O701</f>
        <v>14.4</v>
      </c>
      <c r="BU701" s="18">
        <f>[1]monsters!$P701</f>
        <v>1728</v>
      </c>
      <c r="BV701" s="18">
        <f>[1]monsters!$Q701</f>
        <v>172.8</v>
      </c>
      <c r="BW701" s="18">
        <f>[1]monsters!$R701</f>
        <v>48</v>
      </c>
      <c r="BX701" s="18">
        <f>[1]monsters!$S701</f>
        <v>4.8</v>
      </c>
      <c r="BY701" s="18">
        <f>[1]monsters!$K701</f>
        <v>1.5</v>
      </c>
      <c r="BZ701" s="5">
        <f>[1]monsters!$D701</f>
        <v>2</v>
      </c>
      <c r="CA701" s="5">
        <f t="shared" si="428"/>
        <v>0.1</v>
      </c>
      <c r="CB701" s="5">
        <f t="shared" si="429"/>
        <v>194.2618181818182</v>
      </c>
      <c r="CC701" s="5">
        <f t="shared" si="430"/>
        <v>19.426181818181821</v>
      </c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R701" s="3" t="b">
        <f t="shared" si="443"/>
        <v>1</v>
      </c>
      <c r="CS701" s="3" t="b">
        <f t="shared" si="444"/>
        <v>1</v>
      </c>
      <c r="CT701" s="3" t="b">
        <f t="shared" si="445"/>
        <v>1</v>
      </c>
      <c r="CU701" s="3" t="b">
        <f t="shared" si="446"/>
        <v>1</v>
      </c>
      <c r="CV701" s="3" t="b">
        <f t="shared" si="447"/>
        <v>1</v>
      </c>
      <c r="CW701" s="3" t="b">
        <f t="shared" si="448"/>
        <v>1</v>
      </c>
      <c r="CX701" s="9" t="str">
        <f t="shared" si="449"/>
        <v>5201131</v>
      </c>
      <c r="CY701" s="9" t="str">
        <f t="shared" si="450"/>
        <v>5201132</v>
      </c>
      <c r="CZ701" s="9" t="str">
        <f t="shared" si="451"/>
        <v>5201134</v>
      </c>
      <c r="DA701" s="9" t="str">
        <f t="shared" si="452"/>
        <v>5501134</v>
      </c>
      <c r="DB701" s="9" t="str">
        <f t="shared" si="453"/>
        <v>5500133</v>
      </c>
      <c r="DC701" s="9" t="str">
        <f t="shared" si="454"/>
        <v>5602134</v>
      </c>
      <c r="DD701" s="9">
        <v>13</v>
      </c>
      <c r="DE701" s="9">
        <v>13</v>
      </c>
      <c r="DF701" s="9">
        <v>13</v>
      </c>
      <c r="DG701" s="9">
        <v>13</v>
      </c>
      <c r="DH701" s="9">
        <v>13</v>
      </c>
      <c r="DI701" s="9">
        <v>13</v>
      </c>
      <c r="DJ701" s="9">
        <v>5</v>
      </c>
      <c r="DK701" s="9">
        <v>5</v>
      </c>
      <c r="DL701" s="9">
        <v>5</v>
      </c>
      <c r="DM701" s="9">
        <v>5</v>
      </c>
      <c r="DN701" s="9">
        <v>5</v>
      </c>
      <c r="DO701" s="9">
        <v>5</v>
      </c>
      <c r="DP701" s="25" t="s">
        <v>195</v>
      </c>
      <c r="DQ701" s="25" t="s">
        <v>114</v>
      </c>
      <c r="DR701" s="26" t="s">
        <v>217</v>
      </c>
      <c r="DS701" s="26" t="s">
        <v>214</v>
      </c>
      <c r="DT701" s="26" t="s">
        <v>207</v>
      </c>
      <c r="DU701" s="26" t="s">
        <v>220</v>
      </c>
      <c r="DV701" s="25">
        <f t="shared" si="455"/>
        <v>1</v>
      </c>
      <c r="DW701" s="25">
        <f t="shared" si="456"/>
        <v>1</v>
      </c>
      <c r="DX701" s="25">
        <f t="shared" si="457"/>
        <v>1</v>
      </c>
      <c r="DY701" s="25">
        <f t="shared" si="458"/>
        <v>2</v>
      </c>
      <c r="DZ701" s="25">
        <f t="shared" si="459"/>
        <v>2</v>
      </c>
      <c r="EA701" s="25">
        <f t="shared" si="460"/>
        <v>2</v>
      </c>
      <c r="EB701" s="50"/>
    </row>
    <row r="702" spans="1:132" ht="13.5" customHeight="1">
      <c r="A702" s="9">
        <v>699</v>
      </c>
      <c r="B702" s="9">
        <v>1</v>
      </c>
      <c r="C702" s="9">
        <v>2001</v>
      </c>
      <c r="D702" s="9">
        <f t="shared" si="433"/>
        <v>40611447</v>
      </c>
      <c r="E702" s="9" t="str">
        <f t="shared" si="434"/>
        <v>5200132,5301131,5202133,5402131,5501135,5500131</v>
      </c>
      <c r="F702" s="9" t="str">
        <f t="shared" si="435"/>
        <v>13,13,13,13,13,13</v>
      </c>
      <c r="G702" s="9" t="str">
        <f t="shared" si="436"/>
        <v>1479,1598,1598,1598,1598,1598</v>
      </c>
      <c r="H702" s="9">
        <v>319</v>
      </c>
      <c r="I702" s="9" t="s">
        <v>278</v>
      </c>
      <c r="J702" s="9" t="s">
        <v>279</v>
      </c>
      <c r="K702" s="9" t="s">
        <v>279</v>
      </c>
      <c r="L702" s="9" t="s">
        <v>279</v>
      </c>
      <c r="M702" s="36" t="s">
        <v>318</v>
      </c>
      <c r="O702" s="3">
        <f t="shared" si="461"/>
        <v>40611447</v>
      </c>
      <c r="P702" s="9">
        <v>30766247.600000001</v>
      </c>
      <c r="Q702" s="9">
        <v>5200132</v>
      </c>
      <c r="R702" s="9">
        <v>5301131</v>
      </c>
      <c r="S702" s="9">
        <v>5202133</v>
      </c>
      <c r="T702" s="9">
        <v>5402131</v>
      </c>
      <c r="U702" s="9">
        <v>5501135</v>
      </c>
      <c r="V702" s="9">
        <v>5500131</v>
      </c>
      <c r="W702" s="9">
        <v>13</v>
      </c>
      <c r="X702" s="9">
        <v>13</v>
      </c>
      <c r="Y702" s="9">
        <v>13</v>
      </c>
      <c r="Z702" s="9">
        <v>13</v>
      </c>
      <c r="AA702" s="9">
        <v>13</v>
      </c>
      <c r="AB702" s="9">
        <v>13</v>
      </c>
      <c r="AC702" s="9">
        <f t="shared" si="437"/>
        <v>1479</v>
      </c>
      <c r="AD702" s="9">
        <f t="shared" si="438"/>
        <v>1598</v>
      </c>
      <c r="AE702" s="9">
        <f t="shared" si="439"/>
        <v>1598</v>
      </c>
      <c r="AF702" s="9">
        <f t="shared" si="440"/>
        <v>1598</v>
      </c>
      <c r="AG702" s="9">
        <f t="shared" si="441"/>
        <v>1598</v>
      </c>
      <c r="AH702" s="9">
        <f t="shared" si="442"/>
        <v>1598</v>
      </c>
      <c r="AI702" s="7">
        <f t="shared" si="432"/>
        <v>5127707.9333333336</v>
      </c>
      <c r="AJ702" s="7">
        <f t="shared" si="431"/>
        <v>5127707.9333333336</v>
      </c>
      <c r="AK702" s="7">
        <f t="shared" si="431"/>
        <v>5127707.9333333336</v>
      </c>
      <c r="AL702" s="7">
        <f t="shared" si="431"/>
        <v>5127707.9333333336</v>
      </c>
      <c r="AM702" s="7">
        <f t="shared" si="431"/>
        <v>5127707.9333333336</v>
      </c>
      <c r="AN702" s="7">
        <f t="shared" si="431"/>
        <v>5127707.9333333336</v>
      </c>
      <c r="BR702" s="5">
        <v>5404055</v>
      </c>
      <c r="BS702" s="18">
        <f>[1]monsters!$N702</f>
        <v>160</v>
      </c>
      <c r="BT702" s="18">
        <f>[1]monsters!$O702</f>
        <v>16</v>
      </c>
      <c r="BU702" s="18">
        <f>[1]monsters!$P702</f>
        <v>1920</v>
      </c>
      <c r="BV702" s="18">
        <f>[1]monsters!$Q702</f>
        <v>192</v>
      </c>
      <c r="BW702" s="18">
        <f>[1]monsters!$R702</f>
        <v>53.33</v>
      </c>
      <c r="BX702" s="18">
        <f>[1]monsters!$S702</f>
        <v>5.33</v>
      </c>
      <c r="BY702" s="18">
        <f>[1]monsters!$K702</f>
        <v>1.5</v>
      </c>
      <c r="BZ702" s="5">
        <f>[1]monsters!$D702</f>
        <v>2</v>
      </c>
      <c r="CA702" s="5">
        <f t="shared" si="428"/>
        <v>0.1</v>
      </c>
      <c r="CB702" s="5">
        <f t="shared" si="429"/>
        <v>215.84646464646465</v>
      </c>
      <c r="CC702" s="5">
        <f t="shared" si="430"/>
        <v>21.584646464646468</v>
      </c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R702" s="3" t="b">
        <f t="shared" si="443"/>
        <v>1</v>
      </c>
      <c r="CS702" s="3" t="b">
        <f t="shared" si="444"/>
        <v>1</v>
      </c>
      <c r="CT702" s="3" t="b">
        <f t="shared" si="445"/>
        <v>1</v>
      </c>
      <c r="CU702" s="3" t="b">
        <f t="shared" si="446"/>
        <v>1</v>
      </c>
      <c r="CV702" s="3" t="b">
        <f t="shared" si="447"/>
        <v>1</v>
      </c>
      <c r="CW702" s="3" t="b">
        <f t="shared" si="448"/>
        <v>1</v>
      </c>
      <c r="CX702" s="9" t="str">
        <f t="shared" si="449"/>
        <v>5200132</v>
      </c>
      <c r="CY702" s="9" t="str">
        <f t="shared" si="450"/>
        <v>5301131</v>
      </c>
      <c r="CZ702" s="9" t="str">
        <f t="shared" si="451"/>
        <v>5202133</v>
      </c>
      <c r="DA702" s="9" t="str">
        <f t="shared" si="452"/>
        <v>5402131</v>
      </c>
      <c r="DB702" s="9" t="str">
        <f t="shared" si="453"/>
        <v>5501135</v>
      </c>
      <c r="DC702" s="9" t="str">
        <f t="shared" si="454"/>
        <v>5500131</v>
      </c>
      <c r="DD702" s="9">
        <v>13</v>
      </c>
      <c r="DE702" s="9">
        <v>13</v>
      </c>
      <c r="DF702" s="9">
        <v>13</v>
      </c>
      <c r="DG702" s="9">
        <v>13</v>
      </c>
      <c r="DH702" s="9">
        <v>13</v>
      </c>
      <c r="DI702" s="9">
        <v>13</v>
      </c>
      <c r="DJ702" s="9">
        <v>5</v>
      </c>
      <c r="DK702" s="9">
        <v>5</v>
      </c>
      <c r="DL702" s="9">
        <v>5</v>
      </c>
      <c r="DM702" s="9">
        <v>5</v>
      </c>
      <c r="DN702" s="9">
        <v>5</v>
      </c>
      <c r="DO702" s="9">
        <v>5</v>
      </c>
      <c r="DP702" s="25" t="s">
        <v>199</v>
      </c>
      <c r="DQ702" s="26" t="s">
        <v>107</v>
      </c>
      <c r="DR702" s="25" t="s">
        <v>208</v>
      </c>
      <c r="DS702" s="26" t="s">
        <v>196</v>
      </c>
      <c r="DT702" s="26" t="s">
        <v>209</v>
      </c>
      <c r="DU702" s="28" t="s">
        <v>197</v>
      </c>
      <c r="DV702" s="25">
        <f t="shared" si="455"/>
        <v>1</v>
      </c>
      <c r="DW702" s="25">
        <f t="shared" si="456"/>
        <v>1</v>
      </c>
      <c r="DX702" s="25">
        <f t="shared" si="457"/>
        <v>1</v>
      </c>
      <c r="DY702" s="25">
        <f t="shared" si="458"/>
        <v>2</v>
      </c>
      <c r="DZ702" s="25">
        <f t="shared" si="459"/>
        <v>2</v>
      </c>
      <c r="EA702" s="25">
        <f t="shared" si="460"/>
        <v>2</v>
      </c>
      <c r="EB702" s="51"/>
    </row>
    <row r="703" spans="1:132" ht="13.5" customHeight="1">
      <c r="A703" s="9">
        <v>700</v>
      </c>
      <c r="B703" s="9">
        <v>1</v>
      </c>
      <c r="C703" s="9">
        <v>2001</v>
      </c>
      <c r="D703" s="9">
        <f t="shared" si="433"/>
        <v>40709798</v>
      </c>
      <c r="E703" s="9" t="str">
        <f t="shared" si="434"/>
        <v>5201133,5202131,5200132,5402133,5401131,5402133</v>
      </c>
      <c r="F703" s="9" t="str">
        <f t="shared" si="435"/>
        <v>13,13,13,13,13,13</v>
      </c>
      <c r="G703" s="9" t="str">
        <f t="shared" si="436"/>
        <v>1481,1600,1600,1600,1600,1600</v>
      </c>
      <c r="H703" s="9">
        <v>320</v>
      </c>
      <c r="I703" s="9" t="s">
        <v>278</v>
      </c>
      <c r="J703" s="9" t="s">
        <v>279</v>
      </c>
      <c r="K703" s="9" t="s">
        <v>279</v>
      </c>
      <c r="L703" s="9" t="s">
        <v>279</v>
      </c>
      <c r="M703" s="36" t="s">
        <v>318</v>
      </c>
      <c r="O703" s="3">
        <f t="shared" si="461"/>
        <v>40709798</v>
      </c>
      <c r="P703" s="9">
        <v>30840755.920000002</v>
      </c>
      <c r="Q703" s="9">
        <v>5201133</v>
      </c>
      <c r="R703" s="9">
        <v>5202131</v>
      </c>
      <c r="S703" s="9">
        <v>5200132</v>
      </c>
      <c r="T703" s="9">
        <v>5402133</v>
      </c>
      <c r="U703" s="9">
        <v>5401131</v>
      </c>
      <c r="V703" s="9">
        <v>5402133</v>
      </c>
      <c r="W703" s="9">
        <v>13</v>
      </c>
      <c r="X703" s="9">
        <v>13</v>
      </c>
      <c r="Y703" s="9">
        <v>13</v>
      </c>
      <c r="Z703" s="9">
        <v>13</v>
      </c>
      <c r="AA703" s="9">
        <v>13</v>
      </c>
      <c r="AB703" s="9">
        <v>13</v>
      </c>
      <c r="AC703" s="9">
        <f t="shared" si="437"/>
        <v>1481</v>
      </c>
      <c r="AD703" s="9">
        <f t="shared" si="438"/>
        <v>1600</v>
      </c>
      <c r="AE703" s="9">
        <f t="shared" si="439"/>
        <v>1600</v>
      </c>
      <c r="AF703" s="9">
        <f t="shared" si="440"/>
        <v>1600</v>
      </c>
      <c r="AG703" s="9">
        <f t="shared" si="441"/>
        <v>1600</v>
      </c>
      <c r="AH703" s="9">
        <f t="shared" si="442"/>
        <v>1600</v>
      </c>
      <c r="AI703" s="7">
        <f t="shared" si="432"/>
        <v>5140125.9866666673</v>
      </c>
      <c r="AJ703" s="7">
        <f t="shared" si="431"/>
        <v>5140125.9866666673</v>
      </c>
      <c r="AK703" s="7">
        <f t="shared" si="431"/>
        <v>5140125.9866666673</v>
      </c>
      <c r="AL703" s="7">
        <f t="shared" si="431"/>
        <v>5140125.9866666673</v>
      </c>
      <c r="AM703" s="7">
        <f t="shared" si="431"/>
        <v>5140125.9866666673</v>
      </c>
      <c r="AN703" s="7">
        <f t="shared" si="431"/>
        <v>5140125.9866666673</v>
      </c>
      <c r="BR703" s="5">
        <v>5303055</v>
      </c>
      <c r="BS703" s="18">
        <f>[1]monsters!$N703</f>
        <v>160</v>
      </c>
      <c r="BT703" s="18">
        <f>[1]monsters!$O703</f>
        <v>16</v>
      </c>
      <c r="BU703" s="18">
        <f>[1]monsters!$P703</f>
        <v>1920</v>
      </c>
      <c r="BV703" s="18">
        <f>[1]monsters!$Q703</f>
        <v>192</v>
      </c>
      <c r="BW703" s="18">
        <f>[1]monsters!$R703</f>
        <v>53.33</v>
      </c>
      <c r="BX703" s="18">
        <f>[1]monsters!$S703</f>
        <v>5.33</v>
      </c>
      <c r="BY703" s="18">
        <f>[1]monsters!$K703</f>
        <v>1.5</v>
      </c>
      <c r="BZ703" s="5">
        <f>[1]monsters!$D703</f>
        <v>2</v>
      </c>
      <c r="CA703" s="5">
        <f t="shared" si="428"/>
        <v>0.1</v>
      </c>
      <c r="CB703" s="5">
        <f t="shared" si="429"/>
        <v>215.84646464646465</v>
      </c>
      <c r="CC703" s="5">
        <f t="shared" si="430"/>
        <v>21.584646464646468</v>
      </c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R703" s="3" t="b">
        <f t="shared" si="443"/>
        <v>1</v>
      </c>
      <c r="CS703" s="3" t="b">
        <f t="shared" si="444"/>
        <v>1</v>
      </c>
      <c r="CT703" s="3" t="b">
        <f t="shared" si="445"/>
        <v>1</v>
      </c>
      <c r="CU703" s="3" t="b">
        <f t="shared" si="446"/>
        <v>1</v>
      </c>
      <c r="CV703" s="3" t="b">
        <f t="shared" si="447"/>
        <v>1</v>
      </c>
      <c r="CW703" s="3" t="b">
        <f t="shared" si="448"/>
        <v>1</v>
      </c>
      <c r="CX703" s="9" t="str">
        <f t="shared" si="449"/>
        <v>5201133</v>
      </c>
      <c r="CY703" s="9" t="str">
        <f t="shared" si="450"/>
        <v>5202131</v>
      </c>
      <c r="CZ703" s="9" t="str">
        <f t="shared" si="451"/>
        <v>5200132</v>
      </c>
      <c r="DA703" s="9" t="str">
        <f t="shared" si="452"/>
        <v>5402133</v>
      </c>
      <c r="DB703" s="9" t="str">
        <f t="shared" si="453"/>
        <v>5401131</v>
      </c>
      <c r="DC703" s="9" t="str">
        <f t="shared" si="454"/>
        <v>5402133</v>
      </c>
      <c r="DD703" s="9">
        <v>13</v>
      </c>
      <c r="DE703" s="9">
        <v>13</v>
      </c>
      <c r="DF703" s="9">
        <v>13</v>
      </c>
      <c r="DG703" s="9">
        <v>13</v>
      </c>
      <c r="DH703" s="9">
        <v>13</v>
      </c>
      <c r="DI703" s="9">
        <v>13</v>
      </c>
      <c r="DJ703" s="9">
        <v>5</v>
      </c>
      <c r="DK703" s="9">
        <v>5</v>
      </c>
      <c r="DL703" s="9">
        <v>5</v>
      </c>
      <c r="DM703" s="9">
        <v>5</v>
      </c>
      <c r="DN703" s="9">
        <v>5</v>
      </c>
      <c r="DO703" s="9">
        <v>5</v>
      </c>
      <c r="DP703" s="25" t="s">
        <v>205</v>
      </c>
      <c r="DQ703" s="25" t="s">
        <v>111</v>
      </c>
      <c r="DR703" s="25" t="s">
        <v>199</v>
      </c>
      <c r="DS703" s="26" t="s">
        <v>118</v>
      </c>
      <c r="DT703" s="26" t="s">
        <v>117</v>
      </c>
      <c r="DU703" s="26" t="s">
        <v>118</v>
      </c>
      <c r="DV703" s="25">
        <f t="shared" si="455"/>
        <v>1</v>
      </c>
      <c r="DW703" s="25">
        <f t="shared" si="456"/>
        <v>1</v>
      </c>
      <c r="DX703" s="25">
        <f t="shared" si="457"/>
        <v>1</v>
      </c>
      <c r="DY703" s="25">
        <f t="shared" si="458"/>
        <v>2</v>
      </c>
      <c r="DZ703" s="25">
        <f t="shared" si="459"/>
        <v>2</v>
      </c>
      <c r="EA703" s="25">
        <f t="shared" si="460"/>
        <v>2</v>
      </c>
      <c r="EB703" s="50"/>
    </row>
    <row r="704" spans="1:132" ht="13.5" customHeight="1">
      <c r="A704" s="9">
        <v>701</v>
      </c>
      <c r="B704" s="9">
        <v>1</v>
      </c>
      <c r="C704" s="9">
        <v>2001</v>
      </c>
      <c r="D704" s="9">
        <f t="shared" si="433"/>
        <v>40808269</v>
      </c>
      <c r="E704" s="9" t="str">
        <f t="shared" si="434"/>
        <v>5201131,5201132,5200131,5502131,5601131,5401131</v>
      </c>
      <c r="F704" s="9" t="str">
        <f t="shared" si="435"/>
        <v>13,13,13,13,13,13</v>
      </c>
      <c r="G704" s="9" t="str">
        <f t="shared" si="436"/>
        <v>1482,1602,1602,1602,1602,1602</v>
      </c>
      <c r="H704" s="9">
        <v>320</v>
      </c>
      <c r="I704" s="9" t="s">
        <v>278</v>
      </c>
      <c r="J704" s="9" t="s">
        <v>279</v>
      </c>
      <c r="K704" s="9" t="s">
        <v>279</v>
      </c>
      <c r="L704" s="9" t="s">
        <v>279</v>
      </c>
      <c r="M704" s="36" t="s">
        <v>318</v>
      </c>
      <c r="O704" s="3">
        <f t="shared" si="461"/>
        <v>40808269</v>
      </c>
      <c r="P704" s="9">
        <v>30915354.969999999</v>
      </c>
      <c r="Q704" s="9">
        <v>5201131</v>
      </c>
      <c r="R704" s="9">
        <v>5201132</v>
      </c>
      <c r="S704" s="9">
        <v>5200131</v>
      </c>
      <c r="T704" s="9">
        <v>5502131</v>
      </c>
      <c r="U704" s="9">
        <v>5601131</v>
      </c>
      <c r="V704" s="9">
        <v>5401131</v>
      </c>
      <c r="W704" s="9">
        <v>13</v>
      </c>
      <c r="X704" s="9">
        <v>13</v>
      </c>
      <c r="Y704" s="9">
        <v>13</v>
      </c>
      <c r="Z704" s="9">
        <v>13</v>
      </c>
      <c r="AA704" s="9">
        <v>13</v>
      </c>
      <c r="AB704" s="9">
        <v>13</v>
      </c>
      <c r="AC704" s="9">
        <f t="shared" si="437"/>
        <v>1482</v>
      </c>
      <c r="AD704" s="9">
        <f t="shared" si="438"/>
        <v>1602</v>
      </c>
      <c r="AE704" s="9">
        <f t="shared" si="439"/>
        <v>1602</v>
      </c>
      <c r="AF704" s="9">
        <f t="shared" si="440"/>
        <v>1602</v>
      </c>
      <c r="AG704" s="9">
        <f t="shared" si="441"/>
        <v>1602</v>
      </c>
      <c r="AH704" s="9">
        <f t="shared" si="442"/>
        <v>1602</v>
      </c>
      <c r="AI704" s="7">
        <f t="shared" si="432"/>
        <v>5152559.1616666662</v>
      </c>
      <c r="AJ704" s="7">
        <f t="shared" si="431"/>
        <v>5152559.1616666662</v>
      </c>
      <c r="AK704" s="7">
        <f t="shared" si="431"/>
        <v>5152559.1616666662</v>
      </c>
      <c r="AL704" s="7">
        <f t="shared" si="431"/>
        <v>5152559.1616666662</v>
      </c>
      <c r="AM704" s="7">
        <f t="shared" si="431"/>
        <v>5152559.1616666662</v>
      </c>
      <c r="AN704" s="7">
        <f t="shared" si="431"/>
        <v>5152559.1616666662</v>
      </c>
      <c r="BR704" s="5">
        <v>5304055</v>
      </c>
      <c r="BS704" s="18">
        <f>[1]monsters!$N704</f>
        <v>160</v>
      </c>
      <c r="BT704" s="18">
        <f>[1]monsters!$O704</f>
        <v>16</v>
      </c>
      <c r="BU704" s="18">
        <f>[1]monsters!$P704</f>
        <v>1920</v>
      </c>
      <c r="BV704" s="18">
        <f>[1]monsters!$Q704</f>
        <v>192</v>
      </c>
      <c r="BW704" s="18">
        <f>[1]monsters!$R704</f>
        <v>53.33</v>
      </c>
      <c r="BX704" s="18">
        <f>[1]monsters!$S704</f>
        <v>5.33</v>
      </c>
      <c r="BY704" s="18">
        <f>[1]monsters!$K704</f>
        <v>1.5</v>
      </c>
      <c r="BZ704" s="5">
        <f>[1]monsters!$D704</f>
        <v>2</v>
      </c>
      <c r="CA704" s="5">
        <f t="shared" si="428"/>
        <v>0.1</v>
      </c>
      <c r="CB704" s="5">
        <f t="shared" si="429"/>
        <v>215.84646464646465</v>
      </c>
      <c r="CC704" s="5">
        <f t="shared" si="430"/>
        <v>21.584646464646468</v>
      </c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R704" s="3" t="b">
        <f t="shared" si="443"/>
        <v>1</v>
      </c>
      <c r="CS704" s="3" t="b">
        <f t="shared" si="444"/>
        <v>1</v>
      </c>
      <c r="CT704" s="3" t="b">
        <f t="shared" si="445"/>
        <v>1</v>
      </c>
      <c r="CU704" s="3" t="b">
        <f t="shared" si="446"/>
        <v>1</v>
      </c>
      <c r="CV704" s="3" t="b">
        <f t="shared" si="447"/>
        <v>1</v>
      </c>
      <c r="CW704" s="3" t="b">
        <f t="shared" si="448"/>
        <v>1</v>
      </c>
      <c r="CX704" s="9" t="str">
        <f t="shared" si="449"/>
        <v>5201131</v>
      </c>
      <c r="CY704" s="9" t="str">
        <f t="shared" si="450"/>
        <v>5201132</v>
      </c>
      <c r="CZ704" s="9" t="str">
        <f t="shared" si="451"/>
        <v>5200131</v>
      </c>
      <c r="DA704" s="9" t="str">
        <f t="shared" si="452"/>
        <v>5502131</v>
      </c>
      <c r="DB704" s="9" t="str">
        <f t="shared" si="453"/>
        <v>5601131</v>
      </c>
      <c r="DC704" s="9" t="str">
        <f t="shared" si="454"/>
        <v>5401131</v>
      </c>
      <c r="DD704" s="9">
        <v>13</v>
      </c>
      <c r="DE704" s="9">
        <v>13</v>
      </c>
      <c r="DF704" s="9">
        <v>13</v>
      </c>
      <c r="DG704" s="9">
        <v>13</v>
      </c>
      <c r="DH704" s="9">
        <v>13</v>
      </c>
      <c r="DI704" s="9">
        <v>13</v>
      </c>
      <c r="DJ704" s="9">
        <v>5</v>
      </c>
      <c r="DK704" s="9">
        <v>5</v>
      </c>
      <c r="DL704" s="9">
        <v>5</v>
      </c>
      <c r="DM704" s="9">
        <v>5</v>
      </c>
      <c r="DN704" s="9">
        <v>5</v>
      </c>
      <c r="DO704" s="9">
        <v>5</v>
      </c>
      <c r="DP704" s="25" t="s">
        <v>195</v>
      </c>
      <c r="DQ704" s="25" t="s">
        <v>114</v>
      </c>
      <c r="DR704" s="25" t="s">
        <v>194</v>
      </c>
      <c r="DS704" s="25" t="s">
        <v>119</v>
      </c>
      <c r="DT704" s="25" t="s">
        <v>198</v>
      </c>
      <c r="DU704" s="25" t="s">
        <v>117</v>
      </c>
      <c r="DV704" s="25">
        <f t="shared" si="455"/>
        <v>1</v>
      </c>
      <c r="DW704" s="25">
        <f t="shared" si="456"/>
        <v>1</v>
      </c>
      <c r="DX704" s="25">
        <f t="shared" si="457"/>
        <v>1</v>
      </c>
      <c r="DY704" s="25">
        <f t="shared" si="458"/>
        <v>2</v>
      </c>
      <c r="DZ704" s="25">
        <f t="shared" si="459"/>
        <v>2</v>
      </c>
      <c r="EA704" s="25">
        <f t="shared" si="460"/>
        <v>2</v>
      </c>
      <c r="EB704" s="50"/>
    </row>
    <row r="705" spans="1:132" ht="13.5" customHeight="1">
      <c r="A705" s="9">
        <v>702</v>
      </c>
      <c r="B705" s="9">
        <v>1</v>
      </c>
      <c r="C705" s="9">
        <v>2001</v>
      </c>
      <c r="D705" s="9">
        <f t="shared" si="433"/>
        <v>40906856</v>
      </c>
      <c r="E705" s="9" t="str">
        <f t="shared" si="434"/>
        <v>5200132,5200133,5200132,5502132,5500132,5502133</v>
      </c>
      <c r="F705" s="9" t="str">
        <f t="shared" si="435"/>
        <v>13,13,13,13,13,13</v>
      </c>
      <c r="G705" s="9" t="str">
        <f t="shared" si="436"/>
        <v>1484,1604,1604,1604,1604,1604</v>
      </c>
      <c r="H705" s="9">
        <v>320</v>
      </c>
      <c r="I705" s="9" t="s">
        <v>278</v>
      </c>
      <c r="J705" s="9" t="s">
        <v>279</v>
      </c>
      <c r="K705" s="9" t="s">
        <v>279</v>
      </c>
      <c r="L705" s="9" t="s">
        <v>279</v>
      </c>
      <c r="M705" s="36" t="s">
        <v>318</v>
      </c>
      <c r="O705" s="3">
        <f t="shared" si="461"/>
        <v>40906856</v>
      </c>
      <c r="P705" s="9">
        <v>30990042.640000001</v>
      </c>
      <c r="Q705" s="9">
        <v>5200132</v>
      </c>
      <c r="R705" s="9">
        <v>5200133</v>
      </c>
      <c r="S705" s="9">
        <v>5200132</v>
      </c>
      <c r="T705" s="9">
        <v>5502132</v>
      </c>
      <c r="U705" s="9">
        <v>5500132</v>
      </c>
      <c r="V705" s="9">
        <v>5502133</v>
      </c>
      <c r="W705" s="9">
        <v>13</v>
      </c>
      <c r="X705" s="9">
        <v>13</v>
      </c>
      <c r="Y705" s="9">
        <v>13</v>
      </c>
      <c r="Z705" s="9">
        <v>13</v>
      </c>
      <c r="AA705" s="9">
        <v>13</v>
      </c>
      <c r="AB705" s="9">
        <v>13</v>
      </c>
      <c r="AC705" s="9">
        <f t="shared" si="437"/>
        <v>1484</v>
      </c>
      <c r="AD705" s="9">
        <f t="shared" si="438"/>
        <v>1604</v>
      </c>
      <c r="AE705" s="9">
        <f t="shared" si="439"/>
        <v>1604</v>
      </c>
      <c r="AF705" s="9">
        <f t="shared" si="440"/>
        <v>1604</v>
      </c>
      <c r="AG705" s="9">
        <f t="shared" si="441"/>
        <v>1604</v>
      </c>
      <c r="AH705" s="9">
        <f t="shared" si="442"/>
        <v>1604</v>
      </c>
      <c r="AI705" s="7">
        <f t="shared" si="432"/>
        <v>5165007.1066666665</v>
      </c>
      <c r="AJ705" s="7">
        <f t="shared" si="431"/>
        <v>5165007.1066666665</v>
      </c>
      <c r="AK705" s="7">
        <f t="shared" si="431"/>
        <v>5165007.1066666665</v>
      </c>
      <c r="AL705" s="7">
        <f t="shared" si="431"/>
        <v>5165007.1066666665</v>
      </c>
      <c r="AM705" s="7">
        <f t="shared" si="431"/>
        <v>5165007.1066666665</v>
      </c>
      <c r="AN705" s="7">
        <f t="shared" si="431"/>
        <v>5165007.1066666665</v>
      </c>
      <c r="BR705" s="5">
        <v>5503055</v>
      </c>
      <c r="BS705" s="18">
        <f>[1]monsters!$N705</f>
        <v>160</v>
      </c>
      <c r="BT705" s="18">
        <f>[1]monsters!$O705</f>
        <v>16</v>
      </c>
      <c r="BU705" s="18">
        <f>[1]monsters!$P705</f>
        <v>1920</v>
      </c>
      <c r="BV705" s="18">
        <f>[1]monsters!$Q705</f>
        <v>192</v>
      </c>
      <c r="BW705" s="18">
        <f>[1]monsters!$R705</f>
        <v>53.33</v>
      </c>
      <c r="BX705" s="18">
        <f>[1]monsters!$S705</f>
        <v>5.33</v>
      </c>
      <c r="BY705" s="18">
        <f>[1]monsters!$K705</f>
        <v>1.5</v>
      </c>
      <c r="BZ705" s="5">
        <f>[1]monsters!$D705</f>
        <v>2</v>
      </c>
      <c r="CA705" s="5">
        <f t="shared" si="428"/>
        <v>0.1</v>
      </c>
      <c r="CB705" s="5">
        <f t="shared" si="429"/>
        <v>215.84646464646465</v>
      </c>
      <c r="CC705" s="5">
        <f t="shared" si="430"/>
        <v>21.584646464646468</v>
      </c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R705" s="3" t="b">
        <f t="shared" si="443"/>
        <v>1</v>
      </c>
      <c r="CS705" s="3" t="b">
        <f t="shared" si="444"/>
        <v>1</v>
      </c>
      <c r="CT705" s="3" t="b">
        <f t="shared" si="445"/>
        <v>1</v>
      </c>
      <c r="CU705" s="3" t="b">
        <f t="shared" si="446"/>
        <v>1</v>
      </c>
      <c r="CV705" s="3" t="b">
        <f t="shared" si="447"/>
        <v>1</v>
      </c>
      <c r="CW705" s="3" t="b">
        <f t="shared" si="448"/>
        <v>1</v>
      </c>
      <c r="CX705" s="9" t="str">
        <f t="shared" si="449"/>
        <v>5200132</v>
      </c>
      <c r="CY705" s="9" t="str">
        <f t="shared" si="450"/>
        <v>5200133</v>
      </c>
      <c r="CZ705" s="9" t="str">
        <f t="shared" si="451"/>
        <v>5200132</v>
      </c>
      <c r="DA705" s="9" t="str">
        <f t="shared" si="452"/>
        <v>5502132</v>
      </c>
      <c r="DB705" s="9" t="str">
        <f t="shared" si="453"/>
        <v>5500132</v>
      </c>
      <c r="DC705" s="9" t="str">
        <f t="shared" si="454"/>
        <v>5502133</v>
      </c>
      <c r="DD705" s="9">
        <v>13</v>
      </c>
      <c r="DE705" s="9">
        <v>13</v>
      </c>
      <c r="DF705" s="9">
        <v>13</v>
      </c>
      <c r="DG705" s="9">
        <v>13</v>
      </c>
      <c r="DH705" s="9">
        <v>13</v>
      </c>
      <c r="DI705" s="9">
        <v>13</v>
      </c>
      <c r="DJ705" s="9">
        <v>5</v>
      </c>
      <c r="DK705" s="9">
        <v>5</v>
      </c>
      <c r="DL705" s="9">
        <v>5</v>
      </c>
      <c r="DM705" s="9">
        <v>5</v>
      </c>
      <c r="DN705" s="9">
        <v>5</v>
      </c>
      <c r="DO705" s="9">
        <v>5</v>
      </c>
      <c r="DP705" s="25" t="s">
        <v>199</v>
      </c>
      <c r="DQ705" s="25" t="s">
        <v>113</v>
      </c>
      <c r="DR705" s="25" t="s">
        <v>199</v>
      </c>
      <c r="DS705" s="25" t="s">
        <v>204</v>
      </c>
      <c r="DT705" s="25" t="s">
        <v>109</v>
      </c>
      <c r="DU705" s="25" t="s">
        <v>215</v>
      </c>
      <c r="DV705" s="25">
        <f t="shared" si="455"/>
        <v>1</v>
      </c>
      <c r="DW705" s="25">
        <f t="shared" si="456"/>
        <v>1</v>
      </c>
      <c r="DX705" s="25">
        <f t="shared" si="457"/>
        <v>1</v>
      </c>
      <c r="DY705" s="25">
        <f t="shared" si="458"/>
        <v>2</v>
      </c>
      <c r="DZ705" s="25">
        <f t="shared" si="459"/>
        <v>2</v>
      </c>
      <c r="EA705" s="25">
        <f t="shared" si="460"/>
        <v>2</v>
      </c>
      <c r="EB705" s="51"/>
    </row>
    <row r="706" spans="1:132" ht="13.5" customHeight="1">
      <c r="A706" s="9">
        <v>703</v>
      </c>
      <c r="B706" s="9">
        <v>1</v>
      </c>
      <c r="C706" s="9">
        <v>2001</v>
      </c>
      <c r="D706" s="9">
        <f t="shared" si="433"/>
        <v>41005567</v>
      </c>
      <c r="E706" s="9" t="str">
        <f t="shared" si="434"/>
        <v>5202133,5202132,5202133,5401133,5402132,5401133</v>
      </c>
      <c r="F706" s="9" t="str">
        <f t="shared" si="435"/>
        <v>13,13,13,13,13,13</v>
      </c>
      <c r="G706" s="9" t="str">
        <f t="shared" si="436"/>
        <v>1486,1606,1606,1606,1606,1606</v>
      </c>
      <c r="H706" s="9">
        <v>321</v>
      </c>
      <c r="I706" s="9" t="s">
        <v>278</v>
      </c>
      <c r="J706" s="9" t="s">
        <v>279</v>
      </c>
      <c r="K706" s="9" t="s">
        <v>279</v>
      </c>
      <c r="L706" s="9" t="s">
        <v>279</v>
      </c>
      <c r="M706" s="36" t="s">
        <v>318</v>
      </c>
      <c r="O706" s="3">
        <f t="shared" si="461"/>
        <v>41005567</v>
      </c>
      <c r="P706" s="9">
        <v>31064823.149999999</v>
      </c>
      <c r="Q706" s="9">
        <v>5202133</v>
      </c>
      <c r="R706" s="9">
        <v>5202132</v>
      </c>
      <c r="S706" s="9">
        <v>5202133</v>
      </c>
      <c r="T706" s="9">
        <v>5401133</v>
      </c>
      <c r="U706" s="9">
        <v>5402132</v>
      </c>
      <c r="V706" s="9">
        <v>5401133</v>
      </c>
      <c r="W706" s="9">
        <v>13</v>
      </c>
      <c r="X706" s="9">
        <v>13</v>
      </c>
      <c r="Y706" s="9">
        <v>13</v>
      </c>
      <c r="Z706" s="9">
        <v>13</v>
      </c>
      <c r="AA706" s="9">
        <v>13</v>
      </c>
      <c r="AB706" s="9">
        <v>13</v>
      </c>
      <c r="AC706" s="9">
        <f t="shared" si="437"/>
        <v>1486</v>
      </c>
      <c r="AD706" s="9">
        <f t="shared" si="438"/>
        <v>1606</v>
      </c>
      <c r="AE706" s="9">
        <f t="shared" si="439"/>
        <v>1606</v>
      </c>
      <c r="AF706" s="9">
        <f t="shared" si="440"/>
        <v>1606</v>
      </c>
      <c r="AG706" s="9">
        <f t="shared" si="441"/>
        <v>1606</v>
      </c>
      <c r="AH706" s="9">
        <f t="shared" si="442"/>
        <v>1606</v>
      </c>
      <c r="AI706" s="7">
        <f t="shared" si="432"/>
        <v>5177470.5249999994</v>
      </c>
      <c r="AJ706" s="7">
        <f t="shared" si="431"/>
        <v>5177470.5249999994</v>
      </c>
      <c r="AK706" s="7">
        <f t="shared" si="431"/>
        <v>5177470.5249999994</v>
      </c>
      <c r="AL706" s="7">
        <f t="shared" si="431"/>
        <v>5177470.5249999994</v>
      </c>
      <c r="AM706" s="7">
        <f t="shared" si="431"/>
        <v>5177470.5249999994</v>
      </c>
      <c r="AN706" s="7">
        <f t="shared" si="431"/>
        <v>5177470.5249999994</v>
      </c>
      <c r="BR706" s="5">
        <v>5504055</v>
      </c>
      <c r="BS706" s="18">
        <f>[1]monsters!$N706</f>
        <v>160</v>
      </c>
      <c r="BT706" s="18">
        <f>[1]monsters!$O706</f>
        <v>16</v>
      </c>
      <c r="BU706" s="18">
        <f>[1]monsters!$P706</f>
        <v>1920</v>
      </c>
      <c r="BV706" s="18">
        <f>[1]monsters!$Q706</f>
        <v>192</v>
      </c>
      <c r="BW706" s="18">
        <f>[1]monsters!$R706</f>
        <v>53.33</v>
      </c>
      <c r="BX706" s="18">
        <f>[1]monsters!$S706</f>
        <v>5.33</v>
      </c>
      <c r="BY706" s="18">
        <f>[1]monsters!$K706</f>
        <v>1.5</v>
      </c>
      <c r="BZ706" s="5">
        <f>[1]monsters!$D706</f>
        <v>2</v>
      </c>
      <c r="CA706" s="5">
        <f t="shared" si="428"/>
        <v>0.1</v>
      </c>
      <c r="CB706" s="5">
        <f t="shared" si="429"/>
        <v>215.84646464646465</v>
      </c>
      <c r="CC706" s="5">
        <f t="shared" si="430"/>
        <v>21.584646464646468</v>
      </c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R706" s="3" t="b">
        <f t="shared" si="443"/>
        <v>1</v>
      </c>
      <c r="CS706" s="3" t="b">
        <f t="shared" si="444"/>
        <v>1</v>
      </c>
      <c r="CT706" s="3" t="b">
        <f t="shared" si="445"/>
        <v>1</v>
      </c>
      <c r="CU706" s="3" t="b">
        <f t="shared" si="446"/>
        <v>1</v>
      </c>
      <c r="CV706" s="3" t="b">
        <f t="shared" si="447"/>
        <v>1</v>
      </c>
      <c r="CW706" s="3" t="b">
        <f t="shared" si="448"/>
        <v>1</v>
      </c>
      <c r="CX706" s="9" t="str">
        <f t="shared" si="449"/>
        <v>5202133</v>
      </c>
      <c r="CY706" s="9" t="str">
        <f t="shared" si="450"/>
        <v>5202132</v>
      </c>
      <c r="CZ706" s="9" t="str">
        <f t="shared" si="451"/>
        <v>5202133</v>
      </c>
      <c r="DA706" s="9" t="str">
        <f t="shared" si="452"/>
        <v>5401133</v>
      </c>
      <c r="DB706" s="9" t="str">
        <f t="shared" si="453"/>
        <v>5402132</v>
      </c>
      <c r="DC706" s="9" t="str">
        <f t="shared" si="454"/>
        <v>5401133</v>
      </c>
      <c r="DD706" s="9">
        <v>13</v>
      </c>
      <c r="DE706" s="9">
        <v>13</v>
      </c>
      <c r="DF706" s="9">
        <v>13</v>
      </c>
      <c r="DG706" s="9">
        <v>13</v>
      </c>
      <c r="DH706" s="9">
        <v>13</v>
      </c>
      <c r="DI706" s="9">
        <v>13</v>
      </c>
      <c r="DJ706" s="9">
        <v>5</v>
      </c>
      <c r="DK706" s="9">
        <v>5</v>
      </c>
      <c r="DL706" s="9">
        <v>5</v>
      </c>
      <c r="DM706" s="9">
        <v>5</v>
      </c>
      <c r="DN706" s="9">
        <v>5</v>
      </c>
      <c r="DO706" s="9">
        <v>5</v>
      </c>
      <c r="DP706" s="25" t="s">
        <v>208</v>
      </c>
      <c r="DQ706" s="25" t="s">
        <v>200</v>
      </c>
      <c r="DR706" s="25" t="s">
        <v>208</v>
      </c>
      <c r="DS706" s="25" t="s">
        <v>211</v>
      </c>
      <c r="DT706" s="25" t="s">
        <v>203</v>
      </c>
      <c r="DU706" s="25" t="s">
        <v>211</v>
      </c>
      <c r="DV706" s="25">
        <f t="shared" si="455"/>
        <v>1</v>
      </c>
      <c r="DW706" s="25">
        <f t="shared" si="456"/>
        <v>1</v>
      </c>
      <c r="DX706" s="25">
        <f t="shared" si="457"/>
        <v>1</v>
      </c>
      <c r="DY706" s="25">
        <f t="shared" si="458"/>
        <v>2</v>
      </c>
      <c r="DZ706" s="25">
        <f t="shared" si="459"/>
        <v>2</v>
      </c>
      <c r="EA706" s="25">
        <f t="shared" si="460"/>
        <v>2</v>
      </c>
      <c r="EB706" s="50"/>
    </row>
    <row r="707" spans="1:132" ht="13.5" customHeight="1">
      <c r="A707" s="9">
        <v>704</v>
      </c>
      <c r="B707" s="9">
        <v>1</v>
      </c>
      <c r="C707" s="9">
        <v>2001</v>
      </c>
      <c r="D707" s="9">
        <f t="shared" si="433"/>
        <v>41104397</v>
      </c>
      <c r="E707" s="9" t="str">
        <f t="shared" si="434"/>
        <v>5202133,5202133,5202133,5500132,5500132,5500132</v>
      </c>
      <c r="F707" s="9" t="str">
        <f t="shared" si="435"/>
        <v>13,13,13,13,13,13</v>
      </c>
      <c r="G707" s="9" t="str">
        <f t="shared" si="436"/>
        <v>1488,1608,1608,1608,1608,1608</v>
      </c>
      <c r="H707" s="9">
        <v>321</v>
      </c>
      <c r="I707" s="9" t="s">
        <v>278</v>
      </c>
      <c r="J707" s="9" t="s">
        <v>279</v>
      </c>
      <c r="K707" s="9" t="s">
        <v>279</v>
      </c>
      <c r="L707" s="9" t="s">
        <v>279</v>
      </c>
      <c r="M707" s="36" t="s">
        <v>318</v>
      </c>
      <c r="O707" s="3">
        <f t="shared" si="461"/>
        <v>41104397</v>
      </c>
      <c r="P707" s="9">
        <v>31139694.390000001</v>
      </c>
      <c r="Q707" s="9">
        <v>5202133</v>
      </c>
      <c r="R707" s="9">
        <v>5202133</v>
      </c>
      <c r="S707" s="9">
        <v>5202133</v>
      </c>
      <c r="T707" s="9">
        <v>5500132</v>
      </c>
      <c r="U707" s="9">
        <v>5500132</v>
      </c>
      <c r="V707" s="9">
        <v>5500132</v>
      </c>
      <c r="W707" s="9">
        <v>13</v>
      </c>
      <c r="X707" s="9">
        <v>13</v>
      </c>
      <c r="Y707" s="9">
        <v>13</v>
      </c>
      <c r="Z707" s="9">
        <v>13</v>
      </c>
      <c r="AA707" s="9">
        <v>13</v>
      </c>
      <c r="AB707" s="9">
        <v>13</v>
      </c>
      <c r="AC707" s="9">
        <f t="shared" si="437"/>
        <v>1488</v>
      </c>
      <c r="AD707" s="9">
        <f t="shared" si="438"/>
        <v>1608</v>
      </c>
      <c r="AE707" s="9">
        <f t="shared" si="439"/>
        <v>1608</v>
      </c>
      <c r="AF707" s="9">
        <f t="shared" si="440"/>
        <v>1608</v>
      </c>
      <c r="AG707" s="9">
        <f t="shared" si="441"/>
        <v>1608</v>
      </c>
      <c r="AH707" s="9">
        <f t="shared" si="442"/>
        <v>1608</v>
      </c>
      <c r="AI707" s="7">
        <f t="shared" si="432"/>
        <v>5189949.0650000004</v>
      </c>
      <c r="AJ707" s="7">
        <f t="shared" si="432"/>
        <v>5189949.0650000004</v>
      </c>
      <c r="AK707" s="7">
        <f t="shared" si="432"/>
        <v>5189949.0650000004</v>
      </c>
      <c r="AL707" s="7">
        <f t="shared" si="432"/>
        <v>5189949.0650000004</v>
      </c>
      <c r="AM707" s="7">
        <f t="shared" si="432"/>
        <v>5189949.0650000004</v>
      </c>
      <c r="AN707" s="7">
        <f t="shared" si="432"/>
        <v>5189949.0650000004</v>
      </c>
      <c r="BR707" s="5">
        <v>5101055</v>
      </c>
      <c r="BS707" s="18">
        <f>[1]monsters!$N707</f>
        <v>176</v>
      </c>
      <c r="BT707" s="18">
        <f>[1]monsters!$O707</f>
        <v>17.600000000000001</v>
      </c>
      <c r="BU707" s="18">
        <f>[1]monsters!$P707</f>
        <v>2112</v>
      </c>
      <c r="BV707" s="18">
        <f>[1]monsters!$Q707</f>
        <v>211.2</v>
      </c>
      <c r="BW707" s="18">
        <f>[1]monsters!$R707</f>
        <v>58.67</v>
      </c>
      <c r="BX707" s="18">
        <f>[1]monsters!$S707</f>
        <v>5.87</v>
      </c>
      <c r="BY707" s="18">
        <f>[1]monsters!$K707</f>
        <v>1.5</v>
      </c>
      <c r="BZ707" s="5">
        <f>[1]monsters!$D707</f>
        <v>2</v>
      </c>
      <c r="CA707" s="5">
        <f t="shared" si="428"/>
        <v>0.1</v>
      </c>
      <c r="CB707" s="5">
        <f t="shared" si="429"/>
        <v>237.43111111111114</v>
      </c>
      <c r="CC707" s="5">
        <f t="shared" si="430"/>
        <v>23.743111111111116</v>
      </c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R707" s="3" t="b">
        <f t="shared" si="443"/>
        <v>1</v>
      </c>
      <c r="CS707" s="3" t="b">
        <f t="shared" si="444"/>
        <v>1</v>
      </c>
      <c r="CT707" s="3" t="b">
        <f t="shared" si="445"/>
        <v>1</v>
      </c>
      <c r="CU707" s="3" t="b">
        <f t="shared" si="446"/>
        <v>1</v>
      </c>
      <c r="CV707" s="3" t="b">
        <f t="shared" si="447"/>
        <v>1</v>
      </c>
      <c r="CW707" s="3" t="b">
        <f t="shared" si="448"/>
        <v>1</v>
      </c>
      <c r="CX707" s="9" t="str">
        <f t="shared" si="449"/>
        <v>5202133</v>
      </c>
      <c r="CY707" s="9" t="str">
        <f t="shared" si="450"/>
        <v>5202133</v>
      </c>
      <c r="CZ707" s="9" t="str">
        <f t="shared" si="451"/>
        <v>5202133</v>
      </c>
      <c r="DA707" s="9" t="str">
        <f t="shared" si="452"/>
        <v>5500132</v>
      </c>
      <c r="DB707" s="9" t="str">
        <f t="shared" si="453"/>
        <v>5500132</v>
      </c>
      <c r="DC707" s="9" t="str">
        <f t="shared" si="454"/>
        <v>5500132</v>
      </c>
      <c r="DD707" s="9">
        <v>13</v>
      </c>
      <c r="DE707" s="9">
        <v>13</v>
      </c>
      <c r="DF707" s="9">
        <v>13</v>
      </c>
      <c r="DG707" s="9">
        <v>13</v>
      </c>
      <c r="DH707" s="9">
        <v>13</v>
      </c>
      <c r="DI707" s="9">
        <v>13</v>
      </c>
      <c r="DJ707" s="9">
        <v>5</v>
      </c>
      <c r="DK707" s="9">
        <v>5</v>
      </c>
      <c r="DL707" s="9">
        <v>5</v>
      </c>
      <c r="DM707" s="9">
        <v>5</v>
      </c>
      <c r="DN707" s="9">
        <v>5</v>
      </c>
      <c r="DO707" s="9">
        <v>5</v>
      </c>
      <c r="DP707" s="25" t="s">
        <v>208</v>
      </c>
      <c r="DQ707" s="25" t="s">
        <v>208</v>
      </c>
      <c r="DR707" s="25" t="s">
        <v>208</v>
      </c>
      <c r="DS707" s="25" t="s">
        <v>109</v>
      </c>
      <c r="DT707" s="25" t="s">
        <v>109</v>
      </c>
      <c r="DU707" s="25" t="s">
        <v>109</v>
      </c>
      <c r="DV707" s="25">
        <f t="shared" si="455"/>
        <v>1</v>
      </c>
      <c r="DW707" s="25">
        <f t="shared" si="456"/>
        <v>1</v>
      </c>
      <c r="DX707" s="25">
        <f t="shared" si="457"/>
        <v>1</v>
      </c>
      <c r="DY707" s="25">
        <f t="shared" si="458"/>
        <v>2</v>
      </c>
      <c r="DZ707" s="25">
        <f t="shared" si="459"/>
        <v>2</v>
      </c>
      <c r="EA707" s="25">
        <f t="shared" si="460"/>
        <v>2</v>
      </c>
      <c r="EB707" s="50"/>
    </row>
    <row r="708" spans="1:132" ht="13.5" customHeight="1">
      <c r="A708" s="9">
        <v>705</v>
      </c>
      <c r="B708" s="9">
        <v>1</v>
      </c>
      <c r="C708" s="9">
        <v>2001</v>
      </c>
      <c r="D708" s="9">
        <f t="shared" si="433"/>
        <v>41203344</v>
      </c>
      <c r="E708" s="9" t="str">
        <f t="shared" si="434"/>
        <v>5202131,5202132,5200131,5501135,5602134,5400135</v>
      </c>
      <c r="F708" s="9" t="str">
        <f t="shared" si="435"/>
        <v>13,13,13,13,13,13</v>
      </c>
      <c r="G708" s="9" t="str">
        <f t="shared" si="436"/>
        <v>1490,1610,1610,1610,1610,1610</v>
      </c>
      <c r="H708" s="9">
        <v>322</v>
      </c>
      <c r="I708" s="9" t="s">
        <v>278</v>
      </c>
      <c r="J708" s="9" t="s">
        <v>279</v>
      </c>
      <c r="K708" s="9" t="s">
        <v>279</v>
      </c>
      <c r="L708" s="9" t="s">
        <v>279</v>
      </c>
      <c r="M708" s="36" t="s">
        <v>318</v>
      </c>
      <c r="O708" s="3">
        <f t="shared" si="461"/>
        <v>41203344</v>
      </c>
      <c r="P708" s="9">
        <v>31214654.25</v>
      </c>
      <c r="Q708" s="9">
        <v>5202131</v>
      </c>
      <c r="R708" s="9">
        <v>5202132</v>
      </c>
      <c r="S708" s="9">
        <v>5200131</v>
      </c>
      <c r="T708" s="9">
        <v>5501135</v>
      </c>
      <c r="U708" s="9">
        <v>5602134</v>
      </c>
      <c r="V708" s="9">
        <v>5400135</v>
      </c>
      <c r="W708" s="9">
        <v>13</v>
      </c>
      <c r="X708" s="9">
        <v>13</v>
      </c>
      <c r="Y708" s="9">
        <v>13</v>
      </c>
      <c r="Z708" s="9">
        <v>13</v>
      </c>
      <c r="AA708" s="9">
        <v>13</v>
      </c>
      <c r="AB708" s="9">
        <v>13</v>
      </c>
      <c r="AC708" s="9">
        <f t="shared" si="437"/>
        <v>1490</v>
      </c>
      <c r="AD708" s="9">
        <f t="shared" si="438"/>
        <v>1610</v>
      </c>
      <c r="AE708" s="9">
        <f t="shared" si="439"/>
        <v>1610</v>
      </c>
      <c r="AF708" s="9">
        <f t="shared" si="440"/>
        <v>1610</v>
      </c>
      <c r="AG708" s="9">
        <f t="shared" si="441"/>
        <v>1610</v>
      </c>
      <c r="AH708" s="9">
        <f t="shared" si="442"/>
        <v>1610</v>
      </c>
      <c r="AI708" s="7">
        <f t="shared" si="432"/>
        <v>5202442.375</v>
      </c>
      <c r="AJ708" s="7">
        <f t="shared" si="432"/>
        <v>5202442.375</v>
      </c>
      <c r="AK708" s="7">
        <f t="shared" si="432"/>
        <v>5202442.375</v>
      </c>
      <c r="AL708" s="7">
        <f t="shared" si="432"/>
        <v>5202442.375</v>
      </c>
      <c r="AM708" s="7">
        <f t="shared" si="432"/>
        <v>5202442.375</v>
      </c>
      <c r="AN708" s="7">
        <f t="shared" si="432"/>
        <v>5202442.375</v>
      </c>
      <c r="BR708" s="5">
        <v>5102055</v>
      </c>
      <c r="BS708" s="18">
        <f>[1]monsters!$N708</f>
        <v>176</v>
      </c>
      <c r="BT708" s="18">
        <f>[1]monsters!$O708</f>
        <v>17.600000000000001</v>
      </c>
      <c r="BU708" s="18">
        <f>[1]monsters!$P708</f>
        <v>2112</v>
      </c>
      <c r="BV708" s="18">
        <f>[1]monsters!$Q708</f>
        <v>211.2</v>
      </c>
      <c r="BW708" s="18">
        <f>[1]monsters!$R708</f>
        <v>58.67</v>
      </c>
      <c r="BX708" s="18">
        <f>[1]monsters!$S708</f>
        <v>5.87</v>
      </c>
      <c r="BY708" s="18">
        <f>[1]monsters!$K708</f>
        <v>1.5</v>
      </c>
      <c r="BZ708" s="5">
        <f>[1]monsters!$D708</f>
        <v>2</v>
      </c>
      <c r="CA708" s="5">
        <f t="shared" si="428"/>
        <v>0.1</v>
      </c>
      <c r="CB708" s="5">
        <f t="shared" si="429"/>
        <v>237.43111111111114</v>
      </c>
      <c r="CC708" s="5">
        <f t="shared" si="430"/>
        <v>23.743111111111116</v>
      </c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R708" s="3" t="b">
        <f t="shared" si="443"/>
        <v>1</v>
      </c>
      <c r="CS708" s="3" t="b">
        <f t="shared" si="444"/>
        <v>1</v>
      </c>
      <c r="CT708" s="3" t="b">
        <f t="shared" si="445"/>
        <v>1</v>
      </c>
      <c r="CU708" s="3" t="b">
        <f t="shared" si="446"/>
        <v>1</v>
      </c>
      <c r="CV708" s="3" t="b">
        <f t="shared" si="447"/>
        <v>1</v>
      </c>
      <c r="CW708" s="3" t="b">
        <f t="shared" si="448"/>
        <v>1</v>
      </c>
      <c r="CX708" s="9" t="str">
        <f t="shared" si="449"/>
        <v>5202131</v>
      </c>
      <c r="CY708" s="9" t="str">
        <f t="shared" si="450"/>
        <v>5202132</v>
      </c>
      <c r="CZ708" s="9" t="str">
        <f t="shared" si="451"/>
        <v>5200131</v>
      </c>
      <c r="DA708" s="9" t="str">
        <f t="shared" si="452"/>
        <v>5501135</v>
      </c>
      <c r="DB708" s="9" t="str">
        <f t="shared" si="453"/>
        <v>5602134</v>
      </c>
      <c r="DC708" s="9" t="str">
        <f t="shared" si="454"/>
        <v>5400135</v>
      </c>
      <c r="DD708" s="9">
        <v>13</v>
      </c>
      <c r="DE708" s="9">
        <v>13</v>
      </c>
      <c r="DF708" s="9">
        <v>13</v>
      </c>
      <c r="DG708" s="9">
        <v>13</v>
      </c>
      <c r="DH708" s="9">
        <v>13</v>
      </c>
      <c r="DI708" s="9">
        <v>13</v>
      </c>
      <c r="DJ708" s="9">
        <v>5</v>
      </c>
      <c r="DK708" s="9">
        <v>5</v>
      </c>
      <c r="DL708" s="9">
        <v>5</v>
      </c>
      <c r="DM708" s="9">
        <v>5</v>
      </c>
      <c r="DN708" s="9">
        <v>5</v>
      </c>
      <c r="DO708" s="9">
        <v>5</v>
      </c>
      <c r="DP708" s="25" t="s">
        <v>111</v>
      </c>
      <c r="DQ708" s="25" t="s">
        <v>200</v>
      </c>
      <c r="DR708" s="25" t="s">
        <v>194</v>
      </c>
      <c r="DS708" s="25" t="s">
        <v>209</v>
      </c>
      <c r="DT708" s="25" t="s">
        <v>220</v>
      </c>
      <c r="DU708" s="25" t="s">
        <v>210</v>
      </c>
      <c r="DV708" s="25">
        <f t="shared" si="455"/>
        <v>1</v>
      </c>
      <c r="DW708" s="25">
        <f t="shared" si="456"/>
        <v>1</v>
      </c>
      <c r="DX708" s="25">
        <f t="shared" si="457"/>
        <v>1</v>
      </c>
      <c r="DY708" s="25">
        <f t="shared" si="458"/>
        <v>2</v>
      </c>
      <c r="DZ708" s="25">
        <f t="shared" si="459"/>
        <v>2</v>
      </c>
      <c r="EA708" s="25">
        <f t="shared" si="460"/>
        <v>2</v>
      </c>
      <c r="EB708" s="50"/>
    </row>
    <row r="709" spans="1:132" ht="13.5" customHeight="1">
      <c r="A709" s="9">
        <v>706</v>
      </c>
      <c r="B709" s="9">
        <v>1</v>
      </c>
      <c r="C709" s="9">
        <v>2001</v>
      </c>
      <c r="D709" s="9">
        <f t="shared" si="433"/>
        <v>41302413</v>
      </c>
      <c r="E709" s="9" t="str">
        <f t="shared" si="434"/>
        <v>5202132,5201132,5301131,5501134,5500133,5501134</v>
      </c>
      <c r="F709" s="9" t="str">
        <f t="shared" si="435"/>
        <v>13,13,13,13,13,13</v>
      </c>
      <c r="G709" s="9" t="str">
        <f t="shared" si="436"/>
        <v>1491,1612,1612,1612,1612,1612</v>
      </c>
      <c r="H709" s="9">
        <v>322</v>
      </c>
      <c r="I709" s="9" t="s">
        <v>278</v>
      </c>
      <c r="J709" s="9" t="s">
        <v>279</v>
      </c>
      <c r="K709" s="9" t="s">
        <v>279</v>
      </c>
      <c r="L709" s="9" t="s">
        <v>279</v>
      </c>
      <c r="M709" s="36" t="s">
        <v>318</v>
      </c>
      <c r="O709" s="3">
        <f t="shared" si="461"/>
        <v>41302413</v>
      </c>
      <c r="P709" s="9">
        <v>31289706.949999999</v>
      </c>
      <c r="Q709" s="9">
        <v>5202132</v>
      </c>
      <c r="R709" s="9">
        <v>5201132</v>
      </c>
      <c r="S709" s="9">
        <v>5301131</v>
      </c>
      <c r="T709" s="9">
        <v>5501134</v>
      </c>
      <c r="U709" s="9">
        <v>5500133</v>
      </c>
      <c r="V709" s="9">
        <v>5501134</v>
      </c>
      <c r="W709" s="9">
        <v>13</v>
      </c>
      <c r="X709" s="9">
        <v>13</v>
      </c>
      <c r="Y709" s="9">
        <v>13</v>
      </c>
      <c r="Z709" s="9">
        <v>13</v>
      </c>
      <c r="AA709" s="9">
        <v>13</v>
      </c>
      <c r="AB709" s="9">
        <v>13</v>
      </c>
      <c r="AC709" s="9">
        <f t="shared" si="437"/>
        <v>1491</v>
      </c>
      <c r="AD709" s="9">
        <f t="shared" si="438"/>
        <v>1612</v>
      </c>
      <c r="AE709" s="9">
        <f t="shared" si="439"/>
        <v>1612</v>
      </c>
      <c r="AF709" s="9">
        <f t="shared" si="440"/>
        <v>1612</v>
      </c>
      <c r="AG709" s="9">
        <f t="shared" si="441"/>
        <v>1612</v>
      </c>
      <c r="AH709" s="9">
        <f t="shared" si="442"/>
        <v>1612</v>
      </c>
      <c r="AI709" s="7">
        <f t="shared" si="432"/>
        <v>5214951.1583333332</v>
      </c>
      <c r="AJ709" s="7">
        <f t="shared" si="432"/>
        <v>5214951.1583333332</v>
      </c>
      <c r="AK709" s="7">
        <f t="shared" si="432"/>
        <v>5214951.1583333332</v>
      </c>
      <c r="AL709" s="7">
        <f t="shared" si="432"/>
        <v>5214951.1583333332</v>
      </c>
      <c r="AM709" s="7">
        <f t="shared" si="432"/>
        <v>5214951.1583333332</v>
      </c>
      <c r="AN709" s="7">
        <f t="shared" si="432"/>
        <v>5214951.1583333332</v>
      </c>
      <c r="BR709" s="5">
        <v>5206061</v>
      </c>
      <c r="BS709" s="18">
        <f>[1]monsters!$N709</f>
        <v>176</v>
      </c>
      <c r="BT709" s="18">
        <f>[1]monsters!$O709</f>
        <v>17.600000000000001</v>
      </c>
      <c r="BU709" s="18">
        <f>[1]monsters!$P709</f>
        <v>2112</v>
      </c>
      <c r="BV709" s="18">
        <f>[1]monsters!$Q709</f>
        <v>211.2</v>
      </c>
      <c r="BW709" s="18">
        <f>[1]monsters!$R709</f>
        <v>58.67</v>
      </c>
      <c r="BX709" s="18">
        <f>[1]monsters!$S709</f>
        <v>5.87</v>
      </c>
      <c r="BY709" s="18">
        <f>[1]monsters!$K709</f>
        <v>1.5</v>
      </c>
      <c r="BZ709" s="5">
        <f>[1]monsters!$D709</f>
        <v>2</v>
      </c>
      <c r="CA709" s="5">
        <f t="shared" ref="CA709:CA772" si="462">INDEX($CH$5:$CH$10,MATCH($BZ709,$CG$5:$CG$10))</f>
        <v>0.1</v>
      </c>
      <c r="CB709" s="5">
        <f t="shared" ref="CB709:CB772" si="463">(BU709/33/(1-CA709)/(1-0)+BS709*(1+0.5*0.1)*0.9)</f>
        <v>237.43111111111114</v>
      </c>
      <c r="CC709" s="5">
        <f t="shared" ref="CC709:CC772" si="464">(BU709/33/(1-CA709)/(1-0)+BS709*(1+0.5*0.1)*0.9)*0.1</f>
        <v>23.743111111111116</v>
      </c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R709" s="3" t="b">
        <f t="shared" si="443"/>
        <v>1</v>
      </c>
      <c r="CS709" s="3" t="b">
        <f t="shared" si="444"/>
        <v>1</v>
      </c>
      <c r="CT709" s="3" t="b">
        <f t="shared" si="445"/>
        <v>1</v>
      </c>
      <c r="CU709" s="3" t="b">
        <f t="shared" si="446"/>
        <v>1</v>
      </c>
      <c r="CV709" s="3" t="b">
        <f t="shared" si="447"/>
        <v>1</v>
      </c>
      <c r="CW709" s="3" t="b">
        <f t="shared" si="448"/>
        <v>1</v>
      </c>
      <c r="CX709" s="9" t="str">
        <f t="shared" si="449"/>
        <v>5202132</v>
      </c>
      <c r="CY709" s="9" t="str">
        <f t="shared" si="450"/>
        <v>5201132</v>
      </c>
      <c r="CZ709" s="9" t="str">
        <f t="shared" si="451"/>
        <v>5301131</v>
      </c>
      <c r="DA709" s="9" t="str">
        <f t="shared" si="452"/>
        <v>5501134</v>
      </c>
      <c r="DB709" s="9" t="str">
        <f t="shared" si="453"/>
        <v>5500133</v>
      </c>
      <c r="DC709" s="9" t="str">
        <f t="shared" si="454"/>
        <v>5501134</v>
      </c>
      <c r="DD709" s="9">
        <v>13</v>
      </c>
      <c r="DE709" s="9">
        <v>13</v>
      </c>
      <c r="DF709" s="9">
        <v>13</v>
      </c>
      <c r="DG709" s="9">
        <v>13</v>
      </c>
      <c r="DH709" s="9">
        <v>13</v>
      </c>
      <c r="DI709" s="9">
        <v>13</v>
      </c>
      <c r="DJ709" s="9">
        <v>5</v>
      </c>
      <c r="DK709" s="9">
        <v>5</v>
      </c>
      <c r="DL709" s="9">
        <v>5</v>
      </c>
      <c r="DM709" s="9">
        <v>5</v>
      </c>
      <c r="DN709" s="9">
        <v>5</v>
      </c>
      <c r="DO709" s="9">
        <v>5</v>
      </c>
      <c r="DP709" s="25" t="s">
        <v>200</v>
      </c>
      <c r="DQ709" s="25" t="s">
        <v>114</v>
      </c>
      <c r="DR709" s="25" t="s">
        <v>107</v>
      </c>
      <c r="DS709" s="25" t="s">
        <v>214</v>
      </c>
      <c r="DT709" s="25" t="s">
        <v>207</v>
      </c>
      <c r="DU709" s="25" t="s">
        <v>214</v>
      </c>
      <c r="DV709" s="25">
        <f t="shared" si="455"/>
        <v>1</v>
      </c>
      <c r="DW709" s="25">
        <f t="shared" si="456"/>
        <v>1</v>
      </c>
      <c r="DX709" s="25">
        <f t="shared" si="457"/>
        <v>1</v>
      </c>
      <c r="DY709" s="25">
        <f t="shared" si="458"/>
        <v>2</v>
      </c>
      <c r="DZ709" s="25">
        <f t="shared" si="459"/>
        <v>2</v>
      </c>
      <c r="EA709" s="25">
        <f t="shared" si="460"/>
        <v>2</v>
      </c>
      <c r="EB709" s="45"/>
    </row>
    <row r="710" spans="1:132" ht="13.5" customHeight="1">
      <c r="A710" s="9">
        <v>707</v>
      </c>
      <c r="B710" s="9">
        <v>1</v>
      </c>
      <c r="C710" s="9">
        <v>2001</v>
      </c>
      <c r="D710" s="9">
        <f t="shared" si="433"/>
        <v>41401603</v>
      </c>
      <c r="E710" s="9" t="str">
        <f t="shared" si="434"/>
        <v>5202132,5201132,5301131,5500133,5500131,5400135</v>
      </c>
      <c r="F710" s="9" t="str">
        <f t="shared" si="435"/>
        <v>13,13,13,13,13,13</v>
      </c>
      <c r="G710" s="9" t="str">
        <f t="shared" si="436"/>
        <v>1493,1614,1614,1614,1614,1614</v>
      </c>
      <c r="H710" s="9">
        <v>322</v>
      </c>
      <c r="I710" s="9" t="s">
        <v>278</v>
      </c>
      <c r="J710" s="9" t="s">
        <v>279</v>
      </c>
      <c r="K710" s="9" t="s">
        <v>279</v>
      </c>
      <c r="L710" s="9" t="s">
        <v>279</v>
      </c>
      <c r="M710" s="36" t="s">
        <v>318</v>
      </c>
      <c r="O710" s="3">
        <f t="shared" si="461"/>
        <v>41401603</v>
      </c>
      <c r="P710" s="9">
        <v>31364850.379999999</v>
      </c>
      <c r="Q710" s="9">
        <v>5202132</v>
      </c>
      <c r="R710" s="9">
        <v>5201132</v>
      </c>
      <c r="S710" s="9">
        <v>5301131</v>
      </c>
      <c r="T710" s="9">
        <v>5500133</v>
      </c>
      <c r="U710" s="9">
        <v>5500131</v>
      </c>
      <c r="V710" s="9">
        <v>5400135</v>
      </c>
      <c r="W710" s="9">
        <v>13</v>
      </c>
      <c r="X710" s="9">
        <v>13</v>
      </c>
      <c r="Y710" s="9">
        <v>13</v>
      </c>
      <c r="Z710" s="9">
        <v>13</v>
      </c>
      <c r="AA710" s="9">
        <v>13</v>
      </c>
      <c r="AB710" s="9">
        <v>13</v>
      </c>
      <c r="AC710" s="9">
        <f t="shared" si="437"/>
        <v>1493</v>
      </c>
      <c r="AD710" s="9">
        <f t="shared" si="438"/>
        <v>1614</v>
      </c>
      <c r="AE710" s="9">
        <f t="shared" si="439"/>
        <v>1614</v>
      </c>
      <c r="AF710" s="9">
        <f t="shared" si="440"/>
        <v>1614</v>
      </c>
      <c r="AG710" s="9">
        <f t="shared" si="441"/>
        <v>1614</v>
      </c>
      <c r="AH710" s="9">
        <f t="shared" si="442"/>
        <v>1614</v>
      </c>
      <c r="AI710" s="7">
        <f t="shared" si="432"/>
        <v>5227475.0633333335</v>
      </c>
      <c r="AJ710" s="7">
        <f t="shared" si="432"/>
        <v>5227475.0633333335</v>
      </c>
      <c r="AK710" s="7">
        <f t="shared" si="432"/>
        <v>5227475.0633333335</v>
      </c>
      <c r="AL710" s="7">
        <f t="shared" si="432"/>
        <v>5227475.0633333335</v>
      </c>
      <c r="AM710" s="7">
        <f t="shared" si="432"/>
        <v>5227475.0633333335</v>
      </c>
      <c r="AN710" s="7">
        <f t="shared" si="432"/>
        <v>5227475.0633333335</v>
      </c>
      <c r="BR710" s="5">
        <v>5406061</v>
      </c>
      <c r="BS710" s="18">
        <f>[1]monsters!$N710</f>
        <v>176</v>
      </c>
      <c r="BT710" s="18">
        <f>[1]monsters!$O710</f>
        <v>17.600000000000001</v>
      </c>
      <c r="BU710" s="18">
        <f>[1]monsters!$P710</f>
        <v>2112</v>
      </c>
      <c r="BV710" s="18">
        <f>[1]monsters!$Q710</f>
        <v>211.2</v>
      </c>
      <c r="BW710" s="18">
        <f>[1]monsters!$R710</f>
        <v>58.67</v>
      </c>
      <c r="BX710" s="18">
        <f>[1]monsters!$S710</f>
        <v>5.87</v>
      </c>
      <c r="BY710" s="18">
        <f>[1]monsters!$K710</f>
        <v>1.5</v>
      </c>
      <c r="BZ710" s="5">
        <f>[1]monsters!$D710</f>
        <v>2</v>
      </c>
      <c r="CA710" s="5">
        <f t="shared" si="462"/>
        <v>0.1</v>
      </c>
      <c r="CB710" s="5">
        <f t="shared" si="463"/>
        <v>237.43111111111114</v>
      </c>
      <c r="CC710" s="5">
        <f t="shared" si="464"/>
        <v>23.743111111111116</v>
      </c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R710" s="3" t="b">
        <f t="shared" si="443"/>
        <v>1</v>
      </c>
      <c r="CS710" s="3" t="b">
        <f t="shared" si="444"/>
        <v>1</v>
      </c>
      <c r="CT710" s="3" t="b">
        <f t="shared" si="445"/>
        <v>1</v>
      </c>
      <c r="CU710" s="3" t="b">
        <f t="shared" si="446"/>
        <v>1</v>
      </c>
      <c r="CV710" s="3" t="b">
        <f t="shared" si="447"/>
        <v>1</v>
      </c>
      <c r="CW710" s="3" t="b">
        <f t="shared" si="448"/>
        <v>1</v>
      </c>
      <c r="CX710" s="9" t="str">
        <f t="shared" si="449"/>
        <v>5202132</v>
      </c>
      <c r="CY710" s="9" t="str">
        <f t="shared" si="450"/>
        <v>5201132</v>
      </c>
      <c r="CZ710" s="9" t="str">
        <f t="shared" si="451"/>
        <v>5301131</v>
      </c>
      <c r="DA710" s="9" t="str">
        <f t="shared" si="452"/>
        <v>5500133</v>
      </c>
      <c r="DB710" s="9" t="str">
        <f t="shared" si="453"/>
        <v>5500131</v>
      </c>
      <c r="DC710" s="9" t="str">
        <f t="shared" si="454"/>
        <v>5400135</v>
      </c>
      <c r="DD710" s="9">
        <v>13</v>
      </c>
      <c r="DE710" s="9">
        <v>13</v>
      </c>
      <c r="DF710" s="9">
        <v>13</v>
      </c>
      <c r="DG710" s="9">
        <v>13</v>
      </c>
      <c r="DH710" s="9">
        <v>13</v>
      </c>
      <c r="DI710" s="9">
        <v>13</v>
      </c>
      <c r="DJ710" s="9">
        <v>5</v>
      </c>
      <c r="DK710" s="9">
        <v>5</v>
      </c>
      <c r="DL710" s="9">
        <v>5</v>
      </c>
      <c r="DM710" s="9">
        <v>5</v>
      </c>
      <c r="DN710" s="9">
        <v>5</v>
      </c>
      <c r="DO710" s="9">
        <v>5</v>
      </c>
      <c r="DP710" s="27" t="s">
        <v>200</v>
      </c>
      <c r="DQ710" s="27" t="s">
        <v>114</v>
      </c>
      <c r="DR710" s="27" t="s">
        <v>107</v>
      </c>
      <c r="DS710" s="25" t="s">
        <v>207</v>
      </c>
      <c r="DT710" s="25" t="s">
        <v>197</v>
      </c>
      <c r="DU710" s="25" t="s">
        <v>210</v>
      </c>
      <c r="DV710" s="25">
        <f t="shared" si="455"/>
        <v>1</v>
      </c>
      <c r="DW710" s="25">
        <f t="shared" si="456"/>
        <v>1</v>
      </c>
      <c r="DX710" s="25">
        <f t="shared" si="457"/>
        <v>1</v>
      </c>
      <c r="DY710" s="25">
        <f t="shared" si="458"/>
        <v>2</v>
      </c>
      <c r="DZ710" s="25">
        <f t="shared" si="459"/>
        <v>2</v>
      </c>
      <c r="EA710" s="25">
        <f t="shared" si="460"/>
        <v>2</v>
      </c>
      <c r="EB710" s="45"/>
    </row>
    <row r="711" spans="1:132" ht="13.5" customHeight="1">
      <c r="A711" s="9">
        <v>708</v>
      </c>
      <c r="B711" s="9">
        <v>1</v>
      </c>
      <c r="C711" s="9">
        <v>2001</v>
      </c>
      <c r="D711" s="9">
        <f t="shared" si="433"/>
        <v>41500909</v>
      </c>
      <c r="E711" s="9" t="str">
        <f t="shared" si="434"/>
        <v>5302135,5202135,5202135,5401133,5402132,5401133</v>
      </c>
      <c r="F711" s="9" t="str">
        <f t="shared" si="435"/>
        <v>13,13,13,13,13,13</v>
      </c>
      <c r="G711" s="9" t="str">
        <f t="shared" si="436"/>
        <v>1495,1616,1616,1616,1616,1616</v>
      </c>
      <c r="H711" s="9">
        <v>323</v>
      </c>
      <c r="I711" s="9" t="s">
        <v>278</v>
      </c>
      <c r="J711" s="9" t="s">
        <v>279</v>
      </c>
      <c r="K711" s="9" t="s">
        <v>279</v>
      </c>
      <c r="L711" s="9" t="s">
        <v>279</v>
      </c>
      <c r="M711" s="36" t="s">
        <v>318</v>
      </c>
      <c r="O711" s="3">
        <f t="shared" si="461"/>
        <v>41500909</v>
      </c>
      <c r="P711" s="9">
        <v>31440082.43</v>
      </c>
      <c r="Q711" s="9">
        <v>5302135</v>
      </c>
      <c r="R711" s="9">
        <v>5202135</v>
      </c>
      <c r="S711" s="9">
        <v>5202135</v>
      </c>
      <c r="T711" s="9">
        <v>5401133</v>
      </c>
      <c r="U711" s="9">
        <v>5402132</v>
      </c>
      <c r="V711" s="9">
        <v>5401133</v>
      </c>
      <c r="W711" s="9">
        <v>13</v>
      </c>
      <c r="X711" s="9">
        <v>13</v>
      </c>
      <c r="Y711" s="9">
        <v>13</v>
      </c>
      <c r="Z711" s="9">
        <v>13</v>
      </c>
      <c r="AA711" s="9">
        <v>13</v>
      </c>
      <c r="AB711" s="9">
        <v>13</v>
      </c>
      <c r="AC711" s="9">
        <f t="shared" si="437"/>
        <v>1495</v>
      </c>
      <c r="AD711" s="9">
        <f t="shared" si="438"/>
        <v>1616</v>
      </c>
      <c r="AE711" s="9">
        <f t="shared" si="439"/>
        <v>1616</v>
      </c>
      <c r="AF711" s="9">
        <f t="shared" si="440"/>
        <v>1616</v>
      </c>
      <c r="AG711" s="9">
        <f t="shared" si="441"/>
        <v>1616</v>
      </c>
      <c r="AH711" s="9">
        <f t="shared" si="442"/>
        <v>1616</v>
      </c>
      <c r="AI711" s="7">
        <f t="shared" si="432"/>
        <v>5240013.7383333333</v>
      </c>
      <c r="AJ711" s="7">
        <f t="shared" si="432"/>
        <v>5240013.7383333333</v>
      </c>
      <c r="AK711" s="7">
        <f t="shared" si="432"/>
        <v>5240013.7383333333</v>
      </c>
      <c r="AL711" s="7">
        <f t="shared" si="432"/>
        <v>5240013.7383333333</v>
      </c>
      <c r="AM711" s="7">
        <f t="shared" si="432"/>
        <v>5240013.7383333333</v>
      </c>
      <c r="AN711" s="7">
        <f t="shared" si="432"/>
        <v>5240013.7383333333</v>
      </c>
      <c r="BR711" s="5">
        <v>5205061</v>
      </c>
      <c r="BS711" s="18">
        <f>[1]monsters!$N711</f>
        <v>176</v>
      </c>
      <c r="BT711" s="18">
        <f>[1]monsters!$O711</f>
        <v>17.600000000000001</v>
      </c>
      <c r="BU711" s="18">
        <f>[1]monsters!$P711</f>
        <v>2112</v>
      </c>
      <c r="BV711" s="18">
        <f>[1]monsters!$Q711</f>
        <v>211.2</v>
      </c>
      <c r="BW711" s="18">
        <f>[1]monsters!$R711</f>
        <v>58.67</v>
      </c>
      <c r="BX711" s="18">
        <f>[1]monsters!$S711</f>
        <v>5.87</v>
      </c>
      <c r="BY711" s="18">
        <f>[1]monsters!$K711</f>
        <v>1.5</v>
      </c>
      <c r="BZ711" s="5">
        <f>[1]monsters!$D711</f>
        <v>2</v>
      </c>
      <c r="CA711" s="5">
        <f t="shared" si="462"/>
        <v>0.1</v>
      </c>
      <c r="CB711" s="5">
        <f t="shared" si="463"/>
        <v>237.43111111111114</v>
      </c>
      <c r="CC711" s="5">
        <f t="shared" si="464"/>
        <v>23.743111111111116</v>
      </c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R711" s="3" t="b">
        <f t="shared" si="443"/>
        <v>1</v>
      </c>
      <c r="CS711" s="3" t="b">
        <f t="shared" si="444"/>
        <v>1</v>
      </c>
      <c r="CT711" s="3" t="b">
        <f t="shared" si="445"/>
        <v>1</v>
      </c>
      <c r="CU711" s="3" t="b">
        <f t="shared" si="446"/>
        <v>1</v>
      </c>
      <c r="CV711" s="3" t="b">
        <f t="shared" si="447"/>
        <v>1</v>
      </c>
      <c r="CW711" s="3" t="b">
        <f t="shared" si="448"/>
        <v>1</v>
      </c>
      <c r="CX711" s="9" t="str">
        <f t="shared" si="449"/>
        <v>5302135</v>
      </c>
      <c r="CY711" s="9" t="str">
        <f t="shared" si="450"/>
        <v>5202135</v>
      </c>
      <c r="CZ711" s="9" t="str">
        <f t="shared" si="451"/>
        <v>5202135</v>
      </c>
      <c r="DA711" s="9" t="str">
        <f t="shared" si="452"/>
        <v>5401133</v>
      </c>
      <c r="DB711" s="9" t="str">
        <f t="shared" si="453"/>
        <v>5402132</v>
      </c>
      <c r="DC711" s="9" t="str">
        <f t="shared" si="454"/>
        <v>5401133</v>
      </c>
      <c r="DD711" s="9">
        <v>13</v>
      </c>
      <c r="DE711" s="9">
        <v>13</v>
      </c>
      <c r="DF711" s="9">
        <v>13</v>
      </c>
      <c r="DG711" s="9">
        <v>13</v>
      </c>
      <c r="DH711" s="9">
        <v>13</v>
      </c>
      <c r="DI711" s="9">
        <v>13</v>
      </c>
      <c r="DJ711" s="9">
        <v>5</v>
      </c>
      <c r="DK711" s="9">
        <v>5</v>
      </c>
      <c r="DL711" s="9">
        <v>5</v>
      </c>
      <c r="DM711" s="9">
        <v>5</v>
      </c>
      <c r="DN711" s="9">
        <v>5</v>
      </c>
      <c r="DO711" s="9">
        <v>5</v>
      </c>
      <c r="DP711" s="25" t="s">
        <v>221</v>
      </c>
      <c r="DQ711" s="25" t="s">
        <v>213</v>
      </c>
      <c r="DR711" s="25" t="s">
        <v>213</v>
      </c>
      <c r="DS711" s="25" t="s">
        <v>211</v>
      </c>
      <c r="DT711" s="25" t="s">
        <v>203</v>
      </c>
      <c r="DU711" s="25" t="s">
        <v>211</v>
      </c>
      <c r="DV711" s="25">
        <f t="shared" si="455"/>
        <v>1</v>
      </c>
      <c r="DW711" s="25">
        <f t="shared" si="456"/>
        <v>1</v>
      </c>
      <c r="DX711" s="25">
        <f t="shared" si="457"/>
        <v>1</v>
      </c>
      <c r="DY711" s="25">
        <f t="shared" si="458"/>
        <v>2</v>
      </c>
      <c r="DZ711" s="25">
        <f t="shared" si="459"/>
        <v>2</v>
      </c>
      <c r="EA711" s="25">
        <f t="shared" si="460"/>
        <v>2</v>
      </c>
      <c r="EB711" s="45"/>
    </row>
    <row r="712" spans="1:132" ht="13.5" customHeight="1">
      <c r="A712" s="9">
        <v>709</v>
      </c>
      <c r="B712" s="9">
        <v>1</v>
      </c>
      <c r="C712" s="9">
        <v>2001</v>
      </c>
      <c r="D712" s="9">
        <f t="shared" si="433"/>
        <v>41600338</v>
      </c>
      <c r="E712" s="9" t="str">
        <f t="shared" si="434"/>
        <v>5202133,5202133,5202133,5400135,5501135,5400135</v>
      </c>
      <c r="F712" s="9" t="str">
        <f t="shared" si="435"/>
        <v>13,13,13,13,13,13</v>
      </c>
      <c r="G712" s="9" t="str">
        <f t="shared" si="436"/>
        <v>1497,1618,1618,1618,1618,1618</v>
      </c>
      <c r="H712" s="9">
        <v>323</v>
      </c>
      <c r="I712" s="9" t="s">
        <v>278</v>
      </c>
      <c r="J712" s="9" t="s">
        <v>279</v>
      </c>
      <c r="K712" s="9" t="s">
        <v>279</v>
      </c>
      <c r="L712" s="9" t="s">
        <v>279</v>
      </c>
      <c r="M712" s="36" t="s">
        <v>318</v>
      </c>
      <c r="O712" s="3">
        <f t="shared" si="461"/>
        <v>41600338</v>
      </c>
      <c r="P712" s="9">
        <v>31515407.32</v>
      </c>
      <c r="Q712" s="9">
        <v>5202133</v>
      </c>
      <c r="R712" s="9">
        <v>5202133</v>
      </c>
      <c r="S712" s="9">
        <v>5202133</v>
      </c>
      <c r="T712" s="9">
        <v>5400135</v>
      </c>
      <c r="U712" s="9">
        <v>5501135</v>
      </c>
      <c r="V712" s="9">
        <v>5400135</v>
      </c>
      <c r="W712" s="9">
        <v>13</v>
      </c>
      <c r="X712" s="9">
        <v>13</v>
      </c>
      <c r="Y712" s="9">
        <v>13</v>
      </c>
      <c r="Z712" s="9">
        <v>13</v>
      </c>
      <c r="AA712" s="9">
        <v>13</v>
      </c>
      <c r="AB712" s="9">
        <v>13</v>
      </c>
      <c r="AC712" s="9">
        <f t="shared" si="437"/>
        <v>1497</v>
      </c>
      <c r="AD712" s="9">
        <f t="shared" si="438"/>
        <v>1618</v>
      </c>
      <c r="AE712" s="9">
        <f t="shared" si="439"/>
        <v>1618</v>
      </c>
      <c r="AF712" s="9">
        <f t="shared" si="440"/>
        <v>1618</v>
      </c>
      <c r="AG712" s="9">
        <f t="shared" si="441"/>
        <v>1618</v>
      </c>
      <c r="AH712" s="9">
        <f t="shared" si="442"/>
        <v>1618</v>
      </c>
      <c r="AI712" s="7">
        <f t="shared" si="432"/>
        <v>5252567.8866666667</v>
      </c>
      <c r="AJ712" s="7">
        <f t="shared" si="432"/>
        <v>5252567.8866666667</v>
      </c>
      <c r="AK712" s="7">
        <f t="shared" si="432"/>
        <v>5252567.8866666667</v>
      </c>
      <c r="AL712" s="7">
        <f t="shared" si="432"/>
        <v>5252567.8866666667</v>
      </c>
      <c r="AM712" s="7">
        <f t="shared" si="432"/>
        <v>5252567.8866666667</v>
      </c>
      <c r="AN712" s="7">
        <f t="shared" si="432"/>
        <v>5252567.8866666667</v>
      </c>
      <c r="BR712" s="5">
        <v>5405061</v>
      </c>
      <c r="BS712" s="18">
        <f>[1]monsters!$N712</f>
        <v>192</v>
      </c>
      <c r="BT712" s="18">
        <f>[1]monsters!$O712</f>
        <v>19.2</v>
      </c>
      <c r="BU712" s="18">
        <f>[1]monsters!$P712</f>
        <v>2304</v>
      </c>
      <c r="BV712" s="18">
        <f>[1]monsters!$Q712</f>
        <v>230.4</v>
      </c>
      <c r="BW712" s="18">
        <f>[1]monsters!$R712</f>
        <v>64</v>
      </c>
      <c r="BX712" s="18">
        <f>[1]monsters!$S712</f>
        <v>6.4</v>
      </c>
      <c r="BY712" s="18">
        <f>[1]monsters!$K712</f>
        <v>1.5</v>
      </c>
      <c r="BZ712" s="5">
        <f>[1]monsters!$D712</f>
        <v>2</v>
      </c>
      <c r="CA712" s="5">
        <f t="shared" si="462"/>
        <v>0.1</v>
      </c>
      <c r="CB712" s="5">
        <f t="shared" si="463"/>
        <v>259.01575757575756</v>
      </c>
      <c r="CC712" s="5">
        <f t="shared" si="464"/>
        <v>25.901575757575756</v>
      </c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R712" s="3" t="b">
        <f t="shared" si="443"/>
        <v>1</v>
      </c>
      <c r="CS712" s="3" t="b">
        <f t="shared" si="444"/>
        <v>1</v>
      </c>
      <c r="CT712" s="3" t="b">
        <f t="shared" si="445"/>
        <v>1</v>
      </c>
      <c r="CU712" s="3" t="b">
        <f t="shared" si="446"/>
        <v>1</v>
      </c>
      <c r="CV712" s="3" t="b">
        <f t="shared" si="447"/>
        <v>1</v>
      </c>
      <c r="CW712" s="3" t="b">
        <f t="shared" si="448"/>
        <v>1</v>
      </c>
      <c r="CX712" s="9" t="str">
        <f t="shared" si="449"/>
        <v>5202133</v>
      </c>
      <c r="CY712" s="9" t="str">
        <f t="shared" si="450"/>
        <v>5202133</v>
      </c>
      <c r="CZ712" s="9" t="str">
        <f t="shared" si="451"/>
        <v>5202133</v>
      </c>
      <c r="DA712" s="9" t="str">
        <f t="shared" si="452"/>
        <v>5400135</v>
      </c>
      <c r="DB712" s="9" t="str">
        <f t="shared" si="453"/>
        <v>5501135</v>
      </c>
      <c r="DC712" s="9" t="str">
        <f t="shared" si="454"/>
        <v>5400135</v>
      </c>
      <c r="DD712" s="9">
        <v>13</v>
      </c>
      <c r="DE712" s="9">
        <v>13</v>
      </c>
      <c r="DF712" s="9">
        <v>13</v>
      </c>
      <c r="DG712" s="9">
        <v>13</v>
      </c>
      <c r="DH712" s="9">
        <v>13</v>
      </c>
      <c r="DI712" s="9">
        <v>13</v>
      </c>
      <c r="DJ712" s="9">
        <v>5</v>
      </c>
      <c r="DK712" s="9">
        <v>5</v>
      </c>
      <c r="DL712" s="9">
        <v>5</v>
      </c>
      <c r="DM712" s="9">
        <v>5</v>
      </c>
      <c r="DN712" s="9">
        <v>5</v>
      </c>
      <c r="DO712" s="9">
        <v>5</v>
      </c>
      <c r="DP712" s="25" t="s">
        <v>208</v>
      </c>
      <c r="DQ712" s="25" t="s">
        <v>208</v>
      </c>
      <c r="DR712" s="25" t="s">
        <v>208</v>
      </c>
      <c r="DS712" s="25" t="s">
        <v>210</v>
      </c>
      <c r="DT712" s="25" t="s">
        <v>209</v>
      </c>
      <c r="DU712" s="25" t="s">
        <v>210</v>
      </c>
      <c r="DV712" s="25">
        <f t="shared" si="455"/>
        <v>1</v>
      </c>
      <c r="DW712" s="25">
        <f t="shared" si="456"/>
        <v>1</v>
      </c>
      <c r="DX712" s="25">
        <f t="shared" si="457"/>
        <v>1</v>
      </c>
      <c r="DY712" s="25">
        <f t="shared" si="458"/>
        <v>2</v>
      </c>
      <c r="DZ712" s="25">
        <f t="shared" si="459"/>
        <v>2</v>
      </c>
      <c r="EA712" s="25">
        <f t="shared" si="460"/>
        <v>2</v>
      </c>
      <c r="EB712" s="46"/>
    </row>
    <row r="713" spans="1:132" ht="13.5" customHeight="1">
      <c r="A713" s="9">
        <v>710</v>
      </c>
      <c r="B713" s="9">
        <v>1</v>
      </c>
      <c r="C713" s="9">
        <v>2001</v>
      </c>
      <c r="D713" s="9">
        <f t="shared" si="433"/>
        <v>41699886</v>
      </c>
      <c r="E713" s="9" t="str">
        <f t="shared" si="434"/>
        <v>5201131,5201132,5200131,5601131,5500133,5501134</v>
      </c>
      <c r="F713" s="9" t="str">
        <f t="shared" si="435"/>
        <v>13,13,13,13,13,13</v>
      </c>
      <c r="G713" s="9" t="str">
        <f t="shared" si="436"/>
        <v>1499,1619,1619,1619,1619,1619</v>
      </c>
      <c r="H713" s="9">
        <v>324</v>
      </c>
      <c r="I713" s="9" t="s">
        <v>278</v>
      </c>
      <c r="J713" s="9" t="s">
        <v>279</v>
      </c>
      <c r="K713" s="9" t="s">
        <v>279</v>
      </c>
      <c r="L713" s="9" t="s">
        <v>279</v>
      </c>
      <c r="M713" s="36" t="s">
        <v>318</v>
      </c>
      <c r="O713" s="3">
        <f t="shared" si="461"/>
        <v>41699886</v>
      </c>
      <c r="P713" s="9">
        <v>31590822.940000001</v>
      </c>
      <c r="Q713" s="9">
        <v>5201131</v>
      </c>
      <c r="R713" s="9">
        <v>5201132</v>
      </c>
      <c r="S713" s="9">
        <v>5200131</v>
      </c>
      <c r="T713" s="9">
        <v>5601131</v>
      </c>
      <c r="U713" s="9">
        <v>5500133</v>
      </c>
      <c r="V713" s="9">
        <v>5501134</v>
      </c>
      <c r="W713" s="9">
        <v>13</v>
      </c>
      <c r="X713" s="9">
        <v>13</v>
      </c>
      <c r="Y713" s="9">
        <v>13</v>
      </c>
      <c r="Z713" s="9">
        <v>13</v>
      </c>
      <c r="AA713" s="9">
        <v>13</v>
      </c>
      <c r="AB713" s="9">
        <v>13</v>
      </c>
      <c r="AC713" s="9">
        <f t="shared" si="437"/>
        <v>1499</v>
      </c>
      <c r="AD713" s="9">
        <f t="shared" si="438"/>
        <v>1619</v>
      </c>
      <c r="AE713" s="9">
        <f t="shared" si="439"/>
        <v>1619</v>
      </c>
      <c r="AF713" s="9">
        <f t="shared" si="440"/>
        <v>1619</v>
      </c>
      <c r="AG713" s="9">
        <f t="shared" si="441"/>
        <v>1619</v>
      </c>
      <c r="AH713" s="9">
        <f t="shared" si="442"/>
        <v>1619</v>
      </c>
      <c r="AI713" s="7">
        <f t="shared" si="432"/>
        <v>5265137.1566666672</v>
      </c>
      <c r="AJ713" s="7">
        <f t="shared" si="432"/>
        <v>5265137.1566666672</v>
      </c>
      <c r="AK713" s="7">
        <f t="shared" si="432"/>
        <v>5265137.1566666672</v>
      </c>
      <c r="AL713" s="7">
        <f t="shared" si="432"/>
        <v>5265137.1566666672</v>
      </c>
      <c r="AM713" s="7">
        <f t="shared" si="432"/>
        <v>5265137.1566666672</v>
      </c>
      <c r="AN713" s="7">
        <f t="shared" si="432"/>
        <v>5265137.1566666672</v>
      </c>
      <c r="BR713" s="5">
        <v>5203061</v>
      </c>
      <c r="BS713" s="18">
        <f>[1]monsters!$N713</f>
        <v>192</v>
      </c>
      <c r="BT713" s="18">
        <f>[1]monsters!$O713</f>
        <v>19.2</v>
      </c>
      <c r="BU713" s="18">
        <f>[1]monsters!$P713</f>
        <v>2304</v>
      </c>
      <c r="BV713" s="18">
        <f>[1]monsters!$Q713</f>
        <v>230.4</v>
      </c>
      <c r="BW713" s="18">
        <f>[1]monsters!$R713</f>
        <v>64</v>
      </c>
      <c r="BX713" s="18">
        <f>[1]monsters!$S713</f>
        <v>6.4</v>
      </c>
      <c r="BY713" s="18">
        <f>[1]monsters!$K713</f>
        <v>1.5</v>
      </c>
      <c r="BZ713" s="5">
        <f>[1]monsters!$D713</f>
        <v>2</v>
      </c>
      <c r="CA713" s="5">
        <f t="shared" si="462"/>
        <v>0.1</v>
      </c>
      <c r="CB713" s="5">
        <f t="shared" si="463"/>
        <v>259.01575757575756</v>
      </c>
      <c r="CC713" s="5">
        <f t="shared" si="464"/>
        <v>25.901575757575756</v>
      </c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R713" s="3" t="b">
        <f t="shared" si="443"/>
        <v>1</v>
      </c>
      <c r="CS713" s="3" t="b">
        <f t="shared" si="444"/>
        <v>1</v>
      </c>
      <c r="CT713" s="3" t="b">
        <f t="shared" si="445"/>
        <v>1</v>
      </c>
      <c r="CU713" s="3" t="b">
        <f t="shared" si="446"/>
        <v>1</v>
      </c>
      <c r="CV713" s="3" t="b">
        <f t="shared" si="447"/>
        <v>1</v>
      </c>
      <c r="CW713" s="3" t="b">
        <f t="shared" si="448"/>
        <v>1</v>
      </c>
      <c r="CX713" s="9" t="str">
        <f t="shared" si="449"/>
        <v>5201131</v>
      </c>
      <c r="CY713" s="9" t="str">
        <f t="shared" si="450"/>
        <v>5201132</v>
      </c>
      <c r="CZ713" s="9" t="str">
        <f t="shared" si="451"/>
        <v>5200131</v>
      </c>
      <c r="DA713" s="9" t="str">
        <f t="shared" si="452"/>
        <v>5601131</v>
      </c>
      <c r="DB713" s="9" t="str">
        <f t="shared" si="453"/>
        <v>5500133</v>
      </c>
      <c r="DC713" s="9" t="str">
        <f t="shared" si="454"/>
        <v>5501134</v>
      </c>
      <c r="DD713" s="9">
        <v>13</v>
      </c>
      <c r="DE713" s="9">
        <v>13</v>
      </c>
      <c r="DF713" s="9">
        <v>13</v>
      </c>
      <c r="DG713" s="9">
        <v>13</v>
      </c>
      <c r="DH713" s="9">
        <v>13</v>
      </c>
      <c r="DI713" s="9">
        <v>13</v>
      </c>
      <c r="DJ713" s="9">
        <v>5</v>
      </c>
      <c r="DK713" s="9">
        <v>5</v>
      </c>
      <c r="DL713" s="9">
        <v>5</v>
      </c>
      <c r="DM713" s="9">
        <v>5</v>
      </c>
      <c r="DN713" s="9">
        <v>5</v>
      </c>
      <c r="DO713" s="9">
        <v>5</v>
      </c>
      <c r="DP713" s="25" t="s">
        <v>195</v>
      </c>
      <c r="DQ713" s="25" t="s">
        <v>114</v>
      </c>
      <c r="DR713" s="25" t="s">
        <v>194</v>
      </c>
      <c r="DS713" s="25" t="s">
        <v>198</v>
      </c>
      <c r="DT713" s="25" t="s">
        <v>207</v>
      </c>
      <c r="DU713" s="25" t="s">
        <v>214</v>
      </c>
      <c r="DV713" s="25">
        <f t="shared" si="455"/>
        <v>1</v>
      </c>
      <c r="DW713" s="25">
        <f t="shared" si="456"/>
        <v>1</v>
      </c>
      <c r="DX713" s="25">
        <f t="shared" si="457"/>
        <v>1</v>
      </c>
      <c r="DY713" s="25">
        <f t="shared" si="458"/>
        <v>2</v>
      </c>
      <c r="DZ713" s="25">
        <f t="shared" si="459"/>
        <v>2</v>
      </c>
      <c r="EA713" s="25">
        <f t="shared" si="460"/>
        <v>2</v>
      </c>
      <c r="EB713" s="45"/>
    </row>
    <row r="714" spans="1:132" ht="13.5" customHeight="1">
      <c r="A714" s="9">
        <v>711</v>
      </c>
      <c r="B714" s="9">
        <v>1</v>
      </c>
      <c r="C714" s="9">
        <v>2001</v>
      </c>
      <c r="D714" s="9">
        <f t="shared" si="433"/>
        <v>41799552</v>
      </c>
      <c r="E714" s="9" t="str">
        <f t="shared" si="434"/>
        <v>5302135,5202135,5202135,5400135,5400135,5400135</v>
      </c>
      <c r="F714" s="9" t="str">
        <f t="shared" si="435"/>
        <v>13,13,13,13,13,13</v>
      </c>
      <c r="G714" s="9" t="str">
        <f t="shared" si="436"/>
        <v>1500,1621,1621,1621,1621,1621</v>
      </c>
      <c r="H714" s="9">
        <v>324</v>
      </c>
      <c r="I714" s="9" t="s">
        <v>278</v>
      </c>
      <c r="J714" s="9" t="s">
        <v>279</v>
      </c>
      <c r="K714" s="9" t="s">
        <v>279</v>
      </c>
      <c r="L714" s="9" t="s">
        <v>279</v>
      </c>
      <c r="M714" s="36" t="s">
        <v>319</v>
      </c>
      <c r="O714" s="3">
        <f t="shared" si="461"/>
        <v>41799552</v>
      </c>
      <c r="P714" s="9">
        <v>31666327.18</v>
      </c>
      <c r="Q714" s="9">
        <v>5302135</v>
      </c>
      <c r="R714" s="9">
        <v>5202135</v>
      </c>
      <c r="S714" s="9">
        <v>5202135</v>
      </c>
      <c r="T714" s="9">
        <v>5400135</v>
      </c>
      <c r="U714" s="9">
        <v>5400135</v>
      </c>
      <c r="V714" s="9">
        <v>5400135</v>
      </c>
      <c r="W714" s="9">
        <v>13</v>
      </c>
      <c r="X714" s="9">
        <v>13</v>
      </c>
      <c r="Y714" s="9">
        <v>13</v>
      </c>
      <c r="Z714" s="9">
        <v>13</v>
      </c>
      <c r="AA714" s="9">
        <v>13</v>
      </c>
      <c r="AB714" s="9">
        <v>13</v>
      </c>
      <c r="AC714" s="9">
        <f t="shared" si="437"/>
        <v>1500</v>
      </c>
      <c r="AD714" s="9">
        <f t="shared" si="438"/>
        <v>1621</v>
      </c>
      <c r="AE714" s="9">
        <f t="shared" si="439"/>
        <v>1621</v>
      </c>
      <c r="AF714" s="9">
        <f t="shared" si="440"/>
        <v>1621</v>
      </c>
      <c r="AG714" s="9">
        <f t="shared" si="441"/>
        <v>1621</v>
      </c>
      <c r="AH714" s="9">
        <f t="shared" si="442"/>
        <v>1621</v>
      </c>
      <c r="AI714" s="7">
        <f t="shared" si="432"/>
        <v>5277721.1966666663</v>
      </c>
      <c r="AJ714" s="7">
        <f t="shared" si="432"/>
        <v>5277721.1966666663</v>
      </c>
      <c r="AK714" s="7">
        <f t="shared" si="432"/>
        <v>5277721.1966666663</v>
      </c>
      <c r="AL714" s="7">
        <f t="shared" si="432"/>
        <v>5277721.1966666663</v>
      </c>
      <c r="AM714" s="7">
        <f t="shared" si="432"/>
        <v>5277721.1966666663</v>
      </c>
      <c r="AN714" s="7">
        <f t="shared" si="432"/>
        <v>5277721.1966666663</v>
      </c>
      <c r="BR714" s="5">
        <v>5403061</v>
      </c>
      <c r="BS714" s="18">
        <f>[1]monsters!$N714</f>
        <v>192</v>
      </c>
      <c r="BT714" s="18">
        <f>[1]monsters!$O714</f>
        <v>19.2</v>
      </c>
      <c r="BU714" s="18">
        <f>[1]monsters!$P714</f>
        <v>2304</v>
      </c>
      <c r="BV714" s="18">
        <f>[1]monsters!$Q714</f>
        <v>230.4</v>
      </c>
      <c r="BW714" s="18">
        <f>[1]monsters!$R714</f>
        <v>64</v>
      </c>
      <c r="BX714" s="18">
        <f>[1]monsters!$S714</f>
        <v>6.4</v>
      </c>
      <c r="BY714" s="18">
        <f>[1]monsters!$K714</f>
        <v>1.5</v>
      </c>
      <c r="BZ714" s="5">
        <f>[1]monsters!$D714</f>
        <v>2</v>
      </c>
      <c r="CA714" s="5">
        <f t="shared" si="462"/>
        <v>0.1</v>
      </c>
      <c r="CB714" s="5">
        <f t="shared" si="463"/>
        <v>259.01575757575756</v>
      </c>
      <c r="CC714" s="5">
        <f t="shared" si="464"/>
        <v>25.901575757575756</v>
      </c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R714" s="3" t="b">
        <f t="shared" si="443"/>
        <v>1</v>
      </c>
      <c r="CS714" s="3" t="b">
        <f t="shared" si="444"/>
        <v>1</v>
      </c>
      <c r="CT714" s="3" t="b">
        <f t="shared" si="445"/>
        <v>1</v>
      </c>
      <c r="CU714" s="3" t="b">
        <f t="shared" si="446"/>
        <v>1</v>
      </c>
      <c r="CV714" s="3" t="b">
        <f t="shared" si="447"/>
        <v>1</v>
      </c>
      <c r="CW714" s="3" t="b">
        <f t="shared" si="448"/>
        <v>1</v>
      </c>
      <c r="CX714" s="9" t="str">
        <f t="shared" si="449"/>
        <v>5302135</v>
      </c>
      <c r="CY714" s="9" t="str">
        <f t="shared" si="450"/>
        <v>5202135</v>
      </c>
      <c r="CZ714" s="9" t="str">
        <f t="shared" si="451"/>
        <v>5202135</v>
      </c>
      <c r="DA714" s="9" t="str">
        <f t="shared" si="452"/>
        <v>5400135</v>
      </c>
      <c r="DB714" s="9" t="str">
        <f t="shared" si="453"/>
        <v>5400135</v>
      </c>
      <c r="DC714" s="9" t="str">
        <f t="shared" si="454"/>
        <v>5400135</v>
      </c>
      <c r="DD714" s="9">
        <v>13</v>
      </c>
      <c r="DE714" s="9">
        <v>13</v>
      </c>
      <c r="DF714" s="9">
        <v>13</v>
      </c>
      <c r="DG714" s="9">
        <v>13</v>
      </c>
      <c r="DH714" s="9">
        <v>13</v>
      </c>
      <c r="DI714" s="9">
        <v>13</v>
      </c>
      <c r="DJ714" s="9">
        <v>5</v>
      </c>
      <c r="DK714" s="9">
        <v>5</v>
      </c>
      <c r="DL714" s="9">
        <v>5</v>
      </c>
      <c r="DM714" s="9">
        <v>5</v>
      </c>
      <c r="DN714" s="9">
        <v>5</v>
      </c>
      <c r="DO714" s="9">
        <v>5</v>
      </c>
      <c r="DP714" s="25" t="s">
        <v>221</v>
      </c>
      <c r="DQ714" s="25" t="s">
        <v>213</v>
      </c>
      <c r="DR714" s="25" t="s">
        <v>213</v>
      </c>
      <c r="DS714" s="25" t="s">
        <v>210</v>
      </c>
      <c r="DT714" s="25" t="s">
        <v>210</v>
      </c>
      <c r="DU714" s="25" t="s">
        <v>210</v>
      </c>
      <c r="DV714" s="25">
        <f t="shared" si="455"/>
        <v>1</v>
      </c>
      <c r="DW714" s="25">
        <f t="shared" si="456"/>
        <v>1</v>
      </c>
      <c r="DX714" s="25">
        <f t="shared" si="457"/>
        <v>1</v>
      </c>
      <c r="DY714" s="25">
        <f t="shared" si="458"/>
        <v>2</v>
      </c>
      <c r="DZ714" s="25">
        <f t="shared" si="459"/>
        <v>2</v>
      </c>
      <c r="EA714" s="25">
        <f t="shared" si="460"/>
        <v>2</v>
      </c>
      <c r="EB714" s="45"/>
    </row>
    <row r="715" spans="1:132" ht="13.5" customHeight="1">
      <c r="A715" s="9">
        <v>712</v>
      </c>
      <c r="B715" s="9">
        <v>1</v>
      </c>
      <c r="C715" s="9">
        <v>2001</v>
      </c>
      <c r="D715" s="9">
        <f t="shared" si="433"/>
        <v>41899340</v>
      </c>
      <c r="E715" s="9" t="str">
        <f t="shared" si="434"/>
        <v>5301131,5301132,5301132,5500132,5501135,5502133</v>
      </c>
      <c r="F715" s="9" t="str">
        <f t="shared" si="435"/>
        <v>13,13,13,13,13,13</v>
      </c>
      <c r="G715" s="9" t="str">
        <f t="shared" si="436"/>
        <v>1502,1623,1623,1623,1623,1623</v>
      </c>
      <c r="H715" s="9">
        <v>324</v>
      </c>
      <c r="I715" s="9" t="s">
        <v>278</v>
      </c>
      <c r="J715" s="9" t="s">
        <v>279</v>
      </c>
      <c r="K715" s="9" t="s">
        <v>279</v>
      </c>
      <c r="L715" s="9" t="s">
        <v>279</v>
      </c>
      <c r="M715" s="36" t="s">
        <v>319</v>
      </c>
      <c r="O715" s="3">
        <f t="shared" si="461"/>
        <v>41899340</v>
      </c>
      <c r="P715" s="9">
        <v>31741924.260000002</v>
      </c>
      <c r="Q715" s="9">
        <v>5301131</v>
      </c>
      <c r="R715" s="9">
        <v>5301132</v>
      </c>
      <c r="S715" s="9">
        <v>5301132</v>
      </c>
      <c r="T715" s="9">
        <v>5500132</v>
      </c>
      <c r="U715" s="9">
        <v>5501135</v>
      </c>
      <c r="V715" s="9">
        <v>5502133</v>
      </c>
      <c r="W715" s="9">
        <v>13</v>
      </c>
      <c r="X715" s="9">
        <v>13</v>
      </c>
      <c r="Y715" s="9">
        <v>13</v>
      </c>
      <c r="Z715" s="9">
        <v>13</v>
      </c>
      <c r="AA715" s="9">
        <v>13</v>
      </c>
      <c r="AB715" s="9">
        <v>13</v>
      </c>
      <c r="AC715" s="9">
        <f t="shared" si="437"/>
        <v>1502</v>
      </c>
      <c r="AD715" s="9">
        <f t="shared" si="438"/>
        <v>1623</v>
      </c>
      <c r="AE715" s="9">
        <f t="shared" si="439"/>
        <v>1623</v>
      </c>
      <c r="AF715" s="9">
        <f t="shared" si="440"/>
        <v>1623</v>
      </c>
      <c r="AG715" s="9">
        <f t="shared" si="441"/>
        <v>1623</v>
      </c>
      <c r="AH715" s="9">
        <f t="shared" si="442"/>
        <v>1623</v>
      </c>
      <c r="AI715" s="7">
        <f t="shared" si="432"/>
        <v>5290320.71</v>
      </c>
      <c r="AJ715" s="7">
        <f t="shared" si="432"/>
        <v>5290320.71</v>
      </c>
      <c r="AK715" s="7">
        <f t="shared" si="432"/>
        <v>5290320.71</v>
      </c>
      <c r="AL715" s="7">
        <f t="shared" si="432"/>
        <v>5290320.71</v>
      </c>
      <c r="AM715" s="7">
        <f t="shared" si="432"/>
        <v>5290320.71</v>
      </c>
      <c r="AN715" s="7">
        <f t="shared" si="432"/>
        <v>5290320.71</v>
      </c>
      <c r="BR715" s="5">
        <v>5204061</v>
      </c>
      <c r="BS715" s="18">
        <f>[1]monsters!$N715</f>
        <v>192</v>
      </c>
      <c r="BT715" s="18">
        <f>[1]monsters!$O715</f>
        <v>19.2</v>
      </c>
      <c r="BU715" s="18">
        <f>[1]monsters!$P715</f>
        <v>2304</v>
      </c>
      <c r="BV715" s="18">
        <f>[1]monsters!$Q715</f>
        <v>230.4</v>
      </c>
      <c r="BW715" s="18">
        <f>[1]monsters!$R715</f>
        <v>64</v>
      </c>
      <c r="BX715" s="18">
        <f>[1]monsters!$S715</f>
        <v>6.4</v>
      </c>
      <c r="BY715" s="18">
        <f>[1]monsters!$K715</f>
        <v>1.5</v>
      </c>
      <c r="BZ715" s="5">
        <f>[1]monsters!$D715</f>
        <v>2</v>
      </c>
      <c r="CA715" s="5">
        <f t="shared" si="462"/>
        <v>0.1</v>
      </c>
      <c r="CB715" s="5">
        <f t="shared" si="463"/>
        <v>259.01575757575756</v>
      </c>
      <c r="CC715" s="5">
        <f t="shared" si="464"/>
        <v>25.901575757575756</v>
      </c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R715" s="3" t="b">
        <f t="shared" si="443"/>
        <v>1</v>
      </c>
      <c r="CS715" s="3" t="b">
        <f t="shared" si="444"/>
        <v>1</v>
      </c>
      <c r="CT715" s="3" t="b">
        <f t="shared" si="445"/>
        <v>1</v>
      </c>
      <c r="CU715" s="3" t="b">
        <f t="shared" si="446"/>
        <v>1</v>
      </c>
      <c r="CV715" s="3" t="b">
        <f t="shared" si="447"/>
        <v>1</v>
      </c>
      <c r="CW715" s="3" t="b">
        <f t="shared" si="448"/>
        <v>1</v>
      </c>
      <c r="CX715" s="9" t="str">
        <f t="shared" si="449"/>
        <v>5301131</v>
      </c>
      <c r="CY715" s="9" t="str">
        <f t="shared" si="450"/>
        <v>5301132</v>
      </c>
      <c r="CZ715" s="9" t="str">
        <f t="shared" si="451"/>
        <v>5301132</v>
      </c>
      <c r="DA715" s="9" t="str">
        <f t="shared" si="452"/>
        <v>5500132</v>
      </c>
      <c r="DB715" s="9" t="str">
        <f t="shared" si="453"/>
        <v>5501135</v>
      </c>
      <c r="DC715" s="9" t="str">
        <f t="shared" si="454"/>
        <v>5502133</v>
      </c>
      <c r="DD715" s="9">
        <v>13</v>
      </c>
      <c r="DE715" s="9">
        <v>13</v>
      </c>
      <c r="DF715" s="9">
        <v>13</v>
      </c>
      <c r="DG715" s="9">
        <v>13</v>
      </c>
      <c r="DH715" s="9">
        <v>13</v>
      </c>
      <c r="DI715" s="9">
        <v>13</v>
      </c>
      <c r="DJ715" s="9">
        <v>5</v>
      </c>
      <c r="DK715" s="9">
        <v>5</v>
      </c>
      <c r="DL715" s="9">
        <v>5</v>
      </c>
      <c r="DM715" s="9">
        <v>5</v>
      </c>
      <c r="DN715" s="9">
        <v>5</v>
      </c>
      <c r="DO715" s="9">
        <v>5</v>
      </c>
      <c r="DP715" s="25" t="s">
        <v>107</v>
      </c>
      <c r="DQ715" s="25" t="s">
        <v>201</v>
      </c>
      <c r="DR715" s="25" t="s">
        <v>201</v>
      </c>
      <c r="DS715" s="25" t="s">
        <v>109</v>
      </c>
      <c r="DT715" s="25" t="s">
        <v>209</v>
      </c>
      <c r="DU715" s="25" t="s">
        <v>215</v>
      </c>
      <c r="DV715" s="25">
        <f t="shared" si="455"/>
        <v>1</v>
      </c>
      <c r="DW715" s="25">
        <f t="shared" si="456"/>
        <v>1</v>
      </c>
      <c r="DX715" s="25">
        <f t="shared" si="457"/>
        <v>1</v>
      </c>
      <c r="DY715" s="25">
        <f t="shared" si="458"/>
        <v>2</v>
      </c>
      <c r="DZ715" s="25">
        <f t="shared" si="459"/>
        <v>2</v>
      </c>
      <c r="EA715" s="25">
        <f t="shared" si="460"/>
        <v>2</v>
      </c>
      <c r="EB715" s="45"/>
    </row>
    <row r="716" spans="1:132" ht="13.5" customHeight="1">
      <c r="A716" s="9">
        <v>713</v>
      </c>
      <c r="B716" s="9">
        <v>1</v>
      </c>
      <c r="C716" s="9">
        <v>2001</v>
      </c>
      <c r="D716" s="9">
        <f t="shared" si="433"/>
        <v>41999245</v>
      </c>
      <c r="E716" s="9" t="str">
        <f t="shared" si="434"/>
        <v>5201133,5200133,5301131,5501134,5500133,5501134</v>
      </c>
      <c r="F716" s="9" t="str">
        <f t="shared" si="435"/>
        <v>13,13,13,13,13,13</v>
      </c>
      <c r="G716" s="9" t="str">
        <f t="shared" si="436"/>
        <v>1504,1625,1625,1625,1625,1625</v>
      </c>
      <c r="H716" s="9">
        <v>325</v>
      </c>
      <c r="I716" s="9" t="s">
        <v>278</v>
      </c>
      <c r="J716" s="9" t="s">
        <v>279</v>
      </c>
      <c r="K716" s="9" t="s">
        <v>279</v>
      </c>
      <c r="L716" s="9" t="s">
        <v>279</v>
      </c>
      <c r="M716" s="36" t="s">
        <v>319</v>
      </c>
      <c r="O716" s="3">
        <f t="shared" si="461"/>
        <v>41999245</v>
      </c>
      <c r="P716" s="9">
        <v>31817609.960000001</v>
      </c>
      <c r="Q716" s="9">
        <v>5201133</v>
      </c>
      <c r="R716" s="9">
        <v>5200133</v>
      </c>
      <c r="S716" s="9">
        <v>5301131</v>
      </c>
      <c r="T716" s="9">
        <v>5501134</v>
      </c>
      <c r="U716" s="9">
        <v>5500133</v>
      </c>
      <c r="V716" s="9">
        <v>5501134</v>
      </c>
      <c r="W716" s="9">
        <v>13</v>
      </c>
      <c r="X716" s="9">
        <v>13</v>
      </c>
      <c r="Y716" s="9">
        <v>13</v>
      </c>
      <c r="Z716" s="9">
        <v>13</v>
      </c>
      <c r="AA716" s="9">
        <v>13</v>
      </c>
      <c r="AB716" s="9">
        <v>13</v>
      </c>
      <c r="AC716" s="9">
        <f t="shared" si="437"/>
        <v>1504</v>
      </c>
      <c r="AD716" s="9">
        <f t="shared" si="438"/>
        <v>1625</v>
      </c>
      <c r="AE716" s="9">
        <f t="shared" si="439"/>
        <v>1625</v>
      </c>
      <c r="AF716" s="9">
        <f t="shared" si="440"/>
        <v>1625</v>
      </c>
      <c r="AG716" s="9">
        <f t="shared" si="441"/>
        <v>1625</v>
      </c>
      <c r="AH716" s="9">
        <f t="shared" si="442"/>
        <v>1625</v>
      </c>
      <c r="AI716" s="7">
        <f t="shared" si="432"/>
        <v>5302934.9933333332</v>
      </c>
      <c r="AJ716" s="7">
        <f t="shared" si="432"/>
        <v>5302934.9933333332</v>
      </c>
      <c r="AK716" s="7">
        <f t="shared" si="432"/>
        <v>5302934.9933333332</v>
      </c>
      <c r="AL716" s="7">
        <f t="shared" si="432"/>
        <v>5302934.9933333332</v>
      </c>
      <c r="AM716" s="7">
        <f t="shared" si="432"/>
        <v>5302934.9933333332</v>
      </c>
      <c r="AN716" s="7">
        <f t="shared" si="432"/>
        <v>5302934.9933333332</v>
      </c>
      <c r="BR716" s="5">
        <v>5404061</v>
      </c>
      <c r="BS716" s="18">
        <f>[1]monsters!$N716</f>
        <v>192</v>
      </c>
      <c r="BT716" s="18">
        <f>[1]monsters!$O716</f>
        <v>19.2</v>
      </c>
      <c r="BU716" s="18">
        <f>[1]monsters!$P716</f>
        <v>2304</v>
      </c>
      <c r="BV716" s="18">
        <f>[1]monsters!$Q716</f>
        <v>230.4</v>
      </c>
      <c r="BW716" s="18">
        <f>[1]monsters!$R716</f>
        <v>64</v>
      </c>
      <c r="BX716" s="18">
        <f>[1]monsters!$S716</f>
        <v>6.4</v>
      </c>
      <c r="BY716" s="18">
        <f>[1]monsters!$K716</f>
        <v>1.5</v>
      </c>
      <c r="BZ716" s="5">
        <f>[1]monsters!$D716</f>
        <v>2</v>
      </c>
      <c r="CA716" s="5">
        <f t="shared" si="462"/>
        <v>0.1</v>
      </c>
      <c r="CB716" s="5">
        <f t="shared" si="463"/>
        <v>259.01575757575756</v>
      </c>
      <c r="CC716" s="5">
        <f t="shared" si="464"/>
        <v>25.901575757575756</v>
      </c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R716" s="3" t="b">
        <f t="shared" si="443"/>
        <v>1</v>
      </c>
      <c r="CS716" s="3" t="b">
        <f t="shared" si="444"/>
        <v>1</v>
      </c>
      <c r="CT716" s="3" t="b">
        <f t="shared" si="445"/>
        <v>1</v>
      </c>
      <c r="CU716" s="3" t="b">
        <f t="shared" si="446"/>
        <v>1</v>
      </c>
      <c r="CV716" s="3" t="b">
        <f t="shared" si="447"/>
        <v>1</v>
      </c>
      <c r="CW716" s="3" t="b">
        <f t="shared" si="448"/>
        <v>1</v>
      </c>
      <c r="CX716" s="9" t="str">
        <f t="shared" si="449"/>
        <v>5201133</v>
      </c>
      <c r="CY716" s="9" t="str">
        <f t="shared" si="450"/>
        <v>5200133</v>
      </c>
      <c r="CZ716" s="9" t="str">
        <f t="shared" si="451"/>
        <v>5301131</v>
      </c>
      <c r="DA716" s="9" t="str">
        <f t="shared" si="452"/>
        <v>5501134</v>
      </c>
      <c r="DB716" s="9" t="str">
        <f t="shared" si="453"/>
        <v>5500133</v>
      </c>
      <c r="DC716" s="9" t="str">
        <f t="shared" si="454"/>
        <v>5501134</v>
      </c>
      <c r="DD716" s="9">
        <v>13</v>
      </c>
      <c r="DE716" s="9">
        <v>13</v>
      </c>
      <c r="DF716" s="9">
        <v>13</v>
      </c>
      <c r="DG716" s="9">
        <v>13</v>
      </c>
      <c r="DH716" s="9">
        <v>13</v>
      </c>
      <c r="DI716" s="9">
        <v>13</v>
      </c>
      <c r="DJ716" s="9">
        <v>5</v>
      </c>
      <c r="DK716" s="9">
        <v>5</v>
      </c>
      <c r="DL716" s="9">
        <v>5</v>
      </c>
      <c r="DM716" s="9">
        <v>5</v>
      </c>
      <c r="DN716" s="9">
        <v>5</v>
      </c>
      <c r="DO716" s="9">
        <v>5</v>
      </c>
      <c r="DP716" s="25" t="s">
        <v>205</v>
      </c>
      <c r="DQ716" s="25" t="s">
        <v>113</v>
      </c>
      <c r="DR716" s="25" t="s">
        <v>107</v>
      </c>
      <c r="DS716" s="25" t="s">
        <v>214</v>
      </c>
      <c r="DT716" s="25" t="s">
        <v>207</v>
      </c>
      <c r="DU716" s="25" t="s">
        <v>214</v>
      </c>
      <c r="DV716" s="25">
        <f t="shared" si="455"/>
        <v>1</v>
      </c>
      <c r="DW716" s="25">
        <f t="shared" si="456"/>
        <v>1</v>
      </c>
      <c r="DX716" s="25">
        <f t="shared" si="457"/>
        <v>1</v>
      </c>
      <c r="DY716" s="25">
        <f t="shared" si="458"/>
        <v>2</v>
      </c>
      <c r="DZ716" s="25">
        <f t="shared" si="459"/>
        <v>2</v>
      </c>
      <c r="EA716" s="25">
        <f t="shared" si="460"/>
        <v>2</v>
      </c>
      <c r="EB716" s="46"/>
    </row>
    <row r="717" spans="1:132" ht="13.5" customHeight="1">
      <c r="A717" s="9">
        <v>714</v>
      </c>
      <c r="B717" s="9">
        <v>1</v>
      </c>
      <c r="C717" s="9">
        <v>2001</v>
      </c>
      <c r="D717" s="9">
        <f t="shared" si="433"/>
        <v>42099273</v>
      </c>
      <c r="E717" s="9" t="str">
        <f t="shared" si="434"/>
        <v>5200133,5200133,5200133,5401133,5401133,5401133</v>
      </c>
      <c r="F717" s="9" t="str">
        <f t="shared" si="435"/>
        <v>13,13,13,13,13,13</v>
      </c>
      <c r="G717" s="9" t="str">
        <f t="shared" si="436"/>
        <v>1506,1627,1627,1627,1627,1627</v>
      </c>
      <c r="H717" s="9">
        <v>325</v>
      </c>
      <c r="I717" s="9" t="s">
        <v>278</v>
      </c>
      <c r="J717" s="9" t="s">
        <v>279</v>
      </c>
      <c r="K717" s="9" t="s">
        <v>279</v>
      </c>
      <c r="L717" s="9" t="s">
        <v>279</v>
      </c>
      <c r="M717" s="36" t="s">
        <v>319</v>
      </c>
      <c r="O717" s="3">
        <f t="shared" si="461"/>
        <v>42099273</v>
      </c>
      <c r="P717" s="9">
        <v>31893388.5</v>
      </c>
      <c r="Q717" s="9">
        <v>5200133</v>
      </c>
      <c r="R717" s="9">
        <v>5200133</v>
      </c>
      <c r="S717" s="9">
        <v>5200133</v>
      </c>
      <c r="T717" s="9">
        <v>5401133</v>
      </c>
      <c r="U717" s="9">
        <v>5401133</v>
      </c>
      <c r="V717" s="9">
        <v>5401133</v>
      </c>
      <c r="W717" s="9">
        <v>13</v>
      </c>
      <c r="X717" s="9">
        <v>13</v>
      </c>
      <c r="Y717" s="9">
        <v>13</v>
      </c>
      <c r="Z717" s="9">
        <v>13</v>
      </c>
      <c r="AA717" s="9">
        <v>13</v>
      </c>
      <c r="AB717" s="9">
        <v>13</v>
      </c>
      <c r="AC717" s="9">
        <f t="shared" si="437"/>
        <v>1506</v>
      </c>
      <c r="AD717" s="9">
        <f t="shared" si="438"/>
        <v>1627</v>
      </c>
      <c r="AE717" s="9">
        <f t="shared" si="439"/>
        <v>1627</v>
      </c>
      <c r="AF717" s="9">
        <f t="shared" si="440"/>
        <v>1627</v>
      </c>
      <c r="AG717" s="9">
        <f t="shared" si="441"/>
        <v>1627</v>
      </c>
      <c r="AH717" s="9">
        <f t="shared" si="442"/>
        <v>1627</v>
      </c>
      <c r="AI717" s="7">
        <f t="shared" si="432"/>
        <v>5315564.75</v>
      </c>
      <c r="AJ717" s="7">
        <f t="shared" si="432"/>
        <v>5315564.75</v>
      </c>
      <c r="AK717" s="7">
        <f t="shared" si="432"/>
        <v>5315564.75</v>
      </c>
      <c r="AL717" s="7">
        <f t="shared" si="432"/>
        <v>5315564.75</v>
      </c>
      <c r="AM717" s="7">
        <f t="shared" si="432"/>
        <v>5315564.75</v>
      </c>
      <c r="AN717" s="7">
        <f t="shared" si="432"/>
        <v>5315564.75</v>
      </c>
      <c r="BR717" s="5">
        <v>5303061</v>
      </c>
      <c r="BS717" s="18">
        <f>[1]monsters!$N717</f>
        <v>208</v>
      </c>
      <c r="BT717" s="18">
        <f>[1]monsters!$O717</f>
        <v>20.8</v>
      </c>
      <c r="BU717" s="18">
        <f>[1]monsters!$P717</f>
        <v>2496</v>
      </c>
      <c r="BV717" s="18">
        <f>[1]monsters!$Q717</f>
        <v>249.6</v>
      </c>
      <c r="BW717" s="18">
        <f>[1]monsters!$R717</f>
        <v>69.33</v>
      </c>
      <c r="BX717" s="18">
        <f>[1]monsters!$S717</f>
        <v>6.93</v>
      </c>
      <c r="BY717" s="18">
        <f>[1]monsters!$K717</f>
        <v>1.5</v>
      </c>
      <c r="BZ717" s="5">
        <f>[1]monsters!$D717</f>
        <v>2</v>
      </c>
      <c r="CA717" s="5">
        <f t="shared" si="462"/>
        <v>0.1</v>
      </c>
      <c r="CB717" s="5">
        <f t="shared" si="463"/>
        <v>280.60040404040404</v>
      </c>
      <c r="CC717" s="5">
        <f t="shared" si="464"/>
        <v>28.060040404040407</v>
      </c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R717" s="3" t="b">
        <f t="shared" si="443"/>
        <v>1</v>
      </c>
      <c r="CS717" s="3" t="b">
        <f t="shared" si="444"/>
        <v>1</v>
      </c>
      <c r="CT717" s="3" t="b">
        <f t="shared" si="445"/>
        <v>1</v>
      </c>
      <c r="CU717" s="3" t="b">
        <f t="shared" si="446"/>
        <v>1</v>
      </c>
      <c r="CV717" s="3" t="b">
        <f t="shared" si="447"/>
        <v>1</v>
      </c>
      <c r="CW717" s="3" t="b">
        <f t="shared" si="448"/>
        <v>1</v>
      </c>
      <c r="CX717" s="9" t="str">
        <f t="shared" si="449"/>
        <v>5200133</v>
      </c>
      <c r="CY717" s="9" t="str">
        <f t="shared" si="450"/>
        <v>5200133</v>
      </c>
      <c r="CZ717" s="9" t="str">
        <f t="shared" si="451"/>
        <v>5200133</v>
      </c>
      <c r="DA717" s="9" t="str">
        <f t="shared" si="452"/>
        <v>5401133</v>
      </c>
      <c r="DB717" s="9" t="str">
        <f t="shared" si="453"/>
        <v>5401133</v>
      </c>
      <c r="DC717" s="9" t="str">
        <f t="shared" si="454"/>
        <v>5401133</v>
      </c>
      <c r="DD717" s="9">
        <v>13</v>
      </c>
      <c r="DE717" s="9">
        <v>13</v>
      </c>
      <c r="DF717" s="9">
        <v>13</v>
      </c>
      <c r="DG717" s="9">
        <v>13</v>
      </c>
      <c r="DH717" s="9">
        <v>13</v>
      </c>
      <c r="DI717" s="9">
        <v>13</v>
      </c>
      <c r="DJ717" s="9">
        <v>5</v>
      </c>
      <c r="DK717" s="9">
        <v>5</v>
      </c>
      <c r="DL717" s="9">
        <v>5</v>
      </c>
      <c r="DM717" s="9">
        <v>5</v>
      </c>
      <c r="DN717" s="9">
        <v>5</v>
      </c>
      <c r="DO717" s="9">
        <v>5</v>
      </c>
      <c r="DP717" s="25" t="s">
        <v>113</v>
      </c>
      <c r="DQ717" s="25" t="s">
        <v>113</v>
      </c>
      <c r="DR717" s="25" t="s">
        <v>113</v>
      </c>
      <c r="DS717" s="25" t="s">
        <v>211</v>
      </c>
      <c r="DT717" s="25" t="s">
        <v>211</v>
      </c>
      <c r="DU717" s="25" t="s">
        <v>211</v>
      </c>
      <c r="DV717" s="25">
        <f t="shared" si="455"/>
        <v>1</v>
      </c>
      <c r="DW717" s="25">
        <f t="shared" si="456"/>
        <v>1</v>
      </c>
      <c r="DX717" s="25">
        <f t="shared" si="457"/>
        <v>1</v>
      </c>
      <c r="DY717" s="25">
        <f t="shared" si="458"/>
        <v>2</v>
      </c>
      <c r="DZ717" s="25">
        <f t="shared" si="459"/>
        <v>2</v>
      </c>
      <c r="EA717" s="25">
        <f t="shared" si="460"/>
        <v>2</v>
      </c>
      <c r="EB717" s="45"/>
    </row>
    <row r="718" spans="1:132" ht="13.5" customHeight="1">
      <c r="A718" s="9">
        <v>715</v>
      </c>
      <c r="B718" s="9">
        <v>1</v>
      </c>
      <c r="C718" s="9">
        <v>2001</v>
      </c>
      <c r="D718" s="9">
        <f t="shared" si="433"/>
        <v>42199420</v>
      </c>
      <c r="E718" s="9" t="str">
        <f t="shared" si="434"/>
        <v>5201131,5201132,5202131,5502131,5500131,5502131</v>
      </c>
      <c r="F718" s="9" t="str">
        <f t="shared" si="435"/>
        <v>13,13,13,13,13,13</v>
      </c>
      <c r="G718" s="9" t="str">
        <f t="shared" si="436"/>
        <v>1508,1629,1629,1629,1629,1629</v>
      </c>
      <c r="H718" s="9">
        <v>326</v>
      </c>
      <c r="I718" s="9" t="s">
        <v>278</v>
      </c>
      <c r="J718" s="9" t="s">
        <v>279</v>
      </c>
      <c r="K718" s="9" t="s">
        <v>279</v>
      </c>
      <c r="L718" s="9" t="s">
        <v>279</v>
      </c>
      <c r="M718" s="36" t="s">
        <v>319</v>
      </c>
      <c r="O718" s="3">
        <f t="shared" si="461"/>
        <v>42199420</v>
      </c>
      <c r="P718" s="9">
        <v>31969257.77</v>
      </c>
      <c r="Q718" s="9">
        <v>5201131</v>
      </c>
      <c r="R718" s="9">
        <v>5201132</v>
      </c>
      <c r="S718" s="9">
        <v>5202131</v>
      </c>
      <c r="T718" s="9">
        <v>5502131</v>
      </c>
      <c r="U718" s="9">
        <v>5500131</v>
      </c>
      <c r="V718" s="9">
        <v>5502131</v>
      </c>
      <c r="W718" s="9">
        <v>13</v>
      </c>
      <c r="X718" s="9">
        <v>13</v>
      </c>
      <c r="Y718" s="9">
        <v>13</v>
      </c>
      <c r="Z718" s="9">
        <v>13</v>
      </c>
      <c r="AA718" s="9">
        <v>13</v>
      </c>
      <c r="AB718" s="9">
        <v>13</v>
      </c>
      <c r="AC718" s="9">
        <f t="shared" si="437"/>
        <v>1508</v>
      </c>
      <c r="AD718" s="9">
        <f t="shared" si="438"/>
        <v>1629</v>
      </c>
      <c r="AE718" s="9">
        <f t="shared" si="439"/>
        <v>1629</v>
      </c>
      <c r="AF718" s="9">
        <f t="shared" si="440"/>
        <v>1629</v>
      </c>
      <c r="AG718" s="9">
        <f t="shared" si="441"/>
        <v>1629</v>
      </c>
      <c r="AH718" s="9">
        <f t="shared" si="442"/>
        <v>1629</v>
      </c>
      <c r="AI718" s="7">
        <f t="shared" si="432"/>
        <v>5328209.6283333329</v>
      </c>
      <c r="AJ718" s="7">
        <f t="shared" si="432"/>
        <v>5328209.6283333329</v>
      </c>
      <c r="AK718" s="7">
        <f t="shared" si="432"/>
        <v>5328209.6283333329</v>
      </c>
      <c r="AL718" s="7">
        <f t="shared" si="432"/>
        <v>5328209.6283333329</v>
      </c>
      <c r="AM718" s="7">
        <f t="shared" si="432"/>
        <v>5328209.6283333329</v>
      </c>
      <c r="AN718" s="7">
        <f t="shared" si="432"/>
        <v>5328209.6283333329</v>
      </c>
      <c r="BR718" s="5">
        <v>5304061</v>
      </c>
      <c r="BS718" s="18">
        <f>[1]monsters!$N718</f>
        <v>208</v>
      </c>
      <c r="BT718" s="18">
        <f>[1]monsters!$O718</f>
        <v>20.8</v>
      </c>
      <c r="BU718" s="18">
        <f>[1]monsters!$P718</f>
        <v>2496</v>
      </c>
      <c r="BV718" s="18">
        <f>[1]monsters!$Q718</f>
        <v>249.6</v>
      </c>
      <c r="BW718" s="18">
        <f>[1]monsters!$R718</f>
        <v>69.33</v>
      </c>
      <c r="BX718" s="18">
        <f>[1]monsters!$S718</f>
        <v>6.93</v>
      </c>
      <c r="BY718" s="18">
        <f>[1]monsters!$K718</f>
        <v>1.5</v>
      </c>
      <c r="BZ718" s="5">
        <f>[1]monsters!$D718</f>
        <v>2</v>
      </c>
      <c r="CA718" s="5">
        <f t="shared" si="462"/>
        <v>0.1</v>
      </c>
      <c r="CB718" s="5">
        <f t="shared" si="463"/>
        <v>280.60040404040404</v>
      </c>
      <c r="CC718" s="5">
        <f t="shared" si="464"/>
        <v>28.060040404040407</v>
      </c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R718" s="3" t="b">
        <f t="shared" si="443"/>
        <v>1</v>
      </c>
      <c r="CS718" s="3" t="b">
        <f t="shared" si="444"/>
        <v>1</v>
      </c>
      <c r="CT718" s="3" t="b">
        <f t="shared" si="445"/>
        <v>1</v>
      </c>
      <c r="CU718" s="3" t="b">
        <f t="shared" si="446"/>
        <v>1</v>
      </c>
      <c r="CV718" s="3" t="b">
        <f t="shared" si="447"/>
        <v>1</v>
      </c>
      <c r="CW718" s="3" t="b">
        <f t="shared" si="448"/>
        <v>1</v>
      </c>
      <c r="CX718" s="9" t="str">
        <f t="shared" si="449"/>
        <v>5201131</v>
      </c>
      <c r="CY718" s="9" t="str">
        <f t="shared" si="450"/>
        <v>5201132</v>
      </c>
      <c r="CZ718" s="9" t="str">
        <f t="shared" si="451"/>
        <v>5202131</v>
      </c>
      <c r="DA718" s="9" t="str">
        <f t="shared" si="452"/>
        <v>5502131</v>
      </c>
      <c r="DB718" s="9" t="str">
        <f t="shared" si="453"/>
        <v>5500131</v>
      </c>
      <c r="DC718" s="9" t="str">
        <f t="shared" si="454"/>
        <v>5502131</v>
      </c>
      <c r="DD718" s="9">
        <v>13</v>
      </c>
      <c r="DE718" s="9">
        <v>13</v>
      </c>
      <c r="DF718" s="9">
        <v>13</v>
      </c>
      <c r="DG718" s="9">
        <v>13</v>
      </c>
      <c r="DH718" s="9">
        <v>13</v>
      </c>
      <c r="DI718" s="9">
        <v>13</v>
      </c>
      <c r="DJ718" s="9">
        <v>5</v>
      </c>
      <c r="DK718" s="9">
        <v>5</v>
      </c>
      <c r="DL718" s="9">
        <v>5</v>
      </c>
      <c r="DM718" s="9">
        <v>5</v>
      </c>
      <c r="DN718" s="9">
        <v>5</v>
      </c>
      <c r="DO718" s="9">
        <v>5</v>
      </c>
      <c r="DP718" s="25" t="s">
        <v>195</v>
      </c>
      <c r="DQ718" s="25" t="s">
        <v>114</v>
      </c>
      <c r="DR718" s="25" t="s">
        <v>111</v>
      </c>
      <c r="DS718" s="25" t="s">
        <v>119</v>
      </c>
      <c r="DT718" s="25" t="s">
        <v>197</v>
      </c>
      <c r="DU718" s="25" t="s">
        <v>119</v>
      </c>
      <c r="DV718" s="25">
        <f t="shared" si="455"/>
        <v>1</v>
      </c>
      <c r="DW718" s="25">
        <f t="shared" si="456"/>
        <v>1</v>
      </c>
      <c r="DX718" s="25">
        <f t="shared" si="457"/>
        <v>1</v>
      </c>
      <c r="DY718" s="25">
        <f t="shared" si="458"/>
        <v>2</v>
      </c>
      <c r="DZ718" s="25">
        <f t="shared" si="459"/>
        <v>2</v>
      </c>
      <c r="EA718" s="25">
        <f t="shared" si="460"/>
        <v>2</v>
      </c>
      <c r="EB718" s="45"/>
    </row>
    <row r="719" spans="1:132" ht="13.5" customHeight="1">
      <c r="A719" s="9">
        <v>716</v>
      </c>
      <c r="B719" s="9">
        <v>1</v>
      </c>
      <c r="C719" s="9">
        <v>2001</v>
      </c>
      <c r="D719" s="9">
        <f t="shared" si="433"/>
        <v>42299685</v>
      </c>
      <c r="E719" s="9" t="str">
        <f t="shared" si="434"/>
        <v>5202133,5201133,5302134,5501134,5400135,5500132</v>
      </c>
      <c r="F719" s="9" t="str">
        <f t="shared" si="435"/>
        <v>13,13,13,13,13,13</v>
      </c>
      <c r="G719" s="9" t="str">
        <f t="shared" si="436"/>
        <v>1509,1631,1631,1631,1631,1631</v>
      </c>
      <c r="H719" s="9">
        <v>326</v>
      </c>
      <c r="I719" s="9" t="s">
        <v>278</v>
      </c>
      <c r="J719" s="9" t="s">
        <v>279</v>
      </c>
      <c r="K719" s="9" t="s">
        <v>279</v>
      </c>
      <c r="L719" s="9" t="s">
        <v>279</v>
      </c>
      <c r="M719" s="36" t="s">
        <v>319</v>
      </c>
      <c r="O719" s="3">
        <f t="shared" si="461"/>
        <v>42299685</v>
      </c>
      <c r="P719" s="9">
        <v>32045215.66</v>
      </c>
      <c r="Q719" s="9">
        <v>5202133</v>
      </c>
      <c r="R719" s="9">
        <v>5201133</v>
      </c>
      <c r="S719" s="9">
        <v>5302134</v>
      </c>
      <c r="T719" s="9">
        <v>5501134</v>
      </c>
      <c r="U719" s="9">
        <v>5400135</v>
      </c>
      <c r="V719" s="9">
        <v>5500132</v>
      </c>
      <c r="W719" s="9">
        <v>13</v>
      </c>
      <c r="X719" s="9">
        <v>13</v>
      </c>
      <c r="Y719" s="9">
        <v>13</v>
      </c>
      <c r="Z719" s="9">
        <v>13</v>
      </c>
      <c r="AA719" s="9">
        <v>13</v>
      </c>
      <c r="AB719" s="9">
        <v>13</v>
      </c>
      <c r="AC719" s="9">
        <f t="shared" si="437"/>
        <v>1509</v>
      </c>
      <c r="AD719" s="9">
        <f t="shared" si="438"/>
        <v>1631</v>
      </c>
      <c r="AE719" s="9">
        <f t="shared" si="439"/>
        <v>1631</v>
      </c>
      <c r="AF719" s="9">
        <f t="shared" si="440"/>
        <v>1631</v>
      </c>
      <c r="AG719" s="9">
        <f t="shared" si="441"/>
        <v>1631</v>
      </c>
      <c r="AH719" s="9">
        <f t="shared" si="442"/>
        <v>1631</v>
      </c>
      <c r="AI719" s="7">
        <f t="shared" si="432"/>
        <v>5340869.2766666664</v>
      </c>
      <c r="AJ719" s="7">
        <f t="shared" si="432"/>
        <v>5340869.2766666664</v>
      </c>
      <c r="AK719" s="7">
        <f t="shared" si="432"/>
        <v>5340869.2766666664</v>
      </c>
      <c r="AL719" s="7">
        <f t="shared" si="432"/>
        <v>5340869.2766666664</v>
      </c>
      <c r="AM719" s="7">
        <f t="shared" si="432"/>
        <v>5340869.2766666664</v>
      </c>
      <c r="AN719" s="7">
        <f t="shared" si="432"/>
        <v>5340869.2766666664</v>
      </c>
      <c r="BR719" s="5">
        <v>5503061</v>
      </c>
      <c r="BS719" s="18">
        <f>[1]monsters!$N719</f>
        <v>208</v>
      </c>
      <c r="BT719" s="18">
        <f>[1]monsters!$O719</f>
        <v>20.8</v>
      </c>
      <c r="BU719" s="18">
        <f>[1]monsters!$P719</f>
        <v>2496</v>
      </c>
      <c r="BV719" s="18">
        <f>[1]monsters!$Q719</f>
        <v>249.6</v>
      </c>
      <c r="BW719" s="18">
        <f>[1]monsters!$R719</f>
        <v>69.33</v>
      </c>
      <c r="BX719" s="18">
        <f>[1]monsters!$S719</f>
        <v>6.93</v>
      </c>
      <c r="BY719" s="18">
        <f>[1]monsters!$K719</f>
        <v>1.5</v>
      </c>
      <c r="BZ719" s="5">
        <f>[1]monsters!$D719</f>
        <v>2</v>
      </c>
      <c r="CA719" s="5">
        <f t="shared" si="462"/>
        <v>0.1</v>
      </c>
      <c r="CB719" s="5">
        <f t="shared" si="463"/>
        <v>280.60040404040404</v>
      </c>
      <c r="CC719" s="5">
        <f t="shared" si="464"/>
        <v>28.060040404040407</v>
      </c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R719" s="3" t="b">
        <f t="shared" si="443"/>
        <v>1</v>
      </c>
      <c r="CS719" s="3" t="b">
        <f t="shared" si="444"/>
        <v>1</v>
      </c>
      <c r="CT719" s="3" t="b">
        <f t="shared" si="445"/>
        <v>1</v>
      </c>
      <c r="CU719" s="3" t="b">
        <f t="shared" si="446"/>
        <v>1</v>
      </c>
      <c r="CV719" s="3" t="b">
        <f t="shared" si="447"/>
        <v>1</v>
      </c>
      <c r="CW719" s="3" t="b">
        <f t="shared" si="448"/>
        <v>1</v>
      </c>
      <c r="CX719" s="9" t="str">
        <f t="shared" si="449"/>
        <v>5202133</v>
      </c>
      <c r="CY719" s="9" t="str">
        <f t="shared" si="450"/>
        <v>5201133</v>
      </c>
      <c r="CZ719" s="9" t="str">
        <f t="shared" si="451"/>
        <v>5302134</v>
      </c>
      <c r="DA719" s="9" t="str">
        <f t="shared" si="452"/>
        <v>5501134</v>
      </c>
      <c r="DB719" s="9" t="str">
        <f t="shared" si="453"/>
        <v>5400135</v>
      </c>
      <c r="DC719" s="9" t="str">
        <f t="shared" si="454"/>
        <v>5500132</v>
      </c>
      <c r="DD719" s="9">
        <v>13</v>
      </c>
      <c r="DE719" s="9">
        <v>13</v>
      </c>
      <c r="DF719" s="9">
        <v>13</v>
      </c>
      <c r="DG719" s="9">
        <v>13</v>
      </c>
      <c r="DH719" s="9">
        <v>13</v>
      </c>
      <c r="DI719" s="9">
        <v>13</v>
      </c>
      <c r="DJ719" s="9">
        <v>5</v>
      </c>
      <c r="DK719" s="9">
        <v>5</v>
      </c>
      <c r="DL719" s="9">
        <v>5</v>
      </c>
      <c r="DM719" s="9">
        <v>5</v>
      </c>
      <c r="DN719" s="9">
        <v>5</v>
      </c>
      <c r="DO719" s="9">
        <v>5</v>
      </c>
      <c r="DP719" s="25" t="s">
        <v>208</v>
      </c>
      <c r="DQ719" s="25" t="s">
        <v>205</v>
      </c>
      <c r="DR719" s="25" t="s">
        <v>218</v>
      </c>
      <c r="DS719" s="25" t="s">
        <v>214</v>
      </c>
      <c r="DT719" s="25" t="s">
        <v>210</v>
      </c>
      <c r="DU719" s="25" t="s">
        <v>109</v>
      </c>
      <c r="DV719" s="25">
        <f t="shared" si="455"/>
        <v>1</v>
      </c>
      <c r="DW719" s="25">
        <f t="shared" si="456"/>
        <v>1</v>
      </c>
      <c r="DX719" s="25">
        <f t="shared" si="457"/>
        <v>1</v>
      </c>
      <c r="DY719" s="25">
        <f t="shared" si="458"/>
        <v>2</v>
      </c>
      <c r="DZ719" s="25">
        <f t="shared" si="459"/>
        <v>2</v>
      </c>
      <c r="EA719" s="25">
        <f t="shared" si="460"/>
        <v>2</v>
      </c>
      <c r="EB719" s="46"/>
    </row>
    <row r="720" spans="1:132" ht="13.5" customHeight="1">
      <c r="A720" s="9">
        <v>717</v>
      </c>
      <c r="B720" s="9">
        <v>1</v>
      </c>
      <c r="C720" s="9">
        <v>2001</v>
      </c>
      <c r="D720" s="9">
        <f t="shared" si="433"/>
        <v>42400072</v>
      </c>
      <c r="E720" s="9" t="str">
        <f t="shared" si="434"/>
        <v>5201133,5202135,5200131,5501134,5402132,5400135</v>
      </c>
      <c r="F720" s="9" t="str">
        <f t="shared" si="435"/>
        <v>13,13,13,13,13,13</v>
      </c>
      <c r="G720" s="9" t="str">
        <f t="shared" si="436"/>
        <v>1511,1633,1633,1633,1633,1633</v>
      </c>
      <c r="H720" s="9">
        <v>326</v>
      </c>
      <c r="I720" s="9" t="s">
        <v>278</v>
      </c>
      <c r="J720" s="9" t="s">
        <v>279</v>
      </c>
      <c r="K720" s="9" t="s">
        <v>279</v>
      </c>
      <c r="L720" s="9" t="s">
        <v>279</v>
      </c>
      <c r="M720" s="36" t="s">
        <v>319</v>
      </c>
      <c r="O720" s="3">
        <f t="shared" si="461"/>
        <v>42400072</v>
      </c>
      <c r="P720" s="9">
        <v>32121266.390000001</v>
      </c>
      <c r="Q720" s="9">
        <v>5201133</v>
      </c>
      <c r="R720" s="9">
        <v>5202135</v>
      </c>
      <c r="S720" s="9">
        <v>5200131</v>
      </c>
      <c r="T720" s="9">
        <v>5501134</v>
      </c>
      <c r="U720" s="9">
        <v>5402132</v>
      </c>
      <c r="V720" s="9">
        <v>5400135</v>
      </c>
      <c r="W720" s="9">
        <v>13</v>
      </c>
      <c r="X720" s="9">
        <v>13</v>
      </c>
      <c r="Y720" s="9">
        <v>13</v>
      </c>
      <c r="Z720" s="9">
        <v>13</v>
      </c>
      <c r="AA720" s="9">
        <v>13</v>
      </c>
      <c r="AB720" s="9">
        <v>13</v>
      </c>
      <c r="AC720" s="9">
        <f t="shared" si="437"/>
        <v>1511</v>
      </c>
      <c r="AD720" s="9">
        <f t="shared" si="438"/>
        <v>1633</v>
      </c>
      <c r="AE720" s="9">
        <f t="shared" si="439"/>
        <v>1633</v>
      </c>
      <c r="AF720" s="9">
        <f t="shared" si="440"/>
        <v>1633</v>
      </c>
      <c r="AG720" s="9">
        <f t="shared" si="441"/>
        <v>1633</v>
      </c>
      <c r="AH720" s="9">
        <f t="shared" si="442"/>
        <v>1633</v>
      </c>
      <c r="AI720" s="7">
        <f t="shared" si="432"/>
        <v>5353544.3983333334</v>
      </c>
      <c r="AJ720" s="7">
        <f t="shared" si="432"/>
        <v>5353544.3983333334</v>
      </c>
      <c r="AK720" s="7">
        <f t="shared" si="432"/>
        <v>5353544.3983333334</v>
      </c>
      <c r="AL720" s="7">
        <f t="shared" si="432"/>
        <v>5353544.3983333334</v>
      </c>
      <c r="AM720" s="7">
        <f t="shared" si="432"/>
        <v>5353544.3983333334</v>
      </c>
      <c r="AN720" s="7">
        <f t="shared" si="432"/>
        <v>5353544.3983333334</v>
      </c>
      <c r="BR720" s="5">
        <v>5504061</v>
      </c>
      <c r="BS720" s="18">
        <f>[1]monsters!$N720</f>
        <v>208</v>
      </c>
      <c r="BT720" s="18">
        <f>[1]monsters!$O720</f>
        <v>20.8</v>
      </c>
      <c r="BU720" s="18">
        <f>[1]monsters!$P720</f>
        <v>2496</v>
      </c>
      <c r="BV720" s="18">
        <f>[1]monsters!$Q720</f>
        <v>249.6</v>
      </c>
      <c r="BW720" s="18">
        <f>[1]monsters!$R720</f>
        <v>69.33</v>
      </c>
      <c r="BX720" s="18">
        <f>[1]monsters!$S720</f>
        <v>6.93</v>
      </c>
      <c r="BY720" s="18">
        <f>[1]monsters!$K720</f>
        <v>1.5</v>
      </c>
      <c r="BZ720" s="5">
        <f>[1]monsters!$D720</f>
        <v>2</v>
      </c>
      <c r="CA720" s="5">
        <f t="shared" si="462"/>
        <v>0.1</v>
      </c>
      <c r="CB720" s="5">
        <f t="shared" si="463"/>
        <v>280.60040404040404</v>
      </c>
      <c r="CC720" s="5">
        <f t="shared" si="464"/>
        <v>28.060040404040407</v>
      </c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R720" s="3" t="b">
        <f t="shared" si="443"/>
        <v>1</v>
      </c>
      <c r="CS720" s="3" t="b">
        <f t="shared" si="444"/>
        <v>1</v>
      </c>
      <c r="CT720" s="3" t="b">
        <f t="shared" si="445"/>
        <v>1</v>
      </c>
      <c r="CU720" s="3" t="b">
        <f t="shared" si="446"/>
        <v>1</v>
      </c>
      <c r="CV720" s="3" t="b">
        <f t="shared" si="447"/>
        <v>1</v>
      </c>
      <c r="CW720" s="3" t="b">
        <f t="shared" si="448"/>
        <v>1</v>
      </c>
      <c r="CX720" s="9" t="str">
        <f t="shared" si="449"/>
        <v>5201133</v>
      </c>
      <c r="CY720" s="9" t="str">
        <f t="shared" si="450"/>
        <v>5202135</v>
      </c>
      <c r="CZ720" s="9" t="str">
        <f t="shared" si="451"/>
        <v>5200131</v>
      </c>
      <c r="DA720" s="9" t="str">
        <f t="shared" si="452"/>
        <v>5501134</v>
      </c>
      <c r="DB720" s="9" t="str">
        <f t="shared" si="453"/>
        <v>5402132</v>
      </c>
      <c r="DC720" s="9" t="str">
        <f t="shared" si="454"/>
        <v>5400135</v>
      </c>
      <c r="DD720" s="9">
        <v>13</v>
      </c>
      <c r="DE720" s="9">
        <v>13</v>
      </c>
      <c r="DF720" s="9">
        <v>13</v>
      </c>
      <c r="DG720" s="9">
        <v>13</v>
      </c>
      <c r="DH720" s="9">
        <v>13</v>
      </c>
      <c r="DI720" s="9">
        <v>13</v>
      </c>
      <c r="DJ720" s="9">
        <v>5</v>
      </c>
      <c r="DK720" s="9">
        <v>5</v>
      </c>
      <c r="DL720" s="9">
        <v>5</v>
      </c>
      <c r="DM720" s="9">
        <v>5</v>
      </c>
      <c r="DN720" s="9">
        <v>5</v>
      </c>
      <c r="DO720" s="9">
        <v>5</v>
      </c>
      <c r="DP720" s="25" t="s">
        <v>205</v>
      </c>
      <c r="DQ720" s="25" t="s">
        <v>213</v>
      </c>
      <c r="DR720" s="25" t="s">
        <v>194</v>
      </c>
      <c r="DS720" s="25" t="s">
        <v>214</v>
      </c>
      <c r="DT720" s="25" t="s">
        <v>203</v>
      </c>
      <c r="DU720" s="25" t="s">
        <v>210</v>
      </c>
      <c r="DV720" s="25">
        <f t="shared" si="455"/>
        <v>1</v>
      </c>
      <c r="DW720" s="25">
        <f t="shared" si="456"/>
        <v>1</v>
      </c>
      <c r="DX720" s="25">
        <f t="shared" si="457"/>
        <v>1</v>
      </c>
      <c r="DY720" s="25">
        <f t="shared" si="458"/>
        <v>2</v>
      </c>
      <c r="DZ720" s="25">
        <f t="shared" si="459"/>
        <v>2</v>
      </c>
      <c r="EA720" s="25">
        <f t="shared" si="460"/>
        <v>2</v>
      </c>
      <c r="EB720" s="45"/>
    </row>
    <row r="721" spans="1:132" ht="13.5" customHeight="1">
      <c r="A721" s="9">
        <v>718</v>
      </c>
      <c r="B721" s="9">
        <v>1</v>
      </c>
      <c r="C721" s="9">
        <v>2001</v>
      </c>
      <c r="D721" s="9">
        <f t="shared" si="433"/>
        <v>42500576</v>
      </c>
      <c r="E721" s="9" t="str">
        <f t="shared" si="434"/>
        <v>5300135,5202135,5202133,5401133,5501135,5400135</v>
      </c>
      <c r="F721" s="9" t="str">
        <f t="shared" si="435"/>
        <v>13,13,13,13,13,13</v>
      </c>
      <c r="G721" s="9" t="str">
        <f t="shared" si="436"/>
        <v>1513,1635,1635,1635,1635,1635</v>
      </c>
      <c r="H721" s="9">
        <v>327</v>
      </c>
      <c r="I721" s="9" t="s">
        <v>278</v>
      </c>
      <c r="J721" s="9" t="s">
        <v>279</v>
      </c>
      <c r="K721" s="9" t="s">
        <v>279</v>
      </c>
      <c r="L721" s="9" t="s">
        <v>279</v>
      </c>
      <c r="M721" s="36" t="s">
        <v>319</v>
      </c>
      <c r="O721" s="3">
        <f t="shared" si="461"/>
        <v>42500576</v>
      </c>
      <c r="P721" s="9">
        <v>32197405.739999998</v>
      </c>
      <c r="Q721" s="9">
        <v>5300135</v>
      </c>
      <c r="R721" s="9">
        <v>5202135</v>
      </c>
      <c r="S721" s="9">
        <v>5202133</v>
      </c>
      <c r="T721" s="9">
        <v>5401133</v>
      </c>
      <c r="U721" s="9">
        <v>5501135</v>
      </c>
      <c r="V721" s="9">
        <v>5400135</v>
      </c>
      <c r="W721" s="9">
        <v>13</v>
      </c>
      <c r="X721" s="9">
        <v>13</v>
      </c>
      <c r="Y721" s="9">
        <v>13</v>
      </c>
      <c r="Z721" s="9">
        <v>13</v>
      </c>
      <c r="AA721" s="9">
        <v>13</v>
      </c>
      <c r="AB721" s="9">
        <v>13</v>
      </c>
      <c r="AC721" s="9">
        <f t="shared" si="437"/>
        <v>1513</v>
      </c>
      <c r="AD721" s="9">
        <f t="shared" si="438"/>
        <v>1635</v>
      </c>
      <c r="AE721" s="9">
        <f t="shared" si="439"/>
        <v>1635</v>
      </c>
      <c r="AF721" s="9">
        <f t="shared" si="440"/>
        <v>1635</v>
      </c>
      <c r="AG721" s="9">
        <f t="shared" si="441"/>
        <v>1635</v>
      </c>
      <c r="AH721" s="9">
        <f t="shared" si="442"/>
        <v>1635</v>
      </c>
      <c r="AI721" s="7">
        <f t="shared" ref="AI721:AN763" si="465">$P721/6</f>
        <v>5366234.29</v>
      </c>
      <c r="AJ721" s="7">
        <f t="shared" si="465"/>
        <v>5366234.29</v>
      </c>
      <c r="AK721" s="7">
        <f t="shared" si="465"/>
        <v>5366234.29</v>
      </c>
      <c r="AL721" s="7">
        <f t="shared" si="465"/>
        <v>5366234.29</v>
      </c>
      <c r="AM721" s="7">
        <f t="shared" si="465"/>
        <v>5366234.29</v>
      </c>
      <c r="AN721" s="7">
        <f t="shared" si="465"/>
        <v>5366234.29</v>
      </c>
      <c r="BR721" s="5">
        <v>5101061</v>
      </c>
      <c r="BS721" s="18">
        <f>[1]monsters!$N721</f>
        <v>208</v>
      </c>
      <c r="BT721" s="18">
        <f>[1]monsters!$O721</f>
        <v>20.8</v>
      </c>
      <c r="BU721" s="18">
        <f>[1]monsters!$P721</f>
        <v>2496</v>
      </c>
      <c r="BV721" s="18">
        <f>[1]monsters!$Q721</f>
        <v>249.6</v>
      </c>
      <c r="BW721" s="18">
        <f>[1]monsters!$R721</f>
        <v>69.33</v>
      </c>
      <c r="BX721" s="18">
        <f>[1]monsters!$S721</f>
        <v>6.93</v>
      </c>
      <c r="BY721" s="18">
        <f>[1]monsters!$K721</f>
        <v>1.5</v>
      </c>
      <c r="BZ721" s="5">
        <f>[1]monsters!$D721</f>
        <v>2</v>
      </c>
      <c r="CA721" s="5">
        <f t="shared" si="462"/>
        <v>0.1</v>
      </c>
      <c r="CB721" s="5">
        <f t="shared" si="463"/>
        <v>280.60040404040404</v>
      </c>
      <c r="CC721" s="5">
        <f t="shared" si="464"/>
        <v>28.060040404040407</v>
      </c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R721" s="3" t="b">
        <f t="shared" si="443"/>
        <v>1</v>
      </c>
      <c r="CS721" s="3" t="b">
        <f t="shared" si="444"/>
        <v>1</v>
      </c>
      <c r="CT721" s="3" t="b">
        <f t="shared" si="445"/>
        <v>1</v>
      </c>
      <c r="CU721" s="3" t="b">
        <f t="shared" si="446"/>
        <v>1</v>
      </c>
      <c r="CV721" s="3" t="b">
        <f t="shared" si="447"/>
        <v>1</v>
      </c>
      <c r="CW721" s="3" t="b">
        <f t="shared" si="448"/>
        <v>1</v>
      </c>
      <c r="CX721" s="9" t="str">
        <f t="shared" si="449"/>
        <v>5300135</v>
      </c>
      <c r="CY721" s="9" t="str">
        <f t="shared" si="450"/>
        <v>5202135</v>
      </c>
      <c r="CZ721" s="9" t="str">
        <f t="shared" si="451"/>
        <v>5202133</v>
      </c>
      <c r="DA721" s="9" t="str">
        <f t="shared" si="452"/>
        <v>5401133</v>
      </c>
      <c r="DB721" s="9" t="str">
        <f t="shared" si="453"/>
        <v>5501135</v>
      </c>
      <c r="DC721" s="9" t="str">
        <f t="shared" si="454"/>
        <v>5400135</v>
      </c>
      <c r="DD721" s="9">
        <v>13</v>
      </c>
      <c r="DE721" s="9">
        <v>13</v>
      </c>
      <c r="DF721" s="9">
        <v>13</v>
      </c>
      <c r="DG721" s="9">
        <v>13</v>
      </c>
      <c r="DH721" s="9">
        <v>13</v>
      </c>
      <c r="DI721" s="9">
        <v>13</v>
      </c>
      <c r="DJ721" s="9">
        <v>5</v>
      </c>
      <c r="DK721" s="9">
        <v>5</v>
      </c>
      <c r="DL721" s="9">
        <v>5</v>
      </c>
      <c r="DM721" s="9">
        <v>5</v>
      </c>
      <c r="DN721" s="9">
        <v>5</v>
      </c>
      <c r="DO721" s="9">
        <v>5</v>
      </c>
      <c r="DP721" s="25" t="s">
        <v>212</v>
      </c>
      <c r="DQ721" s="25" t="s">
        <v>213</v>
      </c>
      <c r="DR721" s="25" t="s">
        <v>208</v>
      </c>
      <c r="DS721" s="25" t="s">
        <v>211</v>
      </c>
      <c r="DT721" s="25" t="s">
        <v>209</v>
      </c>
      <c r="DU721" s="25" t="s">
        <v>210</v>
      </c>
      <c r="DV721" s="25">
        <f t="shared" si="455"/>
        <v>1</v>
      </c>
      <c r="DW721" s="25">
        <f t="shared" si="456"/>
        <v>1</v>
      </c>
      <c r="DX721" s="25">
        <f t="shared" si="457"/>
        <v>1</v>
      </c>
      <c r="DY721" s="25">
        <f t="shared" si="458"/>
        <v>2</v>
      </c>
      <c r="DZ721" s="25">
        <f t="shared" si="459"/>
        <v>2</v>
      </c>
      <c r="EA721" s="25">
        <f t="shared" si="460"/>
        <v>2</v>
      </c>
      <c r="EB721" s="45"/>
    </row>
    <row r="722" spans="1:132" ht="13.5" customHeight="1">
      <c r="A722" s="9">
        <v>719</v>
      </c>
      <c r="B722" s="9">
        <v>1</v>
      </c>
      <c r="C722" s="9">
        <v>2001</v>
      </c>
      <c r="D722" s="9">
        <f t="shared" si="433"/>
        <v>42601202</v>
      </c>
      <c r="E722" s="9" t="str">
        <f t="shared" si="434"/>
        <v>5202132,5202132,5301132,5502132,5500131,5502131</v>
      </c>
      <c r="F722" s="9" t="str">
        <f t="shared" si="435"/>
        <v>13,13,13,13,13,13</v>
      </c>
      <c r="G722" s="9" t="str">
        <f t="shared" si="436"/>
        <v>1515,1637,1637,1637,1637,1637</v>
      </c>
      <c r="H722" s="9">
        <v>327</v>
      </c>
      <c r="I722" s="9" t="s">
        <v>278</v>
      </c>
      <c r="J722" s="9" t="s">
        <v>279</v>
      </c>
      <c r="K722" s="9" t="s">
        <v>279</v>
      </c>
      <c r="L722" s="9" t="s">
        <v>279</v>
      </c>
      <c r="M722" s="36" t="s">
        <v>319</v>
      </c>
      <c r="O722" s="3">
        <f t="shared" si="461"/>
        <v>42601202</v>
      </c>
      <c r="P722" s="9">
        <v>32273637.93</v>
      </c>
      <c r="Q722" s="9">
        <v>5202132</v>
      </c>
      <c r="R722" s="9">
        <v>5202132</v>
      </c>
      <c r="S722" s="9">
        <v>5301132</v>
      </c>
      <c r="T722" s="9">
        <v>5502132</v>
      </c>
      <c r="U722" s="9">
        <v>5500131</v>
      </c>
      <c r="V722" s="9">
        <v>5502131</v>
      </c>
      <c r="W722" s="9">
        <v>13</v>
      </c>
      <c r="X722" s="9">
        <v>13</v>
      </c>
      <c r="Y722" s="9">
        <v>13</v>
      </c>
      <c r="Z722" s="9">
        <v>13</v>
      </c>
      <c r="AA722" s="9">
        <v>13</v>
      </c>
      <c r="AB722" s="9">
        <v>13</v>
      </c>
      <c r="AC722" s="9">
        <f t="shared" si="437"/>
        <v>1515</v>
      </c>
      <c r="AD722" s="9">
        <f t="shared" si="438"/>
        <v>1637</v>
      </c>
      <c r="AE722" s="9">
        <f t="shared" si="439"/>
        <v>1637</v>
      </c>
      <c r="AF722" s="9">
        <f t="shared" si="440"/>
        <v>1637</v>
      </c>
      <c r="AG722" s="9">
        <f t="shared" si="441"/>
        <v>1637</v>
      </c>
      <c r="AH722" s="9">
        <f t="shared" si="442"/>
        <v>1637</v>
      </c>
      <c r="AI722" s="7">
        <f t="shared" si="465"/>
        <v>5378939.6550000003</v>
      </c>
      <c r="AJ722" s="7">
        <f t="shared" si="465"/>
        <v>5378939.6550000003</v>
      </c>
      <c r="AK722" s="7">
        <f t="shared" si="465"/>
        <v>5378939.6550000003</v>
      </c>
      <c r="AL722" s="7">
        <f t="shared" si="465"/>
        <v>5378939.6550000003</v>
      </c>
      <c r="AM722" s="7">
        <f t="shared" si="465"/>
        <v>5378939.6550000003</v>
      </c>
      <c r="AN722" s="7">
        <f t="shared" si="465"/>
        <v>5378939.6550000003</v>
      </c>
      <c r="BR722" s="5">
        <v>5102061</v>
      </c>
      <c r="BS722" s="18">
        <f>[1]monsters!$N722</f>
        <v>224</v>
      </c>
      <c r="BT722" s="18">
        <f>[1]monsters!$O722</f>
        <v>22.4</v>
      </c>
      <c r="BU722" s="18">
        <f>[1]monsters!$P722</f>
        <v>2688</v>
      </c>
      <c r="BV722" s="18">
        <f>[1]monsters!$Q722</f>
        <v>268.8</v>
      </c>
      <c r="BW722" s="18">
        <f>[1]monsters!$R722</f>
        <v>74.67</v>
      </c>
      <c r="BX722" s="18">
        <f>[1]monsters!$S722</f>
        <v>7.47</v>
      </c>
      <c r="BY722" s="18">
        <f>[1]monsters!$K722</f>
        <v>1.5</v>
      </c>
      <c r="BZ722" s="5">
        <f>[1]monsters!$D722</f>
        <v>2</v>
      </c>
      <c r="CA722" s="5">
        <f t="shared" si="462"/>
        <v>0.1</v>
      </c>
      <c r="CB722" s="5">
        <f t="shared" si="463"/>
        <v>302.18505050505053</v>
      </c>
      <c r="CC722" s="5">
        <f t="shared" si="464"/>
        <v>30.218505050505055</v>
      </c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R722" s="3" t="b">
        <f t="shared" si="443"/>
        <v>1</v>
      </c>
      <c r="CS722" s="3" t="b">
        <f t="shared" si="444"/>
        <v>1</v>
      </c>
      <c r="CT722" s="3" t="b">
        <f t="shared" si="445"/>
        <v>1</v>
      </c>
      <c r="CU722" s="3" t="b">
        <f t="shared" si="446"/>
        <v>1</v>
      </c>
      <c r="CV722" s="3" t="b">
        <f t="shared" si="447"/>
        <v>1</v>
      </c>
      <c r="CW722" s="3" t="b">
        <f t="shared" si="448"/>
        <v>1</v>
      </c>
      <c r="CX722" s="9" t="str">
        <f t="shared" si="449"/>
        <v>5202132</v>
      </c>
      <c r="CY722" s="9" t="str">
        <f t="shared" si="450"/>
        <v>5202132</v>
      </c>
      <c r="CZ722" s="9" t="str">
        <f t="shared" si="451"/>
        <v>5301132</v>
      </c>
      <c r="DA722" s="9" t="str">
        <f t="shared" si="452"/>
        <v>5502132</v>
      </c>
      <c r="DB722" s="9" t="str">
        <f t="shared" si="453"/>
        <v>5500131</v>
      </c>
      <c r="DC722" s="9" t="str">
        <f t="shared" si="454"/>
        <v>5502131</v>
      </c>
      <c r="DD722" s="9">
        <v>13</v>
      </c>
      <c r="DE722" s="9">
        <v>13</v>
      </c>
      <c r="DF722" s="9">
        <v>13</v>
      </c>
      <c r="DG722" s="9">
        <v>13</v>
      </c>
      <c r="DH722" s="9">
        <v>13</v>
      </c>
      <c r="DI722" s="9">
        <v>13</v>
      </c>
      <c r="DJ722" s="9">
        <v>5</v>
      </c>
      <c r="DK722" s="9">
        <v>5</v>
      </c>
      <c r="DL722" s="9">
        <v>5</v>
      </c>
      <c r="DM722" s="9">
        <v>5</v>
      </c>
      <c r="DN722" s="9">
        <v>5</v>
      </c>
      <c r="DO722" s="9">
        <v>5</v>
      </c>
      <c r="DP722" s="25" t="s">
        <v>200</v>
      </c>
      <c r="DQ722" s="25" t="s">
        <v>200</v>
      </c>
      <c r="DR722" s="25" t="s">
        <v>201</v>
      </c>
      <c r="DS722" s="25" t="s">
        <v>204</v>
      </c>
      <c r="DT722" s="25" t="s">
        <v>197</v>
      </c>
      <c r="DU722" s="25" t="s">
        <v>119</v>
      </c>
      <c r="DV722" s="25">
        <f t="shared" si="455"/>
        <v>1</v>
      </c>
      <c r="DW722" s="25">
        <f t="shared" si="456"/>
        <v>1</v>
      </c>
      <c r="DX722" s="25">
        <f t="shared" si="457"/>
        <v>1</v>
      </c>
      <c r="DY722" s="25">
        <f t="shared" si="458"/>
        <v>2</v>
      </c>
      <c r="DZ722" s="25">
        <f t="shared" si="459"/>
        <v>2</v>
      </c>
      <c r="EA722" s="25">
        <f t="shared" si="460"/>
        <v>2</v>
      </c>
      <c r="EB722" s="45"/>
    </row>
    <row r="723" spans="1:132" ht="13.5" customHeight="1">
      <c r="A723" s="9">
        <v>720</v>
      </c>
      <c r="B723" s="9">
        <v>1</v>
      </c>
      <c r="C723" s="9">
        <v>2001</v>
      </c>
      <c r="D723" s="9">
        <f t="shared" si="433"/>
        <v>42701946</v>
      </c>
      <c r="E723" s="9" t="str">
        <f t="shared" si="434"/>
        <v>5202133,5201133,5302134,5400135,5601131,5400135</v>
      </c>
      <c r="F723" s="9" t="str">
        <f t="shared" si="435"/>
        <v>13,13,13,13,13,13</v>
      </c>
      <c r="G723" s="9" t="str">
        <f t="shared" si="436"/>
        <v>1517,1639,1639,1639,1639,1639</v>
      </c>
      <c r="H723" s="9">
        <v>328</v>
      </c>
      <c r="I723" s="9" t="s">
        <v>278</v>
      </c>
      <c r="J723" s="9" t="s">
        <v>279</v>
      </c>
      <c r="K723" s="9" t="s">
        <v>279</v>
      </c>
      <c r="L723" s="9" t="s">
        <v>279</v>
      </c>
      <c r="M723" s="36" t="s">
        <v>319</v>
      </c>
      <c r="O723" s="3">
        <f t="shared" si="461"/>
        <v>42701946</v>
      </c>
      <c r="P723" s="9">
        <v>32349958.739999998</v>
      </c>
      <c r="Q723" s="9">
        <v>5202133</v>
      </c>
      <c r="R723" s="9">
        <v>5201133</v>
      </c>
      <c r="S723" s="9">
        <v>5302134</v>
      </c>
      <c r="T723" s="9">
        <v>5400135</v>
      </c>
      <c r="U723" s="9">
        <v>5601131</v>
      </c>
      <c r="V723" s="9">
        <v>5400135</v>
      </c>
      <c r="W723" s="9">
        <v>13</v>
      </c>
      <c r="X723" s="9">
        <v>13</v>
      </c>
      <c r="Y723" s="9">
        <v>13</v>
      </c>
      <c r="Z723" s="9">
        <v>13</v>
      </c>
      <c r="AA723" s="9">
        <v>13</v>
      </c>
      <c r="AB723" s="9">
        <v>13</v>
      </c>
      <c r="AC723" s="9">
        <f t="shared" si="437"/>
        <v>1517</v>
      </c>
      <c r="AD723" s="9">
        <f t="shared" si="438"/>
        <v>1639</v>
      </c>
      <c r="AE723" s="9">
        <f t="shared" si="439"/>
        <v>1639</v>
      </c>
      <c r="AF723" s="9">
        <f t="shared" si="440"/>
        <v>1639</v>
      </c>
      <c r="AG723" s="9">
        <f t="shared" si="441"/>
        <v>1639</v>
      </c>
      <c r="AH723" s="9">
        <f t="shared" si="442"/>
        <v>1639</v>
      </c>
      <c r="AI723" s="7">
        <f t="shared" si="465"/>
        <v>5391659.79</v>
      </c>
      <c r="AJ723" s="7">
        <f t="shared" si="465"/>
        <v>5391659.79</v>
      </c>
      <c r="AK723" s="7">
        <f t="shared" si="465"/>
        <v>5391659.79</v>
      </c>
      <c r="AL723" s="7">
        <f t="shared" si="465"/>
        <v>5391659.79</v>
      </c>
      <c r="AM723" s="7">
        <f t="shared" si="465"/>
        <v>5391659.79</v>
      </c>
      <c r="AN723" s="7">
        <f t="shared" si="465"/>
        <v>5391659.79</v>
      </c>
      <c r="BR723" s="5">
        <v>5206062</v>
      </c>
      <c r="BS723" s="18">
        <f>[1]monsters!$N723</f>
        <v>224</v>
      </c>
      <c r="BT723" s="18">
        <f>[1]monsters!$O723</f>
        <v>22.4</v>
      </c>
      <c r="BU723" s="18">
        <f>[1]monsters!$P723</f>
        <v>2688</v>
      </c>
      <c r="BV723" s="18">
        <f>[1]monsters!$Q723</f>
        <v>268.8</v>
      </c>
      <c r="BW723" s="18">
        <f>[1]monsters!$R723</f>
        <v>74.67</v>
      </c>
      <c r="BX723" s="18">
        <f>[1]monsters!$S723</f>
        <v>7.47</v>
      </c>
      <c r="BY723" s="18">
        <f>[1]monsters!$K723</f>
        <v>1.5</v>
      </c>
      <c r="BZ723" s="5">
        <f>[1]monsters!$D723</f>
        <v>2</v>
      </c>
      <c r="CA723" s="5">
        <f t="shared" si="462"/>
        <v>0.1</v>
      </c>
      <c r="CB723" s="5">
        <f t="shared" si="463"/>
        <v>302.18505050505053</v>
      </c>
      <c r="CC723" s="5">
        <f t="shared" si="464"/>
        <v>30.218505050505055</v>
      </c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R723" s="3" t="b">
        <f t="shared" si="443"/>
        <v>1</v>
      </c>
      <c r="CS723" s="3" t="b">
        <f t="shared" si="444"/>
        <v>1</v>
      </c>
      <c r="CT723" s="3" t="b">
        <f t="shared" si="445"/>
        <v>1</v>
      </c>
      <c r="CU723" s="3" t="b">
        <f t="shared" si="446"/>
        <v>1</v>
      </c>
      <c r="CV723" s="3" t="b">
        <f t="shared" si="447"/>
        <v>1</v>
      </c>
      <c r="CW723" s="3" t="b">
        <f t="shared" si="448"/>
        <v>1</v>
      </c>
      <c r="CX723" s="9" t="str">
        <f t="shared" si="449"/>
        <v>5202133</v>
      </c>
      <c r="CY723" s="9" t="str">
        <f t="shared" si="450"/>
        <v>5201133</v>
      </c>
      <c r="CZ723" s="9" t="str">
        <f t="shared" si="451"/>
        <v>5302134</v>
      </c>
      <c r="DA723" s="9" t="str">
        <f t="shared" si="452"/>
        <v>5400135</v>
      </c>
      <c r="DB723" s="9" t="str">
        <f t="shared" si="453"/>
        <v>5601131</v>
      </c>
      <c r="DC723" s="9" t="str">
        <f t="shared" si="454"/>
        <v>5400135</v>
      </c>
      <c r="DD723" s="9">
        <v>13</v>
      </c>
      <c r="DE723" s="9">
        <v>13</v>
      </c>
      <c r="DF723" s="9">
        <v>13</v>
      </c>
      <c r="DG723" s="9">
        <v>13</v>
      </c>
      <c r="DH723" s="9">
        <v>13</v>
      </c>
      <c r="DI723" s="9">
        <v>13</v>
      </c>
      <c r="DJ723" s="9">
        <v>5</v>
      </c>
      <c r="DK723" s="9">
        <v>5</v>
      </c>
      <c r="DL723" s="9">
        <v>5</v>
      </c>
      <c r="DM723" s="9">
        <v>5</v>
      </c>
      <c r="DN723" s="9">
        <v>5</v>
      </c>
      <c r="DO723" s="9">
        <v>5</v>
      </c>
      <c r="DP723" s="25" t="s">
        <v>208</v>
      </c>
      <c r="DQ723" s="25" t="s">
        <v>205</v>
      </c>
      <c r="DR723" s="25" t="s">
        <v>218</v>
      </c>
      <c r="DS723" s="25" t="s">
        <v>210</v>
      </c>
      <c r="DT723" s="25" t="s">
        <v>198</v>
      </c>
      <c r="DU723" s="25" t="s">
        <v>210</v>
      </c>
      <c r="DV723" s="25">
        <f t="shared" si="455"/>
        <v>1</v>
      </c>
      <c r="DW723" s="25">
        <f t="shared" si="456"/>
        <v>1</v>
      </c>
      <c r="DX723" s="25">
        <f t="shared" si="457"/>
        <v>1</v>
      </c>
      <c r="DY723" s="25">
        <f t="shared" si="458"/>
        <v>2</v>
      </c>
      <c r="DZ723" s="25">
        <f t="shared" si="459"/>
        <v>2</v>
      </c>
      <c r="EA723" s="25">
        <f t="shared" si="460"/>
        <v>2</v>
      </c>
      <c r="EB723" s="47"/>
    </row>
    <row r="724" spans="1:132" ht="13.5" customHeight="1">
      <c r="A724" s="9">
        <v>721</v>
      </c>
      <c r="B724" s="9">
        <v>1</v>
      </c>
      <c r="C724" s="9">
        <v>2001</v>
      </c>
      <c r="D724" s="9">
        <f t="shared" si="433"/>
        <v>42802812</v>
      </c>
      <c r="E724" s="9" t="str">
        <f t="shared" si="434"/>
        <v>5200133,5202135,5301133,5401133,5400135,5501135</v>
      </c>
      <c r="F724" s="9" t="str">
        <f t="shared" si="435"/>
        <v>13,13,13,13,13,13</v>
      </c>
      <c r="G724" s="9" t="str">
        <f t="shared" si="436"/>
        <v>1518,1641,1641,1641,1641,1641</v>
      </c>
      <c r="H724" s="9">
        <v>328</v>
      </c>
      <c r="I724" s="9" t="s">
        <v>278</v>
      </c>
      <c r="J724" s="9" t="s">
        <v>279</v>
      </c>
      <c r="K724" s="9" t="s">
        <v>279</v>
      </c>
      <c r="L724" s="9" t="s">
        <v>279</v>
      </c>
      <c r="M724" s="36" t="s">
        <v>319</v>
      </c>
      <c r="O724" s="3">
        <f t="shared" si="461"/>
        <v>42802812</v>
      </c>
      <c r="P724" s="9">
        <v>32426372.390000001</v>
      </c>
      <c r="Q724" s="9">
        <v>5200133</v>
      </c>
      <c r="R724" s="9">
        <v>5202135</v>
      </c>
      <c r="S724" s="9">
        <v>5301133</v>
      </c>
      <c r="T724" s="9">
        <v>5401133</v>
      </c>
      <c r="U724" s="9">
        <v>5400135</v>
      </c>
      <c r="V724" s="9">
        <v>5501135</v>
      </c>
      <c r="W724" s="9">
        <v>13</v>
      </c>
      <c r="X724" s="9">
        <v>13</v>
      </c>
      <c r="Y724" s="9">
        <v>13</v>
      </c>
      <c r="Z724" s="9">
        <v>13</v>
      </c>
      <c r="AA724" s="9">
        <v>13</v>
      </c>
      <c r="AB724" s="9">
        <v>13</v>
      </c>
      <c r="AC724" s="9">
        <f t="shared" si="437"/>
        <v>1518</v>
      </c>
      <c r="AD724" s="9">
        <f t="shared" si="438"/>
        <v>1641</v>
      </c>
      <c r="AE724" s="9">
        <f t="shared" si="439"/>
        <v>1641</v>
      </c>
      <c r="AF724" s="9">
        <f t="shared" si="440"/>
        <v>1641</v>
      </c>
      <c r="AG724" s="9">
        <f t="shared" si="441"/>
        <v>1641</v>
      </c>
      <c r="AH724" s="9">
        <f t="shared" si="442"/>
        <v>1641</v>
      </c>
      <c r="AI724" s="7">
        <f t="shared" si="465"/>
        <v>5404395.3983333334</v>
      </c>
      <c r="AJ724" s="7">
        <f t="shared" si="465"/>
        <v>5404395.3983333334</v>
      </c>
      <c r="AK724" s="7">
        <f t="shared" si="465"/>
        <v>5404395.3983333334</v>
      </c>
      <c r="AL724" s="7">
        <f t="shared" si="465"/>
        <v>5404395.3983333334</v>
      </c>
      <c r="AM724" s="7">
        <f t="shared" si="465"/>
        <v>5404395.3983333334</v>
      </c>
      <c r="AN724" s="7">
        <f t="shared" si="465"/>
        <v>5404395.3983333334</v>
      </c>
      <c r="BR724" s="5">
        <v>5406062</v>
      </c>
      <c r="BS724" s="18">
        <f>[1]monsters!$N724</f>
        <v>224</v>
      </c>
      <c r="BT724" s="18">
        <f>[1]monsters!$O724</f>
        <v>22.4</v>
      </c>
      <c r="BU724" s="18">
        <f>[1]monsters!$P724</f>
        <v>2688</v>
      </c>
      <c r="BV724" s="18">
        <f>[1]monsters!$Q724</f>
        <v>268.8</v>
      </c>
      <c r="BW724" s="18">
        <f>[1]monsters!$R724</f>
        <v>74.67</v>
      </c>
      <c r="BX724" s="18">
        <f>[1]monsters!$S724</f>
        <v>7.47</v>
      </c>
      <c r="BY724" s="18">
        <f>[1]monsters!$K724</f>
        <v>1.5</v>
      </c>
      <c r="BZ724" s="5">
        <f>[1]monsters!$D724</f>
        <v>2</v>
      </c>
      <c r="CA724" s="5">
        <f t="shared" si="462"/>
        <v>0.1</v>
      </c>
      <c r="CB724" s="5">
        <f t="shared" si="463"/>
        <v>302.18505050505053</v>
      </c>
      <c r="CC724" s="5">
        <f t="shared" si="464"/>
        <v>30.218505050505055</v>
      </c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R724" s="3" t="b">
        <f t="shared" si="443"/>
        <v>1</v>
      </c>
      <c r="CS724" s="3" t="b">
        <f t="shared" si="444"/>
        <v>1</v>
      </c>
      <c r="CT724" s="3" t="b">
        <f t="shared" si="445"/>
        <v>1</v>
      </c>
      <c r="CU724" s="3" t="b">
        <f t="shared" si="446"/>
        <v>1</v>
      </c>
      <c r="CV724" s="3" t="b">
        <f t="shared" si="447"/>
        <v>1</v>
      </c>
      <c r="CW724" s="3" t="b">
        <f t="shared" si="448"/>
        <v>1</v>
      </c>
      <c r="CX724" s="9" t="str">
        <f t="shared" si="449"/>
        <v>5200133</v>
      </c>
      <c r="CY724" s="9" t="str">
        <f t="shared" si="450"/>
        <v>5202135</v>
      </c>
      <c r="CZ724" s="9" t="str">
        <f t="shared" si="451"/>
        <v>5301133</v>
      </c>
      <c r="DA724" s="9" t="str">
        <f t="shared" si="452"/>
        <v>5401133</v>
      </c>
      <c r="DB724" s="9" t="str">
        <f t="shared" si="453"/>
        <v>5400135</v>
      </c>
      <c r="DC724" s="9" t="str">
        <f t="shared" si="454"/>
        <v>5501135</v>
      </c>
      <c r="DD724" s="9">
        <v>13</v>
      </c>
      <c r="DE724" s="9">
        <v>13</v>
      </c>
      <c r="DF724" s="9">
        <v>13</v>
      </c>
      <c r="DG724" s="9">
        <v>13</v>
      </c>
      <c r="DH724" s="9">
        <v>13</v>
      </c>
      <c r="DI724" s="9">
        <v>13</v>
      </c>
      <c r="DJ724" s="9">
        <v>5</v>
      </c>
      <c r="DK724" s="9">
        <v>5</v>
      </c>
      <c r="DL724" s="9">
        <v>5</v>
      </c>
      <c r="DM724" s="9">
        <v>5</v>
      </c>
      <c r="DN724" s="9">
        <v>5</v>
      </c>
      <c r="DO724" s="9">
        <v>5</v>
      </c>
      <c r="DP724" s="25" t="s">
        <v>113</v>
      </c>
      <c r="DQ724" s="25" t="s">
        <v>213</v>
      </c>
      <c r="DR724" s="25" t="s">
        <v>206</v>
      </c>
      <c r="DS724" s="25" t="s">
        <v>211</v>
      </c>
      <c r="DT724" s="25" t="s">
        <v>210</v>
      </c>
      <c r="DU724" s="25" t="s">
        <v>209</v>
      </c>
      <c r="DV724" s="25">
        <f t="shared" si="455"/>
        <v>1</v>
      </c>
      <c r="DW724" s="25">
        <f t="shared" si="456"/>
        <v>1</v>
      </c>
      <c r="DX724" s="25">
        <f t="shared" si="457"/>
        <v>1</v>
      </c>
      <c r="DY724" s="25">
        <f t="shared" si="458"/>
        <v>2</v>
      </c>
      <c r="DZ724" s="25">
        <f t="shared" si="459"/>
        <v>2</v>
      </c>
      <c r="EA724" s="25">
        <f t="shared" si="460"/>
        <v>2</v>
      </c>
      <c r="EB724" s="47"/>
    </row>
    <row r="725" spans="1:132" ht="13.5" customHeight="1">
      <c r="A725" s="9">
        <v>722</v>
      </c>
      <c r="B725" s="9">
        <v>1</v>
      </c>
      <c r="C725" s="9">
        <v>2001</v>
      </c>
      <c r="D725" s="9">
        <f t="shared" si="433"/>
        <v>42903795</v>
      </c>
      <c r="E725" s="9" t="str">
        <f t="shared" si="434"/>
        <v>5201133,5200133,5301131,5501134,5500133,5501134</v>
      </c>
      <c r="F725" s="9" t="str">
        <f t="shared" si="435"/>
        <v>13,13,13,13,13,13</v>
      </c>
      <c r="G725" s="9" t="str">
        <f t="shared" si="436"/>
        <v>1520,1643,1643,1643,1643,1643</v>
      </c>
      <c r="H725" s="9">
        <v>328</v>
      </c>
      <c r="I725" s="9" t="s">
        <v>278</v>
      </c>
      <c r="J725" s="9" t="s">
        <v>279</v>
      </c>
      <c r="K725" s="9" t="s">
        <v>279</v>
      </c>
      <c r="L725" s="9" t="s">
        <v>279</v>
      </c>
      <c r="M725" s="36" t="s">
        <v>319</v>
      </c>
      <c r="O725" s="3">
        <f t="shared" si="461"/>
        <v>42903795</v>
      </c>
      <c r="P725" s="9">
        <v>32502874.66</v>
      </c>
      <c r="Q725" s="9">
        <v>5201133</v>
      </c>
      <c r="R725" s="9">
        <v>5200133</v>
      </c>
      <c r="S725" s="9">
        <v>5301131</v>
      </c>
      <c r="T725" s="9">
        <v>5501134</v>
      </c>
      <c r="U725" s="9">
        <v>5500133</v>
      </c>
      <c r="V725" s="9">
        <v>5501134</v>
      </c>
      <c r="W725" s="9">
        <v>13</v>
      </c>
      <c r="X725" s="9">
        <v>13</v>
      </c>
      <c r="Y725" s="9">
        <v>13</v>
      </c>
      <c r="Z725" s="9">
        <v>13</v>
      </c>
      <c r="AA725" s="9">
        <v>13</v>
      </c>
      <c r="AB725" s="9">
        <v>13</v>
      </c>
      <c r="AC725" s="9">
        <f t="shared" si="437"/>
        <v>1520</v>
      </c>
      <c r="AD725" s="9">
        <f t="shared" si="438"/>
        <v>1643</v>
      </c>
      <c r="AE725" s="9">
        <f t="shared" si="439"/>
        <v>1643</v>
      </c>
      <c r="AF725" s="9">
        <f t="shared" si="440"/>
        <v>1643</v>
      </c>
      <c r="AG725" s="9">
        <f t="shared" si="441"/>
        <v>1643</v>
      </c>
      <c r="AH725" s="9">
        <f t="shared" si="442"/>
        <v>1643</v>
      </c>
      <c r="AI725" s="7">
        <f t="shared" si="465"/>
        <v>5417145.7766666664</v>
      </c>
      <c r="AJ725" s="7">
        <f t="shared" si="465"/>
        <v>5417145.7766666664</v>
      </c>
      <c r="AK725" s="7">
        <f t="shared" si="465"/>
        <v>5417145.7766666664</v>
      </c>
      <c r="AL725" s="7">
        <f t="shared" si="465"/>
        <v>5417145.7766666664</v>
      </c>
      <c r="AM725" s="7">
        <f t="shared" si="465"/>
        <v>5417145.7766666664</v>
      </c>
      <c r="AN725" s="7">
        <f t="shared" si="465"/>
        <v>5417145.7766666664</v>
      </c>
      <c r="BR725" s="5">
        <v>5205062</v>
      </c>
      <c r="BS725" s="18">
        <f>[1]monsters!$N725</f>
        <v>224</v>
      </c>
      <c r="BT725" s="18">
        <f>[1]monsters!$O725</f>
        <v>22.4</v>
      </c>
      <c r="BU725" s="18">
        <f>[1]monsters!$P725</f>
        <v>2688</v>
      </c>
      <c r="BV725" s="18">
        <f>[1]monsters!$Q725</f>
        <v>268.8</v>
      </c>
      <c r="BW725" s="18">
        <f>[1]monsters!$R725</f>
        <v>74.67</v>
      </c>
      <c r="BX725" s="18">
        <f>[1]monsters!$S725</f>
        <v>7.47</v>
      </c>
      <c r="BY725" s="18">
        <f>[1]monsters!$K725</f>
        <v>1.5</v>
      </c>
      <c r="BZ725" s="5">
        <f>[1]monsters!$D725</f>
        <v>2</v>
      </c>
      <c r="CA725" s="5">
        <f t="shared" si="462"/>
        <v>0.1</v>
      </c>
      <c r="CB725" s="5">
        <f t="shared" si="463"/>
        <v>302.18505050505053</v>
      </c>
      <c r="CC725" s="5">
        <f t="shared" si="464"/>
        <v>30.218505050505055</v>
      </c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R725" s="3" t="b">
        <f t="shared" si="443"/>
        <v>1</v>
      </c>
      <c r="CS725" s="3" t="b">
        <f t="shared" si="444"/>
        <v>1</v>
      </c>
      <c r="CT725" s="3" t="b">
        <f t="shared" si="445"/>
        <v>1</v>
      </c>
      <c r="CU725" s="3" t="b">
        <f t="shared" si="446"/>
        <v>1</v>
      </c>
      <c r="CV725" s="3" t="b">
        <f t="shared" si="447"/>
        <v>1</v>
      </c>
      <c r="CW725" s="3" t="b">
        <f t="shared" si="448"/>
        <v>1</v>
      </c>
      <c r="CX725" s="9" t="str">
        <f t="shared" si="449"/>
        <v>5201133</v>
      </c>
      <c r="CY725" s="9" t="str">
        <f t="shared" si="450"/>
        <v>5200133</v>
      </c>
      <c r="CZ725" s="9" t="str">
        <f t="shared" si="451"/>
        <v>5301131</v>
      </c>
      <c r="DA725" s="9" t="str">
        <f t="shared" si="452"/>
        <v>5501134</v>
      </c>
      <c r="DB725" s="9" t="str">
        <f t="shared" si="453"/>
        <v>5500133</v>
      </c>
      <c r="DC725" s="9" t="str">
        <f t="shared" si="454"/>
        <v>5501134</v>
      </c>
      <c r="DD725" s="9">
        <v>13</v>
      </c>
      <c r="DE725" s="9">
        <v>13</v>
      </c>
      <c r="DF725" s="9">
        <v>13</v>
      </c>
      <c r="DG725" s="9">
        <v>13</v>
      </c>
      <c r="DH725" s="9">
        <v>13</v>
      </c>
      <c r="DI725" s="9">
        <v>13</v>
      </c>
      <c r="DJ725" s="9">
        <v>5</v>
      </c>
      <c r="DK725" s="9">
        <v>5</v>
      </c>
      <c r="DL725" s="9">
        <v>5</v>
      </c>
      <c r="DM725" s="9">
        <v>5</v>
      </c>
      <c r="DN725" s="9">
        <v>5</v>
      </c>
      <c r="DO725" s="9">
        <v>5</v>
      </c>
      <c r="DP725" s="25" t="s">
        <v>205</v>
      </c>
      <c r="DQ725" s="25" t="s">
        <v>113</v>
      </c>
      <c r="DR725" s="25" t="s">
        <v>107</v>
      </c>
      <c r="DS725" s="25" t="s">
        <v>214</v>
      </c>
      <c r="DT725" s="25" t="s">
        <v>207</v>
      </c>
      <c r="DU725" s="25" t="s">
        <v>214</v>
      </c>
      <c r="DV725" s="25">
        <f t="shared" si="455"/>
        <v>1</v>
      </c>
      <c r="DW725" s="25">
        <f t="shared" si="456"/>
        <v>1</v>
      </c>
      <c r="DX725" s="25">
        <f t="shared" si="457"/>
        <v>1</v>
      </c>
      <c r="DY725" s="25">
        <f t="shared" si="458"/>
        <v>2</v>
      </c>
      <c r="DZ725" s="25">
        <f t="shared" si="459"/>
        <v>2</v>
      </c>
      <c r="EA725" s="25">
        <f t="shared" si="460"/>
        <v>2</v>
      </c>
      <c r="EB725" s="47"/>
    </row>
    <row r="726" spans="1:132" ht="13.5" customHeight="1">
      <c r="A726" s="9">
        <v>723</v>
      </c>
      <c r="B726" s="9">
        <v>1</v>
      </c>
      <c r="C726" s="9">
        <v>2001</v>
      </c>
      <c r="D726" s="9">
        <f t="shared" si="433"/>
        <v>43004900</v>
      </c>
      <c r="E726" s="9" t="str">
        <f t="shared" si="434"/>
        <v>5200131,5301132,5201131,5401131,5401133,5400135</v>
      </c>
      <c r="F726" s="9" t="str">
        <f t="shared" si="435"/>
        <v>13,13,13,13,13,13</v>
      </c>
      <c r="G726" s="9" t="str">
        <f t="shared" si="436"/>
        <v>1522,1645,1645,1645,1645,1645</v>
      </c>
      <c r="H726" s="9">
        <v>329</v>
      </c>
      <c r="I726" s="9" t="s">
        <v>278</v>
      </c>
      <c r="J726" s="9" t="s">
        <v>279</v>
      </c>
      <c r="K726" s="9" t="s">
        <v>279</v>
      </c>
      <c r="L726" s="9" t="s">
        <v>279</v>
      </c>
      <c r="M726" s="36" t="s">
        <v>319</v>
      </c>
      <c r="O726" s="3">
        <f t="shared" si="461"/>
        <v>43004900</v>
      </c>
      <c r="P726" s="9">
        <v>32579469.77</v>
      </c>
      <c r="Q726" s="9">
        <v>5200131</v>
      </c>
      <c r="R726" s="9">
        <v>5301132</v>
      </c>
      <c r="S726" s="9">
        <v>5201131</v>
      </c>
      <c r="T726" s="9">
        <v>5401131</v>
      </c>
      <c r="U726" s="9">
        <v>5401133</v>
      </c>
      <c r="V726" s="9">
        <v>5400135</v>
      </c>
      <c r="W726" s="9">
        <v>13</v>
      </c>
      <c r="X726" s="9">
        <v>13</v>
      </c>
      <c r="Y726" s="9">
        <v>13</v>
      </c>
      <c r="Z726" s="9">
        <v>13</v>
      </c>
      <c r="AA726" s="9">
        <v>13</v>
      </c>
      <c r="AB726" s="9">
        <v>13</v>
      </c>
      <c r="AC726" s="9">
        <f t="shared" si="437"/>
        <v>1522</v>
      </c>
      <c r="AD726" s="9">
        <f t="shared" si="438"/>
        <v>1645</v>
      </c>
      <c r="AE726" s="9">
        <f t="shared" si="439"/>
        <v>1645</v>
      </c>
      <c r="AF726" s="9">
        <f t="shared" si="440"/>
        <v>1645</v>
      </c>
      <c r="AG726" s="9">
        <f t="shared" si="441"/>
        <v>1645</v>
      </c>
      <c r="AH726" s="9">
        <f t="shared" si="442"/>
        <v>1645</v>
      </c>
      <c r="AI726" s="7">
        <f t="shared" si="465"/>
        <v>5429911.6283333329</v>
      </c>
      <c r="AJ726" s="7">
        <f t="shared" si="465"/>
        <v>5429911.6283333329</v>
      </c>
      <c r="AK726" s="7">
        <f t="shared" si="465"/>
        <v>5429911.6283333329</v>
      </c>
      <c r="AL726" s="7">
        <f t="shared" si="465"/>
        <v>5429911.6283333329</v>
      </c>
      <c r="AM726" s="7">
        <f t="shared" si="465"/>
        <v>5429911.6283333329</v>
      </c>
      <c r="AN726" s="7">
        <f t="shared" si="465"/>
        <v>5429911.6283333329</v>
      </c>
      <c r="BR726" s="5">
        <v>5405062</v>
      </c>
      <c r="BS726" s="18">
        <f>[1]monsters!$N726</f>
        <v>224</v>
      </c>
      <c r="BT726" s="18">
        <f>[1]monsters!$O726</f>
        <v>22.4</v>
      </c>
      <c r="BU726" s="18">
        <f>[1]monsters!$P726</f>
        <v>2688</v>
      </c>
      <c r="BV726" s="18">
        <f>[1]monsters!$Q726</f>
        <v>268.8</v>
      </c>
      <c r="BW726" s="18">
        <f>[1]monsters!$R726</f>
        <v>74.67</v>
      </c>
      <c r="BX726" s="18">
        <f>[1]monsters!$S726</f>
        <v>7.47</v>
      </c>
      <c r="BY726" s="18">
        <f>[1]monsters!$K726</f>
        <v>1.5</v>
      </c>
      <c r="BZ726" s="5">
        <f>[1]monsters!$D726</f>
        <v>2</v>
      </c>
      <c r="CA726" s="5">
        <f t="shared" si="462"/>
        <v>0.1</v>
      </c>
      <c r="CB726" s="5">
        <f t="shared" si="463"/>
        <v>302.18505050505053</v>
      </c>
      <c r="CC726" s="5">
        <f t="shared" si="464"/>
        <v>30.218505050505055</v>
      </c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R726" s="3" t="b">
        <f t="shared" si="443"/>
        <v>1</v>
      </c>
      <c r="CS726" s="3" t="b">
        <f t="shared" si="444"/>
        <v>1</v>
      </c>
      <c r="CT726" s="3" t="b">
        <f t="shared" si="445"/>
        <v>1</v>
      </c>
      <c r="CU726" s="3" t="b">
        <f t="shared" si="446"/>
        <v>1</v>
      </c>
      <c r="CV726" s="3" t="b">
        <f t="shared" si="447"/>
        <v>1</v>
      </c>
      <c r="CW726" s="3" t="b">
        <f t="shared" si="448"/>
        <v>1</v>
      </c>
      <c r="CX726" s="9" t="str">
        <f t="shared" si="449"/>
        <v>5200131</v>
      </c>
      <c r="CY726" s="9" t="str">
        <f t="shared" si="450"/>
        <v>5301132</v>
      </c>
      <c r="CZ726" s="9" t="str">
        <f t="shared" si="451"/>
        <v>5201131</v>
      </c>
      <c r="DA726" s="9" t="str">
        <f t="shared" si="452"/>
        <v>5401131</v>
      </c>
      <c r="DB726" s="9" t="str">
        <f t="shared" si="453"/>
        <v>5401133</v>
      </c>
      <c r="DC726" s="9" t="str">
        <f t="shared" si="454"/>
        <v>5400135</v>
      </c>
      <c r="DD726" s="9">
        <v>13</v>
      </c>
      <c r="DE726" s="9">
        <v>13</v>
      </c>
      <c r="DF726" s="9">
        <v>13</v>
      </c>
      <c r="DG726" s="9">
        <v>13</v>
      </c>
      <c r="DH726" s="9">
        <v>13</v>
      </c>
      <c r="DI726" s="9">
        <v>13</v>
      </c>
      <c r="DJ726" s="9">
        <v>5</v>
      </c>
      <c r="DK726" s="9">
        <v>5</v>
      </c>
      <c r="DL726" s="9">
        <v>5</v>
      </c>
      <c r="DM726" s="9">
        <v>5</v>
      </c>
      <c r="DN726" s="9">
        <v>5</v>
      </c>
      <c r="DO726" s="9">
        <v>5</v>
      </c>
      <c r="DP726" s="25" t="s">
        <v>194</v>
      </c>
      <c r="DQ726" s="25" t="s">
        <v>201</v>
      </c>
      <c r="DR726" s="25" t="s">
        <v>195</v>
      </c>
      <c r="DS726" s="25" t="s">
        <v>117</v>
      </c>
      <c r="DT726" s="25" t="s">
        <v>211</v>
      </c>
      <c r="DU726" s="25" t="s">
        <v>210</v>
      </c>
      <c r="DV726" s="25">
        <f t="shared" si="455"/>
        <v>1</v>
      </c>
      <c r="DW726" s="25">
        <f t="shared" si="456"/>
        <v>1</v>
      </c>
      <c r="DX726" s="25">
        <f t="shared" si="457"/>
        <v>1</v>
      </c>
      <c r="DY726" s="25">
        <f t="shared" si="458"/>
        <v>2</v>
      </c>
      <c r="DZ726" s="25">
        <f t="shared" si="459"/>
        <v>2</v>
      </c>
      <c r="EA726" s="25">
        <f t="shared" si="460"/>
        <v>2</v>
      </c>
      <c r="EB726" s="48"/>
    </row>
    <row r="727" spans="1:132" ht="13.5" customHeight="1">
      <c r="A727" s="9">
        <v>724</v>
      </c>
      <c r="B727" s="9">
        <v>1</v>
      </c>
      <c r="C727" s="9">
        <v>2001</v>
      </c>
      <c r="D727" s="9">
        <f t="shared" si="433"/>
        <v>43106123</v>
      </c>
      <c r="E727" s="9" t="str">
        <f t="shared" si="434"/>
        <v>5201132,5201132,5201132,5502132,5502132,5502132</v>
      </c>
      <c r="F727" s="9" t="str">
        <f t="shared" si="435"/>
        <v>13,13,13,13,13,13</v>
      </c>
      <c r="G727" s="9" t="str">
        <f t="shared" si="436"/>
        <v>1524,1647,1647,1647,1647,1647</v>
      </c>
      <c r="H727" s="9">
        <v>329</v>
      </c>
      <c r="I727" s="9" t="s">
        <v>278</v>
      </c>
      <c r="J727" s="9" t="s">
        <v>279</v>
      </c>
      <c r="K727" s="9" t="s">
        <v>279</v>
      </c>
      <c r="L727" s="9" t="s">
        <v>279</v>
      </c>
      <c r="M727" s="36" t="s">
        <v>319</v>
      </c>
      <c r="O727" s="3">
        <f t="shared" si="461"/>
        <v>43106123</v>
      </c>
      <c r="P727" s="9">
        <v>32656153.5</v>
      </c>
      <c r="Q727" s="9">
        <v>5201132</v>
      </c>
      <c r="R727" s="9">
        <v>5201132</v>
      </c>
      <c r="S727" s="9">
        <v>5201132</v>
      </c>
      <c r="T727" s="9">
        <v>5502132</v>
      </c>
      <c r="U727" s="9">
        <v>5502132</v>
      </c>
      <c r="V727" s="9">
        <v>5502132</v>
      </c>
      <c r="W727" s="9">
        <v>13</v>
      </c>
      <c r="X727" s="9">
        <v>13</v>
      </c>
      <c r="Y727" s="9">
        <v>13</v>
      </c>
      <c r="Z727" s="9">
        <v>13</v>
      </c>
      <c r="AA727" s="9">
        <v>13</v>
      </c>
      <c r="AB727" s="9">
        <v>13</v>
      </c>
      <c r="AC727" s="9">
        <f t="shared" si="437"/>
        <v>1524</v>
      </c>
      <c r="AD727" s="9">
        <f t="shared" si="438"/>
        <v>1647</v>
      </c>
      <c r="AE727" s="9">
        <f t="shared" si="439"/>
        <v>1647</v>
      </c>
      <c r="AF727" s="9">
        <f t="shared" si="440"/>
        <v>1647</v>
      </c>
      <c r="AG727" s="9">
        <f t="shared" si="441"/>
        <v>1647</v>
      </c>
      <c r="AH727" s="9">
        <f t="shared" si="442"/>
        <v>1647</v>
      </c>
      <c r="AI727" s="7">
        <f t="shared" si="465"/>
        <v>5442692.25</v>
      </c>
      <c r="AJ727" s="7">
        <f t="shared" si="465"/>
        <v>5442692.25</v>
      </c>
      <c r="AK727" s="7">
        <f t="shared" si="465"/>
        <v>5442692.25</v>
      </c>
      <c r="AL727" s="7">
        <f t="shared" si="465"/>
        <v>5442692.25</v>
      </c>
      <c r="AM727" s="7">
        <f t="shared" si="465"/>
        <v>5442692.25</v>
      </c>
      <c r="AN727" s="7">
        <f t="shared" si="465"/>
        <v>5442692.25</v>
      </c>
      <c r="BR727" s="5">
        <v>5203062</v>
      </c>
      <c r="BS727" s="18">
        <f>[1]monsters!$N727</f>
        <v>240</v>
      </c>
      <c r="BT727" s="18">
        <f>[1]monsters!$O727</f>
        <v>24</v>
      </c>
      <c r="BU727" s="18">
        <f>[1]monsters!$P727</f>
        <v>2880</v>
      </c>
      <c r="BV727" s="18">
        <f>[1]monsters!$Q727</f>
        <v>288</v>
      </c>
      <c r="BW727" s="18">
        <f>[1]monsters!$R727</f>
        <v>80</v>
      </c>
      <c r="BX727" s="18">
        <f>[1]monsters!$S727</f>
        <v>8</v>
      </c>
      <c r="BY727" s="18">
        <f>[1]monsters!$K727</f>
        <v>1.5</v>
      </c>
      <c r="BZ727" s="5">
        <f>[1]monsters!$D727</f>
        <v>2</v>
      </c>
      <c r="CA727" s="5">
        <f t="shared" si="462"/>
        <v>0.1</v>
      </c>
      <c r="CB727" s="5">
        <f t="shared" si="463"/>
        <v>323.76969696969695</v>
      </c>
      <c r="CC727" s="5">
        <f t="shared" si="464"/>
        <v>32.376969696969695</v>
      </c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R727" s="3" t="b">
        <f t="shared" si="443"/>
        <v>1</v>
      </c>
      <c r="CS727" s="3" t="b">
        <f t="shared" si="444"/>
        <v>1</v>
      </c>
      <c r="CT727" s="3" t="b">
        <f t="shared" si="445"/>
        <v>1</v>
      </c>
      <c r="CU727" s="3" t="b">
        <f t="shared" si="446"/>
        <v>1</v>
      </c>
      <c r="CV727" s="3" t="b">
        <f t="shared" si="447"/>
        <v>1</v>
      </c>
      <c r="CW727" s="3" t="b">
        <f t="shared" si="448"/>
        <v>1</v>
      </c>
      <c r="CX727" s="9" t="str">
        <f t="shared" si="449"/>
        <v>5201132</v>
      </c>
      <c r="CY727" s="9" t="str">
        <f t="shared" si="450"/>
        <v>5201132</v>
      </c>
      <c r="CZ727" s="9" t="str">
        <f t="shared" si="451"/>
        <v>5201132</v>
      </c>
      <c r="DA727" s="9" t="str">
        <f t="shared" si="452"/>
        <v>5502132</v>
      </c>
      <c r="DB727" s="9" t="str">
        <f t="shared" si="453"/>
        <v>5502132</v>
      </c>
      <c r="DC727" s="9" t="str">
        <f t="shared" si="454"/>
        <v>5502132</v>
      </c>
      <c r="DD727" s="9">
        <v>13</v>
      </c>
      <c r="DE727" s="9">
        <v>13</v>
      </c>
      <c r="DF727" s="9">
        <v>13</v>
      </c>
      <c r="DG727" s="9">
        <v>13</v>
      </c>
      <c r="DH727" s="9">
        <v>13</v>
      </c>
      <c r="DI727" s="9">
        <v>13</v>
      </c>
      <c r="DJ727" s="9">
        <v>5</v>
      </c>
      <c r="DK727" s="9">
        <v>5</v>
      </c>
      <c r="DL727" s="9">
        <v>5</v>
      </c>
      <c r="DM727" s="9">
        <v>5</v>
      </c>
      <c r="DN727" s="9">
        <v>5</v>
      </c>
      <c r="DO727" s="9">
        <v>5</v>
      </c>
      <c r="DP727" s="25" t="s">
        <v>114</v>
      </c>
      <c r="DQ727" s="25" t="s">
        <v>114</v>
      </c>
      <c r="DR727" s="25" t="s">
        <v>114</v>
      </c>
      <c r="DS727" s="25" t="s">
        <v>204</v>
      </c>
      <c r="DT727" s="25" t="s">
        <v>204</v>
      </c>
      <c r="DU727" s="25" t="s">
        <v>204</v>
      </c>
      <c r="DV727" s="25">
        <f t="shared" si="455"/>
        <v>1</v>
      </c>
      <c r="DW727" s="25">
        <f t="shared" si="456"/>
        <v>1</v>
      </c>
      <c r="DX727" s="25">
        <f t="shared" si="457"/>
        <v>1</v>
      </c>
      <c r="DY727" s="25">
        <f t="shared" si="458"/>
        <v>2</v>
      </c>
      <c r="DZ727" s="25">
        <f t="shared" si="459"/>
        <v>2</v>
      </c>
      <c r="EA727" s="25">
        <f t="shared" si="460"/>
        <v>2</v>
      </c>
      <c r="EB727" s="47"/>
    </row>
    <row r="728" spans="1:132" ht="13.5" customHeight="1">
      <c r="A728" s="9">
        <v>725</v>
      </c>
      <c r="B728" s="9">
        <v>1</v>
      </c>
      <c r="C728" s="9">
        <v>2001</v>
      </c>
      <c r="D728" s="9">
        <f t="shared" si="433"/>
        <v>43207468</v>
      </c>
      <c r="E728" s="9" t="str">
        <f t="shared" si="434"/>
        <v>5202133,5201133,5302134,5501134,5501135,5500132</v>
      </c>
      <c r="F728" s="9" t="str">
        <f t="shared" si="435"/>
        <v>13,13,13,13,13,13</v>
      </c>
      <c r="G728" s="9" t="str">
        <f t="shared" si="436"/>
        <v>1526,1649,1649,1649,1649,1649</v>
      </c>
      <c r="H728" s="9">
        <v>330</v>
      </c>
      <c r="I728" s="9" t="s">
        <v>278</v>
      </c>
      <c r="J728" s="9" t="s">
        <v>279</v>
      </c>
      <c r="K728" s="9" t="s">
        <v>279</v>
      </c>
      <c r="L728" s="9" t="s">
        <v>279</v>
      </c>
      <c r="M728" s="36" t="s">
        <v>319</v>
      </c>
      <c r="O728" s="3">
        <f t="shared" si="461"/>
        <v>43207468</v>
      </c>
      <c r="P728" s="9">
        <v>32732930.07</v>
      </c>
      <c r="Q728" s="9">
        <v>5202133</v>
      </c>
      <c r="R728" s="9">
        <v>5201133</v>
      </c>
      <c r="S728" s="9">
        <v>5302134</v>
      </c>
      <c r="T728" s="9">
        <v>5501134</v>
      </c>
      <c r="U728" s="9">
        <v>5501135</v>
      </c>
      <c r="V728" s="9">
        <v>5500132</v>
      </c>
      <c r="W728" s="9">
        <v>13</v>
      </c>
      <c r="X728" s="9">
        <v>13</v>
      </c>
      <c r="Y728" s="9">
        <v>13</v>
      </c>
      <c r="Z728" s="9">
        <v>13</v>
      </c>
      <c r="AA728" s="9">
        <v>13</v>
      </c>
      <c r="AB728" s="9">
        <v>13</v>
      </c>
      <c r="AC728" s="9">
        <f t="shared" si="437"/>
        <v>1526</v>
      </c>
      <c r="AD728" s="9">
        <f t="shared" si="438"/>
        <v>1649</v>
      </c>
      <c r="AE728" s="9">
        <f t="shared" si="439"/>
        <v>1649</v>
      </c>
      <c r="AF728" s="9">
        <f t="shared" si="440"/>
        <v>1649</v>
      </c>
      <c r="AG728" s="9">
        <f t="shared" si="441"/>
        <v>1649</v>
      </c>
      <c r="AH728" s="9">
        <f t="shared" si="442"/>
        <v>1649</v>
      </c>
      <c r="AI728" s="7">
        <f t="shared" si="465"/>
        <v>5455488.3449999997</v>
      </c>
      <c r="AJ728" s="7">
        <f t="shared" si="465"/>
        <v>5455488.3449999997</v>
      </c>
      <c r="AK728" s="7">
        <f t="shared" si="465"/>
        <v>5455488.3449999997</v>
      </c>
      <c r="AL728" s="7">
        <f t="shared" si="465"/>
        <v>5455488.3449999997</v>
      </c>
      <c r="AM728" s="7">
        <f t="shared" si="465"/>
        <v>5455488.3449999997</v>
      </c>
      <c r="AN728" s="7">
        <f t="shared" si="465"/>
        <v>5455488.3449999997</v>
      </c>
      <c r="BR728" s="5">
        <v>5403062</v>
      </c>
      <c r="BS728" s="18">
        <f>[1]monsters!$N728</f>
        <v>240</v>
      </c>
      <c r="BT728" s="18">
        <f>[1]monsters!$O728</f>
        <v>24</v>
      </c>
      <c r="BU728" s="18">
        <f>[1]monsters!$P728</f>
        <v>2880</v>
      </c>
      <c r="BV728" s="18">
        <f>[1]monsters!$Q728</f>
        <v>288</v>
      </c>
      <c r="BW728" s="18">
        <f>[1]monsters!$R728</f>
        <v>80</v>
      </c>
      <c r="BX728" s="18">
        <f>[1]monsters!$S728</f>
        <v>8</v>
      </c>
      <c r="BY728" s="18">
        <f>[1]monsters!$K728</f>
        <v>1.5</v>
      </c>
      <c r="BZ728" s="5">
        <f>[1]monsters!$D728</f>
        <v>2</v>
      </c>
      <c r="CA728" s="5">
        <f t="shared" si="462"/>
        <v>0.1</v>
      </c>
      <c r="CB728" s="5">
        <f t="shared" si="463"/>
        <v>323.76969696969695</v>
      </c>
      <c r="CC728" s="5">
        <f t="shared" si="464"/>
        <v>32.376969696969695</v>
      </c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R728" s="3" t="b">
        <f t="shared" si="443"/>
        <v>1</v>
      </c>
      <c r="CS728" s="3" t="b">
        <f t="shared" si="444"/>
        <v>1</v>
      </c>
      <c r="CT728" s="3" t="b">
        <f t="shared" si="445"/>
        <v>1</v>
      </c>
      <c r="CU728" s="3" t="b">
        <f t="shared" si="446"/>
        <v>1</v>
      </c>
      <c r="CV728" s="3" t="b">
        <f t="shared" si="447"/>
        <v>1</v>
      </c>
      <c r="CW728" s="3" t="b">
        <f t="shared" si="448"/>
        <v>1</v>
      </c>
      <c r="CX728" s="9" t="str">
        <f t="shared" si="449"/>
        <v>5202133</v>
      </c>
      <c r="CY728" s="9" t="str">
        <f t="shared" si="450"/>
        <v>5201133</v>
      </c>
      <c r="CZ728" s="9" t="str">
        <f t="shared" si="451"/>
        <v>5302134</v>
      </c>
      <c r="DA728" s="9" t="str">
        <f t="shared" si="452"/>
        <v>5501134</v>
      </c>
      <c r="DB728" s="9" t="str">
        <f t="shared" si="453"/>
        <v>5501135</v>
      </c>
      <c r="DC728" s="9" t="str">
        <f t="shared" si="454"/>
        <v>5500132</v>
      </c>
      <c r="DD728" s="9">
        <v>13</v>
      </c>
      <c r="DE728" s="9">
        <v>13</v>
      </c>
      <c r="DF728" s="9">
        <v>13</v>
      </c>
      <c r="DG728" s="9">
        <v>13</v>
      </c>
      <c r="DH728" s="9">
        <v>13</v>
      </c>
      <c r="DI728" s="9">
        <v>13</v>
      </c>
      <c r="DJ728" s="9">
        <v>5</v>
      </c>
      <c r="DK728" s="9">
        <v>5</v>
      </c>
      <c r="DL728" s="9">
        <v>5</v>
      </c>
      <c r="DM728" s="9">
        <v>5</v>
      </c>
      <c r="DN728" s="9">
        <v>5</v>
      </c>
      <c r="DO728" s="9">
        <v>5</v>
      </c>
      <c r="DP728" s="25" t="s">
        <v>208</v>
      </c>
      <c r="DQ728" s="25" t="s">
        <v>205</v>
      </c>
      <c r="DR728" s="25" t="s">
        <v>218</v>
      </c>
      <c r="DS728" s="25" t="s">
        <v>214</v>
      </c>
      <c r="DT728" s="25" t="s">
        <v>209</v>
      </c>
      <c r="DU728" s="25" t="s">
        <v>109</v>
      </c>
      <c r="DV728" s="25">
        <f t="shared" si="455"/>
        <v>1</v>
      </c>
      <c r="DW728" s="25">
        <f t="shared" si="456"/>
        <v>1</v>
      </c>
      <c r="DX728" s="25">
        <f t="shared" si="457"/>
        <v>1</v>
      </c>
      <c r="DY728" s="25">
        <f t="shared" si="458"/>
        <v>2</v>
      </c>
      <c r="DZ728" s="25">
        <f t="shared" si="459"/>
        <v>2</v>
      </c>
      <c r="EA728" s="25">
        <f t="shared" si="460"/>
        <v>2</v>
      </c>
      <c r="EB728" s="47"/>
    </row>
    <row r="729" spans="1:132" ht="13.5" customHeight="1">
      <c r="A729" s="9">
        <v>726</v>
      </c>
      <c r="B729" s="9">
        <v>1</v>
      </c>
      <c r="C729" s="9">
        <v>2001</v>
      </c>
      <c r="D729" s="9">
        <f t="shared" si="433"/>
        <v>43308930</v>
      </c>
      <c r="E729" s="9" t="str">
        <f t="shared" si="434"/>
        <v>5201133,5202135,5200131,5501134,5402132,5400135</v>
      </c>
      <c r="F729" s="9" t="str">
        <f t="shared" si="435"/>
        <v>13,13,13,13,13,13</v>
      </c>
      <c r="G729" s="9" t="str">
        <f t="shared" si="436"/>
        <v>1527,1651,1651,1651,1651,1651</v>
      </c>
      <c r="H729" s="9">
        <v>330</v>
      </c>
      <c r="I729" s="9" t="s">
        <v>278</v>
      </c>
      <c r="J729" s="9" t="s">
        <v>279</v>
      </c>
      <c r="K729" s="9" t="s">
        <v>279</v>
      </c>
      <c r="L729" s="9" t="s">
        <v>279</v>
      </c>
      <c r="M729" s="36" t="s">
        <v>319</v>
      </c>
      <c r="O729" s="3">
        <f t="shared" si="461"/>
        <v>43308930</v>
      </c>
      <c r="P729" s="9">
        <v>32809795.260000002</v>
      </c>
      <c r="Q729" s="9">
        <v>5201133</v>
      </c>
      <c r="R729" s="9">
        <v>5202135</v>
      </c>
      <c r="S729" s="9">
        <v>5200131</v>
      </c>
      <c r="T729" s="9">
        <v>5501134</v>
      </c>
      <c r="U729" s="9">
        <v>5402132</v>
      </c>
      <c r="V729" s="9">
        <v>5400135</v>
      </c>
      <c r="W729" s="9">
        <v>13</v>
      </c>
      <c r="X729" s="9">
        <v>13</v>
      </c>
      <c r="Y729" s="9">
        <v>13</v>
      </c>
      <c r="Z729" s="9">
        <v>13</v>
      </c>
      <c r="AA729" s="9">
        <v>13</v>
      </c>
      <c r="AB729" s="9">
        <v>13</v>
      </c>
      <c r="AC729" s="9">
        <f t="shared" si="437"/>
        <v>1527</v>
      </c>
      <c r="AD729" s="9">
        <f t="shared" si="438"/>
        <v>1651</v>
      </c>
      <c r="AE729" s="9">
        <f t="shared" si="439"/>
        <v>1651</v>
      </c>
      <c r="AF729" s="9">
        <f t="shared" si="440"/>
        <v>1651</v>
      </c>
      <c r="AG729" s="9">
        <f t="shared" si="441"/>
        <v>1651</v>
      </c>
      <c r="AH729" s="9">
        <f t="shared" si="442"/>
        <v>1651</v>
      </c>
      <c r="AI729" s="7">
        <f t="shared" si="465"/>
        <v>5468299.21</v>
      </c>
      <c r="AJ729" s="7">
        <f t="shared" si="465"/>
        <v>5468299.21</v>
      </c>
      <c r="AK729" s="7">
        <f t="shared" si="465"/>
        <v>5468299.21</v>
      </c>
      <c r="AL729" s="7">
        <f t="shared" si="465"/>
        <v>5468299.21</v>
      </c>
      <c r="AM729" s="7">
        <f t="shared" si="465"/>
        <v>5468299.21</v>
      </c>
      <c r="AN729" s="7">
        <f t="shared" si="465"/>
        <v>5468299.21</v>
      </c>
      <c r="BR729" s="5">
        <v>5204062</v>
      </c>
      <c r="BS729" s="18">
        <f>[1]monsters!$N729</f>
        <v>240</v>
      </c>
      <c r="BT729" s="18">
        <f>[1]monsters!$O729</f>
        <v>24</v>
      </c>
      <c r="BU729" s="18">
        <f>[1]monsters!$P729</f>
        <v>2880</v>
      </c>
      <c r="BV729" s="18">
        <f>[1]monsters!$Q729</f>
        <v>288</v>
      </c>
      <c r="BW729" s="18">
        <f>[1]monsters!$R729</f>
        <v>80</v>
      </c>
      <c r="BX729" s="18">
        <f>[1]monsters!$S729</f>
        <v>8</v>
      </c>
      <c r="BY729" s="18">
        <f>[1]monsters!$K729</f>
        <v>1.5</v>
      </c>
      <c r="BZ729" s="5">
        <f>[1]monsters!$D729</f>
        <v>2</v>
      </c>
      <c r="CA729" s="5">
        <f t="shared" si="462"/>
        <v>0.1</v>
      </c>
      <c r="CB729" s="5">
        <f t="shared" si="463"/>
        <v>323.76969696969695</v>
      </c>
      <c r="CC729" s="5">
        <f t="shared" si="464"/>
        <v>32.376969696969695</v>
      </c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R729" s="3" t="b">
        <f t="shared" si="443"/>
        <v>1</v>
      </c>
      <c r="CS729" s="3" t="b">
        <f t="shared" si="444"/>
        <v>1</v>
      </c>
      <c r="CT729" s="3" t="b">
        <f t="shared" si="445"/>
        <v>1</v>
      </c>
      <c r="CU729" s="3" t="b">
        <f t="shared" si="446"/>
        <v>1</v>
      </c>
      <c r="CV729" s="3" t="b">
        <f t="shared" si="447"/>
        <v>1</v>
      </c>
      <c r="CW729" s="3" t="b">
        <f t="shared" si="448"/>
        <v>1</v>
      </c>
      <c r="CX729" s="9" t="str">
        <f t="shared" si="449"/>
        <v>5201133</v>
      </c>
      <c r="CY729" s="9" t="str">
        <f t="shared" si="450"/>
        <v>5202135</v>
      </c>
      <c r="CZ729" s="9" t="str">
        <f t="shared" si="451"/>
        <v>5200131</v>
      </c>
      <c r="DA729" s="9" t="str">
        <f t="shared" si="452"/>
        <v>5501134</v>
      </c>
      <c r="DB729" s="9" t="str">
        <f t="shared" si="453"/>
        <v>5402132</v>
      </c>
      <c r="DC729" s="9" t="str">
        <f t="shared" si="454"/>
        <v>5400135</v>
      </c>
      <c r="DD729" s="9">
        <v>13</v>
      </c>
      <c r="DE729" s="9">
        <v>13</v>
      </c>
      <c r="DF729" s="9">
        <v>13</v>
      </c>
      <c r="DG729" s="9">
        <v>13</v>
      </c>
      <c r="DH729" s="9">
        <v>13</v>
      </c>
      <c r="DI729" s="9">
        <v>13</v>
      </c>
      <c r="DJ729" s="9">
        <v>5</v>
      </c>
      <c r="DK729" s="9">
        <v>5</v>
      </c>
      <c r="DL729" s="9">
        <v>5</v>
      </c>
      <c r="DM729" s="9">
        <v>5</v>
      </c>
      <c r="DN729" s="9">
        <v>5</v>
      </c>
      <c r="DO729" s="9">
        <v>5</v>
      </c>
      <c r="DP729" s="25" t="s">
        <v>205</v>
      </c>
      <c r="DQ729" s="25" t="s">
        <v>213</v>
      </c>
      <c r="DR729" s="25" t="s">
        <v>194</v>
      </c>
      <c r="DS729" s="25" t="s">
        <v>214</v>
      </c>
      <c r="DT729" s="25" t="s">
        <v>203</v>
      </c>
      <c r="DU729" s="25" t="s">
        <v>210</v>
      </c>
      <c r="DV729" s="25">
        <f t="shared" si="455"/>
        <v>1</v>
      </c>
      <c r="DW729" s="25">
        <f t="shared" si="456"/>
        <v>1</v>
      </c>
      <c r="DX729" s="25">
        <f t="shared" si="457"/>
        <v>1</v>
      </c>
      <c r="DY729" s="25">
        <f t="shared" si="458"/>
        <v>2</v>
      </c>
      <c r="DZ729" s="25">
        <f t="shared" si="459"/>
        <v>2</v>
      </c>
      <c r="EA729" s="25">
        <f t="shared" si="460"/>
        <v>2</v>
      </c>
      <c r="EB729" s="47"/>
    </row>
    <row r="730" spans="1:132" ht="13.5" customHeight="1">
      <c r="A730" s="9">
        <v>727</v>
      </c>
      <c r="B730" s="9">
        <v>1</v>
      </c>
      <c r="C730" s="9">
        <v>2001</v>
      </c>
      <c r="D730" s="9">
        <f t="shared" si="433"/>
        <v>43410512</v>
      </c>
      <c r="E730" s="9" t="str">
        <f t="shared" si="434"/>
        <v>5302135,5202135,5202133,5401133,5400135,5400135</v>
      </c>
      <c r="F730" s="9" t="str">
        <f t="shared" si="435"/>
        <v>13,13,13,13,13,13</v>
      </c>
      <c r="G730" s="9" t="str">
        <f t="shared" si="436"/>
        <v>1529,1653,1653,1653,1653,1653</v>
      </c>
      <c r="H730" s="9">
        <v>330</v>
      </c>
      <c r="I730" s="9" t="s">
        <v>278</v>
      </c>
      <c r="J730" s="9" t="s">
        <v>279</v>
      </c>
      <c r="K730" s="9" t="s">
        <v>279</v>
      </c>
      <c r="L730" s="9" t="s">
        <v>279</v>
      </c>
      <c r="M730" s="36" t="s">
        <v>319</v>
      </c>
      <c r="O730" s="3">
        <f t="shared" si="461"/>
        <v>43410512</v>
      </c>
      <c r="P730" s="9">
        <v>32886751.18</v>
      </c>
      <c r="Q730" s="9">
        <v>5302135</v>
      </c>
      <c r="R730" s="9">
        <v>5202135</v>
      </c>
      <c r="S730" s="9">
        <v>5202133</v>
      </c>
      <c r="T730" s="9">
        <v>5401133</v>
      </c>
      <c r="U730" s="9">
        <v>5400135</v>
      </c>
      <c r="V730" s="9">
        <v>5400135</v>
      </c>
      <c r="W730" s="9">
        <v>13</v>
      </c>
      <c r="X730" s="9">
        <v>13</v>
      </c>
      <c r="Y730" s="9">
        <v>13</v>
      </c>
      <c r="Z730" s="9">
        <v>13</v>
      </c>
      <c r="AA730" s="9">
        <v>13</v>
      </c>
      <c r="AB730" s="9">
        <v>13</v>
      </c>
      <c r="AC730" s="9">
        <f t="shared" si="437"/>
        <v>1529</v>
      </c>
      <c r="AD730" s="9">
        <f t="shared" si="438"/>
        <v>1653</v>
      </c>
      <c r="AE730" s="9">
        <f t="shared" si="439"/>
        <v>1653</v>
      </c>
      <c r="AF730" s="9">
        <f t="shared" si="440"/>
        <v>1653</v>
      </c>
      <c r="AG730" s="9">
        <f t="shared" si="441"/>
        <v>1653</v>
      </c>
      <c r="AH730" s="9">
        <f t="shared" si="442"/>
        <v>1653</v>
      </c>
      <c r="AI730" s="7">
        <f t="shared" si="465"/>
        <v>5481125.1966666663</v>
      </c>
      <c r="AJ730" s="7">
        <f t="shared" si="465"/>
        <v>5481125.1966666663</v>
      </c>
      <c r="AK730" s="7">
        <f t="shared" si="465"/>
        <v>5481125.1966666663</v>
      </c>
      <c r="AL730" s="7">
        <f t="shared" si="465"/>
        <v>5481125.1966666663</v>
      </c>
      <c r="AM730" s="7">
        <f t="shared" si="465"/>
        <v>5481125.1966666663</v>
      </c>
      <c r="AN730" s="7">
        <f t="shared" si="465"/>
        <v>5481125.1966666663</v>
      </c>
      <c r="BR730" s="5">
        <v>5404062</v>
      </c>
      <c r="BS730" s="18">
        <f>[1]monsters!$N730</f>
        <v>240</v>
      </c>
      <c r="BT730" s="18">
        <f>[1]monsters!$O730</f>
        <v>24</v>
      </c>
      <c r="BU730" s="18">
        <f>[1]monsters!$P730</f>
        <v>2880</v>
      </c>
      <c r="BV730" s="18">
        <f>[1]monsters!$Q730</f>
        <v>288</v>
      </c>
      <c r="BW730" s="18">
        <f>[1]monsters!$R730</f>
        <v>80</v>
      </c>
      <c r="BX730" s="18">
        <f>[1]monsters!$S730</f>
        <v>8</v>
      </c>
      <c r="BY730" s="18">
        <f>[1]monsters!$K730</f>
        <v>1.5</v>
      </c>
      <c r="BZ730" s="5">
        <f>[1]monsters!$D730</f>
        <v>2</v>
      </c>
      <c r="CA730" s="5">
        <f t="shared" si="462"/>
        <v>0.1</v>
      </c>
      <c r="CB730" s="5">
        <f t="shared" si="463"/>
        <v>323.76969696969695</v>
      </c>
      <c r="CC730" s="5">
        <f t="shared" si="464"/>
        <v>32.376969696969695</v>
      </c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R730" s="3" t="b">
        <f t="shared" si="443"/>
        <v>1</v>
      </c>
      <c r="CS730" s="3" t="b">
        <f t="shared" si="444"/>
        <v>1</v>
      </c>
      <c r="CT730" s="3" t="b">
        <f t="shared" si="445"/>
        <v>1</v>
      </c>
      <c r="CU730" s="3" t="b">
        <f t="shared" si="446"/>
        <v>1</v>
      </c>
      <c r="CV730" s="3" t="b">
        <f t="shared" si="447"/>
        <v>1</v>
      </c>
      <c r="CW730" s="3" t="b">
        <f t="shared" si="448"/>
        <v>1</v>
      </c>
      <c r="CX730" s="9" t="str">
        <f t="shared" si="449"/>
        <v>5302135</v>
      </c>
      <c r="CY730" s="9" t="str">
        <f t="shared" si="450"/>
        <v>5202135</v>
      </c>
      <c r="CZ730" s="9" t="str">
        <f t="shared" si="451"/>
        <v>5202133</v>
      </c>
      <c r="DA730" s="9" t="str">
        <f t="shared" si="452"/>
        <v>5401133</v>
      </c>
      <c r="DB730" s="9" t="str">
        <f t="shared" si="453"/>
        <v>5400135</v>
      </c>
      <c r="DC730" s="9" t="str">
        <f t="shared" si="454"/>
        <v>5400135</v>
      </c>
      <c r="DD730" s="9">
        <v>13</v>
      </c>
      <c r="DE730" s="9">
        <v>13</v>
      </c>
      <c r="DF730" s="9">
        <v>13</v>
      </c>
      <c r="DG730" s="9">
        <v>13</v>
      </c>
      <c r="DH730" s="9">
        <v>13</v>
      </c>
      <c r="DI730" s="9">
        <v>13</v>
      </c>
      <c r="DJ730" s="9">
        <v>5</v>
      </c>
      <c r="DK730" s="9">
        <v>5</v>
      </c>
      <c r="DL730" s="9">
        <v>5</v>
      </c>
      <c r="DM730" s="9">
        <v>5</v>
      </c>
      <c r="DN730" s="9">
        <v>5</v>
      </c>
      <c r="DO730" s="9">
        <v>5</v>
      </c>
      <c r="DP730" s="25" t="s">
        <v>221</v>
      </c>
      <c r="DQ730" s="25" t="s">
        <v>213</v>
      </c>
      <c r="DR730" s="25" t="s">
        <v>208</v>
      </c>
      <c r="DS730" s="25" t="s">
        <v>211</v>
      </c>
      <c r="DT730" s="25" t="s">
        <v>210</v>
      </c>
      <c r="DU730" s="25" t="s">
        <v>210</v>
      </c>
      <c r="DV730" s="25">
        <f t="shared" si="455"/>
        <v>1</v>
      </c>
      <c r="DW730" s="25">
        <f t="shared" si="456"/>
        <v>1</v>
      </c>
      <c r="DX730" s="25">
        <f t="shared" si="457"/>
        <v>1</v>
      </c>
      <c r="DY730" s="25">
        <f t="shared" si="458"/>
        <v>2</v>
      </c>
      <c r="DZ730" s="25">
        <f t="shared" si="459"/>
        <v>2</v>
      </c>
      <c r="EA730" s="25">
        <f t="shared" si="460"/>
        <v>2</v>
      </c>
      <c r="EB730" s="48"/>
    </row>
    <row r="731" spans="1:132" ht="13.5" customHeight="1">
      <c r="A731" s="9">
        <v>728</v>
      </c>
      <c r="B731" s="9">
        <v>1</v>
      </c>
      <c r="C731" s="9">
        <v>2001</v>
      </c>
      <c r="D731" s="9">
        <f t="shared" si="433"/>
        <v>43512216</v>
      </c>
      <c r="E731" s="9" t="str">
        <f t="shared" si="434"/>
        <v>5202132,5202132,5301132,5502132,5500131,5400135</v>
      </c>
      <c r="F731" s="9" t="str">
        <f t="shared" si="435"/>
        <v>13,13,13,13,13,13</v>
      </c>
      <c r="G731" s="9" t="str">
        <f t="shared" si="436"/>
        <v>1531,1654,1654,1654,1654,1654</v>
      </c>
      <c r="H731" s="9">
        <v>331</v>
      </c>
      <c r="I731" s="9" t="s">
        <v>278</v>
      </c>
      <c r="J731" s="9" t="s">
        <v>279</v>
      </c>
      <c r="K731" s="9" t="s">
        <v>279</v>
      </c>
      <c r="L731" s="9" t="s">
        <v>279</v>
      </c>
      <c r="M731" s="36" t="s">
        <v>319</v>
      </c>
      <c r="O731" s="3">
        <f t="shared" si="461"/>
        <v>43512216</v>
      </c>
      <c r="P731" s="9">
        <v>32963799.940000001</v>
      </c>
      <c r="Q731" s="9">
        <v>5202132</v>
      </c>
      <c r="R731" s="9">
        <v>5202132</v>
      </c>
      <c r="S731" s="9">
        <v>5301132</v>
      </c>
      <c r="T731" s="9">
        <v>5502132</v>
      </c>
      <c r="U731" s="9">
        <v>5500131</v>
      </c>
      <c r="V731" s="9">
        <v>5400135</v>
      </c>
      <c r="W731" s="9">
        <v>13</v>
      </c>
      <c r="X731" s="9">
        <v>13</v>
      </c>
      <c r="Y731" s="9">
        <v>13</v>
      </c>
      <c r="Z731" s="9">
        <v>13</v>
      </c>
      <c r="AA731" s="9">
        <v>13</v>
      </c>
      <c r="AB731" s="9">
        <v>13</v>
      </c>
      <c r="AC731" s="9">
        <f t="shared" si="437"/>
        <v>1531</v>
      </c>
      <c r="AD731" s="9">
        <f t="shared" si="438"/>
        <v>1654</v>
      </c>
      <c r="AE731" s="9">
        <f t="shared" si="439"/>
        <v>1654</v>
      </c>
      <c r="AF731" s="9">
        <f t="shared" si="440"/>
        <v>1654</v>
      </c>
      <c r="AG731" s="9">
        <f t="shared" si="441"/>
        <v>1654</v>
      </c>
      <c r="AH731" s="9">
        <f t="shared" si="442"/>
        <v>1654</v>
      </c>
      <c r="AI731" s="7">
        <f t="shared" si="465"/>
        <v>5493966.6566666672</v>
      </c>
      <c r="AJ731" s="7">
        <f t="shared" si="465"/>
        <v>5493966.6566666672</v>
      </c>
      <c r="AK731" s="7">
        <f t="shared" si="465"/>
        <v>5493966.6566666672</v>
      </c>
      <c r="AL731" s="7">
        <f t="shared" si="465"/>
        <v>5493966.6566666672</v>
      </c>
      <c r="AM731" s="7">
        <f t="shared" si="465"/>
        <v>5493966.6566666672</v>
      </c>
      <c r="AN731" s="7">
        <f t="shared" si="465"/>
        <v>5493966.6566666672</v>
      </c>
      <c r="BR731" s="5">
        <v>5303062</v>
      </c>
      <c r="BS731" s="18">
        <f>[1]monsters!$N731</f>
        <v>240</v>
      </c>
      <c r="BT731" s="18">
        <f>[1]monsters!$O731</f>
        <v>24</v>
      </c>
      <c r="BU731" s="18">
        <f>[1]monsters!$P731</f>
        <v>2880</v>
      </c>
      <c r="BV731" s="18">
        <f>[1]monsters!$Q731</f>
        <v>288</v>
      </c>
      <c r="BW731" s="18">
        <f>[1]monsters!$R731</f>
        <v>80</v>
      </c>
      <c r="BX731" s="18">
        <f>[1]monsters!$S731</f>
        <v>8</v>
      </c>
      <c r="BY731" s="18">
        <f>[1]monsters!$K731</f>
        <v>1.5</v>
      </c>
      <c r="BZ731" s="5">
        <f>[1]monsters!$D731</f>
        <v>2</v>
      </c>
      <c r="CA731" s="5">
        <f t="shared" si="462"/>
        <v>0.1</v>
      </c>
      <c r="CB731" s="5">
        <f t="shared" si="463"/>
        <v>323.76969696969695</v>
      </c>
      <c r="CC731" s="5">
        <f t="shared" si="464"/>
        <v>32.376969696969695</v>
      </c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R731" s="3" t="b">
        <f t="shared" si="443"/>
        <v>1</v>
      </c>
      <c r="CS731" s="3" t="b">
        <f t="shared" si="444"/>
        <v>1</v>
      </c>
      <c r="CT731" s="3" t="b">
        <f t="shared" si="445"/>
        <v>1</v>
      </c>
      <c r="CU731" s="3" t="b">
        <f t="shared" si="446"/>
        <v>1</v>
      </c>
      <c r="CV731" s="3" t="b">
        <f t="shared" si="447"/>
        <v>1</v>
      </c>
      <c r="CW731" s="3" t="b">
        <f t="shared" si="448"/>
        <v>1</v>
      </c>
      <c r="CX731" s="9" t="str">
        <f t="shared" si="449"/>
        <v>5202132</v>
      </c>
      <c r="CY731" s="9" t="str">
        <f t="shared" si="450"/>
        <v>5202132</v>
      </c>
      <c r="CZ731" s="9" t="str">
        <f t="shared" si="451"/>
        <v>5301132</v>
      </c>
      <c r="DA731" s="9" t="str">
        <f t="shared" si="452"/>
        <v>5502132</v>
      </c>
      <c r="DB731" s="9" t="str">
        <f t="shared" si="453"/>
        <v>5500131</v>
      </c>
      <c r="DC731" s="9" t="str">
        <f t="shared" si="454"/>
        <v>5400135</v>
      </c>
      <c r="DD731" s="9">
        <v>13</v>
      </c>
      <c r="DE731" s="9">
        <v>13</v>
      </c>
      <c r="DF731" s="9">
        <v>13</v>
      </c>
      <c r="DG731" s="9">
        <v>13</v>
      </c>
      <c r="DH731" s="9">
        <v>13</v>
      </c>
      <c r="DI731" s="9">
        <v>13</v>
      </c>
      <c r="DJ731" s="9">
        <v>5</v>
      </c>
      <c r="DK731" s="9">
        <v>5</v>
      </c>
      <c r="DL731" s="9">
        <v>5</v>
      </c>
      <c r="DM731" s="9">
        <v>5</v>
      </c>
      <c r="DN731" s="9">
        <v>5</v>
      </c>
      <c r="DO731" s="9">
        <v>5</v>
      </c>
      <c r="DP731" s="25" t="s">
        <v>200</v>
      </c>
      <c r="DQ731" s="25" t="s">
        <v>200</v>
      </c>
      <c r="DR731" s="25" t="s">
        <v>201</v>
      </c>
      <c r="DS731" s="25" t="s">
        <v>204</v>
      </c>
      <c r="DT731" s="25" t="s">
        <v>197</v>
      </c>
      <c r="DU731" s="25" t="s">
        <v>210</v>
      </c>
      <c r="DV731" s="25">
        <f t="shared" si="455"/>
        <v>1</v>
      </c>
      <c r="DW731" s="25">
        <f t="shared" si="456"/>
        <v>1</v>
      </c>
      <c r="DX731" s="25">
        <f t="shared" si="457"/>
        <v>1</v>
      </c>
      <c r="DY731" s="25">
        <f t="shared" si="458"/>
        <v>2</v>
      </c>
      <c r="DZ731" s="25">
        <f t="shared" si="459"/>
        <v>2</v>
      </c>
      <c r="EA731" s="25">
        <f t="shared" si="460"/>
        <v>2</v>
      </c>
      <c r="EB731" s="47"/>
    </row>
    <row r="732" spans="1:132" ht="13.5" customHeight="1">
      <c r="A732" s="9">
        <v>729</v>
      </c>
      <c r="B732" s="9">
        <v>1</v>
      </c>
      <c r="C732" s="9">
        <v>2001</v>
      </c>
      <c r="D732" s="9">
        <f t="shared" ref="D732:D795" si="466">O732</f>
        <v>43614037</v>
      </c>
      <c r="E732" s="9" t="str">
        <f t="shared" ref="E732:E795" si="467">Q732&amp;","&amp;R732&amp;","&amp;S732&amp;","&amp;T732&amp;","&amp;U732&amp;","&amp;V732</f>
        <v>5202133,5201133,5302134,5400135,5601133,5400135</v>
      </c>
      <c r="F732" s="9" t="str">
        <f t="shared" ref="F732:F795" si="468">W732&amp;","&amp;X732&amp;","&amp;Y732&amp;","&amp;Z732&amp;","&amp;AA732&amp;","&amp;AB732</f>
        <v>13,13,13,13,13,13</v>
      </c>
      <c r="G732" s="9" t="str">
        <f t="shared" ref="G732:G795" si="469">AC732&amp;","&amp;AD732&amp;","&amp;AE732&amp;","&amp;AF732&amp;","&amp;AG732&amp;","&amp;AH732</f>
        <v>1533,1656,1656,1656,1656,1656</v>
      </c>
      <c r="H732" s="9">
        <v>331</v>
      </c>
      <c r="I732" s="9" t="s">
        <v>278</v>
      </c>
      <c r="J732" s="9" t="s">
        <v>279</v>
      </c>
      <c r="K732" s="9" t="s">
        <v>279</v>
      </c>
      <c r="L732" s="9" t="s">
        <v>279</v>
      </c>
      <c r="M732" s="36" t="s">
        <v>319</v>
      </c>
      <c r="O732" s="3">
        <f t="shared" si="461"/>
        <v>43614037</v>
      </c>
      <c r="P732" s="9">
        <v>33040937.32</v>
      </c>
      <c r="Q732" s="9">
        <v>5202133</v>
      </c>
      <c r="R732" s="9">
        <v>5201133</v>
      </c>
      <c r="S732" s="9">
        <v>5302134</v>
      </c>
      <c r="T732" s="9">
        <v>5400135</v>
      </c>
      <c r="U732" s="9">
        <v>5601133</v>
      </c>
      <c r="V732" s="9">
        <v>5400135</v>
      </c>
      <c r="W732" s="9">
        <v>13</v>
      </c>
      <c r="X732" s="9">
        <v>13</v>
      </c>
      <c r="Y732" s="9">
        <v>13</v>
      </c>
      <c r="Z732" s="9">
        <v>13</v>
      </c>
      <c r="AA732" s="9">
        <v>13</v>
      </c>
      <c r="AB732" s="9">
        <v>13</v>
      </c>
      <c r="AC732" s="9">
        <f t="shared" ref="AC732:AC795" si="470">IF(AI732&gt;0,FLOOR((POWER((AI732/IF(AND(W732&gt;=2,W732&lt;4),1.1,IF(AND(W732&gt;=4,W732&lt;6),1.2,IF(W732&gt;=6,1.4,1)))/$Z$1),0.5)/INDEX($BD$4:$BQ$4,MATCH(W732,$BD$3:$BQ$3,0))-1)*10,1),"")</f>
        <v>1533</v>
      </c>
      <c r="AD732" s="9">
        <f t="shared" ref="AD732:AD795" si="471">IF(AJ732&gt;0,FLOOR((POWER((AJ732/IF(AND(X732&gt;=2,X732&lt;4),1.1,IF(AND(X732&gt;=4,X732&lt;6),1.15,IF(X732&gt;=6,1.2,1)))/$Z$1),0.5)/INDEX($BD$4:$BQ$4,MATCH(X732,$BD$3:$BQ$3,0))-1)*10,1),"")</f>
        <v>1656</v>
      </c>
      <c r="AE732" s="9">
        <f t="shared" ref="AE732:AE795" si="472">IF(AK732&gt;0,FLOOR((POWER((AK732/IF(AND(Y732&gt;=2,Y732&lt;4),1.1,IF(AND(Y732&gt;=4,Y732&lt;6),1.15,IF(Y732&gt;=6,1.2,1)))/$Z$1),0.5)/INDEX($BD$4:$BQ$4,MATCH(Y732,$BD$3:$BQ$3,0))-1)*10,1),"")</f>
        <v>1656</v>
      </c>
      <c r="AF732" s="9">
        <f t="shared" ref="AF732:AF795" si="473">IF(AL732&gt;0,FLOOR((POWER((AL732/IF(AND(Z732&gt;=2,Z732&lt;4),1.1,IF(AND(Z732&gt;=4,Z732&lt;6),1.15,IF(Z732&gt;=6,1.2,1)))/$Z$1),0.5)/INDEX($BD$4:$BQ$4,MATCH(Z732,$BD$3:$BQ$3,0))-1)*10,1),"")</f>
        <v>1656</v>
      </c>
      <c r="AG732" s="9">
        <f t="shared" ref="AG732:AG795" si="474">IF(AM732&gt;0,FLOOR((POWER((AM732/IF(AND(AA732&gt;=2,AA732&lt;4),1.1,IF(AND(AA732&gt;=4,AA732&lt;6),1.15,IF(AA732&gt;=6,1.2,1)))/$Z$1),0.5)/INDEX($BD$4:$BQ$4,MATCH(AA732,$BD$3:$BQ$3,0))-1)*10,1),"")</f>
        <v>1656</v>
      </c>
      <c r="AH732" s="9">
        <f t="shared" ref="AH732:AH795" si="475">IF(AN732&gt;0,FLOOR((POWER((AN732/IF(AND(AB732&gt;=2,AB732&lt;4),1.1,IF(AND(AB732&gt;=4,AB732&lt;6),1.15,IF(AB732&gt;=6,1.2,1)))/$Z$1),0.5)/INDEX($BD$4:$BQ$4,MATCH(AB732,$BD$3:$BQ$3,0))-1)*10,1),"")</f>
        <v>1656</v>
      </c>
      <c r="AI732" s="7">
        <f t="shared" si="465"/>
        <v>5506822.8866666667</v>
      </c>
      <c r="AJ732" s="7">
        <f t="shared" si="465"/>
        <v>5506822.8866666667</v>
      </c>
      <c r="AK732" s="7">
        <f t="shared" si="465"/>
        <v>5506822.8866666667</v>
      </c>
      <c r="AL732" s="7">
        <f t="shared" si="465"/>
        <v>5506822.8866666667</v>
      </c>
      <c r="AM732" s="7">
        <f t="shared" si="465"/>
        <v>5506822.8866666667</v>
      </c>
      <c r="AN732" s="7">
        <f t="shared" si="465"/>
        <v>5506822.8866666667</v>
      </c>
      <c r="BR732" s="5">
        <v>5304062</v>
      </c>
      <c r="BS732" s="18">
        <f>[1]monsters!$N732</f>
        <v>256</v>
      </c>
      <c r="BT732" s="18">
        <f>[1]monsters!$O732</f>
        <v>25.6</v>
      </c>
      <c r="BU732" s="18">
        <f>[1]monsters!$P732</f>
        <v>3072</v>
      </c>
      <c r="BV732" s="18">
        <f>[1]monsters!$Q732</f>
        <v>307.2</v>
      </c>
      <c r="BW732" s="18">
        <f>[1]monsters!$R732</f>
        <v>85.33</v>
      </c>
      <c r="BX732" s="18">
        <f>[1]monsters!$S732</f>
        <v>8.5299999999999994</v>
      </c>
      <c r="BY732" s="18">
        <f>[1]monsters!$K732</f>
        <v>1.5</v>
      </c>
      <c r="BZ732" s="5">
        <f>[1]monsters!$D732</f>
        <v>2</v>
      </c>
      <c r="CA732" s="5">
        <f t="shared" si="462"/>
        <v>0.1</v>
      </c>
      <c r="CB732" s="5">
        <f t="shared" si="463"/>
        <v>345.35434343434343</v>
      </c>
      <c r="CC732" s="5">
        <f t="shared" si="464"/>
        <v>34.535434343434346</v>
      </c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R732" s="3" t="b">
        <f t="shared" ref="CR732:CR795" si="476">IF(ISERROR(MATCH(INT(CX732),$EC$4:$EC$426,0))=FALSE,TRUE)</f>
        <v>1</v>
      </c>
      <c r="CS732" s="3" t="b">
        <f t="shared" ref="CS732:CS795" si="477">IF(ISERROR(MATCH(INT(CY732),$EC$4:$EC$426,0))=FALSE,TRUE)</f>
        <v>1</v>
      </c>
      <c r="CT732" s="3" t="b">
        <f t="shared" ref="CT732:CT795" si="478">IF(ISERROR(MATCH(INT(CZ732),$EC$4:$EC$426,0))=FALSE,TRUE)</f>
        <v>1</v>
      </c>
      <c r="CU732" s="3" t="b">
        <f t="shared" ref="CU732:CU795" si="479">IF(ISERROR(MATCH(INT(DA732),$EC$4:$EC$426,0))=FALSE,TRUE)</f>
        <v>1</v>
      </c>
      <c r="CV732" s="3" t="b">
        <f t="shared" ref="CV732:CV795" si="480">IF(ISERROR(MATCH(INT(DB732),$EC$4:$EC$426,0))=FALSE,TRUE)</f>
        <v>1</v>
      </c>
      <c r="CW732" s="3" t="b">
        <f t="shared" ref="CW732:CW795" si="481">IF(ISERROR(MATCH(INT(DC732),$EC$4:$EC$426,0))=FALSE,TRUE)</f>
        <v>1</v>
      </c>
      <c r="CX732" s="9" t="str">
        <f t="shared" ref="CX732:CX795" si="482">REPLACE(REPLACE(INDEX($EC$4:$EC$426,MATCH(DP732,$ED$4:$ED$426,0)),IF(DD732&gt;9,5,6),IF(DD732&gt;9,2,1),DD732),1,1,DJ732)</f>
        <v>5202133</v>
      </c>
      <c r="CY732" s="9" t="str">
        <f t="shared" ref="CY732:CY795" si="483">REPLACE(REPLACE(INDEX($EC$4:$EC$426,MATCH(DQ732,$ED$4:$ED$426,0)),IF(DE732&gt;9,5,6),IF(DE732&gt;9,2,1),DE732),1,1,DK732)</f>
        <v>5201133</v>
      </c>
      <c r="CZ732" s="9" t="str">
        <f t="shared" ref="CZ732:CZ795" si="484">REPLACE(REPLACE(INDEX($EC$4:$EC$426,MATCH(DR732,$ED$4:$ED$426,0)),IF(DF732&gt;9,5,6),IF(DF732&gt;9,2,1),DF732),1,1,DL732)</f>
        <v>5302134</v>
      </c>
      <c r="DA732" s="9" t="str">
        <f t="shared" ref="DA732:DA795" si="485">REPLACE(REPLACE(INDEX($EC$4:$EC$426,MATCH(DS732,$ED$4:$ED$426,0)),IF(DG732&gt;9,5,6),IF(DG732&gt;9,2,1),DG732),1,1,DM732)</f>
        <v>5400135</v>
      </c>
      <c r="DB732" s="9" t="str">
        <f t="shared" ref="DB732:DB795" si="486">REPLACE(REPLACE(INDEX($EC$4:$EC$426,MATCH(DT732,$ED$4:$ED$426,0)),IF(DH732&gt;9,5,6),IF(DH732&gt;9,2,1),DH732),1,1,DN732)</f>
        <v>5601133</v>
      </c>
      <c r="DC732" s="9" t="str">
        <f t="shared" ref="DC732:DC795" si="487">REPLACE(REPLACE(INDEX($EC$4:$EC$426,MATCH(DU732,$ED$4:$ED$426,0)),IF(DI732&gt;9,5,6),IF(DI732&gt;9,2,1),DI732),1,1,DO732)</f>
        <v>5400135</v>
      </c>
      <c r="DD732" s="9">
        <v>13</v>
      </c>
      <c r="DE732" s="9">
        <v>13</v>
      </c>
      <c r="DF732" s="9">
        <v>13</v>
      </c>
      <c r="DG732" s="9">
        <v>13</v>
      </c>
      <c r="DH732" s="9">
        <v>13</v>
      </c>
      <c r="DI732" s="9">
        <v>13</v>
      </c>
      <c r="DJ732" s="9">
        <v>5</v>
      </c>
      <c r="DK732" s="9">
        <v>5</v>
      </c>
      <c r="DL732" s="9">
        <v>5</v>
      </c>
      <c r="DM732" s="9">
        <v>5</v>
      </c>
      <c r="DN732" s="9">
        <v>5</v>
      </c>
      <c r="DO732" s="9">
        <v>5</v>
      </c>
      <c r="DP732" s="25" t="s">
        <v>208</v>
      </c>
      <c r="DQ732" s="25" t="s">
        <v>205</v>
      </c>
      <c r="DR732" s="25" t="s">
        <v>218</v>
      </c>
      <c r="DS732" s="25" t="s">
        <v>210</v>
      </c>
      <c r="DT732" s="25" t="s">
        <v>216</v>
      </c>
      <c r="DU732" s="25" t="s">
        <v>210</v>
      </c>
      <c r="DV732" s="25">
        <f t="shared" ref="DV732:DV795" si="488">INDEX($EE$4:$EE$426,MATCH(DP732,$ED$4:$ED$426,0))</f>
        <v>1</v>
      </c>
      <c r="DW732" s="25">
        <f t="shared" ref="DW732:DW795" si="489">INDEX($EE$4:$EE$426,MATCH(DQ732,$ED$4:$ED$426,0))</f>
        <v>1</v>
      </c>
      <c r="DX732" s="25">
        <f t="shared" ref="DX732:DX795" si="490">INDEX($EE$4:$EE$426,MATCH(DR732,$ED$4:$ED$426,0))</f>
        <v>1</v>
      </c>
      <c r="DY732" s="25">
        <f t="shared" ref="DY732:DY795" si="491">INDEX($EE$4:$EE$426,MATCH(DS732,$ED$4:$ED$426,0))</f>
        <v>2</v>
      </c>
      <c r="DZ732" s="25">
        <f t="shared" ref="DZ732:DZ795" si="492">INDEX($EE$4:$EE$426,MATCH(DT732,$ED$4:$ED$426,0))</f>
        <v>2</v>
      </c>
      <c r="EA732" s="25">
        <f t="shared" ref="EA732:EA795" si="493">INDEX($EE$4:$EE$426,MATCH(DU732,$ED$4:$ED$426,0))</f>
        <v>2</v>
      </c>
      <c r="EB732" s="47"/>
    </row>
    <row r="733" spans="1:132" ht="13.5" customHeight="1">
      <c r="A733" s="9">
        <v>730</v>
      </c>
      <c r="B733" s="9">
        <v>1</v>
      </c>
      <c r="C733" s="9">
        <v>2001</v>
      </c>
      <c r="D733" s="9">
        <f t="shared" si="466"/>
        <v>43715981</v>
      </c>
      <c r="E733" s="9" t="str">
        <f t="shared" si="467"/>
        <v>5301131,5301132,5301133,5500131,5500132,5500133</v>
      </c>
      <c r="F733" s="9" t="str">
        <f t="shared" si="468"/>
        <v>13,13,13,13,13,13</v>
      </c>
      <c r="G733" s="9" t="str">
        <f t="shared" si="469"/>
        <v>1535,1658,1658,1658,1658,1658</v>
      </c>
      <c r="H733" s="9">
        <v>332</v>
      </c>
      <c r="I733" s="9" t="s">
        <v>278</v>
      </c>
      <c r="J733" s="9" t="s">
        <v>279</v>
      </c>
      <c r="K733" s="9" t="s">
        <v>279</v>
      </c>
      <c r="L733" s="9" t="s">
        <v>279</v>
      </c>
      <c r="M733" s="36" t="s">
        <v>319</v>
      </c>
      <c r="O733" s="3">
        <f t="shared" si="461"/>
        <v>43715981</v>
      </c>
      <c r="P733" s="9">
        <v>33118167.539999999</v>
      </c>
      <c r="Q733" s="9">
        <v>5301131</v>
      </c>
      <c r="R733" s="9">
        <v>5301132</v>
      </c>
      <c r="S733" s="9">
        <v>5301133</v>
      </c>
      <c r="T733" s="9">
        <v>5500131</v>
      </c>
      <c r="U733" s="9">
        <v>5500132</v>
      </c>
      <c r="V733" s="9">
        <v>5500133</v>
      </c>
      <c r="W733" s="9">
        <v>13</v>
      </c>
      <c r="X733" s="9">
        <v>13</v>
      </c>
      <c r="Y733" s="9">
        <v>13</v>
      </c>
      <c r="Z733" s="9">
        <v>13</v>
      </c>
      <c r="AA733" s="9">
        <v>13</v>
      </c>
      <c r="AB733" s="9">
        <v>13</v>
      </c>
      <c r="AC733" s="9">
        <f t="shared" si="470"/>
        <v>1535</v>
      </c>
      <c r="AD733" s="9">
        <f t="shared" si="471"/>
        <v>1658</v>
      </c>
      <c r="AE733" s="9">
        <f t="shared" si="472"/>
        <v>1658</v>
      </c>
      <c r="AF733" s="9">
        <f t="shared" si="473"/>
        <v>1658</v>
      </c>
      <c r="AG733" s="9">
        <f t="shared" si="474"/>
        <v>1658</v>
      </c>
      <c r="AH733" s="9">
        <f t="shared" si="475"/>
        <v>1658</v>
      </c>
      <c r="AI733" s="7">
        <f t="shared" si="465"/>
        <v>5519694.5899999999</v>
      </c>
      <c r="AJ733" s="7">
        <f t="shared" si="465"/>
        <v>5519694.5899999999</v>
      </c>
      <c r="AK733" s="7">
        <f t="shared" si="465"/>
        <v>5519694.5899999999</v>
      </c>
      <c r="AL733" s="7">
        <f t="shared" si="465"/>
        <v>5519694.5899999999</v>
      </c>
      <c r="AM733" s="7">
        <f t="shared" si="465"/>
        <v>5519694.5899999999</v>
      </c>
      <c r="AN733" s="7">
        <f t="shared" si="465"/>
        <v>5519694.5899999999</v>
      </c>
      <c r="BR733" s="5">
        <v>5503062</v>
      </c>
      <c r="BS733" s="18">
        <f>[1]monsters!$N733</f>
        <v>256</v>
      </c>
      <c r="BT733" s="18">
        <f>[1]monsters!$O733</f>
        <v>25.6</v>
      </c>
      <c r="BU733" s="18">
        <f>[1]monsters!$P733</f>
        <v>3072</v>
      </c>
      <c r="BV733" s="18">
        <f>[1]monsters!$Q733</f>
        <v>307.2</v>
      </c>
      <c r="BW733" s="18">
        <f>[1]monsters!$R733</f>
        <v>85.33</v>
      </c>
      <c r="BX733" s="18">
        <f>[1]monsters!$S733</f>
        <v>8.5299999999999994</v>
      </c>
      <c r="BY733" s="18">
        <f>[1]monsters!$K733</f>
        <v>1.5</v>
      </c>
      <c r="BZ733" s="5">
        <f>[1]monsters!$D733</f>
        <v>2</v>
      </c>
      <c r="CA733" s="5">
        <f t="shared" si="462"/>
        <v>0.1</v>
      </c>
      <c r="CB733" s="5">
        <f t="shared" si="463"/>
        <v>345.35434343434343</v>
      </c>
      <c r="CC733" s="5">
        <f t="shared" si="464"/>
        <v>34.535434343434346</v>
      </c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R733" s="3" t="b">
        <f t="shared" si="476"/>
        <v>1</v>
      </c>
      <c r="CS733" s="3" t="b">
        <f t="shared" si="477"/>
        <v>1</v>
      </c>
      <c r="CT733" s="3" t="b">
        <f t="shared" si="478"/>
        <v>1</v>
      </c>
      <c r="CU733" s="3" t="b">
        <f t="shared" si="479"/>
        <v>1</v>
      </c>
      <c r="CV733" s="3" t="b">
        <f t="shared" si="480"/>
        <v>1</v>
      </c>
      <c r="CW733" s="3" t="b">
        <f t="shared" si="481"/>
        <v>1</v>
      </c>
      <c r="CX733" s="9" t="str">
        <f t="shared" si="482"/>
        <v>5301131</v>
      </c>
      <c r="CY733" s="9" t="str">
        <f t="shared" si="483"/>
        <v>5301132</v>
      </c>
      <c r="CZ733" s="9" t="str">
        <f t="shared" si="484"/>
        <v>5301133</v>
      </c>
      <c r="DA733" s="9" t="str">
        <f t="shared" si="485"/>
        <v>5500131</v>
      </c>
      <c r="DB733" s="9" t="str">
        <f t="shared" si="486"/>
        <v>5500132</v>
      </c>
      <c r="DC733" s="9" t="str">
        <f t="shared" si="487"/>
        <v>5500133</v>
      </c>
      <c r="DD733" s="9">
        <v>13</v>
      </c>
      <c r="DE733" s="9">
        <v>13</v>
      </c>
      <c r="DF733" s="9">
        <v>13</v>
      </c>
      <c r="DG733" s="9">
        <v>13</v>
      </c>
      <c r="DH733" s="9">
        <v>13</v>
      </c>
      <c r="DI733" s="9">
        <v>13</v>
      </c>
      <c r="DJ733" s="9">
        <v>5</v>
      </c>
      <c r="DK733" s="9">
        <v>5</v>
      </c>
      <c r="DL733" s="9">
        <v>5</v>
      </c>
      <c r="DM733" s="9">
        <v>5</v>
      </c>
      <c r="DN733" s="9">
        <v>5</v>
      </c>
      <c r="DO733" s="9">
        <v>5</v>
      </c>
      <c r="DP733" s="3" t="s">
        <v>107</v>
      </c>
      <c r="DQ733" s="3" t="s">
        <v>201</v>
      </c>
      <c r="DR733" s="3" t="s">
        <v>206</v>
      </c>
      <c r="DS733" s="3" t="s">
        <v>197</v>
      </c>
      <c r="DT733" s="3" t="s">
        <v>109</v>
      </c>
      <c r="DU733" s="3" t="s">
        <v>207</v>
      </c>
      <c r="DV733" s="25">
        <f t="shared" si="488"/>
        <v>1</v>
      </c>
      <c r="DW733" s="25">
        <f t="shared" si="489"/>
        <v>1</v>
      </c>
      <c r="DX733" s="25">
        <f t="shared" si="490"/>
        <v>1</v>
      </c>
      <c r="DY733" s="25">
        <f t="shared" si="491"/>
        <v>2</v>
      </c>
      <c r="DZ733" s="25">
        <f t="shared" si="492"/>
        <v>2</v>
      </c>
      <c r="EA733" s="25">
        <f t="shared" si="493"/>
        <v>2</v>
      </c>
      <c r="EB733" s="48"/>
    </row>
    <row r="734" spans="1:132" ht="13.5" customHeight="1">
      <c r="A734" s="9">
        <v>731</v>
      </c>
      <c r="B734" s="9">
        <v>1</v>
      </c>
      <c r="C734" s="9">
        <v>2001</v>
      </c>
      <c r="D734" s="9">
        <f t="shared" si="466"/>
        <v>43818042</v>
      </c>
      <c r="E734" s="9" t="str">
        <f t="shared" si="467"/>
        <v>5200132,5200133,5200132,5501135,5401131,5502131</v>
      </c>
      <c r="F734" s="9" t="str">
        <f t="shared" si="468"/>
        <v>13,13,13,13,13,13</v>
      </c>
      <c r="G734" s="9" t="str">
        <f t="shared" si="469"/>
        <v>1536,1660,1660,1660,1660,1660</v>
      </c>
      <c r="H734" s="9">
        <v>332</v>
      </c>
      <c r="I734" s="9" t="s">
        <v>278</v>
      </c>
      <c r="J734" s="9" t="s">
        <v>279</v>
      </c>
      <c r="K734" s="9" t="s">
        <v>279</v>
      </c>
      <c r="L734" s="9" t="s">
        <v>279</v>
      </c>
      <c r="M734" s="36" t="s">
        <v>319</v>
      </c>
      <c r="O734" s="3">
        <f t="shared" si="461"/>
        <v>43818042</v>
      </c>
      <c r="P734" s="9">
        <v>33195486.379999999</v>
      </c>
      <c r="Q734" s="9">
        <v>5200132</v>
      </c>
      <c r="R734" s="9">
        <v>5200133</v>
      </c>
      <c r="S734" s="9">
        <v>5200132</v>
      </c>
      <c r="T734" s="9">
        <v>5501135</v>
      </c>
      <c r="U734" s="9">
        <v>5401131</v>
      </c>
      <c r="V734" s="9">
        <v>5502131</v>
      </c>
      <c r="W734" s="9">
        <v>13</v>
      </c>
      <c r="X734" s="9">
        <v>13</v>
      </c>
      <c r="Y734" s="9">
        <v>13</v>
      </c>
      <c r="Z734" s="9">
        <v>13</v>
      </c>
      <c r="AA734" s="9">
        <v>13</v>
      </c>
      <c r="AB734" s="9">
        <v>13</v>
      </c>
      <c r="AC734" s="9">
        <f t="shared" si="470"/>
        <v>1536</v>
      </c>
      <c r="AD734" s="9">
        <f t="shared" si="471"/>
        <v>1660</v>
      </c>
      <c r="AE734" s="9">
        <f t="shared" si="472"/>
        <v>1660</v>
      </c>
      <c r="AF734" s="9">
        <f t="shared" si="473"/>
        <v>1660</v>
      </c>
      <c r="AG734" s="9">
        <f t="shared" si="474"/>
        <v>1660</v>
      </c>
      <c r="AH734" s="9">
        <f t="shared" si="475"/>
        <v>1660</v>
      </c>
      <c r="AI734" s="7">
        <f t="shared" si="465"/>
        <v>5532581.0633333335</v>
      </c>
      <c r="AJ734" s="7">
        <f t="shared" si="465"/>
        <v>5532581.0633333335</v>
      </c>
      <c r="AK734" s="7">
        <f t="shared" si="465"/>
        <v>5532581.0633333335</v>
      </c>
      <c r="AL734" s="7">
        <f t="shared" si="465"/>
        <v>5532581.0633333335</v>
      </c>
      <c r="AM734" s="7">
        <f t="shared" si="465"/>
        <v>5532581.0633333335</v>
      </c>
      <c r="AN734" s="7">
        <f t="shared" si="465"/>
        <v>5532581.0633333335</v>
      </c>
      <c r="BR734" s="5">
        <v>5504062</v>
      </c>
      <c r="BS734" s="18">
        <f>[1]monsters!$N734</f>
        <v>256</v>
      </c>
      <c r="BT734" s="18">
        <f>[1]monsters!$O734</f>
        <v>25.6</v>
      </c>
      <c r="BU734" s="18">
        <f>[1]monsters!$P734</f>
        <v>3072</v>
      </c>
      <c r="BV734" s="18">
        <f>[1]monsters!$Q734</f>
        <v>307.2</v>
      </c>
      <c r="BW734" s="18">
        <f>[1]monsters!$R734</f>
        <v>85.33</v>
      </c>
      <c r="BX734" s="18">
        <f>[1]monsters!$S734</f>
        <v>8.5299999999999994</v>
      </c>
      <c r="BY734" s="18">
        <f>[1]monsters!$K734</f>
        <v>1.5</v>
      </c>
      <c r="BZ734" s="5">
        <f>[1]monsters!$D734</f>
        <v>2</v>
      </c>
      <c r="CA734" s="5">
        <f t="shared" si="462"/>
        <v>0.1</v>
      </c>
      <c r="CB734" s="5">
        <f t="shared" si="463"/>
        <v>345.35434343434343</v>
      </c>
      <c r="CC734" s="5">
        <f t="shared" si="464"/>
        <v>34.535434343434346</v>
      </c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R734" s="3" t="b">
        <f t="shared" si="476"/>
        <v>1</v>
      </c>
      <c r="CS734" s="3" t="b">
        <f t="shared" si="477"/>
        <v>1</v>
      </c>
      <c r="CT734" s="3" t="b">
        <f t="shared" si="478"/>
        <v>1</v>
      </c>
      <c r="CU734" s="3" t="b">
        <f t="shared" si="479"/>
        <v>1</v>
      </c>
      <c r="CV734" s="3" t="b">
        <f t="shared" si="480"/>
        <v>1</v>
      </c>
      <c r="CW734" s="3" t="b">
        <f t="shared" si="481"/>
        <v>1</v>
      </c>
      <c r="CX734" s="9" t="str">
        <f t="shared" si="482"/>
        <v>5200132</v>
      </c>
      <c r="CY734" s="9" t="str">
        <f t="shared" si="483"/>
        <v>5200133</v>
      </c>
      <c r="CZ734" s="9" t="str">
        <f t="shared" si="484"/>
        <v>5200132</v>
      </c>
      <c r="DA734" s="9" t="str">
        <f t="shared" si="485"/>
        <v>5501135</v>
      </c>
      <c r="DB734" s="9" t="str">
        <f t="shared" si="486"/>
        <v>5401131</v>
      </c>
      <c r="DC734" s="9" t="str">
        <f t="shared" si="487"/>
        <v>5502131</v>
      </c>
      <c r="DD734" s="9">
        <v>13</v>
      </c>
      <c r="DE734" s="9">
        <v>13</v>
      </c>
      <c r="DF734" s="9">
        <v>13</v>
      </c>
      <c r="DG734" s="9">
        <v>13</v>
      </c>
      <c r="DH734" s="9">
        <v>13</v>
      </c>
      <c r="DI734" s="9">
        <v>13</v>
      </c>
      <c r="DJ734" s="9">
        <v>5</v>
      </c>
      <c r="DK734" s="9">
        <v>5</v>
      </c>
      <c r="DL734" s="9">
        <v>5</v>
      </c>
      <c r="DM734" s="9">
        <v>5</v>
      </c>
      <c r="DN734" s="9">
        <v>5</v>
      </c>
      <c r="DO734" s="9">
        <v>5</v>
      </c>
      <c r="DP734" s="3" t="s">
        <v>199</v>
      </c>
      <c r="DQ734" s="3" t="s">
        <v>113</v>
      </c>
      <c r="DR734" s="3" t="s">
        <v>199</v>
      </c>
      <c r="DS734" s="25" t="s">
        <v>209</v>
      </c>
      <c r="DT734" s="25" t="s">
        <v>117</v>
      </c>
      <c r="DU734" s="25" t="s">
        <v>119</v>
      </c>
      <c r="DV734" s="25">
        <f t="shared" si="488"/>
        <v>1</v>
      </c>
      <c r="DW734" s="25">
        <f t="shared" si="489"/>
        <v>1</v>
      </c>
      <c r="DX734" s="25">
        <f t="shared" si="490"/>
        <v>1</v>
      </c>
      <c r="DY734" s="25">
        <f t="shared" si="491"/>
        <v>2</v>
      </c>
      <c r="DZ734" s="25">
        <f t="shared" si="492"/>
        <v>2</v>
      </c>
      <c r="EA734" s="25">
        <f t="shared" si="493"/>
        <v>2</v>
      </c>
      <c r="EB734" s="47"/>
    </row>
    <row r="735" spans="1:132" ht="13.5" customHeight="1">
      <c r="A735" s="9">
        <v>732</v>
      </c>
      <c r="B735" s="9">
        <v>1</v>
      </c>
      <c r="C735" s="9">
        <v>2001</v>
      </c>
      <c r="D735" s="9">
        <f t="shared" si="466"/>
        <v>43920223</v>
      </c>
      <c r="E735" s="9" t="str">
        <f t="shared" si="467"/>
        <v>5201131,5201132,5202131,5401131,5401133,5401132</v>
      </c>
      <c r="F735" s="9" t="str">
        <f t="shared" si="468"/>
        <v>13,13,13,13,13,13</v>
      </c>
      <c r="G735" s="9" t="str">
        <f t="shared" si="469"/>
        <v>1538,1662,1662,1662,1662,1662</v>
      </c>
      <c r="H735" s="9">
        <v>332</v>
      </c>
      <c r="I735" s="9" t="s">
        <v>278</v>
      </c>
      <c r="J735" s="9" t="s">
        <v>279</v>
      </c>
      <c r="K735" s="9" t="s">
        <v>279</v>
      </c>
      <c r="L735" s="9" t="s">
        <v>279</v>
      </c>
      <c r="M735" s="36" t="s">
        <v>319</v>
      </c>
      <c r="O735" s="3">
        <f t="shared" si="461"/>
        <v>43920223</v>
      </c>
      <c r="P735" s="9">
        <v>33272895.949999999</v>
      </c>
      <c r="Q735" s="9">
        <v>5201131</v>
      </c>
      <c r="R735" s="9">
        <v>5201132</v>
      </c>
      <c r="S735" s="9">
        <v>5202131</v>
      </c>
      <c r="T735" s="9">
        <v>5401131</v>
      </c>
      <c r="U735" s="9">
        <v>5401133</v>
      </c>
      <c r="V735" s="9">
        <v>5401132</v>
      </c>
      <c r="W735" s="9">
        <v>13</v>
      </c>
      <c r="X735" s="9">
        <v>13</v>
      </c>
      <c r="Y735" s="9">
        <v>13</v>
      </c>
      <c r="Z735" s="9">
        <v>13</v>
      </c>
      <c r="AA735" s="9">
        <v>13</v>
      </c>
      <c r="AB735" s="9">
        <v>13</v>
      </c>
      <c r="AC735" s="9">
        <f t="shared" si="470"/>
        <v>1538</v>
      </c>
      <c r="AD735" s="9">
        <f t="shared" si="471"/>
        <v>1662</v>
      </c>
      <c r="AE735" s="9">
        <f t="shared" si="472"/>
        <v>1662</v>
      </c>
      <c r="AF735" s="9">
        <f t="shared" si="473"/>
        <v>1662</v>
      </c>
      <c r="AG735" s="9">
        <f t="shared" si="474"/>
        <v>1662</v>
      </c>
      <c r="AH735" s="9">
        <f t="shared" si="475"/>
        <v>1662</v>
      </c>
      <c r="AI735" s="7">
        <f t="shared" si="465"/>
        <v>5545482.6583333332</v>
      </c>
      <c r="AJ735" s="7">
        <f t="shared" si="465"/>
        <v>5545482.6583333332</v>
      </c>
      <c r="AK735" s="7">
        <f t="shared" si="465"/>
        <v>5545482.6583333332</v>
      </c>
      <c r="AL735" s="7">
        <f t="shared" si="465"/>
        <v>5545482.6583333332</v>
      </c>
      <c r="AM735" s="7">
        <f t="shared" si="465"/>
        <v>5545482.6583333332</v>
      </c>
      <c r="AN735" s="7">
        <f t="shared" si="465"/>
        <v>5545482.6583333332</v>
      </c>
      <c r="BR735" s="5">
        <v>5101062</v>
      </c>
      <c r="BS735" s="18">
        <f>[1]monsters!$N735</f>
        <v>256</v>
      </c>
      <c r="BT735" s="18">
        <f>[1]monsters!$O735</f>
        <v>25.6</v>
      </c>
      <c r="BU735" s="18">
        <f>[1]monsters!$P735</f>
        <v>3072</v>
      </c>
      <c r="BV735" s="18">
        <f>[1]monsters!$Q735</f>
        <v>307.2</v>
      </c>
      <c r="BW735" s="18">
        <f>[1]monsters!$R735</f>
        <v>85.33</v>
      </c>
      <c r="BX735" s="18">
        <f>[1]monsters!$S735</f>
        <v>8.5299999999999994</v>
      </c>
      <c r="BY735" s="18">
        <f>[1]monsters!$K735</f>
        <v>1.5</v>
      </c>
      <c r="BZ735" s="5">
        <f>[1]monsters!$D735</f>
        <v>2</v>
      </c>
      <c r="CA735" s="5">
        <f t="shared" si="462"/>
        <v>0.1</v>
      </c>
      <c r="CB735" s="5">
        <f t="shared" si="463"/>
        <v>345.35434343434343</v>
      </c>
      <c r="CC735" s="5">
        <f t="shared" si="464"/>
        <v>34.535434343434346</v>
      </c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R735" s="3" t="b">
        <f t="shared" si="476"/>
        <v>1</v>
      </c>
      <c r="CS735" s="3" t="b">
        <f t="shared" si="477"/>
        <v>1</v>
      </c>
      <c r="CT735" s="3" t="b">
        <f t="shared" si="478"/>
        <v>1</v>
      </c>
      <c r="CU735" s="3" t="b">
        <f t="shared" si="479"/>
        <v>1</v>
      </c>
      <c r="CV735" s="3" t="b">
        <f t="shared" si="480"/>
        <v>1</v>
      </c>
      <c r="CW735" s="3" t="b">
        <f t="shared" si="481"/>
        <v>1</v>
      </c>
      <c r="CX735" s="9" t="str">
        <f t="shared" si="482"/>
        <v>5201131</v>
      </c>
      <c r="CY735" s="9" t="str">
        <f t="shared" si="483"/>
        <v>5201132</v>
      </c>
      <c r="CZ735" s="9" t="str">
        <f t="shared" si="484"/>
        <v>5202131</v>
      </c>
      <c r="DA735" s="9" t="str">
        <f t="shared" si="485"/>
        <v>5401131</v>
      </c>
      <c r="DB735" s="9" t="str">
        <f t="shared" si="486"/>
        <v>5401133</v>
      </c>
      <c r="DC735" s="9" t="str">
        <f t="shared" si="487"/>
        <v>5401132</v>
      </c>
      <c r="DD735" s="9">
        <v>13</v>
      </c>
      <c r="DE735" s="9">
        <v>13</v>
      </c>
      <c r="DF735" s="9">
        <v>13</v>
      </c>
      <c r="DG735" s="9">
        <v>13</v>
      </c>
      <c r="DH735" s="9">
        <v>13</v>
      </c>
      <c r="DI735" s="9">
        <v>13</v>
      </c>
      <c r="DJ735" s="9">
        <v>5</v>
      </c>
      <c r="DK735" s="9">
        <v>5</v>
      </c>
      <c r="DL735" s="9">
        <v>5</v>
      </c>
      <c r="DM735" s="9">
        <v>5</v>
      </c>
      <c r="DN735" s="9">
        <v>5</v>
      </c>
      <c r="DO735" s="9">
        <v>5</v>
      </c>
      <c r="DP735" s="3" t="s">
        <v>195</v>
      </c>
      <c r="DQ735" s="3" t="s">
        <v>114</v>
      </c>
      <c r="DR735" s="3" t="s">
        <v>111</v>
      </c>
      <c r="DS735" s="3" t="s">
        <v>117</v>
      </c>
      <c r="DT735" s="3" t="s">
        <v>211</v>
      </c>
      <c r="DU735" s="3" t="s">
        <v>202</v>
      </c>
      <c r="DV735" s="25">
        <f t="shared" si="488"/>
        <v>1</v>
      </c>
      <c r="DW735" s="25">
        <f t="shared" si="489"/>
        <v>1</v>
      </c>
      <c r="DX735" s="25">
        <f t="shared" si="490"/>
        <v>1</v>
      </c>
      <c r="DY735" s="25">
        <f t="shared" si="491"/>
        <v>2</v>
      </c>
      <c r="DZ735" s="25">
        <f t="shared" si="492"/>
        <v>2</v>
      </c>
      <c r="EA735" s="25">
        <f t="shared" si="493"/>
        <v>2</v>
      </c>
      <c r="EB735" s="47"/>
    </row>
    <row r="736" spans="1:132" ht="13.5" customHeight="1">
      <c r="A736" s="9">
        <v>733</v>
      </c>
      <c r="B736" s="9">
        <v>1</v>
      </c>
      <c r="C736" s="9">
        <v>2001</v>
      </c>
      <c r="D736" s="9">
        <f t="shared" si="466"/>
        <v>44022526</v>
      </c>
      <c r="E736" s="9" t="str">
        <f t="shared" si="467"/>
        <v>5300135,5202135,5202135,5501134,5500133,5501134</v>
      </c>
      <c r="F736" s="9" t="str">
        <f t="shared" si="468"/>
        <v>13,13,13,13,13,13</v>
      </c>
      <c r="G736" s="9" t="str">
        <f t="shared" si="469"/>
        <v>1540,1664,1664,1664,1664,1664</v>
      </c>
      <c r="H736" s="9">
        <v>333</v>
      </c>
      <c r="I736" s="9" t="s">
        <v>278</v>
      </c>
      <c r="J736" s="9" t="s">
        <v>279</v>
      </c>
      <c r="K736" s="9" t="s">
        <v>279</v>
      </c>
      <c r="L736" s="9" t="s">
        <v>279</v>
      </c>
      <c r="M736" s="36" t="s">
        <v>319</v>
      </c>
      <c r="O736" s="3">
        <f t="shared" si="461"/>
        <v>44022526</v>
      </c>
      <c r="P736" s="9">
        <v>33350398.359999999</v>
      </c>
      <c r="Q736" s="9">
        <v>5300135</v>
      </c>
      <c r="R736" s="9">
        <v>5202135</v>
      </c>
      <c r="S736" s="9">
        <v>5202135</v>
      </c>
      <c r="T736" s="9">
        <v>5501134</v>
      </c>
      <c r="U736" s="9">
        <v>5500133</v>
      </c>
      <c r="V736" s="9">
        <v>5501134</v>
      </c>
      <c r="W736" s="9">
        <v>13</v>
      </c>
      <c r="X736" s="9">
        <v>13</v>
      </c>
      <c r="Y736" s="9">
        <v>13</v>
      </c>
      <c r="Z736" s="9">
        <v>13</v>
      </c>
      <c r="AA736" s="9">
        <v>13</v>
      </c>
      <c r="AB736" s="9">
        <v>13</v>
      </c>
      <c r="AC736" s="9">
        <f t="shared" si="470"/>
        <v>1540</v>
      </c>
      <c r="AD736" s="9">
        <f t="shared" si="471"/>
        <v>1664</v>
      </c>
      <c r="AE736" s="9">
        <f t="shared" si="472"/>
        <v>1664</v>
      </c>
      <c r="AF736" s="9">
        <f t="shared" si="473"/>
        <v>1664</v>
      </c>
      <c r="AG736" s="9">
        <f t="shared" si="474"/>
        <v>1664</v>
      </c>
      <c r="AH736" s="9">
        <f t="shared" si="475"/>
        <v>1664</v>
      </c>
      <c r="AI736" s="7">
        <f t="shared" si="465"/>
        <v>5558399.7266666666</v>
      </c>
      <c r="AJ736" s="7">
        <f t="shared" si="465"/>
        <v>5558399.7266666666</v>
      </c>
      <c r="AK736" s="7">
        <f t="shared" si="465"/>
        <v>5558399.7266666666</v>
      </c>
      <c r="AL736" s="7">
        <f t="shared" si="465"/>
        <v>5558399.7266666666</v>
      </c>
      <c r="AM736" s="7">
        <f t="shared" si="465"/>
        <v>5558399.7266666666</v>
      </c>
      <c r="AN736" s="7">
        <f t="shared" si="465"/>
        <v>5558399.7266666666</v>
      </c>
      <c r="BR736" s="5">
        <v>5102062</v>
      </c>
      <c r="BS736" s="18">
        <f>[1]monsters!$N736</f>
        <v>256</v>
      </c>
      <c r="BT736" s="18">
        <f>[1]monsters!$O736</f>
        <v>25.6</v>
      </c>
      <c r="BU736" s="18">
        <f>[1]monsters!$P736</f>
        <v>3072</v>
      </c>
      <c r="BV736" s="18">
        <f>[1]monsters!$Q736</f>
        <v>307.2</v>
      </c>
      <c r="BW736" s="18">
        <f>[1]monsters!$R736</f>
        <v>85.33</v>
      </c>
      <c r="BX736" s="18">
        <f>[1]monsters!$S736</f>
        <v>8.5299999999999994</v>
      </c>
      <c r="BY736" s="18">
        <f>[1]monsters!$K736</f>
        <v>1.5</v>
      </c>
      <c r="BZ736" s="5">
        <f>[1]monsters!$D736</f>
        <v>2</v>
      </c>
      <c r="CA736" s="5">
        <f t="shared" si="462"/>
        <v>0.1</v>
      </c>
      <c r="CB736" s="5">
        <f t="shared" si="463"/>
        <v>345.35434343434343</v>
      </c>
      <c r="CC736" s="5">
        <f t="shared" si="464"/>
        <v>34.535434343434346</v>
      </c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R736" s="3" t="b">
        <f t="shared" si="476"/>
        <v>1</v>
      </c>
      <c r="CS736" s="3" t="b">
        <f t="shared" si="477"/>
        <v>1</v>
      </c>
      <c r="CT736" s="3" t="b">
        <f t="shared" si="478"/>
        <v>1</v>
      </c>
      <c r="CU736" s="3" t="b">
        <f t="shared" si="479"/>
        <v>1</v>
      </c>
      <c r="CV736" s="3" t="b">
        <f t="shared" si="480"/>
        <v>1</v>
      </c>
      <c r="CW736" s="3" t="b">
        <f t="shared" si="481"/>
        <v>1</v>
      </c>
      <c r="CX736" s="9" t="str">
        <f t="shared" si="482"/>
        <v>5300135</v>
      </c>
      <c r="CY736" s="9" t="str">
        <f t="shared" si="483"/>
        <v>5202135</v>
      </c>
      <c r="CZ736" s="9" t="str">
        <f t="shared" si="484"/>
        <v>5202135</v>
      </c>
      <c r="DA736" s="9" t="str">
        <f t="shared" si="485"/>
        <v>5501134</v>
      </c>
      <c r="DB736" s="9" t="str">
        <f t="shared" si="486"/>
        <v>5500133</v>
      </c>
      <c r="DC736" s="9" t="str">
        <f t="shared" si="487"/>
        <v>5501134</v>
      </c>
      <c r="DD736" s="9">
        <v>13</v>
      </c>
      <c r="DE736" s="9">
        <v>13</v>
      </c>
      <c r="DF736" s="9">
        <v>13</v>
      </c>
      <c r="DG736" s="9">
        <v>13</v>
      </c>
      <c r="DH736" s="9">
        <v>13</v>
      </c>
      <c r="DI736" s="9">
        <v>13</v>
      </c>
      <c r="DJ736" s="9">
        <v>5</v>
      </c>
      <c r="DK736" s="9">
        <v>5</v>
      </c>
      <c r="DL736" s="9">
        <v>5</v>
      </c>
      <c r="DM736" s="9">
        <v>5</v>
      </c>
      <c r="DN736" s="9">
        <v>5</v>
      </c>
      <c r="DO736" s="9">
        <v>5</v>
      </c>
      <c r="DP736" s="3" t="s">
        <v>212</v>
      </c>
      <c r="DQ736" s="3" t="s">
        <v>213</v>
      </c>
      <c r="DR736" s="3" t="s">
        <v>213</v>
      </c>
      <c r="DS736" s="3" t="s">
        <v>214</v>
      </c>
      <c r="DT736" s="3" t="s">
        <v>207</v>
      </c>
      <c r="DU736" s="3" t="s">
        <v>214</v>
      </c>
      <c r="DV736" s="25">
        <f t="shared" si="488"/>
        <v>1</v>
      </c>
      <c r="DW736" s="25">
        <f t="shared" si="489"/>
        <v>1</v>
      </c>
      <c r="DX736" s="25">
        <f t="shared" si="490"/>
        <v>1</v>
      </c>
      <c r="DY736" s="25">
        <f t="shared" si="491"/>
        <v>2</v>
      </c>
      <c r="DZ736" s="25">
        <f t="shared" si="492"/>
        <v>2</v>
      </c>
      <c r="EA736" s="25">
        <f t="shared" si="493"/>
        <v>2</v>
      </c>
      <c r="EB736" s="47"/>
    </row>
    <row r="737" spans="1:132" ht="13.5" customHeight="1">
      <c r="A737" s="9">
        <v>734</v>
      </c>
      <c r="B737" s="9">
        <v>1</v>
      </c>
      <c r="C737" s="9">
        <v>2001</v>
      </c>
      <c r="D737" s="9">
        <f t="shared" si="466"/>
        <v>44124946</v>
      </c>
      <c r="E737" s="9" t="str">
        <f t="shared" si="467"/>
        <v>5201131,5201131,5200132,5502132,5501134,5501134</v>
      </c>
      <c r="F737" s="9" t="str">
        <f t="shared" si="468"/>
        <v>13,13,13,13,13,13</v>
      </c>
      <c r="G737" s="9" t="str">
        <f t="shared" si="469"/>
        <v>1542,1666,1666,1666,1666,1666</v>
      </c>
      <c r="H737" s="9">
        <v>333</v>
      </c>
      <c r="I737" s="9" t="s">
        <v>278</v>
      </c>
      <c r="J737" s="9" t="s">
        <v>279</v>
      </c>
      <c r="K737" s="9" t="s">
        <v>279</v>
      </c>
      <c r="L737" s="9" t="s">
        <v>279</v>
      </c>
      <c r="M737" s="36" t="s">
        <v>319</v>
      </c>
      <c r="O737" s="3">
        <f t="shared" si="461"/>
        <v>44124946</v>
      </c>
      <c r="P737" s="9">
        <v>33427989.390000001</v>
      </c>
      <c r="Q737" s="9">
        <v>5201131</v>
      </c>
      <c r="R737" s="9">
        <v>5201131</v>
      </c>
      <c r="S737" s="9">
        <v>5200132</v>
      </c>
      <c r="T737" s="9">
        <v>5502132</v>
      </c>
      <c r="U737" s="9">
        <v>5501134</v>
      </c>
      <c r="V737" s="9">
        <v>5501134</v>
      </c>
      <c r="W737" s="9">
        <v>13</v>
      </c>
      <c r="X737" s="9">
        <v>13</v>
      </c>
      <c r="Y737" s="9">
        <v>13</v>
      </c>
      <c r="Z737" s="9">
        <v>13</v>
      </c>
      <c r="AA737" s="9">
        <v>13</v>
      </c>
      <c r="AB737" s="9">
        <v>13</v>
      </c>
      <c r="AC737" s="9">
        <f t="shared" si="470"/>
        <v>1542</v>
      </c>
      <c r="AD737" s="9">
        <f t="shared" si="471"/>
        <v>1666</v>
      </c>
      <c r="AE737" s="9">
        <f t="shared" si="472"/>
        <v>1666</v>
      </c>
      <c r="AF737" s="9">
        <f t="shared" si="473"/>
        <v>1666</v>
      </c>
      <c r="AG737" s="9">
        <f t="shared" si="474"/>
        <v>1666</v>
      </c>
      <c r="AH737" s="9">
        <f t="shared" si="475"/>
        <v>1666</v>
      </c>
      <c r="AI737" s="7">
        <f t="shared" si="465"/>
        <v>5571331.5650000004</v>
      </c>
      <c r="AJ737" s="7">
        <f t="shared" si="465"/>
        <v>5571331.5650000004</v>
      </c>
      <c r="AK737" s="7">
        <f t="shared" si="465"/>
        <v>5571331.5650000004</v>
      </c>
      <c r="AL737" s="7">
        <f t="shared" si="465"/>
        <v>5571331.5650000004</v>
      </c>
      <c r="AM737" s="7">
        <f t="shared" si="465"/>
        <v>5571331.5650000004</v>
      </c>
      <c r="AN737" s="7">
        <f t="shared" si="465"/>
        <v>5571331.5650000004</v>
      </c>
      <c r="BR737" s="5">
        <v>5206063</v>
      </c>
      <c r="BS737" s="18">
        <f>[1]monsters!$N737</f>
        <v>85.33</v>
      </c>
      <c r="BT737" s="18">
        <f>[1]monsters!$O737</f>
        <v>8.5299999999999994</v>
      </c>
      <c r="BU737" s="18">
        <f>[1]monsters!$P737</f>
        <v>960</v>
      </c>
      <c r="BV737" s="18">
        <f>[1]monsters!$Q737</f>
        <v>96</v>
      </c>
      <c r="BW737" s="18">
        <f>[1]monsters!$R737</f>
        <v>28.44</v>
      </c>
      <c r="BX737" s="18">
        <f>[1]monsters!$S737</f>
        <v>2.84</v>
      </c>
      <c r="BY737" s="18">
        <f>[1]monsters!$K737</f>
        <v>1.6</v>
      </c>
      <c r="BZ737" s="5">
        <f>[1]monsters!$D737</f>
        <v>2</v>
      </c>
      <c r="CA737" s="5">
        <f t="shared" si="462"/>
        <v>0.1</v>
      </c>
      <c r="CB737" s="5">
        <f t="shared" si="463"/>
        <v>112.96008232323233</v>
      </c>
      <c r="CC737" s="5">
        <f t="shared" si="464"/>
        <v>11.296008232323233</v>
      </c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R737" s="3" t="b">
        <f t="shared" si="476"/>
        <v>1</v>
      </c>
      <c r="CS737" s="3" t="b">
        <f t="shared" si="477"/>
        <v>1</v>
      </c>
      <c r="CT737" s="3" t="b">
        <f t="shared" si="478"/>
        <v>1</v>
      </c>
      <c r="CU737" s="3" t="b">
        <f t="shared" si="479"/>
        <v>1</v>
      </c>
      <c r="CV737" s="3" t="b">
        <f t="shared" si="480"/>
        <v>1</v>
      </c>
      <c r="CW737" s="3" t="b">
        <f t="shared" si="481"/>
        <v>1</v>
      </c>
      <c r="CX737" s="9" t="str">
        <f t="shared" si="482"/>
        <v>5201131</v>
      </c>
      <c r="CY737" s="9" t="str">
        <f t="shared" si="483"/>
        <v>5201131</v>
      </c>
      <c r="CZ737" s="9" t="str">
        <f t="shared" si="484"/>
        <v>5200132</v>
      </c>
      <c r="DA737" s="9" t="str">
        <f t="shared" si="485"/>
        <v>5502132</v>
      </c>
      <c r="DB737" s="9" t="str">
        <f t="shared" si="486"/>
        <v>5501134</v>
      </c>
      <c r="DC737" s="9" t="str">
        <f t="shared" si="487"/>
        <v>5501134</v>
      </c>
      <c r="DD737" s="9">
        <v>13</v>
      </c>
      <c r="DE737" s="9">
        <v>13</v>
      </c>
      <c r="DF737" s="9">
        <v>13</v>
      </c>
      <c r="DG737" s="9">
        <v>13</v>
      </c>
      <c r="DH737" s="9">
        <v>13</v>
      </c>
      <c r="DI737" s="9">
        <v>13</v>
      </c>
      <c r="DJ737" s="9">
        <v>5</v>
      </c>
      <c r="DK737" s="9">
        <v>5</v>
      </c>
      <c r="DL737" s="9">
        <v>5</v>
      </c>
      <c r="DM737" s="9">
        <v>5</v>
      </c>
      <c r="DN737" s="9">
        <v>5</v>
      </c>
      <c r="DO737" s="9">
        <v>5</v>
      </c>
      <c r="DP737" s="3" t="s">
        <v>195</v>
      </c>
      <c r="DQ737" s="3" t="s">
        <v>195</v>
      </c>
      <c r="DR737" s="3" t="s">
        <v>199</v>
      </c>
      <c r="DS737" s="3" t="s">
        <v>204</v>
      </c>
      <c r="DT737" s="3" t="s">
        <v>214</v>
      </c>
      <c r="DU737" s="3" t="s">
        <v>214</v>
      </c>
      <c r="DV737" s="25">
        <f t="shared" si="488"/>
        <v>1</v>
      </c>
      <c r="DW737" s="25">
        <f t="shared" si="489"/>
        <v>1</v>
      </c>
      <c r="DX737" s="25">
        <f t="shared" si="490"/>
        <v>1</v>
      </c>
      <c r="DY737" s="25">
        <f t="shared" si="491"/>
        <v>2</v>
      </c>
      <c r="DZ737" s="25">
        <f t="shared" si="492"/>
        <v>2</v>
      </c>
      <c r="EA737" s="25">
        <f t="shared" si="493"/>
        <v>2</v>
      </c>
      <c r="EB737" s="29"/>
    </row>
    <row r="738" spans="1:132" ht="13.5" customHeight="1">
      <c r="A738" s="9">
        <v>735</v>
      </c>
      <c r="B738" s="9">
        <v>1</v>
      </c>
      <c r="C738" s="9">
        <v>2001</v>
      </c>
      <c r="D738" s="9">
        <f t="shared" si="466"/>
        <v>44227486</v>
      </c>
      <c r="E738" s="9" t="str">
        <f t="shared" si="467"/>
        <v>5202133,5202132,5202133,5400135,5401131,5502131</v>
      </c>
      <c r="F738" s="9" t="str">
        <f t="shared" si="468"/>
        <v>13,13,13,13,13,13</v>
      </c>
      <c r="G738" s="9" t="str">
        <f t="shared" si="469"/>
        <v>1544,1668,1668,1668,1668,1668</v>
      </c>
      <c r="H738" s="9">
        <v>334</v>
      </c>
      <c r="I738" s="9" t="s">
        <v>278</v>
      </c>
      <c r="J738" s="9" t="s">
        <v>279</v>
      </c>
      <c r="K738" s="9" t="s">
        <v>279</v>
      </c>
      <c r="L738" s="9" t="s">
        <v>279</v>
      </c>
      <c r="M738" s="36" t="s">
        <v>319</v>
      </c>
      <c r="O738" s="3">
        <f t="shared" si="461"/>
        <v>44227486</v>
      </c>
      <c r="P738" s="9">
        <v>33505671.149999999</v>
      </c>
      <c r="Q738" s="9">
        <v>5202133</v>
      </c>
      <c r="R738" s="9">
        <v>5202132</v>
      </c>
      <c r="S738" s="9">
        <v>5202133</v>
      </c>
      <c r="T738" s="9">
        <v>5400135</v>
      </c>
      <c r="U738" s="9">
        <v>5401131</v>
      </c>
      <c r="V738" s="9">
        <v>5502131</v>
      </c>
      <c r="W738" s="9">
        <v>13</v>
      </c>
      <c r="X738" s="9">
        <v>13</v>
      </c>
      <c r="Y738" s="9">
        <v>13</v>
      </c>
      <c r="Z738" s="9">
        <v>13</v>
      </c>
      <c r="AA738" s="9">
        <v>13</v>
      </c>
      <c r="AB738" s="9">
        <v>13</v>
      </c>
      <c r="AC738" s="9">
        <f t="shared" si="470"/>
        <v>1544</v>
      </c>
      <c r="AD738" s="9">
        <f t="shared" si="471"/>
        <v>1668</v>
      </c>
      <c r="AE738" s="9">
        <f t="shared" si="472"/>
        <v>1668</v>
      </c>
      <c r="AF738" s="9">
        <f t="shared" si="473"/>
        <v>1668</v>
      </c>
      <c r="AG738" s="9">
        <f t="shared" si="474"/>
        <v>1668</v>
      </c>
      <c r="AH738" s="9">
        <f t="shared" si="475"/>
        <v>1668</v>
      </c>
      <c r="AI738" s="7">
        <f t="shared" si="465"/>
        <v>5584278.5249999994</v>
      </c>
      <c r="AJ738" s="7">
        <f t="shared" si="465"/>
        <v>5584278.5249999994</v>
      </c>
      <c r="AK738" s="7">
        <f t="shared" si="465"/>
        <v>5584278.5249999994</v>
      </c>
      <c r="AL738" s="7">
        <f t="shared" si="465"/>
        <v>5584278.5249999994</v>
      </c>
      <c r="AM738" s="7">
        <f t="shared" si="465"/>
        <v>5584278.5249999994</v>
      </c>
      <c r="AN738" s="7">
        <f t="shared" si="465"/>
        <v>5584278.5249999994</v>
      </c>
      <c r="BR738" s="5">
        <v>5406063</v>
      </c>
      <c r="BS738" s="18">
        <f>[1]monsters!$N738</f>
        <v>85.33</v>
      </c>
      <c r="BT738" s="18">
        <f>[1]monsters!$O738</f>
        <v>8.5299999999999994</v>
      </c>
      <c r="BU738" s="18">
        <f>[1]monsters!$P738</f>
        <v>960</v>
      </c>
      <c r="BV738" s="18">
        <f>[1]monsters!$Q738</f>
        <v>96</v>
      </c>
      <c r="BW738" s="18">
        <f>[1]monsters!$R738</f>
        <v>28.44</v>
      </c>
      <c r="BX738" s="18">
        <f>[1]monsters!$S738</f>
        <v>2.84</v>
      </c>
      <c r="BY738" s="18">
        <f>[1]monsters!$K738</f>
        <v>1.6</v>
      </c>
      <c r="BZ738" s="5">
        <f>[1]monsters!$D738</f>
        <v>2</v>
      </c>
      <c r="CA738" s="5">
        <f t="shared" si="462"/>
        <v>0.1</v>
      </c>
      <c r="CB738" s="5">
        <f t="shared" si="463"/>
        <v>112.96008232323233</v>
      </c>
      <c r="CC738" s="5">
        <f t="shared" si="464"/>
        <v>11.296008232323233</v>
      </c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R738" s="3" t="b">
        <f t="shared" si="476"/>
        <v>1</v>
      </c>
      <c r="CS738" s="3" t="b">
        <f t="shared" si="477"/>
        <v>1</v>
      </c>
      <c r="CT738" s="3" t="b">
        <f t="shared" si="478"/>
        <v>1</v>
      </c>
      <c r="CU738" s="3" t="b">
        <f t="shared" si="479"/>
        <v>1</v>
      </c>
      <c r="CV738" s="3" t="b">
        <f t="shared" si="480"/>
        <v>1</v>
      </c>
      <c r="CW738" s="3" t="b">
        <f t="shared" si="481"/>
        <v>1</v>
      </c>
      <c r="CX738" s="9" t="str">
        <f t="shared" si="482"/>
        <v>5202133</v>
      </c>
      <c r="CY738" s="9" t="str">
        <f t="shared" si="483"/>
        <v>5202132</v>
      </c>
      <c r="CZ738" s="9" t="str">
        <f t="shared" si="484"/>
        <v>5202133</v>
      </c>
      <c r="DA738" s="9" t="str">
        <f t="shared" si="485"/>
        <v>5400135</v>
      </c>
      <c r="DB738" s="9" t="str">
        <f t="shared" si="486"/>
        <v>5401131</v>
      </c>
      <c r="DC738" s="9" t="str">
        <f t="shared" si="487"/>
        <v>5502131</v>
      </c>
      <c r="DD738" s="9">
        <v>13</v>
      </c>
      <c r="DE738" s="9">
        <v>13</v>
      </c>
      <c r="DF738" s="9">
        <v>13</v>
      </c>
      <c r="DG738" s="9">
        <v>13</v>
      </c>
      <c r="DH738" s="9">
        <v>13</v>
      </c>
      <c r="DI738" s="9">
        <v>13</v>
      </c>
      <c r="DJ738" s="9">
        <v>5</v>
      </c>
      <c r="DK738" s="9">
        <v>5</v>
      </c>
      <c r="DL738" s="9">
        <v>5</v>
      </c>
      <c r="DM738" s="9">
        <v>5</v>
      </c>
      <c r="DN738" s="9">
        <v>5</v>
      </c>
      <c r="DO738" s="9">
        <v>5</v>
      </c>
      <c r="DP738" s="25" t="s">
        <v>208</v>
      </c>
      <c r="DQ738" s="25" t="s">
        <v>200</v>
      </c>
      <c r="DR738" s="25" t="s">
        <v>208</v>
      </c>
      <c r="DS738" s="25" t="s">
        <v>210</v>
      </c>
      <c r="DT738" s="25" t="s">
        <v>117</v>
      </c>
      <c r="DU738" s="25" t="s">
        <v>119</v>
      </c>
      <c r="DV738" s="25">
        <f t="shared" si="488"/>
        <v>1</v>
      </c>
      <c r="DW738" s="25">
        <f t="shared" si="489"/>
        <v>1</v>
      </c>
      <c r="DX738" s="25">
        <f t="shared" si="490"/>
        <v>1</v>
      </c>
      <c r="DY738" s="25">
        <f t="shared" si="491"/>
        <v>2</v>
      </c>
      <c r="DZ738" s="25">
        <f t="shared" si="492"/>
        <v>2</v>
      </c>
      <c r="EA738" s="25">
        <f t="shared" si="493"/>
        <v>2</v>
      </c>
      <c r="EB738" s="29"/>
    </row>
    <row r="739" spans="1:132" ht="13.5" customHeight="1">
      <c r="A739" s="9">
        <v>736</v>
      </c>
      <c r="B739" s="9">
        <v>1</v>
      </c>
      <c r="C739" s="9">
        <v>2001</v>
      </c>
      <c r="D739" s="9">
        <f t="shared" si="466"/>
        <v>44330148</v>
      </c>
      <c r="E739" s="9" t="str">
        <f t="shared" si="467"/>
        <v>5301131,5301132,5301133,5501134,5501135,5502133</v>
      </c>
      <c r="F739" s="9" t="str">
        <f t="shared" si="468"/>
        <v>13,13,13,13,13,13</v>
      </c>
      <c r="G739" s="9" t="str">
        <f t="shared" si="469"/>
        <v>1545,1670,1670,1670,1670,1670</v>
      </c>
      <c r="H739" s="9">
        <v>334</v>
      </c>
      <c r="I739" s="9" t="s">
        <v>278</v>
      </c>
      <c r="J739" s="9" t="s">
        <v>279</v>
      </c>
      <c r="K739" s="9" t="s">
        <v>279</v>
      </c>
      <c r="L739" s="9" t="s">
        <v>279</v>
      </c>
      <c r="M739" s="36" t="s">
        <v>319</v>
      </c>
      <c r="O739" s="3">
        <f t="shared" si="461"/>
        <v>44330148</v>
      </c>
      <c r="P739" s="9">
        <v>33583445.75</v>
      </c>
      <c r="Q739" s="9">
        <v>5301131</v>
      </c>
      <c r="R739" s="9">
        <v>5301132</v>
      </c>
      <c r="S739" s="9">
        <v>5301133</v>
      </c>
      <c r="T739" s="9">
        <v>5501134</v>
      </c>
      <c r="U739" s="9">
        <v>5501135</v>
      </c>
      <c r="V739" s="9">
        <v>5502133</v>
      </c>
      <c r="W739" s="9">
        <v>13</v>
      </c>
      <c r="X739" s="9">
        <v>13</v>
      </c>
      <c r="Y739" s="9">
        <v>13</v>
      </c>
      <c r="Z739" s="9">
        <v>13</v>
      </c>
      <c r="AA739" s="9">
        <v>13</v>
      </c>
      <c r="AB739" s="9">
        <v>13</v>
      </c>
      <c r="AC739" s="9">
        <f t="shared" si="470"/>
        <v>1545</v>
      </c>
      <c r="AD739" s="9">
        <f t="shared" si="471"/>
        <v>1670</v>
      </c>
      <c r="AE739" s="9">
        <f t="shared" si="472"/>
        <v>1670</v>
      </c>
      <c r="AF739" s="9">
        <f t="shared" si="473"/>
        <v>1670</v>
      </c>
      <c r="AG739" s="9">
        <f t="shared" si="474"/>
        <v>1670</v>
      </c>
      <c r="AH739" s="9">
        <f t="shared" si="475"/>
        <v>1670</v>
      </c>
      <c r="AI739" s="7">
        <f t="shared" si="465"/>
        <v>5597240.958333333</v>
      </c>
      <c r="AJ739" s="7">
        <f t="shared" si="465"/>
        <v>5597240.958333333</v>
      </c>
      <c r="AK739" s="7">
        <f t="shared" si="465"/>
        <v>5597240.958333333</v>
      </c>
      <c r="AL739" s="7">
        <f t="shared" si="465"/>
        <v>5597240.958333333</v>
      </c>
      <c r="AM739" s="7">
        <f t="shared" si="465"/>
        <v>5597240.958333333</v>
      </c>
      <c r="AN739" s="7">
        <f t="shared" si="465"/>
        <v>5597240.958333333</v>
      </c>
      <c r="BR739" s="5">
        <v>5205063</v>
      </c>
      <c r="BS739" s="18">
        <f>[1]monsters!$N739</f>
        <v>85.33</v>
      </c>
      <c r="BT739" s="18">
        <f>[1]monsters!$O739</f>
        <v>8.5299999999999994</v>
      </c>
      <c r="BU739" s="18">
        <f>[1]monsters!$P739</f>
        <v>960</v>
      </c>
      <c r="BV739" s="18">
        <f>[1]monsters!$Q739</f>
        <v>96</v>
      </c>
      <c r="BW739" s="18">
        <f>[1]monsters!$R739</f>
        <v>28.44</v>
      </c>
      <c r="BX739" s="18">
        <f>[1]monsters!$S739</f>
        <v>2.84</v>
      </c>
      <c r="BY739" s="18">
        <f>[1]monsters!$K739</f>
        <v>1.6</v>
      </c>
      <c r="BZ739" s="5">
        <f>[1]monsters!$D739</f>
        <v>2</v>
      </c>
      <c r="CA739" s="5">
        <f t="shared" si="462"/>
        <v>0.1</v>
      </c>
      <c r="CB739" s="5">
        <f t="shared" si="463"/>
        <v>112.96008232323233</v>
      </c>
      <c r="CC739" s="5">
        <f t="shared" si="464"/>
        <v>11.296008232323233</v>
      </c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R739" s="3" t="b">
        <f t="shared" si="476"/>
        <v>1</v>
      </c>
      <c r="CS739" s="3" t="b">
        <f t="shared" si="477"/>
        <v>1</v>
      </c>
      <c r="CT739" s="3" t="b">
        <f t="shared" si="478"/>
        <v>1</v>
      </c>
      <c r="CU739" s="3" t="b">
        <f t="shared" si="479"/>
        <v>1</v>
      </c>
      <c r="CV739" s="3" t="b">
        <f t="shared" si="480"/>
        <v>1</v>
      </c>
      <c r="CW739" s="3" t="b">
        <f t="shared" si="481"/>
        <v>1</v>
      </c>
      <c r="CX739" s="9" t="str">
        <f t="shared" si="482"/>
        <v>5301131</v>
      </c>
      <c r="CY739" s="9" t="str">
        <f t="shared" si="483"/>
        <v>5301132</v>
      </c>
      <c r="CZ739" s="9" t="str">
        <f t="shared" si="484"/>
        <v>5301133</v>
      </c>
      <c r="DA739" s="9" t="str">
        <f t="shared" si="485"/>
        <v>5501134</v>
      </c>
      <c r="DB739" s="9" t="str">
        <f t="shared" si="486"/>
        <v>5501135</v>
      </c>
      <c r="DC739" s="9" t="str">
        <f t="shared" si="487"/>
        <v>5502133</v>
      </c>
      <c r="DD739" s="9">
        <v>13</v>
      </c>
      <c r="DE739" s="9">
        <v>13</v>
      </c>
      <c r="DF739" s="9">
        <v>13</v>
      </c>
      <c r="DG739" s="9">
        <v>13</v>
      </c>
      <c r="DH739" s="9">
        <v>13</v>
      </c>
      <c r="DI739" s="9">
        <v>13</v>
      </c>
      <c r="DJ739" s="9">
        <v>5</v>
      </c>
      <c r="DK739" s="9">
        <v>5</v>
      </c>
      <c r="DL739" s="9">
        <v>5</v>
      </c>
      <c r="DM739" s="9">
        <v>5</v>
      </c>
      <c r="DN739" s="9">
        <v>5</v>
      </c>
      <c r="DO739" s="9">
        <v>5</v>
      </c>
      <c r="DP739" s="26" t="s">
        <v>107</v>
      </c>
      <c r="DQ739" s="26" t="s">
        <v>201</v>
      </c>
      <c r="DR739" s="26" t="s">
        <v>206</v>
      </c>
      <c r="DS739" s="26" t="s">
        <v>214</v>
      </c>
      <c r="DT739" s="26" t="s">
        <v>209</v>
      </c>
      <c r="DU739" s="26" t="s">
        <v>215</v>
      </c>
      <c r="DV739" s="25">
        <f t="shared" si="488"/>
        <v>1</v>
      </c>
      <c r="DW739" s="25">
        <f t="shared" si="489"/>
        <v>1</v>
      </c>
      <c r="DX739" s="25">
        <f t="shared" si="490"/>
        <v>1</v>
      </c>
      <c r="DY739" s="25">
        <f t="shared" si="491"/>
        <v>2</v>
      </c>
      <c r="DZ739" s="25">
        <f t="shared" si="492"/>
        <v>2</v>
      </c>
      <c r="EA739" s="25">
        <f t="shared" si="493"/>
        <v>2</v>
      </c>
      <c r="EB739" s="29"/>
    </row>
    <row r="740" spans="1:132" ht="13.5" customHeight="1">
      <c r="A740" s="9">
        <v>737</v>
      </c>
      <c r="B740" s="9">
        <v>1</v>
      </c>
      <c r="C740" s="9">
        <v>2001</v>
      </c>
      <c r="D740" s="9">
        <f t="shared" si="466"/>
        <v>44432928</v>
      </c>
      <c r="E740" s="9" t="str">
        <f t="shared" si="467"/>
        <v>5200132,5200133,5202132,5402132,5500133,5501134</v>
      </c>
      <c r="F740" s="9" t="str">
        <f t="shared" si="468"/>
        <v>13,13,13,13,13,13</v>
      </c>
      <c r="G740" s="9" t="str">
        <f t="shared" si="469"/>
        <v>1547,1672,1672,1672,1672,1672</v>
      </c>
      <c r="H740" s="9">
        <v>334</v>
      </c>
      <c r="I740" s="9" t="s">
        <v>278</v>
      </c>
      <c r="J740" s="9" t="s">
        <v>279</v>
      </c>
      <c r="K740" s="9" t="s">
        <v>279</v>
      </c>
      <c r="L740" s="9" t="s">
        <v>279</v>
      </c>
      <c r="M740" s="36" t="s">
        <v>319</v>
      </c>
      <c r="O740" s="3">
        <f t="shared" si="461"/>
        <v>44432928</v>
      </c>
      <c r="P740" s="9">
        <v>33661308.969999999</v>
      </c>
      <c r="Q740" s="9">
        <v>5200132</v>
      </c>
      <c r="R740" s="9">
        <v>5200133</v>
      </c>
      <c r="S740" s="9">
        <v>5202132</v>
      </c>
      <c r="T740" s="9">
        <v>5402132</v>
      </c>
      <c r="U740" s="9">
        <v>5500133</v>
      </c>
      <c r="V740" s="9">
        <v>5501134</v>
      </c>
      <c r="W740" s="9">
        <v>13</v>
      </c>
      <c r="X740" s="9">
        <v>13</v>
      </c>
      <c r="Y740" s="9">
        <v>13</v>
      </c>
      <c r="Z740" s="9">
        <v>13</v>
      </c>
      <c r="AA740" s="9">
        <v>13</v>
      </c>
      <c r="AB740" s="9">
        <v>13</v>
      </c>
      <c r="AC740" s="9">
        <f t="shared" si="470"/>
        <v>1547</v>
      </c>
      <c r="AD740" s="9">
        <f t="shared" si="471"/>
        <v>1672</v>
      </c>
      <c r="AE740" s="9">
        <f t="shared" si="472"/>
        <v>1672</v>
      </c>
      <c r="AF740" s="9">
        <f t="shared" si="473"/>
        <v>1672</v>
      </c>
      <c r="AG740" s="9">
        <f t="shared" si="474"/>
        <v>1672</v>
      </c>
      <c r="AH740" s="9">
        <f t="shared" si="475"/>
        <v>1672</v>
      </c>
      <c r="AI740" s="7">
        <f t="shared" si="465"/>
        <v>5610218.1616666662</v>
      </c>
      <c r="AJ740" s="7">
        <f t="shared" si="465"/>
        <v>5610218.1616666662</v>
      </c>
      <c r="AK740" s="7">
        <f t="shared" si="465"/>
        <v>5610218.1616666662</v>
      </c>
      <c r="AL740" s="7">
        <f t="shared" si="465"/>
        <v>5610218.1616666662</v>
      </c>
      <c r="AM740" s="7">
        <f t="shared" si="465"/>
        <v>5610218.1616666662</v>
      </c>
      <c r="AN740" s="7">
        <f t="shared" si="465"/>
        <v>5610218.1616666662</v>
      </c>
      <c r="BR740" s="5">
        <v>5405063</v>
      </c>
      <c r="BS740" s="18">
        <f>[1]monsters!$N740</f>
        <v>85.33</v>
      </c>
      <c r="BT740" s="18">
        <f>[1]monsters!$O740</f>
        <v>8.5299999999999994</v>
      </c>
      <c r="BU740" s="18">
        <f>[1]monsters!$P740</f>
        <v>960</v>
      </c>
      <c r="BV740" s="18">
        <f>[1]monsters!$Q740</f>
        <v>96</v>
      </c>
      <c r="BW740" s="18">
        <f>[1]monsters!$R740</f>
        <v>28.44</v>
      </c>
      <c r="BX740" s="18">
        <f>[1]monsters!$S740</f>
        <v>2.84</v>
      </c>
      <c r="BY740" s="18">
        <f>[1]monsters!$K740</f>
        <v>1.6</v>
      </c>
      <c r="BZ740" s="5">
        <f>[1]monsters!$D740</f>
        <v>2</v>
      </c>
      <c r="CA740" s="5">
        <f t="shared" si="462"/>
        <v>0.1</v>
      </c>
      <c r="CB740" s="5">
        <f t="shared" si="463"/>
        <v>112.96008232323233</v>
      </c>
      <c r="CC740" s="5">
        <f t="shared" si="464"/>
        <v>11.296008232323233</v>
      </c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R740" s="3" t="b">
        <f t="shared" si="476"/>
        <v>1</v>
      </c>
      <c r="CS740" s="3" t="b">
        <f t="shared" si="477"/>
        <v>1</v>
      </c>
      <c r="CT740" s="3" t="b">
        <f t="shared" si="478"/>
        <v>1</v>
      </c>
      <c r="CU740" s="3" t="b">
        <f t="shared" si="479"/>
        <v>1</v>
      </c>
      <c r="CV740" s="3" t="b">
        <f t="shared" si="480"/>
        <v>1</v>
      </c>
      <c r="CW740" s="3" t="b">
        <f t="shared" si="481"/>
        <v>1</v>
      </c>
      <c r="CX740" s="9" t="str">
        <f t="shared" si="482"/>
        <v>5200132</v>
      </c>
      <c r="CY740" s="9" t="str">
        <f t="shared" si="483"/>
        <v>5200133</v>
      </c>
      <c r="CZ740" s="9" t="str">
        <f t="shared" si="484"/>
        <v>5202132</v>
      </c>
      <c r="DA740" s="9" t="str">
        <f t="shared" si="485"/>
        <v>5402132</v>
      </c>
      <c r="DB740" s="9" t="str">
        <f t="shared" si="486"/>
        <v>5500133</v>
      </c>
      <c r="DC740" s="9" t="str">
        <f t="shared" si="487"/>
        <v>5501134</v>
      </c>
      <c r="DD740" s="9">
        <v>13</v>
      </c>
      <c r="DE740" s="9">
        <v>13</v>
      </c>
      <c r="DF740" s="9">
        <v>13</v>
      </c>
      <c r="DG740" s="9">
        <v>13</v>
      </c>
      <c r="DH740" s="9">
        <v>13</v>
      </c>
      <c r="DI740" s="9">
        <v>13</v>
      </c>
      <c r="DJ740" s="9">
        <v>5</v>
      </c>
      <c r="DK740" s="9">
        <v>5</v>
      </c>
      <c r="DL740" s="9">
        <v>5</v>
      </c>
      <c r="DM740" s="9">
        <v>5</v>
      </c>
      <c r="DN740" s="9">
        <v>5</v>
      </c>
      <c r="DO740" s="9">
        <v>5</v>
      </c>
      <c r="DP740" s="25" t="s">
        <v>199</v>
      </c>
      <c r="DQ740" s="25" t="s">
        <v>113</v>
      </c>
      <c r="DR740" s="26" t="s">
        <v>200</v>
      </c>
      <c r="DS740" s="26" t="s">
        <v>203</v>
      </c>
      <c r="DT740" s="26" t="s">
        <v>207</v>
      </c>
      <c r="DU740" s="26" t="s">
        <v>214</v>
      </c>
      <c r="DV740" s="25">
        <f t="shared" si="488"/>
        <v>1</v>
      </c>
      <c r="DW740" s="25">
        <f t="shared" si="489"/>
        <v>1</v>
      </c>
      <c r="DX740" s="25">
        <f t="shared" si="490"/>
        <v>1</v>
      </c>
      <c r="DY740" s="25">
        <f t="shared" si="491"/>
        <v>2</v>
      </c>
      <c r="DZ740" s="25">
        <f t="shared" si="492"/>
        <v>2</v>
      </c>
      <c r="EA740" s="25">
        <f t="shared" si="493"/>
        <v>2</v>
      </c>
      <c r="EB740" s="30"/>
    </row>
    <row r="741" spans="1:132" ht="13.5" customHeight="1">
      <c r="A741" s="9">
        <v>738</v>
      </c>
      <c r="B741" s="9">
        <v>1</v>
      </c>
      <c r="C741" s="9">
        <v>2001</v>
      </c>
      <c r="D741" s="9">
        <f t="shared" si="466"/>
        <v>44535827</v>
      </c>
      <c r="E741" s="9" t="str">
        <f t="shared" si="467"/>
        <v>5302135,5202135,5202135,5400135,5400135,5400135</v>
      </c>
      <c r="F741" s="9" t="str">
        <f t="shared" si="468"/>
        <v>13,13,13,13,13,13</v>
      </c>
      <c r="G741" s="9" t="str">
        <f t="shared" si="469"/>
        <v>1549,1674,1674,1674,1674,1674</v>
      </c>
      <c r="H741" s="9">
        <v>335</v>
      </c>
      <c r="I741" s="9" t="s">
        <v>278</v>
      </c>
      <c r="J741" s="9" t="s">
        <v>279</v>
      </c>
      <c r="K741" s="9" t="s">
        <v>279</v>
      </c>
      <c r="L741" s="9" t="s">
        <v>279</v>
      </c>
      <c r="M741" s="36" t="s">
        <v>319</v>
      </c>
      <c r="O741" s="3">
        <f t="shared" si="461"/>
        <v>44535827</v>
      </c>
      <c r="P741" s="9">
        <v>33739262.920000002</v>
      </c>
      <c r="Q741" s="9">
        <v>5302135</v>
      </c>
      <c r="R741" s="9">
        <v>5202135</v>
      </c>
      <c r="S741" s="9">
        <v>5202135</v>
      </c>
      <c r="T741" s="9">
        <v>5400135</v>
      </c>
      <c r="U741" s="9">
        <v>5400135</v>
      </c>
      <c r="V741" s="9">
        <v>5400135</v>
      </c>
      <c r="W741" s="9">
        <v>13</v>
      </c>
      <c r="X741" s="9">
        <v>13</v>
      </c>
      <c r="Y741" s="9">
        <v>13</v>
      </c>
      <c r="Z741" s="9">
        <v>13</v>
      </c>
      <c r="AA741" s="9">
        <v>13</v>
      </c>
      <c r="AB741" s="9">
        <v>13</v>
      </c>
      <c r="AC741" s="9">
        <f t="shared" si="470"/>
        <v>1549</v>
      </c>
      <c r="AD741" s="9">
        <f t="shared" si="471"/>
        <v>1674</v>
      </c>
      <c r="AE741" s="9">
        <f t="shared" si="472"/>
        <v>1674</v>
      </c>
      <c r="AF741" s="9">
        <f t="shared" si="473"/>
        <v>1674</v>
      </c>
      <c r="AG741" s="9">
        <f t="shared" si="474"/>
        <v>1674</v>
      </c>
      <c r="AH741" s="9">
        <f t="shared" si="475"/>
        <v>1674</v>
      </c>
      <c r="AI741" s="7">
        <f t="shared" si="465"/>
        <v>5623210.4866666673</v>
      </c>
      <c r="AJ741" s="7">
        <f t="shared" si="465"/>
        <v>5623210.4866666673</v>
      </c>
      <c r="AK741" s="7">
        <f t="shared" si="465"/>
        <v>5623210.4866666673</v>
      </c>
      <c r="AL741" s="7">
        <f t="shared" si="465"/>
        <v>5623210.4866666673</v>
      </c>
      <c r="AM741" s="7">
        <f t="shared" si="465"/>
        <v>5623210.4866666673</v>
      </c>
      <c r="AN741" s="7">
        <f t="shared" si="465"/>
        <v>5623210.4866666673</v>
      </c>
      <c r="BR741" s="5">
        <v>5203063</v>
      </c>
      <c r="BS741" s="18">
        <f>[1]monsters!$N741</f>
        <v>85.33</v>
      </c>
      <c r="BT741" s="18">
        <f>[1]monsters!$O741</f>
        <v>8.5299999999999994</v>
      </c>
      <c r="BU741" s="18">
        <f>[1]monsters!$P741</f>
        <v>960</v>
      </c>
      <c r="BV741" s="18">
        <f>[1]monsters!$Q741</f>
        <v>96</v>
      </c>
      <c r="BW741" s="18">
        <f>[1]monsters!$R741</f>
        <v>28.44</v>
      </c>
      <c r="BX741" s="18">
        <f>[1]monsters!$S741</f>
        <v>2.84</v>
      </c>
      <c r="BY741" s="18">
        <f>[1]monsters!$K741</f>
        <v>1.6</v>
      </c>
      <c r="BZ741" s="5">
        <f>[1]monsters!$D741</f>
        <v>2</v>
      </c>
      <c r="CA741" s="5">
        <f t="shared" si="462"/>
        <v>0.1</v>
      </c>
      <c r="CB741" s="5">
        <f t="shared" si="463"/>
        <v>112.96008232323233</v>
      </c>
      <c r="CC741" s="5">
        <f t="shared" si="464"/>
        <v>11.296008232323233</v>
      </c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R741" s="3" t="b">
        <f t="shared" si="476"/>
        <v>1</v>
      </c>
      <c r="CS741" s="3" t="b">
        <f t="shared" si="477"/>
        <v>1</v>
      </c>
      <c r="CT741" s="3" t="b">
        <f t="shared" si="478"/>
        <v>1</v>
      </c>
      <c r="CU741" s="3" t="b">
        <f t="shared" si="479"/>
        <v>1</v>
      </c>
      <c r="CV741" s="3" t="b">
        <f t="shared" si="480"/>
        <v>1</v>
      </c>
      <c r="CW741" s="3" t="b">
        <f t="shared" si="481"/>
        <v>1</v>
      </c>
      <c r="CX741" s="9" t="str">
        <f t="shared" si="482"/>
        <v>5302135</v>
      </c>
      <c r="CY741" s="9" t="str">
        <f t="shared" si="483"/>
        <v>5202135</v>
      </c>
      <c r="CZ741" s="9" t="str">
        <f t="shared" si="484"/>
        <v>5202135</v>
      </c>
      <c r="DA741" s="9" t="str">
        <f t="shared" si="485"/>
        <v>5400135</v>
      </c>
      <c r="DB741" s="9" t="str">
        <f t="shared" si="486"/>
        <v>5400135</v>
      </c>
      <c r="DC741" s="9" t="str">
        <f t="shared" si="487"/>
        <v>5400135</v>
      </c>
      <c r="DD741" s="9">
        <v>13</v>
      </c>
      <c r="DE741" s="9">
        <v>13</v>
      </c>
      <c r="DF741" s="9">
        <v>13</v>
      </c>
      <c r="DG741" s="9">
        <v>13</v>
      </c>
      <c r="DH741" s="9">
        <v>13</v>
      </c>
      <c r="DI741" s="9">
        <v>13</v>
      </c>
      <c r="DJ741" s="9">
        <v>5</v>
      </c>
      <c r="DK741" s="9">
        <v>5</v>
      </c>
      <c r="DL741" s="9">
        <v>5</v>
      </c>
      <c r="DM741" s="9">
        <v>5</v>
      </c>
      <c r="DN741" s="9">
        <v>5</v>
      </c>
      <c r="DO741" s="9">
        <v>5</v>
      </c>
      <c r="DP741" s="25" t="s">
        <v>221</v>
      </c>
      <c r="DQ741" s="25" t="s">
        <v>213</v>
      </c>
      <c r="DR741" s="25" t="s">
        <v>213</v>
      </c>
      <c r="DS741" s="26" t="s">
        <v>210</v>
      </c>
      <c r="DT741" s="26" t="s">
        <v>210</v>
      </c>
      <c r="DU741" s="26" t="s">
        <v>210</v>
      </c>
      <c r="DV741" s="25">
        <f t="shared" si="488"/>
        <v>1</v>
      </c>
      <c r="DW741" s="25">
        <f t="shared" si="489"/>
        <v>1</v>
      </c>
      <c r="DX741" s="25">
        <f t="shared" si="490"/>
        <v>1</v>
      </c>
      <c r="DY741" s="25">
        <f t="shared" si="491"/>
        <v>2</v>
      </c>
      <c r="DZ741" s="25">
        <f t="shared" si="492"/>
        <v>2</v>
      </c>
      <c r="EA741" s="25">
        <f t="shared" si="493"/>
        <v>2</v>
      </c>
      <c r="EB741" s="29"/>
    </row>
    <row r="742" spans="1:132" ht="13.5" customHeight="1">
      <c r="A742" s="9">
        <v>739</v>
      </c>
      <c r="B742" s="9">
        <v>1</v>
      </c>
      <c r="C742" s="9">
        <v>2001</v>
      </c>
      <c r="D742" s="9">
        <f t="shared" si="466"/>
        <v>44638849</v>
      </c>
      <c r="E742" s="9" t="str">
        <f t="shared" si="467"/>
        <v>5201131,5200132,5201131,5502132,5500131,5601132</v>
      </c>
      <c r="F742" s="9" t="str">
        <f t="shared" si="468"/>
        <v>13,13,13,13,13,13</v>
      </c>
      <c r="G742" s="9" t="str">
        <f t="shared" si="469"/>
        <v>1551,1676,1676,1676,1676,1676</v>
      </c>
      <c r="H742" s="9">
        <v>335</v>
      </c>
      <c r="I742" s="9" t="s">
        <v>278</v>
      </c>
      <c r="J742" s="9" t="s">
        <v>279</v>
      </c>
      <c r="K742" s="9" t="s">
        <v>279</v>
      </c>
      <c r="L742" s="9" t="s">
        <v>279</v>
      </c>
      <c r="M742" s="36" t="s">
        <v>319</v>
      </c>
      <c r="O742" s="3">
        <f t="shared" si="461"/>
        <v>44638849</v>
      </c>
      <c r="P742" s="9">
        <v>33817309.710000001</v>
      </c>
      <c r="Q742" s="9">
        <v>5201131</v>
      </c>
      <c r="R742" s="9">
        <v>5200132</v>
      </c>
      <c r="S742" s="9">
        <v>5201131</v>
      </c>
      <c r="T742" s="9">
        <v>5502132</v>
      </c>
      <c r="U742" s="9">
        <v>5500131</v>
      </c>
      <c r="V742" s="9">
        <v>5601132</v>
      </c>
      <c r="W742" s="9">
        <v>13</v>
      </c>
      <c r="X742" s="9">
        <v>13</v>
      </c>
      <c r="Y742" s="9">
        <v>13</v>
      </c>
      <c r="Z742" s="9">
        <v>13</v>
      </c>
      <c r="AA742" s="9">
        <v>13</v>
      </c>
      <c r="AB742" s="9">
        <v>13</v>
      </c>
      <c r="AC742" s="9">
        <f t="shared" si="470"/>
        <v>1551</v>
      </c>
      <c r="AD742" s="9">
        <f t="shared" si="471"/>
        <v>1676</v>
      </c>
      <c r="AE742" s="9">
        <f t="shared" si="472"/>
        <v>1676</v>
      </c>
      <c r="AF742" s="9">
        <f t="shared" si="473"/>
        <v>1676</v>
      </c>
      <c r="AG742" s="9">
        <f t="shared" si="474"/>
        <v>1676</v>
      </c>
      <c r="AH742" s="9">
        <f t="shared" si="475"/>
        <v>1676</v>
      </c>
      <c r="AI742" s="7">
        <f t="shared" si="465"/>
        <v>5636218.2850000001</v>
      </c>
      <c r="AJ742" s="7">
        <f t="shared" si="465"/>
        <v>5636218.2850000001</v>
      </c>
      <c r="AK742" s="7">
        <f t="shared" si="465"/>
        <v>5636218.2850000001</v>
      </c>
      <c r="AL742" s="7">
        <f t="shared" si="465"/>
        <v>5636218.2850000001</v>
      </c>
      <c r="AM742" s="7">
        <f t="shared" si="465"/>
        <v>5636218.2850000001</v>
      </c>
      <c r="AN742" s="7">
        <f t="shared" si="465"/>
        <v>5636218.2850000001</v>
      </c>
      <c r="BR742" s="5">
        <v>5403063</v>
      </c>
      <c r="BS742" s="18">
        <f>[1]monsters!$N742</f>
        <v>93.87</v>
      </c>
      <c r="BT742" s="18">
        <f>[1]monsters!$O742</f>
        <v>9.39</v>
      </c>
      <c r="BU742" s="18">
        <f>[1]monsters!$P742</f>
        <v>1056</v>
      </c>
      <c r="BV742" s="18">
        <f>[1]monsters!$Q742</f>
        <v>105.6</v>
      </c>
      <c r="BW742" s="18">
        <f>[1]monsters!$R742</f>
        <v>31.29</v>
      </c>
      <c r="BX742" s="18">
        <f>[1]monsters!$S742</f>
        <v>3.13</v>
      </c>
      <c r="BY742" s="18">
        <f>[1]monsters!$K742</f>
        <v>1.6</v>
      </c>
      <c r="BZ742" s="5">
        <f>[1]monsters!$D742</f>
        <v>2</v>
      </c>
      <c r="CA742" s="5">
        <f t="shared" si="462"/>
        <v>0.1</v>
      </c>
      <c r="CB742" s="5">
        <f t="shared" si="463"/>
        <v>124.26270555555557</v>
      </c>
      <c r="CC742" s="5">
        <f t="shared" si="464"/>
        <v>12.426270555555558</v>
      </c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R742" s="3" t="b">
        <f t="shared" si="476"/>
        <v>1</v>
      </c>
      <c r="CS742" s="3" t="b">
        <f t="shared" si="477"/>
        <v>1</v>
      </c>
      <c r="CT742" s="3" t="b">
        <f t="shared" si="478"/>
        <v>1</v>
      </c>
      <c r="CU742" s="3" t="b">
        <f t="shared" si="479"/>
        <v>1</v>
      </c>
      <c r="CV742" s="3" t="b">
        <f t="shared" si="480"/>
        <v>1</v>
      </c>
      <c r="CW742" s="3" t="b">
        <f t="shared" si="481"/>
        <v>1</v>
      </c>
      <c r="CX742" s="9" t="str">
        <f t="shared" si="482"/>
        <v>5201131</v>
      </c>
      <c r="CY742" s="9" t="str">
        <f t="shared" si="483"/>
        <v>5200132</v>
      </c>
      <c r="CZ742" s="9" t="str">
        <f t="shared" si="484"/>
        <v>5201131</v>
      </c>
      <c r="DA742" s="9" t="str">
        <f t="shared" si="485"/>
        <v>5502132</v>
      </c>
      <c r="DB742" s="9" t="str">
        <f t="shared" si="486"/>
        <v>5500131</v>
      </c>
      <c r="DC742" s="9" t="str">
        <f t="shared" si="487"/>
        <v>5601132</v>
      </c>
      <c r="DD742" s="9">
        <v>13</v>
      </c>
      <c r="DE742" s="9">
        <v>13</v>
      </c>
      <c r="DF742" s="9">
        <v>13</v>
      </c>
      <c r="DG742" s="9">
        <v>13</v>
      </c>
      <c r="DH742" s="9">
        <v>13</v>
      </c>
      <c r="DI742" s="9">
        <v>13</v>
      </c>
      <c r="DJ742" s="9">
        <v>5</v>
      </c>
      <c r="DK742" s="9">
        <v>5</v>
      </c>
      <c r="DL742" s="9">
        <v>5</v>
      </c>
      <c r="DM742" s="9">
        <v>5</v>
      </c>
      <c r="DN742" s="9">
        <v>5</v>
      </c>
      <c r="DO742" s="9">
        <v>5</v>
      </c>
      <c r="DP742" s="25" t="s">
        <v>195</v>
      </c>
      <c r="DQ742" s="25" t="s">
        <v>199</v>
      </c>
      <c r="DR742" s="26" t="s">
        <v>195</v>
      </c>
      <c r="DS742" s="28" t="s">
        <v>204</v>
      </c>
      <c r="DT742" s="26" t="s">
        <v>197</v>
      </c>
      <c r="DU742" s="26" t="s">
        <v>124</v>
      </c>
      <c r="DV742" s="25">
        <f t="shared" si="488"/>
        <v>1</v>
      </c>
      <c r="DW742" s="25">
        <f t="shared" si="489"/>
        <v>1</v>
      </c>
      <c r="DX742" s="25">
        <f t="shared" si="490"/>
        <v>1</v>
      </c>
      <c r="DY742" s="25">
        <f t="shared" si="491"/>
        <v>2</v>
      </c>
      <c r="DZ742" s="25">
        <f t="shared" si="492"/>
        <v>2</v>
      </c>
      <c r="EA742" s="25">
        <f t="shared" si="493"/>
        <v>2</v>
      </c>
      <c r="EB742" s="29"/>
    </row>
    <row r="743" spans="1:132" ht="13.5" customHeight="1">
      <c r="A743" s="9">
        <v>740</v>
      </c>
      <c r="B743" s="9">
        <v>1</v>
      </c>
      <c r="C743" s="9">
        <v>2001</v>
      </c>
      <c r="D743" s="9">
        <f t="shared" si="466"/>
        <v>44741988</v>
      </c>
      <c r="E743" s="9" t="str">
        <f t="shared" si="467"/>
        <v>5200132,5200133,5200132,5501134,5500133,5501134</v>
      </c>
      <c r="F743" s="9" t="str">
        <f t="shared" si="468"/>
        <v>13,13,13,13,13,13</v>
      </c>
      <c r="G743" s="9" t="str">
        <f t="shared" si="469"/>
        <v>1553,1678,1678,1678,1678,1678</v>
      </c>
      <c r="H743" s="9">
        <v>336</v>
      </c>
      <c r="I743" s="9" t="s">
        <v>278</v>
      </c>
      <c r="J743" s="9" t="s">
        <v>279</v>
      </c>
      <c r="K743" s="9" t="s">
        <v>279</v>
      </c>
      <c r="L743" s="9" t="s">
        <v>279</v>
      </c>
      <c r="M743" s="36" t="s">
        <v>319</v>
      </c>
      <c r="O743" s="3">
        <f t="shared" si="461"/>
        <v>44741988</v>
      </c>
      <c r="P743" s="9">
        <v>33895445.119999997</v>
      </c>
      <c r="Q743" s="9">
        <v>5200132</v>
      </c>
      <c r="R743" s="9">
        <v>5200133</v>
      </c>
      <c r="S743" s="9">
        <v>5200132</v>
      </c>
      <c r="T743" s="9">
        <v>5501134</v>
      </c>
      <c r="U743" s="9">
        <v>5500133</v>
      </c>
      <c r="V743" s="9">
        <v>5501134</v>
      </c>
      <c r="W743" s="9">
        <v>13</v>
      </c>
      <c r="X743" s="9">
        <v>13</v>
      </c>
      <c r="Y743" s="9">
        <v>13</v>
      </c>
      <c r="Z743" s="9">
        <v>13</v>
      </c>
      <c r="AA743" s="9">
        <v>13</v>
      </c>
      <c r="AB743" s="9">
        <v>13</v>
      </c>
      <c r="AC743" s="9">
        <f t="shared" si="470"/>
        <v>1553</v>
      </c>
      <c r="AD743" s="9">
        <f t="shared" si="471"/>
        <v>1678</v>
      </c>
      <c r="AE743" s="9">
        <f t="shared" si="472"/>
        <v>1678</v>
      </c>
      <c r="AF743" s="9">
        <f t="shared" si="473"/>
        <v>1678</v>
      </c>
      <c r="AG743" s="9">
        <f t="shared" si="474"/>
        <v>1678</v>
      </c>
      <c r="AH743" s="9">
        <f t="shared" si="475"/>
        <v>1678</v>
      </c>
      <c r="AI743" s="7">
        <f t="shared" si="465"/>
        <v>5649240.8533333326</v>
      </c>
      <c r="AJ743" s="7">
        <f t="shared" si="465"/>
        <v>5649240.8533333326</v>
      </c>
      <c r="AK743" s="7">
        <f t="shared" si="465"/>
        <v>5649240.8533333326</v>
      </c>
      <c r="AL743" s="7">
        <f t="shared" si="465"/>
        <v>5649240.8533333326</v>
      </c>
      <c r="AM743" s="7">
        <f t="shared" si="465"/>
        <v>5649240.8533333326</v>
      </c>
      <c r="AN743" s="7">
        <f t="shared" si="465"/>
        <v>5649240.8533333326</v>
      </c>
      <c r="BR743" s="5">
        <v>5204063</v>
      </c>
      <c r="BS743" s="18">
        <f>[1]monsters!$N743</f>
        <v>93.87</v>
      </c>
      <c r="BT743" s="18">
        <f>[1]monsters!$O743</f>
        <v>9.39</v>
      </c>
      <c r="BU743" s="18">
        <f>[1]monsters!$P743</f>
        <v>1056</v>
      </c>
      <c r="BV743" s="18">
        <f>[1]monsters!$Q743</f>
        <v>105.6</v>
      </c>
      <c r="BW743" s="18">
        <f>[1]monsters!$R743</f>
        <v>31.29</v>
      </c>
      <c r="BX743" s="18">
        <f>[1]monsters!$S743</f>
        <v>3.13</v>
      </c>
      <c r="BY743" s="18">
        <f>[1]monsters!$K743</f>
        <v>1.6</v>
      </c>
      <c r="BZ743" s="5">
        <f>[1]monsters!$D743</f>
        <v>2</v>
      </c>
      <c r="CA743" s="5">
        <f t="shared" si="462"/>
        <v>0.1</v>
      </c>
      <c r="CB743" s="5">
        <f t="shared" si="463"/>
        <v>124.26270555555557</v>
      </c>
      <c r="CC743" s="5">
        <f t="shared" si="464"/>
        <v>12.426270555555558</v>
      </c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R743" s="3" t="b">
        <f t="shared" si="476"/>
        <v>1</v>
      </c>
      <c r="CS743" s="3" t="b">
        <f t="shared" si="477"/>
        <v>1</v>
      </c>
      <c r="CT743" s="3" t="b">
        <f t="shared" si="478"/>
        <v>1</v>
      </c>
      <c r="CU743" s="3" t="b">
        <f t="shared" si="479"/>
        <v>1</v>
      </c>
      <c r="CV743" s="3" t="b">
        <f t="shared" si="480"/>
        <v>1</v>
      </c>
      <c r="CW743" s="3" t="b">
        <f t="shared" si="481"/>
        <v>1</v>
      </c>
      <c r="CX743" s="9" t="str">
        <f t="shared" si="482"/>
        <v>5200132</v>
      </c>
      <c r="CY743" s="9" t="str">
        <f t="shared" si="483"/>
        <v>5200133</v>
      </c>
      <c r="CZ743" s="9" t="str">
        <f t="shared" si="484"/>
        <v>5200132</v>
      </c>
      <c r="DA743" s="9" t="str">
        <f t="shared" si="485"/>
        <v>5501134</v>
      </c>
      <c r="DB743" s="9" t="str">
        <f t="shared" si="486"/>
        <v>5500133</v>
      </c>
      <c r="DC743" s="9" t="str">
        <f t="shared" si="487"/>
        <v>5501134</v>
      </c>
      <c r="DD743" s="9">
        <v>13</v>
      </c>
      <c r="DE743" s="9">
        <v>13</v>
      </c>
      <c r="DF743" s="9">
        <v>13</v>
      </c>
      <c r="DG743" s="9">
        <v>13</v>
      </c>
      <c r="DH743" s="9">
        <v>13</v>
      </c>
      <c r="DI743" s="9">
        <v>13</v>
      </c>
      <c r="DJ743" s="9">
        <v>5</v>
      </c>
      <c r="DK743" s="9">
        <v>5</v>
      </c>
      <c r="DL743" s="9">
        <v>5</v>
      </c>
      <c r="DM743" s="9">
        <v>5</v>
      </c>
      <c r="DN743" s="9">
        <v>5</v>
      </c>
      <c r="DO743" s="9">
        <v>5</v>
      </c>
      <c r="DP743" s="25" t="s">
        <v>199</v>
      </c>
      <c r="DQ743" s="25" t="s">
        <v>113</v>
      </c>
      <c r="DR743" s="25" t="s">
        <v>199</v>
      </c>
      <c r="DS743" s="26" t="s">
        <v>214</v>
      </c>
      <c r="DT743" s="26" t="s">
        <v>207</v>
      </c>
      <c r="DU743" s="26" t="s">
        <v>214</v>
      </c>
      <c r="DV743" s="25">
        <f t="shared" si="488"/>
        <v>1</v>
      </c>
      <c r="DW743" s="25">
        <f t="shared" si="489"/>
        <v>1</v>
      </c>
      <c r="DX743" s="25">
        <f t="shared" si="490"/>
        <v>1</v>
      </c>
      <c r="DY743" s="25">
        <f t="shared" si="491"/>
        <v>2</v>
      </c>
      <c r="DZ743" s="25">
        <f t="shared" si="492"/>
        <v>2</v>
      </c>
      <c r="EA743" s="25">
        <f t="shared" si="493"/>
        <v>2</v>
      </c>
      <c r="EB743" s="29"/>
    </row>
    <row r="744" spans="1:132" ht="13.5" customHeight="1">
      <c r="A744" s="9">
        <v>741</v>
      </c>
      <c r="B744" s="9">
        <v>1</v>
      </c>
      <c r="C744" s="9">
        <v>2001</v>
      </c>
      <c r="D744" s="9">
        <f t="shared" si="466"/>
        <v>44845246</v>
      </c>
      <c r="E744" s="9" t="str">
        <f t="shared" si="467"/>
        <v>5202132,5201132,5301131,5501135,5401131,5502131</v>
      </c>
      <c r="F744" s="9" t="str">
        <f t="shared" si="468"/>
        <v>13,13,13,13,13,13</v>
      </c>
      <c r="G744" s="9" t="str">
        <f t="shared" si="469"/>
        <v>1554,1680,1680,1680,1680,1680</v>
      </c>
      <c r="H744" s="9">
        <v>336</v>
      </c>
      <c r="I744" s="9" t="s">
        <v>278</v>
      </c>
      <c r="J744" s="9" t="s">
        <v>279</v>
      </c>
      <c r="K744" s="9" t="s">
        <v>279</v>
      </c>
      <c r="L744" s="9" t="s">
        <v>279</v>
      </c>
      <c r="M744" s="36" t="s">
        <v>319</v>
      </c>
      <c r="O744" s="3">
        <f t="shared" si="461"/>
        <v>44845246</v>
      </c>
      <c r="P744" s="9">
        <v>33973671.259999998</v>
      </c>
      <c r="Q744" s="9">
        <v>5202132</v>
      </c>
      <c r="R744" s="9">
        <v>5201132</v>
      </c>
      <c r="S744" s="9">
        <v>5301131</v>
      </c>
      <c r="T744" s="9">
        <v>5501135</v>
      </c>
      <c r="U744" s="9">
        <v>5401131</v>
      </c>
      <c r="V744" s="9">
        <v>5502131</v>
      </c>
      <c r="W744" s="9">
        <v>13</v>
      </c>
      <c r="X744" s="9">
        <v>13</v>
      </c>
      <c r="Y744" s="9">
        <v>13</v>
      </c>
      <c r="Z744" s="9">
        <v>13</v>
      </c>
      <c r="AA744" s="9">
        <v>13</v>
      </c>
      <c r="AB744" s="9">
        <v>13</v>
      </c>
      <c r="AC744" s="9">
        <f t="shared" si="470"/>
        <v>1554</v>
      </c>
      <c r="AD744" s="9">
        <f t="shared" si="471"/>
        <v>1680</v>
      </c>
      <c r="AE744" s="9">
        <f t="shared" si="472"/>
        <v>1680</v>
      </c>
      <c r="AF744" s="9">
        <f t="shared" si="473"/>
        <v>1680</v>
      </c>
      <c r="AG744" s="9">
        <f t="shared" si="474"/>
        <v>1680</v>
      </c>
      <c r="AH744" s="9">
        <f t="shared" si="475"/>
        <v>1680</v>
      </c>
      <c r="AI744" s="7">
        <f t="shared" si="465"/>
        <v>5662278.543333333</v>
      </c>
      <c r="AJ744" s="7">
        <f t="shared" si="465"/>
        <v>5662278.543333333</v>
      </c>
      <c r="AK744" s="7">
        <f t="shared" si="465"/>
        <v>5662278.543333333</v>
      </c>
      <c r="AL744" s="7">
        <f t="shared" si="465"/>
        <v>5662278.543333333</v>
      </c>
      <c r="AM744" s="7">
        <f t="shared" si="465"/>
        <v>5662278.543333333</v>
      </c>
      <c r="AN744" s="7">
        <f t="shared" si="465"/>
        <v>5662278.543333333</v>
      </c>
      <c r="BR744" s="5">
        <v>5404063</v>
      </c>
      <c r="BS744" s="18">
        <f>[1]monsters!$N744</f>
        <v>93.87</v>
      </c>
      <c r="BT744" s="18">
        <f>[1]monsters!$O744</f>
        <v>9.39</v>
      </c>
      <c r="BU744" s="18">
        <f>[1]monsters!$P744</f>
        <v>1056</v>
      </c>
      <c r="BV744" s="18">
        <f>[1]monsters!$Q744</f>
        <v>105.6</v>
      </c>
      <c r="BW744" s="18">
        <f>[1]monsters!$R744</f>
        <v>31.29</v>
      </c>
      <c r="BX744" s="18">
        <f>[1]monsters!$S744</f>
        <v>3.13</v>
      </c>
      <c r="BY744" s="18">
        <f>[1]monsters!$K744</f>
        <v>1.6</v>
      </c>
      <c r="BZ744" s="5">
        <f>[1]monsters!$D744</f>
        <v>2</v>
      </c>
      <c r="CA744" s="5">
        <f t="shared" si="462"/>
        <v>0.1</v>
      </c>
      <c r="CB744" s="5">
        <f t="shared" si="463"/>
        <v>124.26270555555557</v>
      </c>
      <c r="CC744" s="5">
        <f t="shared" si="464"/>
        <v>12.426270555555558</v>
      </c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R744" s="3" t="b">
        <f t="shared" si="476"/>
        <v>1</v>
      </c>
      <c r="CS744" s="3" t="b">
        <f t="shared" si="477"/>
        <v>1</v>
      </c>
      <c r="CT744" s="3" t="b">
        <f t="shared" si="478"/>
        <v>1</v>
      </c>
      <c r="CU744" s="3" t="b">
        <f t="shared" si="479"/>
        <v>1</v>
      </c>
      <c r="CV744" s="3" t="b">
        <f t="shared" si="480"/>
        <v>1</v>
      </c>
      <c r="CW744" s="3" t="b">
        <f t="shared" si="481"/>
        <v>1</v>
      </c>
      <c r="CX744" s="9" t="str">
        <f t="shared" si="482"/>
        <v>5202132</v>
      </c>
      <c r="CY744" s="9" t="str">
        <f t="shared" si="483"/>
        <v>5201132</v>
      </c>
      <c r="CZ744" s="9" t="str">
        <f t="shared" si="484"/>
        <v>5301131</v>
      </c>
      <c r="DA744" s="9" t="str">
        <f t="shared" si="485"/>
        <v>5501135</v>
      </c>
      <c r="DB744" s="9" t="str">
        <f t="shared" si="486"/>
        <v>5401131</v>
      </c>
      <c r="DC744" s="9" t="str">
        <f t="shared" si="487"/>
        <v>5502131</v>
      </c>
      <c r="DD744" s="9">
        <v>13</v>
      </c>
      <c r="DE744" s="9">
        <v>13</v>
      </c>
      <c r="DF744" s="9">
        <v>13</v>
      </c>
      <c r="DG744" s="9">
        <v>13</v>
      </c>
      <c r="DH744" s="9">
        <v>13</v>
      </c>
      <c r="DI744" s="9">
        <v>13</v>
      </c>
      <c r="DJ744" s="9">
        <v>5</v>
      </c>
      <c r="DK744" s="9">
        <v>5</v>
      </c>
      <c r="DL744" s="9">
        <v>5</v>
      </c>
      <c r="DM744" s="9">
        <v>5</v>
      </c>
      <c r="DN744" s="9">
        <v>5</v>
      </c>
      <c r="DO744" s="9">
        <v>5</v>
      </c>
      <c r="DP744" s="25" t="s">
        <v>200</v>
      </c>
      <c r="DQ744" s="25" t="s">
        <v>114</v>
      </c>
      <c r="DR744" s="25" t="s">
        <v>107</v>
      </c>
      <c r="DS744" s="25" t="s">
        <v>209</v>
      </c>
      <c r="DT744" s="25" t="s">
        <v>117</v>
      </c>
      <c r="DU744" s="25" t="s">
        <v>119</v>
      </c>
      <c r="DV744" s="25">
        <f t="shared" si="488"/>
        <v>1</v>
      </c>
      <c r="DW744" s="25">
        <f t="shared" si="489"/>
        <v>1</v>
      </c>
      <c r="DX744" s="25">
        <f t="shared" si="490"/>
        <v>1</v>
      </c>
      <c r="DY744" s="25">
        <f t="shared" si="491"/>
        <v>2</v>
      </c>
      <c r="DZ744" s="25">
        <f t="shared" si="492"/>
        <v>2</v>
      </c>
      <c r="EA744" s="25">
        <f t="shared" si="493"/>
        <v>2</v>
      </c>
      <c r="EB744" s="30"/>
    </row>
    <row r="745" spans="1:132" ht="13.5" customHeight="1">
      <c r="A745" s="9">
        <v>742</v>
      </c>
      <c r="B745" s="9">
        <v>1</v>
      </c>
      <c r="C745" s="9">
        <v>2001</v>
      </c>
      <c r="D745" s="9">
        <f t="shared" si="466"/>
        <v>44948624</v>
      </c>
      <c r="E745" s="9" t="str">
        <f t="shared" si="467"/>
        <v>5301131,5301132,5301133,5500132,5500131,5500132</v>
      </c>
      <c r="F745" s="9" t="str">
        <f t="shared" si="468"/>
        <v>13,13,13,13,13,13</v>
      </c>
      <c r="G745" s="9" t="str">
        <f t="shared" si="469"/>
        <v>1556,1682,1682,1682,1682,1682</v>
      </c>
      <c r="H745" s="9">
        <v>336</v>
      </c>
      <c r="I745" s="9" t="s">
        <v>278</v>
      </c>
      <c r="J745" s="9" t="s">
        <v>279</v>
      </c>
      <c r="K745" s="9" t="s">
        <v>279</v>
      </c>
      <c r="L745" s="9" t="s">
        <v>279</v>
      </c>
      <c r="M745" s="36" t="s">
        <v>319</v>
      </c>
      <c r="O745" s="3">
        <f t="shared" si="461"/>
        <v>44948624</v>
      </c>
      <c r="P745" s="9">
        <v>34051988.130000003</v>
      </c>
      <c r="Q745" s="9">
        <v>5301131</v>
      </c>
      <c r="R745" s="9">
        <v>5301132</v>
      </c>
      <c r="S745" s="9">
        <v>5301133</v>
      </c>
      <c r="T745" s="9">
        <v>5500132</v>
      </c>
      <c r="U745" s="9">
        <v>5500131</v>
      </c>
      <c r="V745" s="9">
        <v>5500132</v>
      </c>
      <c r="W745" s="9">
        <v>13</v>
      </c>
      <c r="X745" s="9">
        <v>13</v>
      </c>
      <c r="Y745" s="9">
        <v>13</v>
      </c>
      <c r="Z745" s="9">
        <v>13</v>
      </c>
      <c r="AA745" s="9">
        <v>13</v>
      </c>
      <c r="AB745" s="9">
        <v>13</v>
      </c>
      <c r="AC745" s="9">
        <f t="shared" si="470"/>
        <v>1556</v>
      </c>
      <c r="AD745" s="9">
        <f t="shared" si="471"/>
        <v>1682</v>
      </c>
      <c r="AE745" s="9">
        <f t="shared" si="472"/>
        <v>1682</v>
      </c>
      <c r="AF745" s="9">
        <f t="shared" si="473"/>
        <v>1682</v>
      </c>
      <c r="AG745" s="9">
        <f t="shared" si="474"/>
        <v>1682</v>
      </c>
      <c r="AH745" s="9">
        <f t="shared" si="475"/>
        <v>1682</v>
      </c>
      <c r="AI745" s="7">
        <f t="shared" si="465"/>
        <v>5675331.3550000004</v>
      </c>
      <c r="AJ745" s="7">
        <f t="shared" si="465"/>
        <v>5675331.3550000004</v>
      </c>
      <c r="AK745" s="7">
        <f t="shared" si="465"/>
        <v>5675331.3550000004</v>
      </c>
      <c r="AL745" s="7">
        <f t="shared" si="465"/>
        <v>5675331.3550000004</v>
      </c>
      <c r="AM745" s="7">
        <f t="shared" si="465"/>
        <v>5675331.3550000004</v>
      </c>
      <c r="AN745" s="7">
        <f t="shared" si="465"/>
        <v>5675331.3550000004</v>
      </c>
      <c r="BR745" s="5">
        <v>5303063</v>
      </c>
      <c r="BS745" s="18">
        <f>[1]monsters!$N745</f>
        <v>93.87</v>
      </c>
      <c r="BT745" s="18">
        <f>[1]monsters!$O745</f>
        <v>9.39</v>
      </c>
      <c r="BU745" s="18">
        <f>[1]monsters!$P745</f>
        <v>1056</v>
      </c>
      <c r="BV745" s="18">
        <f>[1]monsters!$Q745</f>
        <v>105.6</v>
      </c>
      <c r="BW745" s="18">
        <f>[1]monsters!$R745</f>
        <v>31.29</v>
      </c>
      <c r="BX745" s="18">
        <f>[1]monsters!$S745</f>
        <v>3.13</v>
      </c>
      <c r="BY745" s="18">
        <f>[1]monsters!$K745</f>
        <v>1.6</v>
      </c>
      <c r="BZ745" s="5">
        <f>[1]monsters!$D745</f>
        <v>2</v>
      </c>
      <c r="CA745" s="5">
        <f t="shared" si="462"/>
        <v>0.1</v>
      </c>
      <c r="CB745" s="5">
        <f t="shared" si="463"/>
        <v>124.26270555555557</v>
      </c>
      <c r="CC745" s="5">
        <f t="shared" si="464"/>
        <v>12.426270555555558</v>
      </c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R745" s="3" t="b">
        <f t="shared" si="476"/>
        <v>1</v>
      </c>
      <c r="CS745" s="3" t="b">
        <f t="shared" si="477"/>
        <v>1</v>
      </c>
      <c r="CT745" s="3" t="b">
        <f t="shared" si="478"/>
        <v>1</v>
      </c>
      <c r="CU745" s="3" t="b">
        <f t="shared" si="479"/>
        <v>1</v>
      </c>
      <c r="CV745" s="3" t="b">
        <f t="shared" si="480"/>
        <v>1</v>
      </c>
      <c r="CW745" s="3" t="b">
        <f t="shared" si="481"/>
        <v>1</v>
      </c>
      <c r="CX745" s="9" t="str">
        <f t="shared" si="482"/>
        <v>5301131</v>
      </c>
      <c r="CY745" s="9" t="str">
        <f t="shared" si="483"/>
        <v>5301132</v>
      </c>
      <c r="CZ745" s="9" t="str">
        <f t="shared" si="484"/>
        <v>5301133</v>
      </c>
      <c r="DA745" s="9" t="str">
        <f t="shared" si="485"/>
        <v>5500132</v>
      </c>
      <c r="DB745" s="9" t="str">
        <f t="shared" si="486"/>
        <v>5500131</v>
      </c>
      <c r="DC745" s="9" t="str">
        <f t="shared" si="487"/>
        <v>5500132</v>
      </c>
      <c r="DD745" s="9">
        <v>13</v>
      </c>
      <c r="DE745" s="9">
        <v>13</v>
      </c>
      <c r="DF745" s="9">
        <v>13</v>
      </c>
      <c r="DG745" s="9">
        <v>13</v>
      </c>
      <c r="DH745" s="9">
        <v>13</v>
      </c>
      <c r="DI745" s="9">
        <v>13</v>
      </c>
      <c r="DJ745" s="9">
        <v>5</v>
      </c>
      <c r="DK745" s="9">
        <v>5</v>
      </c>
      <c r="DL745" s="9">
        <v>5</v>
      </c>
      <c r="DM745" s="9">
        <v>5</v>
      </c>
      <c r="DN745" s="9">
        <v>5</v>
      </c>
      <c r="DO745" s="9">
        <v>5</v>
      </c>
      <c r="DP745" s="26" t="s">
        <v>107</v>
      </c>
      <c r="DQ745" s="26" t="s">
        <v>201</v>
      </c>
      <c r="DR745" s="26" t="s">
        <v>206</v>
      </c>
      <c r="DS745" s="26" t="s">
        <v>109</v>
      </c>
      <c r="DT745" s="26" t="s">
        <v>197</v>
      </c>
      <c r="DU745" s="26" t="s">
        <v>109</v>
      </c>
      <c r="DV745" s="25">
        <f t="shared" si="488"/>
        <v>1</v>
      </c>
      <c r="DW745" s="25">
        <f t="shared" si="489"/>
        <v>1</v>
      </c>
      <c r="DX745" s="25">
        <f t="shared" si="490"/>
        <v>1</v>
      </c>
      <c r="DY745" s="25">
        <f t="shared" si="491"/>
        <v>2</v>
      </c>
      <c r="DZ745" s="25">
        <f t="shared" si="492"/>
        <v>2</v>
      </c>
      <c r="EA745" s="25">
        <f t="shared" si="493"/>
        <v>2</v>
      </c>
      <c r="EB745" s="29"/>
    </row>
    <row r="746" spans="1:132" ht="13.5" customHeight="1">
      <c r="A746" s="9">
        <v>743</v>
      </c>
      <c r="B746" s="9">
        <v>1</v>
      </c>
      <c r="C746" s="9">
        <v>2001</v>
      </c>
      <c r="D746" s="9">
        <f t="shared" si="466"/>
        <v>45052125</v>
      </c>
      <c r="E746" s="9" t="str">
        <f t="shared" si="467"/>
        <v>5201132,5301131,5201132,5400135,5401131,5502131</v>
      </c>
      <c r="F746" s="9" t="str">
        <f t="shared" si="468"/>
        <v>13,13,13,13,13,13</v>
      </c>
      <c r="G746" s="9" t="str">
        <f t="shared" si="469"/>
        <v>1558,1684,1684,1684,1684,1684</v>
      </c>
      <c r="H746" s="9">
        <v>337</v>
      </c>
      <c r="I746" s="9" t="s">
        <v>278</v>
      </c>
      <c r="J746" s="9" t="s">
        <v>279</v>
      </c>
      <c r="K746" s="9" t="s">
        <v>279</v>
      </c>
      <c r="L746" s="9" t="s">
        <v>279</v>
      </c>
      <c r="M746" s="36" t="s">
        <v>319</v>
      </c>
      <c r="O746" s="3">
        <f t="shared" si="461"/>
        <v>45052125</v>
      </c>
      <c r="P746" s="9">
        <v>34130397.840000004</v>
      </c>
      <c r="Q746" s="9">
        <v>5201132</v>
      </c>
      <c r="R746" s="9">
        <v>5301131</v>
      </c>
      <c r="S746" s="9">
        <v>5201132</v>
      </c>
      <c r="T746" s="9">
        <v>5400135</v>
      </c>
      <c r="U746" s="9">
        <v>5401131</v>
      </c>
      <c r="V746" s="9">
        <v>5502131</v>
      </c>
      <c r="W746" s="9">
        <v>13</v>
      </c>
      <c r="X746" s="9">
        <v>13</v>
      </c>
      <c r="Y746" s="9">
        <v>13</v>
      </c>
      <c r="Z746" s="9">
        <v>13</v>
      </c>
      <c r="AA746" s="9">
        <v>13</v>
      </c>
      <c r="AB746" s="9">
        <v>13</v>
      </c>
      <c r="AC746" s="9">
        <f t="shared" si="470"/>
        <v>1558</v>
      </c>
      <c r="AD746" s="9">
        <f t="shared" si="471"/>
        <v>1684</v>
      </c>
      <c r="AE746" s="9">
        <f t="shared" si="472"/>
        <v>1684</v>
      </c>
      <c r="AF746" s="9">
        <f t="shared" si="473"/>
        <v>1684</v>
      </c>
      <c r="AG746" s="9">
        <f t="shared" si="474"/>
        <v>1684</v>
      </c>
      <c r="AH746" s="9">
        <f t="shared" si="475"/>
        <v>1684</v>
      </c>
      <c r="AI746" s="7">
        <f t="shared" si="465"/>
        <v>5688399.6400000006</v>
      </c>
      <c r="AJ746" s="7">
        <f t="shared" si="465"/>
        <v>5688399.6400000006</v>
      </c>
      <c r="AK746" s="7">
        <f t="shared" si="465"/>
        <v>5688399.6400000006</v>
      </c>
      <c r="AL746" s="7">
        <f t="shared" si="465"/>
        <v>5688399.6400000006</v>
      </c>
      <c r="AM746" s="7">
        <f t="shared" si="465"/>
        <v>5688399.6400000006</v>
      </c>
      <c r="AN746" s="7">
        <f t="shared" si="465"/>
        <v>5688399.6400000006</v>
      </c>
      <c r="BR746" s="5">
        <v>5304063</v>
      </c>
      <c r="BS746" s="18">
        <f>[1]monsters!$N746</f>
        <v>93.87</v>
      </c>
      <c r="BT746" s="18">
        <f>[1]monsters!$O746</f>
        <v>9.39</v>
      </c>
      <c r="BU746" s="18">
        <f>[1]monsters!$P746</f>
        <v>1056</v>
      </c>
      <c r="BV746" s="18">
        <f>[1]monsters!$Q746</f>
        <v>105.6</v>
      </c>
      <c r="BW746" s="18">
        <f>[1]monsters!$R746</f>
        <v>31.29</v>
      </c>
      <c r="BX746" s="18">
        <f>[1]monsters!$S746</f>
        <v>3.13</v>
      </c>
      <c r="BY746" s="18">
        <f>[1]monsters!$K746</f>
        <v>1.6</v>
      </c>
      <c r="BZ746" s="5">
        <f>[1]monsters!$D746</f>
        <v>2</v>
      </c>
      <c r="CA746" s="5">
        <f t="shared" si="462"/>
        <v>0.1</v>
      </c>
      <c r="CB746" s="5">
        <f t="shared" si="463"/>
        <v>124.26270555555557</v>
      </c>
      <c r="CC746" s="5">
        <f t="shared" si="464"/>
        <v>12.426270555555558</v>
      </c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R746" s="3" t="b">
        <f t="shared" si="476"/>
        <v>1</v>
      </c>
      <c r="CS746" s="3" t="b">
        <f t="shared" si="477"/>
        <v>1</v>
      </c>
      <c r="CT746" s="3" t="b">
        <f t="shared" si="478"/>
        <v>1</v>
      </c>
      <c r="CU746" s="3" t="b">
        <f t="shared" si="479"/>
        <v>1</v>
      </c>
      <c r="CV746" s="3" t="b">
        <f t="shared" si="480"/>
        <v>1</v>
      </c>
      <c r="CW746" s="3" t="b">
        <f t="shared" si="481"/>
        <v>1</v>
      </c>
      <c r="CX746" s="9" t="str">
        <f t="shared" si="482"/>
        <v>5201132</v>
      </c>
      <c r="CY746" s="9" t="str">
        <f t="shared" si="483"/>
        <v>5301131</v>
      </c>
      <c r="CZ746" s="9" t="str">
        <f t="shared" si="484"/>
        <v>5201132</v>
      </c>
      <c r="DA746" s="9" t="str">
        <f t="shared" si="485"/>
        <v>5400135</v>
      </c>
      <c r="DB746" s="9" t="str">
        <f t="shared" si="486"/>
        <v>5401131</v>
      </c>
      <c r="DC746" s="9" t="str">
        <f t="shared" si="487"/>
        <v>5502131</v>
      </c>
      <c r="DD746" s="9">
        <v>13</v>
      </c>
      <c r="DE746" s="9">
        <v>13</v>
      </c>
      <c r="DF746" s="9">
        <v>13</v>
      </c>
      <c r="DG746" s="9">
        <v>13</v>
      </c>
      <c r="DH746" s="9">
        <v>13</v>
      </c>
      <c r="DI746" s="9">
        <v>13</v>
      </c>
      <c r="DJ746" s="9">
        <v>5</v>
      </c>
      <c r="DK746" s="9">
        <v>5</v>
      </c>
      <c r="DL746" s="9">
        <v>5</v>
      </c>
      <c r="DM746" s="9">
        <v>5</v>
      </c>
      <c r="DN746" s="9">
        <v>5</v>
      </c>
      <c r="DO746" s="9">
        <v>5</v>
      </c>
      <c r="DP746" s="25" t="s">
        <v>114</v>
      </c>
      <c r="DQ746" s="27" t="s">
        <v>107</v>
      </c>
      <c r="DR746" s="25" t="s">
        <v>114</v>
      </c>
      <c r="DS746" s="25" t="s">
        <v>210</v>
      </c>
      <c r="DT746" s="25" t="s">
        <v>117</v>
      </c>
      <c r="DU746" s="25" t="s">
        <v>119</v>
      </c>
      <c r="DV746" s="25">
        <f t="shared" si="488"/>
        <v>1</v>
      </c>
      <c r="DW746" s="25">
        <f t="shared" si="489"/>
        <v>1</v>
      </c>
      <c r="DX746" s="25">
        <f t="shared" si="490"/>
        <v>1</v>
      </c>
      <c r="DY746" s="25">
        <f t="shared" si="491"/>
        <v>2</v>
      </c>
      <c r="DZ746" s="25">
        <f t="shared" si="492"/>
        <v>2</v>
      </c>
      <c r="EA746" s="25">
        <f t="shared" si="493"/>
        <v>2</v>
      </c>
      <c r="EB746" s="29"/>
    </row>
    <row r="747" spans="1:132" ht="13.5" customHeight="1">
      <c r="A747" s="9">
        <v>744</v>
      </c>
      <c r="B747" s="9">
        <v>1</v>
      </c>
      <c r="C747" s="9">
        <v>2001</v>
      </c>
      <c r="D747" s="9">
        <f t="shared" si="466"/>
        <v>45155743</v>
      </c>
      <c r="E747" s="9" t="str">
        <f t="shared" si="467"/>
        <v>5600134,5202133,5201134,5501134,5501134,5501134</v>
      </c>
      <c r="F747" s="9" t="str">
        <f t="shared" si="468"/>
        <v>13,13,13,13,13,13</v>
      </c>
      <c r="G747" s="9" t="str">
        <f t="shared" si="469"/>
        <v>1560,1686,1686,1686,1686,1686</v>
      </c>
      <c r="H747" s="9">
        <v>337</v>
      </c>
      <c r="I747" s="9" t="s">
        <v>278</v>
      </c>
      <c r="J747" s="9" t="s">
        <v>279</v>
      </c>
      <c r="K747" s="9" t="s">
        <v>279</v>
      </c>
      <c r="L747" s="9" t="s">
        <v>279</v>
      </c>
      <c r="M747" s="36" t="s">
        <v>319</v>
      </c>
      <c r="O747" s="3">
        <f t="shared" si="461"/>
        <v>45155743</v>
      </c>
      <c r="P747" s="9">
        <v>34208896.170000002</v>
      </c>
      <c r="Q747" s="9">
        <v>5600134</v>
      </c>
      <c r="R747" s="9">
        <v>5202133</v>
      </c>
      <c r="S747" s="9">
        <v>5201134</v>
      </c>
      <c r="T747" s="9">
        <v>5501134</v>
      </c>
      <c r="U747" s="9">
        <v>5501134</v>
      </c>
      <c r="V747" s="9">
        <v>5501134</v>
      </c>
      <c r="W747" s="9">
        <v>13</v>
      </c>
      <c r="X747" s="9">
        <v>13</v>
      </c>
      <c r="Y747" s="9">
        <v>13</v>
      </c>
      <c r="Z747" s="9">
        <v>13</v>
      </c>
      <c r="AA747" s="9">
        <v>13</v>
      </c>
      <c r="AB747" s="9">
        <v>13</v>
      </c>
      <c r="AC747" s="9">
        <f t="shared" si="470"/>
        <v>1560</v>
      </c>
      <c r="AD747" s="9">
        <f t="shared" si="471"/>
        <v>1686</v>
      </c>
      <c r="AE747" s="9">
        <f t="shared" si="472"/>
        <v>1686</v>
      </c>
      <c r="AF747" s="9">
        <f t="shared" si="473"/>
        <v>1686</v>
      </c>
      <c r="AG747" s="9">
        <f t="shared" si="474"/>
        <v>1686</v>
      </c>
      <c r="AH747" s="9">
        <f t="shared" si="475"/>
        <v>1686</v>
      </c>
      <c r="AI747" s="7">
        <f t="shared" si="465"/>
        <v>5701482.6950000003</v>
      </c>
      <c r="AJ747" s="7">
        <f t="shared" si="465"/>
        <v>5701482.6950000003</v>
      </c>
      <c r="AK747" s="7">
        <f t="shared" si="465"/>
        <v>5701482.6950000003</v>
      </c>
      <c r="AL747" s="7">
        <f t="shared" si="465"/>
        <v>5701482.6950000003</v>
      </c>
      <c r="AM747" s="7">
        <f t="shared" si="465"/>
        <v>5701482.6950000003</v>
      </c>
      <c r="AN747" s="7">
        <f t="shared" si="465"/>
        <v>5701482.6950000003</v>
      </c>
      <c r="BR747" s="5">
        <v>5503063</v>
      </c>
      <c r="BS747" s="18">
        <f>[1]monsters!$N747</f>
        <v>102.4</v>
      </c>
      <c r="BT747" s="18">
        <f>[1]monsters!$O747</f>
        <v>10.24</v>
      </c>
      <c r="BU747" s="18">
        <f>[1]monsters!$P747</f>
        <v>1152</v>
      </c>
      <c r="BV747" s="18">
        <f>[1]monsters!$Q747</f>
        <v>115.2</v>
      </c>
      <c r="BW747" s="18">
        <f>[1]monsters!$R747</f>
        <v>34.130000000000003</v>
      </c>
      <c r="BX747" s="18">
        <f>[1]monsters!$S747</f>
        <v>3.41</v>
      </c>
      <c r="BY747" s="18">
        <f>[1]monsters!$K747</f>
        <v>1.6</v>
      </c>
      <c r="BZ747" s="5">
        <f>[1]monsters!$D747</f>
        <v>2</v>
      </c>
      <c r="CA747" s="5">
        <f t="shared" si="462"/>
        <v>0.1</v>
      </c>
      <c r="CB747" s="5">
        <f t="shared" si="463"/>
        <v>135.55587878787878</v>
      </c>
      <c r="CC747" s="5">
        <f t="shared" si="464"/>
        <v>13.555587878787879</v>
      </c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R747" s="3" t="b">
        <f t="shared" si="476"/>
        <v>1</v>
      </c>
      <c r="CS747" s="3" t="b">
        <f t="shared" si="477"/>
        <v>1</v>
      </c>
      <c r="CT747" s="3" t="b">
        <f t="shared" si="478"/>
        <v>1</v>
      </c>
      <c r="CU747" s="3" t="b">
        <f t="shared" si="479"/>
        <v>1</v>
      </c>
      <c r="CV747" s="3" t="b">
        <f t="shared" si="480"/>
        <v>1</v>
      </c>
      <c r="CW747" s="3" t="b">
        <f t="shared" si="481"/>
        <v>1</v>
      </c>
      <c r="CX747" s="9" t="str">
        <f t="shared" si="482"/>
        <v>5600134</v>
      </c>
      <c r="CY747" s="9" t="str">
        <f t="shared" si="483"/>
        <v>5202133</v>
      </c>
      <c r="CZ747" s="9" t="str">
        <f t="shared" si="484"/>
        <v>5201134</v>
      </c>
      <c r="DA747" s="9" t="str">
        <f t="shared" si="485"/>
        <v>5501134</v>
      </c>
      <c r="DB747" s="9" t="str">
        <f t="shared" si="486"/>
        <v>5501134</v>
      </c>
      <c r="DC747" s="9" t="str">
        <f t="shared" si="487"/>
        <v>5501134</v>
      </c>
      <c r="DD747" s="9">
        <v>13</v>
      </c>
      <c r="DE747" s="9">
        <v>13</v>
      </c>
      <c r="DF747" s="9">
        <v>13</v>
      </c>
      <c r="DG747" s="9">
        <v>13</v>
      </c>
      <c r="DH747" s="9">
        <v>13</v>
      </c>
      <c r="DI747" s="9">
        <v>13</v>
      </c>
      <c r="DJ747" s="9">
        <v>5</v>
      </c>
      <c r="DK747" s="9">
        <v>5</v>
      </c>
      <c r="DL747" s="9">
        <v>5</v>
      </c>
      <c r="DM747" s="9">
        <v>5</v>
      </c>
      <c r="DN747" s="9">
        <v>5</v>
      </c>
      <c r="DO747" s="9">
        <v>5</v>
      </c>
      <c r="DP747" s="27" t="s">
        <v>219</v>
      </c>
      <c r="DQ747" s="25" t="s">
        <v>208</v>
      </c>
      <c r="DR747" s="25" t="s">
        <v>217</v>
      </c>
      <c r="DS747" s="25" t="s">
        <v>214</v>
      </c>
      <c r="DT747" s="25" t="s">
        <v>214</v>
      </c>
      <c r="DU747" s="25" t="s">
        <v>214</v>
      </c>
      <c r="DV747" s="25">
        <f t="shared" si="488"/>
        <v>1</v>
      </c>
      <c r="DW747" s="25">
        <f t="shared" si="489"/>
        <v>1</v>
      </c>
      <c r="DX747" s="25">
        <f t="shared" si="490"/>
        <v>1</v>
      </c>
      <c r="DY747" s="25">
        <f t="shared" si="491"/>
        <v>2</v>
      </c>
      <c r="DZ747" s="25">
        <f t="shared" si="492"/>
        <v>2</v>
      </c>
      <c r="EA747" s="25">
        <f t="shared" si="493"/>
        <v>2</v>
      </c>
      <c r="EB747" s="30"/>
    </row>
    <row r="748" spans="1:132" ht="13.5" customHeight="1">
      <c r="A748" s="9">
        <v>745</v>
      </c>
      <c r="B748" s="9">
        <v>1</v>
      </c>
      <c r="C748" s="9">
        <v>2001</v>
      </c>
      <c r="D748" s="9">
        <f t="shared" si="466"/>
        <v>45259481</v>
      </c>
      <c r="E748" s="9" t="str">
        <f t="shared" si="467"/>
        <v>5200131,5301132,5202132,5402132,5501135,5400135</v>
      </c>
      <c r="F748" s="9" t="str">
        <f t="shared" si="468"/>
        <v>13,13,13,13,13,13</v>
      </c>
      <c r="G748" s="9" t="str">
        <f t="shared" si="469"/>
        <v>1562,1688,1688,1688,1688,1688</v>
      </c>
      <c r="H748" s="9">
        <v>338</v>
      </c>
      <c r="I748" s="9" t="s">
        <v>278</v>
      </c>
      <c r="J748" s="9" t="s">
        <v>279</v>
      </c>
      <c r="K748" s="9" t="s">
        <v>279</v>
      </c>
      <c r="L748" s="9" t="s">
        <v>279</v>
      </c>
      <c r="M748" s="36" t="s">
        <v>319</v>
      </c>
      <c r="O748" s="3">
        <f t="shared" si="461"/>
        <v>45259481</v>
      </c>
      <c r="P748" s="9">
        <v>34287485.229999997</v>
      </c>
      <c r="Q748" s="9">
        <v>5200131</v>
      </c>
      <c r="R748" s="9">
        <v>5301132</v>
      </c>
      <c r="S748" s="9">
        <v>5202132</v>
      </c>
      <c r="T748" s="9">
        <v>5402132</v>
      </c>
      <c r="U748" s="9">
        <v>5501135</v>
      </c>
      <c r="V748" s="9">
        <v>5400135</v>
      </c>
      <c r="W748" s="9">
        <v>13</v>
      </c>
      <c r="X748" s="9">
        <v>13</v>
      </c>
      <c r="Y748" s="9">
        <v>13</v>
      </c>
      <c r="Z748" s="9">
        <v>13</v>
      </c>
      <c r="AA748" s="9">
        <v>13</v>
      </c>
      <c r="AB748" s="9">
        <v>13</v>
      </c>
      <c r="AC748" s="9">
        <f t="shared" si="470"/>
        <v>1562</v>
      </c>
      <c r="AD748" s="9">
        <f t="shared" si="471"/>
        <v>1688</v>
      </c>
      <c r="AE748" s="9">
        <f t="shared" si="472"/>
        <v>1688</v>
      </c>
      <c r="AF748" s="9">
        <f t="shared" si="473"/>
        <v>1688</v>
      </c>
      <c r="AG748" s="9">
        <f t="shared" si="474"/>
        <v>1688</v>
      </c>
      <c r="AH748" s="9">
        <f t="shared" si="475"/>
        <v>1688</v>
      </c>
      <c r="AI748" s="7">
        <f t="shared" si="465"/>
        <v>5714580.8716666661</v>
      </c>
      <c r="AJ748" s="7">
        <f t="shared" si="465"/>
        <v>5714580.8716666661</v>
      </c>
      <c r="AK748" s="7">
        <f t="shared" si="465"/>
        <v>5714580.8716666661</v>
      </c>
      <c r="AL748" s="7">
        <f t="shared" si="465"/>
        <v>5714580.8716666661</v>
      </c>
      <c r="AM748" s="7">
        <f t="shared" si="465"/>
        <v>5714580.8716666661</v>
      </c>
      <c r="AN748" s="7">
        <f t="shared" si="465"/>
        <v>5714580.8716666661</v>
      </c>
      <c r="BR748" s="5">
        <v>5504063</v>
      </c>
      <c r="BS748" s="18">
        <f>[1]monsters!$N748</f>
        <v>102.4</v>
      </c>
      <c r="BT748" s="18">
        <f>[1]monsters!$O748</f>
        <v>10.24</v>
      </c>
      <c r="BU748" s="18">
        <f>[1]monsters!$P748</f>
        <v>1152</v>
      </c>
      <c r="BV748" s="18">
        <f>[1]monsters!$Q748</f>
        <v>115.2</v>
      </c>
      <c r="BW748" s="18">
        <f>[1]monsters!$R748</f>
        <v>34.130000000000003</v>
      </c>
      <c r="BX748" s="18">
        <f>[1]monsters!$S748</f>
        <v>3.41</v>
      </c>
      <c r="BY748" s="18">
        <f>[1]monsters!$K748</f>
        <v>1.6</v>
      </c>
      <c r="BZ748" s="5">
        <f>[1]monsters!$D748</f>
        <v>2</v>
      </c>
      <c r="CA748" s="5">
        <f t="shared" si="462"/>
        <v>0.1</v>
      </c>
      <c r="CB748" s="5">
        <f t="shared" si="463"/>
        <v>135.55587878787878</v>
      </c>
      <c r="CC748" s="5">
        <f t="shared" si="464"/>
        <v>13.555587878787879</v>
      </c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R748" s="3" t="b">
        <f t="shared" si="476"/>
        <v>1</v>
      </c>
      <c r="CS748" s="3" t="b">
        <f t="shared" si="477"/>
        <v>1</v>
      </c>
      <c r="CT748" s="3" t="b">
        <f t="shared" si="478"/>
        <v>1</v>
      </c>
      <c r="CU748" s="3" t="b">
        <f t="shared" si="479"/>
        <v>1</v>
      </c>
      <c r="CV748" s="3" t="b">
        <f t="shared" si="480"/>
        <v>1</v>
      </c>
      <c r="CW748" s="3" t="b">
        <f t="shared" si="481"/>
        <v>1</v>
      </c>
      <c r="CX748" s="9" t="str">
        <f t="shared" si="482"/>
        <v>5200131</v>
      </c>
      <c r="CY748" s="9" t="str">
        <f t="shared" si="483"/>
        <v>5301132</v>
      </c>
      <c r="CZ748" s="9" t="str">
        <f t="shared" si="484"/>
        <v>5202132</v>
      </c>
      <c r="DA748" s="9" t="str">
        <f t="shared" si="485"/>
        <v>5402132</v>
      </c>
      <c r="DB748" s="9" t="str">
        <f t="shared" si="486"/>
        <v>5501135</v>
      </c>
      <c r="DC748" s="9" t="str">
        <f t="shared" si="487"/>
        <v>5400135</v>
      </c>
      <c r="DD748" s="9">
        <v>13</v>
      </c>
      <c r="DE748" s="9">
        <v>13</v>
      </c>
      <c r="DF748" s="9">
        <v>13</v>
      </c>
      <c r="DG748" s="9">
        <v>13</v>
      </c>
      <c r="DH748" s="9">
        <v>13</v>
      </c>
      <c r="DI748" s="9">
        <v>13</v>
      </c>
      <c r="DJ748" s="9">
        <v>5</v>
      </c>
      <c r="DK748" s="9">
        <v>5</v>
      </c>
      <c r="DL748" s="9">
        <v>5</v>
      </c>
      <c r="DM748" s="9">
        <v>5</v>
      </c>
      <c r="DN748" s="9">
        <v>5</v>
      </c>
      <c r="DO748" s="9">
        <v>5</v>
      </c>
      <c r="DP748" s="26" t="s">
        <v>194</v>
      </c>
      <c r="DQ748" s="26" t="s">
        <v>201</v>
      </c>
      <c r="DR748" s="26" t="s">
        <v>200</v>
      </c>
      <c r="DS748" s="26" t="s">
        <v>203</v>
      </c>
      <c r="DT748" s="26" t="s">
        <v>209</v>
      </c>
      <c r="DU748" s="26" t="s">
        <v>210</v>
      </c>
      <c r="DV748" s="25">
        <f t="shared" si="488"/>
        <v>1</v>
      </c>
      <c r="DW748" s="25">
        <f t="shared" si="489"/>
        <v>1</v>
      </c>
      <c r="DX748" s="25">
        <f t="shared" si="490"/>
        <v>1</v>
      </c>
      <c r="DY748" s="25">
        <f t="shared" si="491"/>
        <v>2</v>
      </c>
      <c r="DZ748" s="25">
        <f t="shared" si="492"/>
        <v>2</v>
      </c>
      <c r="EA748" s="25">
        <f t="shared" si="493"/>
        <v>2</v>
      </c>
      <c r="EB748" s="29"/>
    </row>
    <row r="749" spans="1:132" ht="13.5" customHeight="1">
      <c r="A749" s="9">
        <v>746</v>
      </c>
      <c r="B749" s="9">
        <v>1</v>
      </c>
      <c r="C749" s="9">
        <v>2001</v>
      </c>
      <c r="D749" s="9">
        <f t="shared" si="466"/>
        <v>45363338</v>
      </c>
      <c r="E749" s="9" t="str">
        <f t="shared" si="467"/>
        <v>5300135,5202135,5301132,5500132,5400135,5501135</v>
      </c>
      <c r="F749" s="9" t="str">
        <f t="shared" si="468"/>
        <v>13,13,13,13,13,13</v>
      </c>
      <c r="G749" s="9" t="str">
        <f t="shared" si="469"/>
        <v>1563,1690,1690,1690,1690,1690</v>
      </c>
      <c r="H749" s="9">
        <v>338</v>
      </c>
      <c r="I749" s="9" t="s">
        <v>278</v>
      </c>
      <c r="J749" s="9" t="s">
        <v>279</v>
      </c>
      <c r="K749" s="9" t="s">
        <v>279</v>
      </c>
      <c r="L749" s="9" t="s">
        <v>279</v>
      </c>
      <c r="M749" s="36" t="s">
        <v>319</v>
      </c>
      <c r="O749" s="3">
        <f t="shared" si="461"/>
        <v>45363338</v>
      </c>
      <c r="P749" s="9">
        <v>34366165.020000003</v>
      </c>
      <c r="Q749" s="9">
        <v>5300135</v>
      </c>
      <c r="R749" s="9">
        <v>5202135</v>
      </c>
      <c r="S749" s="9">
        <v>5301132</v>
      </c>
      <c r="T749" s="9">
        <v>5500132</v>
      </c>
      <c r="U749" s="9">
        <v>5400135</v>
      </c>
      <c r="V749" s="9">
        <v>5501135</v>
      </c>
      <c r="W749" s="9">
        <v>13</v>
      </c>
      <c r="X749" s="9">
        <v>13</v>
      </c>
      <c r="Y749" s="9">
        <v>13</v>
      </c>
      <c r="Z749" s="9">
        <v>13</v>
      </c>
      <c r="AA749" s="9">
        <v>13</v>
      </c>
      <c r="AB749" s="9">
        <v>13</v>
      </c>
      <c r="AC749" s="9">
        <f t="shared" si="470"/>
        <v>1563</v>
      </c>
      <c r="AD749" s="9">
        <f t="shared" si="471"/>
        <v>1690</v>
      </c>
      <c r="AE749" s="9">
        <f t="shared" si="472"/>
        <v>1690</v>
      </c>
      <c r="AF749" s="9">
        <f t="shared" si="473"/>
        <v>1690</v>
      </c>
      <c r="AG749" s="9">
        <f t="shared" si="474"/>
        <v>1690</v>
      </c>
      <c r="AH749" s="9">
        <f t="shared" si="475"/>
        <v>1690</v>
      </c>
      <c r="AI749" s="7">
        <f t="shared" si="465"/>
        <v>5727694.1700000009</v>
      </c>
      <c r="AJ749" s="7">
        <f t="shared" si="465"/>
        <v>5727694.1700000009</v>
      </c>
      <c r="AK749" s="7">
        <f t="shared" si="465"/>
        <v>5727694.1700000009</v>
      </c>
      <c r="AL749" s="7">
        <f t="shared" si="465"/>
        <v>5727694.1700000009</v>
      </c>
      <c r="AM749" s="7">
        <f t="shared" si="465"/>
        <v>5727694.1700000009</v>
      </c>
      <c r="AN749" s="7">
        <f t="shared" si="465"/>
        <v>5727694.1700000009</v>
      </c>
      <c r="BR749" s="5">
        <v>5101063</v>
      </c>
      <c r="BS749" s="18">
        <f>[1]monsters!$N749</f>
        <v>102.4</v>
      </c>
      <c r="BT749" s="18">
        <f>[1]monsters!$O749</f>
        <v>10.24</v>
      </c>
      <c r="BU749" s="18">
        <f>[1]monsters!$P749</f>
        <v>1152</v>
      </c>
      <c r="BV749" s="18">
        <f>[1]monsters!$Q749</f>
        <v>115.2</v>
      </c>
      <c r="BW749" s="18">
        <f>[1]monsters!$R749</f>
        <v>34.130000000000003</v>
      </c>
      <c r="BX749" s="18">
        <f>[1]monsters!$S749</f>
        <v>3.41</v>
      </c>
      <c r="BY749" s="18">
        <f>[1]monsters!$K749</f>
        <v>1.6</v>
      </c>
      <c r="BZ749" s="5">
        <f>[1]monsters!$D749</f>
        <v>2</v>
      </c>
      <c r="CA749" s="5">
        <f t="shared" si="462"/>
        <v>0.1</v>
      </c>
      <c r="CB749" s="5">
        <f t="shared" si="463"/>
        <v>135.55587878787878</v>
      </c>
      <c r="CC749" s="5">
        <f t="shared" si="464"/>
        <v>13.555587878787879</v>
      </c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R749" s="3" t="b">
        <f t="shared" si="476"/>
        <v>1</v>
      </c>
      <c r="CS749" s="3" t="b">
        <f t="shared" si="477"/>
        <v>1</v>
      </c>
      <c r="CT749" s="3" t="b">
        <f t="shared" si="478"/>
        <v>1</v>
      </c>
      <c r="CU749" s="3" t="b">
        <f t="shared" si="479"/>
        <v>1</v>
      </c>
      <c r="CV749" s="3" t="b">
        <f t="shared" si="480"/>
        <v>1</v>
      </c>
      <c r="CW749" s="3" t="b">
        <f t="shared" si="481"/>
        <v>1</v>
      </c>
      <c r="CX749" s="9" t="str">
        <f t="shared" si="482"/>
        <v>5300135</v>
      </c>
      <c r="CY749" s="9" t="str">
        <f t="shared" si="483"/>
        <v>5202135</v>
      </c>
      <c r="CZ749" s="9" t="str">
        <f t="shared" si="484"/>
        <v>5301132</v>
      </c>
      <c r="DA749" s="9" t="str">
        <f t="shared" si="485"/>
        <v>5500132</v>
      </c>
      <c r="DB749" s="9" t="str">
        <f t="shared" si="486"/>
        <v>5400135</v>
      </c>
      <c r="DC749" s="9" t="str">
        <f t="shared" si="487"/>
        <v>5501135</v>
      </c>
      <c r="DD749" s="9">
        <v>13</v>
      </c>
      <c r="DE749" s="9">
        <v>13</v>
      </c>
      <c r="DF749" s="9">
        <v>13</v>
      </c>
      <c r="DG749" s="9">
        <v>13</v>
      </c>
      <c r="DH749" s="9">
        <v>13</v>
      </c>
      <c r="DI749" s="9">
        <v>13</v>
      </c>
      <c r="DJ749" s="9">
        <v>5</v>
      </c>
      <c r="DK749" s="9">
        <v>5</v>
      </c>
      <c r="DL749" s="9">
        <v>5</v>
      </c>
      <c r="DM749" s="9">
        <v>5</v>
      </c>
      <c r="DN749" s="9">
        <v>5</v>
      </c>
      <c r="DO749" s="9">
        <v>5</v>
      </c>
      <c r="DP749" s="25" t="s">
        <v>212</v>
      </c>
      <c r="DQ749" s="25" t="s">
        <v>213</v>
      </c>
      <c r="DR749" s="26" t="s">
        <v>201</v>
      </c>
      <c r="DS749" s="26" t="s">
        <v>109</v>
      </c>
      <c r="DT749" s="25" t="s">
        <v>210</v>
      </c>
      <c r="DU749" s="25" t="s">
        <v>209</v>
      </c>
      <c r="DV749" s="25">
        <f t="shared" si="488"/>
        <v>1</v>
      </c>
      <c r="DW749" s="25">
        <f t="shared" si="489"/>
        <v>1</v>
      </c>
      <c r="DX749" s="25">
        <f t="shared" si="490"/>
        <v>1</v>
      </c>
      <c r="DY749" s="25">
        <f t="shared" si="491"/>
        <v>2</v>
      </c>
      <c r="DZ749" s="25">
        <f t="shared" si="492"/>
        <v>2</v>
      </c>
      <c r="EA749" s="25">
        <f t="shared" si="493"/>
        <v>2</v>
      </c>
      <c r="EB749" s="29"/>
    </row>
    <row r="750" spans="1:132" ht="13.5" customHeight="1">
      <c r="A750" s="9">
        <v>747</v>
      </c>
      <c r="B750" s="9">
        <v>1</v>
      </c>
      <c r="C750" s="9">
        <v>2001</v>
      </c>
      <c r="D750" s="9">
        <f t="shared" si="466"/>
        <v>45467315</v>
      </c>
      <c r="E750" s="9" t="str">
        <f t="shared" si="467"/>
        <v>5202133,5202132,5201134,5501134,5500133,5501134</v>
      </c>
      <c r="F750" s="9" t="str">
        <f t="shared" si="468"/>
        <v>13,13,13,13,13,13</v>
      </c>
      <c r="G750" s="9" t="str">
        <f t="shared" si="469"/>
        <v>1565,1691,1691,1691,1691,1691</v>
      </c>
      <c r="H750" s="9">
        <v>338</v>
      </c>
      <c r="I750" s="9" t="s">
        <v>278</v>
      </c>
      <c r="J750" s="9" t="s">
        <v>279</v>
      </c>
      <c r="K750" s="9" t="s">
        <v>279</v>
      </c>
      <c r="L750" s="9" t="s">
        <v>279</v>
      </c>
      <c r="M750" s="36" t="s">
        <v>319</v>
      </c>
      <c r="O750" s="3">
        <f t="shared" si="461"/>
        <v>45467315</v>
      </c>
      <c r="P750" s="9">
        <v>34444935.539999999</v>
      </c>
      <c r="Q750" s="9">
        <v>5202133</v>
      </c>
      <c r="R750" s="9">
        <v>5202132</v>
      </c>
      <c r="S750" s="9">
        <v>5201134</v>
      </c>
      <c r="T750" s="9">
        <v>5501134</v>
      </c>
      <c r="U750" s="9">
        <v>5500133</v>
      </c>
      <c r="V750" s="9">
        <v>5501134</v>
      </c>
      <c r="W750" s="9">
        <v>13</v>
      </c>
      <c r="X750" s="9">
        <v>13</v>
      </c>
      <c r="Y750" s="9">
        <v>13</v>
      </c>
      <c r="Z750" s="9">
        <v>13</v>
      </c>
      <c r="AA750" s="9">
        <v>13</v>
      </c>
      <c r="AB750" s="9">
        <v>13</v>
      </c>
      <c r="AC750" s="9">
        <f t="shared" si="470"/>
        <v>1565</v>
      </c>
      <c r="AD750" s="9">
        <f t="shared" si="471"/>
        <v>1691</v>
      </c>
      <c r="AE750" s="9">
        <f t="shared" si="472"/>
        <v>1691</v>
      </c>
      <c r="AF750" s="9">
        <f t="shared" si="473"/>
        <v>1691</v>
      </c>
      <c r="AG750" s="9">
        <f t="shared" si="474"/>
        <v>1691</v>
      </c>
      <c r="AH750" s="9">
        <f t="shared" si="475"/>
        <v>1691</v>
      </c>
      <c r="AI750" s="7">
        <f t="shared" si="465"/>
        <v>5740822.5899999999</v>
      </c>
      <c r="AJ750" s="7">
        <f t="shared" si="465"/>
        <v>5740822.5899999999</v>
      </c>
      <c r="AK750" s="7">
        <f t="shared" si="465"/>
        <v>5740822.5899999999</v>
      </c>
      <c r="AL750" s="7">
        <f t="shared" si="465"/>
        <v>5740822.5899999999</v>
      </c>
      <c r="AM750" s="7">
        <f t="shared" si="465"/>
        <v>5740822.5899999999</v>
      </c>
      <c r="AN750" s="7">
        <f t="shared" si="465"/>
        <v>5740822.5899999999</v>
      </c>
      <c r="BR750" s="5">
        <v>5102063</v>
      </c>
      <c r="BS750" s="18">
        <f>[1]monsters!$N750</f>
        <v>102.4</v>
      </c>
      <c r="BT750" s="18">
        <f>[1]monsters!$O750</f>
        <v>10.24</v>
      </c>
      <c r="BU750" s="18">
        <f>[1]monsters!$P750</f>
        <v>1152</v>
      </c>
      <c r="BV750" s="18">
        <f>[1]monsters!$Q750</f>
        <v>115.2</v>
      </c>
      <c r="BW750" s="18">
        <f>[1]monsters!$R750</f>
        <v>34.130000000000003</v>
      </c>
      <c r="BX750" s="18">
        <f>[1]monsters!$S750</f>
        <v>3.41</v>
      </c>
      <c r="BY750" s="18">
        <f>[1]monsters!$K750</f>
        <v>1.6</v>
      </c>
      <c r="BZ750" s="5">
        <f>[1]monsters!$D750</f>
        <v>2</v>
      </c>
      <c r="CA750" s="5">
        <f t="shared" si="462"/>
        <v>0.1</v>
      </c>
      <c r="CB750" s="5">
        <f t="shared" si="463"/>
        <v>135.55587878787878</v>
      </c>
      <c r="CC750" s="5">
        <f t="shared" si="464"/>
        <v>13.555587878787879</v>
      </c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R750" s="3" t="b">
        <f t="shared" si="476"/>
        <v>1</v>
      </c>
      <c r="CS750" s="3" t="b">
        <f t="shared" si="477"/>
        <v>1</v>
      </c>
      <c r="CT750" s="3" t="b">
        <f t="shared" si="478"/>
        <v>1</v>
      </c>
      <c r="CU750" s="3" t="b">
        <f t="shared" si="479"/>
        <v>1</v>
      </c>
      <c r="CV750" s="3" t="b">
        <f t="shared" si="480"/>
        <v>1</v>
      </c>
      <c r="CW750" s="3" t="b">
        <f t="shared" si="481"/>
        <v>1</v>
      </c>
      <c r="CX750" s="9" t="str">
        <f t="shared" si="482"/>
        <v>5202133</v>
      </c>
      <c r="CY750" s="9" t="str">
        <f t="shared" si="483"/>
        <v>5202132</v>
      </c>
      <c r="CZ750" s="9" t="str">
        <f t="shared" si="484"/>
        <v>5201134</v>
      </c>
      <c r="DA750" s="9" t="str">
        <f t="shared" si="485"/>
        <v>5501134</v>
      </c>
      <c r="DB750" s="9" t="str">
        <f t="shared" si="486"/>
        <v>5500133</v>
      </c>
      <c r="DC750" s="9" t="str">
        <f t="shared" si="487"/>
        <v>5501134</v>
      </c>
      <c r="DD750" s="9">
        <v>13</v>
      </c>
      <c r="DE750" s="9">
        <v>13</v>
      </c>
      <c r="DF750" s="9">
        <v>13</v>
      </c>
      <c r="DG750" s="9">
        <v>13</v>
      </c>
      <c r="DH750" s="9">
        <v>13</v>
      </c>
      <c r="DI750" s="9">
        <v>13</v>
      </c>
      <c r="DJ750" s="9">
        <v>5</v>
      </c>
      <c r="DK750" s="9">
        <v>5</v>
      </c>
      <c r="DL750" s="9">
        <v>5</v>
      </c>
      <c r="DM750" s="9">
        <v>5</v>
      </c>
      <c r="DN750" s="9">
        <v>5</v>
      </c>
      <c r="DO750" s="9">
        <v>5</v>
      </c>
      <c r="DP750" s="25" t="s">
        <v>208</v>
      </c>
      <c r="DQ750" s="25" t="s">
        <v>200</v>
      </c>
      <c r="DR750" s="26" t="s">
        <v>217</v>
      </c>
      <c r="DS750" s="26" t="s">
        <v>214</v>
      </c>
      <c r="DT750" s="26" t="s">
        <v>207</v>
      </c>
      <c r="DU750" s="26" t="s">
        <v>214</v>
      </c>
      <c r="DV750" s="25">
        <f t="shared" si="488"/>
        <v>1</v>
      </c>
      <c r="DW750" s="25">
        <f t="shared" si="489"/>
        <v>1</v>
      </c>
      <c r="DX750" s="25">
        <f t="shared" si="490"/>
        <v>1</v>
      </c>
      <c r="DY750" s="25">
        <f t="shared" si="491"/>
        <v>2</v>
      </c>
      <c r="DZ750" s="25">
        <f t="shared" si="492"/>
        <v>2</v>
      </c>
      <c r="EA750" s="25">
        <f t="shared" si="493"/>
        <v>2</v>
      </c>
      <c r="EB750" s="29"/>
    </row>
    <row r="751" spans="1:132" ht="13.5" customHeight="1">
      <c r="A751" s="9">
        <v>748</v>
      </c>
      <c r="B751" s="9">
        <v>1</v>
      </c>
      <c r="C751" s="9">
        <v>2001</v>
      </c>
      <c r="D751" s="9">
        <f t="shared" si="466"/>
        <v>45571412</v>
      </c>
      <c r="E751" s="9" t="str">
        <f t="shared" si="467"/>
        <v>5202133,5202132,5301133,5601133,5500133,5502133</v>
      </c>
      <c r="F751" s="9" t="str">
        <f t="shared" si="468"/>
        <v>13,13,13,13,13,13</v>
      </c>
      <c r="G751" s="9" t="str">
        <f t="shared" si="469"/>
        <v>1567,1693,1693,1693,1693,1693</v>
      </c>
      <c r="H751" s="9">
        <v>339</v>
      </c>
      <c r="I751" s="9" t="s">
        <v>278</v>
      </c>
      <c r="J751" s="9" t="s">
        <v>279</v>
      </c>
      <c r="K751" s="9" t="s">
        <v>279</v>
      </c>
      <c r="L751" s="9" t="s">
        <v>279</v>
      </c>
      <c r="M751" s="36" t="s">
        <v>319</v>
      </c>
      <c r="O751" s="3">
        <f t="shared" si="461"/>
        <v>45571412</v>
      </c>
      <c r="P751" s="9">
        <v>34523796.789999999</v>
      </c>
      <c r="Q751" s="9">
        <v>5202133</v>
      </c>
      <c r="R751" s="9">
        <v>5202132</v>
      </c>
      <c r="S751" s="9">
        <v>5301133</v>
      </c>
      <c r="T751" s="9">
        <v>5601133</v>
      </c>
      <c r="U751" s="9">
        <v>5500133</v>
      </c>
      <c r="V751" s="9">
        <v>5502133</v>
      </c>
      <c r="W751" s="9">
        <v>13</v>
      </c>
      <c r="X751" s="9">
        <v>13</v>
      </c>
      <c r="Y751" s="9">
        <v>13</v>
      </c>
      <c r="Z751" s="9">
        <v>13</v>
      </c>
      <c r="AA751" s="9">
        <v>13</v>
      </c>
      <c r="AB751" s="9">
        <v>13</v>
      </c>
      <c r="AC751" s="9">
        <f t="shared" si="470"/>
        <v>1567</v>
      </c>
      <c r="AD751" s="9">
        <f t="shared" si="471"/>
        <v>1693</v>
      </c>
      <c r="AE751" s="9">
        <f t="shared" si="472"/>
        <v>1693</v>
      </c>
      <c r="AF751" s="9">
        <f t="shared" si="473"/>
        <v>1693</v>
      </c>
      <c r="AG751" s="9">
        <f t="shared" si="474"/>
        <v>1693</v>
      </c>
      <c r="AH751" s="9">
        <f t="shared" si="475"/>
        <v>1693</v>
      </c>
      <c r="AI751" s="7">
        <f t="shared" si="465"/>
        <v>5753966.1316666668</v>
      </c>
      <c r="AJ751" s="7">
        <f t="shared" si="465"/>
        <v>5753966.1316666668</v>
      </c>
      <c r="AK751" s="7">
        <f t="shared" si="465"/>
        <v>5753966.1316666668</v>
      </c>
      <c r="AL751" s="7">
        <f t="shared" si="465"/>
        <v>5753966.1316666668</v>
      </c>
      <c r="AM751" s="7">
        <f t="shared" si="465"/>
        <v>5753966.1316666668</v>
      </c>
      <c r="AN751" s="7">
        <f t="shared" si="465"/>
        <v>5753966.1316666668</v>
      </c>
      <c r="BR751" s="5">
        <v>5206064</v>
      </c>
      <c r="BS751" s="18">
        <f>[1]monsters!$N751</f>
        <v>102.4</v>
      </c>
      <c r="BT751" s="18">
        <f>[1]monsters!$O751</f>
        <v>10.24</v>
      </c>
      <c r="BU751" s="18">
        <f>[1]monsters!$P751</f>
        <v>1152</v>
      </c>
      <c r="BV751" s="18">
        <f>[1]monsters!$Q751</f>
        <v>115.2</v>
      </c>
      <c r="BW751" s="18">
        <f>[1]monsters!$R751</f>
        <v>34.130000000000003</v>
      </c>
      <c r="BX751" s="18">
        <f>[1]monsters!$S751</f>
        <v>3.41</v>
      </c>
      <c r="BY751" s="18">
        <f>[1]monsters!$K751</f>
        <v>1.6</v>
      </c>
      <c r="BZ751" s="5">
        <f>[1]monsters!$D751</f>
        <v>2</v>
      </c>
      <c r="CA751" s="5">
        <f t="shared" si="462"/>
        <v>0.1</v>
      </c>
      <c r="CB751" s="5">
        <f t="shared" si="463"/>
        <v>135.55587878787878</v>
      </c>
      <c r="CC751" s="5">
        <f t="shared" si="464"/>
        <v>13.555587878787879</v>
      </c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R751" s="3" t="b">
        <f t="shared" si="476"/>
        <v>1</v>
      </c>
      <c r="CS751" s="3" t="b">
        <f t="shared" si="477"/>
        <v>1</v>
      </c>
      <c r="CT751" s="3" t="b">
        <f t="shared" si="478"/>
        <v>1</v>
      </c>
      <c r="CU751" s="3" t="b">
        <f t="shared" si="479"/>
        <v>1</v>
      </c>
      <c r="CV751" s="3" t="b">
        <f t="shared" si="480"/>
        <v>1</v>
      </c>
      <c r="CW751" s="3" t="b">
        <f t="shared" si="481"/>
        <v>1</v>
      </c>
      <c r="CX751" s="9" t="str">
        <f t="shared" si="482"/>
        <v>5202133</v>
      </c>
      <c r="CY751" s="9" t="str">
        <f t="shared" si="483"/>
        <v>5202132</v>
      </c>
      <c r="CZ751" s="9" t="str">
        <f t="shared" si="484"/>
        <v>5301133</v>
      </c>
      <c r="DA751" s="9" t="str">
        <f t="shared" si="485"/>
        <v>5601133</v>
      </c>
      <c r="DB751" s="9" t="str">
        <f t="shared" si="486"/>
        <v>5500133</v>
      </c>
      <c r="DC751" s="9" t="str">
        <f t="shared" si="487"/>
        <v>5502133</v>
      </c>
      <c r="DD751" s="9">
        <v>13</v>
      </c>
      <c r="DE751" s="9">
        <v>13</v>
      </c>
      <c r="DF751" s="9">
        <v>13</v>
      </c>
      <c r="DG751" s="9">
        <v>13</v>
      </c>
      <c r="DH751" s="9">
        <v>13</v>
      </c>
      <c r="DI751" s="9">
        <v>13</v>
      </c>
      <c r="DJ751" s="9">
        <v>5</v>
      </c>
      <c r="DK751" s="9">
        <v>5</v>
      </c>
      <c r="DL751" s="9">
        <v>5</v>
      </c>
      <c r="DM751" s="9">
        <v>5</v>
      </c>
      <c r="DN751" s="9">
        <v>5</v>
      </c>
      <c r="DO751" s="9">
        <v>5</v>
      </c>
      <c r="DP751" s="25" t="s">
        <v>208</v>
      </c>
      <c r="DQ751" s="25" t="s">
        <v>200</v>
      </c>
      <c r="DR751" s="25" t="s">
        <v>206</v>
      </c>
      <c r="DS751" s="25" t="s">
        <v>216</v>
      </c>
      <c r="DT751" s="26" t="s">
        <v>207</v>
      </c>
      <c r="DU751" s="26" t="s">
        <v>215</v>
      </c>
      <c r="DV751" s="25">
        <f t="shared" si="488"/>
        <v>1</v>
      </c>
      <c r="DW751" s="25">
        <f t="shared" si="489"/>
        <v>1</v>
      </c>
      <c r="DX751" s="25">
        <f t="shared" si="490"/>
        <v>1</v>
      </c>
      <c r="DY751" s="25">
        <f t="shared" si="491"/>
        <v>2</v>
      </c>
      <c r="DZ751" s="25">
        <f t="shared" si="492"/>
        <v>2</v>
      </c>
      <c r="EA751" s="25">
        <f t="shared" si="493"/>
        <v>2</v>
      </c>
      <c r="EB751" s="38"/>
    </row>
    <row r="752" spans="1:132" ht="13.5" customHeight="1">
      <c r="A752" s="9">
        <v>749</v>
      </c>
      <c r="B752" s="9">
        <v>1</v>
      </c>
      <c r="C752" s="9">
        <v>2001</v>
      </c>
      <c r="D752" s="9">
        <f t="shared" si="466"/>
        <v>45675631</v>
      </c>
      <c r="E752" s="9" t="str">
        <f t="shared" si="467"/>
        <v>5201133,5201133,5201133,5402133,5402133,5402133</v>
      </c>
      <c r="F752" s="9" t="str">
        <f t="shared" si="468"/>
        <v>13,13,13,13,13,13</v>
      </c>
      <c r="G752" s="9" t="str">
        <f t="shared" si="469"/>
        <v>1569,1695,1695,1695,1695,1695</v>
      </c>
      <c r="H752" s="9">
        <v>339</v>
      </c>
      <c r="I752" s="9" t="s">
        <v>278</v>
      </c>
      <c r="J752" s="9" t="s">
        <v>279</v>
      </c>
      <c r="K752" s="9" t="s">
        <v>279</v>
      </c>
      <c r="L752" s="9" t="s">
        <v>279</v>
      </c>
      <c r="M752" s="36" t="s">
        <v>319</v>
      </c>
      <c r="O752" s="3">
        <f t="shared" si="461"/>
        <v>45675631</v>
      </c>
      <c r="P752" s="9">
        <v>34602750.880000003</v>
      </c>
      <c r="Q752" s="9">
        <v>5201133</v>
      </c>
      <c r="R752" s="9">
        <v>5201133</v>
      </c>
      <c r="S752" s="9">
        <v>5201133</v>
      </c>
      <c r="T752" s="9">
        <v>5402133</v>
      </c>
      <c r="U752" s="9">
        <v>5402133</v>
      </c>
      <c r="V752" s="9">
        <v>5402133</v>
      </c>
      <c r="W752" s="9">
        <v>13</v>
      </c>
      <c r="X752" s="9">
        <v>13</v>
      </c>
      <c r="Y752" s="9">
        <v>13</v>
      </c>
      <c r="Z752" s="9">
        <v>13</v>
      </c>
      <c r="AA752" s="9">
        <v>13</v>
      </c>
      <c r="AB752" s="9">
        <v>13</v>
      </c>
      <c r="AC752" s="9">
        <f t="shared" si="470"/>
        <v>1569</v>
      </c>
      <c r="AD752" s="9">
        <f t="shared" si="471"/>
        <v>1695</v>
      </c>
      <c r="AE752" s="9">
        <f t="shared" si="472"/>
        <v>1695</v>
      </c>
      <c r="AF752" s="9">
        <f t="shared" si="473"/>
        <v>1695</v>
      </c>
      <c r="AG752" s="9">
        <f t="shared" si="474"/>
        <v>1695</v>
      </c>
      <c r="AH752" s="9">
        <f t="shared" si="475"/>
        <v>1695</v>
      </c>
      <c r="AI752" s="7">
        <f t="shared" si="465"/>
        <v>5767125.1466666674</v>
      </c>
      <c r="AJ752" s="7">
        <f t="shared" si="465"/>
        <v>5767125.1466666674</v>
      </c>
      <c r="AK752" s="7">
        <f t="shared" si="465"/>
        <v>5767125.1466666674</v>
      </c>
      <c r="AL752" s="7">
        <f t="shared" si="465"/>
        <v>5767125.1466666674</v>
      </c>
      <c r="AM752" s="7">
        <f t="shared" si="465"/>
        <v>5767125.1466666674</v>
      </c>
      <c r="AN752" s="7">
        <f t="shared" si="465"/>
        <v>5767125.1466666674</v>
      </c>
      <c r="BR752" s="5">
        <v>5406064</v>
      </c>
      <c r="BS752" s="18">
        <f>[1]monsters!$N752</f>
        <v>119.47</v>
      </c>
      <c r="BT752" s="18">
        <f>[1]monsters!$O752</f>
        <v>11.95</v>
      </c>
      <c r="BU752" s="18">
        <f>[1]monsters!$P752</f>
        <v>1344</v>
      </c>
      <c r="BV752" s="18">
        <f>[1]monsters!$Q752</f>
        <v>134.4</v>
      </c>
      <c r="BW752" s="18">
        <f>[1]monsters!$R752</f>
        <v>39.82</v>
      </c>
      <c r="BX752" s="18">
        <f>[1]monsters!$S752</f>
        <v>3.98</v>
      </c>
      <c r="BY752" s="18">
        <f>[1]monsters!$K752</f>
        <v>1.6</v>
      </c>
      <c r="BZ752" s="5">
        <f>[1]monsters!$D752</f>
        <v>2</v>
      </c>
      <c r="CA752" s="5">
        <f t="shared" si="462"/>
        <v>0.1</v>
      </c>
      <c r="CB752" s="5">
        <f t="shared" si="463"/>
        <v>158.15167525252525</v>
      </c>
      <c r="CC752" s="5">
        <f t="shared" si="464"/>
        <v>15.815167525252527</v>
      </c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R752" s="3" t="b">
        <f t="shared" si="476"/>
        <v>1</v>
      </c>
      <c r="CS752" s="3" t="b">
        <f t="shared" si="477"/>
        <v>1</v>
      </c>
      <c r="CT752" s="3" t="b">
        <f t="shared" si="478"/>
        <v>1</v>
      </c>
      <c r="CU752" s="3" t="b">
        <f t="shared" si="479"/>
        <v>1</v>
      </c>
      <c r="CV752" s="3" t="b">
        <f t="shared" si="480"/>
        <v>1</v>
      </c>
      <c r="CW752" s="3" t="b">
        <f t="shared" si="481"/>
        <v>1</v>
      </c>
      <c r="CX752" s="9" t="str">
        <f t="shared" si="482"/>
        <v>5201133</v>
      </c>
      <c r="CY752" s="9" t="str">
        <f t="shared" si="483"/>
        <v>5201133</v>
      </c>
      <c r="CZ752" s="9" t="str">
        <f t="shared" si="484"/>
        <v>5201133</v>
      </c>
      <c r="DA752" s="9" t="str">
        <f t="shared" si="485"/>
        <v>5402133</v>
      </c>
      <c r="DB752" s="9" t="str">
        <f t="shared" si="486"/>
        <v>5402133</v>
      </c>
      <c r="DC752" s="9" t="str">
        <f t="shared" si="487"/>
        <v>5402133</v>
      </c>
      <c r="DD752" s="9">
        <v>13</v>
      </c>
      <c r="DE752" s="9">
        <v>13</v>
      </c>
      <c r="DF752" s="9">
        <v>13</v>
      </c>
      <c r="DG752" s="9">
        <v>13</v>
      </c>
      <c r="DH752" s="9">
        <v>13</v>
      </c>
      <c r="DI752" s="9">
        <v>13</v>
      </c>
      <c r="DJ752" s="9">
        <v>5</v>
      </c>
      <c r="DK752" s="9">
        <v>5</v>
      </c>
      <c r="DL752" s="9">
        <v>5</v>
      </c>
      <c r="DM752" s="9">
        <v>5</v>
      </c>
      <c r="DN752" s="9">
        <v>5</v>
      </c>
      <c r="DO752" s="9">
        <v>5</v>
      </c>
      <c r="DP752" s="25" t="s">
        <v>205</v>
      </c>
      <c r="DQ752" s="25" t="s">
        <v>205</v>
      </c>
      <c r="DR752" s="25" t="s">
        <v>205</v>
      </c>
      <c r="DS752" s="26" t="s">
        <v>118</v>
      </c>
      <c r="DT752" s="26" t="s">
        <v>118</v>
      </c>
      <c r="DU752" s="26" t="s">
        <v>118</v>
      </c>
      <c r="DV752" s="25">
        <f t="shared" si="488"/>
        <v>1</v>
      </c>
      <c r="DW752" s="25">
        <f t="shared" si="489"/>
        <v>1</v>
      </c>
      <c r="DX752" s="25">
        <f t="shared" si="490"/>
        <v>1</v>
      </c>
      <c r="DY752" s="25">
        <f t="shared" si="491"/>
        <v>2</v>
      </c>
      <c r="DZ752" s="25">
        <f t="shared" si="492"/>
        <v>2</v>
      </c>
      <c r="EA752" s="25">
        <f t="shared" si="493"/>
        <v>2</v>
      </c>
      <c r="EB752" s="38"/>
    </row>
    <row r="753" spans="1:132" ht="13.5" customHeight="1">
      <c r="A753" s="9">
        <v>750</v>
      </c>
      <c r="B753" s="9">
        <v>1</v>
      </c>
      <c r="C753" s="9">
        <v>2001</v>
      </c>
      <c r="D753" s="9">
        <f t="shared" si="466"/>
        <v>45779968</v>
      </c>
      <c r="E753" s="9" t="str">
        <f t="shared" si="467"/>
        <v>5302135,5202135,5202135,5502132,5500132,5502133</v>
      </c>
      <c r="F753" s="9" t="str">
        <f t="shared" si="468"/>
        <v>13,13,13,13,13,13</v>
      </c>
      <c r="G753" s="9" t="str">
        <f t="shared" si="469"/>
        <v>1571,1697,1697,1697,1697,1697</v>
      </c>
      <c r="H753" s="9">
        <v>340</v>
      </c>
      <c r="I753" s="9" t="s">
        <v>278</v>
      </c>
      <c r="J753" s="9" t="s">
        <v>279</v>
      </c>
      <c r="K753" s="9" t="s">
        <v>279</v>
      </c>
      <c r="L753" s="9" t="s">
        <v>279</v>
      </c>
      <c r="M753" s="36" t="s">
        <v>319</v>
      </c>
      <c r="O753" s="3">
        <f t="shared" si="461"/>
        <v>45779968</v>
      </c>
      <c r="P753" s="9">
        <v>34681793.590000004</v>
      </c>
      <c r="Q753" s="9">
        <v>5302135</v>
      </c>
      <c r="R753" s="9">
        <v>5202135</v>
      </c>
      <c r="S753" s="9">
        <v>5202135</v>
      </c>
      <c r="T753" s="9">
        <v>5502132</v>
      </c>
      <c r="U753" s="9">
        <v>5500132</v>
      </c>
      <c r="V753" s="9">
        <v>5502133</v>
      </c>
      <c r="W753" s="9">
        <v>13</v>
      </c>
      <c r="X753" s="9">
        <v>13</v>
      </c>
      <c r="Y753" s="9">
        <v>13</v>
      </c>
      <c r="Z753" s="9">
        <v>13</v>
      </c>
      <c r="AA753" s="9">
        <v>13</v>
      </c>
      <c r="AB753" s="9">
        <v>13</v>
      </c>
      <c r="AC753" s="9">
        <f t="shared" si="470"/>
        <v>1571</v>
      </c>
      <c r="AD753" s="9">
        <f t="shared" si="471"/>
        <v>1697</v>
      </c>
      <c r="AE753" s="9">
        <f t="shared" si="472"/>
        <v>1697</v>
      </c>
      <c r="AF753" s="9">
        <f t="shared" si="473"/>
        <v>1697</v>
      </c>
      <c r="AG753" s="9">
        <f t="shared" si="474"/>
        <v>1697</v>
      </c>
      <c r="AH753" s="9">
        <f t="shared" si="475"/>
        <v>1697</v>
      </c>
      <c r="AI753" s="7">
        <f t="shared" si="465"/>
        <v>5780298.9316666676</v>
      </c>
      <c r="AJ753" s="7">
        <f t="shared" si="465"/>
        <v>5780298.9316666676</v>
      </c>
      <c r="AK753" s="7">
        <f t="shared" si="465"/>
        <v>5780298.9316666676</v>
      </c>
      <c r="AL753" s="7">
        <f t="shared" si="465"/>
        <v>5780298.9316666676</v>
      </c>
      <c r="AM753" s="7">
        <f t="shared" si="465"/>
        <v>5780298.9316666676</v>
      </c>
      <c r="AN753" s="7">
        <f t="shared" si="465"/>
        <v>5780298.9316666676</v>
      </c>
      <c r="BR753" s="5">
        <v>5205064</v>
      </c>
      <c r="BS753" s="18">
        <f>[1]monsters!$N753</f>
        <v>119.47</v>
      </c>
      <c r="BT753" s="18">
        <f>[1]monsters!$O753</f>
        <v>11.95</v>
      </c>
      <c r="BU753" s="18">
        <f>[1]monsters!$P753</f>
        <v>1344</v>
      </c>
      <c r="BV753" s="18">
        <f>[1]monsters!$Q753</f>
        <v>134.4</v>
      </c>
      <c r="BW753" s="18">
        <f>[1]monsters!$R753</f>
        <v>39.82</v>
      </c>
      <c r="BX753" s="18">
        <f>[1]monsters!$S753</f>
        <v>3.98</v>
      </c>
      <c r="BY753" s="18">
        <f>[1]monsters!$K753</f>
        <v>1.6</v>
      </c>
      <c r="BZ753" s="5">
        <f>[1]monsters!$D753</f>
        <v>2</v>
      </c>
      <c r="CA753" s="5">
        <f t="shared" si="462"/>
        <v>0.1</v>
      </c>
      <c r="CB753" s="5">
        <f t="shared" si="463"/>
        <v>158.15167525252525</v>
      </c>
      <c r="CC753" s="5">
        <f t="shared" si="464"/>
        <v>15.815167525252527</v>
      </c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R753" s="3" t="b">
        <f t="shared" si="476"/>
        <v>1</v>
      </c>
      <c r="CS753" s="3" t="b">
        <f t="shared" si="477"/>
        <v>1</v>
      </c>
      <c r="CT753" s="3" t="b">
        <f t="shared" si="478"/>
        <v>1</v>
      </c>
      <c r="CU753" s="3" t="b">
        <f t="shared" si="479"/>
        <v>1</v>
      </c>
      <c r="CV753" s="3" t="b">
        <f t="shared" si="480"/>
        <v>1</v>
      </c>
      <c r="CW753" s="3" t="b">
        <f t="shared" si="481"/>
        <v>1</v>
      </c>
      <c r="CX753" s="9" t="str">
        <f t="shared" si="482"/>
        <v>5302135</v>
      </c>
      <c r="CY753" s="9" t="str">
        <f t="shared" si="483"/>
        <v>5202135</v>
      </c>
      <c r="CZ753" s="9" t="str">
        <f t="shared" si="484"/>
        <v>5202135</v>
      </c>
      <c r="DA753" s="9" t="str">
        <f t="shared" si="485"/>
        <v>5502132</v>
      </c>
      <c r="DB753" s="9" t="str">
        <f t="shared" si="486"/>
        <v>5500132</v>
      </c>
      <c r="DC753" s="9" t="str">
        <f t="shared" si="487"/>
        <v>5502133</v>
      </c>
      <c r="DD753" s="9">
        <v>13</v>
      </c>
      <c r="DE753" s="9">
        <v>13</v>
      </c>
      <c r="DF753" s="9">
        <v>13</v>
      </c>
      <c r="DG753" s="9">
        <v>13</v>
      </c>
      <c r="DH753" s="9">
        <v>13</v>
      </c>
      <c r="DI753" s="9">
        <v>13</v>
      </c>
      <c r="DJ753" s="9">
        <v>5</v>
      </c>
      <c r="DK753" s="9">
        <v>5</v>
      </c>
      <c r="DL753" s="9">
        <v>5</v>
      </c>
      <c r="DM753" s="9">
        <v>5</v>
      </c>
      <c r="DN753" s="9">
        <v>5</v>
      </c>
      <c r="DO753" s="9">
        <v>5</v>
      </c>
      <c r="DP753" s="25" t="s">
        <v>221</v>
      </c>
      <c r="DQ753" s="25" t="s">
        <v>213</v>
      </c>
      <c r="DR753" s="25" t="s">
        <v>213</v>
      </c>
      <c r="DS753" s="26" t="s">
        <v>204</v>
      </c>
      <c r="DT753" s="26" t="s">
        <v>109</v>
      </c>
      <c r="DU753" s="26" t="s">
        <v>215</v>
      </c>
      <c r="DV753" s="25">
        <f t="shared" si="488"/>
        <v>1</v>
      </c>
      <c r="DW753" s="25">
        <f t="shared" si="489"/>
        <v>1</v>
      </c>
      <c r="DX753" s="25">
        <f t="shared" si="490"/>
        <v>1</v>
      </c>
      <c r="DY753" s="25">
        <f t="shared" si="491"/>
        <v>2</v>
      </c>
      <c r="DZ753" s="25">
        <f t="shared" si="492"/>
        <v>2</v>
      </c>
      <c r="EA753" s="25">
        <f t="shared" si="493"/>
        <v>2</v>
      </c>
      <c r="EB753" s="38"/>
    </row>
    <row r="754" spans="1:132" ht="13.5" customHeight="1">
      <c r="A754" s="9">
        <v>751</v>
      </c>
      <c r="B754" s="9">
        <v>1</v>
      </c>
      <c r="C754" s="9">
        <v>2001</v>
      </c>
      <c r="D754" s="9">
        <f t="shared" si="466"/>
        <v>45884424</v>
      </c>
      <c r="E754" s="9" t="str">
        <f t="shared" si="467"/>
        <v>5200132,5200133,5200132,5401131,5401133,5401132</v>
      </c>
      <c r="F754" s="9" t="str">
        <f t="shared" si="468"/>
        <v>13,13,13,13,13,13</v>
      </c>
      <c r="G754" s="9" t="str">
        <f t="shared" si="469"/>
        <v>1572,1699,1699,1699,1699,1699</v>
      </c>
      <c r="H754" s="9">
        <v>340</v>
      </c>
      <c r="I754" s="9" t="s">
        <v>278</v>
      </c>
      <c r="J754" s="9" t="s">
        <v>279</v>
      </c>
      <c r="K754" s="9" t="s">
        <v>279</v>
      </c>
      <c r="L754" s="9" t="s">
        <v>279</v>
      </c>
      <c r="M754" s="36" t="s">
        <v>319</v>
      </c>
      <c r="O754" s="3">
        <f t="shared" si="461"/>
        <v>45884424</v>
      </c>
      <c r="P754" s="9">
        <v>34760927.030000001</v>
      </c>
      <c r="Q754" s="9">
        <v>5200132</v>
      </c>
      <c r="R754" s="9">
        <v>5200133</v>
      </c>
      <c r="S754" s="9">
        <v>5200132</v>
      </c>
      <c r="T754" s="9">
        <v>5401131</v>
      </c>
      <c r="U754" s="9">
        <v>5401133</v>
      </c>
      <c r="V754" s="9">
        <v>5401132</v>
      </c>
      <c r="W754" s="9">
        <v>13</v>
      </c>
      <c r="X754" s="9">
        <v>13</v>
      </c>
      <c r="Y754" s="9">
        <v>13</v>
      </c>
      <c r="Z754" s="9">
        <v>13</v>
      </c>
      <c r="AA754" s="9">
        <v>13</v>
      </c>
      <c r="AB754" s="9">
        <v>13</v>
      </c>
      <c r="AC754" s="9">
        <f t="shared" si="470"/>
        <v>1572</v>
      </c>
      <c r="AD754" s="9">
        <f t="shared" si="471"/>
        <v>1699</v>
      </c>
      <c r="AE754" s="9">
        <f t="shared" si="472"/>
        <v>1699</v>
      </c>
      <c r="AF754" s="9">
        <f t="shared" si="473"/>
        <v>1699</v>
      </c>
      <c r="AG754" s="9">
        <f t="shared" si="474"/>
        <v>1699</v>
      </c>
      <c r="AH754" s="9">
        <f t="shared" si="475"/>
        <v>1699</v>
      </c>
      <c r="AI754" s="7">
        <f t="shared" si="465"/>
        <v>5793487.8383333338</v>
      </c>
      <c r="AJ754" s="7">
        <f t="shared" si="465"/>
        <v>5793487.8383333338</v>
      </c>
      <c r="AK754" s="7">
        <f t="shared" si="465"/>
        <v>5793487.8383333338</v>
      </c>
      <c r="AL754" s="7">
        <f t="shared" si="465"/>
        <v>5793487.8383333338</v>
      </c>
      <c r="AM754" s="7">
        <f t="shared" si="465"/>
        <v>5793487.8383333338</v>
      </c>
      <c r="AN754" s="7">
        <f t="shared" si="465"/>
        <v>5793487.8383333338</v>
      </c>
      <c r="BR754" s="5">
        <v>5405064</v>
      </c>
      <c r="BS754" s="18">
        <f>[1]monsters!$N754</f>
        <v>119.47</v>
      </c>
      <c r="BT754" s="18">
        <f>[1]monsters!$O754</f>
        <v>11.95</v>
      </c>
      <c r="BU754" s="18">
        <f>[1]monsters!$P754</f>
        <v>1344</v>
      </c>
      <c r="BV754" s="18">
        <f>[1]monsters!$Q754</f>
        <v>134.4</v>
      </c>
      <c r="BW754" s="18">
        <f>[1]monsters!$R754</f>
        <v>39.82</v>
      </c>
      <c r="BX754" s="18">
        <f>[1]monsters!$S754</f>
        <v>3.98</v>
      </c>
      <c r="BY754" s="18">
        <f>[1]monsters!$K754</f>
        <v>1.6</v>
      </c>
      <c r="BZ754" s="5">
        <f>[1]monsters!$D754</f>
        <v>2</v>
      </c>
      <c r="CA754" s="5">
        <f t="shared" si="462"/>
        <v>0.1</v>
      </c>
      <c r="CB754" s="5">
        <f t="shared" si="463"/>
        <v>158.15167525252525</v>
      </c>
      <c r="CC754" s="5">
        <f t="shared" si="464"/>
        <v>15.815167525252527</v>
      </c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R754" s="3" t="b">
        <f t="shared" si="476"/>
        <v>1</v>
      </c>
      <c r="CS754" s="3" t="b">
        <f t="shared" si="477"/>
        <v>1</v>
      </c>
      <c r="CT754" s="3" t="b">
        <f t="shared" si="478"/>
        <v>1</v>
      </c>
      <c r="CU754" s="3" t="b">
        <f t="shared" si="479"/>
        <v>1</v>
      </c>
      <c r="CV754" s="3" t="b">
        <f t="shared" si="480"/>
        <v>1</v>
      </c>
      <c r="CW754" s="3" t="b">
        <f t="shared" si="481"/>
        <v>1</v>
      </c>
      <c r="CX754" s="9" t="str">
        <f t="shared" si="482"/>
        <v>5200132</v>
      </c>
      <c r="CY754" s="9" t="str">
        <f t="shared" si="483"/>
        <v>5200133</v>
      </c>
      <c r="CZ754" s="9" t="str">
        <f t="shared" si="484"/>
        <v>5200132</v>
      </c>
      <c r="DA754" s="9" t="str">
        <f t="shared" si="485"/>
        <v>5401131</v>
      </c>
      <c r="DB754" s="9" t="str">
        <f t="shared" si="486"/>
        <v>5401133</v>
      </c>
      <c r="DC754" s="9" t="str">
        <f t="shared" si="487"/>
        <v>5401132</v>
      </c>
      <c r="DD754" s="9">
        <v>13</v>
      </c>
      <c r="DE754" s="9">
        <v>13</v>
      </c>
      <c r="DF754" s="9">
        <v>13</v>
      </c>
      <c r="DG754" s="9">
        <v>13</v>
      </c>
      <c r="DH754" s="9">
        <v>13</v>
      </c>
      <c r="DI754" s="9">
        <v>13</v>
      </c>
      <c r="DJ754" s="9">
        <v>5</v>
      </c>
      <c r="DK754" s="9">
        <v>5</v>
      </c>
      <c r="DL754" s="9">
        <v>5</v>
      </c>
      <c r="DM754" s="9">
        <v>5</v>
      </c>
      <c r="DN754" s="9">
        <v>5</v>
      </c>
      <c r="DO754" s="9">
        <v>5</v>
      </c>
      <c r="DP754" s="25" t="s">
        <v>199</v>
      </c>
      <c r="DQ754" s="25" t="s">
        <v>113</v>
      </c>
      <c r="DR754" s="25" t="s">
        <v>199</v>
      </c>
      <c r="DS754" s="26" t="s">
        <v>117</v>
      </c>
      <c r="DT754" s="26" t="s">
        <v>211</v>
      </c>
      <c r="DU754" s="26" t="s">
        <v>202</v>
      </c>
      <c r="DV754" s="25">
        <f t="shared" si="488"/>
        <v>1</v>
      </c>
      <c r="DW754" s="25">
        <f t="shared" si="489"/>
        <v>1</v>
      </c>
      <c r="DX754" s="25">
        <f t="shared" si="490"/>
        <v>1</v>
      </c>
      <c r="DY754" s="25">
        <f t="shared" si="491"/>
        <v>2</v>
      </c>
      <c r="DZ754" s="25">
        <f t="shared" si="492"/>
        <v>2</v>
      </c>
      <c r="EA754" s="25">
        <f t="shared" si="493"/>
        <v>2</v>
      </c>
      <c r="EB754" s="49"/>
    </row>
    <row r="755" spans="1:132" ht="13.5" customHeight="1">
      <c r="A755" s="9">
        <v>752</v>
      </c>
      <c r="B755" s="9">
        <v>1</v>
      </c>
      <c r="C755" s="9">
        <v>2001</v>
      </c>
      <c r="D755" s="9">
        <f t="shared" si="466"/>
        <v>45989000</v>
      </c>
      <c r="E755" s="9" t="str">
        <f t="shared" si="467"/>
        <v>5202131,5202132,5301132,5502131,5500131,5502131</v>
      </c>
      <c r="F755" s="9" t="str">
        <f t="shared" si="468"/>
        <v>13,13,13,13,13,13</v>
      </c>
      <c r="G755" s="9" t="str">
        <f t="shared" si="469"/>
        <v>1574,1701,1701,1701,1701,1701</v>
      </c>
      <c r="H755" s="9">
        <v>340</v>
      </c>
      <c r="I755" s="9" t="s">
        <v>278</v>
      </c>
      <c r="J755" s="9" t="s">
        <v>279</v>
      </c>
      <c r="K755" s="9" t="s">
        <v>279</v>
      </c>
      <c r="L755" s="9" t="s">
        <v>279</v>
      </c>
      <c r="M755" s="36" t="s">
        <v>319</v>
      </c>
      <c r="O755" s="3">
        <f t="shared" si="461"/>
        <v>45989000</v>
      </c>
      <c r="P755" s="9">
        <v>34840151.200000003</v>
      </c>
      <c r="Q755" s="9">
        <v>5202131</v>
      </c>
      <c r="R755" s="9">
        <v>5202132</v>
      </c>
      <c r="S755" s="9">
        <v>5301132</v>
      </c>
      <c r="T755" s="9">
        <v>5502131</v>
      </c>
      <c r="U755" s="9">
        <v>5500131</v>
      </c>
      <c r="V755" s="9">
        <v>5502131</v>
      </c>
      <c r="W755" s="9">
        <v>13</v>
      </c>
      <c r="X755" s="9">
        <v>13</v>
      </c>
      <c r="Y755" s="9">
        <v>13</v>
      </c>
      <c r="Z755" s="9">
        <v>13</v>
      </c>
      <c r="AA755" s="9">
        <v>13</v>
      </c>
      <c r="AB755" s="9">
        <v>13</v>
      </c>
      <c r="AC755" s="9">
        <f t="shared" si="470"/>
        <v>1574</v>
      </c>
      <c r="AD755" s="9">
        <f t="shared" si="471"/>
        <v>1701</v>
      </c>
      <c r="AE755" s="9">
        <f t="shared" si="472"/>
        <v>1701</v>
      </c>
      <c r="AF755" s="9">
        <f t="shared" si="473"/>
        <v>1701</v>
      </c>
      <c r="AG755" s="9">
        <f t="shared" si="474"/>
        <v>1701</v>
      </c>
      <c r="AH755" s="9">
        <f t="shared" si="475"/>
        <v>1701</v>
      </c>
      <c r="AI755" s="7">
        <f t="shared" si="465"/>
        <v>5806691.8666666672</v>
      </c>
      <c r="AJ755" s="7">
        <f t="shared" si="465"/>
        <v>5806691.8666666672</v>
      </c>
      <c r="AK755" s="7">
        <f t="shared" si="465"/>
        <v>5806691.8666666672</v>
      </c>
      <c r="AL755" s="7">
        <f t="shared" si="465"/>
        <v>5806691.8666666672</v>
      </c>
      <c r="AM755" s="7">
        <f t="shared" si="465"/>
        <v>5806691.8666666672</v>
      </c>
      <c r="AN755" s="7">
        <f t="shared" si="465"/>
        <v>5806691.8666666672</v>
      </c>
      <c r="BR755" s="5">
        <v>5203064</v>
      </c>
      <c r="BS755" s="18">
        <f>[1]monsters!$N755</f>
        <v>119.47</v>
      </c>
      <c r="BT755" s="18">
        <f>[1]monsters!$O755</f>
        <v>11.95</v>
      </c>
      <c r="BU755" s="18">
        <f>[1]monsters!$P755</f>
        <v>1344</v>
      </c>
      <c r="BV755" s="18">
        <f>[1]monsters!$Q755</f>
        <v>134.4</v>
      </c>
      <c r="BW755" s="18">
        <f>[1]monsters!$R755</f>
        <v>39.82</v>
      </c>
      <c r="BX755" s="18">
        <f>[1]monsters!$S755</f>
        <v>3.98</v>
      </c>
      <c r="BY755" s="18">
        <f>[1]monsters!$K755</f>
        <v>1.6</v>
      </c>
      <c r="BZ755" s="5">
        <f>[1]monsters!$D755</f>
        <v>2</v>
      </c>
      <c r="CA755" s="5">
        <f t="shared" si="462"/>
        <v>0.1</v>
      </c>
      <c r="CB755" s="5">
        <f t="shared" si="463"/>
        <v>158.15167525252525</v>
      </c>
      <c r="CC755" s="5">
        <f t="shared" si="464"/>
        <v>15.815167525252527</v>
      </c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R755" s="3" t="b">
        <f t="shared" si="476"/>
        <v>1</v>
      </c>
      <c r="CS755" s="3" t="b">
        <f t="shared" si="477"/>
        <v>1</v>
      </c>
      <c r="CT755" s="3" t="b">
        <f t="shared" si="478"/>
        <v>1</v>
      </c>
      <c r="CU755" s="3" t="b">
        <f t="shared" si="479"/>
        <v>1</v>
      </c>
      <c r="CV755" s="3" t="b">
        <f t="shared" si="480"/>
        <v>1</v>
      </c>
      <c r="CW755" s="3" t="b">
        <f t="shared" si="481"/>
        <v>1</v>
      </c>
      <c r="CX755" s="9" t="str">
        <f t="shared" si="482"/>
        <v>5202131</v>
      </c>
      <c r="CY755" s="9" t="str">
        <f t="shared" si="483"/>
        <v>5202132</v>
      </c>
      <c r="CZ755" s="9" t="str">
        <f t="shared" si="484"/>
        <v>5301132</v>
      </c>
      <c r="DA755" s="9" t="str">
        <f t="shared" si="485"/>
        <v>5502131</v>
      </c>
      <c r="DB755" s="9" t="str">
        <f t="shared" si="486"/>
        <v>5500131</v>
      </c>
      <c r="DC755" s="9" t="str">
        <f t="shared" si="487"/>
        <v>5502131</v>
      </c>
      <c r="DD755" s="9">
        <v>13</v>
      </c>
      <c r="DE755" s="9">
        <v>13</v>
      </c>
      <c r="DF755" s="9">
        <v>13</v>
      </c>
      <c r="DG755" s="9">
        <v>13</v>
      </c>
      <c r="DH755" s="9">
        <v>13</v>
      </c>
      <c r="DI755" s="9">
        <v>13</v>
      </c>
      <c r="DJ755" s="9">
        <v>5</v>
      </c>
      <c r="DK755" s="9">
        <v>5</v>
      </c>
      <c r="DL755" s="9">
        <v>5</v>
      </c>
      <c r="DM755" s="9">
        <v>5</v>
      </c>
      <c r="DN755" s="9">
        <v>5</v>
      </c>
      <c r="DO755" s="9">
        <v>5</v>
      </c>
      <c r="DP755" s="25" t="s">
        <v>111</v>
      </c>
      <c r="DQ755" s="25" t="s">
        <v>200</v>
      </c>
      <c r="DR755" s="25" t="s">
        <v>201</v>
      </c>
      <c r="DS755" s="26" t="s">
        <v>119</v>
      </c>
      <c r="DT755" s="26" t="s">
        <v>197</v>
      </c>
      <c r="DU755" s="26" t="s">
        <v>119</v>
      </c>
      <c r="DV755" s="25">
        <f t="shared" si="488"/>
        <v>1</v>
      </c>
      <c r="DW755" s="25">
        <f t="shared" si="489"/>
        <v>1</v>
      </c>
      <c r="DX755" s="25">
        <f t="shared" si="490"/>
        <v>1</v>
      </c>
      <c r="DY755" s="25">
        <f t="shared" si="491"/>
        <v>2</v>
      </c>
      <c r="DZ755" s="25">
        <f t="shared" si="492"/>
        <v>2</v>
      </c>
      <c r="EA755" s="25">
        <f t="shared" si="493"/>
        <v>2</v>
      </c>
      <c r="EB755" s="38"/>
    </row>
    <row r="756" spans="1:132" ht="13.5" customHeight="1">
      <c r="A756" s="9">
        <v>753</v>
      </c>
      <c r="B756" s="9">
        <v>1</v>
      </c>
      <c r="C756" s="9">
        <v>2001</v>
      </c>
      <c r="D756" s="9">
        <f t="shared" si="466"/>
        <v>46093695</v>
      </c>
      <c r="E756" s="9" t="str">
        <f t="shared" si="467"/>
        <v>5201134,5202135,5201134,5501135,5502132,5502132</v>
      </c>
      <c r="F756" s="9" t="str">
        <f t="shared" si="468"/>
        <v>13,13,13,13,13,13</v>
      </c>
      <c r="G756" s="9" t="str">
        <f t="shared" si="469"/>
        <v>1576,1703,1703,1703,1703,1703</v>
      </c>
      <c r="H756" s="9">
        <v>341</v>
      </c>
      <c r="I756" s="9" t="s">
        <v>278</v>
      </c>
      <c r="J756" s="9" t="s">
        <v>279</v>
      </c>
      <c r="K756" s="9" t="s">
        <v>279</v>
      </c>
      <c r="L756" s="9" t="s">
        <v>279</v>
      </c>
      <c r="M756" s="36" t="s">
        <v>319</v>
      </c>
      <c r="O756" s="3">
        <f t="shared" si="461"/>
        <v>46093695</v>
      </c>
      <c r="P756" s="9">
        <v>34919466.100000001</v>
      </c>
      <c r="Q756" s="9">
        <v>5201134</v>
      </c>
      <c r="R756" s="9">
        <v>5202135</v>
      </c>
      <c r="S756" s="9">
        <v>5201134</v>
      </c>
      <c r="T756" s="9">
        <v>5501135</v>
      </c>
      <c r="U756" s="9">
        <v>5502132</v>
      </c>
      <c r="V756" s="9">
        <v>5502132</v>
      </c>
      <c r="W756" s="9">
        <v>13</v>
      </c>
      <c r="X756" s="9">
        <v>13</v>
      </c>
      <c r="Y756" s="9">
        <v>13</v>
      </c>
      <c r="Z756" s="9">
        <v>13</v>
      </c>
      <c r="AA756" s="9">
        <v>13</v>
      </c>
      <c r="AB756" s="9">
        <v>13</v>
      </c>
      <c r="AC756" s="9">
        <f t="shared" si="470"/>
        <v>1576</v>
      </c>
      <c r="AD756" s="9">
        <f t="shared" si="471"/>
        <v>1703</v>
      </c>
      <c r="AE756" s="9">
        <f t="shared" si="472"/>
        <v>1703</v>
      </c>
      <c r="AF756" s="9">
        <f t="shared" si="473"/>
        <v>1703</v>
      </c>
      <c r="AG756" s="9">
        <f t="shared" si="474"/>
        <v>1703</v>
      </c>
      <c r="AH756" s="9">
        <f t="shared" si="475"/>
        <v>1703</v>
      </c>
      <c r="AI756" s="7">
        <f t="shared" si="465"/>
        <v>5819911.0166666666</v>
      </c>
      <c r="AJ756" s="7">
        <f t="shared" si="465"/>
        <v>5819911.0166666666</v>
      </c>
      <c r="AK756" s="7">
        <f t="shared" si="465"/>
        <v>5819911.0166666666</v>
      </c>
      <c r="AL756" s="7">
        <f t="shared" si="465"/>
        <v>5819911.0166666666</v>
      </c>
      <c r="AM756" s="7">
        <f t="shared" si="465"/>
        <v>5819911.0166666666</v>
      </c>
      <c r="AN756" s="7">
        <f t="shared" si="465"/>
        <v>5819911.0166666666</v>
      </c>
      <c r="BR756" s="5">
        <v>5403064</v>
      </c>
      <c r="BS756" s="18">
        <f>[1]monsters!$N756</f>
        <v>119.47</v>
      </c>
      <c r="BT756" s="18">
        <f>[1]monsters!$O756</f>
        <v>11.95</v>
      </c>
      <c r="BU756" s="18">
        <f>[1]monsters!$P756</f>
        <v>1344</v>
      </c>
      <c r="BV756" s="18">
        <f>[1]monsters!$Q756</f>
        <v>134.4</v>
      </c>
      <c r="BW756" s="18">
        <f>[1]monsters!$R756</f>
        <v>39.82</v>
      </c>
      <c r="BX756" s="18">
        <f>[1]monsters!$S756</f>
        <v>3.98</v>
      </c>
      <c r="BY756" s="18">
        <f>[1]monsters!$K756</f>
        <v>1.6</v>
      </c>
      <c r="BZ756" s="5">
        <f>[1]monsters!$D756</f>
        <v>2</v>
      </c>
      <c r="CA756" s="5">
        <f t="shared" si="462"/>
        <v>0.1</v>
      </c>
      <c r="CB756" s="5">
        <f t="shared" si="463"/>
        <v>158.15167525252525</v>
      </c>
      <c r="CC756" s="5">
        <f t="shared" si="464"/>
        <v>15.815167525252527</v>
      </c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R756" s="3" t="b">
        <f t="shared" si="476"/>
        <v>1</v>
      </c>
      <c r="CS756" s="3" t="b">
        <f t="shared" si="477"/>
        <v>1</v>
      </c>
      <c r="CT756" s="3" t="b">
        <f t="shared" si="478"/>
        <v>1</v>
      </c>
      <c r="CU756" s="3" t="b">
        <f t="shared" si="479"/>
        <v>1</v>
      </c>
      <c r="CV756" s="3" t="b">
        <f t="shared" si="480"/>
        <v>1</v>
      </c>
      <c r="CW756" s="3" t="b">
        <f t="shared" si="481"/>
        <v>1</v>
      </c>
      <c r="CX756" s="9" t="str">
        <f t="shared" si="482"/>
        <v>5201134</v>
      </c>
      <c r="CY756" s="9" t="str">
        <f t="shared" si="483"/>
        <v>5202135</v>
      </c>
      <c r="CZ756" s="9" t="str">
        <f t="shared" si="484"/>
        <v>5201134</v>
      </c>
      <c r="DA756" s="9" t="str">
        <f t="shared" si="485"/>
        <v>5501135</v>
      </c>
      <c r="DB756" s="9" t="str">
        <f t="shared" si="486"/>
        <v>5502132</v>
      </c>
      <c r="DC756" s="9" t="str">
        <f t="shared" si="487"/>
        <v>5502132</v>
      </c>
      <c r="DD756" s="9">
        <v>13</v>
      </c>
      <c r="DE756" s="9">
        <v>13</v>
      </c>
      <c r="DF756" s="9">
        <v>13</v>
      </c>
      <c r="DG756" s="9">
        <v>13</v>
      </c>
      <c r="DH756" s="9">
        <v>13</v>
      </c>
      <c r="DI756" s="9">
        <v>13</v>
      </c>
      <c r="DJ756" s="9">
        <v>5</v>
      </c>
      <c r="DK756" s="9">
        <v>5</v>
      </c>
      <c r="DL756" s="9">
        <v>5</v>
      </c>
      <c r="DM756" s="9">
        <v>5</v>
      </c>
      <c r="DN756" s="9">
        <v>5</v>
      </c>
      <c r="DO756" s="9">
        <v>5</v>
      </c>
      <c r="DP756" s="27" t="s">
        <v>217</v>
      </c>
      <c r="DQ756" s="27" t="s">
        <v>213</v>
      </c>
      <c r="DR756" s="27" t="s">
        <v>217</v>
      </c>
      <c r="DS756" s="25" t="s">
        <v>209</v>
      </c>
      <c r="DT756" s="28" t="s">
        <v>204</v>
      </c>
      <c r="DU756" s="28" t="s">
        <v>204</v>
      </c>
      <c r="DV756" s="25">
        <f t="shared" si="488"/>
        <v>1</v>
      </c>
      <c r="DW756" s="25">
        <f t="shared" si="489"/>
        <v>1</v>
      </c>
      <c r="DX756" s="25">
        <f t="shared" si="490"/>
        <v>1</v>
      </c>
      <c r="DY756" s="25">
        <f t="shared" si="491"/>
        <v>2</v>
      </c>
      <c r="DZ756" s="25">
        <f t="shared" si="492"/>
        <v>2</v>
      </c>
      <c r="EA756" s="25">
        <f t="shared" si="493"/>
        <v>2</v>
      </c>
      <c r="EB756" s="38"/>
    </row>
    <row r="757" spans="1:132" ht="13.5" customHeight="1">
      <c r="A757" s="9">
        <v>754</v>
      </c>
      <c r="B757" s="9">
        <v>1</v>
      </c>
      <c r="C757" s="9">
        <v>2001</v>
      </c>
      <c r="D757" s="9">
        <f t="shared" si="466"/>
        <v>46198511</v>
      </c>
      <c r="E757" s="9" t="str">
        <f t="shared" si="467"/>
        <v>5201132,5201132,5200132,5402132,5601132,5500132</v>
      </c>
      <c r="F757" s="9" t="str">
        <f t="shared" si="468"/>
        <v>13,13,13,13,13,13</v>
      </c>
      <c r="G757" s="9" t="str">
        <f t="shared" si="469"/>
        <v>1578,1705,1705,1705,1705,1705</v>
      </c>
      <c r="H757" s="9">
        <v>341</v>
      </c>
      <c r="I757" s="9" t="s">
        <v>278</v>
      </c>
      <c r="J757" s="9" t="s">
        <v>279</v>
      </c>
      <c r="K757" s="9" t="s">
        <v>279</v>
      </c>
      <c r="L757" s="9" t="s">
        <v>279</v>
      </c>
      <c r="M757" s="36" t="s">
        <v>319</v>
      </c>
      <c r="O757" s="3">
        <f t="shared" si="461"/>
        <v>46198511</v>
      </c>
      <c r="P757" s="9">
        <v>34998871.729999997</v>
      </c>
      <c r="Q757" s="9">
        <v>5201132</v>
      </c>
      <c r="R757" s="9">
        <v>5201132</v>
      </c>
      <c r="S757" s="9">
        <v>5200132</v>
      </c>
      <c r="T757" s="9">
        <v>5402132</v>
      </c>
      <c r="U757" s="9">
        <v>5601132</v>
      </c>
      <c r="V757" s="9">
        <v>5500132</v>
      </c>
      <c r="W757" s="9">
        <v>13</v>
      </c>
      <c r="X757" s="9">
        <v>13</v>
      </c>
      <c r="Y757" s="9">
        <v>13</v>
      </c>
      <c r="Z757" s="9">
        <v>13</v>
      </c>
      <c r="AA757" s="9">
        <v>13</v>
      </c>
      <c r="AB757" s="9">
        <v>13</v>
      </c>
      <c r="AC757" s="9">
        <f t="shared" si="470"/>
        <v>1578</v>
      </c>
      <c r="AD757" s="9">
        <f t="shared" si="471"/>
        <v>1705</v>
      </c>
      <c r="AE757" s="9">
        <f t="shared" si="472"/>
        <v>1705</v>
      </c>
      <c r="AF757" s="9">
        <f t="shared" si="473"/>
        <v>1705</v>
      </c>
      <c r="AG757" s="9">
        <f t="shared" si="474"/>
        <v>1705</v>
      </c>
      <c r="AH757" s="9">
        <f t="shared" si="475"/>
        <v>1705</v>
      </c>
      <c r="AI757" s="7">
        <f t="shared" si="465"/>
        <v>5833145.2883333331</v>
      </c>
      <c r="AJ757" s="7">
        <f t="shared" si="465"/>
        <v>5833145.2883333331</v>
      </c>
      <c r="AK757" s="7">
        <f t="shared" si="465"/>
        <v>5833145.2883333331</v>
      </c>
      <c r="AL757" s="7">
        <f t="shared" si="465"/>
        <v>5833145.2883333331</v>
      </c>
      <c r="AM757" s="7">
        <f t="shared" si="465"/>
        <v>5833145.2883333331</v>
      </c>
      <c r="AN757" s="7">
        <f t="shared" si="465"/>
        <v>5833145.2883333331</v>
      </c>
      <c r="BR757" s="5">
        <v>5204064</v>
      </c>
      <c r="BS757" s="18">
        <f>[1]monsters!$N757</f>
        <v>136.53</v>
      </c>
      <c r="BT757" s="18">
        <f>[1]monsters!$O757</f>
        <v>13.65</v>
      </c>
      <c r="BU757" s="18">
        <f>[1]monsters!$P757</f>
        <v>1536</v>
      </c>
      <c r="BV757" s="18">
        <f>[1]monsters!$Q757</f>
        <v>153.6</v>
      </c>
      <c r="BW757" s="18">
        <f>[1]monsters!$R757</f>
        <v>45.51</v>
      </c>
      <c r="BX757" s="18">
        <f>[1]monsters!$S757</f>
        <v>4.55</v>
      </c>
      <c r="BY757" s="18">
        <f>[1]monsters!$K757</f>
        <v>1.6</v>
      </c>
      <c r="BZ757" s="5">
        <f>[1]monsters!$D757</f>
        <v>2</v>
      </c>
      <c r="CA757" s="5">
        <f t="shared" si="462"/>
        <v>0.1</v>
      </c>
      <c r="CB757" s="5">
        <f t="shared" si="463"/>
        <v>180.73802171717173</v>
      </c>
      <c r="CC757" s="5">
        <f t="shared" si="464"/>
        <v>18.073802171717173</v>
      </c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R757" s="3" t="b">
        <f t="shared" si="476"/>
        <v>1</v>
      </c>
      <c r="CS757" s="3" t="b">
        <f t="shared" si="477"/>
        <v>1</v>
      </c>
      <c r="CT757" s="3" t="b">
        <f t="shared" si="478"/>
        <v>1</v>
      </c>
      <c r="CU757" s="3" t="b">
        <f t="shared" si="479"/>
        <v>1</v>
      </c>
      <c r="CV757" s="3" t="b">
        <f t="shared" si="480"/>
        <v>1</v>
      </c>
      <c r="CW757" s="3" t="b">
        <f t="shared" si="481"/>
        <v>1</v>
      </c>
      <c r="CX757" s="9" t="str">
        <f t="shared" si="482"/>
        <v>5201132</v>
      </c>
      <c r="CY757" s="9" t="str">
        <f t="shared" si="483"/>
        <v>5201132</v>
      </c>
      <c r="CZ757" s="9" t="str">
        <f t="shared" si="484"/>
        <v>5200132</v>
      </c>
      <c r="DA757" s="9" t="str">
        <f t="shared" si="485"/>
        <v>5402132</v>
      </c>
      <c r="DB757" s="9" t="str">
        <f t="shared" si="486"/>
        <v>5601132</v>
      </c>
      <c r="DC757" s="9" t="str">
        <f t="shared" si="487"/>
        <v>5500132</v>
      </c>
      <c r="DD757" s="9">
        <v>13</v>
      </c>
      <c r="DE757" s="9">
        <v>13</v>
      </c>
      <c r="DF757" s="9">
        <v>13</v>
      </c>
      <c r="DG757" s="9">
        <v>13</v>
      </c>
      <c r="DH757" s="9">
        <v>13</v>
      </c>
      <c r="DI757" s="9">
        <v>13</v>
      </c>
      <c r="DJ757" s="9">
        <v>5</v>
      </c>
      <c r="DK757" s="9">
        <v>5</v>
      </c>
      <c r="DL757" s="9">
        <v>5</v>
      </c>
      <c r="DM757" s="9">
        <v>5</v>
      </c>
      <c r="DN757" s="9">
        <v>5</v>
      </c>
      <c r="DO757" s="9">
        <v>5</v>
      </c>
      <c r="DP757" s="25" t="s">
        <v>114</v>
      </c>
      <c r="DQ757" s="25" t="s">
        <v>114</v>
      </c>
      <c r="DR757" s="26" t="s">
        <v>199</v>
      </c>
      <c r="DS757" s="26" t="s">
        <v>203</v>
      </c>
      <c r="DT757" s="25" t="s">
        <v>124</v>
      </c>
      <c r="DU757" s="25" t="s">
        <v>109</v>
      </c>
      <c r="DV757" s="25">
        <f t="shared" si="488"/>
        <v>1</v>
      </c>
      <c r="DW757" s="25">
        <f t="shared" si="489"/>
        <v>1</v>
      </c>
      <c r="DX757" s="25">
        <f t="shared" si="490"/>
        <v>1</v>
      </c>
      <c r="DY757" s="25">
        <f t="shared" si="491"/>
        <v>2</v>
      </c>
      <c r="DZ757" s="25">
        <f t="shared" si="492"/>
        <v>2</v>
      </c>
      <c r="EA757" s="25">
        <f t="shared" si="493"/>
        <v>2</v>
      </c>
      <c r="EB757" s="38"/>
    </row>
    <row r="758" spans="1:132" ht="13.5" customHeight="1">
      <c r="A758" s="9">
        <v>755</v>
      </c>
      <c r="B758" s="9">
        <v>1</v>
      </c>
      <c r="C758" s="9">
        <v>2001</v>
      </c>
      <c r="D758" s="9">
        <f t="shared" si="466"/>
        <v>46303446</v>
      </c>
      <c r="E758" s="9" t="str">
        <f t="shared" si="467"/>
        <v>5200132,5200133,5200132,5502132,5500132,5502133</v>
      </c>
      <c r="F758" s="9" t="str">
        <f t="shared" si="468"/>
        <v>13,13,13,13,13,13</v>
      </c>
      <c r="G758" s="9" t="str">
        <f t="shared" si="469"/>
        <v>1580,1707,1707,1707,1707,1707</v>
      </c>
      <c r="H758" s="9">
        <v>342</v>
      </c>
      <c r="I758" s="9" t="s">
        <v>278</v>
      </c>
      <c r="J758" s="9" t="s">
        <v>279</v>
      </c>
      <c r="K758" s="9" t="s">
        <v>279</v>
      </c>
      <c r="L758" s="9" t="s">
        <v>279</v>
      </c>
      <c r="M758" s="36" t="s">
        <v>319</v>
      </c>
      <c r="O758" s="3">
        <f t="shared" si="461"/>
        <v>46303446</v>
      </c>
      <c r="P758" s="9">
        <v>35078368.090000004</v>
      </c>
      <c r="Q758" s="9">
        <v>5200132</v>
      </c>
      <c r="R758" s="9">
        <v>5200133</v>
      </c>
      <c r="S758" s="9">
        <v>5200132</v>
      </c>
      <c r="T758" s="9">
        <v>5502132</v>
      </c>
      <c r="U758" s="9">
        <v>5500132</v>
      </c>
      <c r="V758" s="9">
        <v>5502133</v>
      </c>
      <c r="W758" s="9">
        <v>13</v>
      </c>
      <c r="X758" s="9">
        <v>13</v>
      </c>
      <c r="Y758" s="9">
        <v>13</v>
      </c>
      <c r="Z758" s="9">
        <v>13</v>
      </c>
      <c r="AA758" s="9">
        <v>13</v>
      </c>
      <c r="AB758" s="9">
        <v>13</v>
      </c>
      <c r="AC758" s="9">
        <f t="shared" si="470"/>
        <v>1580</v>
      </c>
      <c r="AD758" s="9">
        <f t="shared" si="471"/>
        <v>1707</v>
      </c>
      <c r="AE758" s="9">
        <f t="shared" si="472"/>
        <v>1707</v>
      </c>
      <c r="AF758" s="9">
        <f t="shared" si="473"/>
        <v>1707</v>
      </c>
      <c r="AG758" s="9">
        <f t="shared" si="474"/>
        <v>1707</v>
      </c>
      <c r="AH758" s="9">
        <f t="shared" si="475"/>
        <v>1707</v>
      </c>
      <c r="AI758" s="7">
        <f t="shared" si="465"/>
        <v>5846394.6816666676</v>
      </c>
      <c r="AJ758" s="7">
        <f t="shared" si="465"/>
        <v>5846394.6816666676</v>
      </c>
      <c r="AK758" s="7">
        <f t="shared" si="465"/>
        <v>5846394.6816666676</v>
      </c>
      <c r="AL758" s="7">
        <f t="shared" si="465"/>
        <v>5846394.6816666676</v>
      </c>
      <c r="AM758" s="7">
        <f t="shared" si="465"/>
        <v>5846394.6816666676</v>
      </c>
      <c r="AN758" s="7">
        <f t="shared" si="465"/>
        <v>5846394.6816666676</v>
      </c>
      <c r="BR758" s="5">
        <v>5404064</v>
      </c>
      <c r="BS758" s="18">
        <f>[1]monsters!$N758</f>
        <v>136.53</v>
      </c>
      <c r="BT758" s="18">
        <f>[1]monsters!$O758</f>
        <v>13.65</v>
      </c>
      <c r="BU758" s="18">
        <f>[1]monsters!$P758</f>
        <v>1536</v>
      </c>
      <c r="BV758" s="18">
        <f>[1]monsters!$Q758</f>
        <v>153.6</v>
      </c>
      <c r="BW758" s="18">
        <f>[1]monsters!$R758</f>
        <v>45.51</v>
      </c>
      <c r="BX758" s="18">
        <f>[1]monsters!$S758</f>
        <v>4.55</v>
      </c>
      <c r="BY758" s="18">
        <f>[1]monsters!$K758</f>
        <v>1.6</v>
      </c>
      <c r="BZ758" s="5">
        <f>[1]monsters!$D758</f>
        <v>2</v>
      </c>
      <c r="CA758" s="5">
        <f t="shared" si="462"/>
        <v>0.1</v>
      </c>
      <c r="CB758" s="5">
        <f t="shared" si="463"/>
        <v>180.73802171717173</v>
      </c>
      <c r="CC758" s="5">
        <f t="shared" si="464"/>
        <v>18.073802171717173</v>
      </c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R758" s="3" t="b">
        <f t="shared" si="476"/>
        <v>1</v>
      </c>
      <c r="CS758" s="3" t="b">
        <f t="shared" si="477"/>
        <v>1</v>
      </c>
      <c r="CT758" s="3" t="b">
        <f t="shared" si="478"/>
        <v>1</v>
      </c>
      <c r="CU758" s="3" t="b">
        <f t="shared" si="479"/>
        <v>1</v>
      </c>
      <c r="CV758" s="3" t="b">
        <f t="shared" si="480"/>
        <v>1</v>
      </c>
      <c r="CW758" s="3" t="b">
        <f t="shared" si="481"/>
        <v>1</v>
      </c>
      <c r="CX758" s="9" t="str">
        <f t="shared" si="482"/>
        <v>5200132</v>
      </c>
      <c r="CY758" s="9" t="str">
        <f t="shared" si="483"/>
        <v>5200133</v>
      </c>
      <c r="CZ758" s="9" t="str">
        <f t="shared" si="484"/>
        <v>5200132</v>
      </c>
      <c r="DA758" s="9" t="str">
        <f t="shared" si="485"/>
        <v>5502132</v>
      </c>
      <c r="DB758" s="9" t="str">
        <f t="shared" si="486"/>
        <v>5500132</v>
      </c>
      <c r="DC758" s="9" t="str">
        <f t="shared" si="487"/>
        <v>5502133</v>
      </c>
      <c r="DD758" s="9">
        <v>13</v>
      </c>
      <c r="DE758" s="9">
        <v>13</v>
      </c>
      <c r="DF758" s="9">
        <v>13</v>
      </c>
      <c r="DG758" s="9">
        <v>13</v>
      </c>
      <c r="DH758" s="9">
        <v>13</v>
      </c>
      <c r="DI758" s="9">
        <v>13</v>
      </c>
      <c r="DJ758" s="9">
        <v>5</v>
      </c>
      <c r="DK758" s="9">
        <v>5</v>
      </c>
      <c r="DL758" s="9">
        <v>5</v>
      </c>
      <c r="DM758" s="9">
        <v>5</v>
      </c>
      <c r="DN758" s="9">
        <v>5</v>
      </c>
      <c r="DO758" s="9">
        <v>5</v>
      </c>
      <c r="DP758" s="25" t="s">
        <v>199</v>
      </c>
      <c r="DQ758" s="25" t="s">
        <v>113</v>
      </c>
      <c r="DR758" s="25" t="s">
        <v>199</v>
      </c>
      <c r="DS758" s="28" t="s">
        <v>204</v>
      </c>
      <c r="DT758" s="28" t="s">
        <v>109</v>
      </c>
      <c r="DU758" s="28" t="s">
        <v>215</v>
      </c>
      <c r="DV758" s="25">
        <f t="shared" si="488"/>
        <v>1</v>
      </c>
      <c r="DW758" s="25">
        <f t="shared" si="489"/>
        <v>1</v>
      </c>
      <c r="DX758" s="25">
        <f t="shared" si="490"/>
        <v>1</v>
      </c>
      <c r="DY758" s="25">
        <f t="shared" si="491"/>
        <v>2</v>
      </c>
      <c r="DZ758" s="25">
        <f t="shared" si="492"/>
        <v>2</v>
      </c>
      <c r="EA758" s="25">
        <f t="shared" si="493"/>
        <v>2</v>
      </c>
      <c r="EB758" s="49"/>
    </row>
    <row r="759" spans="1:132" ht="13.5" customHeight="1">
      <c r="A759" s="9">
        <v>756</v>
      </c>
      <c r="B759" s="9">
        <v>1</v>
      </c>
      <c r="C759" s="9">
        <v>2001</v>
      </c>
      <c r="D759" s="9">
        <f t="shared" si="466"/>
        <v>46408501</v>
      </c>
      <c r="E759" s="9" t="str">
        <f t="shared" si="467"/>
        <v>5202133,5202132,5202133,5401133,5501135,5400135</v>
      </c>
      <c r="F759" s="9" t="str">
        <f t="shared" si="468"/>
        <v>13,13,13,13,13,13</v>
      </c>
      <c r="G759" s="9" t="str">
        <f t="shared" si="469"/>
        <v>1581,1709,1709,1709,1709,1709</v>
      </c>
      <c r="H759" s="9">
        <v>342</v>
      </c>
      <c r="I759" s="9" t="s">
        <v>278</v>
      </c>
      <c r="J759" s="9" t="s">
        <v>279</v>
      </c>
      <c r="K759" s="9" t="s">
        <v>279</v>
      </c>
      <c r="L759" s="9" t="s">
        <v>279</v>
      </c>
      <c r="M759" s="36" t="s">
        <v>319</v>
      </c>
      <c r="O759" s="3">
        <f t="shared" si="461"/>
        <v>46408501</v>
      </c>
      <c r="P759" s="9">
        <v>35157955.18</v>
      </c>
      <c r="Q759" s="9">
        <v>5202133</v>
      </c>
      <c r="R759" s="9">
        <v>5202132</v>
      </c>
      <c r="S759" s="9">
        <v>5202133</v>
      </c>
      <c r="T759" s="9">
        <v>5401133</v>
      </c>
      <c r="U759" s="9">
        <v>5501135</v>
      </c>
      <c r="V759" s="9">
        <v>5400135</v>
      </c>
      <c r="W759" s="9">
        <v>13</v>
      </c>
      <c r="X759" s="9">
        <v>13</v>
      </c>
      <c r="Y759" s="9">
        <v>13</v>
      </c>
      <c r="Z759" s="9">
        <v>13</v>
      </c>
      <c r="AA759" s="9">
        <v>13</v>
      </c>
      <c r="AB759" s="9">
        <v>13</v>
      </c>
      <c r="AC759" s="9">
        <f t="shared" si="470"/>
        <v>1581</v>
      </c>
      <c r="AD759" s="9">
        <f t="shared" si="471"/>
        <v>1709</v>
      </c>
      <c r="AE759" s="9">
        <f t="shared" si="472"/>
        <v>1709</v>
      </c>
      <c r="AF759" s="9">
        <f t="shared" si="473"/>
        <v>1709</v>
      </c>
      <c r="AG759" s="9">
        <f t="shared" si="474"/>
        <v>1709</v>
      </c>
      <c r="AH759" s="9">
        <f t="shared" si="475"/>
        <v>1709</v>
      </c>
      <c r="AI759" s="7">
        <f t="shared" si="465"/>
        <v>5859659.1966666663</v>
      </c>
      <c r="AJ759" s="7">
        <f t="shared" si="465"/>
        <v>5859659.1966666663</v>
      </c>
      <c r="AK759" s="7">
        <f t="shared" si="465"/>
        <v>5859659.1966666663</v>
      </c>
      <c r="AL759" s="7">
        <f t="shared" si="465"/>
        <v>5859659.1966666663</v>
      </c>
      <c r="AM759" s="7">
        <f t="shared" si="465"/>
        <v>5859659.1966666663</v>
      </c>
      <c r="AN759" s="7">
        <f t="shared" si="465"/>
        <v>5859659.1966666663</v>
      </c>
      <c r="BR759" s="5">
        <v>5303064</v>
      </c>
      <c r="BS759" s="18">
        <f>[1]monsters!$N759</f>
        <v>136.53</v>
      </c>
      <c r="BT759" s="18">
        <f>[1]monsters!$O759</f>
        <v>13.65</v>
      </c>
      <c r="BU759" s="18">
        <f>[1]monsters!$P759</f>
        <v>1536</v>
      </c>
      <c r="BV759" s="18">
        <f>[1]monsters!$Q759</f>
        <v>153.6</v>
      </c>
      <c r="BW759" s="18">
        <f>[1]monsters!$R759</f>
        <v>45.51</v>
      </c>
      <c r="BX759" s="18">
        <f>[1]monsters!$S759</f>
        <v>4.55</v>
      </c>
      <c r="BY759" s="18">
        <f>[1]monsters!$K759</f>
        <v>1.6</v>
      </c>
      <c r="BZ759" s="5">
        <f>[1]monsters!$D759</f>
        <v>2</v>
      </c>
      <c r="CA759" s="5">
        <f t="shared" si="462"/>
        <v>0.1</v>
      </c>
      <c r="CB759" s="5">
        <f t="shared" si="463"/>
        <v>180.73802171717173</v>
      </c>
      <c r="CC759" s="5">
        <f t="shared" si="464"/>
        <v>18.073802171717173</v>
      </c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R759" s="3" t="b">
        <f t="shared" si="476"/>
        <v>1</v>
      </c>
      <c r="CS759" s="3" t="b">
        <f t="shared" si="477"/>
        <v>1</v>
      </c>
      <c r="CT759" s="3" t="b">
        <f t="shared" si="478"/>
        <v>1</v>
      </c>
      <c r="CU759" s="3" t="b">
        <f t="shared" si="479"/>
        <v>1</v>
      </c>
      <c r="CV759" s="3" t="b">
        <f t="shared" si="480"/>
        <v>1</v>
      </c>
      <c r="CW759" s="3" t="b">
        <f t="shared" si="481"/>
        <v>1</v>
      </c>
      <c r="CX759" s="9" t="str">
        <f t="shared" si="482"/>
        <v>5202133</v>
      </c>
      <c r="CY759" s="9" t="str">
        <f t="shared" si="483"/>
        <v>5202132</v>
      </c>
      <c r="CZ759" s="9" t="str">
        <f t="shared" si="484"/>
        <v>5202133</v>
      </c>
      <c r="DA759" s="9" t="str">
        <f t="shared" si="485"/>
        <v>5401133</v>
      </c>
      <c r="DB759" s="9" t="str">
        <f t="shared" si="486"/>
        <v>5501135</v>
      </c>
      <c r="DC759" s="9" t="str">
        <f t="shared" si="487"/>
        <v>5400135</v>
      </c>
      <c r="DD759" s="9">
        <v>13</v>
      </c>
      <c r="DE759" s="9">
        <v>13</v>
      </c>
      <c r="DF759" s="9">
        <v>13</v>
      </c>
      <c r="DG759" s="9">
        <v>13</v>
      </c>
      <c r="DH759" s="9">
        <v>13</v>
      </c>
      <c r="DI759" s="9">
        <v>13</v>
      </c>
      <c r="DJ759" s="9">
        <v>5</v>
      </c>
      <c r="DK759" s="9">
        <v>5</v>
      </c>
      <c r="DL759" s="9">
        <v>5</v>
      </c>
      <c r="DM759" s="9">
        <v>5</v>
      </c>
      <c r="DN759" s="9">
        <v>5</v>
      </c>
      <c r="DO759" s="9">
        <v>5</v>
      </c>
      <c r="DP759" s="25" t="s">
        <v>208</v>
      </c>
      <c r="DQ759" s="25" t="s">
        <v>200</v>
      </c>
      <c r="DR759" s="26" t="s">
        <v>208</v>
      </c>
      <c r="DS759" s="26" t="s">
        <v>211</v>
      </c>
      <c r="DT759" s="25" t="s">
        <v>209</v>
      </c>
      <c r="DU759" s="25" t="s">
        <v>210</v>
      </c>
      <c r="DV759" s="25">
        <f t="shared" si="488"/>
        <v>1</v>
      </c>
      <c r="DW759" s="25">
        <f t="shared" si="489"/>
        <v>1</v>
      </c>
      <c r="DX759" s="25">
        <f t="shared" si="490"/>
        <v>1</v>
      </c>
      <c r="DY759" s="25">
        <f t="shared" si="491"/>
        <v>2</v>
      </c>
      <c r="DZ759" s="25">
        <f t="shared" si="492"/>
        <v>2</v>
      </c>
      <c r="EA759" s="25">
        <f t="shared" si="493"/>
        <v>2</v>
      </c>
      <c r="EB759" s="38"/>
    </row>
    <row r="760" spans="1:132" ht="13.5" customHeight="1">
      <c r="A760" s="9">
        <v>757</v>
      </c>
      <c r="B760" s="9">
        <v>1</v>
      </c>
      <c r="C760" s="9">
        <v>2001</v>
      </c>
      <c r="D760" s="9">
        <f t="shared" si="466"/>
        <v>46513676</v>
      </c>
      <c r="E760" s="9" t="str">
        <f t="shared" si="467"/>
        <v>5201131,5201132,5201134,5501134,5500133,5602134</v>
      </c>
      <c r="F760" s="9" t="str">
        <f t="shared" si="468"/>
        <v>13,13,13,13,13,13</v>
      </c>
      <c r="G760" s="9" t="str">
        <f t="shared" si="469"/>
        <v>1583,1711,1711,1711,1711,1711</v>
      </c>
      <c r="H760" s="9">
        <v>342</v>
      </c>
      <c r="I760" s="9" t="s">
        <v>278</v>
      </c>
      <c r="J760" s="9" t="s">
        <v>279</v>
      </c>
      <c r="K760" s="9" t="s">
        <v>279</v>
      </c>
      <c r="L760" s="9" t="s">
        <v>279</v>
      </c>
      <c r="M760" s="36" t="s">
        <v>319</v>
      </c>
      <c r="O760" s="3">
        <f t="shared" ref="O760:O803" si="494">ROUND(P760*1.1*1.2,0)</f>
        <v>46513676</v>
      </c>
      <c r="P760" s="9">
        <v>35237633</v>
      </c>
      <c r="Q760" s="9">
        <v>5201131</v>
      </c>
      <c r="R760" s="9">
        <v>5201132</v>
      </c>
      <c r="S760" s="9">
        <v>5201134</v>
      </c>
      <c r="T760" s="9">
        <v>5501134</v>
      </c>
      <c r="U760" s="9">
        <v>5500133</v>
      </c>
      <c r="V760" s="9">
        <v>5602134</v>
      </c>
      <c r="W760" s="9">
        <v>13</v>
      </c>
      <c r="X760" s="9">
        <v>13</v>
      </c>
      <c r="Y760" s="9">
        <v>13</v>
      </c>
      <c r="Z760" s="9">
        <v>13</v>
      </c>
      <c r="AA760" s="9">
        <v>13</v>
      </c>
      <c r="AB760" s="9">
        <v>13</v>
      </c>
      <c r="AC760" s="9">
        <f t="shared" si="470"/>
        <v>1583</v>
      </c>
      <c r="AD760" s="9">
        <f t="shared" si="471"/>
        <v>1711</v>
      </c>
      <c r="AE760" s="9">
        <f t="shared" si="472"/>
        <v>1711</v>
      </c>
      <c r="AF760" s="9">
        <f t="shared" si="473"/>
        <v>1711</v>
      </c>
      <c r="AG760" s="9">
        <f t="shared" si="474"/>
        <v>1711</v>
      </c>
      <c r="AH760" s="9">
        <f t="shared" si="475"/>
        <v>1711</v>
      </c>
      <c r="AI760" s="7">
        <f t="shared" si="465"/>
        <v>5872938.833333333</v>
      </c>
      <c r="AJ760" s="7">
        <f t="shared" si="465"/>
        <v>5872938.833333333</v>
      </c>
      <c r="AK760" s="7">
        <f t="shared" si="465"/>
        <v>5872938.833333333</v>
      </c>
      <c r="AL760" s="7">
        <f t="shared" si="465"/>
        <v>5872938.833333333</v>
      </c>
      <c r="AM760" s="7">
        <f t="shared" si="465"/>
        <v>5872938.833333333</v>
      </c>
      <c r="AN760" s="7">
        <f t="shared" si="465"/>
        <v>5872938.833333333</v>
      </c>
      <c r="BR760" s="5">
        <v>5304064</v>
      </c>
      <c r="BS760" s="18">
        <f>[1]monsters!$N760</f>
        <v>136.53</v>
      </c>
      <c r="BT760" s="18">
        <f>[1]monsters!$O760</f>
        <v>13.65</v>
      </c>
      <c r="BU760" s="18">
        <f>[1]monsters!$P760</f>
        <v>1536</v>
      </c>
      <c r="BV760" s="18">
        <f>[1]monsters!$Q760</f>
        <v>153.6</v>
      </c>
      <c r="BW760" s="18">
        <f>[1]monsters!$R760</f>
        <v>45.51</v>
      </c>
      <c r="BX760" s="18">
        <f>[1]monsters!$S760</f>
        <v>4.55</v>
      </c>
      <c r="BY760" s="18">
        <f>[1]monsters!$K760</f>
        <v>1.6</v>
      </c>
      <c r="BZ760" s="5">
        <f>[1]monsters!$D760</f>
        <v>2</v>
      </c>
      <c r="CA760" s="5">
        <f t="shared" si="462"/>
        <v>0.1</v>
      </c>
      <c r="CB760" s="5">
        <f t="shared" si="463"/>
        <v>180.73802171717173</v>
      </c>
      <c r="CC760" s="5">
        <f t="shared" si="464"/>
        <v>18.073802171717173</v>
      </c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R760" s="3" t="b">
        <f t="shared" si="476"/>
        <v>1</v>
      </c>
      <c r="CS760" s="3" t="b">
        <f t="shared" si="477"/>
        <v>1</v>
      </c>
      <c r="CT760" s="3" t="b">
        <f t="shared" si="478"/>
        <v>1</v>
      </c>
      <c r="CU760" s="3" t="b">
        <f t="shared" si="479"/>
        <v>1</v>
      </c>
      <c r="CV760" s="3" t="b">
        <f t="shared" si="480"/>
        <v>1</v>
      </c>
      <c r="CW760" s="3" t="b">
        <f t="shared" si="481"/>
        <v>1</v>
      </c>
      <c r="CX760" s="9" t="str">
        <f t="shared" si="482"/>
        <v>5201131</v>
      </c>
      <c r="CY760" s="9" t="str">
        <f t="shared" si="483"/>
        <v>5201132</v>
      </c>
      <c r="CZ760" s="9" t="str">
        <f t="shared" si="484"/>
        <v>5201134</v>
      </c>
      <c r="DA760" s="9" t="str">
        <f t="shared" si="485"/>
        <v>5501134</v>
      </c>
      <c r="DB760" s="9" t="str">
        <f t="shared" si="486"/>
        <v>5500133</v>
      </c>
      <c r="DC760" s="9" t="str">
        <f t="shared" si="487"/>
        <v>5602134</v>
      </c>
      <c r="DD760" s="9">
        <v>13</v>
      </c>
      <c r="DE760" s="9">
        <v>13</v>
      </c>
      <c r="DF760" s="9">
        <v>13</v>
      </c>
      <c r="DG760" s="9">
        <v>13</v>
      </c>
      <c r="DH760" s="9">
        <v>13</v>
      </c>
      <c r="DI760" s="9">
        <v>13</v>
      </c>
      <c r="DJ760" s="9">
        <v>5</v>
      </c>
      <c r="DK760" s="9">
        <v>5</v>
      </c>
      <c r="DL760" s="9">
        <v>5</v>
      </c>
      <c r="DM760" s="9">
        <v>5</v>
      </c>
      <c r="DN760" s="9">
        <v>5</v>
      </c>
      <c r="DO760" s="9">
        <v>5</v>
      </c>
      <c r="DP760" s="25" t="s">
        <v>195</v>
      </c>
      <c r="DQ760" s="25" t="s">
        <v>114</v>
      </c>
      <c r="DR760" s="26" t="s">
        <v>217</v>
      </c>
      <c r="DS760" s="26" t="s">
        <v>214</v>
      </c>
      <c r="DT760" s="26" t="s">
        <v>207</v>
      </c>
      <c r="DU760" s="26" t="s">
        <v>220</v>
      </c>
      <c r="DV760" s="25">
        <f t="shared" si="488"/>
        <v>1</v>
      </c>
      <c r="DW760" s="25">
        <f t="shared" si="489"/>
        <v>1</v>
      </c>
      <c r="DX760" s="25">
        <f t="shared" si="490"/>
        <v>1</v>
      </c>
      <c r="DY760" s="25">
        <f t="shared" si="491"/>
        <v>2</v>
      </c>
      <c r="DZ760" s="25">
        <f t="shared" si="492"/>
        <v>2</v>
      </c>
      <c r="EA760" s="25">
        <f t="shared" si="493"/>
        <v>2</v>
      </c>
      <c r="EB760" s="38"/>
    </row>
    <row r="761" spans="1:132" ht="13.5" customHeight="1">
      <c r="A761" s="9">
        <v>758</v>
      </c>
      <c r="B761" s="9">
        <v>1</v>
      </c>
      <c r="C761" s="9">
        <v>2001</v>
      </c>
      <c r="D761" s="9">
        <f t="shared" si="466"/>
        <v>46618973</v>
      </c>
      <c r="E761" s="9" t="str">
        <f t="shared" si="467"/>
        <v>5200132,5301132,5202133,5402131,5400135,5500131</v>
      </c>
      <c r="F761" s="9" t="str">
        <f t="shared" si="468"/>
        <v>13,13,13,13,13,13</v>
      </c>
      <c r="G761" s="9" t="str">
        <f t="shared" si="469"/>
        <v>1585,1713,1713,1713,1713,1713</v>
      </c>
      <c r="H761" s="9">
        <v>343</v>
      </c>
      <c r="I761" s="9" t="s">
        <v>278</v>
      </c>
      <c r="J761" s="9" t="s">
        <v>279</v>
      </c>
      <c r="K761" s="9" t="s">
        <v>279</v>
      </c>
      <c r="L761" s="9" t="s">
        <v>279</v>
      </c>
      <c r="M761" s="36" t="s">
        <v>319</v>
      </c>
      <c r="O761" s="3">
        <f t="shared" si="494"/>
        <v>46618973</v>
      </c>
      <c r="P761" s="9">
        <v>35317403.659999996</v>
      </c>
      <c r="Q761" s="9">
        <v>5200132</v>
      </c>
      <c r="R761" s="9">
        <v>5301132</v>
      </c>
      <c r="S761" s="9">
        <v>5202133</v>
      </c>
      <c r="T761" s="9">
        <v>5402131</v>
      </c>
      <c r="U761" s="9">
        <v>5400135</v>
      </c>
      <c r="V761" s="9">
        <v>5500131</v>
      </c>
      <c r="W761" s="9">
        <v>13</v>
      </c>
      <c r="X761" s="9">
        <v>13</v>
      </c>
      <c r="Y761" s="9">
        <v>13</v>
      </c>
      <c r="Z761" s="9">
        <v>13</v>
      </c>
      <c r="AA761" s="9">
        <v>13</v>
      </c>
      <c r="AB761" s="9">
        <v>13</v>
      </c>
      <c r="AC761" s="9">
        <f t="shared" si="470"/>
        <v>1585</v>
      </c>
      <c r="AD761" s="9">
        <f t="shared" si="471"/>
        <v>1713</v>
      </c>
      <c r="AE761" s="9">
        <f t="shared" si="472"/>
        <v>1713</v>
      </c>
      <c r="AF761" s="9">
        <f t="shared" si="473"/>
        <v>1713</v>
      </c>
      <c r="AG761" s="9">
        <f t="shared" si="474"/>
        <v>1713</v>
      </c>
      <c r="AH761" s="9">
        <f t="shared" si="475"/>
        <v>1713</v>
      </c>
      <c r="AI761" s="7">
        <f t="shared" si="465"/>
        <v>5886233.9433333324</v>
      </c>
      <c r="AJ761" s="7">
        <f t="shared" si="465"/>
        <v>5886233.9433333324</v>
      </c>
      <c r="AK761" s="7">
        <f t="shared" si="465"/>
        <v>5886233.9433333324</v>
      </c>
      <c r="AL761" s="7">
        <f t="shared" si="465"/>
        <v>5886233.9433333324</v>
      </c>
      <c r="AM761" s="7">
        <f t="shared" si="465"/>
        <v>5886233.9433333324</v>
      </c>
      <c r="AN761" s="7">
        <f t="shared" si="465"/>
        <v>5886233.9433333324</v>
      </c>
      <c r="BR761" s="5">
        <v>5503064</v>
      </c>
      <c r="BS761" s="18">
        <f>[1]monsters!$N761</f>
        <v>136.53</v>
      </c>
      <c r="BT761" s="18">
        <f>[1]monsters!$O761</f>
        <v>13.65</v>
      </c>
      <c r="BU761" s="18">
        <f>[1]monsters!$P761</f>
        <v>1536</v>
      </c>
      <c r="BV761" s="18">
        <f>[1]monsters!$Q761</f>
        <v>153.6</v>
      </c>
      <c r="BW761" s="18">
        <f>[1]monsters!$R761</f>
        <v>45.51</v>
      </c>
      <c r="BX761" s="18">
        <f>[1]monsters!$S761</f>
        <v>4.55</v>
      </c>
      <c r="BY761" s="18">
        <f>[1]monsters!$K761</f>
        <v>1.6</v>
      </c>
      <c r="BZ761" s="5">
        <f>[1]monsters!$D761</f>
        <v>2</v>
      </c>
      <c r="CA761" s="5">
        <f t="shared" si="462"/>
        <v>0.1</v>
      </c>
      <c r="CB761" s="5">
        <f t="shared" si="463"/>
        <v>180.73802171717173</v>
      </c>
      <c r="CC761" s="5">
        <f t="shared" si="464"/>
        <v>18.073802171717173</v>
      </c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R761" s="3" t="b">
        <f t="shared" si="476"/>
        <v>1</v>
      </c>
      <c r="CS761" s="3" t="b">
        <f t="shared" si="477"/>
        <v>1</v>
      </c>
      <c r="CT761" s="3" t="b">
        <f t="shared" si="478"/>
        <v>1</v>
      </c>
      <c r="CU761" s="3" t="b">
        <f t="shared" si="479"/>
        <v>1</v>
      </c>
      <c r="CV761" s="3" t="b">
        <f t="shared" si="480"/>
        <v>1</v>
      </c>
      <c r="CW761" s="3" t="b">
        <f t="shared" si="481"/>
        <v>1</v>
      </c>
      <c r="CX761" s="9" t="str">
        <f t="shared" si="482"/>
        <v>5200132</v>
      </c>
      <c r="CY761" s="9" t="str">
        <f t="shared" si="483"/>
        <v>5301132</v>
      </c>
      <c r="CZ761" s="9" t="str">
        <f t="shared" si="484"/>
        <v>5202133</v>
      </c>
      <c r="DA761" s="9" t="str">
        <f t="shared" si="485"/>
        <v>5402131</v>
      </c>
      <c r="DB761" s="9" t="str">
        <f t="shared" si="486"/>
        <v>5400135</v>
      </c>
      <c r="DC761" s="9" t="str">
        <f t="shared" si="487"/>
        <v>5500131</v>
      </c>
      <c r="DD761" s="9">
        <v>13</v>
      </c>
      <c r="DE761" s="9">
        <v>13</v>
      </c>
      <c r="DF761" s="9">
        <v>13</v>
      </c>
      <c r="DG761" s="9">
        <v>13</v>
      </c>
      <c r="DH761" s="9">
        <v>13</v>
      </c>
      <c r="DI761" s="9">
        <v>13</v>
      </c>
      <c r="DJ761" s="9">
        <v>5</v>
      </c>
      <c r="DK761" s="9">
        <v>5</v>
      </c>
      <c r="DL761" s="9">
        <v>5</v>
      </c>
      <c r="DM761" s="9">
        <v>5</v>
      </c>
      <c r="DN761" s="9">
        <v>5</v>
      </c>
      <c r="DO761" s="9">
        <v>5</v>
      </c>
      <c r="DP761" s="25" t="s">
        <v>199</v>
      </c>
      <c r="DQ761" s="26" t="s">
        <v>201</v>
      </c>
      <c r="DR761" s="25" t="s">
        <v>208</v>
      </c>
      <c r="DS761" s="26" t="s">
        <v>196</v>
      </c>
      <c r="DT761" s="26" t="s">
        <v>210</v>
      </c>
      <c r="DU761" s="28" t="s">
        <v>197</v>
      </c>
      <c r="DV761" s="25">
        <f t="shared" si="488"/>
        <v>1</v>
      </c>
      <c r="DW761" s="25">
        <f t="shared" si="489"/>
        <v>1</v>
      </c>
      <c r="DX761" s="25">
        <f t="shared" si="490"/>
        <v>1</v>
      </c>
      <c r="DY761" s="25">
        <f t="shared" si="491"/>
        <v>2</v>
      </c>
      <c r="DZ761" s="25">
        <f t="shared" si="492"/>
        <v>2</v>
      </c>
      <c r="EA761" s="25">
        <f t="shared" si="493"/>
        <v>2</v>
      </c>
      <c r="EB761" s="49"/>
    </row>
    <row r="762" spans="1:132" ht="13.5" customHeight="1">
      <c r="A762" s="9">
        <v>759</v>
      </c>
      <c r="B762" s="9">
        <v>1</v>
      </c>
      <c r="C762" s="9">
        <v>2001</v>
      </c>
      <c r="D762" s="9">
        <f t="shared" si="466"/>
        <v>46724387</v>
      </c>
      <c r="E762" s="9" t="str">
        <f t="shared" si="467"/>
        <v>5201133,5201133,5201133,5402133,5402133,5402133</v>
      </c>
      <c r="F762" s="9" t="str">
        <f t="shared" si="468"/>
        <v>13,13,13,13,13,13</v>
      </c>
      <c r="G762" s="9" t="str">
        <f t="shared" si="469"/>
        <v>1587,1715,1715,1715,1715,1715</v>
      </c>
      <c r="H762" s="9">
        <v>343</v>
      </c>
      <c r="I762" s="9" t="s">
        <v>278</v>
      </c>
      <c r="J762" s="9" t="s">
        <v>279</v>
      </c>
      <c r="K762" s="9" t="s">
        <v>279</v>
      </c>
      <c r="L762" s="9" t="s">
        <v>279</v>
      </c>
      <c r="M762" s="36" t="s">
        <v>319</v>
      </c>
      <c r="O762" s="3">
        <f t="shared" si="494"/>
        <v>46724387</v>
      </c>
      <c r="P762" s="9">
        <v>35397262.939999998</v>
      </c>
      <c r="Q762" s="9">
        <v>5201133</v>
      </c>
      <c r="R762" s="9">
        <v>5201133</v>
      </c>
      <c r="S762" s="9">
        <v>5201133</v>
      </c>
      <c r="T762" s="9">
        <v>5402133</v>
      </c>
      <c r="U762" s="9">
        <v>5402133</v>
      </c>
      <c r="V762" s="9">
        <v>5402133</v>
      </c>
      <c r="W762" s="9">
        <v>13</v>
      </c>
      <c r="X762" s="9">
        <v>13</v>
      </c>
      <c r="Y762" s="9">
        <v>13</v>
      </c>
      <c r="Z762" s="9">
        <v>13</v>
      </c>
      <c r="AA762" s="9">
        <v>13</v>
      </c>
      <c r="AB762" s="9">
        <v>13</v>
      </c>
      <c r="AC762" s="9">
        <f t="shared" si="470"/>
        <v>1587</v>
      </c>
      <c r="AD762" s="9">
        <f t="shared" si="471"/>
        <v>1715</v>
      </c>
      <c r="AE762" s="9">
        <f t="shared" si="472"/>
        <v>1715</v>
      </c>
      <c r="AF762" s="9">
        <f t="shared" si="473"/>
        <v>1715</v>
      </c>
      <c r="AG762" s="9">
        <f t="shared" si="474"/>
        <v>1715</v>
      </c>
      <c r="AH762" s="9">
        <f t="shared" si="475"/>
        <v>1715</v>
      </c>
      <c r="AI762" s="7">
        <f t="shared" si="465"/>
        <v>5899543.8233333332</v>
      </c>
      <c r="AJ762" s="7">
        <f t="shared" si="465"/>
        <v>5899543.8233333332</v>
      </c>
      <c r="AK762" s="7">
        <f t="shared" si="465"/>
        <v>5899543.8233333332</v>
      </c>
      <c r="AL762" s="7">
        <f t="shared" si="465"/>
        <v>5899543.8233333332</v>
      </c>
      <c r="AM762" s="7">
        <f t="shared" si="465"/>
        <v>5899543.8233333332</v>
      </c>
      <c r="AN762" s="7">
        <f t="shared" si="465"/>
        <v>5899543.8233333332</v>
      </c>
      <c r="BR762" s="5">
        <v>5504064</v>
      </c>
      <c r="BS762" s="18">
        <f>[1]monsters!$N762</f>
        <v>153.6</v>
      </c>
      <c r="BT762" s="18">
        <f>[1]monsters!$O762</f>
        <v>15.36</v>
      </c>
      <c r="BU762" s="18">
        <f>[1]monsters!$P762</f>
        <v>1728</v>
      </c>
      <c r="BV762" s="18">
        <f>[1]monsters!$Q762</f>
        <v>172.8</v>
      </c>
      <c r="BW762" s="18">
        <f>[1]monsters!$R762</f>
        <v>51.2</v>
      </c>
      <c r="BX762" s="18">
        <f>[1]monsters!$S762</f>
        <v>5.12</v>
      </c>
      <c r="BY762" s="18">
        <f>[1]monsters!$K762</f>
        <v>1.6</v>
      </c>
      <c r="BZ762" s="5">
        <f>[1]monsters!$D762</f>
        <v>2</v>
      </c>
      <c r="CA762" s="5">
        <f t="shared" si="462"/>
        <v>0.1</v>
      </c>
      <c r="CB762" s="5">
        <f t="shared" si="463"/>
        <v>203.3338181818182</v>
      </c>
      <c r="CC762" s="5">
        <f t="shared" si="464"/>
        <v>20.33338181818182</v>
      </c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R762" s="3" t="b">
        <f t="shared" si="476"/>
        <v>1</v>
      </c>
      <c r="CS762" s="3" t="b">
        <f t="shared" si="477"/>
        <v>1</v>
      </c>
      <c r="CT762" s="3" t="b">
        <f t="shared" si="478"/>
        <v>1</v>
      </c>
      <c r="CU762" s="3" t="b">
        <f t="shared" si="479"/>
        <v>1</v>
      </c>
      <c r="CV762" s="3" t="b">
        <f t="shared" si="480"/>
        <v>1</v>
      </c>
      <c r="CW762" s="3" t="b">
        <f t="shared" si="481"/>
        <v>1</v>
      </c>
      <c r="CX762" s="9" t="str">
        <f t="shared" si="482"/>
        <v>5201133</v>
      </c>
      <c r="CY762" s="9" t="str">
        <f t="shared" si="483"/>
        <v>5201133</v>
      </c>
      <c r="CZ762" s="9" t="str">
        <f t="shared" si="484"/>
        <v>5201133</v>
      </c>
      <c r="DA762" s="9" t="str">
        <f t="shared" si="485"/>
        <v>5402133</v>
      </c>
      <c r="DB762" s="9" t="str">
        <f t="shared" si="486"/>
        <v>5402133</v>
      </c>
      <c r="DC762" s="9" t="str">
        <f t="shared" si="487"/>
        <v>5402133</v>
      </c>
      <c r="DD762" s="9">
        <v>13</v>
      </c>
      <c r="DE762" s="9">
        <v>13</v>
      </c>
      <c r="DF762" s="9">
        <v>13</v>
      </c>
      <c r="DG762" s="9">
        <v>13</v>
      </c>
      <c r="DH762" s="9">
        <v>13</v>
      </c>
      <c r="DI762" s="9">
        <v>13</v>
      </c>
      <c r="DJ762" s="9">
        <v>5</v>
      </c>
      <c r="DK762" s="9">
        <v>5</v>
      </c>
      <c r="DL762" s="9">
        <v>5</v>
      </c>
      <c r="DM762" s="9">
        <v>5</v>
      </c>
      <c r="DN762" s="9">
        <v>5</v>
      </c>
      <c r="DO762" s="9">
        <v>5</v>
      </c>
      <c r="DP762" s="25" t="s">
        <v>205</v>
      </c>
      <c r="DQ762" s="25" t="s">
        <v>205</v>
      </c>
      <c r="DR762" s="25" t="s">
        <v>205</v>
      </c>
      <c r="DS762" s="26" t="s">
        <v>118</v>
      </c>
      <c r="DT762" s="26" t="s">
        <v>118</v>
      </c>
      <c r="DU762" s="26" t="s">
        <v>118</v>
      </c>
      <c r="DV762" s="25">
        <f t="shared" si="488"/>
        <v>1</v>
      </c>
      <c r="DW762" s="25">
        <f t="shared" si="489"/>
        <v>1</v>
      </c>
      <c r="DX762" s="25">
        <f t="shared" si="490"/>
        <v>1</v>
      </c>
      <c r="DY762" s="25">
        <f t="shared" si="491"/>
        <v>2</v>
      </c>
      <c r="DZ762" s="25">
        <f t="shared" si="492"/>
        <v>2</v>
      </c>
      <c r="EA762" s="25">
        <f t="shared" si="493"/>
        <v>2</v>
      </c>
      <c r="EB762" s="38"/>
    </row>
    <row r="763" spans="1:132" ht="13.5" customHeight="1">
      <c r="A763" s="9">
        <v>760</v>
      </c>
      <c r="B763" s="9">
        <v>1</v>
      </c>
      <c r="C763" s="9">
        <v>2001</v>
      </c>
      <c r="D763" s="9">
        <f t="shared" si="466"/>
        <v>46829921</v>
      </c>
      <c r="E763" s="9" t="str">
        <f t="shared" si="467"/>
        <v>5201131,5201132,5200131,5502131,5601131,5401131</v>
      </c>
      <c r="F763" s="9" t="str">
        <f t="shared" si="468"/>
        <v>13,13,13,13,13,13</v>
      </c>
      <c r="G763" s="9" t="str">
        <f t="shared" si="469"/>
        <v>1589,1717,1717,1717,1717,1717</v>
      </c>
      <c r="H763" s="9">
        <v>344</v>
      </c>
      <c r="I763" s="9" t="s">
        <v>278</v>
      </c>
      <c r="J763" s="9" t="s">
        <v>279</v>
      </c>
      <c r="K763" s="9" t="s">
        <v>279</v>
      </c>
      <c r="L763" s="9" t="s">
        <v>279</v>
      </c>
      <c r="M763" s="36" t="s">
        <v>319</v>
      </c>
      <c r="O763" s="3">
        <f t="shared" si="494"/>
        <v>46829921</v>
      </c>
      <c r="P763" s="9">
        <v>35477212.950000003</v>
      </c>
      <c r="Q763" s="9">
        <v>5201131</v>
      </c>
      <c r="R763" s="9">
        <v>5201132</v>
      </c>
      <c r="S763" s="9">
        <v>5200131</v>
      </c>
      <c r="T763" s="9">
        <v>5502131</v>
      </c>
      <c r="U763" s="9">
        <v>5601131</v>
      </c>
      <c r="V763" s="9">
        <v>5401131</v>
      </c>
      <c r="W763" s="9">
        <v>13</v>
      </c>
      <c r="X763" s="9">
        <v>13</v>
      </c>
      <c r="Y763" s="9">
        <v>13</v>
      </c>
      <c r="Z763" s="9">
        <v>13</v>
      </c>
      <c r="AA763" s="9">
        <v>13</v>
      </c>
      <c r="AB763" s="9">
        <v>13</v>
      </c>
      <c r="AC763" s="9">
        <f t="shared" si="470"/>
        <v>1589</v>
      </c>
      <c r="AD763" s="9">
        <f t="shared" si="471"/>
        <v>1717</v>
      </c>
      <c r="AE763" s="9">
        <f t="shared" si="472"/>
        <v>1717</v>
      </c>
      <c r="AF763" s="9">
        <f t="shared" si="473"/>
        <v>1717</v>
      </c>
      <c r="AG763" s="9">
        <f t="shared" si="474"/>
        <v>1717</v>
      </c>
      <c r="AH763" s="9">
        <f t="shared" si="475"/>
        <v>1717</v>
      </c>
      <c r="AI763" s="7">
        <f t="shared" si="465"/>
        <v>5912868.8250000002</v>
      </c>
      <c r="AJ763" s="7">
        <f t="shared" si="465"/>
        <v>5912868.8250000002</v>
      </c>
      <c r="AK763" s="7">
        <f t="shared" si="465"/>
        <v>5912868.8250000002</v>
      </c>
      <c r="AL763" s="7">
        <f t="shared" ref="AJ763:AN803" si="495">$P763/6</f>
        <v>5912868.8250000002</v>
      </c>
      <c r="AM763" s="7">
        <f t="shared" si="495"/>
        <v>5912868.8250000002</v>
      </c>
      <c r="AN763" s="7">
        <f t="shared" si="495"/>
        <v>5912868.8250000002</v>
      </c>
      <c r="BR763" s="5">
        <v>5101064</v>
      </c>
      <c r="BS763" s="18">
        <f>[1]monsters!$N763</f>
        <v>153.6</v>
      </c>
      <c r="BT763" s="18">
        <f>[1]monsters!$O763</f>
        <v>15.36</v>
      </c>
      <c r="BU763" s="18">
        <f>[1]monsters!$P763</f>
        <v>1728</v>
      </c>
      <c r="BV763" s="18">
        <f>[1]monsters!$Q763</f>
        <v>172.8</v>
      </c>
      <c r="BW763" s="18">
        <f>[1]monsters!$R763</f>
        <v>51.2</v>
      </c>
      <c r="BX763" s="18">
        <f>[1]monsters!$S763</f>
        <v>5.12</v>
      </c>
      <c r="BY763" s="18">
        <f>[1]monsters!$K763</f>
        <v>1.6</v>
      </c>
      <c r="BZ763" s="5">
        <f>[1]monsters!$D763</f>
        <v>2</v>
      </c>
      <c r="CA763" s="5">
        <f t="shared" si="462"/>
        <v>0.1</v>
      </c>
      <c r="CB763" s="5">
        <f t="shared" si="463"/>
        <v>203.3338181818182</v>
      </c>
      <c r="CC763" s="5">
        <f t="shared" si="464"/>
        <v>20.33338181818182</v>
      </c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R763" s="3" t="b">
        <f t="shared" si="476"/>
        <v>1</v>
      </c>
      <c r="CS763" s="3" t="b">
        <f t="shared" si="477"/>
        <v>1</v>
      </c>
      <c r="CT763" s="3" t="b">
        <f t="shared" si="478"/>
        <v>1</v>
      </c>
      <c r="CU763" s="3" t="b">
        <f t="shared" si="479"/>
        <v>1</v>
      </c>
      <c r="CV763" s="3" t="b">
        <f t="shared" si="480"/>
        <v>1</v>
      </c>
      <c r="CW763" s="3" t="b">
        <f t="shared" si="481"/>
        <v>1</v>
      </c>
      <c r="CX763" s="9" t="str">
        <f t="shared" si="482"/>
        <v>5201131</v>
      </c>
      <c r="CY763" s="9" t="str">
        <f t="shared" si="483"/>
        <v>5201132</v>
      </c>
      <c r="CZ763" s="9" t="str">
        <f t="shared" si="484"/>
        <v>5200131</v>
      </c>
      <c r="DA763" s="9" t="str">
        <f t="shared" si="485"/>
        <v>5502131</v>
      </c>
      <c r="DB763" s="9" t="str">
        <f t="shared" si="486"/>
        <v>5601131</v>
      </c>
      <c r="DC763" s="9" t="str">
        <f t="shared" si="487"/>
        <v>5401131</v>
      </c>
      <c r="DD763" s="9">
        <v>13</v>
      </c>
      <c r="DE763" s="9">
        <v>13</v>
      </c>
      <c r="DF763" s="9">
        <v>13</v>
      </c>
      <c r="DG763" s="9">
        <v>13</v>
      </c>
      <c r="DH763" s="9">
        <v>13</v>
      </c>
      <c r="DI763" s="9">
        <v>13</v>
      </c>
      <c r="DJ763" s="9">
        <v>5</v>
      </c>
      <c r="DK763" s="9">
        <v>5</v>
      </c>
      <c r="DL763" s="9">
        <v>5</v>
      </c>
      <c r="DM763" s="9">
        <v>5</v>
      </c>
      <c r="DN763" s="9">
        <v>5</v>
      </c>
      <c r="DO763" s="9">
        <v>5</v>
      </c>
      <c r="DP763" s="25" t="s">
        <v>195</v>
      </c>
      <c r="DQ763" s="25" t="s">
        <v>114</v>
      </c>
      <c r="DR763" s="25" t="s">
        <v>194</v>
      </c>
      <c r="DS763" s="25" t="s">
        <v>119</v>
      </c>
      <c r="DT763" s="25" t="s">
        <v>198</v>
      </c>
      <c r="DU763" s="25" t="s">
        <v>117</v>
      </c>
      <c r="DV763" s="25">
        <f t="shared" si="488"/>
        <v>1</v>
      </c>
      <c r="DW763" s="25">
        <f t="shared" si="489"/>
        <v>1</v>
      </c>
      <c r="DX763" s="25">
        <f t="shared" si="490"/>
        <v>1</v>
      </c>
      <c r="DY763" s="25">
        <f t="shared" si="491"/>
        <v>2</v>
      </c>
      <c r="DZ763" s="25">
        <f t="shared" si="492"/>
        <v>2</v>
      </c>
      <c r="EA763" s="25">
        <f t="shared" si="493"/>
        <v>2</v>
      </c>
      <c r="EB763" s="38"/>
    </row>
    <row r="764" spans="1:132" ht="13.5" customHeight="1">
      <c r="A764" s="9">
        <v>761</v>
      </c>
      <c r="B764" s="9">
        <v>1</v>
      </c>
      <c r="C764" s="9">
        <v>2001</v>
      </c>
      <c r="D764" s="9">
        <f t="shared" si="466"/>
        <v>46935575</v>
      </c>
      <c r="E764" s="9" t="str">
        <f t="shared" si="467"/>
        <v>5200132,5200133,5200132,5502132,5500132,5502133</v>
      </c>
      <c r="F764" s="9" t="str">
        <f t="shared" si="468"/>
        <v>13,13,13,13,13,13</v>
      </c>
      <c r="G764" s="9" t="str">
        <f t="shared" si="469"/>
        <v>1590,1719,1719,1719,1719,1719</v>
      </c>
      <c r="H764" s="9">
        <v>344</v>
      </c>
      <c r="I764" s="9" t="s">
        <v>278</v>
      </c>
      <c r="J764" s="9" t="s">
        <v>279</v>
      </c>
      <c r="K764" s="9" t="s">
        <v>279</v>
      </c>
      <c r="L764" s="9" t="s">
        <v>279</v>
      </c>
      <c r="M764" s="36" t="s">
        <v>320</v>
      </c>
      <c r="O764" s="3">
        <f t="shared" si="494"/>
        <v>46935575</v>
      </c>
      <c r="P764" s="9">
        <v>35557253.689999998</v>
      </c>
      <c r="Q764" s="9">
        <v>5200132</v>
      </c>
      <c r="R764" s="9">
        <v>5200133</v>
      </c>
      <c r="S764" s="9">
        <v>5200132</v>
      </c>
      <c r="T764" s="9">
        <v>5502132</v>
      </c>
      <c r="U764" s="9">
        <v>5500132</v>
      </c>
      <c r="V764" s="9">
        <v>5502133</v>
      </c>
      <c r="W764" s="9">
        <v>13</v>
      </c>
      <c r="X764" s="9">
        <v>13</v>
      </c>
      <c r="Y764" s="9">
        <v>13</v>
      </c>
      <c r="Z764" s="9">
        <v>13</v>
      </c>
      <c r="AA764" s="9">
        <v>13</v>
      </c>
      <c r="AB764" s="9">
        <v>13</v>
      </c>
      <c r="AC764" s="9">
        <f t="shared" si="470"/>
        <v>1590</v>
      </c>
      <c r="AD764" s="9">
        <f t="shared" si="471"/>
        <v>1719</v>
      </c>
      <c r="AE764" s="9">
        <f t="shared" si="472"/>
        <v>1719</v>
      </c>
      <c r="AF764" s="9">
        <f t="shared" si="473"/>
        <v>1719</v>
      </c>
      <c r="AG764" s="9">
        <f t="shared" si="474"/>
        <v>1719</v>
      </c>
      <c r="AH764" s="9">
        <f t="shared" si="475"/>
        <v>1719</v>
      </c>
      <c r="AI764" s="7">
        <f t="shared" ref="AI764:AI803" si="496">$P764/6</f>
        <v>5926208.9483333332</v>
      </c>
      <c r="AJ764" s="7">
        <f t="shared" si="495"/>
        <v>5926208.9483333332</v>
      </c>
      <c r="AK764" s="7">
        <f t="shared" si="495"/>
        <v>5926208.9483333332</v>
      </c>
      <c r="AL764" s="7">
        <f t="shared" si="495"/>
        <v>5926208.9483333332</v>
      </c>
      <c r="AM764" s="7">
        <f t="shared" si="495"/>
        <v>5926208.9483333332</v>
      </c>
      <c r="AN764" s="7">
        <f t="shared" si="495"/>
        <v>5926208.9483333332</v>
      </c>
      <c r="BR764" s="5">
        <v>5102064</v>
      </c>
      <c r="BS764" s="18">
        <f>[1]monsters!$N764</f>
        <v>153.6</v>
      </c>
      <c r="BT764" s="18">
        <f>[1]monsters!$O764</f>
        <v>15.36</v>
      </c>
      <c r="BU764" s="18">
        <f>[1]monsters!$P764</f>
        <v>1728</v>
      </c>
      <c r="BV764" s="18">
        <f>[1]monsters!$Q764</f>
        <v>172.8</v>
      </c>
      <c r="BW764" s="18">
        <f>[1]monsters!$R764</f>
        <v>51.2</v>
      </c>
      <c r="BX764" s="18">
        <f>[1]monsters!$S764</f>
        <v>5.12</v>
      </c>
      <c r="BY764" s="18">
        <f>[1]monsters!$K764</f>
        <v>1.6</v>
      </c>
      <c r="BZ764" s="5">
        <f>[1]monsters!$D764</f>
        <v>2</v>
      </c>
      <c r="CA764" s="5">
        <f t="shared" si="462"/>
        <v>0.1</v>
      </c>
      <c r="CB764" s="5">
        <f t="shared" si="463"/>
        <v>203.3338181818182</v>
      </c>
      <c r="CC764" s="5">
        <f t="shared" si="464"/>
        <v>20.33338181818182</v>
      </c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R764" s="3" t="b">
        <f t="shared" si="476"/>
        <v>1</v>
      </c>
      <c r="CS764" s="3" t="b">
        <f t="shared" si="477"/>
        <v>1</v>
      </c>
      <c r="CT764" s="3" t="b">
        <f t="shared" si="478"/>
        <v>1</v>
      </c>
      <c r="CU764" s="3" t="b">
        <f t="shared" si="479"/>
        <v>1</v>
      </c>
      <c r="CV764" s="3" t="b">
        <f t="shared" si="480"/>
        <v>1</v>
      </c>
      <c r="CW764" s="3" t="b">
        <f t="shared" si="481"/>
        <v>1</v>
      </c>
      <c r="CX764" s="9" t="str">
        <f t="shared" si="482"/>
        <v>5200132</v>
      </c>
      <c r="CY764" s="9" t="str">
        <f t="shared" si="483"/>
        <v>5200133</v>
      </c>
      <c r="CZ764" s="9" t="str">
        <f t="shared" si="484"/>
        <v>5200132</v>
      </c>
      <c r="DA764" s="9" t="str">
        <f t="shared" si="485"/>
        <v>5502132</v>
      </c>
      <c r="DB764" s="9" t="str">
        <f t="shared" si="486"/>
        <v>5500132</v>
      </c>
      <c r="DC764" s="9" t="str">
        <f t="shared" si="487"/>
        <v>5502133</v>
      </c>
      <c r="DD764" s="9">
        <v>13</v>
      </c>
      <c r="DE764" s="9">
        <v>13</v>
      </c>
      <c r="DF764" s="9">
        <v>13</v>
      </c>
      <c r="DG764" s="9">
        <v>13</v>
      </c>
      <c r="DH764" s="9">
        <v>13</v>
      </c>
      <c r="DI764" s="9">
        <v>13</v>
      </c>
      <c r="DJ764" s="9">
        <v>5</v>
      </c>
      <c r="DK764" s="9">
        <v>5</v>
      </c>
      <c r="DL764" s="9">
        <v>5</v>
      </c>
      <c r="DM764" s="9">
        <v>5</v>
      </c>
      <c r="DN764" s="9">
        <v>5</v>
      </c>
      <c r="DO764" s="9">
        <v>5</v>
      </c>
      <c r="DP764" s="25" t="s">
        <v>199</v>
      </c>
      <c r="DQ764" s="25" t="s">
        <v>113</v>
      </c>
      <c r="DR764" s="25" t="s">
        <v>199</v>
      </c>
      <c r="DS764" s="25" t="s">
        <v>204</v>
      </c>
      <c r="DT764" s="25" t="s">
        <v>109</v>
      </c>
      <c r="DU764" s="25" t="s">
        <v>215</v>
      </c>
      <c r="DV764" s="25">
        <f t="shared" si="488"/>
        <v>1</v>
      </c>
      <c r="DW764" s="25">
        <f t="shared" si="489"/>
        <v>1</v>
      </c>
      <c r="DX764" s="25">
        <f t="shared" si="490"/>
        <v>1</v>
      </c>
      <c r="DY764" s="25">
        <f t="shared" si="491"/>
        <v>2</v>
      </c>
      <c r="DZ764" s="25">
        <f t="shared" si="492"/>
        <v>2</v>
      </c>
      <c r="EA764" s="25">
        <f t="shared" si="493"/>
        <v>2</v>
      </c>
      <c r="EB764" s="38"/>
    </row>
    <row r="765" spans="1:132" ht="13.5" customHeight="1">
      <c r="A765" s="9">
        <v>762</v>
      </c>
      <c r="B765" s="9">
        <v>1</v>
      </c>
      <c r="C765" s="9">
        <v>2001</v>
      </c>
      <c r="D765" s="9">
        <f t="shared" si="466"/>
        <v>47041348</v>
      </c>
      <c r="E765" s="9" t="str">
        <f t="shared" si="467"/>
        <v>5202133,5202132,5202133,5401133,5402132,5401133</v>
      </c>
      <c r="F765" s="9" t="str">
        <f t="shared" si="468"/>
        <v>13,13,13,13,13,13</v>
      </c>
      <c r="G765" s="9" t="str">
        <f t="shared" si="469"/>
        <v>1592,1721,1721,1721,1721,1721</v>
      </c>
      <c r="H765" s="9">
        <v>344</v>
      </c>
      <c r="I765" s="9" t="s">
        <v>278</v>
      </c>
      <c r="J765" s="9" t="s">
        <v>279</v>
      </c>
      <c r="K765" s="9" t="s">
        <v>279</v>
      </c>
      <c r="L765" s="9" t="s">
        <v>279</v>
      </c>
      <c r="M765" s="36" t="s">
        <v>320</v>
      </c>
      <c r="O765" s="3">
        <f t="shared" si="494"/>
        <v>47041348</v>
      </c>
      <c r="P765" s="9">
        <v>35637385.159999996</v>
      </c>
      <c r="Q765" s="9">
        <v>5202133</v>
      </c>
      <c r="R765" s="9">
        <v>5202132</v>
      </c>
      <c r="S765" s="9">
        <v>5202133</v>
      </c>
      <c r="T765" s="9">
        <v>5401133</v>
      </c>
      <c r="U765" s="9">
        <v>5402132</v>
      </c>
      <c r="V765" s="9">
        <v>5401133</v>
      </c>
      <c r="W765" s="9">
        <v>13</v>
      </c>
      <c r="X765" s="9">
        <v>13</v>
      </c>
      <c r="Y765" s="9">
        <v>13</v>
      </c>
      <c r="Z765" s="9">
        <v>13</v>
      </c>
      <c r="AA765" s="9">
        <v>13</v>
      </c>
      <c r="AB765" s="9">
        <v>13</v>
      </c>
      <c r="AC765" s="9">
        <f t="shared" si="470"/>
        <v>1592</v>
      </c>
      <c r="AD765" s="9">
        <f t="shared" si="471"/>
        <v>1721</v>
      </c>
      <c r="AE765" s="9">
        <f t="shared" si="472"/>
        <v>1721</v>
      </c>
      <c r="AF765" s="9">
        <f t="shared" si="473"/>
        <v>1721</v>
      </c>
      <c r="AG765" s="9">
        <f t="shared" si="474"/>
        <v>1721</v>
      </c>
      <c r="AH765" s="9">
        <f t="shared" si="475"/>
        <v>1721</v>
      </c>
      <c r="AI765" s="7">
        <f t="shared" si="496"/>
        <v>5939564.1933333324</v>
      </c>
      <c r="AJ765" s="7">
        <f t="shared" si="495"/>
        <v>5939564.1933333324</v>
      </c>
      <c r="AK765" s="7">
        <f t="shared" si="495"/>
        <v>5939564.1933333324</v>
      </c>
      <c r="AL765" s="7">
        <f t="shared" si="495"/>
        <v>5939564.1933333324</v>
      </c>
      <c r="AM765" s="7">
        <f t="shared" si="495"/>
        <v>5939564.1933333324</v>
      </c>
      <c r="AN765" s="7">
        <f t="shared" si="495"/>
        <v>5939564.1933333324</v>
      </c>
      <c r="BR765" s="5">
        <v>5206065</v>
      </c>
      <c r="BS765" s="18">
        <f>[1]monsters!$N765</f>
        <v>153.6</v>
      </c>
      <c r="BT765" s="18">
        <f>[1]monsters!$O765</f>
        <v>15.36</v>
      </c>
      <c r="BU765" s="18">
        <f>[1]monsters!$P765</f>
        <v>1728</v>
      </c>
      <c r="BV765" s="18">
        <f>[1]monsters!$Q765</f>
        <v>172.8</v>
      </c>
      <c r="BW765" s="18">
        <f>[1]monsters!$R765</f>
        <v>51.2</v>
      </c>
      <c r="BX765" s="18">
        <f>[1]monsters!$S765</f>
        <v>5.12</v>
      </c>
      <c r="BY765" s="18">
        <f>[1]monsters!$K765</f>
        <v>1.6</v>
      </c>
      <c r="BZ765" s="5">
        <f>[1]monsters!$D765</f>
        <v>2</v>
      </c>
      <c r="CA765" s="5">
        <f t="shared" si="462"/>
        <v>0.1</v>
      </c>
      <c r="CB765" s="5">
        <f t="shared" si="463"/>
        <v>203.3338181818182</v>
      </c>
      <c r="CC765" s="5">
        <f t="shared" si="464"/>
        <v>20.33338181818182</v>
      </c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R765" s="3" t="b">
        <f t="shared" si="476"/>
        <v>1</v>
      </c>
      <c r="CS765" s="3" t="b">
        <f t="shared" si="477"/>
        <v>1</v>
      </c>
      <c r="CT765" s="3" t="b">
        <f t="shared" si="478"/>
        <v>1</v>
      </c>
      <c r="CU765" s="3" t="b">
        <f t="shared" si="479"/>
        <v>1</v>
      </c>
      <c r="CV765" s="3" t="b">
        <f t="shared" si="480"/>
        <v>1</v>
      </c>
      <c r="CW765" s="3" t="b">
        <f t="shared" si="481"/>
        <v>1</v>
      </c>
      <c r="CX765" s="9" t="str">
        <f t="shared" si="482"/>
        <v>5202133</v>
      </c>
      <c r="CY765" s="9" t="str">
        <f t="shared" si="483"/>
        <v>5202132</v>
      </c>
      <c r="CZ765" s="9" t="str">
        <f t="shared" si="484"/>
        <v>5202133</v>
      </c>
      <c r="DA765" s="9" t="str">
        <f t="shared" si="485"/>
        <v>5401133</v>
      </c>
      <c r="DB765" s="9" t="str">
        <f t="shared" si="486"/>
        <v>5402132</v>
      </c>
      <c r="DC765" s="9" t="str">
        <f t="shared" si="487"/>
        <v>5401133</v>
      </c>
      <c r="DD765" s="9">
        <v>13</v>
      </c>
      <c r="DE765" s="9">
        <v>13</v>
      </c>
      <c r="DF765" s="9">
        <v>13</v>
      </c>
      <c r="DG765" s="9">
        <v>13</v>
      </c>
      <c r="DH765" s="9">
        <v>13</v>
      </c>
      <c r="DI765" s="9">
        <v>13</v>
      </c>
      <c r="DJ765" s="9">
        <v>5</v>
      </c>
      <c r="DK765" s="9">
        <v>5</v>
      </c>
      <c r="DL765" s="9">
        <v>5</v>
      </c>
      <c r="DM765" s="9">
        <v>5</v>
      </c>
      <c r="DN765" s="9">
        <v>5</v>
      </c>
      <c r="DO765" s="9">
        <v>5</v>
      </c>
      <c r="DP765" s="25" t="s">
        <v>208</v>
      </c>
      <c r="DQ765" s="25" t="s">
        <v>200</v>
      </c>
      <c r="DR765" s="25" t="s">
        <v>208</v>
      </c>
      <c r="DS765" s="25" t="s">
        <v>211</v>
      </c>
      <c r="DT765" s="25" t="s">
        <v>203</v>
      </c>
      <c r="DU765" s="25" t="s">
        <v>211</v>
      </c>
      <c r="DV765" s="25">
        <f t="shared" si="488"/>
        <v>1</v>
      </c>
      <c r="DW765" s="25">
        <f t="shared" si="489"/>
        <v>1</v>
      </c>
      <c r="DX765" s="25">
        <f t="shared" si="490"/>
        <v>1</v>
      </c>
      <c r="DY765" s="25">
        <f t="shared" si="491"/>
        <v>2</v>
      </c>
      <c r="DZ765" s="25">
        <f t="shared" si="492"/>
        <v>2</v>
      </c>
      <c r="EA765" s="25">
        <f t="shared" si="493"/>
        <v>2</v>
      </c>
      <c r="EB765" s="50"/>
    </row>
    <row r="766" spans="1:132" ht="13.5" customHeight="1">
      <c r="A766" s="9">
        <v>763</v>
      </c>
      <c r="B766" s="9">
        <v>1</v>
      </c>
      <c r="C766" s="9">
        <v>2001</v>
      </c>
      <c r="D766" s="9">
        <f t="shared" si="466"/>
        <v>47147242</v>
      </c>
      <c r="E766" s="9" t="str">
        <f t="shared" si="467"/>
        <v>5202133,5202132,5202133,5500132,5500131,5500132</v>
      </c>
      <c r="F766" s="9" t="str">
        <f t="shared" si="468"/>
        <v>13,13,13,13,13,13</v>
      </c>
      <c r="G766" s="9" t="str">
        <f t="shared" si="469"/>
        <v>1594,1723,1723,1723,1723,1723</v>
      </c>
      <c r="H766" s="9">
        <v>345</v>
      </c>
      <c r="I766" s="9" t="s">
        <v>278</v>
      </c>
      <c r="J766" s="9" t="s">
        <v>279</v>
      </c>
      <c r="K766" s="9" t="s">
        <v>279</v>
      </c>
      <c r="L766" s="9" t="s">
        <v>279</v>
      </c>
      <c r="M766" s="36" t="s">
        <v>320</v>
      </c>
      <c r="O766" s="3">
        <f t="shared" si="494"/>
        <v>47147242</v>
      </c>
      <c r="P766" s="9">
        <v>35717607.359999999</v>
      </c>
      <c r="Q766" s="9">
        <v>5202133</v>
      </c>
      <c r="R766" s="9">
        <v>5202132</v>
      </c>
      <c r="S766" s="9">
        <v>5202133</v>
      </c>
      <c r="T766" s="9">
        <v>5500132</v>
      </c>
      <c r="U766" s="9">
        <v>5500131</v>
      </c>
      <c r="V766" s="9">
        <v>5500132</v>
      </c>
      <c r="W766" s="9">
        <v>13</v>
      </c>
      <c r="X766" s="9">
        <v>13</v>
      </c>
      <c r="Y766" s="9">
        <v>13</v>
      </c>
      <c r="Z766" s="9">
        <v>13</v>
      </c>
      <c r="AA766" s="9">
        <v>13</v>
      </c>
      <c r="AB766" s="9">
        <v>13</v>
      </c>
      <c r="AC766" s="9">
        <f t="shared" si="470"/>
        <v>1594</v>
      </c>
      <c r="AD766" s="9">
        <f t="shared" si="471"/>
        <v>1723</v>
      </c>
      <c r="AE766" s="9">
        <f t="shared" si="472"/>
        <v>1723</v>
      </c>
      <c r="AF766" s="9">
        <f t="shared" si="473"/>
        <v>1723</v>
      </c>
      <c r="AG766" s="9">
        <f t="shared" si="474"/>
        <v>1723</v>
      </c>
      <c r="AH766" s="9">
        <f t="shared" si="475"/>
        <v>1723</v>
      </c>
      <c r="AI766" s="7">
        <f t="shared" si="496"/>
        <v>5952934.5599999996</v>
      </c>
      <c r="AJ766" s="7">
        <f t="shared" si="495"/>
        <v>5952934.5599999996</v>
      </c>
      <c r="AK766" s="7">
        <f t="shared" si="495"/>
        <v>5952934.5599999996</v>
      </c>
      <c r="AL766" s="7">
        <f t="shared" si="495"/>
        <v>5952934.5599999996</v>
      </c>
      <c r="AM766" s="7">
        <f t="shared" si="495"/>
        <v>5952934.5599999996</v>
      </c>
      <c r="AN766" s="7">
        <f t="shared" si="495"/>
        <v>5952934.5599999996</v>
      </c>
      <c r="BR766" s="5">
        <v>5406065</v>
      </c>
      <c r="BS766" s="18">
        <f>[1]monsters!$N766</f>
        <v>153.6</v>
      </c>
      <c r="BT766" s="18">
        <f>[1]monsters!$O766</f>
        <v>15.36</v>
      </c>
      <c r="BU766" s="18">
        <f>[1]monsters!$P766</f>
        <v>1728</v>
      </c>
      <c r="BV766" s="18">
        <f>[1]monsters!$Q766</f>
        <v>172.8</v>
      </c>
      <c r="BW766" s="18">
        <f>[1]monsters!$R766</f>
        <v>51.2</v>
      </c>
      <c r="BX766" s="18">
        <f>[1]monsters!$S766</f>
        <v>5.12</v>
      </c>
      <c r="BY766" s="18">
        <f>[1]monsters!$K766</f>
        <v>1.6</v>
      </c>
      <c r="BZ766" s="5">
        <f>[1]monsters!$D766</f>
        <v>2</v>
      </c>
      <c r="CA766" s="5">
        <f t="shared" si="462"/>
        <v>0.1</v>
      </c>
      <c r="CB766" s="5">
        <f t="shared" si="463"/>
        <v>203.3338181818182</v>
      </c>
      <c r="CC766" s="5">
        <f t="shared" si="464"/>
        <v>20.33338181818182</v>
      </c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R766" s="3" t="b">
        <f t="shared" si="476"/>
        <v>1</v>
      </c>
      <c r="CS766" s="3" t="b">
        <f t="shared" si="477"/>
        <v>1</v>
      </c>
      <c r="CT766" s="3" t="b">
        <f t="shared" si="478"/>
        <v>1</v>
      </c>
      <c r="CU766" s="3" t="b">
        <f t="shared" si="479"/>
        <v>1</v>
      </c>
      <c r="CV766" s="3" t="b">
        <f t="shared" si="480"/>
        <v>1</v>
      </c>
      <c r="CW766" s="3" t="b">
        <f t="shared" si="481"/>
        <v>1</v>
      </c>
      <c r="CX766" s="9" t="str">
        <f t="shared" si="482"/>
        <v>5202133</v>
      </c>
      <c r="CY766" s="9" t="str">
        <f t="shared" si="483"/>
        <v>5202132</v>
      </c>
      <c r="CZ766" s="9" t="str">
        <f t="shared" si="484"/>
        <v>5202133</v>
      </c>
      <c r="DA766" s="9" t="str">
        <f t="shared" si="485"/>
        <v>5500132</v>
      </c>
      <c r="DB766" s="9" t="str">
        <f t="shared" si="486"/>
        <v>5500131</v>
      </c>
      <c r="DC766" s="9" t="str">
        <f t="shared" si="487"/>
        <v>5500132</v>
      </c>
      <c r="DD766" s="9">
        <v>13</v>
      </c>
      <c r="DE766" s="9">
        <v>13</v>
      </c>
      <c r="DF766" s="9">
        <v>13</v>
      </c>
      <c r="DG766" s="9">
        <v>13</v>
      </c>
      <c r="DH766" s="9">
        <v>13</v>
      </c>
      <c r="DI766" s="9">
        <v>13</v>
      </c>
      <c r="DJ766" s="9">
        <v>5</v>
      </c>
      <c r="DK766" s="9">
        <v>5</v>
      </c>
      <c r="DL766" s="9">
        <v>5</v>
      </c>
      <c r="DM766" s="9">
        <v>5</v>
      </c>
      <c r="DN766" s="9">
        <v>5</v>
      </c>
      <c r="DO766" s="9">
        <v>5</v>
      </c>
      <c r="DP766" s="25" t="s">
        <v>208</v>
      </c>
      <c r="DQ766" s="25" t="s">
        <v>200</v>
      </c>
      <c r="DR766" s="25" t="s">
        <v>208</v>
      </c>
      <c r="DS766" s="25" t="s">
        <v>109</v>
      </c>
      <c r="DT766" s="25" t="s">
        <v>197</v>
      </c>
      <c r="DU766" s="25" t="s">
        <v>109</v>
      </c>
      <c r="DV766" s="25">
        <f t="shared" si="488"/>
        <v>1</v>
      </c>
      <c r="DW766" s="25">
        <f t="shared" si="489"/>
        <v>1</v>
      </c>
      <c r="DX766" s="25">
        <f t="shared" si="490"/>
        <v>1</v>
      </c>
      <c r="DY766" s="25">
        <f t="shared" si="491"/>
        <v>2</v>
      </c>
      <c r="DZ766" s="25">
        <f t="shared" si="492"/>
        <v>2</v>
      </c>
      <c r="EA766" s="25">
        <f t="shared" si="493"/>
        <v>2</v>
      </c>
      <c r="EB766" s="50"/>
    </row>
    <row r="767" spans="1:132" ht="13.5" customHeight="1">
      <c r="A767" s="9">
        <v>764</v>
      </c>
      <c r="B767" s="9">
        <v>1</v>
      </c>
      <c r="C767" s="9">
        <v>2001</v>
      </c>
      <c r="D767" s="9">
        <f t="shared" si="466"/>
        <v>47253255</v>
      </c>
      <c r="E767" s="9" t="str">
        <f t="shared" si="467"/>
        <v>5202131,5202131,5200131,5400135,5602134,5400135</v>
      </c>
      <c r="F767" s="9" t="str">
        <f t="shared" si="468"/>
        <v>13,13,13,13,13,13</v>
      </c>
      <c r="G767" s="9" t="str">
        <f t="shared" si="469"/>
        <v>1596,1725,1725,1725,1725,1725</v>
      </c>
      <c r="H767" s="9">
        <v>345</v>
      </c>
      <c r="I767" s="9" t="s">
        <v>278</v>
      </c>
      <c r="J767" s="9" t="s">
        <v>279</v>
      </c>
      <c r="K767" s="9" t="s">
        <v>279</v>
      </c>
      <c r="L767" s="9" t="s">
        <v>279</v>
      </c>
      <c r="M767" s="36" t="s">
        <v>320</v>
      </c>
      <c r="O767" s="3">
        <f t="shared" si="494"/>
        <v>47253255</v>
      </c>
      <c r="P767" s="9">
        <v>35797920.289999999</v>
      </c>
      <c r="Q767" s="9">
        <v>5202131</v>
      </c>
      <c r="R767" s="9">
        <v>5202131</v>
      </c>
      <c r="S767" s="9">
        <v>5200131</v>
      </c>
      <c r="T767" s="9">
        <v>5400135</v>
      </c>
      <c r="U767" s="9">
        <v>5602134</v>
      </c>
      <c r="V767" s="9">
        <v>5400135</v>
      </c>
      <c r="W767" s="9">
        <v>13</v>
      </c>
      <c r="X767" s="9">
        <v>13</v>
      </c>
      <c r="Y767" s="9">
        <v>13</v>
      </c>
      <c r="Z767" s="9">
        <v>13</v>
      </c>
      <c r="AA767" s="9">
        <v>13</v>
      </c>
      <c r="AB767" s="9">
        <v>13</v>
      </c>
      <c r="AC767" s="9">
        <f t="shared" si="470"/>
        <v>1596</v>
      </c>
      <c r="AD767" s="9">
        <f t="shared" si="471"/>
        <v>1725</v>
      </c>
      <c r="AE767" s="9">
        <f t="shared" si="472"/>
        <v>1725</v>
      </c>
      <c r="AF767" s="9">
        <f t="shared" si="473"/>
        <v>1725</v>
      </c>
      <c r="AG767" s="9">
        <f t="shared" si="474"/>
        <v>1725</v>
      </c>
      <c r="AH767" s="9">
        <f t="shared" si="475"/>
        <v>1725</v>
      </c>
      <c r="AI767" s="7">
        <f t="shared" si="496"/>
        <v>5966320.0483333329</v>
      </c>
      <c r="AJ767" s="7">
        <f t="shared" si="495"/>
        <v>5966320.0483333329</v>
      </c>
      <c r="AK767" s="7">
        <f t="shared" si="495"/>
        <v>5966320.0483333329</v>
      </c>
      <c r="AL767" s="7">
        <f t="shared" si="495"/>
        <v>5966320.0483333329</v>
      </c>
      <c r="AM767" s="7">
        <f t="shared" si="495"/>
        <v>5966320.0483333329</v>
      </c>
      <c r="AN767" s="7">
        <f t="shared" si="495"/>
        <v>5966320.0483333329</v>
      </c>
      <c r="BR767" s="5">
        <v>5205065</v>
      </c>
      <c r="BS767" s="18">
        <f>[1]monsters!$N767</f>
        <v>170.67</v>
      </c>
      <c r="BT767" s="18">
        <f>[1]monsters!$O767</f>
        <v>17.07</v>
      </c>
      <c r="BU767" s="18">
        <f>[1]monsters!$P767</f>
        <v>1920</v>
      </c>
      <c r="BV767" s="18">
        <f>[1]monsters!$Q767</f>
        <v>192</v>
      </c>
      <c r="BW767" s="18">
        <f>[1]monsters!$R767</f>
        <v>56.89</v>
      </c>
      <c r="BX767" s="18">
        <f>[1]monsters!$S767</f>
        <v>5.69</v>
      </c>
      <c r="BY767" s="18">
        <f>[1]monsters!$K767</f>
        <v>1.6</v>
      </c>
      <c r="BZ767" s="5">
        <f>[1]monsters!$D767</f>
        <v>2</v>
      </c>
      <c r="CA767" s="5">
        <f t="shared" si="462"/>
        <v>0.1</v>
      </c>
      <c r="CB767" s="5">
        <f t="shared" si="463"/>
        <v>225.92961464646464</v>
      </c>
      <c r="CC767" s="5">
        <f t="shared" si="464"/>
        <v>22.592961464646464</v>
      </c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R767" s="3" t="b">
        <f t="shared" si="476"/>
        <v>1</v>
      </c>
      <c r="CS767" s="3" t="b">
        <f t="shared" si="477"/>
        <v>1</v>
      </c>
      <c r="CT767" s="3" t="b">
        <f t="shared" si="478"/>
        <v>1</v>
      </c>
      <c r="CU767" s="3" t="b">
        <f t="shared" si="479"/>
        <v>1</v>
      </c>
      <c r="CV767" s="3" t="b">
        <f t="shared" si="480"/>
        <v>1</v>
      </c>
      <c r="CW767" s="3" t="b">
        <f t="shared" si="481"/>
        <v>1</v>
      </c>
      <c r="CX767" s="9" t="str">
        <f t="shared" si="482"/>
        <v>5202131</v>
      </c>
      <c r="CY767" s="9" t="str">
        <f t="shared" si="483"/>
        <v>5202131</v>
      </c>
      <c r="CZ767" s="9" t="str">
        <f t="shared" si="484"/>
        <v>5200131</v>
      </c>
      <c r="DA767" s="9" t="str">
        <f t="shared" si="485"/>
        <v>5400135</v>
      </c>
      <c r="DB767" s="9" t="str">
        <f t="shared" si="486"/>
        <v>5602134</v>
      </c>
      <c r="DC767" s="9" t="str">
        <f t="shared" si="487"/>
        <v>5400135</v>
      </c>
      <c r="DD767" s="9">
        <v>13</v>
      </c>
      <c r="DE767" s="9">
        <v>13</v>
      </c>
      <c r="DF767" s="9">
        <v>13</v>
      </c>
      <c r="DG767" s="9">
        <v>13</v>
      </c>
      <c r="DH767" s="9">
        <v>13</v>
      </c>
      <c r="DI767" s="9">
        <v>13</v>
      </c>
      <c r="DJ767" s="9">
        <v>5</v>
      </c>
      <c r="DK767" s="9">
        <v>5</v>
      </c>
      <c r="DL767" s="9">
        <v>5</v>
      </c>
      <c r="DM767" s="9">
        <v>5</v>
      </c>
      <c r="DN767" s="9">
        <v>5</v>
      </c>
      <c r="DO767" s="9">
        <v>5</v>
      </c>
      <c r="DP767" s="25" t="s">
        <v>111</v>
      </c>
      <c r="DQ767" s="25" t="s">
        <v>111</v>
      </c>
      <c r="DR767" s="25" t="s">
        <v>194</v>
      </c>
      <c r="DS767" s="25" t="s">
        <v>210</v>
      </c>
      <c r="DT767" s="25" t="s">
        <v>220</v>
      </c>
      <c r="DU767" s="25" t="s">
        <v>210</v>
      </c>
      <c r="DV767" s="25">
        <f t="shared" si="488"/>
        <v>1</v>
      </c>
      <c r="DW767" s="25">
        <f t="shared" si="489"/>
        <v>1</v>
      </c>
      <c r="DX767" s="25">
        <f t="shared" si="490"/>
        <v>1</v>
      </c>
      <c r="DY767" s="25">
        <f t="shared" si="491"/>
        <v>2</v>
      </c>
      <c r="DZ767" s="25">
        <f t="shared" si="492"/>
        <v>2</v>
      </c>
      <c r="EA767" s="25">
        <f t="shared" si="493"/>
        <v>2</v>
      </c>
      <c r="EB767" s="50"/>
    </row>
    <row r="768" spans="1:132" ht="13.5" customHeight="1">
      <c r="A768" s="9">
        <v>765</v>
      </c>
      <c r="B768" s="9">
        <v>1</v>
      </c>
      <c r="C768" s="9">
        <v>2001</v>
      </c>
      <c r="D768" s="9">
        <f t="shared" si="466"/>
        <v>47359388</v>
      </c>
      <c r="E768" s="9" t="str">
        <f t="shared" si="467"/>
        <v>5202132,5201132,5301131,5501134,5500133,5501134</v>
      </c>
      <c r="F768" s="9" t="str">
        <f t="shared" si="468"/>
        <v>13,13,13,13,13,13</v>
      </c>
      <c r="G768" s="9" t="str">
        <f t="shared" si="469"/>
        <v>1598,1727,1727,1727,1727,1727</v>
      </c>
      <c r="H768" s="9">
        <v>346</v>
      </c>
      <c r="I768" s="9" t="s">
        <v>278</v>
      </c>
      <c r="J768" s="9" t="s">
        <v>279</v>
      </c>
      <c r="K768" s="9" t="s">
        <v>279</v>
      </c>
      <c r="L768" s="9" t="s">
        <v>279</v>
      </c>
      <c r="M768" s="36" t="s">
        <v>320</v>
      </c>
      <c r="O768" s="3">
        <f t="shared" si="494"/>
        <v>47359388</v>
      </c>
      <c r="P768" s="9">
        <v>35878323.950000003</v>
      </c>
      <c r="Q768" s="9">
        <v>5202132</v>
      </c>
      <c r="R768" s="9">
        <v>5201132</v>
      </c>
      <c r="S768" s="9">
        <v>5301131</v>
      </c>
      <c r="T768" s="9">
        <v>5501134</v>
      </c>
      <c r="U768" s="9">
        <v>5500133</v>
      </c>
      <c r="V768" s="9">
        <v>5501134</v>
      </c>
      <c r="W768" s="9">
        <v>13</v>
      </c>
      <c r="X768" s="9">
        <v>13</v>
      </c>
      <c r="Y768" s="9">
        <v>13</v>
      </c>
      <c r="Z768" s="9">
        <v>13</v>
      </c>
      <c r="AA768" s="9">
        <v>13</v>
      </c>
      <c r="AB768" s="9">
        <v>13</v>
      </c>
      <c r="AC768" s="9">
        <f t="shared" si="470"/>
        <v>1598</v>
      </c>
      <c r="AD768" s="9">
        <f t="shared" si="471"/>
        <v>1727</v>
      </c>
      <c r="AE768" s="9">
        <f t="shared" si="472"/>
        <v>1727</v>
      </c>
      <c r="AF768" s="9">
        <f t="shared" si="473"/>
        <v>1727</v>
      </c>
      <c r="AG768" s="9">
        <f t="shared" si="474"/>
        <v>1727</v>
      </c>
      <c r="AH768" s="9">
        <f t="shared" si="475"/>
        <v>1727</v>
      </c>
      <c r="AI768" s="7">
        <f t="shared" si="496"/>
        <v>5979720.6583333341</v>
      </c>
      <c r="AJ768" s="7">
        <f t="shared" si="495"/>
        <v>5979720.6583333341</v>
      </c>
      <c r="AK768" s="7">
        <f t="shared" si="495"/>
        <v>5979720.6583333341</v>
      </c>
      <c r="AL768" s="7">
        <f t="shared" si="495"/>
        <v>5979720.6583333341</v>
      </c>
      <c r="AM768" s="7">
        <f t="shared" si="495"/>
        <v>5979720.6583333341</v>
      </c>
      <c r="AN768" s="7">
        <f t="shared" si="495"/>
        <v>5979720.6583333341</v>
      </c>
      <c r="BR768" s="5">
        <v>5405065</v>
      </c>
      <c r="BS768" s="18">
        <f>[1]monsters!$N768</f>
        <v>170.67</v>
      </c>
      <c r="BT768" s="18">
        <f>[1]monsters!$O768</f>
        <v>17.07</v>
      </c>
      <c r="BU768" s="18">
        <f>[1]monsters!$P768</f>
        <v>1920</v>
      </c>
      <c r="BV768" s="18">
        <f>[1]monsters!$Q768</f>
        <v>192</v>
      </c>
      <c r="BW768" s="18">
        <f>[1]monsters!$R768</f>
        <v>56.89</v>
      </c>
      <c r="BX768" s="18">
        <f>[1]monsters!$S768</f>
        <v>5.69</v>
      </c>
      <c r="BY768" s="18">
        <f>[1]monsters!$K768</f>
        <v>1.6</v>
      </c>
      <c r="BZ768" s="5">
        <f>[1]monsters!$D768</f>
        <v>2</v>
      </c>
      <c r="CA768" s="5">
        <f t="shared" si="462"/>
        <v>0.1</v>
      </c>
      <c r="CB768" s="5">
        <f t="shared" si="463"/>
        <v>225.92961464646464</v>
      </c>
      <c r="CC768" s="5">
        <f t="shared" si="464"/>
        <v>22.592961464646464</v>
      </c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R768" s="3" t="b">
        <f t="shared" si="476"/>
        <v>1</v>
      </c>
      <c r="CS768" s="3" t="b">
        <f t="shared" si="477"/>
        <v>1</v>
      </c>
      <c r="CT768" s="3" t="b">
        <f t="shared" si="478"/>
        <v>1</v>
      </c>
      <c r="CU768" s="3" t="b">
        <f t="shared" si="479"/>
        <v>1</v>
      </c>
      <c r="CV768" s="3" t="b">
        <f t="shared" si="480"/>
        <v>1</v>
      </c>
      <c r="CW768" s="3" t="b">
        <f t="shared" si="481"/>
        <v>1</v>
      </c>
      <c r="CX768" s="9" t="str">
        <f t="shared" si="482"/>
        <v>5202132</v>
      </c>
      <c r="CY768" s="9" t="str">
        <f t="shared" si="483"/>
        <v>5201132</v>
      </c>
      <c r="CZ768" s="9" t="str">
        <f t="shared" si="484"/>
        <v>5301131</v>
      </c>
      <c r="DA768" s="9" t="str">
        <f t="shared" si="485"/>
        <v>5501134</v>
      </c>
      <c r="DB768" s="9" t="str">
        <f t="shared" si="486"/>
        <v>5500133</v>
      </c>
      <c r="DC768" s="9" t="str">
        <f t="shared" si="487"/>
        <v>5501134</v>
      </c>
      <c r="DD768" s="9">
        <v>13</v>
      </c>
      <c r="DE768" s="9">
        <v>13</v>
      </c>
      <c r="DF768" s="9">
        <v>13</v>
      </c>
      <c r="DG768" s="9">
        <v>13</v>
      </c>
      <c r="DH768" s="9">
        <v>13</v>
      </c>
      <c r="DI768" s="9">
        <v>13</v>
      </c>
      <c r="DJ768" s="9">
        <v>5</v>
      </c>
      <c r="DK768" s="9">
        <v>5</v>
      </c>
      <c r="DL768" s="9">
        <v>5</v>
      </c>
      <c r="DM768" s="9">
        <v>5</v>
      </c>
      <c r="DN768" s="9">
        <v>5</v>
      </c>
      <c r="DO768" s="9">
        <v>5</v>
      </c>
      <c r="DP768" s="25" t="s">
        <v>200</v>
      </c>
      <c r="DQ768" s="25" t="s">
        <v>114</v>
      </c>
      <c r="DR768" s="25" t="s">
        <v>107</v>
      </c>
      <c r="DS768" s="25" t="s">
        <v>214</v>
      </c>
      <c r="DT768" s="25" t="s">
        <v>207</v>
      </c>
      <c r="DU768" s="25" t="s">
        <v>214</v>
      </c>
      <c r="DV768" s="25">
        <f t="shared" si="488"/>
        <v>1</v>
      </c>
      <c r="DW768" s="25">
        <f t="shared" si="489"/>
        <v>1</v>
      </c>
      <c r="DX768" s="25">
        <f t="shared" si="490"/>
        <v>1</v>
      </c>
      <c r="DY768" s="25">
        <f t="shared" si="491"/>
        <v>2</v>
      </c>
      <c r="DZ768" s="25">
        <f t="shared" si="492"/>
        <v>2</v>
      </c>
      <c r="EA768" s="25">
        <f t="shared" si="493"/>
        <v>2</v>
      </c>
      <c r="EB768" s="51"/>
    </row>
    <row r="769" spans="1:132" ht="13.5" customHeight="1">
      <c r="A769" s="9">
        <v>766</v>
      </c>
      <c r="B769" s="9">
        <v>1</v>
      </c>
      <c r="C769" s="9">
        <v>2001</v>
      </c>
      <c r="D769" s="9">
        <f t="shared" si="466"/>
        <v>47465637</v>
      </c>
      <c r="E769" s="9" t="str">
        <f t="shared" si="467"/>
        <v>5200131,5301132,5201131,5500133,5500131,5400135</v>
      </c>
      <c r="F769" s="9" t="str">
        <f t="shared" si="468"/>
        <v>13,13,13,13,13,13</v>
      </c>
      <c r="G769" s="9" t="str">
        <f t="shared" si="469"/>
        <v>1599,1728,1728,1728,1728,1728</v>
      </c>
      <c r="H769" s="9">
        <v>346</v>
      </c>
      <c r="I769" s="9" t="s">
        <v>278</v>
      </c>
      <c r="J769" s="9" t="s">
        <v>279</v>
      </c>
      <c r="K769" s="9" t="s">
        <v>279</v>
      </c>
      <c r="L769" s="9" t="s">
        <v>279</v>
      </c>
      <c r="M769" s="36" t="s">
        <v>320</v>
      </c>
      <c r="O769" s="3">
        <f t="shared" si="494"/>
        <v>47465637</v>
      </c>
      <c r="P769" s="9">
        <v>35958816.229999997</v>
      </c>
      <c r="Q769" s="9">
        <v>5200131</v>
      </c>
      <c r="R769" s="9">
        <v>5301132</v>
      </c>
      <c r="S769" s="9">
        <v>5201131</v>
      </c>
      <c r="T769" s="9">
        <v>5500133</v>
      </c>
      <c r="U769" s="9">
        <v>5500131</v>
      </c>
      <c r="V769" s="9">
        <v>5400135</v>
      </c>
      <c r="W769" s="9">
        <v>13</v>
      </c>
      <c r="X769" s="9">
        <v>13</v>
      </c>
      <c r="Y769" s="9">
        <v>13</v>
      </c>
      <c r="Z769" s="9">
        <v>13</v>
      </c>
      <c r="AA769" s="9">
        <v>13</v>
      </c>
      <c r="AB769" s="9">
        <v>13</v>
      </c>
      <c r="AC769" s="9">
        <f t="shared" si="470"/>
        <v>1599</v>
      </c>
      <c r="AD769" s="9">
        <f t="shared" si="471"/>
        <v>1728</v>
      </c>
      <c r="AE769" s="9">
        <f t="shared" si="472"/>
        <v>1728</v>
      </c>
      <c r="AF769" s="9">
        <f t="shared" si="473"/>
        <v>1728</v>
      </c>
      <c r="AG769" s="9">
        <f t="shared" si="474"/>
        <v>1728</v>
      </c>
      <c r="AH769" s="9">
        <f t="shared" si="475"/>
        <v>1728</v>
      </c>
      <c r="AI769" s="7">
        <f t="shared" si="496"/>
        <v>5993136.0383333331</v>
      </c>
      <c r="AJ769" s="7">
        <f t="shared" si="495"/>
        <v>5993136.0383333331</v>
      </c>
      <c r="AK769" s="7">
        <f t="shared" si="495"/>
        <v>5993136.0383333331</v>
      </c>
      <c r="AL769" s="7">
        <f t="shared" si="495"/>
        <v>5993136.0383333331</v>
      </c>
      <c r="AM769" s="7">
        <f t="shared" si="495"/>
        <v>5993136.0383333331</v>
      </c>
      <c r="AN769" s="7">
        <f t="shared" si="495"/>
        <v>5993136.0383333331</v>
      </c>
      <c r="BR769" s="5">
        <v>5203065</v>
      </c>
      <c r="BS769" s="18">
        <f>[1]monsters!$N769</f>
        <v>170.67</v>
      </c>
      <c r="BT769" s="18">
        <f>[1]monsters!$O769</f>
        <v>17.07</v>
      </c>
      <c r="BU769" s="18">
        <f>[1]monsters!$P769</f>
        <v>1920</v>
      </c>
      <c r="BV769" s="18">
        <f>[1]monsters!$Q769</f>
        <v>192</v>
      </c>
      <c r="BW769" s="18">
        <f>[1]monsters!$R769</f>
        <v>56.89</v>
      </c>
      <c r="BX769" s="18">
        <f>[1]monsters!$S769</f>
        <v>5.69</v>
      </c>
      <c r="BY769" s="18">
        <f>[1]monsters!$K769</f>
        <v>1.6</v>
      </c>
      <c r="BZ769" s="5">
        <f>[1]monsters!$D769</f>
        <v>2</v>
      </c>
      <c r="CA769" s="5">
        <f t="shared" si="462"/>
        <v>0.1</v>
      </c>
      <c r="CB769" s="5">
        <f t="shared" si="463"/>
        <v>225.92961464646464</v>
      </c>
      <c r="CC769" s="5">
        <f t="shared" si="464"/>
        <v>22.592961464646464</v>
      </c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R769" s="3" t="b">
        <f t="shared" si="476"/>
        <v>1</v>
      </c>
      <c r="CS769" s="3" t="b">
        <f t="shared" si="477"/>
        <v>1</v>
      </c>
      <c r="CT769" s="3" t="b">
        <f t="shared" si="478"/>
        <v>1</v>
      </c>
      <c r="CU769" s="3" t="b">
        <f t="shared" si="479"/>
        <v>1</v>
      </c>
      <c r="CV769" s="3" t="b">
        <f t="shared" si="480"/>
        <v>1</v>
      </c>
      <c r="CW769" s="3" t="b">
        <f t="shared" si="481"/>
        <v>1</v>
      </c>
      <c r="CX769" s="9" t="str">
        <f t="shared" si="482"/>
        <v>5200131</v>
      </c>
      <c r="CY769" s="9" t="str">
        <f t="shared" si="483"/>
        <v>5301132</v>
      </c>
      <c r="CZ769" s="9" t="str">
        <f t="shared" si="484"/>
        <v>5201131</v>
      </c>
      <c r="DA769" s="9" t="str">
        <f t="shared" si="485"/>
        <v>5500133</v>
      </c>
      <c r="DB769" s="9" t="str">
        <f t="shared" si="486"/>
        <v>5500131</v>
      </c>
      <c r="DC769" s="9" t="str">
        <f t="shared" si="487"/>
        <v>5400135</v>
      </c>
      <c r="DD769" s="9">
        <v>13</v>
      </c>
      <c r="DE769" s="9">
        <v>13</v>
      </c>
      <c r="DF769" s="9">
        <v>13</v>
      </c>
      <c r="DG769" s="9">
        <v>13</v>
      </c>
      <c r="DH769" s="9">
        <v>13</v>
      </c>
      <c r="DI769" s="9">
        <v>13</v>
      </c>
      <c r="DJ769" s="9">
        <v>5</v>
      </c>
      <c r="DK769" s="9">
        <v>5</v>
      </c>
      <c r="DL769" s="9">
        <v>5</v>
      </c>
      <c r="DM769" s="9">
        <v>5</v>
      </c>
      <c r="DN769" s="9">
        <v>5</v>
      </c>
      <c r="DO769" s="9">
        <v>5</v>
      </c>
      <c r="DP769" s="27" t="s">
        <v>194</v>
      </c>
      <c r="DQ769" s="27" t="s">
        <v>201</v>
      </c>
      <c r="DR769" s="27" t="s">
        <v>195</v>
      </c>
      <c r="DS769" s="25" t="s">
        <v>207</v>
      </c>
      <c r="DT769" s="25" t="s">
        <v>197</v>
      </c>
      <c r="DU769" s="25" t="s">
        <v>210</v>
      </c>
      <c r="DV769" s="25">
        <f t="shared" si="488"/>
        <v>1</v>
      </c>
      <c r="DW769" s="25">
        <f t="shared" si="489"/>
        <v>1</v>
      </c>
      <c r="DX769" s="25">
        <f t="shared" si="490"/>
        <v>1</v>
      </c>
      <c r="DY769" s="25">
        <f t="shared" si="491"/>
        <v>2</v>
      </c>
      <c r="DZ769" s="25">
        <f t="shared" si="492"/>
        <v>2</v>
      </c>
      <c r="EA769" s="25">
        <f t="shared" si="493"/>
        <v>2</v>
      </c>
      <c r="EB769" s="50"/>
    </row>
    <row r="770" spans="1:132" ht="13.5" customHeight="1">
      <c r="A770" s="9">
        <v>767</v>
      </c>
      <c r="B770" s="9">
        <v>1</v>
      </c>
      <c r="C770" s="9">
        <v>2001</v>
      </c>
      <c r="D770" s="9">
        <f t="shared" si="466"/>
        <v>47572010</v>
      </c>
      <c r="E770" s="9" t="str">
        <f t="shared" si="467"/>
        <v>5302135,5202135,5202135,5401133,5402132,5401133</v>
      </c>
      <c r="F770" s="9" t="str">
        <f t="shared" si="468"/>
        <v>13,13,13,13,13,13</v>
      </c>
      <c r="G770" s="9" t="str">
        <f t="shared" si="469"/>
        <v>1601,1730,1730,1730,1730,1730</v>
      </c>
      <c r="H770" s="9">
        <v>346</v>
      </c>
      <c r="I770" s="9" t="s">
        <v>278</v>
      </c>
      <c r="J770" s="9" t="s">
        <v>279</v>
      </c>
      <c r="K770" s="9" t="s">
        <v>279</v>
      </c>
      <c r="L770" s="9" t="s">
        <v>279</v>
      </c>
      <c r="M770" s="36" t="s">
        <v>320</v>
      </c>
      <c r="O770" s="3">
        <f t="shared" si="494"/>
        <v>47572010</v>
      </c>
      <c r="P770" s="9">
        <v>36039401.350000001</v>
      </c>
      <c r="Q770" s="9">
        <v>5302135</v>
      </c>
      <c r="R770" s="9">
        <v>5202135</v>
      </c>
      <c r="S770" s="9">
        <v>5202135</v>
      </c>
      <c r="T770" s="9">
        <v>5401133</v>
      </c>
      <c r="U770" s="9">
        <v>5402132</v>
      </c>
      <c r="V770" s="9">
        <v>5401133</v>
      </c>
      <c r="W770" s="9">
        <v>13</v>
      </c>
      <c r="X770" s="9">
        <v>13</v>
      </c>
      <c r="Y770" s="9">
        <v>13</v>
      </c>
      <c r="Z770" s="9">
        <v>13</v>
      </c>
      <c r="AA770" s="9">
        <v>13</v>
      </c>
      <c r="AB770" s="9">
        <v>13</v>
      </c>
      <c r="AC770" s="9">
        <f t="shared" si="470"/>
        <v>1601</v>
      </c>
      <c r="AD770" s="9">
        <f t="shared" si="471"/>
        <v>1730</v>
      </c>
      <c r="AE770" s="9">
        <f t="shared" si="472"/>
        <v>1730</v>
      </c>
      <c r="AF770" s="9">
        <f t="shared" si="473"/>
        <v>1730</v>
      </c>
      <c r="AG770" s="9">
        <f t="shared" si="474"/>
        <v>1730</v>
      </c>
      <c r="AH770" s="9">
        <f t="shared" si="475"/>
        <v>1730</v>
      </c>
      <c r="AI770" s="7">
        <f t="shared" si="496"/>
        <v>6006566.8916666666</v>
      </c>
      <c r="AJ770" s="7">
        <f t="shared" si="495"/>
        <v>6006566.8916666666</v>
      </c>
      <c r="AK770" s="7">
        <f t="shared" si="495"/>
        <v>6006566.8916666666</v>
      </c>
      <c r="AL770" s="7">
        <f t="shared" si="495"/>
        <v>6006566.8916666666</v>
      </c>
      <c r="AM770" s="7">
        <f t="shared" si="495"/>
        <v>6006566.8916666666</v>
      </c>
      <c r="AN770" s="7">
        <f t="shared" si="495"/>
        <v>6006566.8916666666</v>
      </c>
      <c r="BR770" s="5">
        <v>5403065</v>
      </c>
      <c r="BS770" s="18">
        <f>[1]monsters!$N770</f>
        <v>170.67</v>
      </c>
      <c r="BT770" s="18">
        <f>[1]monsters!$O770</f>
        <v>17.07</v>
      </c>
      <c r="BU770" s="18">
        <f>[1]monsters!$P770</f>
        <v>1920</v>
      </c>
      <c r="BV770" s="18">
        <f>[1]monsters!$Q770</f>
        <v>192</v>
      </c>
      <c r="BW770" s="18">
        <f>[1]monsters!$R770</f>
        <v>56.89</v>
      </c>
      <c r="BX770" s="18">
        <f>[1]monsters!$S770</f>
        <v>5.69</v>
      </c>
      <c r="BY770" s="18">
        <f>[1]monsters!$K770</f>
        <v>1.6</v>
      </c>
      <c r="BZ770" s="5">
        <f>[1]monsters!$D770</f>
        <v>2</v>
      </c>
      <c r="CA770" s="5">
        <f t="shared" si="462"/>
        <v>0.1</v>
      </c>
      <c r="CB770" s="5">
        <f t="shared" si="463"/>
        <v>225.92961464646464</v>
      </c>
      <c r="CC770" s="5">
        <f t="shared" si="464"/>
        <v>22.592961464646464</v>
      </c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R770" s="3" t="b">
        <f t="shared" si="476"/>
        <v>1</v>
      </c>
      <c r="CS770" s="3" t="b">
        <f t="shared" si="477"/>
        <v>1</v>
      </c>
      <c r="CT770" s="3" t="b">
        <f t="shared" si="478"/>
        <v>1</v>
      </c>
      <c r="CU770" s="3" t="b">
        <f t="shared" si="479"/>
        <v>1</v>
      </c>
      <c r="CV770" s="3" t="b">
        <f t="shared" si="480"/>
        <v>1</v>
      </c>
      <c r="CW770" s="3" t="b">
        <f t="shared" si="481"/>
        <v>1</v>
      </c>
      <c r="CX770" s="9" t="str">
        <f t="shared" si="482"/>
        <v>5302135</v>
      </c>
      <c r="CY770" s="9" t="str">
        <f t="shared" si="483"/>
        <v>5202135</v>
      </c>
      <c r="CZ770" s="9" t="str">
        <f t="shared" si="484"/>
        <v>5202135</v>
      </c>
      <c r="DA770" s="9" t="str">
        <f t="shared" si="485"/>
        <v>5401133</v>
      </c>
      <c r="DB770" s="9" t="str">
        <f t="shared" si="486"/>
        <v>5402132</v>
      </c>
      <c r="DC770" s="9" t="str">
        <f t="shared" si="487"/>
        <v>5401133</v>
      </c>
      <c r="DD770" s="9">
        <v>13</v>
      </c>
      <c r="DE770" s="9">
        <v>13</v>
      </c>
      <c r="DF770" s="9">
        <v>13</v>
      </c>
      <c r="DG770" s="9">
        <v>13</v>
      </c>
      <c r="DH770" s="9">
        <v>13</v>
      </c>
      <c r="DI770" s="9">
        <v>13</v>
      </c>
      <c r="DJ770" s="9">
        <v>5</v>
      </c>
      <c r="DK770" s="9">
        <v>5</v>
      </c>
      <c r="DL770" s="9">
        <v>5</v>
      </c>
      <c r="DM770" s="9">
        <v>5</v>
      </c>
      <c r="DN770" s="9">
        <v>5</v>
      </c>
      <c r="DO770" s="9">
        <v>5</v>
      </c>
      <c r="DP770" s="25" t="s">
        <v>221</v>
      </c>
      <c r="DQ770" s="25" t="s">
        <v>213</v>
      </c>
      <c r="DR770" s="25" t="s">
        <v>213</v>
      </c>
      <c r="DS770" s="25" t="s">
        <v>211</v>
      </c>
      <c r="DT770" s="25" t="s">
        <v>203</v>
      </c>
      <c r="DU770" s="25" t="s">
        <v>211</v>
      </c>
      <c r="DV770" s="25">
        <f t="shared" si="488"/>
        <v>1</v>
      </c>
      <c r="DW770" s="25">
        <f t="shared" si="489"/>
        <v>1</v>
      </c>
      <c r="DX770" s="25">
        <f t="shared" si="490"/>
        <v>1</v>
      </c>
      <c r="DY770" s="25">
        <f t="shared" si="491"/>
        <v>2</v>
      </c>
      <c r="DZ770" s="25">
        <f t="shared" si="492"/>
        <v>2</v>
      </c>
      <c r="EA770" s="25">
        <f t="shared" si="493"/>
        <v>2</v>
      </c>
      <c r="EB770" s="50"/>
    </row>
    <row r="771" spans="1:132" ht="13.5" customHeight="1">
      <c r="A771" s="9">
        <v>768</v>
      </c>
      <c r="B771" s="9">
        <v>1</v>
      </c>
      <c r="C771" s="9">
        <v>2001</v>
      </c>
      <c r="D771" s="9">
        <f t="shared" si="466"/>
        <v>47678502</v>
      </c>
      <c r="E771" s="9" t="str">
        <f t="shared" si="467"/>
        <v>5202133,5202132,5202133,5400135,5401131,5502131</v>
      </c>
      <c r="F771" s="9" t="str">
        <f t="shared" si="468"/>
        <v>13,13,13,13,13,13</v>
      </c>
      <c r="G771" s="9" t="str">
        <f t="shared" si="469"/>
        <v>1603,1732,1732,1732,1732,1732</v>
      </c>
      <c r="H771" s="9">
        <v>347</v>
      </c>
      <c r="I771" s="9" t="s">
        <v>278</v>
      </c>
      <c r="J771" s="9" t="s">
        <v>279</v>
      </c>
      <c r="K771" s="9" t="s">
        <v>279</v>
      </c>
      <c r="L771" s="9" t="s">
        <v>279</v>
      </c>
      <c r="M771" s="36" t="s">
        <v>320</v>
      </c>
      <c r="O771" s="3">
        <f t="shared" si="494"/>
        <v>47678502</v>
      </c>
      <c r="P771" s="9">
        <v>36120077.200000003</v>
      </c>
      <c r="Q771" s="9">
        <v>5202133</v>
      </c>
      <c r="R771" s="9">
        <v>5202132</v>
      </c>
      <c r="S771" s="9">
        <v>5202133</v>
      </c>
      <c r="T771" s="9">
        <v>5400135</v>
      </c>
      <c r="U771" s="9">
        <v>5401131</v>
      </c>
      <c r="V771" s="9">
        <v>5502131</v>
      </c>
      <c r="W771" s="9">
        <v>13</v>
      </c>
      <c r="X771" s="9">
        <v>13</v>
      </c>
      <c r="Y771" s="9">
        <v>13</v>
      </c>
      <c r="Z771" s="9">
        <v>13</v>
      </c>
      <c r="AA771" s="9">
        <v>13</v>
      </c>
      <c r="AB771" s="9">
        <v>13</v>
      </c>
      <c r="AC771" s="9">
        <f t="shared" si="470"/>
        <v>1603</v>
      </c>
      <c r="AD771" s="9">
        <f t="shared" si="471"/>
        <v>1732</v>
      </c>
      <c r="AE771" s="9">
        <f t="shared" si="472"/>
        <v>1732</v>
      </c>
      <c r="AF771" s="9">
        <f t="shared" si="473"/>
        <v>1732</v>
      </c>
      <c r="AG771" s="9">
        <f t="shared" si="474"/>
        <v>1732</v>
      </c>
      <c r="AH771" s="9">
        <f t="shared" si="475"/>
        <v>1732</v>
      </c>
      <c r="AI771" s="7">
        <f t="shared" si="496"/>
        <v>6020012.8666666672</v>
      </c>
      <c r="AJ771" s="7">
        <f t="shared" si="495"/>
        <v>6020012.8666666672</v>
      </c>
      <c r="AK771" s="7">
        <f t="shared" si="495"/>
        <v>6020012.8666666672</v>
      </c>
      <c r="AL771" s="7">
        <f t="shared" si="495"/>
        <v>6020012.8666666672</v>
      </c>
      <c r="AM771" s="7">
        <f t="shared" si="495"/>
        <v>6020012.8666666672</v>
      </c>
      <c r="AN771" s="7">
        <f t="shared" si="495"/>
        <v>6020012.8666666672</v>
      </c>
      <c r="BR771" s="5">
        <v>5204065</v>
      </c>
      <c r="BS771" s="18">
        <f>[1]monsters!$N771</f>
        <v>170.67</v>
      </c>
      <c r="BT771" s="18">
        <f>[1]monsters!$O771</f>
        <v>17.07</v>
      </c>
      <c r="BU771" s="18">
        <f>[1]monsters!$P771</f>
        <v>1920</v>
      </c>
      <c r="BV771" s="18">
        <f>[1]monsters!$Q771</f>
        <v>192</v>
      </c>
      <c r="BW771" s="18">
        <f>[1]monsters!$R771</f>
        <v>56.89</v>
      </c>
      <c r="BX771" s="18">
        <f>[1]monsters!$S771</f>
        <v>5.69</v>
      </c>
      <c r="BY771" s="18">
        <f>[1]monsters!$K771</f>
        <v>1.6</v>
      </c>
      <c r="BZ771" s="5">
        <f>[1]monsters!$D771</f>
        <v>2</v>
      </c>
      <c r="CA771" s="5">
        <f t="shared" si="462"/>
        <v>0.1</v>
      </c>
      <c r="CB771" s="5">
        <f t="shared" si="463"/>
        <v>225.92961464646464</v>
      </c>
      <c r="CC771" s="5">
        <f t="shared" si="464"/>
        <v>22.592961464646464</v>
      </c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R771" s="3" t="b">
        <f t="shared" si="476"/>
        <v>1</v>
      </c>
      <c r="CS771" s="3" t="b">
        <f t="shared" si="477"/>
        <v>1</v>
      </c>
      <c r="CT771" s="3" t="b">
        <f t="shared" si="478"/>
        <v>1</v>
      </c>
      <c r="CU771" s="3" t="b">
        <f t="shared" si="479"/>
        <v>1</v>
      </c>
      <c r="CV771" s="3" t="b">
        <f t="shared" si="480"/>
        <v>1</v>
      </c>
      <c r="CW771" s="3" t="b">
        <f t="shared" si="481"/>
        <v>1</v>
      </c>
      <c r="CX771" s="9" t="str">
        <f t="shared" si="482"/>
        <v>5202133</v>
      </c>
      <c r="CY771" s="9" t="str">
        <f t="shared" si="483"/>
        <v>5202132</v>
      </c>
      <c r="CZ771" s="9" t="str">
        <f t="shared" si="484"/>
        <v>5202133</v>
      </c>
      <c r="DA771" s="9" t="str">
        <f t="shared" si="485"/>
        <v>5400135</v>
      </c>
      <c r="DB771" s="9" t="str">
        <f t="shared" si="486"/>
        <v>5401131</v>
      </c>
      <c r="DC771" s="9" t="str">
        <f t="shared" si="487"/>
        <v>5502131</v>
      </c>
      <c r="DD771" s="9">
        <v>13</v>
      </c>
      <c r="DE771" s="9">
        <v>13</v>
      </c>
      <c r="DF771" s="9">
        <v>13</v>
      </c>
      <c r="DG771" s="9">
        <v>13</v>
      </c>
      <c r="DH771" s="9">
        <v>13</v>
      </c>
      <c r="DI771" s="9">
        <v>13</v>
      </c>
      <c r="DJ771" s="9">
        <v>5</v>
      </c>
      <c r="DK771" s="9">
        <v>5</v>
      </c>
      <c r="DL771" s="9">
        <v>5</v>
      </c>
      <c r="DM771" s="9">
        <v>5</v>
      </c>
      <c r="DN771" s="9">
        <v>5</v>
      </c>
      <c r="DO771" s="9">
        <v>5</v>
      </c>
      <c r="DP771" s="25" t="s">
        <v>208</v>
      </c>
      <c r="DQ771" s="25" t="s">
        <v>200</v>
      </c>
      <c r="DR771" s="25" t="s">
        <v>208</v>
      </c>
      <c r="DS771" s="25" t="s">
        <v>210</v>
      </c>
      <c r="DT771" s="25" t="s">
        <v>117</v>
      </c>
      <c r="DU771" s="25" t="s">
        <v>119</v>
      </c>
      <c r="DV771" s="25">
        <f t="shared" si="488"/>
        <v>1</v>
      </c>
      <c r="DW771" s="25">
        <f t="shared" si="489"/>
        <v>1</v>
      </c>
      <c r="DX771" s="25">
        <f t="shared" si="490"/>
        <v>1</v>
      </c>
      <c r="DY771" s="25">
        <f t="shared" si="491"/>
        <v>2</v>
      </c>
      <c r="DZ771" s="25">
        <f t="shared" si="492"/>
        <v>2</v>
      </c>
      <c r="EA771" s="25">
        <f t="shared" si="493"/>
        <v>2</v>
      </c>
      <c r="EB771" s="50"/>
    </row>
    <row r="772" spans="1:132" ht="13.5" customHeight="1">
      <c r="A772" s="9">
        <v>769</v>
      </c>
      <c r="B772" s="9">
        <v>1</v>
      </c>
      <c r="C772" s="9">
        <v>2001</v>
      </c>
      <c r="D772" s="9">
        <f t="shared" si="466"/>
        <v>47785114</v>
      </c>
      <c r="E772" s="9" t="str">
        <f t="shared" si="467"/>
        <v>5201131,5201131,5200131,5601131,5501134,5501134</v>
      </c>
      <c r="F772" s="9" t="str">
        <f t="shared" si="468"/>
        <v>13,13,13,13,13,13</v>
      </c>
      <c r="G772" s="9" t="str">
        <f t="shared" si="469"/>
        <v>1605,1734,1734,1734,1734,1734</v>
      </c>
      <c r="H772" s="9">
        <v>347</v>
      </c>
      <c r="I772" s="9" t="s">
        <v>278</v>
      </c>
      <c r="J772" s="9" t="s">
        <v>279</v>
      </c>
      <c r="K772" s="9" t="s">
        <v>279</v>
      </c>
      <c r="L772" s="9" t="s">
        <v>279</v>
      </c>
      <c r="M772" s="36" t="s">
        <v>320</v>
      </c>
      <c r="O772" s="3">
        <f t="shared" si="494"/>
        <v>47785114</v>
      </c>
      <c r="P772" s="9">
        <v>36200843.780000001</v>
      </c>
      <c r="Q772" s="9">
        <v>5201131</v>
      </c>
      <c r="R772" s="9">
        <v>5201131</v>
      </c>
      <c r="S772" s="9">
        <v>5200131</v>
      </c>
      <c r="T772" s="9">
        <v>5601131</v>
      </c>
      <c r="U772" s="9">
        <v>5501134</v>
      </c>
      <c r="V772" s="9">
        <v>5501134</v>
      </c>
      <c r="W772" s="9">
        <v>13</v>
      </c>
      <c r="X772" s="9">
        <v>13</v>
      </c>
      <c r="Y772" s="9">
        <v>13</v>
      </c>
      <c r="Z772" s="9">
        <v>13</v>
      </c>
      <c r="AA772" s="9">
        <v>13</v>
      </c>
      <c r="AB772" s="9">
        <v>13</v>
      </c>
      <c r="AC772" s="9">
        <f t="shared" si="470"/>
        <v>1605</v>
      </c>
      <c r="AD772" s="9">
        <f t="shared" si="471"/>
        <v>1734</v>
      </c>
      <c r="AE772" s="9">
        <f t="shared" si="472"/>
        <v>1734</v>
      </c>
      <c r="AF772" s="9">
        <f t="shared" si="473"/>
        <v>1734</v>
      </c>
      <c r="AG772" s="9">
        <f t="shared" si="474"/>
        <v>1734</v>
      </c>
      <c r="AH772" s="9">
        <f t="shared" si="475"/>
        <v>1734</v>
      </c>
      <c r="AI772" s="7">
        <f t="shared" si="496"/>
        <v>6033473.9633333338</v>
      </c>
      <c r="AJ772" s="7">
        <f t="shared" si="495"/>
        <v>6033473.9633333338</v>
      </c>
      <c r="AK772" s="7">
        <f t="shared" si="495"/>
        <v>6033473.9633333338</v>
      </c>
      <c r="AL772" s="7">
        <f t="shared" si="495"/>
        <v>6033473.9633333338</v>
      </c>
      <c r="AM772" s="7">
        <f t="shared" si="495"/>
        <v>6033473.9633333338</v>
      </c>
      <c r="AN772" s="7">
        <f t="shared" si="495"/>
        <v>6033473.9633333338</v>
      </c>
      <c r="BR772" s="5">
        <v>5404065</v>
      </c>
      <c r="BS772" s="18">
        <f>[1]monsters!$N772</f>
        <v>187.73</v>
      </c>
      <c r="BT772" s="18">
        <f>[1]monsters!$O772</f>
        <v>18.77</v>
      </c>
      <c r="BU772" s="18">
        <f>[1]monsters!$P772</f>
        <v>2112</v>
      </c>
      <c r="BV772" s="18">
        <f>[1]monsters!$Q772</f>
        <v>211.2</v>
      </c>
      <c r="BW772" s="18">
        <f>[1]monsters!$R772</f>
        <v>62.58</v>
      </c>
      <c r="BX772" s="18">
        <f>[1]monsters!$S772</f>
        <v>6.26</v>
      </c>
      <c r="BY772" s="18">
        <f>[1]monsters!$K772</f>
        <v>1.6</v>
      </c>
      <c r="BZ772" s="5">
        <f>[1]monsters!$D772</f>
        <v>2</v>
      </c>
      <c r="CA772" s="5">
        <f t="shared" si="462"/>
        <v>0.1</v>
      </c>
      <c r="CB772" s="5">
        <f t="shared" si="463"/>
        <v>248.51596111111112</v>
      </c>
      <c r="CC772" s="5">
        <f t="shared" si="464"/>
        <v>24.851596111111114</v>
      </c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R772" s="3" t="b">
        <f t="shared" si="476"/>
        <v>1</v>
      </c>
      <c r="CS772" s="3" t="b">
        <f t="shared" si="477"/>
        <v>1</v>
      </c>
      <c r="CT772" s="3" t="b">
        <f t="shared" si="478"/>
        <v>1</v>
      </c>
      <c r="CU772" s="3" t="b">
        <f t="shared" si="479"/>
        <v>1</v>
      </c>
      <c r="CV772" s="3" t="b">
        <f t="shared" si="480"/>
        <v>1</v>
      </c>
      <c r="CW772" s="3" t="b">
        <f t="shared" si="481"/>
        <v>1</v>
      </c>
      <c r="CX772" s="9" t="str">
        <f t="shared" si="482"/>
        <v>5201131</v>
      </c>
      <c r="CY772" s="9" t="str">
        <f t="shared" si="483"/>
        <v>5201131</v>
      </c>
      <c r="CZ772" s="9" t="str">
        <f t="shared" si="484"/>
        <v>5200131</v>
      </c>
      <c r="DA772" s="9" t="str">
        <f t="shared" si="485"/>
        <v>5601131</v>
      </c>
      <c r="DB772" s="9" t="str">
        <f t="shared" si="486"/>
        <v>5501134</v>
      </c>
      <c r="DC772" s="9" t="str">
        <f t="shared" si="487"/>
        <v>5501134</v>
      </c>
      <c r="DD772" s="9">
        <v>13</v>
      </c>
      <c r="DE772" s="9">
        <v>13</v>
      </c>
      <c r="DF772" s="9">
        <v>13</v>
      </c>
      <c r="DG772" s="9">
        <v>13</v>
      </c>
      <c r="DH772" s="9">
        <v>13</v>
      </c>
      <c r="DI772" s="9">
        <v>13</v>
      </c>
      <c r="DJ772" s="9">
        <v>5</v>
      </c>
      <c r="DK772" s="9">
        <v>5</v>
      </c>
      <c r="DL772" s="9">
        <v>5</v>
      </c>
      <c r="DM772" s="9">
        <v>5</v>
      </c>
      <c r="DN772" s="9">
        <v>5</v>
      </c>
      <c r="DO772" s="9">
        <v>5</v>
      </c>
      <c r="DP772" s="25" t="s">
        <v>195</v>
      </c>
      <c r="DQ772" s="25" t="s">
        <v>195</v>
      </c>
      <c r="DR772" s="25" t="s">
        <v>194</v>
      </c>
      <c r="DS772" s="25" t="s">
        <v>198</v>
      </c>
      <c r="DT772" s="25" t="s">
        <v>214</v>
      </c>
      <c r="DU772" s="25" t="s">
        <v>214</v>
      </c>
      <c r="DV772" s="25">
        <f t="shared" si="488"/>
        <v>1</v>
      </c>
      <c r="DW772" s="25">
        <f t="shared" si="489"/>
        <v>1</v>
      </c>
      <c r="DX772" s="25">
        <f t="shared" si="490"/>
        <v>1</v>
      </c>
      <c r="DY772" s="25">
        <f t="shared" si="491"/>
        <v>2</v>
      </c>
      <c r="DZ772" s="25">
        <f t="shared" si="492"/>
        <v>2</v>
      </c>
      <c r="EA772" s="25">
        <f t="shared" si="493"/>
        <v>2</v>
      </c>
      <c r="EB772" s="51"/>
    </row>
    <row r="773" spans="1:132" ht="13.5" customHeight="1">
      <c r="A773" s="9">
        <v>770</v>
      </c>
      <c r="B773" s="9">
        <v>1</v>
      </c>
      <c r="C773" s="9">
        <v>2001</v>
      </c>
      <c r="D773" s="9">
        <f t="shared" si="466"/>
        <v>47891845</v>
      </c>
      <c r="E773" s="9" t="str">
        <f t="shared" si="467"/>
        <v>5300135,5202135,5202135,5400135,5501135,5400135</v>
      </c>
      <c r="F773" s="9" t="str">
        <f t="shared" si="468"/>
        <v>13,13,13,13,13,13</v>
      </c>
      <c r="G773" s="9" t="str">
        <f t="shared" si="469"/>
        <v>1607,1736,1736,1736,1736,1736</v>
      </c>
      <c r="H773" s="9">
        <v>348</v>
      </c>
      <c r="I773" s="9" t="s">
        <v>278</v>
      </c>
      <c r="J773" s="9" t="s">
        <v>279</v>
      </c>
      <c r="K773" s="9" t="s">
        <v>279</v>
      </c>
      <c r="L773" s="9" t="s">
        <v>279</v>
      </c>
      <c r="M773" s="36" t="s">
        <v>320</v>
      </c>
      <c r="O773" s="3">
        <f t="shared" si="494"/>
        <v>47891845</v>
      </c>
      <c r="P773" s="9">
        <v>36281701.090000004</v>
      </c>
      <c r="Q773" s="9">
        <v>5300135</v>
      </c>
      <c r="R773" s="9">
        <v>5202135</v>
      </c>
      <c r="S773" s="9">
        <v>5202135</v>
      </c>
      <c r="T773" s="9">
        <v>5400135</v>
      </c>
      <c r="U773" s="9">
        <v>5501135</v>
      </c>
      <c r="V773" s="9">
        <v>5400135</v>
      </c>
      <c r="W773" s="9">
        <v>13</v>
      </c>
      <c r="X773" s="9">
        <v>13</v>
      </c>
      <c r="Y773" s="9">
        <v>13</v>
      </c>
      <c r="Z773" s="9">
        <v>13</v>
      </c>
      <c r="AA773" s="9">
        <v>13</v>
      </c>
      <c r="AB773" s="9">
        <v>13</v>
      </c>
      <c r="AC773" s="9">
        <f t="shared" si="470"/>
        <v>1607</v>
      </c>
      <c r="AD773" s="9">
        <f t="shared" si="471"/>
        <v>1736</v>
      </c>
      <c r="AE773" s="9">
        <f t="shared" si="472"/>
        <v>1736</v>
      </c>
      <c r="AF773" s="9">
        <f t="shared" si="473"/>
        <v>1736</v>
      </c>
      <c r="AG773" s="9">
        <f t="shared" si="474"/>
        <v>1736</v>
      </c>
      <c r="AH773" s="9">
        <f t="shared" si="475"/>
        <v>1736</v>
      </c>
      <c r="AI773" s="7">
        <f t="shared" si="496"/>
        <v>6046950.1816666676</v>
      </c>
      <c r="AJ773" s="7">
        <f t="shared" si="495"/>
        <v>6046950.1816666676</v>
      </c>
      <c r="AK773" s="7">
        <f t="shared" si="495"/>
        <v>6046950.1816666676</v>
      </c>
      <c r="AL773" s="7">
        <f t="shared" si="495"/>
        <v>6046950.1816666676</v>
      </c>
      <c r="AM773" s="7">
        <f t="shared" si="495"/>
        <v>6046950.1816666676</v>
      </c>
      <c r="AN773" s="7">
        <f t="shared" si="495"/>
        <v>6046950.1816666676</v>
      </c>
      <c r="BR773" s="5">
        <v>5303065</v>
      </c>
      <c r="BS773" s="18">
        <f>[1]monsters!$N773</f>
        <v>187.73</v>
      </c>
      <c r="BT773" s="18">
        <f>[1]monsters!$O773</f>
        <v>18.77</v>
      </c>
      <c r="BU773" s="18">
        <f>[1]monsters!$P773</f>
        <v>2112</v>
      </c>
      <c r="BV773" s="18">
        <f>[1]monsters!$Q773</f>
        <v>211.2</v>
      </c>
      <c r="BW773" s="18">
        <f>[1]monsters!$R773</f>
        <v>62.58</v>
      </c>
      <c r="BX773" s="18">
        <f>[1]monsters!$S773</f>
        <v>6.26</v>
      </c>
      <c r="BY773" s="18">
        <f>[1]monsters!$K773</f>
        <v>1.6</v>
      </c>
      <c r="BZ773" s="5">
        <f>[1]monsters!$D773</f>
        <v>2</v>
      </c>
      <c r="CA773" s="5">
        <f t="shared" ref="CA773:CA836" si="497">INDEX($CH$5:$CH$10,MATCH($BZ773,$CG$5:$CG$10))</f>
        <v>0.1</v>
      </c>
      <c r="CB773" s="5">
        <f t="shared" ref="CB773:CB836" si="498">(BU773/33/(1-CA773)/(1-0)+BS773*(1+0.5*0.1)*0.9)</f>
        <v>248.51596111111112</v>
      </c>
      <c r="CC773" s="5">
        <f t="shared" ref="CC773:CC836" si="499">(BU773/33/(1-CA773)/(1-0)+BS773*(1+0.5*0.1)*0.9)*0.1</f>
        <v>24.851596111111114</v>
      </c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R773" s="3" t="b">
        <f t="shared" si="476"/>
        <v>1</v>
      </c>
      <c r="CS773" s="3" t="b">
        <f t="shared" si="477"/>
        <v>1</v>
      </c>
      <c r="CT773" s="3" t="b">
        <f t="shared" si="478"/>
        <v>1</v>
      </c>
      <c r="CU773" s="3" t="b">
        <f t="shared" si="479"/>
        <v>1</v>
      </c>
      <c r="CV773" s="3" t="b">
        <f t="shared" si="480"/>
        <v>1</v>
      </c>
      <c r="CW773" s="3" t="b">
        <f t="shared" si="481"/>
        <v>1</v>
      </c>
      <c r="CX773" s="9" t="str">
        <f t="shared" si="482"/>
        <v>5300135</v>
      </c>
      <c r="CY773" s="9" t="str">
        <f t="shared" si="483"/>
        <v>5202135</v>
      </c>
      <c r="CZ773" s="9" t="str">
        <f t="shared" si="484"/>
        <v>5202135</v>
      </c>
      <c r="DA773" s="9" t="str">
        <f t="shared" si="485"/>
        <v>5400135</v>
      </c>
      <c r="DB773" s="9" t="str">
        <f t="shared" si="486"/>
        <v>5501135</v>
      </c>
      <c r="DC773" s="9" t="str">
        <f t="shared" si="487"/>
        <v>5400135</v>
      </c>
      <c r="DD773" s="9">
        <v>13</v>
      </c>
      <c r="DE773" s="9">
        <v>13</v>
      </c>
      <c r="DF773" s="9">
        <v>13</v>
      </c>
      <c r="DG773" s="9">
        <v>13</v>
      </c>
      <c r="DH773" s="9">
        <v>13</v>
      </c>
      <c r="DI773" s="9">
        <v>13</v>
      </c>
      <c r="DJ773" s="9">
        <v>5</v>
      </c>
      <c r="DK773" s="9">
        <v>5</v>
      </c>
      <c r="DL773" s="9">
        <v>5</v>
      </c>
      <c r="DM773" s="9">
        <v>5</v>
      </c>
      <c r="DN773" s="9">
        <v>5</v>
      </c>
      <c r="DO773" s="9">
        <v>5</v>
      </c>
      <c r="DP773" s="25" t="s">
        <v>212</v>
      </c>
      <c r="DQ773" s="25" t="s">
        <v>213</v>
      </c>
      <c r="DR773" s="25" t="s">
        <v>213</v>
      </c>
      <c r="DS773" s="25" t="s">
        <v>210</v>
      </c>
      <c r="DT773" s="25" t="s">
        <v>209</v>
      </c>
      <c r="DU773" s="25" t="s">
        <v>210</v>
      </c>
      <c r="DV773" s="25">
        <f t="shared" si="488"/>
        <v>1</v>
      </c>
      <c r="DW773" s="25">
        <f t="shared" si="489"/>
        <v>1</v>
      </c>
      <c r="DX773" s="25">
        <f t="shared" si="490"/>
        <v>1</v>
      </c>
      <c r="DY773" s="25">
        <f t="shared" si="491"/>
        <v>2</v>
      </c>
      <c r="DZ773" s="25">
        <f t="shared" si="492"/>
        <v>2</v>
      </c>
      <c r="EA773" s="25">
        <f t="shared" si="493"/>
        <v>2</v>
      </c>
      <c r="EB773" s="50"/>
    </row>
    <row r="774" spans="1:132" ht="13.5" customHeight="1">
      <c r="A774" s="9">
        <v>771</v>
      </c>
      <c r="B774" s="9">
        <v>1</v>
      </c>
      <c r="C774" s="9">
        <v>2001</v>
      </c>
      <c r="D774" s="9">
        <f t="shared" si="466"/>
        <v>47998697</v>
      </c>
      <c r="E774" s="9" t="str">
        <f t="shared" si="467"/>
        <v>5301131,5301132,5301132,5500132,5400135,5502133</v>
      </c>
      <c r="F774" s="9" t="str">
        <f t="shared" si="468"/>
        <v>13,13,13,13,13,13</v>
      </c>
      <c r="G774" s="9" t="str">
        <f t="shared" si="469"/>
        <v>1609,1738,1738,1738,1738,1738</v>
      </c>
      <c r="H774" s="9">
        <v>348</v>
      </c>
      <c r="I774" s="9" t="s">
        <v>278</v>
      </c>
      <c r="J774" s="9" t="s">
        <v>279</v>
      </c>
      <c r="K774" s="9" t="s">
        <v>279</v>
      </c>
      <c r="L774" s="9" t="s">
        <v>279</v>
      </c>
      <c r="M774" s="36" t="s">
        <v>320</v>
      </c>
      <c r="O774" s="3">
        <f t="shared" si="494"/>
        <v>47998697</v>
      </c>
      <c r="P774" s="9">
        <v>36362649.130000003</v>
      </c>
      <c r="Q774" s="9">
        <v>5301131</v>
      </c>
      <c r="R774" s="9">
        <v>5301132</v>
      </c>
      <c r="S774" s="9">
        <v>5301132</v>
      </c>
      <c r="T774" s="9">
        <v>5500132</v>
      </c>
      <c r="U774" s="9">
        <v>5400135</v>
      </c>
      <c r="V774" s="9">
        <v>5502133</v>
      </c>
      <c r="W774" s="9">
        <v>13</v>
      </c>
      <c r="X774" s="9">
        <v>13</v>
      </c>
      <c r="Y774" s="9">
        <v>13</v>
      </c>
      <c r="Z774" s="9">
        <v>13</v>
      </c>
      <c r="AA774" s="9">
        <v>13</v>
      </c>
      <c r="AB774" s="9">
        <v>13</v>
      </c>
      <c r="AC774" s="9">
        <f t="shared" si="470"/>
        <v>1609</v>
      </c>
      <c r="AD774" s="9">
        <f t="shared" si="471"/>
        <v>1738</v>
      </c>
      <c r="AE774" s="9">
        <f t="shared" si="472"/>
        <v>1738</v>
      </c>
      <c r="AF774" s="9">
        <f t="shared" si="473"/>
        <v>1738</v>
      </c>
      <c r="AG774" s="9">
        <f t="shared" si="474"/>
        <v>1738</v>
      </c>
      <c r="AH774" s="9">
        <f t="shared" si="475"/>
        <v>1738</v>
      </c>
      <c r="AI774" s="7">
        <f t="shared" si="496"/>
        <v>6060441.5216666674</v>
      </c>
      <c r="AJ774" s="7">
        <f t="shared" si="495"/>
        <v>6060441.5216666674</v>
      </c>
      <c r="AK774" s="7">
        <f t="shared" si="495"/>
        <v>6060441.5216666674</v>
      </c>
      <c r="AL774" s="7">
        <f t="shared" si="495"/>
        <v>6060441.5216666674</v>
      </c>
      <c r="AM774" s="7">
        <f t="shared" si="495"/>
        <v>6060441.5216666674</v>
      </c>
      <c r="AN774" s="7">
        <f t="shared" si="495"/>
        <v>6060441.5216666674</v>
      </c>
      <c r="BR774" s="5">
        <v>5304065</v>
      </c>
      <c r="BS774" s="18">
        <f>[1]monsters!$N774</f>
        <v>187.73</v>
      </c>
      <c r="BT774" s="18">
        <f>[1]monsters!$O774</f>
        <v>18.77</v>
      </c>
      <c r="BU774" s="18">
        <f>[1]monsters!$P774</f>
        <v>2112</v>
      </c>
      <c r="BV774" s="18">
        <f>[1]monsters!$Q774</f>
        <v>211.2</v>
      </c>
      <c r="BW774" s="18">
        <f>[1]monsters!$R774</f>
        <v>62.58</v>
      </c>
      <c r="BX774" s="18">
        <f>[1]monsters!$S774</f>
        <v>6.26</v>
      </c>
      <c r="BY774" s="18">
        <f>[1]monsters!$K774</f>
        <v>1.6</v>
      </c>
      <c r="BZ774" s="5">
        <f>[1]monsters!$D774</f>
        <v>2</v>
      </c>
      <c r="CA774" s="5">
        <f t="shared" si="497"/>
        <v>0.1</v>
      </c>
      <c r="CB774" s="5">
        <f t="shared" si="498"/>
        <v>248.51596111111112</v>
      </c>
      <c r="CC774" s="5">
        <f t="shared" si="499"/>
        <v>24.851596111111114</v>
      </c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R774" s="3" t="b">
        <f t="shared" si="476"/>
        <v>1</v>
      </c>
      <c r="CS774" s="3" t="b">
        <f t="shared" si="477"/>
        <v>1</v>
      </c>
      <c r="CT774" s="3" t="b">
        <f t="shared" si="478"/>
        <v>1</v>
      </c>
      <c r="CU774" s="3" t="b">
        <f t="shared" si="479"/>
        <v>1</v>
      </c>
      <c r="CV774" s="3" t="b">
        <f t="shared" si="480"/>
        <v>1</v>
      </c>
      <c r="CW774" s="3" t="b">
        <f t="shared" si="481"/>
        <v>1</v>
      </c>
      <c r="CX774" s="9" t="str">
        <f t="shared" si="482"/>
        <v>5301131</v>
      </c>
      <c r="CY774" s="9" t="str">
        <f t="shared" si="483"/>
        <v>5301132</v>
      </c>
      <c r="CZ774" s="9" t="str">
        <f t="shared" si="484"/>
        <v>5301132</v>
      </c>
      <c r="DA774" s="9" t="str">
        <f t="shared" si="485"/>
        <v>5500132</v>
      </c>
      <c r="DB774" s="9" t="str">
        <f t="shared" si="486"/>
        <v>5400135</v>
      </c>
      <c r="DC774" s="9" t="str">
        <f t="shared" si="487"/>
        <v>5502133</v>
      </c>
      <c r="DD774" s="9">
        <v>13</v>
      </c>
      <c r="DE774" s="9">
        <v>13</v>
      </c>
      <c r="DF774" s="9">
        <v>13</v>
      </c>
      <c r="DG774" s="9">
        <v>13</v>
      </c>
      <c r="DH774" s="9">
        <v>13</v>
      </c>
      <c r="DI774" s="9">
        <v>13</v>
      </c>
      <c r="DJ774" s="9">
        <v>5</v>
      </c>
      <c r="DK774" s="9">
        <v>5</v>
      </c>
      <c r="DL774" s="9">
        <v>5</v>
      </c>
      <c r="DM774" s="9">
        <v>5</v>
      </c>
      <c r="DN774" s="9">
        <v>5</v>
      </c>
      <c r="DO774" s="9">
        <v>5</v>
      </c>
      <c r="DP774" s="25" t="s">
        <v>107</v>
      </c>
      <c r="DQ774" s="25" t="s">
        <v>201</v>
      </c>
      <c r="DR774" s="25" t="s">
        <v>201</v>
      </c>
      <c r="DS774" s="25" t="s">
        <v>109</v>
      </c>
      <c r="DT774" s="25" t="s">
        <v>210</v>
      </c>
      <c r="DU774" s="25" t="s">
        <v>215</v>
      </c>
      <c r="DV774" s="25">
        <f t="shared" si="488"/>
        <v>1</v>
      </c>
      <c r="DW774" s="25">
        <f t="shared" si="489"/>
        <v>1</v>
      </c>
      <c r="DX774" s="25">
        <f t="shared" si="490"/>
        <v>1</v>
      </c>
      <c r="DY774" s="25">
        <f t="shared" si="491"/>
        <v>2</v>
      </c>
      <c r="DZ774" s="25">
        <f t="shared" si="492"/>
        <v>2</v>
      </c>
      <c r="EA774" s="25">
        <f t="shared" si="493"/>
        <v>2</v>
      </c>
      <c r="EB774" s="50"/>
    </row>
    <row r="775" spans="1:132" ht="13.5" customHeight="1">
      <c r="A775" s="9">
        <v>772</v>
      </c>
      <c r="B775" s="9">
        <v>1</v>
      </c>
      <c r="C775" s="9">
        <v>2001</v>
      </c>
      <c r="D775" s="9">
        <f t="shared" si="466"/>
        <v>48105668</v>
      </c>
      <c r="E775" s="9" t="str">
        <f t="shared" si="467"/>
        <v>5201133,5200133,5301132,5501134,5500133,5501134</v>
      </c>
      <c r="F775" s="9" t="str">
        <f t="shared" si="468"/>
        <v>13,13,13,13,13,13</v>
      </c>
      <c r="G775" s="9" t="str">
        <f t="shared" si="469"/>
        <v>1610,1740,1740,1740,1740,1740</v>
      </c>
      <c r="H775" s="9">
        <v>348</v>
      </c>
      <c r="I775" s="9" t="s">
        <v>278</v>
      </c>
      <c r="J775" s="9" t="s">
        <v>279</v>
      </c>
      <c r="K775" s="9" t="s">
        <v>279</v>
      </c>
      <c r="L775" s="9" t="s">
        <v>279</v>
      </c>
      <c r="M775" s="36" t="s">
        <v>320</v>
      </c>
      <c r="O775" s="3">
        <f t="shared" si="494"/>
        <v>48105668</v>
      </c>
      <c r="P775" s="9">
        <v>36443687.899999999</v>
      </c>
      <c r="Q775" s="9">
        <v>5201133</v>
      </c>
      <c r="R775" s="9">
        <v>5200133</v>
      </c>
      <c r="S775" s="9">
        <v>5301132</v>
      </c>
      <c r="T775" s="9">
        <v>5501134</v>
      </c>
      <c r="U775" s="9">
        <v>5500133</v>
      </c>
      <c r="V775" s="9">
        <v>5501134</v>
      </c>
      <c r="W775" s="9">
        <v>13</v>
      </c>
      <c r="X775" s="9">
        <v>13</v>
      </c>
      <c r="Y775" s="9">
        <v>13</v>
      </c>
      <c r="Z775" s="9">
        <v>13</v>
      </c>
      <c r="AA775" s="9">
        <v>13</v>
      </c>
      <c r="AB775" s="9">
        <v>13</v>
      </c>
      <c r="AC775" s="9">
        <f t="shared" si="470"/>
        <v>1610</v>
      </c>
      <c r="AD775" s="9">
        <f t="shared" si="471"/>
        <v>1740</v>
      </c>
      <c r="AE775" s="9">
        <f t="shared" si="472"/>
        <v>1740</v>
      </c>
      <c r="AF775" s="9">
        <f t="shared" si="473"/>
        <v>1740</v>
      </c>
      <c r="AG775" s="9">
        <f t="shared" si="474"/>
        <v>1740</v>
      </c>
      <c r="AH775" s="9">
        <f t="shared" si="475"/>
        <v>1740</v>
      </c>
      <c r="AI775" s="7">
        <f t="shared" si="496"/>
        <v>6073947.9833333334</v>
      </c>
      <c r="AJ775" s="7">
        <f t="shared" si="495"/>
        <v>6073947.9833333334</v>
      </c>
      <c r="AK775" s="7">
        <f t="shared" si="495"/>
        <v>6073947.9833333334</v>
      </c>
      <c r="AL775" s="7">
        <f t="shared" si="495"/>
        <v>6073947.9833333334</v>
      </c>
      <c r="AM775" s="7">
        <f t="shared" si="495"/>
        <v>6073947.9833333334</v>
      </c>
      <c r="AN775" s="7">
        <f t="shared" si="495"/>
        <v>6073947.9833333334</v>
      </c>
      <c r="BR775" s="5">
        <v>5503065</v>
      </c>
      <c r="BS775" s="18">
        <f>[1]monsters!$N775</f>
        <v>187.73</v>
      </c>
      <c r="BT775" s="18">
        <f>[1]monsters!$O775</f>
        <v>18.77</v>
      </c>
      <c r="BU775" s="18">
        <f>[1]monsters!$P775</f>
        <v>2112</v>
      </c>
      <c r="BV775" s="18">
        <f>[1]monsters!$Q775</f>
        <v>211.2</v>
      </c>
      <c r="BW775" s="18">
        <f>[1]monsters!$R775</f>
        <v>62.58</v>
      </c>
      <c r="BX775" s="18">
        <f>[1]monsters!$S775</f>
        <v>6.26</v>
      </c>
      <c r="BY775" s="18">
        <f>[1]monsters!$K775</f>
        <v>1.6</v>
      </c>
      <c r="BZ775" s="5">
        <f>[1]monsters!$D775</f>
        <v>2</v>
      </c>
      <c r="CA775" s="5">
        <f t="shared" si="497"/>
        <v>0.1</v>
      </c>
      <c r="CB775" s="5">
        <f t="shared" si="498"/>
        <v>248.51596111111112</v>
      </c>
      <c r="CC775" s="5">
        <f t="shared" si="499"/>
        <v>24.851596111111114</v>
      </c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R775" s="3" t="b">
        <f t="shared" si="476"/>
        <v>1</v>
      </c>
      <c r="CS775" s="3" t="b">
        <f t="shared" si="477"/>
        <v>1</v>
      </c>
      <c r="CT775" s="3" t="b">
        <f t="shared" si="478"/>
        <v>1</v>
      </c>
      <c r="CU775" s="3" t="b">
        <f t="shared" si="479"/>
        <v>1</v>
      </c>
      <c r="CV775" s="3" t="b">
        <f t="shared" si="480"/>
        <v>1</v>
      </c>
      <c r="CW775" s="3" t="b">
        <f t="shared" si="481"/>
        <v>1</v>
      </c>
      <c r="CX775" s="9" t="str">
        <f t="shared" si="482"/>
        <v>5201133</v>
      </c>
      <c r="CY775" s="9" t="str">
        <f t="shared" si="483"/>
        <v>5200133</v>
      </c>
      <c r="CZ775" s="9" t="str">
        <f t="shared" si="484"/>
        <v>5301132</v>
      </c>
      <c r="DA775" s="9" t="str">
        <f t="shared" si="485"/>
        <v>5501134</v>
      </c>
      <c r="DB775" s="9" t="str">
        <f t="shared" si="486"/>
        <v>5500133</v>
      </c>
      <c r="DC775" s="9" t="str">
        <f t="shared" si="487"/>
        <v>5501134</v>
      </c>
      <c r="DD775" s="9">
        <v>13</v>
      </c>
      <c r="DE775" s="9">
        <v>13</v>
      </c>
      <c r="DF775" s="9">
        <v>13</v>
      </c>
      <c r="DG775" s="9">
        <v>13</v>
      </c>
      <c r="DH775" s="9">
        <v>13</v>
      </c>
      <c r="DI775" s="9">
        <v>13</v>
      </c>
      <c r="DJ775" s="9">
        <v>5</v>
      </c>
      <c r="DK775" s="9">
        <v>5</v>
      </c>
      <c r="DL775" s="9">
        <v>5</v>
      </c>
      <c r="DM775" s="9">
        <v>5</v>
      </c>
      <c r="DN775" s="9">
        <v>5</v>
      </c>
      <c r="DO775" s="9">
        <v>5</v>
      </c>
      <c r="DP775" s="25" t="s">
        <v>205</v>
      </c>
      <c r="DQ775" s="25" t="s">
        <v>113</v>
      </c>
      <c r="DR775" s="25" t="s">
        <v>201</v>
      </c>
      <c r="DS775" s="25" t="s">
        <v>214</v>
      </c>
      <c r="DT775" s="25" t="s">
        <v>207</v>
      </c>
      <c r="DU775" s="25" t="s">
        <v>214</v>
      </c>
      <c r="DV775" s="25">
        <f t="shared" si="488"/>
        <v>1</v>
      </c>
      <c r="DW775" s="25">
        <f t="shared" si="489"/>
        <v>1</v>
      </c>
      <c r="DX775" s="25">
        <f t="shared" si="490"/>
        <v>1</v>
      </c>
      <c r="DY775" s="25">
        <f t="shared" si="491"/>
        <v>2</v>
      </c>
      <c r="DZ775" s="25">
        <f t="shared" si="492"/>
        <v>2</v>
      </c>
      <c r="EA775" s="25">
        <f t="shared" si="493"/>
        <v>2</v>
      </c>
      <c r="EB775" s="51"/>
    </row>
    <row r="776" spans="1:132" ht="13.5" customHeight="1">
      <c r="A776" s="9">
        <v>773</v>
      </c>
      <c r="B776" s="9">
        <v>1</v>
      </c>
      <c r="C776" s="9">
        <v>2001</v>
      </c>
      <c r="D776" s="9">
        <f t="shared" si="466"/>
        <v>48212759</v>
      </c>
      <c r="E776" s="9" t="str">
        <f t="shared" si="467"/>
        <v>5200133,5200133,5201132,5401133,5402132,5401133</v>
      </c>
      <c r="F776" s="9" t="str">
        <f t="shared" si="468"/>
        <v>13,13,13,13,13,13</v>
      </c>
      <c r="G776" s="9" t="str">
        <f t="shared" si="469"/>
        <v>1612,1742,1742,1742,1742,1742</v>
      </c>
      <c r="H776" s="9">
        <v>349</v>
      </c>
      <c r="I776" s="9" t="s">
        <v>278</v>
      </c>
      <c r="J776" s="9" t="s">
        <v>279</v>
      </c>
      <c r="K776" s="9" t="s">
        <v>279</v>
      </c>
      <c r="L776" s="9" t="s">
        <v>279</v>
      </c>
      <c r="M776" s="36" t="s">
        <v>320</v>
      </c>
      <c r="O776" s="3">
        <f t="shared" si="494"/>
        <v>48212759</v>
      </c>
      <c r="P776" s="9">
        <v>36524817.399999999</v>
      </c>
      <c r="Q776" s="9">
        <v>5200133</v>
      </c>
      <c r="R776" s="9">
        <v>5200133</v>
      </c>
      <c r="S776" s="9">
        <v>5201132</v>
      </c>
      <c r="T776" s="9">
        <v>5401133</v>
      </c>
      <c r="U776" s="9">
        <v>5402132</v>
      </c>
      <c r="V776" s="9">
        <v>5401133</v>
      </c>
      <c r="W776" s="9">
        <v>13</v>
      </c>
      <c r="X776" s="9">
        <v>13</v>
      </c>
      <c r="Y776" s="9">
        <v>13</v>
      </c>
      <c r="Z776" s="9">
        <v>13</v>
      </c>
      <c r="AA776" s="9">
        <v>13</v>
      </c>
      <c r="AB776" s="9">
        <v>13</v>
      </c>
      <c r="AC776" s="9">
        <f t="shared" si="470"/>
        <v>1612</v>
      </c>
      <c r="AD776" s="9">
        <f t="shared" si="471"/>
        <v>1742</v>
      </c>
      <c r="AE776" s="9">
        <f t="shared" si="472"/>
        <v>1742</v>
      </c>
      <c r="AF776" s="9">
        <f t="shared" si="473"/>
        <v>1742</v>
      </c>
      <c r="AG776" s="9">
        <f t="shared" si="474"/>
        <v>1742</v>
      </c>
      <c r="AH776" s="9">
        <f t="shared" si="475"/>
        <v>1742</v>
      </c>
      <c r="AI776" s="7">
        <f t="shared" si="496"/>
        <v>6087469.5666666664</v>
      </c>
      <c r="AJ776" s="7">
        <f t="shared" si="495"/>
        <v>6087469.5666666664</v>
      </c>
      <c r="AK776" s="7">
        <f t="shared" si="495"/>
        <v>6087469.5666666664</v>
      </c>
      <c r="AL776" s="7">
        <f t="shared" si="495"/>
        <v>6087469.5666666664</v>
      </c>
      <c r="AM776" s="7">
        <f t="shared" si="495"/>
        <v>6087469.5666666664</v>
      </c>
      <c r="AN776" s="7">
        <f t="shared" si="495"/>
        <v>6087469.5666666664</v>
      </c>
      <c r="BR776" s="5">
        <v>5504065</v>
      </c>
      <c r="BS776" s="18">
        <f>[1]monsters!$N776</f>
        <v>187.73</v>
      </c>
      <c r="BT776" s="18">
        <f>[1]monsters!$O776</f>
        <v>18.77</v>
      </c>
      <c r="BU776" s="18">
        <f>[1]monsters!$P776</f>
        <v>2112</v>
      </c>
      <c r="BV776" s="18">
        <f>[1]monsters!$Q776</f>
        <v>211.2</v>
      </c>
      <c r="BW776" s="18">
        <f>[1]monsters!$R776</f>
        <v>62.58</v>
      </c>
      <c r="BX776" s="18">
        <f>[1]monsters!$S776</f>
        <v>6.26</v>
      </c>
      <c r="BY776" s="18">
        <f>[1]monsters!$K776</f>
        <v>1.6</v>
      </c>
      <c r="BZ776" s="5">
        <f>[1]monsters!$D776</f>
        <v>2</v>
      </c>
      <c r="CA776" s="5">
        <f t="shared" si="497"/>
        <v>0.1</v>
      </c>
      <c r="CB776" s="5">
        <f t="shared" si="498"/>
        <v>248.51596111111112</v>
      </c>
      <c r="CC776" s="5">
        <f t="shared" si="499"/>
        <v>24.851596111111114</v>
      </c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R776" s="3" t="b">
        <f t="shared" si="476"/>
        <v>1</v>
      </c>
      <c r="CS776" s="3" t="b">
        <f t="shared" si="477"/>
        <v>1</v>
      </c>
      <c r="CT776" s="3" t="b">
        <f t="shared" si="478"/>
        <v>1</v>
      </c>
      <c r="CU776" s="3" t="b">
        <f t="shared" si="479"/>
        <v>1</v>
      </c>
      <c r="CV776" s="3" t="b">
        <f t="shared" si="480"/>
        <v>1</v>
      </c>
      <c r="CW776" s="3" t="b">
        <f t="shared" si="481"/>
        <v>1</v>
      </c>
      <c r="CX776" s="9" t="str">
        <f t="shared" si="482"/>
        <v>5200133</v>
      </c>
      <c r="CY776" s="9" t="str">
        <f t="shared" si="483"/>
        <v>5200133</v>
      </c>
      <c r="CZ776" s="9" t="str">
        <f t="shared" si="484"/>
        <v>5201132</v>
      </c>
      <c r="DA776" s="9" t="str">
        <f t="shared" si="485"/>
        <v>5401133</v>
      </c>
      <c r="DB776" s="9" t="str">
        <f t="shared" si="486"/>
        <v>5402132</v>
      </c>
      <c r="DC776" s="9" t="str">
        <f t="shared" si="487"/>
        <v>5401133</v>
      </c>
      <c r="DD776" s="9">
        <v>13</v>
      </c>
      <c r="DE776" s="9">
        <v>13</v>
      </c>
      <c r="DF776" s="9">
        <v>13</v>
      </c>
      <c r="DG776" s="9">
        <v>13</v>
      </c>
      <c r="DH776" s="9">
        <v>13</v>
      </c>
      <c r="DI776" s="9">
        <v>13</v>
      </c>
      <c r="DJ776" s="9">
        <v>5</v>
      </c>
      <c r="DK776" s="9">
        <v>5</v>
      </c>
      <c r="DL776" s="9">
        <v>5</v>
      </c>
      <c r="DM776" s="9">
        <v>5</v>
      </c>
      <c r="DN776" s="9">
        <v>5</v>
      </c>
      <c r="DO776" s="9">
        <v>5</v>
      </c>
      <c r="DP776" s="25" t="s">
        <v>113</v>
      </c>
      <c r="DQ776" s="25" t="s">
        <v>113</v>
      </c>
      <c r="DR776" s="25" t="s">
        <v>114</v>
      </c>
      <c r="DS776" s="25" t="s">
        <v>211</v>
      </c>
      <c r="DT776" s="25" t="s">
        <v>203</v>
      </c>
      <c r="DU776" s="25" t="s">
        <v>211</v>
      </c>
      <c r="DV776" s="25">
        <f t="shared" si="488"/>
        <v>1</v>
      </c>
      <c r="DW776" s="25">
        <f t="shared" si="489"/>
        <v>1</v>
      </c>
      <c r="DX776" s="25">
        <f t="shared" si="490"/>
        <v>1</v>
      </c>
      <c r="DY776" s="25">
        <f t="shared" si="491"/>
        <v>2</v>
      </c>
      <c r="DZ776" s="25">
        <f t="shared" si="492"/>
        <v>2</v>
      </c>
      <c r="EA776" s="25">
        <f t="shared" si="493"/>
        <v>2</v>
      </c>
      <c r="EB776" s="50"/>
    </row>
    <row r="777" spans="1:132" ht="13.5" customHeight="1">
      <c r="A777" s="9">
        <v>774</v>
      </c>
      <c r="B777" s="9">
        <v>1</v>
      </c>
      <c r="C777" s="9">
        <v>2001</v>
      </c>
      <c r="D777" s="9">
        <f t="shared" si="466"/>
        <v>48319970</v>
      </c>
      <c r="E777" s="9" t="str">
        <f t="shared" si="467"/>
        <v>5201131,5201131,5201131,5502131,5502131,5502131</v>
      </c>
      <c r="F777" s="9" t="str">
        <f t="shared" si="468"/>
        <v>13,13,13,13,13,13</v>
      </c>
      <c r="G777" s="9" t="str">
        <f t="shared" si="469"/>
        <v>1614,1744,1744,1744,1744,1744</v>
      </c>
      <c r="H777" s="9">
        <v>349</v>
      </c>
      <c r="I777" s="9" t="s">
        <v>278</v>
      </c>
      <c r="J777" s="9" t="s">
        <v>279</v>
      </c>
      <c r="K777" s="9" t="s">
        <v>279</v>
      </c>
      <c r="L777" s="9" t="s">
        <v>279</v>
      </c>
      <c r="M777" s="36" t="s">
        <v>320</v>
      </c>
      <c r="O777" s="3">
        <f t="shared" si="494"/>
        <v>48319970</v>
      </c>
      <c r="P777" s="9">
        <v>36606037.630000003</v>
      </c>
      <c r="Q777" s="9">
        <v>5201131</v>
      </c>
      <c r="R777" s="9">
        <v>5201131</v>
      </c>
      <c r="S777" s="9">
        <v>5201131</v>
      </c>
      <c r="T777" s="9">
        <v>5502131</v>
      </c>
      <c r="U777" s="9">
        <v>5502131</v>
      </c>
      <c r="V777" s="9">
        <v>5502131</v>
      </c>
      <c r="W777" s="9">
        <v>13</v>
      </c>
      <c r="X777" s="9">
        <v>13</v>
      </c>
      <c r="Y777" s="9">
        <v>13</v>
      </c>
      <c r="Z777" s="9">
        <v>13</v>
      </c>
      <c r="AA777" s="9">
        <v>13</v>
      </c>
      <c r="AB777" s="9">
        <v>13</v>
      </c>
      <c r="AC777" s="9">
        <f t="shared" si="470"/>
        <v>1614</v>
      </c>
      <c r="AD777" s="9">
        <f t="shared" si="471"/>
        <v>1744</v>
      </c>
      <c r="AE777" s="9">
        <f t="shared" si="472"/>
        <v>1744</v>
      </c>
      <c r="AF777" s="9">
        <f t="shared" si="473"/>
        <v>1744</v>
      </c>
      <c r="AG777" s="9">
        <f t="shared" si="474"/>
        <v>1744</v>
      </c>
      <c r="AH777" s="9">
        <f t="shared" si="475"/>
        <v>1744</v>
      </c>
      <c r="AI777" s="7">
        <f t="shared" si="496"/>
        <v>6101006.2716666674</v>
      </c>
      <c r="AJ777" s="7">
        <f t="shared" si="495"/>
        <v>6101006.2716666674</v>
      </c>
      <c r="AK777" s="7">
        <f t="shared" si="495"/>
        <v>6101006.2716666674</v>
      </c>
      <c r="AL777" s="7">
        <f t="shared" si="495"/>
        <v>6101006.2716666674</v>
      </c>
      <c r="AM777" s="7">
        <f t="shared" si="495"/>
        <v>6101006.2716666674</v>
      </c>
      <c r="AN777" s="7">
        <f t="shared" si="495"/>
        <v>6101006.2716666674</v>
      </c>
      <c r="BR777" s="5">
        <v>5101065</v>
      </c>
      <c r="BS777" s="18">
        <f>[1]monsters!$N777</f>
        <v>204.8</v>
      </c>
      <c r="BT777" s="18">
        <f>[1]monsters!$O777</f>
        <v>20.48</v>
      </c>
      <c r="BU777" s="18">
        <f>[1]monsters!$P777</f>
        <v>2304</v>
      </c>
      <c r="BV777" s="18">
        <f>[1]monsters!$Q777</f>
        <v>230.4</v>
      </c>
      <c r="BW777" s="18">
        <f>[1]monsters!$R777</f>
        <v>68.27</v>
      </c>
      <c r="BX777" s="18">
        <f>[1]monsters!$S777</f>
        <v>6.83</v>
      </c>
      <c r="BY777" s="18">
        <f>[1]monsters!$K777</f>
        <v>1.6</v>
      </c>
      <c r="BZ777" s="5">
        <f>[1]monsters!$D777</f>
        <v>2</v>
      </c>
      <c r="CA777" s="5">
        <f t="shared" si="497"/>
        <v>0.1</v>
      </c>
      <c r="CB777" s="5">
        <f t="shared" si="498"/>
        <v>271.11175757575757</v>
      </c>
      <c r="CC777" s="5">
        <f t="shared" si="499"/>
        <v>27.111175757575758</v>
      </c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R777" s="3" t="b">
        <f t="shared" si="476"/>
        <v>1</v>
      </c>
      <c r="CS777" s="3" t="b">
        <f t="shared" si="477"/>
        <v>1</v>
      </c>
      <c r="CT777" s="3" t="b">
        <f t="shared" si="478"/>
        <v>1</v>
      </c>
      <c r="CU777" s="3" t="b">
        <f t="shared" si="479"/>
        <v>1</v>
      </c>
      <c r="CV777" s="3" t="b">
        <f t="shared" si="480"/>
        <v>1</v>
      </c>
      <c r="CW777" s="3" t="b">
        <f t="shared" si="481"/>
        <v>1</v>
      </c>
      <c r="CX777" s="9" t="str">
        <f t="shared" si="482"/>
        <v>5201131</v>
      </c>
      <c r="CY777" s="9" t="str">
        <f t="shared" si="483"/>
        <v>5201131</v>
      </c>
      <c r="CZ777" s="9" t="str">
        <f t="shared" si="484"/>
        <v>5201131</v>
      </c>
      <c r="DA777" s="9" t="str">
        <f t="shared" si="485"/>
        <v>5502131</v>
      </c>
      <c r="DB777" s="9" t="str">
        <f t="shared" si="486"/>
        <v>5502131</v>
      </c>
      <c r="DC777" s="9" t="str">
        <f t="shared" si="487"/>
        <v>5502131</v>
      </c>
      <c r="DD777" s="9">
        <v>13</v>
      </c>
      <c r="DE777" s="9">
        <v>13</v>
      </c>
      <c r="DF777" s="9">
        <v>13</v>
      </c>
      <c r="DG777" s="9">
        <v>13</v>
      </c>
      <c r="DH777" s="9">
        <v>13</v>
      </c>
      <c r="DI777" s="9">
        <v>13</v>
      </c>
      <c r="DJ777" s="9">
        <v>5</v>
      </c>
      <c r="DK777" s="9">
        <v>5</v>
      </c>
      <c r="DL777" s="9">
        <v>5</v>
      </c>
      <c r="DM777" s="9">
        <v>5</v>
      </c>
      <c r="DN777" s="9">
        <v>5</v>
      </c>
      <c r="DO777" s="9">
        <v>5</v>
      </c>
      <c r="DP777" s="25" t="s">
        <v>195</v>
      </c>
      <c r="DQ777" s="25" t="s">
        <v>195</v>
      </c>
      <c r="DR777" s="25" t="s">
        <v>195</v>
      </c>
      <c r="DS777" s="25" t="s">
        <v>119</v>
      </c>
      <c r="DT777" s="25" t="s">
        <v>119</v>
      </c>
      <c r="DU777" s="25" t="s">
        <v>119</v>
      </c>
      <c r="DV777" s="25">
        <f t="shared" si="488"/>
        <v>1</v>
      </c>
      <c r="DW777" s="25">
        <f t="shared" si="489"/>
        <v>1</v>
      </c>
      <c r="DX777" s="25">
        <f t="shared" si="490"/>
        <v>1</v>
      </c>
      <c r="DY777" s="25">
        <f t="shared" si="491"/>
        <v>2</v>
      </c>
      <c r="DZ777" s="25">
        <f t="shared" si="492"/>
        <v>2</v>
      </c>
      <c r="EA777" s="25">
        <f t="shared" si="493"/>
        <v>2</v>
      </c>
      <c r="EB777" s="50"/>
    </row>
    <row r="778" spans="1:132" ht="13.5" customHeight="1">
      <c r="A778" s="9">
        <v>775</v>
      </c>
      <c r="B778" s="9">
        <v>1</v>
      </c>
      <c r="C778" s="9">
        <v>2001</v>
      </c>
      <c r="D778" s="9">
        <f t="shared" si="466"/>
        <v>48427300</v>
      </c>
      <c r="E778" s="9" t="str">
        <f t="shared" si="467"/>
        <v>5202133,5201133,5302134,5501134,5501135,5500132</v>
      </c>
      <c r="F778" s="9" t="str">
        <f t="shared" si="468"/>
        <v>13,13,13,13,13,13</v>
      </c>
      <c r="G778" s="9" t="str">
        <f t="shared" si="469"/>
        <v>1616,1746,1746,1746,1746,1746</v>
      </c>
      <c r="H778" s="9">
        <v>350</v>
      </c>
      <c r="I778" s="9" t="s">
        <v>278</v>
      </c>
      <c r="J778" s="9" t="s">
        <v>279</v>
      </c>
      <c r="K778" s="9" t="s">
        <v>279</v>
      </c>
      <c r="L778" s="9" t="s">
        <v>279</v>
      </c>
      <c r="M778" s="36" t="s">
        <v>320</v>
      </c>
      <c r="O778" s="3">
        <f t="shared" si="494"/>
        <v>48427300</v>
      </c>
      <c r="P778" s="9">
        <v>36687348.590000004</v>
      </c>
      <c r="Q778" s="9">
        <v>5202133</v>
      </c>
      <c r="R778" s="9">
        <v>5201133</v>
      </c>
      <c r="S778" s="9">
        <v>5302134</v>
      </c>
      <c r="T778" s="9">
        <v>5501134</v>
      </c>
      <c r="U778" s="9">
        <v>5501135</v>
      </c>
      <c r="V778" s="9">
        <v>5500132</v>
      </c>
      <c r="W778" s="9">
        <v>13</v>
      </c>
      <c r="X778" s="9">
        <v>13</v>
      </c>
      <c r="Y778" s="9">
        <v>13</v>
      </c>
      <c r="Z778" s="9">
        <v>13</v>
      </c>
      <c r="AA778" s="9">
        <v>13</v>
      </c>
      <c r="AB778" s="9">
        <v>13</v>
      </c>
      <c r="AC778" s="9">
        <f t="shared" si="470"/>
        <v>1616</v>
      </c>
      <c r="AD778" s="9">
        <f t="shared" si="471"/>
        <v>1746</v>
      </c>
      <c r="AE778" s="9">
        <f t="shared" si="472"/>
        <v>1746</v>
      </c>
      <c r="AF778" s="9">
        <f t="shared" si="473"/>
        <v>1746</v>
      </c>
      <c r="AG778" s="9">
        <f t="shared" si="474"/>
        <v>1746</v>
      </c>
      <c r="AH778" s="9">
        <f t="shared" si="475"/>
        <v>1746</v>
      </c>
      <c r="AI778" s="7">
        <f t="shared" si="496"/>
        <v>6114558.0983333336</v>
      </c>
      <c r="AJ778" s="7">
        <f t="shared" si="495"/>
        <v>6114558.0983333336</v>
      </c>
      <c r="AK778" s="7">
        <f t="shared" si="495"/>
        <v>6114558.0983333336</v>
      </c>
      <c r="AL778" s="7">
        <f t="shared" si="495"/>
        <v>6114558.0983333336</v>
      </c>
      <c r="AM778" s="7">
        <f t="shared" si="495"/>
        <v>6114558.0983333336</v>
      </c>
      <c r="AN778" s="7">
        <f t="shared" si="495"/>
        <v>6114558.0983333336</v>
      </c>
      <c r="BR778" s="5">
        <v>5102065</v>
      </c>
      <c r="BS778" s="18">
        <f>[1]monsters!$N778</f>
        <v>204.8</v>
      </c>
      <c r="BT778" s="18">
        <f>[1]monsters!$O778</f>
        <v>20.48</v>
      </c>
      <c r="BU778" s="18">
        <f>[1]monsters!$P778</f>
        <v>2304</v>
      </c>
      <c r="BV778" s="18">
        <f>[1]monsters!$Q778</f>
        <v>230.4</v>
      </c>
      <c r="BW778" s="18">
        <f>[1]monsters!$R778</f>
        <v>68.27</v>
      </c>
      <c r="BX778" s="18">
        <f>[1]monsters!$S778</f>
        <v>6.83</v>
      </c>
      <c r="BY778" s="18">
        <f>[1]monsters!$K778</f>
        <v>1.6</v>
      </c>
      <c r="BZ778" s="5">
        <f>[1]monsters!$D778</f>
        <v>2</v>
      </c>
      <c r="CA778" s="5">
        <f t="shared" si="497"/>
        <v>0.1</v>
      </c>
      <c r="CB778" s="5">
        <f t="shared" si="498"/>
        <v>271.11175757575757</v>
      </c>
      <c r="CC778" s="5">
        <f t="shared" si="499"/>
        <v>27.111175757575758</v>
      </c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R778" s="3" t="b">
        <f t="shared" si="476"/>
        <v>1</v>
      </c>
      <c r="CS778" s="3" t="b">
        <f t="shared" si="477"/>
        <v>1</v>
      </c>
      <c r="CT778" s="3" t="b">
        <f t="shared" si="478"/>
        <v>1</v>
      </c>
      <c r="CU778" s="3" t="b">
        <f t="shared" si="479"/>
        <v>1</v>
      </c>
      <c r="CV778" s="3" t="b">
        <f t="shared" si="480"/>
        <v>1</v>
      </c>
      <c r="CW778" s="3" t="b">
        <f t="shared" si="481"/>
        <v>1</v>
      </c>
      <c r="CX778" s="9" t="str">
        <f t="shared" si="482"/>
        <v>5202133</v>
      </c>
      <c r="CY778" s="9" t="str">
        <f t="shared" si="483"/>
        <v>5201133</v>
      </c>
      <c r="CZ778" s="9" t="str">
        <f t="shared" si="484"/>
        <v>5302134</v>
      </c>
      <c r="DA778" s="9" t="str">
        <f t="shared" si="485"/>
        <v>5501134</v>
      </c>
      <c r="DB778" s="9" t="str">
        <f t="shared" si="486"/>
        <v>5501135</v>
      </c>
      <c r="DC778" s="9" t="str">
        <f t="shared" si="487"/>
        <v>5500132</v>
      </c>
      <c r="DD778" s="9">
        <v>13</v>
      </c>
      <c r="DE778" s="9">
        <v>13</v>
      </c>
      <c r="DF778" s="9">
        <v>13</v>
      </c>
      <c r="DG778" s="9">
        <v>13</v>
      </c>
      <c r="DH778" s="9">
        <v>13</v>
      </c>
      <c r="DI778" s="9">
        <v>13</v>
      </c>
      <c r="DJ778" s="9">
        <v>5</v>
      </c>
      <c r="DK778" s="9">
        <v>5</v>
      </c>
      <c r="DL778" s="9">
        <v>5</v>
      </c>
      <c r="DM778" s="9">
        <v>5</v>
      </c>
      <c r="DN778" s="9">
        <v>5</v>
      </c>
      <c r="DO778" s="9">
        <v>5</v>
      </c>
      <c r="DP778" s="25" t="s">
        <v>208</v>
      </c>
      <c r="DQ778" s="25" t="s">
        <v>205</v>
      </c>
      <c r="DR778" s="25" t="s">
        <v>218</v>
      </c>
      <c r="DS778" s="25" t="s">
        <v>214</v>
      </c>
      <c r="DT778" s="25" t="s">
        <v>209</v>
      </c>
      <c r="DU778" s="25" t="s">
        <v>109</v>
      </c>
      <c r="DV778" s="25">
        <f t="shared" si="488"/>
        <v>1</v>
      </c>
      <c r="DW778" s="25">
        <f t="shared" si="489"/>
        <v>1</v>
      </c>
      <c r="DX778" s="25">
        <f t="shared" si="490"/>
        <v>1</v>
      </c>
      <c r="DY778" s="25">
        <f t="shared" si="491"/>
        <v>2</v>
      </c>
      <c r="DZ778" s="25">
        <f t="shared" si="492"/>
        <v>2</v>
      </c>
      <c r="EA778" s="25">
        <f t="shared" si="493"/>
        <v>2</v>
      </c>
      <c r="EB778" s="50"/>
    </row>
    <row r="779" spans="1:132" ht="13.5" customHeight="1">
      <c r="A779" s="9">
        <v>776</v>
      </c>
      <c r="B779" s="9">
        <v>1</v>
      </c>
      <c r="C779" s="9">
        <v>2001</v>
      </c>
      <c r="D779" s="9">
        <f t="shared" si="466"/>
        <v>48534748</v>
      </c>
      <c r="E779" s="9" t="str">
        <f t="shared" si="467"/>
        <v>5201133,5202135,5200131,5501134,5402132,5400135</v>
      </c>
      <c r="F779" s="9" t="str">
        <f t="shared" si="468"/>
        <v>13,13,13,13,13,13</v>
      </c>
      <c r="G779" s="9" t="str">
        <f t="shared" si="469"/>
        <v>1618,1748,1748,1748,1748,1748</v>
      </c>
      <c r="H779" s="9">
        <v>350</v>
      </c>
      <c r="I779" s="9" t="s">
        <v>278</v>
      </c>
      <c r="J779" s="9" t="s">
        <v>279</v>
      </c>
      <c r="K779" s="9" t="s">
        <v>279</v>
      </c>
      <c r="L779" s="9" t="s">
        <v>279</v>
      </c>
      <c r="M779" s="36" t="s">
        <v>320</v>
      </c>
      <c r="O779" s="3">
        <f t="shared" si="494"/>
        <v>48534748</v>
      </c>
      <c r="P779" s="9">
        <v>36768748.170000002</v>
      </c>
      <c r="Q779" s="9">
        <v>5201133</v>
      </c>
      <c r="R779" s="9">
        <v>5202135</v>
      </c>
      <c r="S779" s="9">
        <v>5200131</v>
      </c>
      <c r="T779" s="9">
        <v>5501134</v>
      </c>
      <c r="U779" s="9">
        <v>5402132</v>
      </c>
      <c r="V779" s="9">
        <v>5400135</v>
      </c>
      <c r="W779" s="9">
        <v>13</v>
      </c>
      <c r="X779" s="9">
        <v>13</v>
      </c>
      <c r="Y779" s="9">
        <v>13</v>
      </c>
      <c r="Z779" s="9">
        <v>13</v>
      </c>
      <c r="AA779" s="9">
        <v>13</v>
      </c>
      <c r="AB779" s="9">
        <v>13</v>
      </c>
      <c r="AC779" s="9">
        <f t="shared" si="470"/>
        <v>1618</v>
      </c>
      <c r="AD779" s="9">
        <f t="shared" si="471"/>
        <v>1748</v>
      </c>
      <c r="AE779" s="9">
        <f t="shared" si="472"/>
        <v>1748</v>
      </c>
      <c r="AF779" s="9">
        <f t="shared" si="473"/>
        <v>1748</v>
      </c>
      <c r="AG779" s="9">
        <f t="shared" si="474"/>
        <v>1748</v>
      </c>
      <c r="AH779" s="9">
        <f t="shared" si="475"/>
        <v>1748</v>
      </c>
      <c r="AI779" s="7">
        <f t="shared" si="496"/>
        <v>6128124.6950000003</v>
      </c>
      <c r="AJ779" s="7">
        <f t="shared" si="495"/>
        <v>6128124.6950000003</v>
      </c>
      <c r="AK779" s="7">
        <f t="shared" si="495"/>
        <v>6128124.6950000003</v>
      </c>
      <c r="AL779" s="7">
        <f t="shared" si="495"/>
        <v>6128124.6950000003</v>
      </c>
      <c r="AM779" s="7">
        <f t="shared" si="495"/>
        <v>6128124.6950000003</v>
      </c>
      <c r="AN779" s="7">
        <f t="shared" si="495"/>
        <v>6128124.6950000003</v>
      </c>
      <c r="BR779" s="5">
        <v>5206071</v>
      </c>
      <c r="BS779" s="18">
        <f>[1]monsters!$N779</f>
        <v>204.8</v>
      </c>
      <c r="BT779" s="18">
        <f>[1]monsters!$O779</f>
        <v>20.48</v>
      </c>
      <c r="BU779" s="18">
        <f>[1]monsters!$P779</f>
        <v>2304</v>
      </c>
      <c r="BV779" s="18">
        <f>[1]monsters!$Q779</f>
        <v>230.4</v>
      </c>
      <c r="BW779" s="18">
        <f>[1]monsters!$R779</f>
        <v>68.27</v>
      </c>
      <c r="BX779" s="18">
        <f>[1]monsters!$S779</f>
        <v>6.83</v>
      </c>
      <c r="BY779" s="18">
        <f>[1]monsters!$K779</f>
        <v>1.6</v>
      </c>
      <c r="BZ779" s="5">
        <f>[1]monsters!$D779</f>
        <v>2</v>
      </c>
      <c r="CA779" s="5">
        <f t="shared" si="497"/>
        <v>0.1</v>
      </c>
      <c r="CB779" s="5">
        <f t="shared" si="498"/>
        <v>271.11175757575757</v>
      </c>
      <c r="CC779" s="5">
        <f t="shared" si="499"/>
        <v>27.111175757575758</v>
      </c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R779" s="3" t="b">
        <f t="shared" si="476"/>
        <v>1</v>
      </c>
      <c r="CS779" s="3" t="b">
        <f t="shared" si="477"/>
        <v>1</v>
      </c>
      <c r="CT779" s="3" t="b">
        <f t="shared" si="478"/>
        <v>1</v>
      </c>
      <c r="CU779" s="3" t="b">
        <f t="shared" si="479"/>
        <v>1</v>
      </c>
      <c r="CV779" s="3" t="b">
        <f t="shared" si="480"/>
        <v>1</v>
      </c>
      <c r="CW779" s="3" t="b">
        <f t="shared" si="481"/>
        <v>1</v>
      </c>
      <c r="CX779" s="9" t="str">
        <f t="shared" si="482"/>
        <v>5201133</v>
      </c>
      <c r="CY779" s="9" t="str">
        <f t="shared" si="483"/>
        <v>5202135</v>
      </c>
      <c r="CZ779" s="9" t="str">
        <f t="shared" si="484"/>
        <v>5200131</v>
      </c>
      <c r="DA779" s="9" t="str">
        <f t="shared" si="485"/>
        <v>5501134</v>
      </c>
      <c r="DB779" s="9" t="str">
        <f t="shared" si="486"/>
        <v>5402132</v>
      </c>
      <c r="DC779" s="9" t="str">
        <f t="shared" si="487"/>
        <v>5400135</v>
      </c>
      <c r="DD779" s="9">
        <v>13</v>
      </c>
      <c r="DE779" s="9">
        <v>13</v>
      </c>
      <c r="DF779" s="9">
        <v>13</v>
      </c>
      <c r="DG779" s="9">
        <v>13</v>
      </c>
      <c r="DH779" s="9">
        <v>13</v>
      </c>
      <c r="DI779" s="9">
        <v>13</v>
      </c>
      <c r="DJ779" s="9">
        <v>5</v>
      </c>
      <c r="DK779" s="9">
        <v>5</v>
      </c>
      <c r="DL779" s="9">
        <v>5</v>
      </c>
      <c r="DM779" s="9">
        <v>5</v>
      </c>
      <c r="DN779" s="9">
        <v>5</v>
      </c>
      <c r="DO779" s="9">
        <v>5</v>
      </c>
      <c r="DP779" s="25" t="s">
        <v>205</v>
      </c>
      <c r="DQ779" s="25" t="s">
        <v>213</v>
      </c>
      <c r="DR779" s="25" t="s">
        <v>194</v>
      </c>
      <c r="DS779" s="25" t="s">
        <v>214</v>
      </c>
      <c r="DT779" s="25" t="s">
        <v>203</v>
      </c>
      <c r="DU779" s="25" t="s">
        <v>210</v>
      </c>
      <c r="DV779" s="25">
        <f t="shared" si="488"/>
        <v>1</v>
      </c>
      <c r="DW779" s="25">
        <f t="shared" si="489"/>
        <v>1</v>
      </c>
      <c r="DX779" s="25">
        <f t="shared" si="490"/>
        <v>1</v>
      </c>
      <c r="DY779" s="25">
        <f t="shared" si="491"/>
        <v>2</v>
      </c>
      <c r="DZ779" s="25">
        <f t="shared" si="492"/>
        <v>2</v>
      </c>
      <c r="EA779" s="25">
        <f t="shared" si="493"/>
        <v>2</v>
      </c>
      <c r="EB779" s="45"/>
    </row>
    <row r="780" spans="1:132" ht="13.5" customHeight="1">
      <c r="A780" s="9">
        <v>777</v>
      </c>
      <c r="B780" s="9">
        <v>1</v>
      </c>
      <c r="C780" s="9">
        <v>2001</v>
      </c>
      <c r="D780" s="9">
        <f t="shared" si="466"/>
        <v>48642318</v>
      </c>
      <c r="E780" s="9" t="str">
        <f t="shared" si="467"/>
        <v>5302135,5202135,5202133,5401133,5400135,5400135</v>
      </c>
      <c r="F780" s="9" t="str">
        <f t="shared" si="468"/>
        <v>13,13,13,13,13,13</v>
      </c>
      <c r="G780" s="9" t="str">
        <f t="shared" si="469"/>
        <v>1619,1750,1750,1750,1750,1750</v>
      </c>
      <c r="H780" s="9">
        <v>350</v>
      </c>
      <c r="I780" s="9" t="s">
        <v>278</v>
      </c>
      <c r="J780" s="9" t="s">
        <v>279</v>
      </c>
      <c r="K780" s="9" t="s">
        <v>279</v>
      </c>
      <c r="L780" s="9" t="s">
        <v>279</v>
      </c>
      <c r="M780" s="36" t="s">
        <v>320</v>
      </c>
      <c r="O780" s="3">
        <f t="shared" si="494"/>
        <v>48642318</v>
      </c>
      <c r="P780" s="9">
        <v>36850240.590000004</v>
      </c>
      <c r="Q780" s="9">
        <v>5302135</v>
      </c>
      <c r="R780" s="9">
        <v>5202135</v>
      </c>
      <c r="S780" s="9">
        <v>5202133</v>
      </c>
      <c r="T780" s="9">
        <v>5401133</v>
      </c>
      <c r="U780" s="9">
        <v>5400135</v>
      </c>
      <c r="V780" s="9">
        <v>5400135</v>
      </c>
      <c r="W780" s="9">
        <v>13</v>
      </c>
      <c r="X780" s="9">
        <v>13</v>
      </c>
      <c r="Y780" s="9">
        <v>13</v>
      </c>
      <c r="Z780" s="9">
        <v>13</v>
      </c>
      <c r="AA780" s="9">
        <v>13</v>
      </c>
      <c r="AB780" s="9">
        <v>13</v>
      </c>
      <c r="AC780" s="9">
        <f t="shared" si="470"/>
        <v>1619</v>
      </c>
      <c r="AD780" s="9">
        <f t="shared" si="471"/>
        <v>1750</v>
      </c>
      <c r="AE780" s="9">
        <f t="shared" si="472"/>
        <v>1750</v>
      </c>
      <c r="AF780" s="9">
        <f t="shared" si="473"/>
        <v>1750</v>
      </c>
      <c r="AG780" s="9">
        <f t="shared" si="474"/>
        <v>1750</v>
      </c>
      <c r="AH780" s="9">
        <f t="shared" si="475"/>
        <v>1750</v>
      </c>
      <c r="AI780" s="7">
        <f t="shared" si="496"/>
        <v>6141706.7650000006</v>
      </c>
      <c r="AJ780" s="7">
        <f t="shared" si="495"/>
        <v>6141706.7650000006</v>
      </c>
      <c r="AK780" s="7">
        <f t="shared" si="495"/>
        <v>6141706.7650000006</v>
      </c>
      <c r="AL780" s="7">
        <f t="shared" si="495"/>
        <v>6141706.7650000006</v>
      </c>
      <c r="AM780" s="7">
        <f t="shared" si="495"/>
        <v>6141706.7650000006</v>
      </c>
      <c r="AN780" s="7">
        <f t="shared" si="495"/>
        <v>6141706.7650000006</v>
      </c>
      <c r="BR780" s="5">
        <v>5406071</v>
      </c>
      <c r="BS780" s="18">
        <f>[1]monsters!$N780</f>
        <v>204.8</v>
      </c>
      <c r="BT780" s="18">
        <f>[1]monsters!$O780</f>
        <v>20.48</v>
      </c>
      <c r="BU780" s="18">
        <f>[1]monsters!$P780</f>
        <v>2304</v>
      </c>
      <c r="BV780" s="18">
        <f>[1]monsters!$Q780</f>
        <v>230.4</v>
      </c>
      <c r="BW780" s="18">
        <f>[1]monsters!$R780</f>
        <v>68.27</v>
      </c>
      <c r="BX780" s="18">
        <f>[1]monsters!$S780</f>
        <v>6.83</v>
      </c>
      <c r="BY780" s="18">
        <f>[1]monsters!$K780</f>
        <v>1.6</v>
      </c>
      <c r="BZ780" s="5">
        <f>[1]monsters!$D780</f>
        <v>2</v>
      </c>
      <c r="CA780" s="5">
        <f t="shared" si="497"/>
        <v>0.1</v>
      </c>
      <c r="CB780" s="5">
        <f t="shared" si="498"/>
        <v>271.11175757575757</v>
      </c>
      <c r="CC780" s="5">
        <f t="shared" si="499"/>
        <v>27.111175757575758</v>
      </c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R780" s="3" t="b">
        <f t="shared" si="476"/>
        <v>1</v>
      </c>
      <c r="CS780" s="3" t="b">
        <f t="shared" si="477"/>
        <v>1</v>
      </c>
      <c r="CT780" s="3" t="b">
        <f t="shared" si="478"/>
        <v>1</v>
      </c>
      <c r="CU780" s="3" t="b">
        <f t="shared" si="479"/>
        <v>1</v>
      </c>
      <c r="CV780" s="3" t="b">
        <f t="shared" si="480"/>
        <v>1</v>
      </c>
      <c r="CW780" s="3" t="b">
        <f t="shared" si="481"/>
        <v>1</v>
      </c>
      <c r="CX780" s="9" t="str">
        <f t="shared" si="482"/>
        <v>5302135</v>
      </c>
      <c r="CY780" s="9" t="str">
        <f t="shared" si="483"/>
        <v>5202135</v>
      </c>
      <c r="CZ780" s="9" t="str">
        <f t="shared" si="484"/>
        <v>5202133</v>
      </c>
      <c r="DA780" s="9" t="str">
        <f t="shared" si="485"/>
        <v>5401133</v>
      </c>
      <c r="DB780" s="9" t="str">
        <f t="shared" si="486"/>
        <v>5400135</v>
      </c>
      <c r="DC780" s="9" t="str">
        <f t="shared" si="487"/>
        <v>5400135</v>
      </c>
      <c r="DD780" s="9">
        <v>13</v>
      </c>
      <c r="DE780" s="9">
        <v>13</v>
      </c>
      <c r="DF780" s="9">
        <v>13</v>
      </c>
      <c r="DG780" s="9">
        <v>13</v>
      </c>
      <c r="DH780" s="9">
        <v>13</v>
      </c>
      <c r="DI780" s="9">
        <v>13</v>
      </c>
      <c r="DJ780" s="9">
        <v>5</v>
      </c>
      <c r="DK780" s="9">
        <v>5</v>
      </c>
      <c r="DL780" s="9">
        <v>5</v>
      </c>
      <c r="DM780" s="9">
        <v>5</v>
      </c>
      <c r="DN780" s="9">
        <v>5</v>
      </c>
      <c r="DO780" s="9">
        <v>5</v>
      </c>
      <c r="DP780" s="25" t="s">
        <v>221</v>
      </c>
      <c r="DQ780" s="25" t="s">
        <v>213</v>
      </c>
      <c r="DR780" s="25" t="s">
        <v>208</v>
      </c>
      <c r="DS780" s="25" t="s">
        <v>211</v>
      </c>
      <c r="DT780" s="25" t="s">
        <v>210</v>
      </c>
      <c r="DU780" s="25" t="s">
        <v>210</v>
      </c>
      <c r="DV780" s="25">
        <f t="shared" si="488"/>
        <v>1</v>
      </c>
      <c r="DW780" s="25">
        <f t="shared" si="489"/>
        <v>1</v>
      </c>
      <c r="DX780" s="25">
        <f t="shared" si="490"/>
        <v>1</v>
      </c>
      <c r="DY780" s="25">
        <f t="shared" si="491"/>
        <v>2</v>
      </c>
      <c r="DZ780" s="25">
        <f t="shared" si="492"/>
        <v>2</v>
      </c>
      <c r="EA780" s="25">
        <f t="shared" si="493"/>
        <v>2</v>
      </c>
      <c r="EB780" s="45"/>
    </row>
    <row r="781" spans="1:132" ht="13.5" customHeight="1">
      <c r="A781" s="9">
        <v>778</v>
      </c>
      <c r="B781" s="9">
        <v>1</v>
      </c>
      <c r="C781" s="9">
        <v>2001</v>
      </c>
      <c r="D781" s="9">
        <f t="shared" si="466"/>
        <v>48750007</v>
      </c>
      <c r="E781" s="9" t="str">
        <f t="shared" si="467"/>
        <v>5202132,5202132,5301132,5502132,5500131,5502131</v>
      </c>
      <c r="F781" s="9" t="str">
        <f t="shared" si="468"/>
        <v>13,13,13,13,13,13</v>
      </c>
      <c r="G781" s="9" t="str">
        <f t="shared" si="469"/>
        <v>1621,1752,1752,1752,1752,1752</v>
      </c>
      <c r="H781" s="9">
        <v>351</v>
      </c>
      <c r="I781" s="9" t="s">
        <v>278</v>
      </c>
      <c r="J781" s="9" t="s">
        <v>279</v>
      </c>
      <c r="K781" s="9" t="s">
        <v>279</v>
      </c>
      <c r="L781" s="9" t="s">
        <v>279</v>
      </c>
      <c r="M781" s="36" t="s">
        <v>320</v>
      </c>
      <c r="O781" s="3">
        <f t="shared" si="494"/>
        <v>48750007</v>
      </c>
      <c r="P781" s="9">
        <v>36931823.740000002</v>
      </c>
      <c r="Q781" s="9">
        <v>5202132</v>
      </c>
      <c r="R781" s="9">
        <v>5202132</v>
      </c>
      <c r="S781" s="9">
        <v>5301132</v>
      </c>
      <c r="T781" s="9">
        <v>5502132</v>
      </c>
      <c r="U781" s="9">
        <v>5500131</v>
      </c>
      <c r="V781" s="9">
        <v>5502131</v>
      </c>
      <c r="W781" s="9">
        <v>13</v>
      </c>
      <c r="X781" s="9">
        <v>13</v>
      </c>
      <c r="Y781" s="9">
        <v>13</v>
      </c>
      <c r="Z781" s="9">
        <v>13</v>
      </c>
      <c r="AA781" s="9">
        <v>13</v>
      </c>
      <c r="AB781" s="9">
        <v>13</v>
      </c>
      <c r="AC781" s="9">
        <f t="shared" si="470"/>
        <v>1621</v>
      </c>
      <c r="AD781" s="9">
        <f t="shared" si="471"/>
        <v>1752</v>
      </c>
      <c r="AE781" s="9">
        <f t="shared" si="472"/>
        <v>1752</v>
      </c>
      <c r="AF781" s="9">
        <f t="shared" si="473"/>
        <v>1752</v>
      </c>
      <c r="AG781" s="9">
        <f t="shared" si="474"/>
        <v>1752</v>
      </c>
      <c r="AH781" s="9">
        <f t="shared" si="475"/>
        <v>1752</v>
      </c>
      <c r="AI781" s="7">
        <f t="shared" si="496"/>
        <v>6155303.956666667</v>
      </c>
      <c r="AJ781" s="7">
        <f t="shared" si="495"/>
        <v>6155303.956666667</v>
      </c>
      <c r="AK781" s="7">
        <f t="shared" si="495"/>
        <v>6155303.956666667</v>
      </c>
      <c r="AL781" s="7">
        <f t="shared" si="495"/>
        <v>6155303.956666667</v>
      </c>
      <c r="AM781" s="7">
        <f t="shared" si="495"/>
        <v>6155303.956666667</v>
      </c>
      <c r="AN781" s="7">
        <f t="shared" si="495"/>
        <v>6155303.956666667</v>
      </c>
      <c r="BR781" s="5">
        <v>5205071</v>
      </c>
      <c r="BS781" s="18">
        <f>[1]monsters!$N781</f>
        <v>204.8</v>
      </c>
      <c r="BT781" s="18">
        <f>[1]monsters!$O781</f>
        <v>20.48</v>
      </c>
      <c r="BU781" s="18">
        <f>[1]monsters!$P781</f>
        <v>2304</v>
      </c>
      <c r="BV781" s="18">
        <f>[1]monsters!$Q781</f>
        <v>230.4</v>
      </c>
      <c r="BW781" s="18">
        <f>[1]monsters!$R781</f>
        <v>68.27</v>
      </c>
      <c r="BX781" s="18">
        <f>[1]monsters!$S781</f>
        <v>6.83</v>
      </c>
      <c r="BY781" s="18">
        <f>[1]monsters!$K781</f>
        <v>1.6</v>
      </c>
      <c r="BZ781" s="5">
        <f>[1]monsters!$D781</f>
        <v>2</v>
      </c>
      <c r="CA781" s="5">
        <f t="shared" si="497"/>
        <v>0.1</v>
      </c>
      <c r="CB781" s="5">
        <f t="shared" si="498"/>
        <v>271.11175757575757</v>
      </c>
      <c r="CC781" s="5">
        <f t="shared" si="499"/>
        <v>27.111175757575758</v>
      </c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R781" s="3" t="b">
        <f t="shared" si="476"/>
        <v>1</v>
      </c>
      <c r="CS781" s="3" t="b">
        <f t="shared" si="477"/>
        <v>1</v>
      </c>
      <c r="CT781" s="3" t="b">
        <f t="shared" si="478"/>
        <v>1</v>
      </c>
      <c r="CU781" s="3" t="b">
        <f t="shared" si="479"/>
        <v>1</v>
      </c>
      <c r="CV781" s="3" t="b">
        <f t="shared" si="480"/>
        <v>1</v>
      </c>
      <c r="CW781" s="3" t="b">
        <f t="shared" si="481"/>
        <v>1</v>
      </c>
      <c r="CX781" s="9" t="str">
        <f t="shared" si="482"/>
        <v>5202132</v>
      </c>
      <c r="CY781" s="9" t="str">
        <f t="shared" si="483"/>
        <v>5202132</v>
      </c>
      <c r="CZ781" s="9" t="str">
        <f t="shared" si="484"/>
        <v>5301132</v>
      </c>
      <c r="DA781" s="9" t="str">
        <f t="shared" si="485"/>
        <v>5502132</v>
      </c>
      <c r="DB781" s="9" t="str">
        <f t="shared" si="486"/>
        <v>5500131</v>
      </c>
      <c r="DC781" s="9" t="str">
        <f t="shared" si="487"/>
        <v>5502131</v>
      </c>
      <c r="DD781" s="9">
        <v>13</v>
      </c>
      <c r="DE781" s="9">
        <v>13</v>
      </c>
      <c r="DF781" s="9">
        <v>13</v>
      </c>
      <c r="DG781" s="9">
        <v>13</v>
      </c>
      <c r="DH781" s="9">
        <v>13</v>
      </c>
      <c r="DI781" s="9">
        <v>13</v>
      </c>
      <c r="DJ781" s="9">
        <v>5</v>
      </c>
      <c r="DK781" s="9">
        <v>5</v>
      </c>
      <c r="DL781" s="9">
        <v>5</v>
      </c>
      <c r="DM781" s="9">
        <v>5</v>
      </c>
      <c r="DN781" s="9">
        <v>5</v>
      </c>
      <c r="DO781" s="9">
        <v>5</v>
      </c>
      <c r="DP781" s="25" t="s">
        <v>200</v>
      </c>
      <c r="DQ781" s="25" t="s">
        <v>200</v>
      </c>
      <c r="DR781" s="25" t="s">
        <v>201</v>
      </c>
      <c r="DS781" s="25" t="s">
        <v>204</v>
      </c>
      <c r="DT781" s="25" t="s">
        <v>197</v>
      </c>
      <c r="DU781" s="25" t="s">
        <v>119</v>
      </c>
      <c r="DV781" s="25">
        <f t="shared" si="488"/>
        <v>1</v>
      </c>
      <c r="DW781" s="25">
        <f t="shared" si="489"/>
        <v>1</v>
      </c>
      <c r="DX781" s="25">
        <f t="shared" si="490"/>
        <v>1</v>
      </c>
      <c r="DY781" s="25">
        <f t="shared" si="491"/>
        <v>2</v>
      </c>
      <c r="DZ781" s="25">
        <f t="shared" si="492"/>
        <v>2</v>
      </c>
      <c r="EA781" s="25">
        <f t="shared" si="493"/>
        <v>2</v>
      </c>
      <c r="EB781" s="45"/>
    </row>
    <row r="782" spans="1:132" ht="13.5" customHeight="1">
      <c r="A782" s="9">
        <v>779</v>
      </c>
      <c r="B782" s="9">
        <v>1</v>
      </c>
      <c r="C782" s="9">
        <v>2001</v>
      </c>
      <c r="D782" s="9">
        <f t="shared" si="466"/>
        <v>48857817</v>
      </c>
      <c r="E782" s="9" t="str">
        <f t="shared" si="467"/>
        <v>5202133,5201133,5302134,5400135,5601131,5400135</v>
      </c>
      <c r="F782" s="9" t="str">
        <f t="shared" si="468"/>
        <v>13,13,13,13,13,13</v>
      </c>
      <c r="G782" s="9" t="str">
        <f t="shared" si="469"/>
        <v>1623,1754,1754,1754,1754,1754</v>
      </c>
      <c r="H782" s="9">
        <v>351</v>
      </c>
      <c r="I782" s="9" t="s">
        <v>278</v>
      </c>
      <c r="J782" s="9" t="s">
        <v>279</v>
      </c>
      <c r="K782" s="9" t="s">
        <v>279</v>
      </c>
      <c r="L782" s="9" t="s">
        <v>279</v>
      </c>
      <c r="M782" s="36" t="s">
        <v>320</v>
      </c>
      <c r="O782" s="3">
        <f t="shared" si="494"/>
        <v>48857817</v>
      </c>
      <c r="P782" s="9">
        <v>37013497.619999997</v>
      </c>
      <c r="Q782" s="9">
        <v>5202133</v>
      </c>
      <c r="R782" s="9">
        <v>5201133</v>
      </c>
      <c r="S782" s="9">
        <v>5302134</v>
      </c>
      <c r="T782" s="9">
        <v>5400135</v>
      </c>
      <c r="U782" s="9">
        <v>5601131</v>
      </c>
      <c r="V782" s="9">
        <v>5400135</v>
      </c>
      <c r="W782" s="9">
        <v>13</v>
      </c>
      <c r="X782" s="9">
        <v>13</v>
      </c>
      <c r="Y782" s="9">
        <v>13</v>
      </c>
      <c r="Z782" s="9">
        <v>13</v>
      </c>
      <c r="AA782" s="9">
        <v>13</v>
      </c>
      <c r="AB782" s="9">
        <v>13</v>
      </c>
      <c r="AC782" s="9">
        <f t="shared" si="470"/>
        <v>1623</v>
      </c>
      <c r="AD782" s="9">
        <f t="shared" si="471"/>
        <v>1754</v>
      </c>
      <c r="AE782" s="9">
        <f t="shared" si="472"/>
        <v>1754</v>
      </c>
      <c r="AF782" s="9">
        <f t="shared" si="473"/>
        <v>1754</v>
      </c>
      <c r="AG782" s="9">
        <f t="shared" si="474"/>
        <v>1754</v>
      </c>
      <c r="AH782" s="9">
        <f t="shared" si="475"/>
        <v>1754</v>
      </c>
      <c r="AI782" s="7">
        <f t="shared" si="496"/>
        <v>6168916.2699999996</v>
      </c>
      <c r="AJ782" s="7">
        <f t="shared" si="495"/>
        <v>6168916.2699999996</v>
      </c>
      <c r="AK782" s="7">
        <f t="shared" si="495"/>
        <v>6168916.2699999996</v>
      </c>
      <c r="AL782" s="7">
        <f t="shared" si="495"/>
        <v>6168916.2699999996</v>
      </c>
      <c r="AM782" s="7">
        <f t="shared" si="495"/>
        <v>6168916.2699999996</v>
      </c>
      <c r="AN782" s="7">
        <f t="shared" si="495"/>
        <v>6168916.2699999996</v>
      </c>
      <c r="BR782" s="5">
        <v>5405071</v>
      </c>
      <c r="BS782" s="18">
        <f>[1]monsters!$N782</f>
        <v>221.87</v>
      </c>
      <c r="BT782" s="18">
        <f>[1]monsters!$O782</f>
        <v>22.19</v>
      </c>
      <c r="BU782" s="18">
        <f>[1]monsters!$P782</f>
        <v>2496</v>
      </c>
      <c r="BV782" s="18">
        <f>[1]monsters!$Q782</f>
        <v>249.6</v>
      </c>
      <c r="BW782" s="18">
        <f>[1]monsters!$R782</f>
        <v>73.959999999999994</v>
      </c>
      <c r="BX782" s="18">
        <f>[1]monsters!$S782</f>
        <v>7.4</v>
      </c>
      <c r="BY782" s="18">
        <f>[1]monsters!$K782</f>
        <v>1.6</v>
      </c>
      <c r="BZ782" s="5">
        <f>[1]monsters!$D782</f>
        <v>2</v>
      </c>
      <c r="CA782" s="5">
        <f t="shared" si="497"/>
        <v>0.1</v>
      </c>
      <c r="CB782" s="5">
        <f t="shared" si="498"/>
        <v>293.70755404040403</v>
      </c>
      <c r="CC782" s="5">
        <f t="shared" si="499"/>
        <v>29.370755404040406</v>
      </c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R782" s="3" t="b">
        <f t="shared" si="476"/>
        <v>1</v>
      </c>
      <c r="CS782" s="3" t="b">
        <f t="shared" si="477"/>
        <v>1</v>
      </c>
      <c r="CT782" s="3" t="b">
        <f t="shared" si="478"/>
        <v>1</v>
      </c>
      <c r="CU782" s="3" t="b">
        <f t="shared" si="479"/>
        <v>1</v>
      </c>
      <c r="CV782" s="3" t="b">
        <f t="shared" si="480"/>
        <v>1</v>
      </c>
      <c r="CW782" s="3" t="b">
        <f t="shared" si="481"/>
        <v>1</v>
      </c>
      <c r="CX782" s="9" t="str">
        <f t="shared" si="482"/>
        <v>5202133</v>
      </c>
      <c r="CY782" s="9" t="str">
        <f t="shared" si="483"/>
        <v>5201133</v>
      </c>
      <c r="CZ782" s="9" t="str">
        <f t="shared" si="484"/>
        <v>5302134</v>
      </c>
      <c r="DA782" s="9" t="str">
        <f t="shared" si="485"/>
        <v>5400135</v>
      </c>
      <c r="DB782" s="9" t="str">
        <f t="shared" si="486"/>
        <v>5601131</v>
      </c>
      <c r="DC782" s="9" t="str">
        <f t="shared" si="487"/>
        <v>5400135</v>
      </c>
      <c r="DD782" s="9">
        <v>13</v>
      </c>
      <c r="DE782" s="9">
        <v>13</v>
      </c>
      <c r="DF782" s="9">
        <v>13</v>
      </c>
      <c r="DG782" s="9">
        <v>13</v>
      </c>
      <c r="DH782" s="9">
        <v>13</v>
      </c>
      <c r="DI782" s="9">
        <v>13</v>
      </c>
      <c r="DJ782" s="9">
        <v>5</v>
      </c>
      <c r="DK782" s="9">
        <v>5</v>
      </c>
      <c r="DL782" s="9">
        <v>5</v>
      </c>
      <c r="DM782" s="9">
        <v>5</v>
      </c>
      <c r="DN782" s="9">
        <v>5</v>
      </c>
      <c r="DO782" s="9">
        <v>5</v>
      </c>
      <c r="DP782" s="25" t="s">
        <v>208</v>
      </c>
      <c r="DQ782" s="25" t="s">
        <v>205</v>
      </c>
      <c r="DR782" s="25" t="s">
        <v>218</v>
      </c>
      <c r="DS782" s="25" t="s">
        <v>210</v>
      </c>
      <c r="DT782" s="25" t="s">
        <v>198</v>
      </c>
      <c r="DU782" s="25" t="s">
        <v>210</v>
      </c>
      <c r="DV782" s="25">
        <f t="shared" si="488"/>
        <v>1</v>
      </c>
      <c r="DW782" s="25">
        <f t="shared" si="489"/>
        <v>1</v>
      </c>
      <c r="DX782" s="25">
        <f t="shared" si="490"/>
        <v>1</v>
      </c>
      <c r="DY782" s="25">
        <f t="shared" si="491"/>
        <v>2</v>
      </c>
      <c r="DZ782" s="25">
        <f t="shared" si="492"/>
        <v>2</v>
      </c>
      <c r="EA782" s="25">
        <f t="shared" si="493"/>
        <v>2</v>
      </c>
      <c r="EB782" s="46"/>
    </row>
    <row r="783" spans="1:132" ht="13.5" customHeight="1">
      <c r="A783" s="9">
        <v>780</v>
      </c>
      <c r="B783" s="9">
        <v>1</v>
      </c>
      <c r="C783" s="9">
        <v>2001</v>
      </c>
      <c r="D783" s="9">
        <f t="shared" si="466"/>
        <v>48965746</v>
      </c>
      <c r="E783" s="9" t="str">
        <f t="shared" si="467"/>
        <v>5200133,5202135,5301133,5401133,5501135,5501135</v>
      </c>
      <c r="F783" s="9" t="str">
        <f t="shared" si="468"/>
        <v>13,13,13,13,13,13</v>
      </c>
      <c r="G783" s="9" t="str">
        <f t="shared" si="469"/>
        <v>1625,1756,1756,1756,1756,1756</v>
      </c>
      <c r="H783" s="9">
        <v>352</v>
      </c>
      <c r="I783" s="9" t="s">
        <v>278</v>
      </c>
      <c r="J783" s="9" t="s">
        <v>279</v>
      </c>
      <c r="K783" s="9" t="s">
        <v>279</v>
      </c>
      <c r="L783" s="9" t="s">
        <v>279</v>
      </c>
      <c r="M783" s="36" t="s">
        <v>320</v>
      </c>
      <c r="O783" s="3">
        <f t="shared" si="494"/>
        <v>48965746</v>
      </c>
      <c r="P783" s="9">
        <v>37095262.229999997</v>
      </c>
      <c r="Q783" s="9">
        <v>5200133</v>
      </c>
      <c r="R783" s="9">
        <v>5202135</v>
      </c>
      <c r="S783" s="9">
        <v>5301133</v>
      </c>
      <c r="T783" s="9">
        <v>5401133</v>
      </c>
      <c r="U783" s="9">
        <v>5501135</v>
      </c>
      <c r="V783" s="9">
        <v>5501135</v>
      </c>
      <c r="W783" s="9">
        <v>13</v>
      </c>
      <c r="X783" s="9">
        <v>13</v>
      </c>
      <c r="Y783" s="9">
        <v>13</v>
      </c>
      <c r="Z783" s="9">
        <v>13</v>
      </c>
      <c r="AA783" s="9">
        <v>13</v>
      </c>
      <c r="AB783" s="9">
        <v>13</v>
      </c>
      <c r="AC783" s="9">
        <f t="shared" si="470"/>
        <v>1625</v>
      </c>
      <c r="AD783" s="9">
        <f t="shared" si="471"/>
        <v>1756</v>
      </c>
      <c r="AE783" s="9">
        <f t="shared" si="472"/>
        <v>1756</v>
      </c>
      <c r="AF783" s="9">
        <f t="shared" si="473"/>
        <v>1756</v>
      </c>
      <c r="AG783" s="9">
        <f t="shared" si="474"/>
        <v>1756</v>
      </c>
      <c r="AH783" s="9">
        <f t="shared" si="475"/>
        <v>1756</v>
      </c>
      <c r="AI783" s="7">
        <f t="shared" si="496"/>
        <v>6182543.7049999991</v>
      </c>
      <c r="AJ783" s="7">
        <f t="shared" si="495"/>
        <v>6182543.7049999991</v>
      </c>
      <c r="AK783" s="7">
        <f t="shared" si="495"/>
        <v>6182543.7049999991</v>
      </c>
      <c r="AL783" s="7">
        <f t="shared" si="495"/>
        <v>6182543.7049999991</v>
      </c>
      <c r="AM783" s="7">
        <f t="shared" si="495"/>
        <v>6182543.7049999991</v>
      </c>
      <c r="AN783" s="7">
        <f t="shared" si="495"/>
        <v>6182543.7049999991</v>
      </c>
      <c r="BR783" s="5">
        <v>5203071</v>
      </c>
      <c r="BS783" s="18">
        <f>[1]monsters!$N783</f>
        <v>221.87</v>
      </c>
      <c r="BT783" s="18">
        <f>[1]monsters!$O783</f>
        <v>22.19</v>
      </c>
      <c r="BU783" s="18">
        <f>[1]monsters!$P783</f>
        <v>2496</v>
      </c>
      <c r="BV783" s="18">
        <f>[1]monsters!$Q783</f>
        <v>249.6</v>
      </c>
      <c r="BW783" s="18">
        <f>[1]monsters!$R783</f>
        <v>73.959999999999994</v>
      </c>
      <c r="BX783" s="18">
        <f>[1]monsters!$S783</f>
        <v>7.4</v>
      </c>
      <c r="BY783" s="18">
        <f>[1]monsters!$K783</f>
        <v>1.6</v>
      </c>
      <c r="BZ783" s="5">
        <f>[1]monsters!$D783</f>
        <v>2</v>
      </c>
      <c r="CA783" s="5">
        <f t="shared" si="497"/>
        <v>0.1</v>
      </c>
      <c r="CB783" s="5">
        <f t="shared" si="498"/>
        <v>293.70755404040403</v>
      </c>
      <c r="CC783" s="5">
        <f t="shared" si="499"/>
        <v>29.370755404040406</v>
      </c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R783" s="3" t="b">
        <f t="shared" si="476"/>
        <v>1</v>
      </c>
      <c r="CS783" s="3" t="b">
        <f t="shared" si="477"/>
        <v>1</v>
      </c>
      <c r="CT783" s="3" t="b">
        <f t="shared" si="478"/>
        <v>1</v>
      </c>
      <c r="CU783" s="3" t="b">
        <f t="shared" si="479"/>
        <v>1</v>
      </c>
      <c r="CV783" s="3" t="b">
        <f t="shared" si="480"/>
        <v>1</v>
      </c>
      <c r="CW783" s="3" t="b">
        <f t="shared" si="481"/>
        <v>1</v>
      </c>
      <c r="CX783" s="9" t="str">
        <f t="shared" si="482"/>
        <v>5200133</v>
      </c>
      <c r="CY783" s="9" t="str">
        <f t="shared" si="483"/>
        <v>5202135</v>
      </c>
      <c r="CZ783" s="9" t="str">
        <f t="shared" si="484"/>
        <v>5301133</v>
      </c>
      <c r="DA783" s="9" t="str">
        <f t="shared" si="485"/>
        <v>5401133</v>
      </c>
      <c r="DB783" s="9" t="str">
        <f t="shared" si="486"/>
        <v>5501135</v>
      </c>
      <c r="DC783" s="9" t="str">
        <f t="shared" si="487"/>
        <v>5501135</v>
      </c>
      <c r="DD783" s="9">
        <v>13</v>
      </c>
      <c r="DE783" s="9">
        <v>13</v>
      </c>
      <c r="DF783" s="9">
        <v>13</v>
      </c>
      <c r="DG783" s="9">
        <v>13</v>
      </c>
      <c r="DH783" s="9">
        <v>13</v>
      </c>
      <c r="DI783" s="9">
        <v>13</v>
      </c>
      <c r="DJ783" s="9">
        <v>5</v>
      </c>
      <c r="DK783" s="9">
        <v>5</v>
      </c>
      <c r="DL783" s="9">
        <v>5</v>
      </c>
      <c r="DM783" s="9">
        <v>5</v>
      </c>
      <c r="DN783" s="9">
        <v>5</v>
      </c>
      <c r="DO783" s="9">
        <v>5</v>
      </c>
      <c r="DP783" s="25" t="s">
        <v>113</v>
      </c>
      <c r="DQ783" s="25" t="s">
        <v>213</v>
      </c>
      <c r="DR783" s="25" t="s">
        <v>206</v>
      </c>
      <c r="DS783" s="25" t="s">
        <v>211</v>
      </c>
      <c r="DT783" s="25" t="s">
        <v>209</v>
      </c>
      <c r="DU783" s="25" t="s">
        <v>209</v>
      </c>
      <c r="DV783" s="25">
        <f t="shared" si="488"/>
        <v>1</v>
      </c>
      <c r="DW783" s="25">
        <f t="shared" si="489"/>
        <v>1</v>
      </c>
      <c r="DX783" s="25">
        <f t="shared" si="490"/>
        <v>1</v>
      </c>
      <c r="DY783" s="25">
        <f t="shared" si="491"/>
        <v>2</v>
      </c>
      <c r="DZ783" s="25">
        <f t="shared" si="492"/>
        <v>2</v>
      </c>
      <c r="EA783" s="25">
        <f t="shared" si="493"/>
        <v>2</v>
      </c>
      <c r="EB783" s="45"/>
    </row>
    <row r="784" spans="1:132" ht="13.5" customHeight="1">
      <c r="A784" s="9">
        <v>781</v>
      </c>
      <c r="B784" s="9">
        <v>1</v>
      </c>
      <c r="C784" s="9">
        <v>2001</v>
      </c>
      <c r="D784" s="9">
        <f t="shared" si="466"/>
        <v>49073792</v>
      </c>
      <c r="E784" s="9" t="str">
        <f t="shared" si="467"/>
        <v>5301131,5301132,5301133,5500131,5500132,5500133</v>
      </c>
      <c r="F784" s="9" t="str">
        <f t="shared" si="468"/>
        <v>13,13,13,13,13,13</v>
      </c>
      <c r="G784" s="9" t="str">
        <f t="shared" si="469"/>
        <v>1627,1758,1758,1758,1758,1758</v>
      </c>
      <c r="H784" s="9">
        <v>352</v>
      </c>
      <c r="I784" s="9" t="s">
        <v>278</v>
      </c>
      <c r="J784" s="9" t="s">
        <v>279</v>
      </c>
      <c r="K784" s="9" t="s">
        <v>279</v>
      </c>
      <c r="L784" s="9" t="s">
        <v>279</v>
      </c>
      <c r="M784" s="36" t="s">
        <v>320</v>
      </c>
      <c r="O784" s="3">
        <f t="shared" si="494"/>
        <v>49073792</v>
      </c>
      <c r="P784" s="9">
        <v>37177115.460000001</v>
      </c>
      <c r="Q784" s="9">
        <v>5301131</v>
      </c>
      <c r="R784" s="9">
        <v>5301132</v>
      </c>
      <c r="S784" s="9">
        <v>5301133</v>
      </c>
      <c r="T784" s="9">
        <v>5500131</v>
      </c>
      <c r="U784" s="9">
        <v>5500132</v>
      </c>
      <c r="V784" s="9">
        <v>5500133</v>
      </c>
      <c r="W784" s="9">
        <v>13</v>
      </c>
      <c r="X784" s="9">
        <v>13</v>
      </c>
      <c r="Y784" s="9">
        <v>13</v>
      </c>
      <c r="Z784" s="9">
        <v>13</v>
      </c>
      <c r="AA784" s="9">
        <v>13</v>
      </c>
      <c r="AB784" s="9">
        <v>13</v>
      </c>
      <c r="AC784" s="9">
        <f t="shared" si="470"/>
        <v>1627</v>
      </c>
      <c r="AD784" s="9">
        <f t="shared" si="471"/>
        <v>1758</v>
      </c>
      <c r="AE784" s="9">
        <f t="shared" si="472"/>
        <v>1758</v>
      </c>
      <c r="AF784" s="9">
        <f t="shared" si="473"/>
        <v>1758</v>
      </c>
      <c r="AG784" s="9">
        <f t="shared" si="474"/>
        <v>1758</v>
      </c>
      <c r="AH784" s="9">
        <f t="shared" si="475"/>
        <v>1758</v>
      </c>
      <c r="AI784" s="7">
        <f t="shared" si="496"/>
        <v>6196185.9100000001</v>
      </c>
      <c r="AJ784" s="7">
        <f t="shared" si="495"/>
        <v>6196185.9100000001</v>
      </c>
      <c r="AK784" s="7">
        <f t="shared" si="495"/>
        <v>6196185.9100000001</v>
      </c>
      <c r="AL784" s="7">
        <f t="shared" si="495"/>
        <v>6196185.9100000001</v>
      </c>
      <c r="AM784" s="7">
        <f t="shared" si="495"/>
        <v>6196185.9100000001</v>
      </c>
      <c r="AN784" s="7">
        <f t="shared" si="495"/>
        <v>6196185.9100000001</v>
      </c>
      <c r="BR784" s="5">
        <v>5403071</v>
      </c>
      <c r="BS784" s="18">
        <f>[1]monsters!$N784</f>
        <v>221.87</v>
      </c>
      <c r="BT784" s="18">
        <f>[1]monsters!$O784</f>
        <v>22.19</v>
      </c>
      <c r="BU784" s="18">
        <f>[1]monsters!$P784</f>
        <v>2496</v>
      </c>
      <c r="BV784" s="18">
        <f>[1]monsters!$Q784</f>
        <v>249.6</v>
      </c>
      <c r="BW784" s="18">
        <f>[1]monsters!$R784</f>
        <v>73.959999999999994</v>
      </c>
      <c r="BX784" s="18">
        <f>[1]monsters!$S784</f>
        <v>7.4</v>
      </c>
      <c r="BY784" s="18">
        <f>[1]monsters!$K784</f>
        <v>1.6</v>
      </c>
      <c r="BZ784" s="5">
        <f>[1]monsters!$D784</f>
        <v>2</v>
      </c>
      <c r="CA784" s="5">
        <f t="shared" si="497"/>
        <v>0.1</v>
      </c>
      <c r="CB784" s="5">
        <f t="shared" si="498"/>
        <v>293.70755404040403</v>
      </c>
      <c r="CC784" s="5">
        <f t="shared" si="499"/>
        <v>29.370755404040406</v>
      </c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R784" s="3" t="b">
        <f t="shared" si="476"/>
        <v>1</v>
      </c>
      <c r="CS784" s="3" t="b">
        <f t="shared" si="477"/>
        <v>1</v>
      </c>
      <c r="CT784" s="3" t="b">
        <f t="shared" si="478"/>
        <v>1</v>
      </c>
      <c r="CU784" s="3" t="b">
        <f t="shared" si="479"/>
        <v>1</v>
      </c>
      <c r="CV784" s="3" t="b">
        <f t="shared" si="480"/>
        <v>1</v>
      </c>
      <c r="CW784" s="3" t="b">
        <f t="shared" si="481"/>
        <v>1</v>
      </c>
      <c r="CX784" s="9" t="str">
        <f t="shared" si="482"/>
        <v>5301131</v>
      </c>
      <c r="CY784" s="9" t="str">
        <f t="shared" si="483"/>
        <v>5301132</v>
      </c>
      <c r="CZ784" s="9" t="str">
        <f t="shared" si="484"/>
        <v>5301133</v>
      </c>
      <c r="DA784" s="9" t="str">
        <f t="shared" si="485"/>
        <v>5500131</v>
      </c>
      <c r="DB784" s="9" t="str">
        <f t="shared" si="486"/>
        <v>5500132</v>
      </c>
      <c r="DC784" s="9" t="str">
        <f t="shared" si="487"/>
        <v>5500133</v>
      </c>
      <c r="DD784" s="9">
        <v>13</v>
      </c>
      <c r="DE784" s="9">
        <v>13</v>
      </c>
      <c r="DF784" s="9">
        <v>13</v>
      </c>
      <c r="DG784" s="9">
        <v>13</v>
      </c>
      <c r="DH784" s="9">
        <v>13</v>
      </c>
      <c r="DI784" s="9">
        <v>13</v>
      </c>
      <c r="DJ784" s="9">
        <v>5</v>
      </c>
      <c r="DK784" s="9">
        <v>5</v>
      </c>
      <c r="DL784" s="9">
        <v>5</v>
      </c>
      <c r="DM784" s="9">
        <v>5</v>
      </c>
      <c r="DN784" s="9">
        <v>5</v>
      </c>
      <c r="DO784" s="9">
        <v>5</v>
      </c>
      <c r="DP784" s="3" t="s">
        <v>107</v>
      </c>
      <c r="DQ784" s="3" t="s">
        <v>201</v>
      </c>
      <c r="DR784" s="3" t="s">
        <v>206</v>
      </c>
      <c r="DS784" s="3" t="s">
        <v>197</v>
      </c>
      <c r="DT784" s="3" t="s">
        <v>109</v>
      </c>
      <c r="DU784" s="3" t="s">
        <v>207</v>
      </c>
      <c r="DV784" s="25">
        <f t="shared" si="488"/>
        <v>1</v>
      </c>
      <c r="DW784" s="25">
        <f t="shared" si="489"/>
        <v>1</v>
      </c>
      <c r="DX784" s="25">
        <f t="shared" si="490"/>
        <v>1</v>
      </c>
      <c r="DY784" s="25">
        <f t="shared" si="491"/>
        <v>2</v>
      </c>
      <c r="DZ784" s="25">
        <f t="shared" si="492"/>
        <v>2</v>
      </c>
      <c r="EA784" s="25">
        <f t="shared" si="493"/>
        <v>2</v>
      </c>
      <c r="EB784" s="45"/>
    </row>
    <row r="785" spans="1:132" ht="13.5" customHeight="1">
      <c r="A785" s="9">
        <v>782</v>
      </c>
      <c r="B785" s="9">
        <v>1</v>
      </c>
      <c r="C785" s="9">
        <v>2001</v>
      </c>
      <c r="D785" s="9">
        <f t="shared" si="466"/>
        <v>49181961</v>
      </c>
      <c r="E785" s="9" t="str">
        <f t="shared" si="467"/>
        <v>5200132,5200133,5200132,5501135,5401131,5502131</v>
      </c>
      <c r="F785" s="9" t="str">
        <f t="shared" si="468"/>
        <v>13,13,13,13,13,13</v>
      </c>
      <c r="G785" s="9" t="str">
        <f t="shared" si="469"/>
        <v>1628,1760,1760,1760,1760,1760</v>
      </c>
      <c r="H785" s="9">
        <v>352</v>
      </c>
      <c r="I785" s="9" t="s">
        <v>278</v>
      </c>
      <c r="J785" s="9" t="s">
        <v>279</v>
      </c>
      <c r="K785" s="9" t="s">
        <v>279</v>
      </c>
      <c r="L785" s="9" t="s">
        <v>279</v>
      </c>
      <c r="M785" s="36" t="s">
        <v>320</v>
      </c>
      <c r="O785" s="3">
        <f t="shared" si="494"/>
        <v>49181961</v>
      </c>
      <c r="P785" s="9">
        <v>37259061.530000001</v>
      </c>
      <c r="Q785" s="9">
        <v>5200132</v>
      </c>
      <c r="R785" s="9">
        <v>5200133</v>
      </c>
      <c r="S785" s="9">
        <v>5200132</v>
      </c>
      <c r="T785" s="9">
        <v>5501135</v>
      </c>
      <c r="U785" s="9">
        <v>5401131</v>
      </c>
      <c r="V785" s="9">
        <v>5502131</v>
      </c>
      <c r="W785" s="9">
        <v>13</v>
      </c>
      <c r="X785" s="9">
        <v>13</v>
      </c>
      <c r="Y785" s="9">
        <v>13</v>
      </c>
      <c r="Z785" s="9">
        <v>13</v>
      </c>
      <c r="AA785" s="9">
        <v>13</v>
      </c>
      <c r="AB785" s="9">
        <v>13</v>
      </c>
      <c r="AC785" s="9">
        <f t="shared" si="470"/>
        <v>1628</v>
      </c>
      <c r="AD785" s="9">
        <f t="shared" si="471"/>
        <v>1760</v>
      </c>
      <c r="AE785" s="9">
        <f t="shared" si="472"/>
        <v>1760</v>
      </c>
      <c r="AF785" s="9">
        <f t="shared" si="473"/>
        <v>1760</v>
      </c>
      <c r="AG785" s="9">
        <f t="shared" si="474"/>
        <v>1760</v>
      </c>
      <c r="AH785" s="9">
        <f t="shared" si="475"/>
        <v>1760</v>
      </c>
      <c r="AI785" s="7">
        <f t="shared" si="496"/>
        <v>6209843.5883333338</v>
      </c>
      <c r="AJ785" s="7">
        <f t="shared" si="495"/>
        <v>6209843.5883333338</v>
      </c>
      <c r="AK785" s="7">
        <f t="shared" si="495"/>
        <v>6209843.5883333338</v>
      </c>
      <c r="AL785" s="7">
        <f t="shared" si="495"/>
        <v>6209843.5883333338</v>
      </c>
      <c r="AM785" s="7">
        <f t="shared" si="495"/>
        <v>6209843.5883333338</v>
      </c>
      <c r="AN785" s="7">
        <f t="shared" si="495"/>
        <v>6209843.5883333338</v>
      </c>
      <c r="BR785" s="5">
        <v>5204071</v>
      </c>
      <c r="BS785" s="18">
        <f>[1]monsters!$N785</f>
        <v>221.87</v>
      </c>
      <c r="BT785" s="18">
        <f>[1]monsters!$O785</f>
        <v>22.19</v>
      </c>
      <c r="BU785" s="18">
        <f>[1]monsters!$P785</f>
        <v>2496</v>
      </c>
      <c r="BV785" s="18">
        <f>[1]monsters!$Q785</f>
        <v>249.6</v>
      </c>
      <c r="BW785" s="18">
        <f>[1]monsters!$R785</f>
        <v>73.959999999999994</v>
      </c>
      <c r="BX785" s="18">
        <f>[1]monsters!$S785</f>
        <v>7.4</v>
      </c>
      <c r="BY785" s="18">
        <f>[1]monsters!$K785</f>
        <v>1.6</v>
      </c>
      <c r="BZ785" s="5">
        <f>[1]monsters!$D785</f>
        <v>2</v>
      </c>
      <c r="CA785" s="5">
        <f t="shared" si="497"/>
        <v>0.1</v>
      </c>
      <c r="CB785" s="5">
        <f t="shared" si="498"/>
        <v>293.70755404040403</v>
      </c>
      <c r="CC785" s="5">
        <f t="shared" si="499"/>
        <v>29.370755404040406</v>
      </c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R785" s="3" t="b">
        <f t="shared" si="476"/>
        <v>1</v>
      </c>
      <c r="CS785" s="3" t="b">
        <f t="shared" si="477"/>
        <v>1</v>
      </c>
      <c r="CT785" s="3" t="b">
        <f t="shared" si="478"/>
        <v>1</v>
      </c>
      <c r="CU785" s="3" t="b">
        <f t="shared" si="479"/>
        <v>1</v>
      </c>
      <c r="CV785" s="3" t="b">
        <f t="shared" si="480"/>
        <v>1</v>
      </c>
      <c r="CW785" s="3" t="b">
        <f t="shared" si="481"/>
        <v>1</v>
      </c>
      <c r="CX785" s="9" t="str">
        <f t="shared" si="482"/>
        <v>5200132</v>
      </c>
      <c r="CY785" s="9" t="str">
        <f t="shared" si="483"/>
        <v>5200133</v>
      </c>
      <c r="CZ785" s="9" t="str">
        <f t="shared" si="484"/>
        <v>5200132</v>
      </c>
      <c r="DA785" s="9" t="str">
        <f t="shared" si="485"/>
        <v>5501135</v>
      </c>
      <c r="DB785" s="9" t="str">
        <f t="shared" si="486"/>
        <v>5401131</v>
      </c>
      <c r="DC785" s="9" t="str">
        <f t="shared" si="487"/>
        <v>5502131</v>
      </c>
      <c r="DD785" s="9">
        <v>13</v>
      </c>
      <c r="DE785" s="9">
        <v>13</v>
      </c>
      <c r="DF785" s="9">
        <v>13</v>
      </c>
      <c r="DG785" s="9">
        <v>13</v>
      </c>
      <c r="DH785" s="9">
        <v>13</v>
      </c>
      <c r="DI785" s="9">
        <v>13</v>
      </c>
      <c r="DJ785" s="9">
        <v>5</v>
      </c>
      <c r="DK785" s="9">
        <v>5</v>
      </c>
      <c r="DL785" s="9">
        <v>5</v>
      </c>
      <c r="DM785" s="9">
        <v>5</v>
      </c>
      <c r="DN785" s="9">
        <v>5</v>
      </c>
      <c r="DO785" s="9">
        <v>5</v>
      </c>
      <c r="DP785" s="3" t="s">
        <v>199</v>
      </c>
      <c r="DQ785" s="3" t="s">
        <v>113</v>
      </c>
      <c r="DR785" s="3" t="s">
        <v>199</v>
      </c>
      <c r="DS785" s="25" t="s">
        <v>209</v>
      </c>
      <c r="DT785" s="25" t="s">
        <v>117</v>
      </c>
      <c r="DU785" s="25" t="s">
        <v>119</v>
      </c>
      <c r="DV785" s="25">
        <f t="shared" si="488"/>
        <v>1</v>
      </c>
      <c r="DW785" s="25">
        <f t="shared" si="489"/>
        <v>1</v>
      </c>
      <c r="DX785" s="25">
        <f t="shared" si="490"/>
        <v>1</v>
      </c>
      <c r="DY785" s="25">
        <f t="shared" si="491"/>
        <v>2</v>
      </c>
      <c r="DZ785" s="25">
        <f t="shared" si="492"/>
        <v>2</v>
      </c>
      <c r="EA785" s="25">
        <f t="shared" si="493"/>
        <v>2</v>
      </c>
      <c r="EB785" s="45"/>
    </row>
    <row r="786" spans="1:132" ht="13.5" customHeight="1">
      <c r="A786" s="9">
        <v>783</v>
      </c>
      <c r="B786" s="9">
        <v>1</v>
      </c>
      <c r="C786" s="9">
        <v>2001</v>
      </c>
      <c r="D786" s="9">
        <f t="shared" si="466"/>
        <v>49290250</v>
      </c>
      <c r="E786" s="9" t="str">
        <f t="shared" si="467"/>
        <v>5201131,5201132,5202131,5401131,5501135,5401132</v>
      </c>
      <c r="F786" s="9" t="str">
        <f t="shared" si="468"/>
        <v>13,13,13,13,13,13</v>
      </c>
      <c r="G786" s="9" t="str">
        <f t="shared" si="469"/>
        <v>1630,1762,1762,1762,1762,1762</v>
      </c>
      <c r="H786" s="9">
        <v>353</v>
      </c>
      <c r="I786" s="9" t="s">
        <v>278</v>
      </c>
      <c r="J786" s="9" t="s">
        <v>279</v>
      </c>
      <c r="K786" s="9" t="s">
        <v>279</v>
      </c>
      <c r="L786" s="9" t="s">
        <v>279</v>
      </c>
      <c r="M786" s="36" t="s">
        <v>320</v>
      </c>
      <c r="O786" s="3">
        <f t="shared" si="494"/>
        <v>49290250</v>
      </c>
      <c r="P786" s="9">
        <v>37341098.329999998</v>
      </c>
      <c r="Q786" s="9">
        <v>5201131</v>
      </c>
      <c r="R786" s="9">
        <v>5201132</v>
      </c>
      <c r="S786" s="9">
        <v>5202131</v>
      </c>
      <c r="T786" s="9">
        <v>5401131</v>
      </c>
      <c r="U786" s="9">
        <v>5501135</v>
      </c>
      <c r="V786" s="9">
        <v>5401132</v>
      </c>
      <c r="W786" s="9">
        <v>13</v>
      </c>
      <c r="X786" s="9">
        <v>13</v>
      </c>
      <c r="Y786" s="9">
        <v>13</v>
      </c>
      <c r="Z786" s="9">
        <v>13</v>
      </c>
      <c r="AA786" s="9">
        <v>13</v>
      </c>
      <c r="AB786" s="9">
        <v>13</v>
      </c>
      <c r="AC786" s="9">
        <f t="shared" si="470"/>
        <v>1630</v>
      </c>
      <c r="AD786" s="9">
        <f t="shared" si="471"/>
        <v>1762</v>
      </c>
      <c r="AE786" s="9">
        <f t="shared" si="472"/>
        <v>1762</v>
      </c>
      <c r="AF786" s="9">
        <f t="shared" si="473"/>
        <v>1762</v>
      </c>
      <c r="AG786" s="9">
        <f t="shared" si="474"/>
        <v>1762</v>
      </c>
      <c r="AH786" s="9">
        <f t="shared" si="475"/>
        <v>1762</v>
      </c>
      <c r="AI786" s="7">
        <f t="shared" si="496"/>
        <v>6223516.3883333327</v>
      </c>
      <c r="AJ786" s="7">
        <f t="shared" si="495"/>
        <v>6223516.3883333327</v>
      </c>
      <c r="AK786" s="7">
        <f t="shared" si="495"/>
        <v>6223516.3883333327</v>
      </c>
      <c r="AL786" s="7">
        <f t="shared" si="495"/>
        <v>6223516.3883333327</v>
      </c>
      <c r="AM786" s="7">
        <f t="shared" si="495"/>
        <v>6223516.3883333327</v>
      </c>
      <c r="AN786" s="7">
        <f t="shared" si="495"/>
        <v>6223516.3883333327</v>
      </c>
      <c r="BR786" s="5">
        <v>5404071</v>
      </c>
      <c r="BS786" s="18">
        <f>[1]monsters!$N786</f>
        <v>221.87</v>
      </c>
      <c r="BT786" s="18">
        <f>[1]monsters!$O786</f>
        <v>22.19</v>
      </c>
      <c r="BU786" s="18">
        <f>[1]monsters!$P786</f>
        <v>2496</v>
      </c>
      <c r="BV786" s="18">
        <f>[1]monsters!$Q786</f>
        <v>249.6</v>
      </c>
      <c r="BW786" s="18">
        <f>[1]monsters!$R786</f>
        <v>73.959999999999994</v>
      </c>
      <c r="BX786" s="18">
        <f>[1]monsters!$S786</f>
        <v>7.4</v>
      </c>
      <c r="BY786" s="18">
        <f>[1]monsters!$K786</f>
        <v>1.6</v>
      </c>
      <c r="BZ786" s="5">
        <f>[1]monsters!$D786</f>
        <v>2</v>
      </c>
      <c r="CA786" s="5">
        <f t="shared" si="497"/>
        <v>0.1</v>
      </c>
      <c r="CB786" s="5">
        <f t="shared" si="498"/>
        <v>293.70755404040403</v>
      </c>
      <c r="CC786" s="5">
        <f t="shared" si="499"/>
        <v>29.370755404040406</v>
      </c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R786" s="3" t="b">
        <f t="shared" si="476"/>
        <v>1</v>
      </c>
      <c r="CS786" s="3" t="b">
        <f t="shared" si="477"/>
        <v>1</v>
      </c>
      <c r="CT786" s="3" t="b">
        <f t="shared" si="478"/>
        <v>1</v>
      </c>
      <c r="CU786" s="3" t="b">
        <f t="shared" si="479"/>
        <v>1</v>
      </c>
      <c r="CV786" s="3" t="b">
        <f t="shared" si="480"/>
        <v>1</v>
      </c>
      <c r="CW786" s="3" t="b">
        <f t="shared" si="481"/>
        <v>1</v>
      </c>
      <c r="CX786" s="9" t="str">
        <f t="shared" si="482"/>
        <v>5201131</v>
      </c>
      <c r="CY786" s="9" t="str">
        <f t="shared" si="483"/>
        <v>5201132</v>
      </c>
      <c r="CZ786" s="9" t="str">
        <f t="shared" si="484"/>
        <v>5202131</v>
      </c>
      <c r="DA786" s="9" t="str">
        <f t="shared" si="485"/>
        <v>5401131</v>
      </c>
      <c r="DB786" s="9" t="str">
        <f t="shared" si="486"/>
        <v>5501135</v>
      </c>
      <c r="DC786" s="9" t="str">
        <f t="shared" si="487"/>
        <v>5401132</v>
      </c>
      <c r="DD786" s="9">
        <v>13</v>
      </c>
      <c r="DE786" s="9">
        <v>13</v>
      </c>
      <c r="DF786" s="9">
        <v>13</v>
      </c>
      <c r="DG786" s="9">
        <v>13</v>
      </c>
      <c r="DH786" s="9">
        <v>13</v>
      </c>
      <c r="DI786" s="9">
        <v>13</v>
      </c>
      <c r="DJ786" s="9">
        <v>5</v>
      </c>
      <c r="DK786" s="9">
        <v>5</v>
      </c>
      <c r="DL786" s="9">
        <v>5</v>
      </c>
      <c r="DM786" s="9">
        <v>5</v>
      </c>
      <c r="DN786" s="9">
        <v>5</v>
      </c>
      <c r="DO786" s="9">
        <v>5</v>
      </c>
      <c r="DP786" s="3" t="s">
        <v>195</v>
      </c>
      <c r="DQ786" s="3" t="s">
        <v>114</v>
      </c>
      <c r="DR786" s="3" t="s">
        <v>111</v>
      </c>
      <c r="DS786" s="3" t="s">
        <v>117</v>
      </c>
      <c r="DT786" s="3" t="s">
        <v>209</v>
      </c>
      <c r="DU786" s="3" t="s">
        <v>202</v>
      </c>
      <c r="DV786" s="25">
        <f t="shared" si="488"/>
        <v>1</v>
      </c>
      <c r="DW786" s="25">
        <f t="shared" si="489"/>
        <v>1</v>
      </c>
      <c r="DX786" s="25">
        <f t="shared" si="490"/>
        <v>1</v>
      </c>
      <c r="DY786" s="25">
        <f t="shared" si="491"/>
        <v>2</v>
      </c>
      <c r="DZ786" s="25">
        <f t="shared" si="492"/>
        <v>2</v>
      </c>
      <c r="EA786" s="25">
        <f t="shared" si="493"/>
        <v>2</v>
      </c>
      <c r="EB786" s="46"/>
    </row>
    <row r="787" spans="1:132" ht="13.5" customHeight="1">
      <c r="A787" s="9">
        <v>784</v>
      </c>
      <c r="B787" s="9">
        <v>1</v>
      </c>
      <c r="C787" s="9">
        <v>2001</v>
      </c>
      <c r="D787" s="9">
        <f t="shared" si="466"/>
        <v>49398658</v>
      </c>
      <c r="E787" s="9" t="str">
        <f t="shared" si="467"/>
        <v>5302135,5201132,5301131,5501134,5500133,5501134</v>
      </c>
      <c r="F787" s="9" t="str">
        <f t="shared" si="468"/>
        <v>13,13,13,13,13,13</v>
      </c>
      <c r="G787" s="9" t="str">
        <f t="shared" si="469"/>
        <v>1632,1764,1764,1764,1764,1764</v>
      </c>
      <c r="H787" s="9">
        <v>353</v>
      </c>
      <c r="I787" s="9" t="s">
        <v>278</v>
      </c>
      <c r="J787" s="9" t="s">
        <v>279</v>
      </c>
      <c r="K787" s="9" t="s">
        <v>279</v>
      </c>
      <c r="L787" s="9" t="s">
        <v>279</v>
      </c>
      <c r="M787" s="36" t="s">
        <v>320</v>
      </c>
      <c r="O787" s="3">
        <f t="shared" si="494"/>
        <v>49398658</v>
      </c>
      <c r="P787" s="9">
        <v>37423225.859999999</v>
      </c>
      <c r="Q787" s="9">
        <v>5302135</v>
      </c>
      <c r="R787" s="9">
        <v>5201132</v>
      </c>
      <c r="S787" s="9">
        <v>5301131</v>
      </c>
      <c r="T787" s="9">
        <v>5501134</v>
      </c>
      <c r="U787" s="9">
        <v>5500133</v>
      </c>
      <c r="V787" s="9">
        <v>5501134</v>
      </c>
      <c r="W787" s="9">
        <v>13</v>
      </c>
      <c r="X787" s="9">
        <v>13</v>
      </c>
      <c r="Y787" s="9">
        <v>13</v>
      </c>
      <c r="Z787" s="9">
        <v>13</v>
      </c>
      <c r="AA787" s="9">
        <v>13</v>
      </c>
      <c r="AB787" s="9">
        <v>13</v>
      </c>
      <c r="AC787" s="9">
        <f t="shared" si="470"/>
        <v>1632</v>
      </c>
      <c r="AD787" s="9">
        <f t="shared" si="471"/>
        <v>1764</v>
      </c>
      <c r="AE787" s="9">
        <f t="shared" si="472"/>
        <v>1764</v>
      </c>
      <c r="AF787" s="9">
        <f t="shared" si="473"/>
        <v>1764</v>
      </c>
      <c r="AG787" s="9">
        <f t="shared" si="474"/>
        <v>1764</v>
      </c>
      <c r="AH787" s="9">
        <f t="shared" si="475"/>
        <v>1764</v>
      </c>
      <c r="AI787" s="7">
        <f t="shared" si="496"/>
        <v>6237204.3099999996</v>
      </c>
      <c r="AJ787" s="7">
        <f t="shared" si="495"/>
        <v>6237204.3099999996</v>
      </c>
      <c r="AK787" s="7">
        <f t="shared" si="495"/>
        <v>6237204.3099999996</v>
      </c>
      <c r="AL787" s="7">
        <f t="shared" si="495"/>
        <v>6237204.3099999996</v>
      </c>
      <c r="AM787" s="7">
        <f t="shared" si="495"/>
        <v>6237204.3099999996</v>
      </c>
      <c r="AN787" s="7">
        <f t="shared" si="495"/>
        <v>6237204.3099999996</v>
      </c>
      <c r="BR787" s="5">
        <v>5303071</v>
      </c>
      <c r="BS787" s="18">
        <f>[1]monsters!$N787</f>
        <v>238.93</v>
      </c>
      <c r="BT787" s="18">
        <f>[1]monsters!$O787</f>
        <v>23.89</v>
      </c>
      <c r="BU787" s="18">
        <f>[1]monsters!$P787</f>
        <v>2688</v>
      </c>
      <c r="BV787" s="18">
        <f>[1]monsters!$Q787</f>
        <v>268.8</v>
      </c>
      <c r="BW787" s="18">
        <f>[1]monsters!$R787</f>
        <v>79.64</v>
      </c>
      <c r="BX787" s="18">
        <f>[1]monsters!$S787</f>
        <v>7.96</v>
      </c>
      <c r="BY787" s="18">
        <f>[1]monsters!$K787</f>
        <v>1.6</v>
      </c>
      <c r="BZ787" s="5">
        <f>[1]monsters!$D787</f>
        <v>2</v>
      </c>
      <c r="CA787" s="5">
        <f t="shared" si="497"/>
        <v>0.1</v>
      </c>
      <c r="CB787" s="5">
        <f t="shared" si="498"/>
        <v>316.29390050505054</v>
      </c>
      <c r="CC787" s="5">
        <f t="shared" si="499"/>
        <v>31.629390050505055</v>
      </c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R787" s="3" t="b">
        <f t="shared" si="476"/>
        <v>1</v>
      </c>
      <c r="CS787" s="3" t="b">
        <f t="shared" si="477"/>
        <v>1</v>
      </c>
      <c r="CT787" s="3" t="b">
        <f t="shared" si="478"/>
        <v>1</v>
      </c>
      <c r="CU787" s="3" t="b">
        <f t="shared" si="479"/>
        <v>1</v>
      </c>
      <c r="CV787" s="3" t="b">
        <f t="shared" si="480"/>
        <v>1</v>
      </c>
      <c r="CW787" s="3" t="b">
        <f t="shared" si="481"/>
        <v>1</v>
      </c>
      <c r="CX787" s="9" t="str">
        <f t="shared" si="482"/>
        <v>5302135</v>
      </c>
      <c r="CY787" s="9" t="str">
        <f t="shared" si="483"/>
        <v>5201132</v>
      </c>
      <c r="CZ787" s="9" t="str">
        <f t="shared" si="484"/>
        <v>5301131</v>
      </c>
      <c r="DA787" s="9" t="str">
        <f t="shared" si="485"/>
        <v>5501134</v>
      </c>
      <c r="DB787" s="9" t="str">
        <f t="shared" si="486"/>
        <v>5500133</v>
      </c>
      <c r="DC787" s="9" t="str">
        <f t="shared" si="487"/>
        <v>5501134</v>
      </c>
      <c r="DD787" s="9">
        <v>13</v>
      </c>
      <c r="DE787" s="9">
        <v>13</v>
      </c>
      <c r="DF787" s="9">
        <v>13</v>
      </c>
      <c r="DG787" s="9">
        <v>13</v>
      </c>
      <c r="DH787" s="9">
        <v>13</v>
      </c>
      <c r="DI787" s="9">
        <v>13</v>
      </c>
      <c r="DJ787" s="9">
        <v>5</v>
      </c>
      <c r="DK787" s="9">
        <v>5</v>
      </c>
      <c r="DL787" s="9">
        <v>5</v>
      </c>
      <c r="DM787" s="9">
        <v>5</v>
      </c>
      <c r="DN787" s="9">
        <v>5</v>
      </c>
      <c r="DO787" s="9">
        <v>5</v>
      </c>
      <c r="DP787" s="3" t="s">
        <v>221</v>
      </c>
      <c r="DQ787" s="3" t="s">
        <v>114</v>
      </c>
      <c r="DR787" s="3" t="s">
        <v>107</v>
      </c>
      <c r="DS787" s="3" t="s">
        <v>214</v>
      </c>
      <c r="DT787" s="3" t="s">
        <v>207</v>
      </c>
      <c r="DU787" s="3" t="s">
        <v>214</v>
      </c>
      <c r="DV787" s="25">
        <f t="shared" si="488"/>
        <v>1</v>
      </c>
      <c r="DW787" s="25">
        <f t="shared" si="489"/>
        <v>1</v>
      </c>
      <c r="DX787" s="25">
        <f t="shared" si="490"/>
        <v>1</v>
      </c>
      <c r="DY787" s="25">
        <f t="shared" si="491"/>
        <v>2</v>
      </c>
      <c r="DZ787" s="25">
        <f t="shared" si="492"/>
        <v>2</v>
      </c>
      <c r="EA787" s="25">
        <f t="shared" si="493"/>
        <v>2</v>
      </c>
      <c r="EB787" s="45"/>
    </row>
    <row r="788" spans="1:132" ht="13.5" customHeight="1">
      <c r="A788" s="9">
        <v>785</v>
      </c>
      <c r="B788" s="9">
        <v>1</v>
      </c>
      <c r="C788" s="9">
        <v>2001</v>
      </c>
      <c r="D788" s="9">
        <f t="shared" si="466"/>
        <v>49507183</v>
      </c>
      <c r="E788" s="9" t="str">
        <f t="shared" si="467"/>
        <v>5201131,5201132,5200132,5502132,5500133,5501134</v>
      </c>
      <c r="F788" s="9" t="str">
        <f t="shared" si="468"/>
        <v>13,13,13,13,13,13</v>
      </c>
      <c r="G788" s="9" t="str">
        <f t="shared" si="469"/>
        <v>1634,1765,1765,1765,1765,1765</v>
      </c>
      <c r="H788" s="9">
        <v>354</v>
      </c>
      <c r="I788" s="9" t="s">
        <v>278</v>
      </c>
      <c r="J788" s="9" t="s">
        <v>279</v>
      </c>
      <c r="K788" s="9" t="s">
        <v>279</v>
      </c>
      <c r="L788" s="9" t="s">
        <v>279</v>
      </c>
      <c r="M788" s="36" t="s">
        <v>320</v>
      </c>
      <c r="O788" s="3">
        <f t="shared" si="494"/>
        <v>49507183</v>
      </c>
      <c r="P788" s="9">
        <v>37505442.009999998</v>
      </c>
      <c r="Q788" s="9">
        <v>5201131</v>
      </c>
      <c r="R788" s="9">
        <v>5201132</v>
      </c>
      <c r="S788" s="9">
        <v>5200132</v>
      </c>
      <c r="T788" s="9">
        <v>5502132</v>
      </c>
      <c r="U788" s="9">
        <v>5500133</v>
      </c>
      <c r="V788" s="9">
        <v>5501134</v>
      </c>
      <c r="W788" s="9">
        <v>13</v>
      </c>
      <c r="X788" s="9">
        <v>13</v>
      </c>
      <c r="Y788" s="9">
        <v>13</v>
      </c>
      <c r="Z788" s="9">
        <v>13</v>
      </c>
      <c r="AA788" s="9">
        <v>13</v>
      </c>
      <c r="AB788" s="9">
        <v>13</v>
      </c>
      <c r="AC788" s="9">
        <f t="shared" si="470"/>
        <v>1634</v>
      </c>
      <c r="AD788" s="9">
        <f t="shared" si="471"/>
        <v>1765</v>
      </c>
      <c r="AE788" s="9">
        <f t="shared" si="472"/>
        <v>1765</v>
      </c>
      <c r="AF788" s="9">
        <f t="shared" si="473"/>
        <v>1765</v>
      </c>
      <c r="AG788" s="9">
        <f t="shared" si="474"/>
        <v>1765</v>
      </c>
      <c r="AH788" s="9">
        <f t="shared" si="475"/>
        <v>1765</v>
      </c>
      <c r="AI788" s="7">
        <f t="shared" si="496"/>
        <v>6250907.001666666</v>
      </c>
      <c r="AJ788" s="7">
        <f t="shared" si="495"/>
        <v>6250907.001666666</v>
      </c>
      <c r="AK788" s="7">
        <f t="shared" si="495"/>
        <v>6250907.001666666</v>
      </c>
      <c r="AL788" s="7">
        <f t="shared" si="495"/>
        <v>6250907.001666666</v>
      </c>
      <c r="AM788" s="7">
        <f t="shared" si="495"/>
        <v>6250907.001666666</v>
      </c>
      <c r="AN788" s="7">
        <f t="shared" si="495"/>
        <v>6250907.001666666</v>
      </c>
      <c r="BR788" s="5">
        <v>5304071</v>
      </c>
      <c r="BS788" s="18">
        <f>[1]monsters!$N788</f>
        <v>238.93</v>
      </c>
      <c r="BT788" s="18">
        <f>[1]monsters!$O788</f>
        <v>23.89</v>
      </c>
      <c r="BU788" s="18">
        <f>[1]monsters!$P788</f>
        <v>2688</v>
      </c>
      <c r="BV788" s="18">
        <f>[1]monsters!$Q788</f>
        <v>268.8</v>
      </c>
      <c r="BW788" s="18">
        <f>[1]monsters!$R788</f>
        <v>79.64</v>
      </c>
      <c r="BX788" s="18">
        <f>[1]monsters!$S788</f>
        <v>7.96</v>
      </c>
      <c r="BY788" s="18">
        <f>[1]monsters!$K788</f>
        <v>1.6</v>
      </c>
      <c r="BZ788" s="5">
        <f>[1]monsters!$D788</f>
        <v>2</v>
      </c>
      <c r="CA788" s="5">
        <f t="shared" si="497"/>
        <v>0.1</v>
      </c>
      <c r="CB788" s="5">
        <f t="shared" si="498"/>
        <v>316.29390050505054</v>
      </c>
      <c r="CC788" s="5">
        <f t="shared" si="499"/>
        <v>31.629390050505055</v>
      </c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R788" s="3" t="b">
        <f t="shared" si="476"/>
        <v>1</v>
      </c>
      <c r="CS788" s="3" t="b">
        <f t="shared" si="477"/>
        <v>1</v>
      </c>
      <c r="CT788" s="3" t="b">
        <f t="shared" si="478"/>
        <v>1</v>
      </c>
      <c r="CU788" s="3" t="b">
        <f t="shared" si="479"/>
        <v>1</v>
      </c>
      <c r="CV788" s="3" t="b">
        <f t="shared" si="480"/>
        <v>1</v>
      </c>
      <c r="CW788" s="3" t="b">
        <f t="shared" si="481"/>
        <v>1</v>
      </c>
      <c r="CX788" s="9" t="str">
        <f t="shared" si="482"/>
        <v>5201131</v>
      </c>
      <c r="CY788" s="9" t="str">
        <f t="shared" si="483"/>
        <v>5201132</v>
      </c>
      <c r="CZ788" s="9" t="str">
        <f t="shared" si="484"/>
        <v>5200132</v>
      </c>
      <c r="DA788" s="9" t="str">
        <f t="shared" si="485"/>
        <v>5502132</v>
      </c>
      <c r="DB788" s="9" t="str">
        <f t="shared" si="486"/>
        <v>5500133</v>
      </c>
      <c r="DC788" s="9" t="str">
        <f t="shared" si="487"/>
        <v>5501134</v>
      </c>
      <c r="DD788" s="9">
        <v>13</v>
      </c>
      <c r="DE788" s="9">
        <v>13</v>
      </c>
      <c r="DF788" s="9">
        <v>13</v>
      </c>
      <c r="DG788" s="9">
        <v>13</v>
      </c>
      <c r="DH788" s="9">
        <v>13</v>
      </c>
      <c r="DI788" s="9">
        <v>13</v>
      </c>
      <c r="DJ788" s="9">
        <v>5</v>
      </c>
      <c r="DK788" s="9">
        <v>5</v>
      </c>
      <c r="DL788" s="9">
        <v>5</v>
      </c>
      <c r="DM788" s="9">
        <v>5</v>
      </c>
      <c r="DN788" s="9">
        <v>5</v>
      </c>
      <c r="DO788" s="9">
        <v>5</v>
      </c>
      <c r="DP788" s="3" t="s">
        <v>195</v>
      </c>
      <c r="DQ788" s="3" t="s">
        <v>114</v>
      </c>
      <c r="DR788" s="3" t="s">
        <v>199</v>
      </c>
      <c r="DS788" s="3" t="s">
        <v>204</v>
      </c>
      <c r="DT788" s="3" t="s">
        <v>207</v>
      </c>
      <c r="DU788" s="3" t="s">
        <v>214</v>
      </c>
      <c r="DV788" s="25">
        <f t="shared" si="488"/>
        <v>1</v>
      </c>
      <c r="DW788" s="25">
        <f t="shared" si="489"/>
        <v>1</v>
      </c>
      <c r="DX788" s="25">
        <f t="shared" si="490"/>
        <v>1</v>
      </c>
      <c r="DY788" s="25">
        <f t="shared" si="491"/>
        <v>2</v>
      </c>
      <c r="DZ788" s="25">
        <f t="shared" si="492"/>
        <v>2</v>
      </c>
      <c r="EA788" s="25">
        <f t="shared" si="493"/>
        <v>2</v>
      </c>
      <c r="EB788" s="45"/>
    </row>
    <row r="789" spans="1:132" ht="13.5" customHeight="1">
      <c r="A789" s="9">
        <v>786</v>
      </c>
      <c r="B789" s="9">
        <v>1</v>
      </c>
      <c r="C789" s="9">
        <v>2001</v>
      </c>
      <c r="D789" s="9">
        <f t="shared" si="466"/>
        <v>49615831</v>
      </c>
      <c r="E789" s="9" t="str">
        <f t="shared" si="467"/>
        <v>5202133,5202132,5202133,5501135,5401131,5502131</v>
      </c>
      <c r="F789" s="9" t="str">
        <f t="shared" si="468"/>
        <v>13,13,13,13,13,13</v>
      </c>
      <c r="G789" s="9" t="str">
        <f t="shared" si="469"/>
        <v>1636,1767,1767,1767,1767,1767</v>
      </c>
      <c r="H789" s="9">
        <v>354</v>
      </c>
      <c r="I789" s="9" t="s">
        <v>278</v>
      </c>
      <c r="J789" s="9" t="s">
        <v>279</v>
      </c>
      <c r="K789" s="9" t="s">
        <v>279</v>
      </c>
      <c r="L789" s="9" t="s">
        <v>279</v>
      </c>
      <c r="M789" s="36" t="s">
        <v>320</v>
      </c>
      <c r="O789" s="3">
        <f t="shared" si="494"/>
        <v>49615831</v>
      </c>
      <c r="P789" s="9">
        <v>37587751</v>
      </c>
      <c r="Q789" s="9">
        <v>5202133</v>
      </c>
      <c r="R789" s="9">
        <v>5202132</v>
      </c>
      <c r="S789" s="9">
        <v>5202133</v>
      </c>
      <c r="T789" s="9">
        <v>5501135</v>
      </c>
      <c r="U789" s="9">
        <v>5401131</v>
      </c>
      <c r="V789" s="9">
        <v>5502131</v>
      </c>
      <c r="W789" s="9">
        <v>13</v>
      </c>
      <c r="X789" s="9">
        <v>13</v>
      </c>
      <c r="Y789" s="9">
        <v>13</v>
      </c>
      <c r="Z789" s="9">
        <v>13</v>
      </c>
      <c r="AA789" s="9">
        <v>13</v>
      </c>
      <c r="AB789" s="9">
        <v>13</v>
      </c>
      <c r="AC789" s="9">
        <f t="shared" si="470"/>
        <v>1636</v>
      </c>
      <c r="AD789" s="9">
        <f t="shared" si="471"/>
        <v>1767</v>
      </c>
      <c r="AE789" s="9">
        <f t="shared" si="472"/>
        <v>1767</v>
      </c>
      <c r="AF789" s="9">
        <f t="shared" si="473"/>
        <v>1767</v>
      </c>
      <c r="AG789" s="9">
        <f t="shared" si="474"/>
        <v>1767</v>
      </c>
      <c r="AH789" s="9">
        <f t="shared" si="475"/>
        <v>1767</v>
      </c>
      <c r="AI789" s="7">
        <f t="shared" si="496"/>
        <v>6264625.166666667</v>
      </c>
      <c r="AJ789" s="7">
        <f t="shared" si="495"/>
        <v>6264625.166666667</v>
      </c>
      <c r="AK789" s="7">
        <f t="shared" si="495"/>
        <v>6264625.166666667</v>
      </c>
      <c r="AL789" s="7">
        <f t="shared" si="495"/>
        <v>6264625.166666667</v>
      </c>
      <c r="AM789" s="7">
        <f t="shared" si="495"/>
        <v>6264625.166666667</v>
      </c>
      <c r="AN789" s="7">
        <f t="shared" si="495"/>
        <v>6264625.166666667</v>
      </c>
      <c r="BR789" s="5">
        <v>5503071</v>
      </c>
      <c r="BS789" s="18">
        <f>[1]monsters!$N789</f>
        <v>238.93</v>
      </c>
      <c r="BT789" s="18">
        <f>[1]monsters!$O789</f>
        <v>23.89</v>
      </c>
      <c r="BU789" s="18">
        <f>[1]monsters!$P789</f>
        <v>2688</v>
      </c>
      <c r="BV789" s="18">
        <f>[1]monsters!$Q789</f>
        <v>268.8</v>
      </c>
      <c r="BW789" s="18">
        <f>[1]monsters!$R789</f>
        <v>79.64</v>
      </c>
      <c r="BX789" s="18">
        <f>[1]monsters!$S789</f>
        <v>7.96</v>
      </c>
      <c r="BY789" s="18">
        <f>[1]monsters!$K789</f>
        <v>1.6</v>
      </c>
      <c r="BZ789" s="5">
        <f>[1]monsters!$D789</f>
        <v>2</v>
      </c>
      <c r="CA789" s="5">
        <f t="shared" si="497"/>
        <v>0.1</v>
      </c>
      <c r="CB789" s="5">
        <f t="shared" si="498"/>
        <v>316.29390050505054</v>
      </c>
      <c r="CC789" s="5">
        <f t="shared" si="499"/>
        <v>31.629390050505055</v>
      </c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R789" s="3" t="b">
        <f t="shared" si="476"/>
        <v>1</v>
      </c>
      <c r="CS789" s="3" t="b">
        <f t="shared" si="477"/>
        <v>1</v>
      </c>
      <c r="CT789" s="3" t="b">
        <f t="shared" si="478"/>
        <v>1</v>
      </c>
      <c r="CU789" s="3" t="b">
        <f t="shared" si="479"/>
        <v>1</v>
      </c>
      <c r="CV789" s="3" t="b">
        <f t="shared" si="480"/>
        <v>1</v>
      </c>
      <c r="CW789" s="3" t="b">
        <f t="shared" si="481"/>
        <v>1</v>
      </c>
      <c r="CX789" s="9" t="str">
        <f t="shared" si="482"/>
        <v>5202133</v>
      </c>
      <c r="CY789" s="9" t="str">
        <f t="shared" si="483"/>
        <v>5202132</v>
      </c>
      <c r="CZ789" s="9" t="str">
        <f t="shared" si="484"/>
        <v>5202133</v>
      </c>
      <c r="DA789" s="9" t="str">
        <f t="shared" si="485"/>
        <v>5501135</v>
      </c>
      <c r="DB789" s="9" t="str">
        <f t="shared" si="486"/>
        <v>5401131</v>
      </c>
      <c r="DC789" s="9" t="str">
        <f t="shared" si="487"/>
        <v>5502131</v>
      </c>
      <c r="DD789" s="9">
        <v>13</v>
      </c>
      <c r="DE789" s="9">
        <v>13</v>
      </c>
      <c r="DF789" s="9">
        <v>13</v>
      </c>
      <c r="DG789" s="9">
        <v>13</v>
      </c>
      <c r="DH789" s="9">
        <v>13</v>
      </c>
      <c r="DI789" s="9">
        <v>13</v>
      </c>
      <c r="DJ789" s="9">
        <v>5</v>
      </c>
      <c r="DK789" s="9">
        <v>5</v>
      </c>
      <c r="DL789" s="9">
        <v>5</v>
      </c>
      <c r="DM789" s="9">
        <v>5</v>
      </c>
      <c r="DN789" s="9">
        <v>5</v>
      </c>
      <c r="DO789" s="9">
        <v>5</v>
      </c>
      <c r="DP789" s="25" t="s">
        <v>208</v>
      </c>
      <c r="DQ789" s="25" t="s">
        <v>200</v>
      </c>
      <c r="DR789" s="25" t="s">
        <v>208</v>
      </c>
      <c r="DS789" s="25" t="s">
        <v>209</v>
      </c>
      <c r="DT789" s="25" t="s">
        <v>117</v>
      </c>
      <c r="DU789" s="25" t="s">
        <v>119</v>
      </c>
      <c r="DV789" s="25">
        <f t="shared" si="488"/>
        <v>1</v>
      </c>
      <c r="DW789" s="25">
        <f t="shared" si="489"/>
        <v>1</v>
      </c>
      <c r="DX789" s="25">
        <f t="shared" si="490"/>
        <v>1</v>
      </c>
      <c r="DY789" s="25">
        <f t="shared" si="491"/>
        <v>2</v>
      </c>
      <c r="DZ789" s="25">
        <f t="shared" si="492"/>
        <v>2</v>
      </c>
      <c r="EA789" s="25">
        <f t="shared" si="493"/>
        <v>2</v>
      </c>
      <c r="EB789" s="46"/>
    </row>
    <row r="790" spans="1:132" ht="13.5" customHeight="1">
      <c r="A790" s="9">
        <v>787</v>
      </c>
      <c r="B790" s="9">
        <v>1</v>
      </c>
      <c r="C790" s="9">
        <v>2001</v>
      </c>
      <c r="D790" s="9">
        <f t="shared" si="466"/>
        <v>49724599</v>
      </c>
      <c r="E790" s="9" t="str">
        <f t="shared" si="467"/>
        <v>5301131,5301132,5301133,5501134,5501135,5502133</v>
      </c>
      <c r="F790" s="9" t="str">
        <f t="shared" si="468"/>
        <v>13,13,13,13,13,13</v>
      </c>
      <c r="G790" s="9" t="str">
        <f t="shared" si="469"/>
        <v>1637,1769,1769,1769,1769,1769</v>
      </c>
      <c r="H790" s="9">
        <v>354</v>
      </c>
      <c r="I790" s="9" t="s">
        <v>278</v>
      </c>
      <c r="J790" s="9" t="s">
        <v>279</v>
      </c>
      <c r="K790" s="9" t="s">
        <v>279</v>
      </c>
      <c r="L790" s="9" t="s">
        <v>279</v>
      </c>
      <c r="M790" s="36" t="s">
        <v>320</v>
      </c>
      <c r="O790" s="3">
        <f t="shared" si="494"/>
        <v>49724599</v>
      </c>
      <c r="P790" s="9">
        <v>37670150.719999999</v>
      </c>
      <c r="Q790" s="9">
        <v>5301131</v>
      </c>
      <c r="R790" s="9">
        <v>5301132</v>
      </c>
      <c r="S790" s="9">
        <v>5301133</v>
      </c>
      <c r="T790" s="9">
        <v>5501134</v>
      </c>
      <c r="U790" s="9">
        <v>5501135</v>
      </c>
      <c r="V790" s="9">
        <v>5502133</v>
      </c>
      <c r="W790" s="9">
        <v>13</v>
      </c>
      <c r="X790" s="9">
        <v>13</v>
      </c>
      <c r="Y790" s="9">
        <v>13</v>
      </c>
      <c r="Z790" s="9">
        <v>13</v>
      </c>
      <c r="AA790" s="9">
        <v>13</v>
      </c>
      <c r="AB790" s="9">
        <v>13</v>
      </c>
      <c r="AC790" s="9">
        <f t="shared" si="470"/>
        <v>1637</v>
      </c>
      <c r="AD790" s="9">
        <f t="shared" si="471"/>
        <v>1769</v>
      </c>
      <c r="AE790" s="9">
        <f t="shared" si="472"/>
        <v>1769</v>
      </c>
      <c r="AF790" s="9">
        <f t="shared" si="473"/>
        <v>1769</v>
      </c>
      <c r="AG790" s="9">
        <f t="shared" si="474"/>
        <v>1769</v>
      </c>
      <c r="AH790" s="9">
        <f t="shared" si="475"/>
        <v>1769</v>
      </c>
      <c r="AI790" s="7">
        <f t="shared" si="496"/>
        <v>6278358.4533333331</v>
      </c>
      <c r="AJ790" s="7">
        <f t="shared" si="495"/>
        <v>6278358.4533333331</v>
      </c>
      <c r="AK790" s="7">
        <f t="shared" si="495"/>
        <v>6278358.4533333331</v>
      </c>
      <c r="AL790" s="7">
        <f t="shared" si="495"/>
        <v>6278358.4533333331</v>
      </c>
      <c r="AM790" s="7">
        <f t="shared" si="495"/>
        <v>6278358.4533333331</v>
      </c>
      <c r="AN790" s="7">
        <f t="shared" si="495"/>
        <v>6278358.4533333331</v>
      </c>
      <c r="BR790" s="5">
        <v>5504071</v>
      </c>
      <c r="BS790" s="18">
        <f>[1]monsters!$N790</f>
        <v>238.93</v>
      </c>
      <c r="BT790" s="18">
        <f>[1]monsters!$O790</f>
        <v>23.89</v>
      </c>
      <c r="BU790" s="18">
        <f>[1]monsters!$P790</f>
        <v>2688</v>
      </c>
      <c r="BV790" s="18">
        <f>[1]monsters!$Q790</f>
        <v>268.8</v>
      </c>
      <c r="BW790" s="18">
        <f>[1]monsters!$R790</f>
        <v>79.64</v>
      </c>
      <c r="BX790" s="18">
        <f>[1]monsters!$S790</f>
        <v>7.96</v>
      </c>
      <c r="BY790" s="18">
        <f>[1]monsters!$K790</f>
        <v>1.6</v>
      </c>
      <c r="BZ790" s="5">
        <f>[1]monsters!$D790</f>
        <v>2</v>
      </c>
      <c r="CA790" s="5">
        <f t="shared" si="497"/>
        <v>0.1</v>
      </c>
      <c r="CB790" s="5">
        <f t="shared" si="498"/>
        <v>316.29390050505054</v>
      </c>
      <c r="CC790" s="5">
        <f t="shared" si="499"/>
        <v>31.629390050505055</v>
      </c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R790" s="3" t="b">
        <f t="shared" si="476"/>
        <v>1</v>
      </c>
      <c r="CS790" s="3" t="b">
        <f t="shared" si="477"/>
        <v>1</v>
      </c>
      <c r="CT790" s="3" t="b">
        <f t="shared" si="478"/>
        <v>1</v>
      </c>
      <c r="CU790" s="3" t="b">
        <f t="shared" si="479"/>
        <v>1</v>
      </c>
      <c r="CV790" s="3" t="b">
        <f t="shared" si="480"/>
        <v>1</v>
      </c>
      <c r="CW790" s="3" t="b">
        <f t="shared" si="481"/>
        <v>1</v>
      </c>
      <c r="CX790" s="9" t="str">
        <f t="shared" si="482"/>
        <v>5301131</v>
      </c>
      <c r="CY790" s="9" t="str">
        <f t="shared" si="483"/>
        <v>5301132</v>
      </c>
      <c r="CZ790" s="9" t="str">
        <f t="shared" si="484"/>
        <v>5301133</v>
      </c>
      <c r="DA790" s="9" t="str">
        <f t="shared" si="485"/>
        <v>5501134</v>
      </c>
      <c r="DB790" s="9" t="str">
        <f t="shared" si="486"/>
        <v>5501135</v>
      </c>
      <c r="DC790" s="9" t="str">
        <f t="shared" si="487"/>
        <v>5502133</v>
      </c>
      <c r="DD790" s="9">
        <v>13</v>
      </c>
      <c r="DE790" s="9">
        <v>13</v>
      </c>
      <c r="DF790" s="9">
        <v>13</v>
      </c>
      <c r="DG790" s="9">
        <v>13</v>
      </c>
      <c r="DH790" s="9">
        <v>13</v>
      </c>
      <c r="DI790" s="9">
        <v>13</v>
      </c>
      <c r="DJ790" s="9">
        <v>5</v>
      </c>
      <c r="DK790" s="9">
        <v>5</v>
      </c>
      <c r="DL790" s="9">
        <v>5</v>
      </c>
      <c r="DM790" s="9">
        <v>5</v>
      </c>
      <c r="DN790" s="9">
        <v>5</v>
      </c>
      <c r="DO790" s="9">
        <v>5</v>
      </c>
      <c r="DP790" s="26" t="s">
        <v>107</v>
      </c>
      <c r="DQ790" s="26" t="s">
        <v>201</v>
      </c>
      <c r="DR790" s="26" t="s">
        <v>206</v>
      </c>
      <c r="DS790" s="26" t="s">
        <v>214</v>
      </c>
      <c r="DT790" s="26" t="s">
        <v>209</v>
      </c>
      <c r="DU790" s="26" t="s">
        <v>215</v>
      </c>
      <c r="DV790" s="25">
        <f t="shared" si="488"/>
        <v>1</v>
      </c>
      <c r="DW790" s="25">
        <f t="shared" si="489"/>
        <v>1</v>
      </c>
      <c r="DX790" s="25">
        <f t="shared" si="490"/>
        <v>1</v>
      </c>
      <c r="DY790" s="25">
        <f t="shared" si="491"/>
        <v>2</v>
      </c>
      <c r="DZ790" s="25">
        <f t="shared" si="492"/>
        <v>2</v>
      </c>
      <c r="EA790" s="25">
        <f t="shared" si="493"/>
        <v>2</v>
      </c>
      <c r="EB790" s="45"/>
    </row>
    <row r="791" spans="1:132" ht="13.5" customHeight="1">
      <c r="A791" s="9">
        <v>788</v>
      </c>
      <c r="B791" s="9">
        <v>1</v>
      </c>
      <c r="C791" s="9">
        <v>2001</v>
      </c>
      <c r="D791" s="9">
        <f t="shared" si="466"/>
        <v>49833484</v>
      </c>
      <c r="E791" s="9" t="str">
        <f t="shared" si="467"/>
        <v>5200132,5200133,5202132,5402132,5500133,5501134</v>
      </c>
      <c r="F791" s="9" t="str">
        <f t="shared" si="468"/>
        <v>13,13,13,13,13,13</v>
      </c>
      <c r="G791" s="9" t="str">
        <f t="shared" si="469"/>
        <v>1639,1771,1771,1771,1771,1771</v>
      </c>
      <c r="H791" s="9">
        <v>355</v>
      </c>
      <c r="I791" s="9" t="s">
        <v>278</v>
      </c>
      <c r="J791" s="9" t="s">
        <v>279</v>
      </c>
      <c r="K791" s="9" t="s">
        <v>279</v>
      </c>
      <c r="L791" s="9" t="s">
        <v>279</v>
      </c>
      <c r="M791" s="36" t="s">
        <v>320</v>
      </c>
      <c r="O791" s="3">
        <f t="shared" si="494"/>
        <v>49833484</v>
      </c>
      <c r="P791" s="9">
        <v>37752639.060000002</v>
      </c>
      <c r="Q791" s="9">
        <v>5200132</v>
      </c>
      <c r="R791" s="9">
        <v>5200133</v>
      </c>
      <c r="S791" s="9">
        <v>5202132</v>
      </c>
      <c r="T791" s="9">
        <v>5402132</v>
      </c>
      <c r="U791" s="9">
        <v>5500133</v>
      </c>
      <c r="V791" s="9">
        <v>5501134</v>
      </c>
      <c r="W791" s="9">
        <v>13</v>
      </c>
      <c r="X791" s="9">
        <v>13</v>
      </c>
      <c r="Y791" s="9">
        <v>13</v>
      </c>
      <c r="Z791" s="9">
        <v>13</v>
      </c>
      <c r="AA791" s="9">
        <v>13</v>
      </c>
      <c r="AB791" s="9">
        <v>13</v>
      </c>
      <c r="AC791" s="9">
        <f t="shared" si="470"/>
        <v>1639</v>
      </c>
      <c r="AD791" s="9">
        <f t="shared" si="471"/>
        <v>1771</v>
      </c>
      <c r="AE791" s="9">
        <f t="shared" si="472"/>
        <v>1771</v>
      </c>
      <c r="AF791" s="9">
        <f t="shared" si="473"/>
        <v>1771</v>
      </c>
      <c r="AG791" s="9">
        <f t="shared" si="474"/>
        <v>1771</v>
      </c>
      <c r="AH791" s="9">
        <f t="shared" si="475"/>
        <v>1771</v>
      </c>
      <c r="AI791" s="7">
        <f t="shared" si="496"/>
        <v>6292106.5100000007</v>
      </c>
      <c r="AJ791" s="7">
        <f t="shared" si="495"/>
        <v>6292106.5100000007</v>
      </c>
      <c r="AK791" s="7">
        <f t="shared" si="495"/>
        <v>6292106.5100000007</v>
      </c>
      <c r="AL791" s="7">
        <f t="shared" si="495"/>
        <v>6292106.5100000007</v>
      </c>
      <c r="AM791" s="7">
        <f t="shared" si="495"/>
        <v>6292106.5100000007</v>
      </c>
      <c r="AN791" s="7">
        <f t="shared" si="495"/>
        <v>6292106.5100000007</v>
      </c>
      <c r="BR791" s="5">
        <v>5101071</v>
      </c>
      <c r="BS791" s="18">
        <f>[1]monsters!$N791</f>
        <v>238.93</v>
      </c>
      <c r="BT791" s="18">
        <f>[1]monsters!$O791</f>
        <v>23.89</v>
      </c>
      <c r="BU791" s="18">
        <f>[1]monsters!$P791</f>
        <v>2688</v>
      </c>
      <c r="BV791" s="18">
        <f>[1]monsters!$Q791</f>
        <v>268.8</v>
      </c>
      <c r="BW791" s="18">
        <f>[1]monsters!$R791</f>
        <v>79.64</v>
      </c>
      <c r="BX791" s="18">
        <f>[1]monsters!$S791</f>
        <v>7.96</v>
      </c>
      <c r="BY791" s="18">
        <f>[1]monsters!$K791</f>
        <v>1.6</v>
      </c>
      <c r="BZ791" s="5">
        <f>[1]monsters!$D791</f>
        <v>2</v>
      </c>
      <c r="CA791" s="5">
        <f t="shared" si="497"/>
        <v>0.1</v>
      </c>
      <c r="CB791" s="5">
        <f t="shared" si="498"/>
        <v>316.29390050505054</v>
      </c>
      <c r="CC791" s="5">
        <f t="shared" si="499"/>
        <v>31.629390050505055</v>
      </c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R791" s="3" t="b">
        <f t="shared" si="476"/>
        <v>1</v>
      </c>
      <c r="CS791" s="3" t="b">
        <f t="shared" si="477"/>
        <v>1</v>
      </c>
      <c r="CT791" s="3" t="b">
        <f t="shared" si="478"/>
        <v>1</v>
      </c>
      <c r="CU791" s="3" t="b">
        <f t="shared" si="479"/>
        <v>1</v>
      </c>
      <c r="CV791" s="3" t="b">
        <f t="shared" si="480"/>
        <v>1</v>
      </c>
      <c r="CW791" s="3" t="b">
        <f t="shared" si="481"/>
        <v>1</v>
      </c>
      <c r="CX791" s="9" t="str">
        <f t="shared" si="482"/>
        <v>5200132</v>
      </c>
      <c r="CY791" s="9" t="str">
        <f t="shared" si="483"/>
        <v>5200133</v>
      </c>
      <c r="CZ791" s="9" t="str">
        <f t="shared" si="484"/>
        <v>5202132</v>
      </c>
      <c r="DA791" s="9" t="str">
        <f t="shared" si="485"/>
        <v>5402132</v>
      </c>
      <c r="DB791" s="9" t="str">
        <f t="shared" si="486"/>
        <v>5500133</v>
      </c>
      <c r="DC791" s="9" t="str">
        <f t="shared" si="487"/>
        <v>5501134</v>
      </c>
      <c r="DD791" s="9">
        <v>13</v>
      </c>
      <c r="DE791" s="9">
        <v>13</v>
      </c>
      <c r="DF791" s="9">
        <v>13</v>
      </c>
      <c r="DG791" s="9">
        <v>13</v>
      </c>
      <c r="DH791" s="9">
        <v>13</v>
      </c>
      <c r="DI791" s="9">
        <v>13</v>
      </c>
      <c r="DJ791" s="9">
        <v>5</v>
      </c>
      <c r="DK791" s="9">
        <v>5</v>
      </c>
      <c r="DL791" s="9">
        <v>5</v>
      </c>
      <c r="DM791" s="9">
        <v>5</v>
      </c>
      <c r="DN791" s="9">
        <v>5</v>
      </c>
      <c r="DO791" s="9">
        <v>5</v>
      </c>
      <c r="DP791" s="25" t="s">
        <v>199</v>
      </c>
      <c r="DQ791" s="25" t="s">
        <v>113</v>
      </c>
      <c r="DR791" s="26" t="s">
        <v>200</v>
      </c>
      <c r="DS791" s="26" t="s">
        <v>203</v>
      </c>
      <c r="DT791" s="26" t="s">
        <v>207</v>
      </c>
      <c r="DU791" s="26" t="s">
        <v>214</v>
      </c>
      <c r="DV791" s="25">
        <f t="shared" si="488"/>
        <v>1</v>
      </c>
      <c r="DW791" s="25">
        <f t="shared" si="489"/>
        <v>1</v>
      </c>
      <c r="DX791" s="25">
        <f t="shared" si="490"/>
        <v>1</v>
      </c>
      <c r="DY791" s="25">
        <f t="shared" si="491"/>
        <v>2</v>
      </c>
      <c r="DZ791" s="25">
        <f t="shared" si="492"/>
        <v>2</v>
      </c>
      <c r="EA791" s="25">
        <f t="shared" si="493"/>
        <v>2</v>
      </c>
      <c r="EB791" s="45"/>
    </row>
    <row r="792" spans="1:132" ht="13.5" customHeight="1">
      <c r="A792" s="9">
        <v>789</v>
      </c>
      <c r="B792" s="9">
        <v>1</v>
      </c>
      <c r="C792" s="9">
        <v>2001</v>
      </c>
      <c r="D792" s="9">
        <f t="shared" si="466"/>
        <v>49942491</v>
      </c>
      <c r="E792" s="9" t="str">
        <f t="shared" si="467"/>
        <v>5300135,5201132,5301131,5400135,5501135,5400135</v>
      </c>
      <c r="F792" s="9" t="str">
        <f t="shared" si="468"/>
        <v>13,13,13,13,13,13</v>
      </c>
      <c r="G792" s="9" t="str">
        <f t="shared" si="469"/>
        <v>1641,1773,1773,1773,1773,1773</v>
      </c>
      <c r="H792" s="9">
        <v>355</v>
      </c>
      <c r="I792" s="9" t="s">
        <v>278</v>
      </c>
      <c r="J792" s="9" t="s">
        <v>279</v>
      </c>
      <c r="K792" s="9" t="s">
        <v>279</v>
      </c>
      <c r="L792" s="9" t="s">
        <v>279</v>
      </c>
      <c r="M792" s="36" t="s">
        <v>320</v>
      </c>
      <c r="O792" s="3">
        <f t="shared" si="494"/>
        <v>49942491</v>
      </c>
      <c r="P792" s="9">
        <v>37835220.240000002</v>
      </c>
      <c r="Q792" s="9">
        <v>5300135</v>
      </c>
      <c r="R792" s="9">
        <v>5201132</v>
      </c>
      <c r="S792" s="9">
        <v>5301131</v>
      </c>
      <c r="T792" s="9">
        <v>5400135</v>
      </c>
      <c r="U792" s="9">
        <v>5501135</v>
      </c>
      <c r="V792" s="9">
        <v>5400135</v>
      </c>
      <c r="W792" s="9">
        <v>13</v>
      </c>
      <c r="X792" s="9">
        <v>13</v>
      </c>
      <c r="Y792" s="9">
        <v>13</v>
      </c>
      <c r="Z792" s="9">
        <v>13</v>
      </c>
      <c r="AA792" s="9">
        <v>13</v>
      </c>
      <c r="AB792" s="9">
        <v>13</v>
      </c>
      <c r="AC792" s="9">
        <f t="shared" si="470"/>
        <v>1641</v>
      </c>
      <c r="AD792" s="9">
        <f t="shared" si="471"/>
        <v>1773</v>
      </c>
      <c r="AE792" s="9">
        <f t="shared" si="472"/>
        <v>1773</v>
      </c>
      <c r="AF792" s="9">
        <f t="shared" si="473"/>
        <v>1773</v>
      </c>
      <c r="AG792" s="9">
        <f t="shared" si="474"/>
        <v>1773</v>
      </c>
      <c r="AH792" s="9">
        <f t="shared" si="475"/>
        <v>1773</v>
      </c>
      <c r="AI792" s="7">
        <f t="shared" si="496"/>
        <v>6305870.04</v>
      </c>
      <c r="AJ792" s="7">
        <f t="shared" si="495"/>
        <v>6305870.04</v>
      </c>
      <c r="AK792" s="7">
        <f t="shared" si="495"/>
        <v>6305870.04</v>
      </c>
      <c r="AL792" s="7">
        <f t="shared" si="495"/>
        <v>6305870.04</v>
      </c>
      <c r="AM792" s="7">
        <f t="shared" si="495"/>
        <v>6305870.04</v>
      </c>
      <c r="AN792" s="7">
        <f t="shared" si="495"/>
        <v>6305870.04</v>
      </c>
      <c r="BR792" s="5">
        <v>5102071</v>
      </c>
      <c r="BS792" s="18">
        <f>[1]monsters!$N792</f>
        <v>256</v>
      </c>
      <c r="BT792" s="18">
        <f>[1]monsters!$O792</f>
        <v>25.6</v>
      </c>
      <c r="BU792" s="18">
        <f>[1]monsters!$P792</f>
        <v>2880</v>
      </c>
      <c r="BV792" s="18">
        <f>[1]monsters!$Q792</f>
        <v>288</v>
      </c>
      <c r="BW792" s="18">
        <f>[1]monsters!$R792</f>
        <v>85.33</v>
      </c>
      <c r="BX792" s="18">
        <f>[1]monsters!$S792</f>
        <v>8.5299999999999994</v>
      </c>
      <c r="BY792" s="18">
        <f>[1]monsters!$K792</f>
        <v>1.6</v>
      </c>
      <c r="BZ792" s="5">
        <f>[1]monsters!$D792</f>
        <v>2</v>
      </c>
      <c r="CA792" s="5">
        <f t="shared" si="497"/>
        <v>0.1</v>
      </c>
      <c r="CB792" s="5">
        <f t="shared" si="498"/>
        <v>338.88969696969696</v>
      </c>
      <c r="CC792" s="5">
        <f t="shared" si="499"/>
        <v>33.888969696969696</v>
      </c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R792" s="3" t="b">
        <f t="shared" si="476"/>
        <v>1</v>
      </c>
      <c r="CS792" s="3" t="b">
        <f t="shared" si="477"/>
        <v>1</v>
      </c>
      <c r="CT792" s="3" t="b">
        <f t="shared" si="478"/>
        <v>1</v>
      </c>
      <c r="CU792" s="3" t="b">
        <f t="shared" si="479"/>
        <v>1</v>
      </c>
      <c r="CV792" s="3" t="b">
        <f t="shared" si="480"/>
        <v>1</v>
      </c>
      <c r="CW792" s="3" t="b">
        <f t="shared" si="481"/>
        <v>1</v>
      </c>
      <c r="CX792" s="9" t="str">
        <f t="shared" si="482"/>
        <v>5300135</v>
      </c>
      <c r="CY792" s="9" t="str">
        <f t="shared" si="483"/>
        <v>5201132</v>
      </c>
      <c r="CZ792" s="9" t="str">
        <f t="shared" si="484"/>
        <v>5301131</v>
      </c>
      <c r="DA792" s="9" t="str">
        <f t="shared" si="485"/>
        <v>5400135</v>
      </c>
      <c r="DB792" s="9" t="str">
        <f t="shared" si="486"/>
        <v>5501135</v>
      </c>
      <c r="DC792" s="9" t="str">
        <f t="shared" si="487"/>
        <v>5400135</v>
      </c>
      <c r="DD792" s="9">
        <v>13</v>
      </c>
      <c r="DE792" s="9">
        <v>13</v>
      </c>
      <c r="DF792" s="9">
        <v>13</v>
      </c>
      <c r="DG792" s="9">
        <v>13</v>
      </c>
      <c r="DH792" s="9">
        <v>13</v>
      </c>
      <c r="DI792" s="9">
        <v>13</v>
      </c>
      <c r="DJ792" s="9">
        <v>5</v>
      </c>
      <c r="DK792" s="9">
        <v>5</v>
      </c>
      <c r="DL792" s="9">
        <v>5</v>
      </c>
      <c r="DM792" s="9">
        <v>5</v>
      </c>
      <c r="DN792" s="9">
        <v>5</v>
      </c>
      <c r="DO792" s="9">
        <v>5</v>
      </c>
      <c r="DP792" s="25" t="s">
        <v>212</v>
      </c>
      <c r="DQ792" s="25" t="s">
        <v>114</v>
      </c>
      <c r="DR792" s="25" t="s">
        <v>107</v>
      </c>
      <c r="DS792" s="26" t="s">
        <v>210</v>
      </c>
      <c r="DT792" s="26" t="s">
        <v>209</v>
      </c>
      <c r="DU792" s="26" t="s">
        <v>210</v>
      </c>
      <c r="DV792" s="25">
        <f t="shared" si="488"/>
        <v>1</v>
      </c>
      <c r="DW792" s="25">
        <f t="shared" si="489"/>
        <v>1</v>
      </c>
      <c r="DX792" s="25">
        <f t="shared" si="490"/>
        <v>1</v>
      </c>
      <c r="DY792" s="25">
        <f t="shared" si="491"/>
        <v>2</v>
      </c>
      <c r="DZ792" s="25">
        <f t="shared" si="492"/>
        <v>2</v>
      </c>
      <c r="EA792" s="25">
        <f t="shared" si="493"/>
        <v>2</v>
      </c>
      <c r="EB792" s="45"/>
    </row>
    <row r="793" spans="1:132" ht="13.5" customHeight="1">
      <c r="A793" s="9">
        <v>790</v>
      </c>
      <c r="B793" s="9">
        <v>1</v>
      </c>
      <c r="C793" s="9">
        <v>2001</v>
      </c>
      <c r="D793" s="9">
        <f t="shared" si="466"/>
        <v>50051618</v>
      </c>
      <c r="E793" s="9" t="str">
        <f t="shared" si="467"/>
        <v>5201131,5200133,5202131,5502132,5500131,5601132</v>
      </c>
      <c r="F793" s="9" t="str">
        <f t="shared" si="468"/>
        <v>13,13,13,13,13,13</v>
      </c>
      <c r="G793" s="9" t="str">
        <f t="shared" si="469"/>
        <v>1643,1775,1775,1775,1775,1775</v>
      </c>
      <c r="H793" s="9">
        <v>356</v>
      </c>
      <c r="I793" s="9" t="s">
        <v>278</v>
      </c>
      <c r="J793" s="9" t="s">
        <v>279</v>
      </c>
      <c r="K793" s="9" t="s">
        <v>279</v>
      </c>
      <c r="L793" s="9" t="s">
        <v>279</v>
      </c>
      <c r="M793" s="36" t="s">
        <v>320</v>
      </c>
      <c r="O793" s="3">
        <f t="shared" si="494"/>
        <v>50051618</v>
      </c>
      <c r="P793" s="9">
        <v>37917892.149999999</v>
      </c>
      <c r="Q793" s="9">
        <v>5201131</v>
      </c>
      <c r="R793" s="9">
        <v>5200133</v>
      </c>
      <c r="S793" s="9">
        <v>5202131</v>
      </c>
      <c r="T793" s="9">
        <v>5502132</v>
      </c>
      <c r="U793" s="9">
        <v>5500131</v>
      </c>
      <c r="V793" s="9">
        <v>5601132</v>
      </c>
      <c r="W793" s="9">
        <v>13</v>
      </c>
      <c r="X793" s="9">
        <v>13</v>
      </c>
      <c r="Y793" s="9">
        <v>13</v>
      </c>
      <c r="Z793" s="9">
        <v>13</v>
      </c>
      <c r="AA793" s="9">
        <v>13</v>
      </c>
      <c r="AB793" s="9">
        <v>13</v>
      </c>
      <c r="AC793" s="9">
        <f t="shared" si="470"/>
        <v>1643</v>
      </c>
      <c r="AD793" s="9">
        <f t="shared" si="471"/>
        <v>1775</v>
      </c>
      <c r="AE793" s="9">
        <f t="shared" si="472"/>
        <v>1775</v>
      </c>
      <c r="AF793" s="9">
        <f t="shared" si="473"/>
        <v>1775</v>
      </c>
      <c r="AG793" s="9">
        <f t="shared" si="474"/>
        <v>1775</v>
      </c>
      <c r="AH793" s="9">
        <f t="shared" si="475"/>
        <v>1775</v>
      </c>
      <c r="AI793" s="7">
        <f t="shared" si="496"/>
        <v>6319648.6916666664</v>
      </c>
      <c r="AJ793" s="7">
        <f t="shared" si="495"/>
        <v>6319648.6916666664</v>
      </c>
      <c r="AK793" s="7">
        <f t="shared" si="495"/>
        <v>6319648.6916666664</v>
      </c>
      <c r="AL793" s="7">
        <f t="shared" si="495"/>
        <v>6319648.6916666664</v>
      </c>
      <c r="AM793" s="7">
        <f t="shared" si="495"/>
        <v>6319648.6916666664</v>
      </c>
      <c r="AN793" s="7">
        <f t="shared" si="495"/>
        <v>6319648.6916666664</v>
      </c>
      <c r="BR793" s="5">
        <v>5206072</v>
      </c>
      <c r="BS793" s="18">
        <f>[1]monsters!$N793</f>
        <v>256</v>
      </c>
      <c r="BT793" s="18">
        <f>[1]monsters!$O793</f>
        <v>25.6</v>
      </c>
      <c r="BU793" s="18">
        <f>[1]monsters!$P793</f>
        <v>2880</v>
      </c>
      <c r="BV793" s="18">
        <f>[1]monsters!$Q793</f>
        <v>288</v>
      </c>
      <c r="BW793" s="18">
        <f>[1]monsters!$R793</f>
        <v>85.33</v>
      </c>
      <c r="BX793" s="18">
        <f>[1]monsters!$S793</f>
        <v>8.5299999999999994</v>
      </c>
      <c r="BY793" s="18">
        <f>[1]monsters!$K793</f>
        <v>1.6</v>
      </c>
      <c r="BZ793" s="5">
        <f>[1]monsters!$D793</f>
        <v>2</v>
      </c>
      <c r="CA793" s="5">
        <f t="shared" si="497"/>
        <v>0.1</v>
      </c>
      <c r="CB793" s="5">
        <f t="shared" si="498"/>
        <v>338.88969696969696</v>
      </c>
      <c r="CC793" s="5">
        <f t="shared" si="499"/>
        <v>33.888969696969696</v>
      </c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R793" s="3" t="b">
        <f t="shared" si="476"/>
        <v>1</v>
      </c>
      <c r="CS793" s="3" t="b">
        <f t="shared" si="477"/>
        <v>1</v>
      </c>
      <c r="CT793" s="3" t="b">
        <f t="shared" si="478"/>
        <v>1</v>
      </c>
      <c r="CU793" s="3" t="b">
        <f t="shared" si="479"/>
        <v>1</v>
      </c>
      <c r="CV793" s="3" t="b">
        <f t="shared" si="480"/>
        <v>1</v>
      </c>
      <c r="CW793" s="3" t="b">
        <f t="shared" si="481"/>
        <v>1</v>
      </c>
      <c r="CX793" s="9" t="str">
        <f t="shared" si="482"/>
        <v>5201131</v>
      </c>
      <c r="CY793" s="9" t="str">
        <f t="shared" si="483"/>
        <v>5200133</v>
      </c>
      <c r="CZ793" s="9" t="str">
        <f t="shared" si="484"/>
        <v>5202131</v>
      </c>
      <c r="DA793" s="9" t="str">
        <f t="shared" si="485"/>
        <v>5502132</v>
      </c>
      <c r="DB793" s="9" t="str">
        <f t="shared" si="486"/>
        <v>5500131</v>
      </c>
      <c r="DC793" s="9" t="str">
        <f t="shared" si="487"/>
        <v>5601132</v>
      </c>
      <c r="DD793" s="9">
        <v>13</v>
      </c>
      <c r="DE793" s="9">
        <v>13</v>
      </c>
      <c r="DF793" s="9">
        <v>13</v>
      </c>
      <c r="DG793" s="9">
        <v>13</v>
      </c>
      <c r="DH793" s="9">
        <v>13</v>
      </c>
      <c r="DI793" s="9">
        <v>13</v>
      </c>
      <c r="DJ793" s="9">
        <v>5</v>
      </c>
      <c r="DK793" s="9">
        <v>5</v>
      </c>
      <c r="DL793" s="9">
        <v>5</v>
      </c>
      <c r="DM793" s="9">
        <v>5</v>
      </c>
      <c r="DN793" s="9">
        <v>5</v>
      </c>
      <c r="DO793" s="9">
        <v>5</v>
      </c>
      <c r="DP793" s="25" t="s">
        <v>195</v>
      </c>
      <c r="DQ793" s="25" t="s">
        <v>113</v>
      </c>
      <c r="DR793" s="26" t="s">
        <v>111</v>
      </c>
      <c r="DS793" s="28" t="s">
        <v>204</v>
      </c>
      <c r="DT793" s="26" t="s">
        <v>197</v>
      </c>
      <c r="DU793" s="26" t="s">
        <v>124</v>
      </c>
      <c r="DV793" s="25">
        <f t="shared" si="488"/>
        <v>1</v>
      </c>
      <c r="DW793" s="25">
        <f t="shared" si="489"/>
        <v>1</v>
      </c>
      <c r="DX793" s="25">
        <f t="shared" si="490"/>
        <v>1</v>
      </c>
      <c r="DY793" s="25">
        <f t="shared" si="491"/>
        <v>2</v>
      </c>
      <c r="DZ793" s="25">
        <f t="shared" si="492"/>
        <v>2</v>
      </c>
      <c r="EA793" s="25">
        <f t="shared" si="493"/>
        <v>2</v>
      </c>
      <c r="EB793" s="47"/>
    </row>
    <row r="794" spans="1:132" ht="13.5" customHeight="1">
      <c r="A794" s="9">
        <v>791</v>
      </c>
      <c r="B794" s="9">
        <v>1</v>
      </c>
      <c r="C794" s="9">
        <v>2001</v>
      </c>
      <c r="D794" s="9">
        <f t="shared" si="466"/>
        <v>50160862</v>
      </c>
      <c r="E794" s="9" t="str">
        <f t="shared" si="467"/>
        <v>5200132,5200133,5200132,5501134,5500133,5501134</v>
      </c>
      <c r="F794" s="9" t="str">
        <f t="shared" si="468"/>
        <v>13,13,13,13,13,13</v>
      </c>
      <c r="G794" s="9" t="str">
        <f t="shared" si="469"/>
        <v>1645,1777,1777,1777,1777,1777</v>
      </c>
      <c r="H794" s="9">
        <v>356</v>
      </c>
      <c r="I794" s="9" t="s">
        <v>278</v>
      </c>
      <c r="J794" s="9" t="s">
        <v>279</v>
      </c>
      <c r="K794" s="9" t="s">
        <v>279</v>
      </c>
      <c r="L794" s="9" t="s">
        <v>279</v>
      </c>
      <c r="M794" s="36" t="s">
        <v>320</v>
      </c>
      <c r="O794" s="3">
        <f t="shared" si="494"/>
        <v>50160862</v>
      </c>
      <c r="P794" s="9">
        <v>38000652.68</v>
      </c>
      <c r="Q794" s="9">
        <v>5200132</v>
      </c>
      <c r="R794" s="9">
        <v>5200133</v>
      </c>
      <c r="S794" s="9">
        <v>5200132</v>
      </c>
      <c r="T794" s="9">
        <v>5501134</v>
      </c>
      <c r="U794" s="9">
        <v>5500133</v>
      </c>
      <c r="V794" s="9">
        <v>5501134</v>
      </c>
      <c r="W794" s="9">
        <v>13</v>
      </c>
      <c r="X794" s="9">
        <v>13</v>
      </c>
      <c r="Y794" s="9">
        <v>13</v>
      </c>
      <c r="Z794" s="9">
        <v>13</v>
      </c>
      <c r="AA794" s="9">
        <v>13</v>
      </c>
      <c r="AB794" s="9">
        <v>13</v>
      </c>
      <c r="AC794" s="9">
        <f t="shared" si="470"/>
        <v>1645</v>
      </c>
      <c r="AD794" s="9">
        <f t="shared" si="471"/>
        <v>1777</v>
      </c>
      <c r="AE794" s="9">
        <f t="shared" si="472"/>
        <v>1777</v>
      </c>
      <c r="AF794" s="9">
        <f t="shared" si="473"/>
        <v>1777</v>
      </c>
      <c r="AG794" s="9">
        <f t="shared" si="474"/>
        <v>1777</v>
      </c>
      <c r="AH794" s="9">
        <f t="shared" si="475"/>
        <v>1777</v>
      </c>
      <c r="AI794" s="7">
        <f t="shared" si="496"/>
        <v>6333442.1133333333</v>
      </c>
      <c r="AJ794" s="7">
        <f t="shared" si="495"/>
        <v>6333442.1133333333</v>
      </c>
      <c r="AK794" s="7">
        <f t="shared" si="495"/>
        <v>6333442.1133333333</v>
      </c>
      <c r="AL794" s="7">
        <f t="shared" si="495"/>
        <v>6333442.1133333333</v>
      </c>
      <c r="AM794" s="7">
        <f t="shared" si="495"/>
        <v>6333442.1133333333</v>
      </c>
      <c r="AN794" s="7">
        <f t="shared" si="495"/>
        <v>6333442.1133333333</v>
      </c>
      <c r="BR794" s="5">
        <v>5406072</v>
      </c>
      <c r="BS794" s="18">
        <f>[1]monsters!$N794</f>
        <v>256</v>
      </c>
      <c r="BT794" s="18">
        <f>[1]monsters!$O794</f>
        <v>25.6</v>
      </c>
      <c r="BU794" s="18">
        <f>[1]monsters!$P794</f>
        <v>2880</v>
      </c>
      <c r="BV794" s="18">
        <f>[1]monsters!$Q794</f>
        <v>288</v>
      </c>
      <c r="BW794" s="18">
        <f>[1]monsters!$R794</f>
        <v>85.33</v>
      </c>
      <c r="BX794" s="18">
        <f>[1]monsters!$S794</f>
        <v>8.5299999999999994</v>
      </c>
      <c r="BY794" s="18">
        <f>[1]monsters!$K794</f>
        <v>1.6</v>
      </c>
      <c r="BZ794" s="5">
        <f>[1]monsters!$D794</f>
        <v>2</v>
      </c>
      <c r="CA794" s="5">
        <f t="shared" si="497"/>
        <v>0.1</v>
      </c>
      <c r="CB794" s="5">
        <f t="shared" si="498"/>
        <v>338.88969696969696</v>
      </c>
      <c r="CC794" s="5">
        <f t="shared" si="499"/>
        <v>33.888969696969696</v>
      </c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R794" s="3" t="b">
        <f t="shared" si="476"/>
        <v>1</v>
      </c>
      <c r="CS794" s="3" t="b">
        <f t="shared" si="477"/>
        <v>1</v>
      </c>
      <c r="CT794" s="3" t="b">
        <f t="shared" si="478"/>
        <v>1</v>
      </c>
      <c r="CU794" s="3" t="b">
        <f t="shared" si="479"/>
        <v>1</v>
      </c>
      <c r="CV794" s="3" t="b">
        <f t="shared" si="480"/>
        <v>1</v>
      </c>
      <c r="CW794" s="3" t="b">
        <f t="shared" si="481"/>
        <v>1</v>
      </c>
      <c r="CX794" s="9" t="str">
        <f t="shared" si="482"/>
        <v>5200132</v>
      </c>
      <c r="CY794" s="9" t="str">
        <f t="shared" si="483"/>
        <v>5200133</v>
      </c>
      <c r="CZ794" s="9" t="str">
        <f t="shared" si="484"/>
        <v>5200132</v>
      </c>
      <c r="DA794" s="9" t="str">
        <f t="shared" si="485"/>
        <v>5501134</v>
      </c>
      <c r="DB794" s="9" t="str">
        <f t="shared" si="486"/>
        <v>5500133</v>
      </c>
      <c r="DC794" s="9" t="str">
        <f t="shared" si="487"/>
        <v>5501134</v>
      </c>
      <c r="DD794" s="9">
        <v>13</v>
      </c>
      <c r="DE794" s="9">
        <v>13</v>
      </c>
      <c r="DF794" s="9">
        <v>13</v>
      </c>
      <c r="DG794" s="9">
        <v>13</v>
      </c>
      <c r="DH794" s="9">
        <v>13</v>
      </c>
      <c r="DI794" s="9">
        <v>13</v>
      </c>
      <c r="DJ794" s="9">
        <v>5</v>
      </c>
      <c r="DK794" s="9">
        <v>5</v>
      </c>
      <c r="DL794" s="9">
        <v>5</v>
      </c>
      <c r="DM794" s="9">
        <v>5</v>
      </c>
      <c r="DN794" s="9">
        <v>5</v>
      </c>
      <c r="DO794" s="9">
        <v>5</v>
      </c>
      <c r="DP794" s="25" t="s">
        <v>199</v>
      </c>
      <c r="DQ794" s="25" t="s">
        <v>113</v>
      </c>
      <c r="DR794" s="25" t="s">
        <v>199</v>
      </c>
      <c r="DS794" s="26" t="s">
        <v>214</v>
      </c>
      <c r="DT794" s="26" t="s">
        <v>207</v>
      </c>
      <c r="DU794" s="26" t="s">
        <v>214</v>
      </c>
      <c r="DV794" s="25">
        <f t="shared" si="488"/>
        <v>1</v>
      </c>
      <c r="DW794" s="25">
        <f t="shared" si="489"/>
        <v>1</v>
      </c>
      <c r="DX794" s="25">
        <f t="shared" si="490"/>
        <v>1</v>
      </c>
      <c r="DY794" s="25">
        <f t="shared" si="491"/>
        <v>2</v>
      </c>
      <c r="DZ794" s="25">
        <f t="shared" si="492"/>
        <v>2</v>
      </c>
      <c r="EA794" s="25">
        <f t="shared" si="493"/>
        <v>2</v>
      </c>
      <c r="EB794" s="47"/>
    </row>
    <row r="795" spans="1:132" ht="13.5" customHeight="1">
      <c r="A795" s="9">
        <v>792</v>
      </c>
      <c r="B795" s="9">
        <v>1</v>
      </c>
      <c r="C795" s="9">
        <v>2001</v>
      </c>
      <c r="D795" s="9">
        <f t="shared" si="466"/>
        <v>50270228</v>
      </c>
      <c r="E795" s="9" t="str">
        <f t="shared" si="467"/>
        <v>5202132,5201132,5301131,5400135,5401131,5502131</v>
      </c>
      <c r="F795" s="9" t="str">
        <f t="shared" si="468"/>
        <v>13,13,13,13,13,13</v>
      </c>
      <c r="G795" s="9" t="str">
        <f t="shared" si="469"/>
        <v>1646,1779,1779,1779,1779,1779</v>
      </c>
      <c r="H795" s="9">
        <v>356</v>
      </c>
      <c r="I795" s="9" t="s">
        <v>278</v>
      </c>
      <c r="J795" s="9" t="s">
        <v>279</v>
      </c>
      <c r="K795" s="9" t="s">
        <v>279</v>
      </c>
      <c r="L795" s="9" t="s">
        <v>279</v>
      </c>
      <c r="M795" s="36" t="s">
        <v>320</v>
      </c>
      <c r="O795" s="3">
        <f t="shared" si="494"/>
        <v>50270228</v>
      </c>
      <c r="P795" s="9">
        <v>38083506.049999997</v>
      </c>
      <c r="Q795" s="9">
        <v>5202132</v>
      </c>
      <c r="R795" s="9">
        <v>5201132</v>
      </c>
      <c r="S795" s="9">
        <v>5301131</v>
      </c>
      <c r="T795" s="9">
        <v>5400135</v>
      </c>
      <c r="U795" s="9">
        <v>5401131</v>
      </c>
      <c r="V795" s="9">
        <v>5502131</v>
      </c>
      <c r="W795" s="9">
        <v>13</v>
      </c>
      <c r="X795" s="9">
        <v>13</v>
      </c>
      <c r="Y795" s="9">
        <v>13</v>
      </c>
      <c r="Z795" s="9">
        <v>13</v>
      </c>
      <c r="AA795" s="9">
        <v>13</v>
      </c>
      <c r="AB795" s="9">
        <v>13</v>
      </c>
      <c r="AC795" s="9">
        <f t="shared" si="470"/>
        <v>1646</v>
      </c>
      <c r="AD795" s="9">
        <f t="shared" si="471"/>
        <v>1779</v>
      </c>
      <c r="AE795" s="9">
        <f t="shared" si="472"/>
        <v>1779</v>
      </c>
      <c r="AF795" s="9">
        <f t="shared" si="473"/>
        <v>1779</v>
      </c>
      <c r="AG795" s="9">
        <f t="shared" si="474"/>
        <v>1779</v>
      </c>
      <c r="AH795" s="9">
        <f t="shared" si="475"/>
        <v>1779</v>
      </c>
      <c r="AI795" s="7">
        <f t="shared" si="496"/>
        <v>6347251.0083333328</v>
      </c>
      <c r="AJ795" s="7">
        <f t="shared" si="495"/>
        <v>6347251.0083333328</v>
      </c>
      <c r="AK795" s="7">
        <f t="shared" si="495"/>
        <v>6347251.0083333328</v>
      </c>
      <c r="AL795" s="7">
        <f t="shared" si="495"/>
        <v>6347251.0083333328</v>
      </c>
      <c r="AM795" s="7">
        <f t="shared" si="495"/>
        <v>6347251.0083333328</v>
      </c>
      <c r="AN795" s="7">
        <f t="shared" si="495"/>
        <v>6347251.0083333328</v>
      </c>
      <c r="BR795" s="5">
        <v>5205072</v>
      </c>
      <c r="BS795" s="18">
        <f>[1]monsters!$N795</f>
        <v>256</v>
      </c>
      <c r="BT795" s="18">
        <f>[1]monsters!$O795</f>
        <v>25.6</v>
      </c>
      <c r="BU795" s="18">
        <f>[1]monsters!$P795</f>
        <v>2880</v>
      </c>
      <c r="BV795" s="18">
        <f>[1]monsters!$Q795</f>
        <v>288</v>
      </c>
      <c r="BW795" s="18">
        <f>[1]monsters!$R795</f>
        <v>85.33</v>
      </c>
      <c r="BX795" s="18">
        <f>[1]monsters!$S795</f>
        <v>8.5299999999999994</v>
      </c>
      <c r="BY795" s="18">
        <f>[1]monsters!$K795</f>
        <v>1.6</v>
      </c>
      <c r="BZ795" s="5">
        <f>[1]monsters!$D795</f>
        <v>2</v>
      </c>
      <c r="CA795" s="5">
        <f t="shared" si="497"/>
        <v>0.1</v>
      </c>
      <c r="CB795" s="5">
        <f t="shared" si="498"/>
        <v>338.88969696969696</v>
      </c>
      <c r="CC795" s="5">
        <f t="shared" si="499"/>
        <v>33.888969696969696</v>
      </c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R795" s="3" t="b">
        <f t="shared" si="476"/>
        <v>1</v>
      </c>
      <c r="CS795" s="3" t="b">
        <f t="shared" si="477"/>
        <v>1</v>
      </c>
      <c r="CT795" s="3" t="b">
        <f t="shared" si="478"/>
        <v>1</v>
      </c>
      <c r="CU795" s="3" t="b">
        <f t="shared" si="479"/>
        <v>1</v>
      </c>
      <c r="CV795" s="3" t="b">
        <f t="shared" si="480"/>
        <v>1</v>
      </c>
      <c r="CW795" s="3" t="b">
        <f t="shared" si="481"/>
        <v>1</v>
      </c>
      <c r="CX795" s="9" t="str">
        <f t="shared" si="482"/>
        <v>5202132</v>
      </c>
      <c r="CY795" s="9" t="str">
        <f t="shared" si="483"/>
        <v>5201132</v>
      </c>
      <c r="CZ795" s="9" t="str">
        <f t="shared" si="484"/>
        <v>5301131</v>
      </c>
      <c r="DA795" s="9" t="str">
        <f t="shared" si="485"/>
        <v>5400135</v>
      </c>
      <c r="DB795" s="9" t="str">
        <f t="shared" si="486"/>
        <v>5401131</v>
      </c>
      <c r="DC795" s="9" t="str">
        <f t="shared" si="487"/>
        <v>5502131</v>
      </c>
      <c r="DD795" s="9">
        <v>13</v>
      </c>
      <c r="DE795" s="9">
        <v>13</v>
      </c>
      <c r="DF795" s="9">
        <v>13</v>
      </c>
      <c r="DG795" s="9">
        <v>13</v>
      </c>
      <c r="DH795" s="9">
        <v>13</v>
      </c>
      <c r="DI795" s="9">
        <v>13</v>
      </c>
      <c r="DJ795" s="9">
        <v>5</v>
      </c>
      <c r="DK795" s="9">
        <v>5</v>
      </c>
      <c r="DL795" s="9">
        <v>5</v>
      </c>
      <c r="DM795" s="9">
        <v>5</v>
      </c>
      <c r="DN795" s="9">
        <v>5</v>
      </c>
      <c r="DO795" s="9">
        <v>5</v>
      </c>
      <c r="DP795" s="25" t="s">
        <v>200</v>
      </c>
      <c r="DQ795" s="25" t="s">
        <v>114</v>
      </c>
      <c r="DR795" s="25" t="s">
        <v>107</v>
      </c>
      <c r="DS795" s="25" t="s">
        <v>210</v>
      </c>
      <c r="DT795" s="25" t="s">
        <v>117</v>
      </c>
      <c r="DU795" s="25" t="s">
        <v>119</v>
      </c>
      <c r="DV795" s="25">
        <f t="shared" si="488"/>
        <v>1</v>
      </c>
      <c r="DW795" s="25">
        <f t="shared" si="489"/>
        <v>1</v>
      </c>
      <c r="DX795" s="25">
        <f t="shared" si="490"/>
        <v>1</v>
      </c>
      <c r="DY795" s="25">
        <f t="shared" si="491"/>
        <v>2</v>
      </c>
      <c r="DZ795" s="25">
        <f t="shared" si="492"/>
        <v>2</v>
      </c>
      <c r="EA795" s="25">
        <f t="shared" si="493"/>
        <v>2</v>
      </c>
      <c r="EB795" s="47"/>
    </row>
    <row r="796" spans="1:132" ht="13.5" customHeight="1">
      <c r="A796" s="9">
        <v>793</v>
      </c>
      <c r="B796" s="9">
        <v>1</v>
      </c>
      <c r="C796" s="9">
        <v>2001</v>
      </c>
      <c r="D796" s="9">
        <f t="shared" ref="D796:D803" si="500">O796</f>
        <v>50379714</v>
      </c>
      <c r="E796" s="9" t="str">
        <f t="shared" ref="E796:E803" si="501">Q796&amp;","&amp;R796&amp;","&amp;S796&amp;","&amp;T796&amp;","&amp;U796&amp;","&amp;V796</f>
        <v>5301131,5301132,5301133,5500132,5500131,5500132</v>
      </c>
      <c r="F796" s="9" t="str">
        <f t="shared" ref="F796:F803" si="502">W796&amp;","&amp;X796&amp;","&amp;Y796&amp;","&amp;Z796&amp;","&amp;AA796&amp;","&amp;AB796</f>
        <v>13,13,13,13,13,13</v>
      </c>
      <c r="G796" s="9" t="str">
        <f t="shared" ref="G796:G803" si="503">AC796&amp;","&amp;AD796&amp;","&amp;AE796&amp;","&amp;AF796&amp;","&amp;AG796&amp;","&amp;AH796</f>
        <v>1648,1781,1781,1781,1781,1781</v>
      </c>
      <c r="H796" s="9">
        <v>357</v>
      </c>
      <c r="I796" s="9" t="s">
        <v>278</v>
      </c>
      <c r="J796" s="9" t="s">
        <v>279</v>
      </c>
      <c r="K796" s="9" t="s">
        <v>279</v>
      </c>
      <c r="L796" s="9" t="s">
        <v>279</v>
      </c>
      <c r="M796" s="36" t="s">
        <v>320</v>
      </c>
      <c r="O796" s="3">
        <f t="shared" si="494"/>
        <v>50379714</v>
      </c>
      <c r="P796" s="9">
        <v>38166450.149999999</v>
      </c>
      <c r="Q796" s="9">
        <v>5301131</v>
      </c>
      <c r="R796" s="9">
        <v>5301132</v>
      </c>
      <c r="S796" s="9">
        <v>5301133</v>
      </c>
      <c r="T796" s="9">
        <v>5500132</v>
      </c>
      <c r="U796" s="9">
        <v>5500131</v>
      </c>
      <c r="V796" s="9">
        <v>5500132</v>
      </c>
      <c r="W796" s="9">
        <v>13</v>
      </c>
      <c r="X796" s="9">
        <v>13</v>
      </c>
      <c r="Y796" s="9">
        <v>13</v>
      </c>
      <c r="Z796" s="9">
        <v>13</v>
      </c>
      <c r="AA796" s="9">
        <v>13</v>
      </c>
      <c r="AB796" s="9">
        <v>13</v>
      </c>
      <c r="AC796" s="9">
        <f t="shared" ref="AC796:AC803" si="504">IF(AI796&gt;0,FLOOR((POWER((AI796/IF(AND(W796&gt;=2,W796&lt;4),1.1,IF(AND(W796&gt;=4,W796&lt;6),1.2,IF(W796&gt;=6,1.4,1)))/$Z$1),0.5)/INDEX($BD$4:$BQ$4,MATCH(W796,$BD$3:$BQ$3,0))-1)*10,1),"")</f>
        <v>1648</v>
      </c>
      <c r="AD796" s="9">
        <f t="shared" ref="AD796:AD803" si="505">IF(AJ796&gt;0,FLOOR((POWER((AJ796/IF(AND(X796&gt;=2,X796&lt;4),1.1,IF(AND(X796&gt;=4,X796&lt;6),1.15,IF(X796&gt;=6,1.2,1)))/$Z$1),0.5)/INDEX($BD$4:$BQ$4,MATCH(X796,$BD$3:$BQ$3,0))-1)*10,1),"")</f>
        <v>1781</v>
      </c>
      <c r="AE796" s="9">
        <f t="shared" ref="AE796:AE803" si="506">IF(AK796&gt;0,FLOOR((POWER((AK796/IF(AND(Y796&gt;=2,Y796&lt;4),1.1,IF(AND(Y796&gt;=4,Y796&lt;6),1.15,IF(Y796&gt;=6,1.2,1)))/$Z$1),0.5)/INDEX($BD$4:$BQ$4,MATCH(Y796,$BD$3:$BQ$3,0))-1)*10,1),"")</f>
        <v>1781</v>
      </c>
      <c r="AF796" s="9">
        <f t="shared" ref="AF796:AF803" si="507">IF(AL796&gt;0,FLOOR((POWER((AL796/IF(AND(Z796&gt;=2,Z796&lt;4),1.1,IF(AND(Z796&gt;=4,Z796&lt;6),1.15,IF(Z796&gt;=6,1.2,1)))/$Z$1),0.5)/INDEX($BD$4:$BQ$4,MATCH(Z796,$BD$3:$BQ$3,0))-1)*10,1),"")</f>
        <v>1781</v>
      </c>
      <c r="AG796" s="9">
        <f t="shared" ref="AG796:AG803" si="508">IF(AM796&gt;0,FLOOR((POWER((AM796/IF(AND(AA796&gt;=2,AA796&lt;4),1.1,IF(AND(AA796&gt;=4,AA796&lt;6),1.15,IF(AA796&gt;=6,1.2,1)))/$Z$1),0.5)/INDEX($BD$4:$BQ$4,MATCH(AA796,$BD$3:$BQ$3,0))-1)*10,1),"")</f>
        <v>1781</v>
      </c>
      <c r="AH796" s="9">
        <f t="shared" ref="AH796:AH803" si="509">IF(AN796&gt;0,FLOOR((POWER((AN796/IF(AND(AB796&gt;=2,AB796&lt;4),1.1,IF(AND(AB796&gt;=4,AB796&lt;6),1.15,IF(AB796&gt;=6,1.2,1)))/$Z$1),0.5)/INDEX($BD$4:$BQ$4,MATCH(AB796,$BD$3:$BQ$3,0))-1)*10,1),"")</f>
        <v>1781</v>
      </c>
      <c r="AI796" s="7">
        <f t="shared" si="496"/>
        <v>6361075.0249999994</v>
      </c>
      <c r="AJ796" s="7">
        <f t="shared" si="495"/>
        <v>6361075.0249999994</v>
      </c>
      <c r="AK796" s="7">
        <f t="shared" si="495"/>
        <v>6361075.0249999994</v>
      </c>
      <c r="AL796" s="7">
        <f t="shared" si="495"/>
        <v>6361075.0249999994</v>
      </c>
      <c r="AM796" s="7">
        <f t="shared" si="495"/>
        <v>6361075.0249999994</v>
      </c>
      <c r="AN796" s="7">
        <f t="shared" si="495"/>
        <v>6361075.0249999994</v>
      </c>
      <c r="BR796" s="5">
        <v>5405072</v>
      </c>
      <c r="BS796" s="18">
        <f>[1]monsters!$N796</f>
        <v>256</v>
      </c>
      <c r="BT796" s="18">
        <f>[1]monsters!$O796</f>
        <v>25.6</v>
      </c>
      <c r="BU796" s="18">
        <f>[1]monsters!$P796</f>
        <v>2880</v>
      </c>
      <c r="BV796" s="18">
        <f>[1]monsters!$Q796</f>
        <v>288</v>
      </c>
      <c r="BW796" s="18">
        <f>[1]monsters!$R796</f>
        <v>85.33</v>
      </c>
      <c r="BX796" s="18">
        <f>[1]monsters!$S796</f>
        <v>8.5299999999999994</v>
      </c>
      <c r="BY796" s="18">
        <f>[1]monsters!$K796</f>
        <v>1.6</v>
      </c>
      <c r="BZ796" s="5">
        <f>[1]monsters!$D796</f>
        <v>2</v>
      </c>
      <c r="CA796" s="5">
        <f t="shared" si="497"/>
        <v>0.1</v>
      </c>
      <c r="CB796" s="5">
        <f t="shared" si="498"/>
        <v>338.88969696969696</v>
      </c>
      <c r="CC796" s="5">
        <f t="shared" si="499"/>
        <v>33.888969696969696</v>
      </c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R796" s="3" t="b">
        <f t="shared" ref="CR796:CR859" si="510">IF(ISERROR(MATCH(INT(CX796),$EC$4:$EC$426,0))=FALSE,TRUE)</f>
        <v>1</v>
      </c>
      <c r="CS796" s="3" t="b">
        <f t="shared" ref="CS796:CS859" si="511">IF(ISERROR(MATCH(INT(CY796),$EC$4:$EC$426,0))=FALSE,TRUE)</f>
        <v>1</v>
      </c>
      <c r="CT796" s="3" t="b">
        <f t="shared" ref="CT796:CT859" si="512">IF(ISERROR(MATCH(INT(CZ796),$EC$4:$EC$426,0))=FALSE,TRUE)</f>
        <v>1</v>
      </c>
      <c r="CU796" s="3" t="b">
        <f t="shared" ref="CU796:CU859" si="513">IF(ISERROR(MATCH(INT(DA796),$EC$4:$EC$426,0))=FALSE,TRUE)</f>
        <v>1</v>
      </c>
      <c r="CV796" s="3" t="b">
        <f t="shared" ref="CV796:CV859" si="514">IF(ISERROR(MATCH(INT(DB796),$EC$4:$EC$426,0))=FALSE,TRUE)</f>
        <v>1</v>
      </c>
      <c r="CW796" s="3" t="b">
        <f t="shared" ref="CW796:CW859" si="515">IF(ISERROR(MATCH(INT(DC796),$EC$4:$EC$426,0))=FALSE,TRUE)</f>
        <v>1</v>
      </c>
      <c r="CX796" s="9" t="str">
        <f t="shared" ref="CX796:CX859" si="516">REPLACE(REPLACE(INDEX($EC$4:$EC$426,MATCH(DP796,$ED$4:$ED$426,0)),IF(DD796&gt;9,5,6),IF(DD796&gt;9,2,1),DD796),1,1,DJ796)</f>
        <v>5301131</v>
      </c>
      <c r="CY796" s="9" t="str">
        <f t="shared" ref="CY796:CY859" si="517">REPLACE(REPLACE(INDEX($EC$4:$EC$426,MATCH(DQ796,$ED$4:$ED$426,0)),IF(DE796&gt;9,5,6),IF(DE796&gt;9,2,1),DE796),1,1,DK796)</f>
        <v>5301132</v>
      </c>
      <c r="CZ796" s="9" t="str">
        <f t="shared" ref="CZ796:CZ859" si="518">REPLACE(REPLACE(INDEX($EC$4:$EC$426,MATCH(DR796,$ED$4:$ED$426,0)),IF(DF796&gt;9,5,6),IF(DF796&gt;9,2,1),DF796),1,1,DL796)</f>
        <v>5301133</v>
      </c>
      <c r="DA796" s="9" t="str">
        <f t="shared" ref="DA796:DA859" si="519">REPLACE(REPLACE(INDEX($EC$4:$EC$426,MATCH(DS796,$ED$4:$ED$426,0)),IF(DG796&gt;9,5,6),IF(DG796&gt;9,2,1),DG796),1,1,DM796)</f>
        <v>5500132</v>
      </c>
      <c r="DB796" s="9" t="str">
        <f t="shared" ref="DB796:DB859" si="520">REPLACE(REPLACE(INDEX($EC$4:$EC$426,MATCH(DT796,$ED$4:$ED$426,0)),IF(DH796&gt;9,5,6),IF(DH796&gt;9,2,1),DH796),1,1,DN796)</f>
        <v>5500131</v>
      </c>
      <c r="DC796" s="9" t="str">
        <f t="shared" ref="DC796:DC859" si="521">REPLACE(REPLACE(INDEX($EC$4:$EC$426,MATCH(DU796,$ED$4:$ED$426,0)),IF(DI796&gt;9,5,6),IF(DI796&gt;9,2,1),DI796),1,1,DO796)</f>
        <v>5500132</v>
      </c>
      <c r="DD796" s="9">
        <v>13</v>
      </c>
      <c r="DE796" s="9">
        <v>13</v>
      </c>
      <c r="DF796" s="9">
        <v>13</v>
      </c>
      <c r="DG796" s="9">
        <v>13</v>
      </c>
      <c r="DH796" s="9">
        <v>13</v>
      </c>
      <c r="DI796" s="9">
        <v>13</v>
      </c>
      <c r="DJ796" s="9">
        <v>5</v>
      </c>
      <c r="DK796" s="9">
        <v>5</v>
      </c>
      <c r="DL796" s="9">
        <v>5</v>
      </c>
      <c r="DM796" s="9">
        <v>5</v>
      </c>
      <c r="DN796" s="9">
        <v>5</v>
      </c>
      <c r="DO796" s="9">
        <v>5</v>
      </c>
      <c r="DP796" s="26" t="s">
        <v>107</v>
      </c>
      <c r="DQ796" s="26" t="s">
        <v>201</v>
      </c>
      <c r="DR796" s="26" t="s">
        <v>206</v>
      </c>
      <c r="DS796" s="26" t="s">
        <v>109</v>
      </c>
      <c r="DT796" s="26" t="s">
        <v>197</v>
      </c>
      <c r="DU796" s="26" t="s">
        <v>109</v>
      </c>
      <c r="DV796" s="25">
        <f t="shared" ref="DV796:DV859" si="522">INDEX($EE$4:$EE$426,MATCH(DP796,$ED$4:$ED$426,0))</f>
        <v>1</v>
      </c>
      <c r="DW796" s="25">
        <f t="shared" ref="DW796:DW859" si="523">INDEX($EE$4:$EE$426,MATCH(DQ796,$ED$4:$ED$426,0))</f>
        <v>1</v>
      </c>
      <c r="DX796" s="25">
        <f t="shared" ref="DX796:DX859" si="524">INDEX($EE$4:$EE$426,MATCH(DR796,$ED$4:$ED$426,0))</f>
        <v>1</v>
      </c>
      <c r="DY796" s="25">
        <f t="shared" ref="DY796:DY859" si="525">INDEX($EE$4:$EE$426,MATCH(DS796,$ED$4:$ED$426,0))</f>
        <v>2</v>
      </c>
      <c r="DZ796" s="25">
        <f t="shared" ref="DZ796:DZ859" si="526">INDEX($EE$4:$EE$426,MATCH(DT796,$ED$4:$ED$426,0))</f>
        <v>2</v>
      </c>
      <c r="EA796" s="25">
        <f t="shared" ref="EA796:EA859" si="527">INDEX($EE$4:$EE$426,MATCH(DU796,$ED$4:$ED$426,0))</f>
        <v>2</v>
      </c>
      <c r="EB796" s="48"/>
    </row>
    <row r="797" spans="1:132" ht="13.5" customHeight="1">
      <c r="A797" s="9">
        <v>794</v>
      </c>
      <c r="B797" s="9">
        <v>1</v>
      </c>
      <c r="C797" s="9">
        <v>2001</v>
      </c>
      <c r="D797" s="9">
        <f t="shared" si="500"/>
        <v>50489317</v>
      </c>
      <c r="E797" s="9" t="str">
        <f t="shared" si="501"/>
        <v>5201132,5201132,5201132,5400135,5400135,5400135</v>
      </c>
      <c r="F797" s="9" t="str">
        <f t="shared" si="502"/>
        <v>13,13,13,13,13,13</v>
      </c>
      <c r="G797" s="9" t="str">
        <f t="shared" si="503"/>
        <v>1650,1783,1783,1783,1783,1783</v>
      </c>
      <c r="H797" s="9">
        <v>357</v>
      </c>
      <c r="I797" s="9" t="s">
        <v>278</v>
      </c>
      <c r="J797" s="9" t="s">
        <v>279</v>
      </c>
      <c r="K797" s="9" t="s">
        <v>279</v>
      </c>
      <c r="L797" s="9" t="s">
        <v>279</v>
      </c>
      <c r="M797" s="36" t="s">
        <v>320</v>
      </c>
      <c r="O797" s="3">
        <f t="shared" si="494"/>
        <v>50489317</v>
      </c>
      <c r="P797" s="9">
        <v>38249482.869999997</v>
      </c>
      <c r="Q797" s="9">
        <v>5201132</v>
      </c>
      <c r="R797" s="9">
        <v>5201132</v>
      </c>
      <c r="S797" s="9">
        <v>5201132</v>
      </c>
      <c r="T797" s="9">
        <v>5400135</v>
      </c>
      <c r="U797" s="9">
        <v>5400135</v>
      </c>
      <c r="V797" s="9">
        <v>5400135</v>
      </c>
      <c r="W797" s="9">
        <v>13</v>
      </c>
      <c r="X797" s="9">
        <v>13</v>
      </c>
      <c r="Y797" s="9">
        <v>13</v>
      </c>
      <c r="Z797" s="9">
        <v>13</v>
      </c>
      <c r="AA797" s="9">
        <v>13</v>
      </c>
      <c r="AB797" s="9">
        <v>13</v>
      </c>
      <c r="AC797" s="9">
        <f t="shared" si="504"/>
        <v>1650</v>
      </c>
      <c r="AD797" s="9">
        <f t="shared" si="505"/>
        <v>1783</v>
      </c>
      <c r="AE797" s="9">
        <f t="shared" si="506"/>
        <v>1783</v>
      </c>
      <c r="AF797" s="9">
        <f t="shared" si="507"/>
        <v>1783</v>
      </c>
      <c r="AG797" s="9">
        <f t="shared" si="508"/>
        <v>1783</v>
      </c>
      <c r="AH797" s="9">
        <f t="shared" si="509"/>
        <v>1783</v>
      </c>
      <c r="AI797" s="7">
        <f t="shared" si="496"/>
        <v>6374913.8116666665</v>
      </c>
      <c r="AJ797" s="7">
        <f t="shared" si="495"/>
        <v>6374913.8116666665</v>
      </c>
      <c r="AK797" s="7">
        <f t="shared" si="495"/>
        <v>6374913.8116666665</v>
      </c>
      <c r="AL797" s="7">
        <f t="shared" si="495"/>
        <v>6374913.8116666665</v>
      </c>
      <c r="AM797" s="7">
        <f t="shared" si="495"/>
        <v>6374913.8116666665</v>
      </c>
      <c r="AN797" s="7">
        <f t="shared" si="495"/>
        <v>6374913.8116666665</v>
      </c>
      <c r="BR797" s="5">
        <v>5203072</v>
      </c>
      <c r="BS797" s="18">
        <f>[1]monsters!$N797</f>
        <v>273.07</v>
      </c>
      <c r="BT797" s="18">
        <f>[1]monsters!$O797</f>
        <v>27.31</v>
      </c>
      <c r="BU797" s="18">
        <f>[1]monsters!$P797</f>
        <v>3072</v>
      </c>
      <c r="BV797" s="18">
        <f>[1]monsters!$Q797</f>
        <v>307.2</v>
      </c>
      <c r="BW797" s="18">
        <f>[1]monsters!$R797</f>
        <v>91.02</v>
      </c>
      <c r="BX797" s="18">
        <f>[1]monsters!$S797</f>
        <v>9.1</v>
      </c>
      <c r="BY797" s="18">
        <f>[1]monsters!$K797</f>
        <v>1.6</v>
      </c>
      <c r="BZ797" s="5">
        <f>[1]monsters!$D797</f>
        <v>2</v>
      </c>
      <c r="CA797" s="5">
        <f t="shared" si="497"/>
        <v>0.1</v>
      </c>
      <c r="CB797" s="5">
        <f t="shared" si="498"/>
        <v>361.48549343434343</v>
      </c>
      <c r="CC797" s="5">
        <f t="shared" si="499"/>
        <v>36.148549343434347</v>
      </c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R797" s="3" t="b">
        <f t="shared" si="510"/>
        <v>1</v>
      </c>
      <c r="CS797" s="3" t="b">
        <f t="shared" si="511"/>
        <v>1</v>
      </c>
      <c r="CT797" s="3" t="b">
        <f t="shared" si="512"/>
        <v>1</v>
      </c>
      <c r="CU797" s="3" t="b">
        <f t="shared" si="513"/>
        <v>1</v>
      </c>
      <c r="CV797" s="3" t="b">
        <f t="shared" si="514"/>
        <v>1</v>
      </c>
      <c r="CW797" s="3" t="b">
        <f t="shared" si="515"/>
        <v>1</v>
      </c>
      <c r="CX797" s="9" t="str">
        <f t="shared" si="516"/>
        <v>5201132</v>
      </c>
      <c r="CY797" s="9" t="str">
        <f t="shared" si="517"/>
        <v>5201132</v>
      </c>
      <c r="CZ797" s="9" t="str">
        <f t="shared" si="518"/>
        <v>5201132</v>
      </c>
      <c r="DA797" s="9" t="str">
        <f t="shared" si="519"/>
        <v>5400135</v>
      </c>
      <c r="DB797" s="9" t="str">
        <f t="shared" si="520"/>
        <v>5400135</v>
      </c>
      <c r="DC797" s="9" t="str">
        <f t="shared" si="521"/>
        <v>5400135</v>
      </c>
      <c r="DD797" s="9">
        <v>13</v>
      </c>
      <c r="DE797" s="9">
        <v>13</v>
      </c>
      <c r="DF797" s="9">
        <v>13</v>
      </c>
      <c r="DG797" s="9">
        <v>13</v>
      </c>
      <c r="DH797" s="9">
        <v>13</v>
      </c>
      <c r="DI797" s="9">
        <v>13</v>
      </c>
      <c r="DJ797" s="9">
        <v>5</v>
      </c>
      <c r="DK797" s="9">
        <v>5</v>
      </c>
      <c r="DL797" s="9">
        <v>5</v>
      </c>
      <c r="DM797" s="9">
        <v>5</v>
      </c>
      <c r="DN797" s="9">
        <v>5</v>
      </c>
      <c r="DO797" s="9">
        <v>5</v>
      </c>
      <c r="DP797" s="25" t="s">
        <v>114</v>
      </c>
      <c r="DQ797" s="25" t="s">
        <v>114</v>
      </c>
      <c r="DR797" s="25" t="s">
        <v>114</v>
      </c>
      <c r="DS797" s="25" t="s">
        <v>210</v>
      </c>
      <c r="DT797" s="25" t="s">
        <v>210</v>
      </c>
      <c r="DU797" s="25" t="s">
        <v>210</v>
      </c>
      <c r="DV797" s="25">
        <f t="shared" si="522"/>
        <v>1</v>
      </c>
      <c r="DW797" s="25">
        <f t="shared" si="523"/>
        <v>1</v>
      </c>
      <c r="DX797" s="25">
        <f t="shared" si="524"/>
        <v>1</v>
      </c>
      <c r="DY797" s="25">
        <f t="shared" si="525"/>
        <v>2</v>
      </c>
      <c r="DZ797" s="25">
        <f t="shared" si="526"/>
        <v>2</v>
      </c>
      <c r="EA797" s="25">
        <f t="shared" si="527"/>
        <v>2</v>
      </c>
      <c r="EB797" s="47"/>
    </row>
    <row r="798" spans="1:132" ht="13.5" customHeight="1">
      <c r="A798" s="9">
        <v>795</v>
      </c>
      <c r="B798" s="9">
        <v>1</v>
      </c>
      <c r="C798" s="9">
        <v>2001</v>
      </c>
      <c r="D798" s="9">
        <f t="shared" si="500"/>
        <v>50599043</v>
      </c>
      <c r="E798" s="9" t="str">
        <f t="shared" si="501"/>
        <v>5600134,5202132,5302134,5501134,5500133,5501134</v>
      </c>
      <c r="F798" s="9" t="str">
        <f t="shared" si="502"/>
        <v>13,13,13,13,13,13</v>
      </c>
      <c r="G798" s="9" t="str">
        <f t="shared" si="503"/>
        <v>1652,1785,1785,1785,1785,1785</v>
      </c>
      <c r="H798" s="9">
        <v>358</v>
      </c>
      <c r="I798" s="9" t="s">
        <v>278</v>
      </c>
      <c r="J798" s="9" t="s">
        <v>279</v>
      </c>
      <c r="K798" s="9" t="s">
        <v>279</v>
      </c>
      <c r="L798" s="9" t="s">
        <v>279</v>
      </c>
      <c r="M798" s="36" t="s">
        <v>320</v>
      </c>
      <c r="O798" s="3">
        <f t="shared" si="494"/>
        <v>50599043</v>
      </c>
      <c r="P798" s="9">
        <v>38332608.43</v>
      </c>
      <c r="Q798" s="9">
        <v>5600134</v>
      </c>
      <c r="R798" s="9">
        <v>5202132</v>
      </c>
      <c r="S798" s="9">
        <v>5302134</v>
      </c>
      <c r="T798" s="9">
        <v>5501134</v>
      </c>
      <c r="U798" s="9">
        <v>5500133</v>
      </c>
      <c r="V798" s="9">
        <v>5501134</v>
      </c>
      <c r="W798" s="9">
        <v>13</v>
      </c>
      <c r="X798" s="9">
        <v>13</v>
      </c>
      <c r="Y798" s="9">
        <v>13</v>
      </c>
      <c r="Z798" s="9">
        <v>13</v>
      </c>
      <c r="AA798" s="9">
        <v>13</v>
      </c>
      <c r="AB798" s="9">
        <v>13</v>
      </c>
      <c r="AC798" s="9">
        <f t="shared" si="504"/>
        <v>1652</v>
      </c>
      <c r="AD798" s="9">
        <f t="shared" si="505"/>
        <v>1785</v>
      </c>
      <c r="AE798" s="9">
        <f t="shared" si="506"/>
        <v>1785</v>
      </c>
      <c r="AF798" s="9">
        <f t="shared" si="507"/>
        <v>1785</v>
      </c>
      <c r="AG798" s="9">
        <f t="shared" si="508"/>
        <v>1785</v>
      </c>
      <c r="AH798" s="9">
        <f t="shared" si="509"/>
        <v>1785</v>
      </c>
      <c r="AI798" s="7">
        <f t="shared" si="496"/>
        <v>6388768.0716666663</v>
      </c>
      <c r="AJ798" s="7">
        <f t="shared" si="495"/>
        <v>6388768.0716666663</v>
      </c>
      <c r="AK798" s="7">
        <f t="shared" si="495"/>
        <v>6388768.0716666663</v>
      </c>
      <c r="AL798" s="7">
        <f t="shared" si="495"/>
        <v>6388768.0716666663</v>
      </c>
      <c r="AM798" s="7">
        <f t="shared" si="495"/>
        <v>6388768.0716666663</v>
      </c>
      <c r="AN798" s="7">
        <f t="shared" si="495"/>
        <v>6388768.0716666663</v>
      </c>
      <c r="BR798" s="5">
        <v>5403072</v>
      </c>
      <c r="BS798" s="18">
        <f>[1]monsters!$N798</f>
        <v>273.07</v>
      </c>
      <c r="BT798" s="18">
        <f>[1]monsters!$O798</f>
        <v>27.31</v>
      </c>
      <c r="BU798" s="18">
        <f>[1]monsters!$P798</f>
        <v>3072</v>
      </c>
      <c r="BV798" s="18">
        <f>[1]monsters!$Q798</f>
        <v>307.2</v>
      </c>
      <c r="BW798" s="18">
        <f>[1]monsters!$R798</f>
        <v>91.02</v>
      </c>
      <c r="BX798" s="18">
        <f>[1]monsters!$S798</f>
        <v>9.1</v>
      </c>
      <c r="BY798" s="18">
        <f>[1]monsters!$K798</f>
        <v>1.6</v>
      </c>
      <c r="BZ798" s="5">
        <f>[1]monsters!$D798</f>
        <v>2</v>
      </c>
      <c r="CA798" s="5">
        <f t="shared" si="497"/>
        <v>0.1</v>
      </c>
      <c r="CB798" s="5">
        <f t="shared" si="498"/>
        <v>361.48549343434343</v>
      </c>
      <c r="CC798" s="5">
        <f t="shared" si="499"/>
        <v>36.148549343434347</v>
      </c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R798" s="3" t="b">
        <f t="shared" si="510"/>
        <v>1</v>
      </c>
      <c r="CS798" s="3" t="b">
        <f t="shared" si="511"/>
        <v>1</v>
      </c>
      <c r="CT798" s="3" t="b">
        <f t="shared" si="512"/>
        <v>1</v>
      </c>
      <c r="CU798" s="3" t="b">
        <f t="shared" si="513"/>
        <v>1</v>
      </c>
      <c r="CV798" s="3" t="b">
        <f t="shared" si="514"/>
        <v>1</v>
      </c>
      <c r="CW798" s="3" t="b">
        <f t="shared" si="515"/>
        <v>1</v>
      </c>
      <c r="CX798" s="9" t="str">
        <f t="shared" si="516"/>
        <v>5600134</v>
      </c>
      <c r="CY798" s="9" t="str">
        <f t="shared" si="517"/>
        <v>5202132</v>
      </c>
      <c r="CZ798" s="9" t="str">
        <f t="shared" si="518"/>
        <v>5302134</v>
      </c>
      <c r="DA798" s="9" t="str">
        <f t="shared" si="519"/>
        <v>5501134</v>
      </c>
      <c r="DB798" s="9" t="str">
        <f t="shared" si="520"/>
        <v>5500133</v>
      </c>
      <c r="DC798" s="9" t="str">
        <f t="shared" si="521"/>
        <v>5501134</v>
      </c>
      <c r="DD798" s="9">
        <v>13</v>
      </c>
      <c r="DE798" s="9">
        <v>13</v>
      </c>
      <c r="DF798" s="9">
        <v>13</v>
      </c>
      <c r="DG798" s="9">
        <v>13</v>
      </c>
      <c r="DH798" s="9">
        <v>13</v>
      </c>
      <c r="DI798" s="9">
        <v>13</v>
      </c>
      <c r="DJ798" s="9">
        <v>5</v>
      </c>
      <c r="DK798" s="9">
        <v>5</v>
      </c>
      <c r="DL798" s="9">
        <v>5</v>
      </c>
      <c r="DM798" s="9">
        <v>5</v>
      </c>
      <c r="DN798" s="9">
        <v>5</v>
      </c>
      <c r="DO798" s="9">
        <v>5</v>
      </c>
      <c r="DP798" s="27" t="s">
        <v>219</v>
      </c>
      <c r="DQ798" s="25" t="s">
        <v>200</v>
      </c>
      <c r="DR798" s="27" t="s">
        <v>218</v>
      </c>
      <c r="DS798" s="25" t="s">
        <v>214</v>
      </c>
      <c r="DT798" s="25" t="s">
        <v>207</v>
      </c>
      <c r="DU798" s="25" t="s">
        <v>214</v>
      </c>
      <c r="DV798" s="25">
        <f t="shared" si="522"/>
        <v>1</v>
      </c>
      <c r="DW798" s="25">
        <f t="shared" si="523"/>
        <v>1</v>
      </c>
      <c r="DX798" s="25">
        <f t="shared" si="524"/>
        <v>1</v>
      </c>
      <c r="DY798" s="25">
        <f t="shared" si="525"/>
        <v>2</v>
      </c>
      <c r="DZ798" s="25">
        <f t="shared" si="526"/>
        <v>2</v>
      </c>
      <c r="EA798" s="25">
        <f t="shared" si="527"/>
        <v>2</v>
      </c>
      <c r="EB798" s="47"/>
    </row>
    <row r="799" spans="1:132" ht="13.5" customHeight="1">
      <c r="A799" s="9">
        <v>796</v>
      </c>
      <c r="B799" s="9">
        <v>1</v>
      </c>
      <c r="C799" s="9">
        <v>2001</v>
      </c>
      <c r="D799" s="9">
        <f t="shared" si="500"/>
        <v>50708889</v>
      </c>
      <c r="E799" s="9" t="str">
        <f t="shared" si="501"/>
        <v>5201133,5200133,5301132,5402132,5501135,5400135</v>
      </c>
      <c r="F799" s="9" t="str">
        <f t="shared" si="502"/>
        <v>13,13,13,13,13,13</v>
      </c>
      <c r="G799" s="9" t="str">
        <f t="shared" si="503"/>
        <v>1654,1787,1787,1787,1787,1787</v>
      </c>
      <c r="H799" s="9">
        <v>358</v>
      </c>
      <c r="I799" s="9" t="s">
        <v>278</v>
      </c>
      <c r="J799" s="9" t="s">
        <v>279</v>
      </c>
      <c r="K799" s="9" t="s">
        <v>279</v>
      </c>
      <c r="L799" s="9" t="s">
        <v>279</v>
      </c>
      <c r="M799" s="36" t="s">
        <v>320</v>
      </c>
      <c r="O799" s="3">
        <f t="shared" si="494"/>
        <v>50708889</v>
      </c>
      <c r="P799" s="9">
        <v>38415824.719999999</v>
      </c>
      <c r="Q799" s="9">
        <v>5201133</v>
      </c>
      <c r="R799" s="9">
        <v>5200133</v>
      </c>
      <c r="S799" s="9">
        <v>5301132</v>
      </c>
      <c r="T799" s="9">
        <v>5402132</v>
      </c>
      <c r="U799" s="9">
        <v>5501135</v>
      </c>
      <c r="V799" s="9">
        <v>5400135</v>
      </c>
      <c r="W799" s="9">
        <v>13</v>
      </c>
      <c r="X799" s="9">
        <v>13</v>
      </c>
      <c r="Y799" s="9">
        <v>13</v>
      </c>
      <c r="Z799" s="9">
        <v>13</v>
      </c>
      <c r="AA799" s="9">
        <v>13</v>
      </c>
      <c r="AB799" s="9">
        <v>13</v>
      </c>
      <c r="AC799" s="9">
        <f t="shared" si="504"/>
        <v>1654</v>
      </c>
      <c r="AD799" s="9">
        <f t="shared" si="505"/>
        <v>1787</v>
      </c>
      <c r="AE799" s="9">
        <f t="shared" si="506"/>
        <v>1787</v>
      </c>
      <c r="AF799" s="9">
        <f t="shared" si="507"/>
        <v>1787</v>
      </c>
      <c r="AG799" s="9">
        <f t="shared" si="508"/>
        <v>1787</v>
      </c>
      <c r="AH799" s="9">
        <f t="shared" si="509"/>
        <v>1787</v>
      </c>
      <c r="AI799" s="7">
        <f t="shared" si="496"/>
        <v>6402637.4533333331</v>
      </c>
      <c r="AJ799" s="7">
        <f t="shared" si="495"/>
        <v>6402637.4533333331</v>
      </c>
      <c r="AK799" s="7">
        <f t="shared" si="495"/>
        <v>6402637.4533333331</v>
      </c>
      <c r="AL799" s="7">
        <f t="shared" si="495"/>
        <v>6402637.4533333331</v>
      </c>
      <c r="AM799" s="7">
        <f t="shared" si="495"/>
        <v>6402637.4533333331</v>
      </c>
      <c r="AN799" s="7">
        <f t="shared" si="495"/>
        <v>6402637.4533333331</v>
      </c>
      <c r="BR799" s="5">
        <v>5204072</v>
      </c>
      <c r="BS799" s="18">
        <f>[1]monsters!$N799</f>
        <v>273.07</v>
      </c>
      <c r="BT799" s="18">
        <f>[1]monsters!$O799</f>
        <v>27.31</v>
      </c>
      <c r="BU799" s="18">
        <f>[1]monsters!$P799</f>
        <v>3072</v>
      </c>
      <c r="BV799" s="18">
        <f>[1]monsters!$Q799</f>
        <v>307.2</v>
      </c>
      <c r="BW799" s="18">
        <f>[1]monsters!$R799</f>
        <v>91.02</v>
      </c>
      <c r="BX799" s="18">
        <f>[1]monsters!$S799</f>
        <v>9.1</v>
      </c>
      <c r="BY799" s="18">
        <f>[1]monsters!$K799</f>
        <v>1.6</v>
      </c>
      <c r="BZ799" s="5">
        <f>[1]monsters!$D799</f>
        <v>2</v>
      </c>
      <c r="CA799" s="5">
        <f t="shared" si="497"/>
        <v>0.1</v>
      </c>
      <c r="CB799" s="5">
        <f t="shared" si="498"/>
        <v>361.48549343434343</v>
      </c>
      <c r="CC799" s="5">
        <f t="shared" si="499"/>
        <v>36.148549343434347</v>
      </c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R799" s="3" t="b">
        <f t="shared" si="510"/>
        <v>1</v>
      </c>
      <c r="CS799" s="3" t="b">
        <f t="shared" si="511"/>
        <v>1</v>
      </c>
      <c r="CT799" s="3" t="b">
        <f t="shared" si="512"/>
        <v>1</v>
      </c>
      <c r="CU799" s="3" t="b">
        <f t="shared" si="513"/>
        <v>1</v>
      </c>
      <c r="CV799" s="3" t="b">
        <f t="shared" si="514"/>
        <v>1</v>
      </c>
      <c r="CW799" s="3" t="b">
        <f t="shared" si="515"/>
        <v>1</v>
      </c>
      <c r="CX799" s="9" t="str">
        <f t="shared" si="516"/>
        <v>5201133</v>
      </c>
      <c r="CY799" s="9" t="str">
        <f t="shared" si="517"/>
        <v>5200133</v>
      </c>
      <c r="CZ799" s="9" t="str">
        <f t="shared" si="518"/>
        <v>5301132</v>
      </c>
      <c r="DA799" s="9" t="str">
        <f t="shared" si="519"/>
        <v>5402132</v>
      </c>
      <c r="DB799" s="9" t="str">
        <f t="shared" si="520"/>
        <v>5501135</v>
      </c>
      <c r="DC799" s="9" t="str">
        <f t="shared" si="521"/>
        <v>5400135</v>
      </c>
      <c r="DD799" s="9">
        <v>13</v>
      </c>
      <c r="DE799" s="9">
        <v>13</v>
      </c>
      <c r="DF799" s="9">
        <v>13</v>
      </c>
      <c r="DG799" s="9">
        <v>13</v>
      </c>
      <c r="DH799" s="9">
        <v>13</v>
      </c>
      <c r="DI799" s="9">
        <v>13</v>
      </c>
      <c r="DJ799" s="9">
        <v>5</v>
      </c>
      <c r="DK799" s="9">
        <v>5</v>
      </c>
      <c r="DL799" s="9">
        <v>5</v>
      </c>
      <c r="DM799" s="9">
        <v>5</v>
      </c>
      <c r="DN799" s="9">
        <v>5</v>
      </c>
      <c r="DO799" s="9">
        <v>5</v>
      </c>
      <c r="DP799" s="26" t="s">
        <v>205</v>
      </c>
      <c r="DQ799" s="26" t="s">
        <v>113</v>
      </c>
      <c r="DR799" s="26" t="s">
        <v>201</v>
      </c>
      <c r="DS799" s="26" t="s">
        <v>203</v>
      </c>
      <c r="DT799" s="26" t="s">
        <v>209</v>
      </c>
      <c r="DU799" s="26" t="s">
        <v>210</v>
      </c>
      <c r="DV799" s="25">
        <f t="shared" si="522"/>
        <v>1</v>
      </c>
      <c r="DW799" s="25">
        <f t="shared" si="523"/>
        <v>1</v>
      </c>
      <c r="DX799" s="25">
        <f t="shared" si="524"/>
        <v>1</v>
      </c>
      <c r="DY799" s="25">
        <f t="shared" si="525"/>
        <v>2</v>
      </c>
      <c r="DZ799" s="25">
        <f t="shared" si="526"/>
        <v>2</v>
      </c>
      <c r="EA799" s="25">
        <f t="shared" si="527"/>
        <v>2</v>
      </c>
      <c r="EB799" s="47"/>
    </row>
    <row r="800" spans="1:132" ht="13.5" customHeight="1">
      <c r="A800" s="9">
        <v>797</v>
      </c>
      <c r="B800" s="9">
        <v>1</v>
      </c>
      <c r="C800" s="9">
        <v>2001</v>
      </c>
      <c r="D800" s="9">
        <f t="shared" si="500"/>
        <v>50818851</v>
      </c>
      <c r="E800" s="9" t="str">
        <f t="shared" si="501"/>
        <v>5302135,5202135,5301132,5500132,5501135,5501135</v>
      </c>
      <c r="F800" s="9" t="str">
        <f t="shared" si="502"/>
        <v>13,13,13,13,13,13</v>
      </c>
      <c r="G800" s="9" t="str">
        <f t="shared" si="503"/>
        <v>1655,1789,1789,1789,1789,1789</v>
      </c>
      <c r="H800" s="9">
        <v>358</v>
      </c>
      <c r="I800" s="9" t="s">
        <v>278</v>
      </c>
      <c r="J800" s="9" t="s">
        <v>279</v>
      </c>
      <c r="K800" s="9" t="s">
        <v>279</v>
      </c>
      <c r="L800" s="9" t="s">
        <v>279</v>
      </c>
      <c r="M800" s="36" t="s">
        <v>320</v>
      </c>
      <c r="O800" s="3">
        <f t="shared" si="494"/>
        <v>50818851</v>
      </c>
      <c r="P800" s="9">
        <v>38499129.630000003</v>
      </c>
      <c r="Q800" s="9">
        <v>5302135</v>
      </c>
      <c r="R800" s="9">
        <v>5202135</v>
      </c>
      <c r="S800" s="9">
        <v>5301132</v>
      </c>
      <c r="T800" s="9">
        <v>5500132</v>
      </c>
      <c r="U800" s="9">
        <v>5501135</v>
      </c>
      <c r="V800" s="9">
        <v>5501135</v>
      </c>
      <c r="W800" s="9">
        <v>13</v>
      </c>
      <c r="X800" s="9">
        <v>13</v>
      </c>
      <c r="Y800" s="9">
        <v>13</v>
      </c>
      <c r="Z800" s="9">
        <v>13</v>
      </c>
      <c r="AA800" s="9">
        <v>13</v>
      </c>
      <c r="AB800" s="9">
        <v>13</v>
      </c>
      <c r="AC800" s="9">
        <f t="shared" si="504"/>
        <v>1655</v>
      </c>
      <c r="AD800" s="9">
        <f t="shared" si="505"/>
        <v>1789</v>
      </c>
      <c r="AE800" s="9">
        <f t="shared" si="506"/>
        <v>1789</v>
      </c>
      <c r="AF800" s="9">
        <f t="shared" si="507"/>
        <v>1789</v>
      </c>
      <c r="AG800" s="9">
        <f t="shared" si="508"/>
        <v>1789</v>
      </c>
      <c r="AH800" s="9">
        <f t="shared" si="509"/>
        <v>1789</v>
      </c>
      <c r="AI800" s="7">
        <f t="shared" si="496"/>
        <v>6416521.6050000004</v>
      </c>
      <c r="AJ800" s="7">
        <f t="shared" si="495"/>
        <v>6416521.6050000004</v>
      </c>
      <c r="AK800" s="7">
        <f t="shared" si="495"/>
        <v>6416521.6050000004</v>
      </c>
      <c r="AL800" s="7">
        <f t="shared" si="495"/>
        <v>6416521.6050000004</v>
      </c>
      <c r="AM800" s="7">
        <f t="shared" si="495"/>
        <v>6416521.6050000004</v>
      </c>
      <c r="AN800" s="7">
        <f t="shared" si="495"/>
        <v>6416521.6050000004</v>
      </c>
      <c r="BR800" s="5">
        <v>5404072</v>
      </c>
      <c r="BS800" s="18">
        <f>[1]monsters!$N800</f>
        <v>62.4</v>
      </c>
      <c r="BT800" s="18">
        <f>[1]monsters!$O800</f>
        <v>6.24</v>
      </c>
      <c r="BU800" s="18">
        <f>[1]monsters!$P800</f>
        <v>213.334</v>
      </c>
      <c r="BV800" s="18">
        <f>[1]monsters!$Q800</f>
        <v>106.67</v>
      </c>
      <c r="BW800" s="18">
        <f>[1]monsters!$R800</f>
        <v>12.48</v>
      </c>
      <c r="BX800" s="18">
        <f>[1]monsters!$S800</f>
        <v>1.25</v>
      </c>
      <c r="BY800" s="18">
        <f>[1]monsters!$K800</f>
        <v>1.3</v>
      </c>
      <c r="BZ800" s="5">
        <f>[1]monsters!$D800</f>
        <v>2</v>
      </c>
      <c r="CA800" s="5">
        <f t="shared" si="497"/>
        <v>0.1</v>
      </c>
      <c r="CB800" s="5">
        <f t="shared" si="498"/>
        <v>66.150962962962964</v>
      </c>
      <c r="CC800" s="5">
        <f t="shared" si="499"/>
        <v>6.6150962962962971</v>
      </c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R800" s="3" t="b">
        <f t="shared" si="510"/>
        <v>1</v>
      </c>
      <c r="CS800" s="3" t="b">
        <f t="shared" si="511"/>
        <v>1</v>
      </c>
      <c r="CT800" s="3" t="b">
        <f t="shared" si="512"/>
        <v>1</v>
      </c>
      <c r="CU800" s="3" t="b">
        <f t="shared" si="513"/>
        <v>1</v>
      </c>
      <c r="CV800" s="3" t="b">
        <f t="shared" si="514"/>
        <v>1</v>
      </c>
      <c r="CW800" s="3" t="b">
        <f t="shared" si="515"/>
        <v>1</v>
      </c>
      <c r="CX800" s="9" t="str">
        <f t="shared" si="516"/>
        <v>5302135</v>
      </c>
      <c r="CY800" s="9" t="str">
        <f t="shared" si="517"/>
        <v>5202135</v>
      </c>
      <c r="CZ800" s="9" t="str">
        <f t="shared" si="518"/>
        <v>5301132</v>
      </c>
      <c r="DA800" s="9" t="str">
        <f t="shared" si="519"/>
        <v>5500132</v>
      </c>
      <c r="DB800" s="9" t="str">
        <f t="shared" si="520"/>
        <v>5501135</v>
      </c>
      <c r="DC800" s="9" t="str">
        <f t="shared" si="521"/>
        <v>5501135</v>
      </c>
      <c r="DD800" s="9">
        <v>13</v>
      </c>
      <c r="DE800" s="9">
        <v>13</v>
      </c>
      <c r="DF800" s="9">
        <v>13</v>
      </c>
      <c r="DG800" s="9">
        <v>13</v>
      </c>
      <c r="DH800" s="9">
        <v>13</v>
      </c>
      <c r="DI800" s="9">
        <v>13</v>
      </c>
      <c r="DJ800" s="9">
        <v>5</v>
      </c>
      <c r="DK800" s="9">
        <v>5</v>
      </c>
      <c r="DL800" s="9">
        <v>5</v>
      </c>
      <c r="DM800" s="9">
        <v>5</v>
      </c>
      <c r="DN800" s="9">
        <v>5</v>
      </c>
      <c r="DO800" s="9">
        <v>5</v>
      </c>
      <c r="DP800" s="25" t="s">
        <v>221</v>
      </c>
      <c r="DQ800" s="25" t="s">
        <v>213</v>
      </c>
      <c r="DR800" s="26" t="s">
        <v>201</v>
      </c>
      <c r="DS800" s="26" t="s">
        <v>109</v>
      </c>
      <c r="DT800" s="25" t="s">
        <v>209</v>
      </c>
      <c r="DU800" s="25" t="s">
        <v>209</v>
      </c>
      <c r="DV800" s="25">
        <f t="shared" si="522"/>
        <v>1</v>
      </c>
      <c r="DW800" s="25">
        <f t="shared" si="523"/>
        <v>1</v>
      </c>
      <c r="DX800" s="25">
        <f t="shared" si="524"/>
        <v>1</v>
      </c>
      <c r="DY800" s="25">
        <f t="shared" si="525"/>
        <v>2</v>
      </c>
      <c r="DZ800" s="25">
        <f t="shared" si="526"/>
        <v>2</v>
      </c>
      <c r="EA800" s="25">
        <f t="shared" si="527"/>
        <v>2</v>
      </c>
      <c r="EB800" s="48"/>
    </row>
    <row r="801" spans="1:132" ht="13.5" customHeight="1">
      <c r="A801" s="9">
        <v>798</v>
      </c>
      <c r="B801" s="9">
        <v>1</v>
      </c>
      <c r="C801" s="9">
        <v>2001</v>
      </c>
      <c r="D801" s="9">
        <f t="shared" si="500"/>
        <v>50928936</v>
      </c>
      <c r="E801" s="9" t="str">
        <f t="shared" si="501"/>
        <v>5202133,5202132,5201134,5501134,5500133,5501134</v>
      </c>
      <c r="F801" s="9" t="str">
        <f t="shared" si="502"/>
        <v>13,13,13,13,13,13</v>
      </c>
      <c r="G801" s="9" t="str">
        <f t="shared" si="503"/>
        <v>1657,1791,1791,1791,1791,1791</v>
      </c>
      <c r="H801" s="9">
        <v>359</v>
      </c>
      <c r="I801" s="9" t="s">
        <v>278</v>
      </c>
      <c r="J801" s="9" t="s">
        <v>279</v>
      </c>
      <c r="K801" s="9" t="s">
        <v>279</v>
      </c>
      <c r="L801" s="9" t="s">
        <v>279</v>
      </c>
      <c r="M801" s="36" t="s">
        <v>320</v>
      </c>
      <c r="O801" s="3">
        <f t="shared" si="494"/>
        <v>50928936</v>
      </c>
      <c r="P801" s="9">
        <v>38582527.380000003</v>
      </c>
      <c r="Q801" s="9">
        <v>5202133</v>
      </c>
      <c r="R801" s="9">
        <v>5202132</v>
      </c>
      <c r="S801" s="9">
        <v>5201134</v>
      </c>
      <c r="T801" s="9">
        <v>5501134</v>
      </c>
      <c r="U801" s="9">
        <v>5500133</v>
      </c>
      <c r="V801" s="9">
        <v>5501134</v>
      </c>
      <c r="W801" s="9">
        <v>13</v>
      </c>
      <c r="X801" s="9">
        <v>13</v>
      </c>
      <c r="Y801" s="9">
        <v>13</v>
      </c>
      <c r="Z801" s="9">
        <v>13</v>
      </c>
      <c r="AA801" s="9">
        <v>13</v>
      </c>
      <c r="AB801" s="9">
        <v>13</v>
      </c>
      <c r="AC801" s="9">
        <f t="shared" si="504"/>
        <v>1657</v>
      </c>
      <c r="AD801" s="9">
        <f t="shared" si="505"/>
        <v>1791</v>
      </c>
      <c r="AE801" s="9">
        <f t="shared" si="506"/>
        <v>1791</v>
      </c>
      <c r="AF801" s="9">
        <f t="shared" si="507"/>
        <v>1791</v>
      </c>
      <c r="AG801" s="9">
        <f t="shared" si="508"/>
        <v>1791</v>
      </c>
      <c r="AH801" s="9">
        <f t="shared" si="509"/>
        <v>1791</v>
      </c>
      <c r="AI801" s="7">
        <f t="shared" si="496"/>
        <v>6430421.2300000004</v>
      </c>
      <c r="AJ801" s="7">
        <f t="shared" si="495"/>
        <v>6430421.2300000004</v>
      </c>
      <c r="AK801" s="7">
        <f t="shared" si="495"/>
        <v>6430421.2300000004</v>
      </c>
      <c r="AL801" s="7">
        <f t="shared" si="495"/>
        <v>6430421.2300000004</v>
      </c>
      <c r="AM801" s="7">
        <f t="shared" si="495"/>
        <v>6430421.2300000004</v>
      </c>
      <c r="AN801" s="7">
        <f t="shared" si="495"/>
        <v>6430421.2300000004</v>
      </c>
      <c r="BR801" s="5">
        <v>5303072</v>
      </c>
      <c r="BS801" s="18">
        <f>[1]monsters!$N801</f>
        <v>83.2</v>
      </c>
      <c r="BT801" s="18">
        <f>[1]monsters!$O801</f>
        <v>8.32</v>
      </c>
      <c r="BU801" s="18">
        <f>[1]monsters!$P801</f>
        <v>160</v>
      </c>
      <c r="BV801" s="18">
        <f>[1]monsters!$Q801</f>
        <v>80</v>
      </c>
      <c r="BW801" s="18">
        <f>[1]monsters!$R801</f>
        <v>8.32</v>
      </c>
      <c r="BX801" s="18">
        <f>[1]monsters!$S801</f>
        <v>0.83</v>
      </c>
      <c r="BY801" s="18">
        <f>[1]monsters!$K801</f>
        <v>1.3</v>
      </c>
      <c r="BZ801" s="5">
        <f>[1]monsters!$D801</f>
        <v>4</v>
      </c>
      <c r="CA801" s="5">
        <f t="shared" si="497"/>
        <v>0.1</v>
      </c>
      <c r="CB801" s="5">
        <f t="shared" si="498"/>
        <v>84.011205387205393</v>
      </c>
      <c r="CC801" s="5">
        <f t="shared" si="499"/>
        <v>8.401120538720539</v>
      </c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R801" s="3" t="b">
        <f t="shared" si="510"/>
        <v>1</v>
      </c>
      <c r="CS801" s="3" t="b">
        <f t="shared" si="511"/>
        <v>1</v>
      </c>
      <c r="CT801" s="3" t="b">
        <f t="shared" si="512"/>
        <v>1</v>
      </c>
      <c r="CU801" s="3" t="b">
        <f t="shared" si="513"/>
        <v>1</v>
      </c>
      <c r="CV801" s="3" t="b">
        <f t="shared" si="514"/>
        <v>1</v>
      </c>
      <c r="CW801" s="3" t="b">
        <f t="shared" si="515"/>
        <v>1</v>
      </c>
      <c r="CX801" s="9" t="str">
        <f t="shared" si="516"/>
        <v>5202133</v>
      </c>
      <c r="CY801" s="9" t="str">
        <f t="shared" si="517"/>
        <v>5202132</v>
      </c>
      <c r="CZ801" s="9" t="str">
        <f t="shared" si="518"/>
        <v>5201134</v>
      </c>
      <c r="DA801" s="9" t="str">
        <f t="shared" si="519"/>
        <v>5501134</v>
      </c>
      <c r="DB801" s="9" t="str">
        <f t="shared" si="520"/>
        <v>5500133</v>
      </c>
      <c r="DC801" s="9" t="str">
        <f t="shared" si="521"/>
        <v>5501134</v>
      </c>
      <c r="DD801" s="9">
        <v>13</v>
      </c>
      <c r="DE801" s="9">
        <v>13</v>
      </c>
      <c r="DF801" s="9">
        <v>13</v>
      </c>
      <c r="DG801" s="9">
        <v>13</v>
      </c>
      <c r="DH801" s="9">
        <v>13</v>
      </c>
      <c r="DI801" s="9">
        <v>13</v>
      </c>
      <c r="DJ801" s="9">
        <v>5</v>
      </c>
      <c r="DK801" s="9">
        <v>5</v>
      </c>
      <c r="DL801" s="9">
        <v>5</v>
      </c>
      <c r="DM801" s="9">
        <v>5</v>
      </c>
      <c r="DN801" s="9">
        <v>5</v>
      </c>
      <c r="DO801" s="9">
        <v>5</v>
      </c>
      <c r="DP801" s="25" t="s">
        <v>208</v>
      </c>
      <c r="DQ801" s="25" t="s">
        <v>200</v>
      </c>
      <c r="DR801" s="26" t="s">
        <v>217</v>
      </c>
      <c r="DS801" s="26" t="s">
        <v>214</v>
      </c>
      <c r="DT801" s="26" t="s">
        <v>207</v>
      </c>
      <c r="DU801" s="26" t="s">
        <v>214</v>
      </c>
      <c r="DV801" s="25">
        <f t="shared" si="522"/>
        <v>1</v>
      </c>
      <c r="DW801" s="25">
        <f t="shared" si="523"/>
        <v>1</v>
      </c>
      <c r="DX801" s="25">
        <f t="shared" si="524"/>
        <v>1</v>
      </c>
      <c r="DY801" s="25">
        <f t="shared" si="525"/>
        <v>2</v>
      </c>
      <c r="DZ801" s="25">
        <f t="shared" si="526"/>
        <v>2</v>
      </c>
      <c r="EA801" s="25">
        <f t="shared" si="527"/>
        <v>2</v>
      </c>
      <c r="EB801" s="47"/>
    </row>
    <row r="802" spans="1:132" ht="13.5" customHeight="1">
      <c r="A802" s="9">
        <v>799</v>
      </c>
      <c r="B802" s="9">
        <v>1</v>
      </c>
      <c r="C802" s="9">
        <v>2001</v>
      </c>
      <c r="D802" s="9">
        <f t="shared" si="500"/>
        <v>51039138</v>
      </c>
      <c r="E802" s="9" t="str">
        <f t="shared" si="501"/>
        <v>5202133,5202133,5301133,5601133,5500133,5500133</v>
      </c>
      <c r="F802" s="9" t="str">
        <f t="shared" si="502"/>
        <v>13,13,13,13,13,13</v>
      </c>
      <c r="G802" s="9" t="str">
        <f t="shared" si="503"/>
        <v>1659,1793,1793,1793,1793,1793</v>
      </c>
      <c r="H802" s="9">
        <v>359</v>
      </c>
      <c r="I802" s="9" t="s">
        <v>278</v>
      </c>
      <c r="J802" s="9" t="s">
        <v>279</v>
      </c>
      <c r="K802" s="9" t="s">
        <v>279</v>
      </c>
      <c r="L802" s="9" t="s">
        <v>279</v>
      </c>
      <c r="M802" s="36" t="s">
        <v>320</v>
      </c>
      <c r="O802" s="3">
        <f t="shared" si="494"/>
        <v>51039138</v>
      </c>
      <c r="P802" s="9">
        <v>38666013.75</v>
      </c>
      <c r="Q802" s="9">
        <v>5202133</v>
      </c>
      <c r="R802" s="9">
        <v>5202133</v>
      </c>
      <c r="S802" s="9">
        <v>5301133</v>
      </c>
      <c r="T802" s="9">
        <v>5601133</v>
      </c>
      <c r="U802" s="9">
        <v>5500133</v>
      </c>
      <c r="V802" s="9">
        <v>5500133</v>
      </c>
      <c r="W802" s="9">
        <v>13</v>
      </c>
      <c r="X802" s="9">
        <v>13</v>
      </c>
      <c r="Y802" s="9">
        <v>13</v>
      </c>
      <c r="Z802" s="9">
        <v>13</v>
      </c>
      <c r="AA802" s="9">
        <v>13</v>
      </c>
      <c r="AB802" s="9">
        <v>13</v>
      </c>
      <c r="AC802" s="9">
        <f t="shared" si="504"/>
        <v>1659</v>
      </c>
      <c r="AD802" s="9">
        <f t="shared" si="505"/>
        <v>1793</v>
      </c>
      <c r="AE802" s="9">
        <f t="shared" si="506"/>
        <v>1793</v>
      </c>
      <c r="AF802" s="9">
        <f t="shared" si="507"/>
        <v>1793</v>
      </c>
      <c r="AG802" s="9">
        <f t="shared" si="508"/>
        <v>1793</v>
      </c>
      <c r="AH802" s="9">
        <f t="shared" si="509"/>
        <v>1793</v>
      </c>
      <c r="AI802" s="7">
        <f t="shared" si="496"/>
        <v>6444335.625</v>
      </c>
      <c r="AJ802" s="7">
        <f t="shared" si="495"/>
        <v>6444335.625</v>
      </c>
      <c r="AK802" s="7">
        <f t="shared" si="495"/>
        <v>6444335.625</v>
      </c>
      <c r="AL802" s="7">
        <f t="shared" si="495"/>
        <v>6444335.625</v>
      </c>
      <c r="AM802" s="7">
        <f t="shared" si="495"/>
        <v>6444335.625</v>
      </c>
      <c r="AN802" s="7">
        <f t="shared" si="495"/>
        <v>6444335.625</v>
      </c>
      <c r="BR802" s="5">
        <v>5304072</v>
      </c>
      <c r="BS802" s="18">
        <f>[1]monsters!$N802</f>
        <v>86.4</v>
      </c>
      <c r="BT802" s="18">
        <f>[1]monsters!$O802</f>
        <v>8.64</v>
      </c>
      <c r="BU802" s="18">
        <f>[1]monsters!$P802</f>
        <v>213.334</v>
      </c>
      <c r="BV802" s="18">
        <f>[1]monsters!$Q802</f>
        <v>106.67</v>
      </c>
      <c r="BW802" s="18">
        <f>[1]monsters!$R802</f>
        <v>17.28</v>
      </c>
      <c r="BX802" s="18">
        <f>[1]monsters!$S802</f>
        <v>1.73</v>
      </c>
      <c r="BY802" s="18">
        <f>[1]monsters!$K802</f>
        <v>1.8</v>
      </c>
      <c r="BZ802" s="5">
        <f>[1]monsters!$D802</f>
        <v>2</v>
      </c>
      <c r="CA802" s="5">
        <f t="shared" si="497"/>
        <v>0.1</v>
      </c>
      <c r="CB802" s="5">
        <f t="shared" si="498"/>
        <v>88.830962962962971</v>
      </c>
      <c r="CC802" s="5">
        <f t="shared" si="499"/>
        <v>8.8830962962962978</v>
      </c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R802" s="3" t="b">
        <f t="shared" si="510"/>
        <v>1</v>
      </c>
      <c r="CS802" s="3" t="b">
        <f t="shared" si="511"/>
        <v>1</v>
      </c>
      <c r="CT802" s="3" t="b">
        <f t="shared" si="512"/>
        <v>1</v>
      </c>
      <c r="CU802" s="3" t="b">
        <f t="shared" si="513"/>
        <v>1</v>
      </c>
      <c r="CV802" s="3" t="b">
        <f t="shared" si="514"/>
        <v>1</v>
      </c>
      <c r="CW802" s="3" t="b">
        <f t="shared" si="515"/>
        <v>1</v>
      </c>
      <c r="CX802" s="9" t="str">
        <f t="shared" si="516"/>
        <v>5202133</v>
      </c>
      <c r="CY802" s="9" t="str">
        <f t="shared" si="517"/>
        <v>5202133</v>
      </c>
      <c r="CZ802" s="9" t="str">
        <f t="shared" si="518"/>
        <v>5301133</v>
      </c>
      <c r="DA802" s="9" t="str">
        <f t="shared" si="519"/>
        <v>5601133</v>
      </c>
      <c r="DB802" s="9" t="str">
        <f t="shared" si="520"/>
        <v>5500133</v>
      </c>
      <c r="DC802" s="9" t="str">
        <f t="shared" si="521"/>
        <v>5500133</v>
      </c>
      <c r="DD802" s="9">
        <v>13</v>
      </c>
      <c r="DE802" s="9">
        <v>13</v>
      </c>
      <c r="DF802" s="9">
        <v>13</v>
      </c>
      <c r="DG802" s="9">
        <v>13</v>
      </c>
      <c r="DH802" s="9">
        <v>13</v>
      </c>
      <c r="DI802" s="9">
        <v>13</v>
      </c>
      <c r="DJ802" s="9">
        <v>5</v>
      </c>
      <c r="DK802" s="9">
        <v>5</v>
      </c>
      <c r="DL802" s="9">
        <v>5</v>
      </c>
      <c r="DM802" s="9">
        <v>5</v>
      </c>
      <c r="DN802" s="9">
        <v>5</v>
      </c>
      <c r="DO802" s="9">
        <v>5</v>
      </c>
      <c r="DP802" s="25" t="s">
        <v>208</v>
      </c>
      <c r="DQ802" s="25" t="s">
        <v>208</v>
      </c>
      <c r="DR802" s="25" t="s">
        <v>206</v>
      </c>
      <c r="DS802" s="25" t="s">
        <v>216</v>
      </c>
      <c r="DT802" s="26" t="s">
        <v>207</v>
      </c>
      <c r="DU802" s="26" t="s">
        <v>207</v>
      </c>
      <c r="DV802" s="25">
        <f t="shared" si="522"/>
        <v>1</v>
      </c>
      <c r="DW802" s="25">
        <f t="shared" si="523"/>
        <v>1</v>
      </c>
      <c r="DX802" s="25">
        <f t="shared" si="524"/>
        <v>1</v>
      </c>
      <c r="DY802" s="25">
        <f t="shared" si="525"/>
        <v>2</v>
      </c>
      <c r="DZ802" s="25">
        <f t="shared" si="526"/>
        <v>2</v>
      </c>
      <c r="EA802" s="25">
        <f t="shared" si="527"/>
        <v>2</v>
      </c>
      <c r="EB802" s="47"/>
    </row>
    <row r="803" spans="1:132" ht="13.5" customHeight="1">
      <c r="A803" s="9">
        <v>800</v>
      </c>
      <c r="B803" s="9">
        <v>1</v>
      </c>
      <c r="C803" s="9">
        <v>2001</v>
      </c>
      <c r="D803" s="9">
        <f t="shared" si="500"/>
        <v>51149463</v>
      </c>
      <c r="E803" s="9" t="str">
        <f t="shared" si="501"/>
        <v>5201133,5202131,5200132,5402133,5500132,5402133</v>
      </c>
      <c r="F803" s="9" t="str">
        <f t="shared" si="502"/>
        <v>13,13,13,13,13,13</v>
      </c>
      <c r="G803" s="9" t="str">
        <f t="shared" si="503"/>
        <v>1661,1795,1795,1795,1795,1795</v>
      </c>
      <c r="H803" s="9">
        <v>360</v>
      </c>
      <c r="I803" s="9" t="s">
        <v>278</v>
      </c>
      <c r="J803" s="9" t="s">
        <v>279</v>
      </c>
      <c r="K803" s="9" t="s">
        <v>279</v>
      </c>
      <c r="L803" s="9" t="s">
        <v>279</v>
      </c>
      <c r="M803" s="36" t="s">
        <v>320</v>
      </c>
      <c r="O803" s="3">
        <f t="shared" si="494"/>
        <v>51149463</v>
      </c>
      <c r="P803" s="9">
        <v>38749592.960000001</v>
      </c>
      <c r="Q803" s="9">
        <v>5201133</v>
      </c>
      <c r="R803" s="9">
        <v>5202131</v>
      </c>
      <c r="S803" s="9">
        <v>5200132</v>
      </c>
      <c r="T803" s="9">
        <v>5402133</v>
      </c>
      <c r="U803" s="9">
        <v>5500132</v>
      </c>
      <c r="V803" s="9">
        <v>5402133</v>
      </c>
      <c r="W803" s="9">
        <v>13</v>
      </c>
      <c r="X803" s="9">
        <v>13</v>
      </c>
      <c r="Y803" s="9">
        <v>13</v>
      </c>
      <c r="Z803" s="9">
        <v>13</v>
      </c>
      <c r="AA803" s="9">
        <v>13</v>
      </c>
      <c r="AB803" s="9">
        <v>13</v>
      </c>
      <c r="AC803" s="9">
        <f t="shared" si="504"/>
        <v>1661</v>
      </c>
      <c r="AD803" s="9">
        <f t="shared" si="505"/>
        <v>1795</v>
      </c>
      <c r="AE803" s="9">
        <f t="shared" si="506"/>
        <v>1795</v>
      </c>
      <c r="AF803" s="9">
        <f t="shared" si="507"/>
        <v>1795</v>
      </c>
      <c r="AG803" s="9">
        <f t="shared" si="508"/>
        <v>1795</v>
      </c>
      <c r="AH803" s="9">
        <f t="shared" si="509"/>
        <v>1795</v>
      </c>
      <c r="AI803" s="7">
        <f t="shared" si="496"/>
        <v>6458265.4933333332</v>
      </c>
      <c r="AJ803" s="7">
        <f t="shared" si="495"/>
        <v>6458265.4933333332</v>
      </c>
      <c r="AK803" s="7">
        <f t="shared" si="495"/>
        <v>6458265.4933333332</v>
      </c>
      <c r="AL803" s="7">
        <f t="shared" si="495"/>
        <v>6458265.4933333332</v>
      </c>
      <c r="AM803" s="7">
        <f t="shared" si="495"/>
        <v>6458265.4933333332</v>
      </c>
      <c r="AN803" s="7">
        <f t="shared" si="495"/>
        <v>6458265.4933333332</v>
      </c>
      <c r="BR803" s="5">
        <v>5503072</v>
      </c>
      <c r="BS803" s="18">
        <f>[1]monsters!$N803</f>
        <v>100</v>
      </c>
      <c r="BT803" s="18">
        <f>[1]monsters!$O803</f>
        <v>10</v>
      </c>
      <c r="BU803" s="18">
        <f>[1]monsters!$P803</f>
        <v>153.6</v>
      </c>
      <c r="BV803" s="18">
        <f>[1]monsters!$Q803</f>
        <v>76.8</v>
      </c>
      <c r="BW803" s="18">
        <f>[1]monsters!$R803</f>
        <v>10</v>
      </c>
      <c r="BX803" s="18">
        <f>[1]monsters!$S803</f>
        <v>1</v>
      </c>
      <c r="BY803" s="18">
        <f>[1]monsters!$K803</f>
        <v>1.5</v>
      </c>
      <c r="BZ803" s="5">
        <f>[1]monsters!$D803</f>
        <v>4</v>
      </c>
      <c r="CA803" s="5">
        <f t="shared" si="497"/>
        <v>0.1</v>
      </c>
      <c r="CB803" s="5">
        <f t="shared" si="498"/>
        <v>99.671717171717177</v>
      </c>
      <c r="CC803" s="5">
        <f t="shared" si="499"/>
        <v>9.967171717171718</v>
      </c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R803" s="3" t="b">
        <f t="shared" si="510"/>
        <v>1</v>
      </c>
      <c r="CS803" s="3" t="b">
        <f t="shared" si="511"/>
        <v>1</v>
      </c>
      <c r="CT803" s="3" t="b">
        <f t="shared" si="512"/>
        <v>1</v>
      </c>
      <c r="CU803" s="3" t="b">
        <f t="shared" si="513"/>
        <v>1</v>
      </c>
      <c r="CV803" s="3" t="b">
        <f t="shared" si="514"/>
        <v>1</v>
      </c>
      <c r="CW803" s="3" t="b">
        <f t="shared" si="515"/>
        <v>1</v>
      </c>
      <c r="CX803" s="9" t="str">
        <f t="shared" si="516"/>
        <v>5201133</v>
      </c>
      <c r="CY803" s="9" t="str">
        <f t="shared" si="517"/>
        <v>5202131</v>
      </c>
      <c r="CZ803" s="9" t="str">
        <f t="shared" si="518"/>
        <v>5200132</v>
      </c>
      <c r="DA803" s="9" t="str">
        <f t="shared" si="519"/>
        <v>5402133</v>
      </c>
      <c r="DB803" s="9" t="str">
        <f t="shared" si="520"/>
        <v>5500132</v>
      </c>
      <c r="DC803" s="9" t="str">
        <f t="shared" si="521"/>
        <v>5402133</v>
      </c>
      <c r="DD803" s="9">
        <v>13</v>
      </c>
      <c r="DE803" s="9">
        <v>13</v>
      </c>
      <c r="DF803" s="9">
        <v>13</v>
      </c>
      <c r="DG803" s="9">
        <v>13</v>
      </c>
      <c r="DH803" s="9">
        <v>13</v>
      </c>
      <c r="DI803" s="9">
        <v>13</v>
      </c>
      <c r="DJ803" s="9">
        <v>5</v>
      </c>
      <c r="DK803" s="9">
        <v>5</v>
      </c>
      <c r="DL803" s="9">
        <v>5</v>
      </c>
      <c r="DM803" s="9">
        <v>5</v>
      </c>
      <c r="DN803" s="9">
        <v>5</v>
      </c>
      <c r="DO803" s="9">
        <v>5</v>
      </c>
      <c r="DP803" s="25" t="s">
        <v>205</v>
      </c>
      <c r="DQ803" s="25" t="s">
        <v>111</v>
      </c>
      <c r="DR803" s="25" t="s">
        <v>199</v>
      </c>
      <c r="DS803" s="26" t="s">
        <v>118</v>
      </c>
      <c r="DT803" s="26" t="s">
        <v>109</v>
      </c>
      <c r="DU803" s="26" t="s">
        <v>118</v>
      </c>
      <c r="DV803" s="25">
        <f t="shared" si="522"/>
        <v>1</v>
      </c>
      <c r="DW803" s="25">
        <f t="shared" si="523"/>
        <v>1</v>
      </c>
      <c r="DX803" s="25">
        <f t="shared" si="524"/>
        <v>1</v>
      </c>
      <c r="DY803" s="25">
        <f t="shared" si="525"/>
        <v>2</v>
      </c>
      <c r="DZ803" s="25">
        <f t="shared" si="526"/>
        <v>2</v>
      </c>
      <c r="EA803" s="25">
        <f t="shared" si="527"/>
        <v>2</v>
      </c>
      <c r="EB803" s="48"/>
    </row>
    <row r="804" spans="1:132" ht="13.5" customHeight="1">
      <c r="AC804" s="9" t="str">
        <f t="shared" ref="AC804:AC859" si="528">IF(AI804&gt;0,FLOOR((POWER((AI804/IF(AND(W804&gt;=2,W804&lt;4),1.1,IF(AND(W804&gt;=4,W804&lt;6),1.2,IF(W804&gt;=6,1.4,1)))/$Z$1),0.5)/INDEX($BD$4:$BQ$4,MATCH(W804,$BD$3:$BQ$3,0))-1)*10,1),"")</f>
        <v/>
      </c>
      <c r="AD804" s="9" t="str">
        <f t="shared" ref="AD804:AD859" si="529">IF(AJ804&gt;0,FLOOR((POWER((AJ804/IF(AND(X804&gt;=2,X804&lt;4),1.1,IF(AND(X804&gt;=4,X804&lt;6),1.15,IF(X804&gt;=6,1.2,1)))/$Z$1),0.5)/INDEX($BD$4:$BQ$4,MATCH(X804,$BD$3:$BQ$3,0))-1)*10,1),"")</f>
        <v/>
      </c>
      <c r="AE804" s="9" t="str">
        <f t="shared" ref="AE804:AE859" si="530">IF(AK804&gt;0,FLOOR((POWER((AK804/IF(AND(Y804&gt;=2,Y804&lt;4),1.1,IF(AND(Y804&gt;=4,Y804&lt;6),1.15,IF(Y804&gt;=6,1.2,1)))/$Z$1),0.5)/INDEX($BD$4:$BQ$4,MATCH(Y804,$BD$3:$BQ$3,0))-1)*10,1),"")</f>
        <v/>
      </c>
      <c r="AF804" s="9" t="str">
        <f t="shared" ref="AF804:AF859" si="531">IF(AL804&gt;0,FLOOR((POWER((AL804/IF(AND(Z804&gt;=2,Z804&lt;4),1.1,IF(AND(Z804&gt;=4,Z804&lt;6),1.15,IF(Z804&gt;=6,1.2,1)))/$Z$1),0.5)/INDEX($BD$4:$BQ$4,MATCH(Z804,$BD$3:$BQ$3,0))-1)*10,1),"")</f>
        <v/>
      </c>
      <c r="AG804" s="9" t="str">
        <f t="shared" ref="AG804:AG859" si="532">IF(AM804&gt;0,FLOOR((POWER((AM804/IF(AND(AA804&gt;=2,AA804&lt;4),1.1,IF(AND(AA804&gt;=4,AA804&lt;6),1.15,IF(AA804&gt;=6,1.2,1)))/$Z$1),0.5)/INDEX($BD$4:$BQ$4,MATCH(AA804,$BD$3:$BQ$3,0))-1)*10,1),"")</f>
        <v/>
      </c>
      <c r="AH804" s="9" t="str">
        <f t="shared" ref="AH804:AH859" si="533">IF(AN804&gt;0,FLOOR((POWER((AN804/IF(AND(AB804&gt;=2,AB804&lt;4),1.1,IF(AND(AB804&gt;=4,AB804&lt;6),1.15,IF(AB804&gt;=6,1.2,1)))/$Z$1),0.5)/INDEX($BD$4:$BQ$4,MATCH(AB804,$BD$3:$BQ$3,0))-1)*10,1),"")</f>
        <v/>
      </c>
      <c r="BR804" s="5">
        <v>5504072</v>
      </c>
      <c r="BS804" s="18">
        <f>[1]monsters!$N804</f>
        <v>76.27</v>
      </c>
      <c r="BT804" s="18">
        <f>[1]monsters!$O804</f>
        <v>7.63</v>
      </c>
      <c r="BU804" s="18">
        <f>[1]monsters!$P804</f>
        <v>174.54599999999999</v>
      </c>
      <c r="BV804" s="18">
        <f>[1]monsters!$Q804</f>
        <v>87.27</v>
      </c>
      <c r="BW804" s="18">
        <f>[1]monsters!$R804</f>
        <v>9.5299999999999994</v>
      </c>
      <c r="BX804" s="18">
        <f>[1]monsters!$S804</f>
        <v>0.95</v>
      </c>
      <c r="BY804" s="18">
        <f>[1]monsters!$K804</f>
        <v>1.3</v>
      </c>
      <c r="BZ804" s="5">
        <f>[1]monsters!$D804</f>
        <v>3</v>
      </c>
      <c r="CA804" s="5">
        <f t="shared" si="497"/>
        <v>0.1</v>
      </c>
      <c r="CB804" s="5">
        <f t="shared" si="498"/>
        <v>77.952119696969703</v>
      </c>
      <c r="CC804" s="5">
        <f t="shared" si="499"/>
        <v>7.7952119696969708</v>
      </c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R804" s="3" t="b">
        <f t="shared" si="510"/>
        <v>1</v>
      </c>
      <c r="CS804" s="3" t="b">
        <f t="shared" si="511"/>
        <v>1</v>
      </c>
      <c r="CT804" s="3" t="b">
        <f t="shared" si="512"/>
        <v>1</v>
      </c>
      <c r="CU804" s="3" t="b">
        <f t="shared" si="513"/>
        <v>1</v>
      </c>
      <c r="CV804" s="3" t="b">
        <f t="shared" si="514"/>
        <v>1</v>
      </c>
      <c r="CW804" s="3" t="b">
        <f t="shared" si="515"/>
        <v>1</v>
      </c>
      <c r="CX804" s="9" t="str">
        <f t="shared" si="516"/>
        <v>5302135</v>
      </c>
      <c r="CY804" s="9" t="str">
        <f t="shared" si="517"/>
        <v>5202135</v>
      </c>
      <c r="CZ804" s="9" t="str">
        <f t="shared" si="518"/>
        <v>5202135</v>
      </c>
      <c r="DA804" s="9" t="str">
        <f t="shared" si="519"/>
        <v>5502132</v>
      </c>
      <c r="DB804" s="9" t="str">
        <f t="shared" si="520"/>
        <v>5500132</v>
      </c>
      <c r="DC804" s="9" t="str">
        <f t="shared" si="521"/>
        <v>5502133</v>
      </c>
      <c r="DD804" s="9">
        <v>13</v>
      </c>
      <c r="DE804" s="9">
        <v>13</v>
      </c>
      <c r="DF804" s="9">
        <v>13</v>
      </c>
      <c r="DG804" s="9">
        <v>13</v>
      </c>
      <c r="DH804" s="9">
        <v>13</v>
      </c>
      <c r="DI804" s="9">
        <v>13</v>
      </c>
      <c r="DJ804" s="9">
        <v>5</v>
      </c>
      <c r="DK804" s="9">
        <v>5</v>
      </c>
      <c r="DL804" s="9">
        <v>5</v>
      </c>
      <c r="DM804" s="9">
        <v>5</v>
      </c>
      <c r="DN804" s="9">
        <v>5</v>
      </c>
      <c r="DO804" s="9">
        <v>5</v>
      </c>
      <c r="DP804" s="25" t="s">
        <v>221</v>
      </c>
      <c r="DQ804" s="25" t="s">
        <v>213</v>
      </c>
      <c r="DR804" s="25" t="s">
        <v>213</v>
      </c>
      <c r="DS804" s="26" t="s">
        <v>204</v>
      </c>
      <c r="DT804" s="26" t="s">
        <v>109</v>
      </c>
      <c r="DU804" s="26" t="s">
        <v>215</v>
      </c>
      <c r="DV804" s="25">
        <f t="shared" si="522"/>
        <v>1</v>
      </c>
      <c r="DW804" s="25">
        <f t="shared" si="523"/>
        <v>1</v>
      </c>
      <c r="DX804" s="25">
        <f t="shared" si="524"/>
        <v>1</v>
      </c>
      <c r="DY804" s="25">
        <f t="shared" si="525"/>
        <v>2</v>
      </c>
      <c r="DZ804" s="25">
        <f t="shared" si="526"/>
        <v>2</v>
      </c>
      <c r="EA804" s="25">
        <f t="shared" si="527"/>
        <v>2</v>
      </c>
      <c r="EB804" s="47"/>
    </row>
    <row r="805" spans="1:132" ht="13.5" customHeight="1">
      <c r="AC805" s="9" t="str">
        <f t="shared" si="528"/>
        <v/>
      </c>
      <c r="AD805" s="9" t="str">
        <f t="shared" si="529"/>
        <v/>
      </c>
      <c r="AE805" s="9" t="str">
        <f t="shared" si="530"/>
        <v/>
      </c>
      <c r="AF805" s="9" t="str">
        <f t="shared" si="531"/>
        <v/>
      </c>
      <c r="AG805" s="9" t="str">
        <f t="shared" si="532"/>
        <v/>
      </c>
      <c r="AH805" s="9" t="str">
        <f t="shared" si="533"/>
        <v/>
      </c>
      <c r="BR805" s="5">
        <v>5101072</v>
      </c>
      <c r="BS805" s="18">
        <f>[1]monsters!$N805</f>
        <v>105.6</v>
      </c>
      <c r="BT805" s="18">
        <f>[1]monsters!$O805</f>
        <v>10.56</v>
      </c>
      <c r="BU805" s="18">
        <f>[1]monsters!$P805</f>
        <v>174.54599999999999</v>
      </c>
      <c r="BV805" s="18">
        <f>[1]monsters!$Q805</f>
        <v>87.27</v>
      </c>
      <c r="BW805" s="18">
        <f>[1]monsters!$R805</f>
        <v>17.600000000000001</v>
      </c>
      <c r="BX805" s="18">
        <f>[1]monsters!$S805</f>
        <v>1.76</v>
      </c>
      <c r="BY805" s="18">
        <f>[1]monsters!$K805</f>
        <v>1.8</v>
      </c>
      <c r="BZ805" s="5">
        <f>[1]monsters!$D805</f>
        <v>5</v>
      </c>
      <c r="CA805" s="5">
        <f t="shared" si="497"/>
        <v>0.1</v>
      </c>
      <c r="CB805" s="5">
        <f t="shared" si="498"/>
        <v>105.6689696969697</v>
      </c>
      <c r="CC805" s="5">
        <f t="shared" si="499"/>
        <v>10.56689696969697</v>
      </c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R805" s="3" t="b">
        <f t="shared" si="510"/>
        <v>1</v>
      </c>
      <c r="CS805" s="3" t="b">
        <f t="shared" si="511"/>
        <v>1</v>
      </c>
      <c r="CT805" s="3" t="b">
        <f t="shared" si="512"/>
        <v>1</v>
      </c>
      <c r="CU805" s="3" t="b">
        <f t="shared" si="513"/>
        <v>1</v>
      </c>
      <c r="CV805" s="3" t="b">
        <f t="shared" si="514"/>
        <v>1</v>
      </c>
      <c r="CW805" s="3" t="b">
        <f t="shared" si="515"/>
        <v>1</v>
      </c>
      <c r="CX805" s="9" t="str">
        <f t="shared" si="516"/>
        <v>5200132</v>
      </c>
      <c r="CY805" s="9" t="str">
        <f t="shared" si="517"/>
        <v>5200133</v>
      </c>
      <c r="CZ805" s="9" t="str">
        <f t="shared" si="518"/>
        <v>5200132</v>
      </c>
      <c r="DA805" s="9" t="str">
        <f t="shared" si="519"/>
        <v>5401131</v>
      </c>
      <c r="DB805" s="9" t="str">
        <f t="shared" si="520"/>
        <v>5501135</v>
      </c>
      <c r="DC805" s="9" t="str">
        <f t="shared" si="521"/>
        <v>5401132</v>
      </c>
      <c r="DD805" s="9">
        <v>13</v>
      </c>
      <c r="DE805" s="9">
        <v>13</v>
      </c>
      <c r="DF805" s="9">
        <v>13</v>
      </c>
      <c r="DG805" s="9">
        <v>13</v>
      </c>
      <c r="DH805" s="9">
        <v>13</v>
      </c>
      <c r="DI805" s="9">
        <v>13</v>
      </c>
      <c r="DJ805" s="9">
        <v>5</v>
      </c>
      <c r="DK805" s="9">
        <v>5</v>
      </c>
      <c r="DL805" s="9">
        <v>5</v>
      </c>
      <c r="DM805" s="9">
        <v>5</v>
      </c>
      <c r="DN805" s="9">
        <v>5</v>
      </c>
      <c r="DO805" s="9">
        <v>5</v>
      </c>
      <c r="DP805" s="25" t="s">
        <v>199</v>
      </c>
      <c r="DQ805" s="25" t="s">
        <v>113</v>
      </c>
      <c r="DR805" s="25" t="s">
        <v>199</v>
      </c>
      <c r="DS805" s="26" t="s">
        <v>117</v>
      </c>
      <c r="DT805" s="26" t="s">
        <v>209</v>
      </c>
      <c r="DU805" s="26" t="s">
        <v>202</v>
      </c>
      <c r="DV805" s="25">
        <f t="shared" si="522"/>
        <v>1</v>
      </c>
      <c r="DW805" s="25">
        <f t="shared" si="523"/>
        <v>1</v>
      </c>
      <c r="DX805" s="25">
        <f t="shared" si="524"/>
        <v>1</v>
      </c>
      <c r="DY805" s="25">
        <f t="shared" si="525"/>
        <v>2</v>
      </c>
      <c r="DZ805" s="25">
        <f t="shared" si="526"/>
        <v>2</v>
      </c>
      <c r="EA805" s="25">
        <f t="shared" si="527"/>
        <v>2</v>
      </c>
      <c r="EB805" s="47"/>
    </row>
    <row r="806" spans="1:132" ht="13.5" customHeight="1">
      <c r="AC806" s="9" t="str">
        <f t="shared" si="528"/>
        <v/>
      </c>
      <c r="AD806" s="9" t="str">
        <f t="shared" si="529"/>
        <v/>
      </c>
      <c r="AE806" s="9" t="str">
        <f t="shared" si="530"/>
        <v/>
      </c>
      <c r="AF806" s="9" t="str">
        <f t="shared" si="531"/>
        <v/>
      </c>
      <c r="AG806" s="9" t="str">
        <f t="shared" si="532"/>
        <v/>
      </c>
      <c r="AH806" s="9" t="str">
        <f t="shared" si="533"/>
        <v/>
      </c>
      <c r="BR806" s="5">
        <v>5102072</v>
      </c>
      <c r="BS806" s="18">
        <f>[1]monsters!$N806</f>
        <v>76.8</v>
      </c>
      <c r="BT806" s="18">
        <f>[1]monsters!$O806</f>
        <v>7.68</v>
      </c>
      <c r="BU806" s="18">
        <f>[1]monsters!$P806</f>
        <v>213.334</v>
      </c>
      <c r="BV806" s="18">
        <f>[1]monsters!$Q806</f>
        <v>106.67</v>
      </c>
      <c r="BW806" s="18">
        <f>[1]monsters!$R806</f>
        <v>15.36</v>
      </c>
      <c r="BX806" s="18">
        <f>[1]monsters!$S806</f>
        <v>1.54</v>
      </c>
      <c r="BY806" s="18">
        <f>[1]monsters!$K806</f>
        <v>1.6</v>
      </c>
      <c r="BZ806" s="5">
        <f>[1]monsters!$D806</f>
        <v>2</v>
      </c>
      <c r="CA806" s="5">
        <f t="shared" si="497"/>
        <v>0.1</v>
      </c>
      <c r="CB806" s="5">
        <f t="shared" si="498"/>
        <v>79.758962962962968</v>
      </c>
      <c r="CC806" s="5">
        <f t="shared" si="499"/>
        <v>7.9758962962962974</v>
      </c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R806" s="3" t="b">
        <f t="shared" si="510"/>
        <v>1</v>
      </c>
      <c r="CS806" s="3" t="b">
        <f t="shared" si="511"/>
        <v>1</v>
      </c>
      <c r="CT806" s="3" t="b">
        <f t="shared" si="512"/>
        <v>1</v>
      </c>
      <c r="CU806" s="3" t="b">
        <f t="shared" si="513"/>
        <v>1</v>
      </c>
      <c r="CV806" s="3" t="b">
        <f t="shared" si="514"/>
        <v>1</v>
      </c>
      <c r="CW806" s="3" t="b">
        <f t="shared" si="515"/>
        <v>1</v>
      </c>
      <c r="CX806" s="9" t="str">
        <f t="shared" si="516"/>
        <v>5202131</v>
      </c>
      <c r="CY806" s="9" t="str">
        <f t="shared" si="517"/>
        <v>5202132</v>
      </c>
      <c r="CZ806" s="9" t="str">
        <f t="shared" si="518"/>
        <v>5301132</v>
      </c>
      <c r="DA806" s="9" t="str">
        <f t="shared" si="519"/>
        <v>5502131</v>
      </c>
      <c r="DB806" s="9" t="str">
        <f t="shared" si="520"/>
        <v>5500131</v>
      </c>
      <c r="DC806" s="9" t="str">
        <f t="shared" si="521"/>
        <v>5502131</v>
      </c>
      <c r="DD806" s="9">
        <v>13</v>
      </c>
      <c r="DE806" s="9">
        <v>13</v>
      </c>
      <c r="DF806" s="9">
        <v>13</v>
      </c>
      <c r="DG806" s="9">
        <v>13</v>
      </c>
      <c r="DH806" s="9">
        <v>13</v>
      </c>
      <c r="DI806" s="9">
        <v>13</v>
      </c>
      <c r="DJ806" s="9">
        <v>5</v>
      </c>
      <c r="DK806" s="9">
        <v>5</v>
      </c>
      <c r="DL806" s="9">
        <v>5</v>
      </c>
      <c r="DM806" s="9">
        <v>5</v>
      </c>
      <c r="DN806" s="9">
        <v>5</v>
      </c>
      <c r="DO806" s="9">
        <v>5</v>
      </c>
      <c r="DP806" s="25" t="s">
        <v>111</v>
      </c>
      <c r="DQ806" s="25" t="s">
        <v>200</v>
      </c>
      <c r="DR806" s="25" t="s">
        <v>201</v>
      </c>
      <c r="DS806" s="26" t="s">
        <v>119</v>
      </c>
      <c r="DT806" s="26" t="s">
        <v>197</v>
      </c>
      <c r="DU806" s="26" t="s">
        <v>119</v>
      </c>
      <c r="DV806" s="25">
        <f t="shared" si="522"/>
        <v>1</v>
      </c>
      <c r="DW806" s="25">
        <f t="shared" si="523"/>
        <v>1</v>
      </c>
      <c r="DX806" s="25">
        <f t="shared" si="524"/>
        <v>1</v>
      </c>
      <c r="DY806" s="25">
        <f t="shared" si="525"/>
        <v>2</v>
      </c>
      <c r="DZ806" s="25">
        <f t="shared" si="526"/>
        <v>2</v>
      </c>
      <c r="EA806" s="25">
        <f t="shared" si="527"/>
        <v>2</v>
      </c>
      <c r="EB806" s="47"/>
    </row>
    <row r="807" spans="1:132" ht="13.5" customHeight="1">
      <c r="AC807" s="9" t="str">
        <f t="shared" si="528"/>
        <v/>
      </c>
      <c r="AD807" s="9" t="str">
        <f t="shared" si="529"/>
        <v/>
      </c>
      <c r="AE807" s="9" t="str">
        <f t="shared" si="530"/>
        <v/>
      </c>
      <c r="AF807" s="9" t="str">
        <f t="shared" si="531"/>
        <v/>
      </c>
      <c r="AG807" s="9" t="str">
        <f t="shared" si="532"/>
        <v/>
      </c>
      <c r="AH807" s="9" t="str">
        <f t="shared" si="533"/>
        <v/>
      </c>
      <c r="BR807" s="5">
        <v>5206073</v>
      </c>
      <c r="BS807" s="18">
        <f>[1]monsters!$N807</f>
        <v>97.07</v>
      </c>
      <c r="BT807" s="18">
        <f>[1]monsters!$O807</f>
        <v>9.7100000000000009</v>
      </c>
      <c r="BU807" s="18">
        <f>[1]monsters!$P807</f>
        <v>147.69200000000001</v>
      </c>
      <c r="BV807" s="18">
        <f>[1]monsters!$Q807</f>
        <v>73.849999999999994</v>
      </c>
      <c r="BW807" s="18">
        <f>[1]monsters!$R807</f>
        <v>9.7100000000000009</v>
      </c>
      <c r="BX807" s="18">
        <f>[1]monsters!$S807</f>
        <v>0.97</v>
      </c>
      <c r="BY807" s="18">
        <f>[1]monsters!$K807</f>
        <v>1.4</v>
      </c>
      <c r="BZ807" s="5">
        <f>[1]monsters!$D807</f>
        <v>4</v>
      </c>
      <c r="CA807" s="5">
        <f t="shared" si="497"/>
        <v>0.1</v>
      </c>
      <c r="CB807" s="5">
        <f t="shared" si="498"/>
        <v>96.703944612794615</v>
      </c>
      <c r="CC807" s="5">
        <f t="shared" si="499"/>
        <v>9.6703944612794626</v>
      </c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R807" s="3" t="b">
        <f t="shared" si="510"/>
        <v>1</v>
      </c>
      <c r="CS807" s="3" t="b">
        <f t="shared" si="511"/>
        <v>1</v>
      </c>
      <c r="CT807" s="3" t="b">
        <f t="shared" si="512"/>
        <v>1</v>
      </c>
      <c r="CU807" s="3" t="b">
        <f t="shared" si="513"/>
        <v>1</v>
      </c>
      <c r="CV807" s="3" t="b">
        <f t="shared" si="514"/>
        <v>1</v>
      </c>
      <c r="CW807" s="3" t="b">
        <f t="shared" si="515"/>
        <v>1</v>
      </c>
      <c r="CX807" s="9" t="str">
        <f t="shared" si="516"/>
        <v>5201132</v>
      </c>
      <c r="CY807" s="9" t="str">
        <f t="shared" si="517"/>
        <v>5201132</v>
      </c>
      <c r="CZ807" s="9" t="str">
        <f t="shared" si="518"/>
        <v>5201132</v>
      </c>
      <c r="DA807" s="9" t="str">
        <f t="shared" si="519"/>
        <v>5502132</v>
      </c>
      <c r="DB807" s="9" t="str">
        <f t="shared" si="520"/>
        <v>5502132</v>
      </c>
      <c r="DC807" s="9" t="str">
        <f t="shared" si="521"/>
        <v>5502132</v>
      </c>
      <c r="DD807" s="9">
        <v>13</v>
      </c>
      <c r="DE807" s="9">
        <v>13</v>
      </c>
      <c r="DF807" s="9">
        <v>13</v>
      </c>
      <c r="DG807" s="9">
        <v>13</v>
      </c>
      <c r="DH807" s="9">
        <v>13</v>
      </c>
      <c r="DI807" s="9">
        <v>13</v>
      </c>
      <c r="DJ807" s="9">
        <v>5</v>
      </c>
      <c r="DK807" s="9">
        <v>5</v>
      </c>
      <c r="DL807" s="9">
        <v>5</v>
      </c>
      <c r="DM807" s="9">
        <v>5</v>
      </c>
      <c r="DN807" s="9">
        <v>5</v>
      </c>
      <c r="DO807" s="9">
        <v>5</v>
      </c>
      <c r="DP807" s="27" t="s">
        <v>114</v>
      </c>
      <c r="DQ807" s="27" t="s">
        <v>114</v>
      </c>
      <c r="DR807" s="27" t="s">
        <v>114</v>
      </c>
      <c r="DS807" s="28" t="s">
        <v>204</v>
      </c>
      <c r="DT807" s="28" t="s">
        <v>204</v>
      </c>
      <c r="DU807" s="28" t="s">
        <v>204</v>
      </c>
      <c r="DV807" s="25">
        <f t="shared" si="522"/>
        <v>1</v>
      </c>
      <c r="DW807" s="25">
        <f t="shared" si="523"/>
        <v>1</v>
      </c>
      <c r="DX807" s="25">
        <f t="shared" si="524"/>
        <v>1</v>
      </c>
      <c r="DY807" s="25">
        <f t="shared" si="525"/>
        <v>2</v>
      </c>
      <c r="DZ807" s="25">
        <f t="shared" si="526"/>
        <v>2</v>
      </c>
      <c r="EA807" s="25">
        <f t="shared" si="527"/>
        <v>2</v>
      </c>
      <c r="EB807" s="29"/>
    </row>
    <row r="808" spans="1:132" ht="13.5" customHeight="1">
      <c r="AC808" s="9" t="str">
        <f t="shared" si="528"/>
        <v/>
      </c>
      <c r="AD808" s="9" t="str">
        <f t="shared" si="529"/>
        <v/>
      </c>
      <c r="AE808" s="9" t="str">
        <f t="shared" si="530"/>
        <v/>
      </c>
      <c r="AF808" s="9" t="str">
        <f t="shared" si="531"/>
        <v/>
      </c>
      <c r="AG808" s="9" t="str">
        <f t="shared" si="532"/>
        <v/>
      </c>
      <c r="AH808" s="9" t="str">
        <f t="shared" si="533"/>
        <v/>
      </c>
      <c r="BR808" s="5">
        <v>5406073</v>
      </c>
      <c r="BS808" s="18">
        <f>[1]monsters!$N808</f>
        <v>67.2</v>
      </c>
      <c r="BT808" s="18">
        <f>[1]monsters!$O808</f>
        <v>6.72</v>
      </c>
      <c r="BU808" s="18">
        <f>[1]monsters!$P808</f>
        <v>213.334</v>
      </c>
      <c r="BV808" s="18">
        <f>[1]monsters!$Q808</f>
        <v>106.67</v>
      </c>
      <c r="BW808" s="18">
        <f>[1]monsters!$R808</f>
        <v>13.44</v>
      </c>
      <c r="BX808" s="18">
        <f>[1]monsters!$S808</f>
        <v>1.34</v>
      </c>
      <c r="BY808" s="18">
        <f>[1]monsters!$K808</f>
        <v>1.4</v>
      </c>
      <c r="BZ808" s="5">
        <f>[1]monsters!$D808</f>
        <v>2</v>
      </c>
      <c r="CA808" s="5">
        <f t="shared" si="497"/>
        <v>0.1</v>
      </c>
      <c r="CB808" s="5">
        <f t="shared" si="498"/>
        <v>70.686962962962966</v>
      </c>
      <c r="CC808" s="5">
        <f t="shared" si="499"/>
        <v>7.0686962962962969</v>
      </c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R808" s="3" t="b">
        <f t="shared" si="510"/>
        <v>1</v>
      </c>
      <c r="CS808" s="3" t="b">
        <f t="shared" si="511"/>
        <v>1</v>
      </c>
      <c r="CT808" s="3" t="b">
        <f t="shared" si="512"/>
        <v>1</v>
      </c>
      <c r="CU808" s="3" t="b">
        <f t="shared" si="513"/>
        <v>1</v>
      </c>
      <c r="CV808" s="3" t="b">
        <f t="shared" si="514"/>
        <v>1</v>
      </c>
      <c r="CW808" s="3" t="b">
        <f t="shared" si="515"/>
        <v>1</v>
      </c>
      <c r="CX808" s="9" t="str">
        <f t="shared" si="516"/>
        <v>5201132</v>
      </c>
      <c r="CY808" s="9" t="str">
        <f t="shared" si="517"/>
        <v>5201132</v>
      </c>
      <c r="CZ808" s="9" t="str">
        <f t="shared" si="518"/>
        <v>5200132</v>
      </c>
      <c r="DA808" s="9" t="str">
        <f t="shared" si="519"/>
        <v>5402132</v>
      </c>
      <c r="DB808" s="9" t="str">
        <f t="shared" si="520"/>
        <v>5601132</v>
      </c>
      <c r="DC808" s="9" t="str">
        <f t="shared" si="521"/>
        <v>5500132</v>
      </c>
      <c r="DD808" s="9">
        <v>13</v>
      </c>
      <c r="DE808" s="9">
        <v>13</v>
      </c>
      <c r="DF808" s="9">
        <v>13</v>
      </c>
      <c r="DG808" s="9">
        <v>13</v>
      </c>
      <c r="DH808" s="9">
        <v>13</v>
      </c>
      <c r="DI808" s="9">
        <v>13</v>
      </c>
      <c r="DJ808" s="9">
        <v>5</v>
      </c>
      <c r="DK808" s="9">
        <v>5</v>
      </c>
      <c r="DL808" s="9">
        <v>5</v>
      </c>
      <c r="DM808" s="9">
        <v>5</v>
      </c>
      <c r="DN808" s="9">
        <v>5</v>
      </c>
      <c r="DO808" s="9">
        <v>5</v>
      </c>
      <c r="DP808" s="25" t="s">
        <v>114</v>
      </c>
      <c r="DQ808" s="25" t="s">
        <v>114</v>
      </c>
      <c r="DR808" s="26" t="s">
        <v>199</v>
      </c>
      <c r="DS808" s="26" t="s">
        <v>203</v>
      </c>
      <c r="DT808" s="25" t="s">
        <v>124</v>
      </c>
      <c r="DU808" s="25" t="s">
        <v>109</v>
      </c>
      <c r="DV808" s="25">
        <f t="shared" si="522"/>
        <v>1</v>
      </c>
      <c r="DW808" s="25">
        <f t="shared" si="523"/>
        <v>1</v>
      </c>
      <c r="DX808" s="25">
        <f t="shared" si="524"/>
        <v>1</v>
      </c>
      <c r="DY808" s="25">
        <f t="shared" si="525"/>
        <v>2</v>
      </c>
      <c r="DZ808" s="25">
        <f t="shared" si="526"/>
        <v>2</v>
      </c>
      <c r="EA808" s="25">
        <f t="shared" si="527"/>
        <v>2</v>
      </c>
      <c r="EB808" s="29"/>
    </row>
    <row r="809" spans="1:132" ht="13.5" customHeight="1">
      <c r="AC809" s="9" t="str">
        <f t="shared" si="528"/>
        <v/>
      </c>
      <c r="AD809" s="9" t="str">
        <f t="shared" si="529"/>
        <v/>
      </c>
      <c r="AE809" s="9" t="str">
        <f t="shared" si="530"/>
        <v/>
      </c>
      <c r="AF809" s="9" t="str">
        <f t="shared" si="531"/>
        <v/>
      </c>
      <c r="AG809" s="9" t="str">
        <f t="shared" si="532"/>
        <v/>
      </c>
      <c r="AH809" s="9" t="str">
        <f t="shared" si="533"/>
        <v/>
      </c>
      <c r="BR809" s="5">
        <v>5205073</v>
      </c>
      <c r="BS809" s="18">
        <f>[1]monsters!$N809</f>
        <v>110.93</v>
      </c>
      <c r="BT809" s="18">
        <f>[1]monsters!$O809</f>
        <v>11.09</v>
      </c>
      <c r="BU809" s="18">
        <f>[1]monsters!$P809</f>
        <v>147.69200000000001</v>
      </c>
      <c r="BV809" s="18">
        <f>[1]monsters!$Q809</f>
        <v>73.849999999999994</v>
      </c>
      <c r="BW809" s="18">
        <f>[1]monsters!$R809</f>
        <v>11.09</v>
      </c>
      <c r="BX809" s="18">
        <f>[1]monsters!$S809</f>
        <v>1.1100000000000001</v>
      </c>
      <c r="BY809" s="18">
        <f>[1]monsters!$K809</f>
        <v>1.6</v>
      </c>
      <c r="BZ809" s="5">
        <f>[1]monsters!$D809</f>
        <v>4</v>
      </c>
      <c r="CA809" s="5">
        <f t="shared" si="497"/>
        <v>0.1</v>
      </c>
      <c r="CB809" s="5">
        <f t="shared" si="498"/>
        <v>109.80164461279463</v>
      </c>
      <c r="CC809" s="5">
        <f t="shared" si="499"/>
        <v>10.980164461279465</v>
      </c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R809" s="3" t="b">
        <f t="shared" si="510"/>
        <v>1</v>
      </c>
      <c r="CS809" s="3" t="b">
        <f t="shared" si="511"/>
        <v>1</v>
      </c>
      <c r="CT809" s="3" t="b">
        <f t="shared" si="512"/>
        <v>1</v>
      </c>
      <c r="CU809" s="3" t="b">
        <f t="shared" si="513"/>
        <v>1</v>
      </c>
      <c r="CV809" s="3" t="b">
        <f t="shared" si="514"/>
        <v>1</v>
      </c>
      <c r="CW809" s="3" t="b">
        <f t="shared" si="515"/>
        <v>1</v>
      </c>
      <c r="CX809" s="9" t="str">
        <f t="shared" si="516"/>
        <v>5200132</v>
      </c>
      <c r="CY809" s="9" t="str">
        <f t="shared" si="517"/>
        <v>5200133</v>
      </c>
      <c r="CZ809" s="9" t="str">
        <f t="shared" si="518"/>
        <v>5200132</v>
      </c>
      <c r="DA809" s="9" t="str">
        <f t="shared" si="519"/>
        <v>5502132</v>
      </c>
      <c r="DB809" s="9" t="str">
        <f t="shared" si="520"/>
        <v>5500132</v>
      </c>
      <c r="DC809" s="9" t="str">
        <f t="shared" si="521"/>
        <v>5502133</v>
      </c>
      <c r="DD809" s="9">
        <v>13</v>
      </c>
      <c r="DE809" s="9">
        <v>13</v>
      </c>
      <c r="DF809" s="9">
        <v>13</v>
      </c>
      <c r="DG809" s="9">
        <v>13</v>
      </c>
      <c r="DH809" s="9">
        <v>13</v>
      </c>
      <c r="DI809" s="9">
        <v>13</v>
      </c>
      <c r="DJ809" s="9">
        <v>5</v>
      </c>
      <c r="DK809" s="9">
        <v>5</v>
      </c>
      <c r="DL809" s="9">
        <v>5</v>
      </c>
      <c r="DM809" s="9">
        <v>5</v>
      </c>
      <c r="DN809" s="9">
        <v>5</v>
      </c>
      <c r="DO809" s="9">
        <v>5</v>
      </c>
      <c r="DP809" s="25" t="s">
        <v>199</v>
      </c>
      <c r="DQ809" s="25" t="s">
        <v>113</v>
      </c>
      <c r="DR809" s="25" t="s">
        <v>199</v>
      </c>
      <c r="DS809" s="28" t="s">
        <v>204</v>
      </c>
      <c r="DT809" s="28" t="s">
        <v>109</v>
      </c>
      <c r="DU809" s="28" t="s">
        <v>215</v>
      </c>
      <c r="DV809" s="25">
        <f t="shared" si="522"/>
        <v>1</v>
      </c>
      <c r="DW809" s="25">
        <f t="shared" si="523"/>
        <v>1</v>
      </c>
      <c r="DX809" s="25">
        <f t="shared" si="524"/>
        <v>1</v>
      </c>
      <c r="DY809" s="25">
        <f t="shared" si="525"/>
        <v>2</v>
      </c>
      <c r="DZ809" s="25">
        <f t="shared" si="526"/>
        <v>2</v>
      </c>
      <c r="EA809" s="25">
        <f t="shared" si="527"/>
        <v>2</v>
      </c>
      <c r="EB809" s="29"/>
    </row>
    <row r="810" spans="1:132" ht="13.5" customHeight="1">
      <c r="AC810" s="9" t="str">
        <f t="shared" si="528"/>
        <v/>
      </c>
      <c r="AD810" s="9" t="str">
        <f t="shared" si="529"/>
        <v/>
      </c>
      <c r="AE810" s="9" t="str">
        <f t="shared" si="530"/>
        <v/>
      </c>
      <c r="AF810" s="9" t="str">
        <f t="shared" si="531"/>
        <v/>
      </c>
      <c r="AG810" s="9" t="str">
        <f t="shared" si="532"/>
        <v/>
      </c>
      <c r="AH810" s="9" t="str">
        <f t="shared" si="533"/>
        <v/>
      </c>
      <c r="BR810" s="5">
        <v>5405073</v>
      </c>
      <c r="BS810" s="18">
        <f>[1]monsters!$N810</f>
        <v>102.4</v>
      </c>
      <c r="BT810" s="18">
        <f>[1]monsters!$O810</f>
        <v>10.24</v>
      </c>
      <c r="BU810" s="18">
        <f>[1]monsters!$P810</f>
        <v>160</v>
      </c>
      <c r="BV810" s="18">
        <f>[1]monsters!$Q810</f>
        <v>80</v>
      </c>
      <c r="BW810" s="18">
        <f>[1]monsters!$R810</f>
        <v>17.07</v>
      </c>
      <c r="BX810" s="18">
        <f>[1]monsters!$S810</f>
        <v>1.71</v>
      </c>
      <c r="BY810" s="18">
        <f>[1]monsters!$K810</f>
        <v>1.6</v>
      </c>
      <c r="BZ810" s="5">
        <f>[1]monsters!$D810</f>
        <v>5</v>
      </c>
      <c r="CA810" s="5">
        <f t="shared" si="497"/>
        <v>0.1</v>
      </c>
      <c r="CB810" s="5">
        <f t="shared" si="498"/>
        <v>102.1552053872054</v>
      </c>
      <c r="CC810" s="5">
        <f t="shared" si="499"/>
        <v>10.21552053872054</v>
      </c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R810" s="3" t="b">
        <f t="shared" si="510"/>
        <v>1</v>
      </c>
      <c r="CS810" s="3" t="b">
        <f t="shared" si="511"/>
        <v>1</v>
      </c>
      <c r="CT810" s="3" t="b">
        <f t="shared" si="512"/>
        <v>1</v>
      </c>
      <c r="CU810" s="3" t="b">
        <f t="shared" si="513"/>
        <v>1</v>
      </c>
      <c r="CV810" s="3" t="b">
        <f t="shared" si="514"/>
        <v>1</v>
      </c>
      <c r="CW810" s="3" t="b">
        <f t="shared" si="515"/>
        <v>1</v>
      </c>
      <c r="CX810" s="9" t="str">
        <f t="shared" si="516"/>
        <v>5202133</v>
      </c>
      <c r="CY810" s="9" t="str">
        <f t="shared" si="517"/>
        <v>5202132</v>
      </c>
      <c r="CZ810" s="9" t="str">
        <f t="shared" si="518"/>
        <v>5202133</v>
      </c>
      <c r="DA810" s="9" t="str">
        <f t="shared" si="519"/>
        <v>5401133</v>
      </c>
      <c r="DB810" s="9" t="str">
        <f t="shared" si="520"/>
        <v>5501135</v>
      </c>
      <c r="DC810" s="9" t="str">
        <f t="shared" si="521"/>
        <v>5400135</v>
      </c>
      <c r="DD810" s="9">
        <v>13</v>
      </c>
      <c r="DE810" s="9">
        <v>13</v>
      </c>
      <c r="DF810" s="9">
        <v>13</v>
      </c>
      <c r="DG810" s="9">
        <v>13</v>
      </c>
      <c r="DH810" s="9">
        <v>13</v>
      </c>
      <c r="DI810" s="9">
        <v>13</v>
      </c>
      <c r="DJ810" s="9">
        <v>5</v>
      </c>
      <c r="DK810" s="9">
        <v>5</v>
      </c>
      <c r="DL810" s="9">
        <v>5</v>
      </c>
      <c r="DM810" s="9">
        <v>5</v>
      </c>
      <c r="DN810" s="9">
        <v>5</v>
      </c>
      <c r="DO810" s="9">
        <v>5</v>
      </c>
      <c r="DP810" s="25" t="s">
        <v>208</v>
      </c>
      <c r="DQ810" s="25" t="s">
        <v>200</v>
      </c>
      <c r="DR810" s="26" t="s">
        <v>208</v>
      </c>
      <c r="DS810" s="26" t="s">
        <v>211</v>
      </c>
      <c r="DT810" s="25" t="s">
        <v>209</v>
      </c>
      <c r="DU810" s="25" t="s">
        <v>210</v>
      </c>
      <c r="DV810" s="25">
        <f t="shared" si="522"/>
        <v>1</v>
      </c>
      <c r="DW810" s="25">
        <f t="shared" si="523"/>
        <v>1</v>
      </c>
      <c r="DX810" s="25">
        <f t="shared" si="524"/>
        <v>1</v>
      </c>
      <c r="DY810" s="25">
        <f t="shared" si="525"/>
        <v>2</v>
      </c>
      <c r="DZ810" s="25">
        <f t="shared" si="526"/>
        <v>2</v>
      </c>
      <c r="EA810" s="25">
        <f t="shared" si="527"/>
        <v>2</v>
      </c>
      <c r="EB810" s="30"/>
    </row>
    <row r="811" spans="1:132" ht="13.5" customHeight="1">
      <c r="AC811" s="9" t="str">
        <f t="shared" si="528"/>
        <v/>
      </c>
      <c r="AD811" s="9" t="str">
        <f t="shared" si="529"/>
        <v/>
      </c>
      <c r="AE811" s="9" t="str">
        <f t="shared" si="530"/>
        <v/>
      </c>
      <c r="AF811" s="9" t="str">
        <f t="shared" si="531"/>
        <v/>
      </c>
      <c r="AG811" s="9" t="str">
        <f t="shared" si="532"/>
        <v/>
      </c>
      <c r="AH811" s="9" t="str">
        <f t="shared" si="533"/>
        <v/>
      </c>
      <c r="BR811" s="5">
        <v>5203073</v>
      </c>
      <c r="BS811" s="18">
        <f>[1]monsters!$N811</f>
        <v>85.87</v>
      </c>
      <c r="BT811" s="18">
        <f>[1]monsters!$O811</f>
        <v>8.59</v>
      </c>
      <c r="BU811" s="18">
        <f>[1]monsters!$P811</f>
        <v>166.95599999999999</v>
      </c>
      <c r="BV811" s="18">
        <f>[1]monsters!$Q811</f>
        <v>83.48</v>
      </c>
      <c r="BW811" s="18">
        <f>[1]monsters!$R811</f>
        <v>10.73</v>
      </c>
      <c r="BX811" s="18">
        <f>[1]monsters!$S811</f>
        <v>1.07</v>
      </c>
      <c r="BY811" s="18">
        <f>[1]monsters!$K811</f>
        <v>1.4</v>
      </c>
      <c r="BZ811" s="5">
        <f>[1]monsters!$D811</f>
        <v>3</v>
      </c>
      <c r="CA811" s="5">
        <f t="shared" si="497"/>
        <v>0.1</v>
      </c>
      <c r="CB811" s="5">
        <f t="shared" si="498"/>
        <v>86.768564141414146</v>
      </c>
      <c r="CC811" s="5">
        <f t="shared" si="499"/>
        <v>8.6768564141414153</v>
      </c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R811" s="3" t="b">
        <f t="shared" si="510"/>
        <v>1</v>
      </c>
      <c r="CS811" s="3" t="b">
        <f t="shared" si="511"/>
        <v>1</v>
      </c>
      <c r="CT811" s="3" t="b">
        <f t="shared" si="512"/>
        <v>1</v>
      </c>
      <c r="CU811" s="3" t="b">
        <f t="shared" si="513"/>
        <v>1</v>
      </c>
      <c r="CV811" s="3" t="b">
        <f t="shared" si="514"/>
        <v>1</v>
      </c>
      <c r="CW811" s="3" t="b">
        <f t="shared" si="515"/>
        <v>1</v>
      </c>
      <c r="CX811" s="9" t="str">
        <f t="shared" si="516"/>
        <v>5201131</v>
      </c>
      <c r="CY811" s="9" t="str">
        <f t="shared" si="517"/>
        <v>5201132</v>
      </c>
      <c r="CZ811" s="9" t="str">
        <f t="shared" si="518"/>
        <v>5201134</v>
      </c>
      <c r="DA811" s="9" t="str">
        <f t="shared" si="519"/>
        <v>5501134</v>
      </c>
      <c r="DB811" s="9" t="str">
        <f t="shared" si="520"/>
        <v>5500133</v>
      </c>
      <c r="DC811" s="9" t="str">
        <f t="shared" si="521"/>
        <v>5602134</v>
      </c>
      <c r="DD811" s="9">
        <v>13</v>
      </c>
      <c r="DE811" s="9">
        <v>13</v>
      </c>
      <c r="DF811" s="9">
        <v>13</v>
      </c>
      <c r="DG811" s="9">
        <v>13</v>
      </c>
      <c r="DH811" s="9">
        <v>13</v>
      </c>
      <c r="DI811" s="9">
        <v>13</v>
      </c>
      <c r="DJ811" s="9">
        <v>5</v>
      </c>
      <c r="DK811" s="9">
        <v>5</v>
      </c>
      <c r="DL811" s="9">
        <v>5</v>
      </c>
      <c r="DM811" s="9">
        <v>5</v>
      </c>
      <c r="DN811" s="9">
        <v>5</v>
      </c>
      <c r="DO811" s="9">
        <v>5</v>
      </c>
      <c r="DP811" s="25" t="s">
        <v>195</v>
      </c>
      <c r="DQ811" s="25" t="s">
        <v>114</v>
      </c>
      <c r="DR811" s="26" t="s">
        <v>217</v>
      </c>
      <c r="DS811" s="26" t="s">
        <v>214</v>
      </c>
      <c r="DT811" s="26" t="s">
        <v>207</v>
      </c>
      <c r="DU811" s="26" t="s">
        <v>220</v>
      </c>
      <c r="DV811" s="25">
        <f t="shared" si="522"/>
        <v>1</v>
      </c>
      <c r="DW811" s="25">
        <f t="shared" si="523"/>
        <v>1</v>
      </c>
      <c r="DX811" s="25">
        <f t="shared" si="524"/>
        <v>1</v>
      </c>
      <c r="DY811" s="25">
        <f t="shared" si="525"/>
        <v>2</v>
      </c>
      <c r="DZ811" s="25">
        <f t="shared" si="526"/>
        <v>2</v>
      </c>
      <c r="EA811" s="25">
        <f t="shared" si="527"/>
        <v>2</v>
      </c>
      <c r="EB811" s="29"/>
    </row>
    <row r="812" spans="1:132" ht="13.5" customHeight="1">
      <c r="AC812" s="9" t="str">
        <f t="shared" si="528"/>
        <v/>
      </c>
      <c r="AD812" s="9" t="str">
        <f t="shared" si="529"/>
        <v/>
      </c>
      <c r="AE812" s="9" t="str">
        <f t="shared" si="530"/>
        <v/>
      </c>
      <c r="AF812" s="9" t="str">
        <f t="shared" si="531"/>
        <v/>
      </c>
      <c r="AG812" s="9" t="str">
        <f t="shared" si="532"/>
        <v/>
      </c>
      <c r="AH812" s="9" t="str">
        <f t="shared" si="533"/>
        <v/>
      </c>
      <c r="BR812" s="5">
        <v>5403073</v>
      </c>
      <c r="BS812" s="18">
        <f>[1]monsters!$N812</f>
        <v>62.4</v>
      </c>
      <c r="BT812" s="18">
        <f>[1]monsters!$O812</f>
        <v>6.24</v>
      </c>
      <c r="BU812" s="18">
        <f>[1]monsters!$P812</f>
        <v>213.334</v>
      </c>
      <c r="BV812" s="18">
        <f>[1]monsters!$Q812</f>
        <v>106.67</v>
      </c>
      <c r="BW812" s="18">
        <f>[1]monsters!$R812</f>
        <v>12.48</v>
      </c>
      <c r="BX812" s="18">
        <f>[1]monsters!$S812</f>
        <v>1.25</v>
      </c>
      <c r="BY812" s="18">
        <f>[1]monsters!$K812</f>
        <v>1.3</v>
      </c>
      <c r="BZ812" s="5">
        <f>[1]monsters!$D812</f>
        <v>2</v>
      </c>
      <c r="CA812" s="5">
        <f t="shared" si="497"/>
        <v>0.1</v>
      </c>
      <c r="CB812" s="5">
        <f t="shared" si="498"/>
        <v>66.150962962962964</v>
      </c>
      <c r="CC812" s="5">
        <f t="shared" si="499"/>
        <v>6.6150962962962971</v>
      </c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R812" s="3" t="b">
        <f t="shared" si="510"/>
        <v>1</v>
      </c>
      <c r="CS812" s="3" t="b">
        <f t="shared" si="511"/>
        <v>1</v>
      </c>
      <c r="CT812" s="3" t="b">
        <f t="shared" si="512"/>
        <v>1</v>
      </c>
      <c r="CU812" s="3" t="b">
        <f t="shared" si="513"/>
        <v>1</v>
      </c>
      <c r="CV812" s="3" t="b">
        <f t="shared" si="514"/>
        <v>1</v>
      </c>
      <c r="CW812" s="3" t="b">
        <f t="shared" si="515"/>
        <v>1</v>
      </c>
      <c r="CX812" s="9" t="str">
        <f t="shared" si="516"/>
        <v>5200132</v>
      </c>
      <c r="CY812" s="9" t="str">
        <f t="shared" si="517"/>
        <v>5301131</v>
      </c>
      <c r="CZ812" s="9" t="str">
        <f t="shared" si="518"/>
        <v>5202133</v>
      </c>
      <c r="DA812" s="9" t="str">
        <f t="shared" si="519"/>
        <v>5402131</v>
      </c>
      <c r="DB812" s="9" t="str">
        <f t="shared" si="520"/>
        <v>5400135</v>
      </c>
      <c r="DC812" s="9" t="str">
        <f t="shared" si="521"/>
        <v>5500131</v>
      </c>
      <c r="DD812" s="9">
        <v>13</v>
      </c>
      <c r="DE812" s="9">
        <v>13</v>
      </c>
      <c r="DF812" s="9">
        <v>13</v>
      </c>
      <c r="DG812" s="9">
        <v>13</v>
      </c>
      <c r="DH812" s="9">
        <v>13</v>
      </c>
      <c r="DI812" s="9">
        <v>13</v>
      </c>
      <c r="DJ812" s="9">
        <v>5</v>
      </c>
      <c r="DK812" s="9">
        <v>5</v>
      </c>
      <c r="DL812" s="9">
        <v>5</v>
      </c>
      <c r="DM812" s="9">
        <v>5</v>
      </c>
      <c r="DN812" s="9">
        <v>5</v>
      </c>
      <c r="DO812" s="9">
        <v>5</v>
      </c>
      <c r="DP812" s="25" t="s">
        <v>199</v>
      </c>
      <c r="DQ812" s="26" t="s">
        <v>107</v>
      </c>
      <c r="DR812" s="25" t="s">
        <v>208</v>
      </c>
      <c r="DS812" s="26" t="s">
        <v>196</v>
      </c>
      <c r="DT812" s="26" t="s">
        <v>210</v>
      </c>
      <c r="DU812" s="28" t="s">
        <v>197</v>
      </c>
      <c r="DV812" s="25">
        <f t="shared" si="522"/>
        <v>1</v>
      </c>
      <c r="DW812" s="25">
        <f t="shared" si="523"/>
        <v>1</v>
      </c>
      <c r="DX812" s="25">
        <f t="shared" si="524"/>
        <v>1</v>
      </c>
      <c r="DY812" s="25">
        <f t="shared" si="525"/>
        <v>2</v>
      </c>
      <c r="DZ812" s="25">
        <f t="shared" si="526"/>
        <v>2</v>
      </c>
      <c r="EA812" s="25">
        <f t="shared" si="527"/>
        <v>2</v>
      </c>
      <c r="EB812" s="29"/>
    </row>
    <row r="813" spans="1:132" ht="13.5" customHeight="1">
      <c r="AC813" s="9" t="str">
        <f t="shared" si="528"/>
        <v/>
      </c>
      <c r="AD813" s="9" t="str">
        <f t="shared" si="529"/>
        <v/>
      </c>
      <c r="AE813" s="9" t="str">
        <f t="shared" si="530"/>
        <v/>
      </c>
      <c r="AF813" s="9" t="str">
        <f t="shared" si="531"/>
        <v/>
      </c>
      <c r="AG813" s="9" t="str">
        <f t="shared" si="532"/>
        <v/>
      </c>
      <c r="AH813" s="9" t="str">
        <f t="shared" si="533"/>
        <v/>
      </c>
      <c r="BR813" s="5">
        <v>5204073</v>
      </c>
      <c r="BS813" s="18">
        <f>[1]monsters!$N813</f>
        <v>83.2</v>
      </c>
      <c r="BT813" s="18">
        <f>[1]monsters!$O813</f>
        <v>8.32</v>
      </c>
      <c r="BU813" s="18">
        <f>[1]monsters!$P813</f>
        <v>160</v>
      </c>
      <c r="BV813" s="18">
        <f>[1]monsters!$Q813</f>
        <v>80</v>
      </c>
      <c r="BW813" s="18">
        <f>[1]monsters!$R813</f>
        <v>8.32</v>
      </c>
      <c r="BX813" s="18">
        <f>[1]monsters!$S813</f>
        <v>0.83</v>
      </c>
      <c r="BY813" s="18">
        <f>[1]monsters!$K813</f>
        <v>1.3</v>
      </c>
      <c r="BZ813" s="5">
        <f>[1]monsters!$D813</f>
        <v>4</v>
      </c>
      <c r="CA813" s="5">
        <f t="shared" si="497"/>
        <v>0.1</v>
      </c>
      <c r="CB813" s="5">
        <f t="shared" si="498"/>
        <v>84.011205387205393</v>
      </c>
      <c r="CC813" s="5">
        <f t="shared" si="499"/>
        <v>8.401120538720539</v>
      </c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R813" s="3" t="b">
        <f t="shared" si="510"/>
        <v>1</v>
      </c>
      <c r="CS813" s="3" t="b">
        <f t="shared" si="511"/>
        <v>1</v>
      </c>
      <c r="CT813" s="3" t="b">
        <f t="shared" si="512"/>
        <v>1</v>
      </c>
      <c r="CU813" s="3" t="b">
        <f t="shared" si="513"/>
        <v>1</v>
      </c>
      <c r="CV813" s="3" t="b">
        <f t="shared" si="514"/>
        <v>1</v>
      </c>
      <c r="CW813" s="3" t="b">
        <f t="shared" si="515"/>
        <v>1</v>
      </c>
      <c r="CX813" s="9" t="str">
        <f t="shared" si="516"/>
        <v>5201133</v>
      </c>
      <c r="CY813" s="9" t="str">
        <f t="shared" si="517"/>
        <v>5202131</v>
      </c>
      <c r="CZ813" s="9" t="str">
        <f t="shared" si="518"/>
        <v>5200132</v>
      </c>
      <c r="DA813" s="9" t="str">
        <f t="shared" si="519"/>
        <v>5402133</v>
      </c>
      <c r="DB813" s="9" t="str">
        <f t="shared" si="520"/>
        <v>5401133</v>
      </c>
      <c r="DC813" s="9" t="str">
        <f t="shared" si="521"/>
        <v>5402133</v>
      </c>
      <c r="DD813" s="9">
        <v>13</v>
      </c>
      <c r="DE813" s="9">
        <v>13</v>
      </c>
      <c r="DF813" s="9">
        <v>13</v>
      </c>
      <c r="DG813" s="9">
        <v>13</v>
      </c>
      <c r="DH813" s="9">
        <v>13</v>
      </c>
      <c r="DI813" s="9">
        <v>13</v>
      </c>
      <c r="DJ813" s="9">
        <v>5</v>
      </c>
      <c r="DK813" s="9">
        <v>5</v>
      </c>
      <c r="DL813" s="9">
        <v>5</v>
      </c>
      <c r="DM813" s="9">
        <v>5</v>
      </c>
      <c r="DN813" s="9">
        <v>5</v>
      </c>
      <c r="DO813" s="9">
        <v>5</v>
      </c>
      <c r="DP813" s="25" t="s">
        <v>205</v>
      </c>
      <c r="DQ813" s="25" t="s">
        <v>111</v>
      </c>
      <c r="DR813" s="25" t="s">
        <v>199</v>
      </c>
      <c r="DS813" s="26" t="s">
        <v>118</v>
      </c>
      <c r="DT813" s="26" t="s">
        <v>211</v>
      </c>
      <c r="DU813" s="26" t="s">
        <v>118</v>
      </c>
      <c r="DV813" s="25">
        <f t="shared" si="522"/>
        <v>1</v>
      </c>
      <c r="DW813" s="25">
        <f t="shared" si="523"/>
        <v>1</v>
      </c>
      <c r="DX813" s="25">
        <f t="shared" si="524"/>
        <v>1</v>
      </c>
      <c r="DY813" s="25">
        <f t="shared" si="525"/>
        <v>2</v>
      </c>
      <c r="DZ813" s="25">
        <f t="shared" si="526"/>
        <v>2</v>
      </c>
      <c r="EA813" s="25">
        <f t="shared" si="527"/>
        <v>2</v>
      </c>
      <c r="EB813" s="29"/>
    </row>
    <row r="814" spans="1:132" ht="13.5" customHeight="1">
      <c r="AC814" s="9" t="str">
        <f t="shared" si="528"/>
        <v/>
      </c>
      <c r="AD814" s="9" t="str">
        <f t="shared" si="529"/>
        <v/>
      </c>
      <c r="AE814" s="9" t="str">
        <f t="shared" si="530"/>
        <v/>
      </c>
      <c r="AF814" s="9" t="str">
        <f t="shared" si="531"/>
        <v/>
      </c>
      <c r="AG814" s="9" t="str">
        <f t="shared" si="532"/>
        <v/>
      </c>
      <c r="AH814" s="9" t="str">
        <f t="shared" si="533"/>
        <v/>
      </c>
      <c r="BR814" s="5">
        <v>5404073</v>
      </c>
      <c r="BS814" s="18">
        <f>[1]monsters!$N814</f>
        <v>86.4</v>
      </c>
      <c r="BT814" s="18">
        <f>[1]monsters!$O814</f>
        <v>8.64</v>
      </c>
      <c r="BU814" s="18">
        <f>[1]monsters!$P814</f>
        <v>213.334</v>
      </c>
      <c r="BV814" s="18">
        <f>[1]monsters!$Q814</f>
        <v>106.67</v>
      </c>
      <c r="BW814" s="18">
        <f>[1]monsters!$R814</f>
        <v>17.28</v>
      </c>
      <c r="BX814" s="18">
        <f>[1]monsters!$S814</f>
        <v>1.73</v>
      </c>
      <c r="BY814" s="18">
        <f>[1]monsters!$K814</f>
        <v>1.8</v>
      </c>
      <c r="BZ814" s="5">
        <f>[1]monsters!$D814</f>
        <v>2</v>
      </c>
      <c r="CA814" s="5">
        <f t="shared" si="497"/>
        <v>0.1</v>
      </c>
      <c r="CB814" s="5">
        <f t="shared" si="498"/>
        <v>88.830962962962971</v>
      </c>
      <c r="CC814" s="5">
        <f t="shared" si="499"/>
        <v>8.8830962962962978</v>
      </c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R814" s="3" t="b">
        <f t="shared" si="510"/>
        <v>1</v>
      </c>
      <c r="CS814" s="3" t="b">
        <f t="shared" si="511"/>
        <v>1</v>
      </c>
      <c r="CT814" s="3" t="b">
        <f t="shared" si="512"/>
        <v>1</v>
      </c>
      <c r="CU814" s="3" t="b">
        <f t="shared" si="513"/>
        <v>1</v>
      </c>
      <c r="CV814" s="3" t="b">
        <f t="shared" si="514"/>
        <v>1</v>
      </c>
      <c r="CW814" s="3" t="b">
        <f t="shared" si="515"/>
        <v>1</v>
      </c>
      <c r="CX814" s="9" t="str">
        <f t="shared" si="516"/>
        <v>5201131</v>
      </c>
      <c r="CY814" s="9" t="str">
        <f t="shared" si="517"/>
        <v>5201132</v>
      </c>
      <c r="CZ814" s="9" t="str">
        <f t="shared" si="518"/>
        <v>5200131</v>
      </c>
      <c r="DA814" s="9" t="str">
        <f t="shared" si="519"/>
        <v>5502131</v>
      </c>
      <c r="DB814" s="9" t="str">
        <f t="shared" si="520"/>
        <v>5601131</v>
      </c>
      <c r="DC814" s="9" t="str">
        <f t="shared" si="521"/>
        <v>5401131</v>
      </c>
      <c r="DD814" s="9">
        <v>13</v>
      </c>
      <c r="DE814" s="9">
        <v>13</v>
      </c>
      <c r="DF814" s="9">
        <v>13</v>
      </c>
      <c r="DG814" s="9">
        <v>13</v>
      </c>
      <c r="DH814" s="9">
        <v>13</v>
      </c>
      <c r="DI814" s="9">
        <v>13</v>
      </c>
      <c r="DJ814" s="9">
        <v>5</v>
      </c>
      <c r="DK814" s="9">
        <v>5</v>
      </c>
      <c r="DL814" s="9">
        <v>5</v>
      </c>
      <c r="DM814" s="9">
        <v>5</v>
      </c>
      <c r="DN814" s="9">
        <v>5</v>
      </c>
      <c r="DO814" s="9">
        <v>5</v>
      </c>
      <c r="DP814" s="25" t="s">
        <v>195</v>
      </c>
      <c r="DQ814" s="25" t="s">
        <v>114</v>
      </c>
      <c r="DR814" s="25" t="s">
        <v>194</v>
      </c>
      <c r="DS814" s="25" t="s">
        <v>119</v>
      </c>
      <c r="DT814" s="25" t="s">
        <v>198</v>
      </c>
      <c r="DU814" s="25" t="s">
        <v>117</v>
      </c>
      <c r="DV814" s="25">
        <f t="shared" si="522"/>
        <v>1</v>
      </c>
      <c r="DW814" s="25">
        <f t="shared" si="523"/>
        <v>1</v>
      </c>
      <c r="DX814" s="25">
        <f t="shared" si="524"/>
        <v>1</v>
      </c>
      <c r="DY814" s="25">
        <f t="shared" si="525"/>
        <v>2</v>
      </c>
      <c r="DZ814" s="25">
        <f t="shared" si="526"/>
        <v>2</v>
      </c>
      <c r="EA814" s="25">
        <f t="shared" si="527"/>
        <v>2</v>
      </c>
      <c r="EB814" s="30"/>
    </row>
    <row r="815" spans="1:132" ht="13.5" customHeight="1">
      <c r="AC815" s="9" t="str">
        <f t="shared" si="528"/>
        <v/>
      </c>
      <c r="AD815" s="9" t="str">
        <f t="shared" si="529"/>
        <v/>
      </c>
      <c r="AE815" s="9" t="str">
        <f t="shared" si="530"/>
        <v/>
      </c>
      <c r="AF815" s="9" t="str">
        <f t="shared" si="531"/>
        <v/>
      </c>
      <c r="AG815" s="9" t="str">
        <f t="shared" si="532"/>
        <v/>
      </c>
      <c r="AH815" s="9" t="str">
        <f t="shared" si="533"/>
        <v/>
      </c>
      <c r="BR815" s="5">
        <v>5303073</v>
      </c>
      <c r="BS815" s="18">
        <f>[1]monsters!$N815</f>
        <v>100</v>
      </c>
      <c r="BT815" s="18">
        <f>[1]monsters!$O815</f>
        <v>10</v>
      </c>
      <c r="BU815" s="18">
        <f>[1]monsters!$P815</f>
        <v>153.6</v>
      </c>
      <c r="BV815" s="18">
        <f>[1]monsters!$Q815</f>
        <v>76.8</v>
      </c>
      <c r="BW815" s="18">
        <f>[1]monsters!$R815</f>
        <v>10</v>
      </c>
      <c r="BX815" s="18">
        <f>[1]monsters!$S815</f>
        <v>1</v>
      </c>
      <c r="BY815" s="18">
        <f>[1]monsters!$K815</f>
        <v>1.5</v>
      </c>
      <c r="BZ815" s="5">
        <f>[1]monsters!$D815</f>
        <v>4</v>
      </c>
      <c r="CA815" s="5">
        <f t="shared" si="497"/>
        <v>0.1</v>
      </c>
      <c r="CB815" s="5">
        <f t="shared" si="498"/>
        <v>99.671717171717177</v>
      </c>
      <c r="CC815" s="5">
        <f t="shared" si="499"/>
        <v>9.967171717171718</v>
      </c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R815" s="3" t="b">
        <f t="shared" si="510"/>
        <v>1</v>
      </c>
      <c r="CS815" s="3" t="b">
        <f t="shared" si="511"/>
        <v>1</v>
      </c>
      <c r="CT815" s="3" t="b">
        <f t="shared" si="512"/>
        <v>1</v>
      </c>
      <c r="CU815" s="3" t="b">
        <f t="shared" si="513"/>
        <v>1</v>
      </c>
      <c r="CV815" s="3" t="b">
        <f t="shared" si="514"/>
        <v>1</v>
      </c>
      <c r="CW815" s="3" t="b">
        <f t="shared" si="515"/>
        <v>1</v>
      </c>
      <c r="CX815" s="9" t="str">
        <f t="shared" si="516"/>
        <v>5200132</v>
      </c>
      <c r="CY815" s="9" t="str">
        <f t="shared" si="517"/>
        <v>5200133</v>
      </c>
      <c r="CZ815" s="9" t="str">
        <f t="shared" si="518"/>
        <v>5200132</v>
      </c>
      <c r="DA815" s="9" t="str">
        <f t="shared" si="519"/>
        <v>5502132</v>
      </c>
      <c r="DB815" s="9" t="str">
        <f t="shared" si="520"/>
        <v>5500132</v>
      </c>
      <c r="DC815" s="9" t="str">
        <f t="shared" si="521"/>
        <v>5502133</v>
      </c>
      <c r="DD815" s="9">
        <v>13</v>
      </c>
      <c r="DE815" s="9">
        <v>13</v>
      </c>
      <c r="DF815" s="9">
        <v>13</v>
      </c>
      <c r="DG815" s="9">
        <v>13</v>
      </c>
      <c r="DH815" s="9">
        <v>13</v>
      </c>
      <c r="DI815" s="9">
        <v>13</v>
      </c>
      <c r="DJ815" s="9">
        <v>5</v>
      </c>
      <c r="DK815" s="9">
        <v>5</v>
      </c>
      <c r="DL815" s="9">
        <v>5</v>
      </c>
      <c r="DM815" s="9">
        <v>5</v>
      </c>
      <c r="DN815" s="9">
        <v>5</v>
      </c>
      <c r="DO815" s="9">
        <v>5</v>
      </c>
      <c r="DP815" s="25" t="s">
        <v>199</v>
      </c>
      <c r="DQ815" s="25" t="s">
        <v>113</v>
      </c>
      <c r="DR815" s="25" t="s">
        <v>199</v>
      </c>
      <c r="DS815" s="25" t="s">
        <v>204</v>
      </c>
      <c r="DT815" s="25" t="s">
        <v>109</v>
      </c>
      <c r="DU815" s="25" t="s">
        <v>215</v>
      </c>
      <c r="DV815" s="25">
        <f t="shared" si="522"/>
        <v>1</v>
      </c>
      <c r="DW815" s="25">
        <f t="shared" si="523"/>
        <v>1</v>
      </c>
      <c r="DX815" s="25">
        <f t="shared" si="524"/>
        <v>1</v>
      </c>
      <c r="DY815" s="25">
        <f t="shared" si="525"/>
        <v>2</v>
      </c>
      <c r="DZ815" s="25">
        <f t="shared" si="526"/>
        <v>2</v>
      </c>
      <c r="EA815" s="25">
        <f t="shared" si="527"/>
        <v>2</v>
      </c>
      <c r="EB815" s="29"/>
    </row>
    <row r="816" spans="1:132" ht="13.5" customHeight="1">
      <c r="AC816" s="9" t="str">
        <f t="shared" si="528"/>
        <v/>
      </c>
      <c r="AD816" s="9" t="str">
        <f t="shared" si="529"/>
        <v/>
      </c>
      <c r="AE816" s="9" t="str">
        <f t="shared" si="530"/>
        <v/>
      </c>
      <c r="AF816" s="9" t="str">
        <f t="shared" si="531"/>
        <v/>
      </c>
      <c r="AG816" s="9" t="str">
        <f t="shared" si="532"/>
        <v/>
      </c>
      <c r="AH816" s="9" t="str">
        <f t="shared" si="533"/>
        <v/>
      </c>
      <c r="BR816" s="5">
        <v>5304073</v>
      </c>
      <c r="BS816" s="18">
        <f>[1]monsters!$N816</f>
        <v>76.27</v>
      </c>
      <c r="BT816" s="18">
        <f>[1]monsters!$O816</f>
        <v>7.63</v>
      </c>
      <c r="BU816" s="18">
        <f>[1]monsters!$P816</f>
        <v>174.54599999999999</v>
      </c>
      <c r="BV816" s="18">
        <f>[1]monsters!$Q816</f>
        <v>87.27</v>
      </c>
      <c r="BW816" s="18">
        <f>[1]monsters!$R816</f>
        <v>9.5299999999999994</v>
      </c>
      <c r="BX816" s="18">
        <f>[1]monsters!$S816</f>
        <v>0.95</v>
      </c>
      <c r="BY816" s="18">
        <f>[1]monsters!$K816</f>
        <v>1.3</v>
      </c>
      <c r="BZ816" s="5">
        <f>[1]monsters!$D816</f>
        <v>3</v>
      </c>
      <c r="CA816" s="5">
        <f t="shared" si="497"/>
        <v>0.1</v>
      </c>
      <c r="CB816" s="5">
        <f t="shared" si="498"/>
        <v>77.952119696969703</v>
      </c>
      <c r="CC816" s="5">
        <f t="shared" si="499"/>
        <v>7.7952119696969708</v>
      </c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R816" s="3" t="b">
        <f t="shared" si="510"/>
        <v>1</v>
      </c>
      <c r="CS816" s="3" t="b">
        <f t="shared" si="511"/>
        <v>1</v>
      </c>
      <c r="CT816" s="3" t="b">
        <f t="shared" si="512"/>
        <v>1</v>
      </c>
      <c r="CU816" s="3" t="b">
        <f t="shared" si="513"/>
        <v>1</v>
      </c>
      <c r="CV816" s="3" t="b">
        <f t="shared" si="514"/>
        <v>1</v>
      </c>
      <c r="CW816" s="3" t="b">
        <f t="shared" si="515"/>
        <v>1</v>
      </c>
      <c r="CX816" s="9" t="str">
        <f t="shared" si="516"/>
        <v>5202133</v>
      </c>
      <c r="CY816" s="9" t="str">
        <f t="shared" si="517"/>
        <v>5202132</v>
      </c>
      <c r="CZ816" s="9" t="str">
        <f t="shared" si="518"/>
        <v>5202133</v>
      </c>
      <c r="DA816" s="9" t="str">
        <f t="shared" si="519"/>
        <v>5401133</v>
      </c>
      <c r="DB816" s="9" t="str">
        <f t="shared" si="520"/>
        <v>5402132</v>
      </c>
      <c r="DC816" s="9" t="str">
        <f t="shared" si="521"/>
        <v>5401133</v>
      </c>
      <c r="DD816" s="9">
        <v>13</v>
      </c>
      <c r="DE816" s="9">
        <v>13</v>
      </c>
      <c r="DF816" s="9">
        <v>13</v>
      </c>
      <c r="DG816" s="9">
        <v>13</v>
      </c>
      <c r="DH816" s="9">
        <v>13</v>
      </c>
      <c r="DI816" s="9">
        <v>13</v>
      </c>
      <c r="DJ816" s="9">
        <v>5</v>
      </c>
      <c r="DK816" s="9">
        <v>5</v>
      </c>
      <c r="DL816" s="9">
        <v>5</v>
      </c>
      <c r="DM816" s="9">
        <v>5</v>
      </c>
      <c r="DN816" s="9">
        <v>5</v>
      </c>
      <c r="DO816" s="9">
        <v>5</v>
      </c>
      <c r="DP816" s="25" t="s">
        <v>208</v>
      </c>
      <c r="DQ816" s="25" t="s">
        <v>200</v>
      </c>
      <c r="DR816" s="25" t="s">
        <v>208</v>
      </c>
      <c r="DS816" s="25" t="s">
        <v>211</v>
      </c>
      <c r="DT816" s="25" t="s">
        <v>203</v>
      </c>
      <c r="DU816" s="25" t="s">
        <v>211</v>
      </c>
      <c r="DV816" s="25">
        <f t="shared" si="522"/>
        <v>1</v>
      </c>
      <c r="DW816" s="25">
        <f t="shared" si="523"/>
        <v>1</v>
      </c>
      <c r="DX816" s="25">
        <f t="shared" si="524"/>
        <v>1</v>
      </c>
      <c r="DY816" s="25">
        <f t="shared" si="525"/>
        <v>2</v>
      </c>
      <c r="DZ816" s="25">
        <f t="shared" si="526"/>
        <v>2</v>
      </c>
      <c r="EA816" s="25">
        <f t="shared" si="527"/>
        <v>2</v>
      </c>
      <c r="EB816" s="29"/>
    </row>
    <row r="817" spans="29:132" ht="13.5" customHeight="1">
      <c r="AC817" s="9" t="str">
        <f t="shared" si="528"/>
        <v/>
      </c>
      <c r="AD817" s="9" t="str">
        <f t="shared" si="529"/>
        <v/>
      </c>
      <c r="AE817" s="9" t="str">
        <f t="shared" si="530"/>
        <v/>
      </c>
      <c r="AF817" s="9" t="str">
        <f t="shared" si="531"/>
        <v/>
      </c>
      <c r="AG817" s="9" t="str">
        <f t="shared" si="532"/>
        <v/>
      </c>
      <c r="AH817" s="9" t="str">
        <f t="shared" si="533"/>
        <v/>
      </c>
      <c r="BR817" s="5">
        <v>5503073</v>
      </c>
      <c r="BS817" s="18">
        <f>[1]monsters!$N817</f>
        <v>105.6</v>
      </c>
      <c r="BT817" s="18">
        <f>[1]monsters!$O817</f>
        <v>10.56</v>
      </c>
      <c r="BU817" s="18">
        <f>[1]monsters!$P817</f>
        <v>174.54599999999999</v>
      </c>
      <c r="BV817" s="18">
        <f>[1]monsters!$Q817</f>
        <v>87.27</v>
      </c>
      <c r="BW817" s="18">
        <f>[1]monsters!$R817</f>
        <v>17.600000000000001</v>
      </c>
      <c r="BX817" s="18">
        <f>[1]monsters!$S817</f>
        <v>1.76</v>
      </c>
      <c r="BY817" s="18">
        <f>[1]monsters!$K817</f>
        <v>1.8</v>
      </c>
      <c r="BZ817" s="5">
        <f>[1]monsters!$D817</f>
        <v>5</v>
      </c>
      <c r="CA817" s="5">
        <f t="shared" si="497"/>
        <v>0.1</v>
      </c>
      <c r="CB817" s="5">
        <f t="shared" si="498"/>
        <v>105.6689696969697</v>
      </c>
      <c r="CC817" s="5">
        <f t="shared" si="499"/>
        <v>10.56689696969697</v>
      </c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R817" s="3" t="b">
        <f t="shared" si="510"/>
        <v>1</v>
      </c>
      <c r="CS817" s="3" t="b">
        <f t="shared" si="511"/>
        <v>1</v>
      </c>
      <c r="CT817" s="3" t="b">
        <f t="shared" si="512"/>
        <v>1</v>
      </c>
      <c r="CU817" s="3" t="b">
        <f t="shared" si="513"/>
        <v>1</v>
      </c>
      <c r="CV817" s="3" t="b">
        <f t="shared" si="514"/>
        <v>1</v>
      </c>
      <c r="CW817" s="3" t="b">
        <f t="shared" si="515"/>
        <v>1</v>
      </c>
      <c r="CX817" s="9" t="str">
        <f t="shared" si="516"/>
        <v>5202133</v>
      </c>
      <c r="CY817" s="9" t="str">
        <f t="shared" si="517"/>
        <v>5202133</v>
      </c>
      <c r="CZ817" s="9" t="str">
        <f t="shared" si="518"/>
        <v>5202133</v>
      </c>
      <c r="DA817" s="9" t="str">
        <f t="shared" si="519"/>
        <v>5500132</v>
      </c>
      <c r="DB817" s="9" t="str">
        <f t="shared" si="520"/>
        <v>5500132</v>
      </c>
      <c r="DC817" s="9" t="str">
        <f t="shared" si="521"/>
        <v>5500132</v>
      </c>
      <c r="DD817" s="9">
        <v>13</v>
      </c>
      <c r="DE817" s="9">
        <v>13</v>
      </c>
      <c r="DF817" s="9">
        <v>13</v>
      </c>
      <c r="DG817" s="9">
        <v>13</v>
      </c>
      <c r="DH817" s="9">
        <v>13</v>
      </c>
      <c r="DI817" s="9">
        <v>13</v>
      </c>
      <c r="DJ817" s="9">
        <v>5</v>
      </c>
      <c r="DK817" s="9">
        <v>5</v>
      </c>
      <c r="DL817" s="9">
        <v>5</v>
      </c>
      <c r="DM817" s="9">
        <v>5</v>
      </c>
      <c r="DN817" s="9">
        <v>5</v>
      </c>
      <c r="DO817" s="9">
        <v>5</v>
      </c>
      <c r="DP817" s="25" t="s">
        <v>208</v>
      </c>
      <c r="DQ817" s="25" t="s">
        <v>208</v>
      </c>
      <c r="DR817" s="25" t="s">
        <v>208</v>
      </c>
      <c r="DS817" s="25" t="s">
        <v>109</v>
      </c>
      <c r="DT817" s="25" t="s">
        <v>109</v>
      </c>
      <c r="DU817" s="25" t="s">
        <v>109</v>
      </c>
      <c r="DV817" s="25">
        <f t="shared" si="522"/>
        <v>1</v>
      </c>
      <c r="DW817" s="25">
        <f t="shared" si="523"/>
        <v>1</v>
      </c>
      <c r="DX817" s="25">
        <f t="shared" si="524"/>
        <v>1</v>
      </c>
      <c r="DY817" s="25">
        <f t="shared" si="525"/>
        <v>2</v>
      </c>
      <c r="DZ817" s="25">
        <f t="shared" si="526"/>
        <v>2</v>
      </c>
      <c r="EA817" s="25">
        <f t="shared" si="527"/>
        <v>2</v>
      </c>
      <c r="EB817" s="30"/>
    </row>
    <row r="818" spans="29:132" ht="13.5" customHeight="1">
      <c r="AC818" s="9" t="str">
        <f t="shared" si="528"/>
        <v/>
      </c>
      <c r="AD818" s="9" t="str">
        <f t="shared" si="529"/>
        <v/>
      </c>
      <c r="AE818" s="9" t="str">
        <f t="shared" si="530"/>
        <v/>
      </c>
      <c r="AF818" s="9" t="str">
        <f t="shared" si="531"/>
        <v/>
      </c>
      <c r="AG818" s="9" t="str">
        <f t="shared" si="532"/>
        <v/>
      </c>
      <c r="AH818" s="9" t="str">
        <f t="shared" si="533"/>
        <v/>
      </c>
      <c r="BR818" s="5">
        <v>5504073</v>
      </c>
      <c r="BS818" s="18">
        <f>[1]monsters!$N818</f>
        <v>76.8</v>
      </c>
      <c r="BT818" s="18">
        <f>[1]monsters!$O818</f>
        <v>7.68</v>
      </c>
      <c r="BU818" s="18">
        <f>[1]monsters!$P818</f>
        <v>213.334</v>
      </c>
      <c r="BV818" s="18">
        <f>[1]monsters!$Q818</f>
        <v>106.67</v>
      </c>
      <c r="BW818" s="18">
        <f>[1]monsters!$R818</f>
        <v>15.36</v>
      </c>
      <c r="BX818" s="18">
        <f>[1]monsters!$S818</f>
        <v>1.54</v>
      </c>
      <c r="BY818" s="18">
        <f>[1]monsters!$K818</f>
        <v>1.6</v>
      </c>
      <c r="BZ818" s="5">
        <f>[1]monsters!$D818</f>
        <v>2</v>
      </c>
      <c r="CA818" s="5">
        <f t="shared" si="497"/>
        <v>0.1</v>
      </c>
      <c r="CB818" s="5">
        <f t="shared" si="498"/>
        <v>79.758962962962968</v>
      </c>
      <c r="CC818" s="5">
        <f t="shared" si="499"/>
        <v>7.9758962962962974</v>
      </c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R818" s="3" t="b">
        <f t="shared" si="510"/>
        <v>1</v>
      </c>
      <c r="CS818" s="3" t="b">
        <f t="shared" si="511"/>
        <v>1</v>
      </c>
      <c r="CT818" s="3" t="b">
        <f t="shared" si="512"/>
        <v>1</v>
      </c>
      <c r="CU818" s="3" t="b">
        <f t="shared" si="513"/>
        <v>1</v>
      </c>
      <c r="CV818" s="3" t="b">
        <f t="shared" si="514"/>
        <v>1</v>
      </c>
      <c r="CW818" s="3" t="b">
        <f t="shared" si="515"/>
        <v>1</v>
      </c>
      <c r="CX818" s="9" t="str">
        <f t="shared" si="516"/>
        <v>5202131</v>
      </c>
      <c r="CY818" s="9" t="str">
        <f t="shared" si="517"/>
        <v>5202132</v>
      </c>
      <c r="CZ818" s="9" t="str">
        <f t="shared" si="518"/>
        <v>5200131</v>
      </c>
      <c r="DA818" s="9" t="str">
        <f t="shared" si="519"/>
        <v>5501135</v>
      </c>
      <c r="DB818" s="9" t="str">
        <f t="shared" si="520"/>
        <v>5602134</v>
      </c>
      <c r="DC818" s="9" t="str">
        <f t="shared" si="521"/>
        <v>5400135</v>
      </c>
      <c r="DD818" s="9">
        <v>13</v>
      </c>
      <c r="DE818" s="9">
        <v>13</v>
      </c>
      <c r="DF818" s="9">
        <v>13</v>
      </c>
      <c r="DG818" s="9">
        <v>13</v>
      </c>
      <c r="DH818" s="9">
        <v>13</v>
      </c>
      <c r="DI818" s="9">
        <v>13</v>
      </c>
      <c r="DJ818" s="9">
        <v>5</v>
      </c>
      <c r="DK818" s="9">
        <v>5</v>
      </c>
      <c r="DL818" s="9">
        <v>5</v>
      </c>
      <c r="DM818" s="9">
        <v>5</v>
      </c>
      <c r="DN818" s="9">
        <v>5</v>
      </c>
      <c r="DO818" s="9">
        <v>5</v>
      </c>
      <c r="DP818" s="25" t="s">
        <v>111</v>
      </c>
      <c r="DQ818" s="25" t="s">
        <v>200</v>
      </c>
      <c r="DR818" s="25" t="s">
        <v>194</v>
      </c>
      <c r="DS818" s="25" t="s">
        <v>209</v>
      </c>
      <c r="DT818" s="25" t="s">
        <v>220</v>
      </c>
      <c r="DU818" s="25" t="s">
        <v>210</v>
      </c>
      <c r="DV818" s="25">
        <f t="shared" si="522"/>
        <v>1</v>
      </c>
      <c r="DW818" s="25">
        <f t="shared" si="523"/>
        <v>1</v>
      </c>
      <c r="DX818" s="25">
        <f t="shared" si="524"/>
        <v>1</v>
      </c>
      <c r="DY818" s="25">
        <f t="shared" si="525"/>
        <v>2</v>
      </c>
      <c r="DZ818" s="25">
        <f t="shared" si="526"/>
        <v>2</v>
      </c>
      <c r="EA818" s="25">
        <f t="shared" si="527"/>
        <v>2</v>
      </c>
      <c r="EB818" s="29"/>
    </row>
    <row r="819" spans="29:132" ht="13.5" customHeight="1">
      <c r="AC819" s="9" t="str">
        <f t="shared" si="528"/>
        <v/>
      </c>
      <c r="AD819" s="9" t="str">
        <f t="shared" si="529"/>
        <v/>
      </c>
      <c r="AE819" s="9" t="str">
        <f t="shared" si="530"/>
        <v/>
      </c>
      <c r="AF819" s="9" t="str">
        <f t="shared" si="531"/>
        <v/>
      </c>
      <c r="AG819" s="9" t="str">
        <f t="shared" si="532"/>
        <v/>
      </c>
      <c r="AH819" s="9" t="str">
        <f t="shared" si="533"/>
        <v/>
      </c>
      <c r="BR819" s="5">
        <v>5101073</v>
      </c>
      <c r="BS819" s="18">
        <f>[1]monsters!$N819</f>
        <v>97.07</v>
      </c>
      <c r="BT819" s="18">
        <f>[1]monsters!$O819</f>
        <v>9.7100000000000009</v>
      </c>
      <c r="BU819" s="18">
        <f>[1]monsters!$P819</f>
        <v>147.69200000000001</v>
      </c>
      <c r="BV819" s="18">
        <f>[1]monsters!$Q819</f>
        <v>73.849999999999994</v>
      </c>
      <c r="BW819" s="18">
        <f>[1]monsters!$R819</f>
        <v>9.7100000000000009</v>
      </c>
      <c r="BX819" s="18">
        <f>[1]monsters!$S819</f>
        <v>0.97</v>
      </c>
      <c r="BY819" s="18">
        <f>[1]monsters!$K819</f>
        <v>1.4</v>
      </c>
      <c r="BZ819" s="5">
        <f>[1]monsters!$D819</f>
        <v>4</v>
      </c>
      <c r="CA819" s="5">
        <f t="shared" si="497"/>
        <v>0.1</v>
      </c>
      <c r="CB819" s="5">
        <f t="shared" si="498"/>
        <v>96.703944612794615</v>
      </c>
      <c r="CC819" s="5">
        <f t="shared" si="499"/>
        <v>9.6703944612794626</v>
      </c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R819" s="3" t="b">
        <f t="shared" si="510"/>
        <v>1</v>
      </c>
      <c r="CS819" s="3" t="b">
        <f t="shared" si="511"/>
        <v>1</v>
      </c>
      <c r="CT819" s="3" t="b">
        <f t="shared" si="512"/>
        <v>1</v>
      </c>
      <c r="CU819" s="3" t="b">
        <f t="shared" si="513"/>
        <v>1</v>
      </c>
      <c r="CV819" s="3" t="b">
        <f t="shared" si="514"/>
        <v>1</v>
      </c>
      <c r="CW819" s="3" t="b">
        <f t="shared" si="515"/>
        <v>1</v>
      </c>
      <c r="CX819" s="9" t="str">
        <f t="shared" si="516"/>
        <v>5202132</v>
      </c>
      <c r="CY819" s="9" t="str">
        <f t="shared" si="517"/>
        <v>5201132</v>
      </c>
      <c r="CZ819" s="9" t="str">
        <f t="shared" si="518"/>
        <v>5301131</v>
      </c>
      <c r="DA819" s="9" t="str">
        <f t="shared" si="519"/>
        <v>5501134</v>
      </c>
      <c r="DB819" s="9" t="str">
        <f t="shared" si="520"/>
        <v>5500133</v>
      </c>
      <c r="DC819" s="9" t="str">
        <f t="shared" si="521"/>
        <v>5501134</v>
      </c>
      <c r="DD819" s="9">
        <v>13</v>
      </c>
      <c r="DE819" s="9">
        <v>13</v>
      </c>
      <c r="DF819" s="9">
        <v>13</v>
      </c>
      <c r="DG819" s="9">
        <v>13</v>
      </c>
      <c r="DH819" s="9">
        <v>13</v>
      </c>
      <c r="DI819" s="9">
        <v>13</v>
      </c>
      <c r="DJ819" s="9">
        <v>5</v>
      </c>
      <c r="DK819" s="9">
        <v>5</v>
      </c>
      <c r="DL819" s="9">
        <v>5</v>
      </c>
      <c r="DM819" s="9">
        <v>5</v>
      </c>
      <c r="DN819" s="9">
        <v>5</v>
      </c>
      <c r="DO819" s="9">
        <v>5</v>
      </c>
      <c r="DP819" s="25" t="s">
        <v>200</v>
      </c>
      <c r="DQ819" s="25" t="s">
        <v>114</v>
      </c>
      <c r="DR819" s="25" t="s">
        <v>107</v>
      </c>
      <c r="DS819" s="25" t="s">
        <v>214</v>
      </c>
      <c r="DT819" s="25" t="s">
        <v>207</v>
      </c>
      <c r="DU819" s="25" t="s">
        <v>214</v>
      </c>
      <c r="DV819" s="25">
        <f t="shared" si="522"/>
        <v>1</v>
      </c>
      <c r="DW819" s="25">
        <f t="shared" si="523"/>
        <v>1</v>
      </c>
      <c r="DX819" s="25">
        <f t="shared" si="524"/>
        <v>1</v>
      </c>
      <c r="DY819" s="25">
        <f t="shared" si="525"/>
        <v>2</v>
      </c>
      <c r="DZ819" s="25">
        <f t="shared" si="526"/>
        <v>2</v>
      </c>
      <c r="EA819" s="25">
        <f t="shared" si="527"/>
        <v>2</v>
      </c>
      <c r="EB819" s="29"/>
    </row>
    <row r="820" spans="29:132" ht="13.5" customHeight="1">
      <c r="AC820" s="9" t="str">
        <f t="shared" si="528"/>
        <v/>
      </c>
      <c r="AD820" s="9" t="str">
        <f t="shared" si="529"/>
        <v/>
      </c>
      <c r="AE820" s="9" t="str">
        <f t="shared" si="530"/>
        <v/>
      </c>
      <c r="AF820" s="9" t="str">
        <f t="shared" si="531"/>
        <v/>
      </c>
      <c r="AG820" s="9" t="str">
        <f t="shared" si="532"/>
        <v/>
      </c>
      <c r="AH820" s="9" t="str">
        <f t="shared" si="533"/>
        <v/>
      </c>
      <c r="BR820" s="5">
        <v>5102073</v>
      </c>
      <c r="BS820" s="18">
        <f>[1]monsters!$N820</f>
        <v>67.2</v>
      </c>
      <c r="BT820" s="18">
        <f>[1]monsters!$O820</f>
        <v>6.72</v>
      </c>
      <c r="BU820" s="18">
        <f>[1]monsters!$P820</f>
        <v>213.334</v>
      </c>
      <c r="BV820" s="18">
        <f>[1]monsters!$Q820</f>
        <v>106.67</v>
      </c>
      <c r="BW820" s="18">
        <f>[1]monsters!$R820</f>
        <v>13.44</v>
      </c>
      <c r="BX820" s="18">
        <f>[1]monsters!$S820</f>
        <v>1.34</v>
      </c>
      <c r="BY820" s="18">
        <f>[1]monsters!$K820</f>
        <v>1.4</v>
      </c>
      <c r="BZ820" s="5">
        <f>[1]monsters!$D820</f>
        <v>2</v>
      </c>
      <c r="CA820" s="5">
        <f t="shared" si="497"/>
        <v>0.1</v>
      </c>
      <c r="CB820" s="5">
        <f t="shared" si="498"/>
        <v>70.686962962962966</v>
      </c>
      <c r="CC820" s="5">
        <f t="shared" si="499"/>
        <v>7.0686962962962969</v>
      </c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R820" s="3" t="b">
        <f t="shared" si="510"/>
        <v>1</v>
      </c>
      <c r="CS820" s="3" t="b">
        <f t="shared" si="511"/>
        <v>1</v>
      </c>
      <c r="CT820" s="3" t="b">
        <f t="shared" si="512"/>
        <v>1</v>
      </c>
      <c r="CU820" s="3" t="b">
        <f t="shared" si="513"/>
        <v>1</v>
      </c>
      <c r="CV820" s="3" t="b">
        <f t="shared" si="514"/>
        <v>1</v>
      </c>
      <c r="CW820" s="3" t="b">
        <f t="shared" si="515"/>
        <v>1</v>
      </c>
      <c r="CX820" s="9" t="str">
        <f t="shared" si="516"/>
        <v>5200133</v>
      </c>
      <c r="CY820" s="9" t="str">
        <f t="shared" si="517"/>
        <v>5200133</v>
      </c>
      <c r="CZ820" s="9" t="str">
        <f t="shared" si="518"/>
        <v>5201132</v>
      </c>
      <c r="DA820" s="9" t="str">
        <f t="shared" si="519"/>
        <v>5500133</v>
      </c>
      <c r="DB820" s="9" t="str">
        <f t="shared" si="520"/>
        <v>5500131</v>
      </c>
      <c r="DC820" s="9" t="str">
        <f t="shared" si="521"/>
        <v>5400135</v>
      </c>
      <c r="DD820" s="9">
        <v>13</v>
      </c>
      <c r="DE820" s="9">
        <v>13</v>
      </c>
      <c r="DF820" s="9">
        <v>13</v>
      </c>
      <c r="DG820" s="9">
        <v>13</v>
      </c>
      <c r="DH820" s="9">
        <v>13</v>
      </c>
      <c r="DI820" s="9">
        <v>13</v>
      </c>
      <c r="DJ820" s="9">
        <v>5</v>
      </c>
      <c r="DK820" s="9">
        <v>5</v>
      </c>
      <c r="DL820" s="9">
        <v>5</v>
      </c>
      <c r="DM820" s="9">
        <v>5</v>
      </c>
      <c r="DN820" s="9">
        <v>5</v>
      </c>
      <c r="DO820" s="9">
        <v>5</v>
      </c>
      <c r="DP820" s="27" t="s">
        <v>113</v>
      </c>
      <c r="DQ820" s="27" t="s">
        <v>113</v>
      </c>
      <c r="DR820" s="27" t="s">
        <v>114</v>
      </c>
      <c r="DS820" s="25" t="s">
        <v>207</v>
      </c>
      <c r="DT820" s="25" t="s">
        <v>197</v>
      </c>
      <c r="DU820" s="25" t="s">
        <v>210</v>
      </c>
      <c r="DV820" s="25">
        <f t="shared" si="522"/>
        <v>1</v>
      </c>
      <c r="DW820" s="25">
        <f t="shared" si="523"/>
        <v>1</v>
      </c>
      <c r="DX820" s="25">
        <f t="shared" si="524"/>
        <v>1</v>
      </c>
      <c r="DY820" s="25">
        <f t="shared" si="525"/>
        <v>2</v>
      </c>
      <c r="DZ820" s="25">
        <f t="shared" si="526"/>
        <v>2</v>
      </c>
      <c r="EA820" s="25">
        <f t="shared" si="527"/>
        <v>2</v>
      </c>
      <c r="EB820" s="29"/>
    </row>
    <row r="821" spans="29:132" ht="13.5" customHeight="1">
      <c r="AC821" s="9" t="str">
        <f t="shared" si="528"/>
        <v/>
      </c>
      <c r="AD821" s="9" t="str">
        <f t="shared" si="529"/>
        <v/>
      </c>
      <c r="AE821" s="9" t="str">
        <f t="shared" si="530"/>
        <v/>
      </c>
      <c r="AF821" s="9" t="str">
        <f t="shared" si="531"/>
        <v/>
      </c>
      <c r="AG821" s="9" t="str">
        <f t="shared" si="532"/>
        <v/>
      </c>
      <c r="AH821" s="9" t="str">
        <f t="shared" si="533"/>
        <v/>
      </c>
      <c r="BR821" s="5">
        <v>5206074</v>
      </c>
      <c r="BS821" s="18">
        <f>[1]monsters!$N821</f>
        <v>110.93</v>
      </c>
      <c r="BT821" s="18">
        <f>[1]monsters!$O821</f>
        <v>11.09</v>
      </c>
      <c r="BU821" s="18">
        <f>[1]monsters!$P821</f>
        <v>147.69200000000001</v>
      </c>
      <c r="BV821" s="18">
        <f>[1]monsters!$Q821</f>
        <v>73.849999999999994</v>
      </c>
      <c r="BW821" s="18">
        <f>[1]monsters!$R821</f>
        <v>11.09</v>
      </c>
      <c r="BX821" s="18">
        <f>[1]monsters!$S821</f>
        <v>1.1100000000000001</v>
      </c>
      <c r="BY821" s="18">
        <f>[1]monsters!$K821</f>
        <v>1.6</v>
      </c>
      <c r="BZ821" s="5">
        <f>[1]monsters!$D821</f>
        <v>4</v>
      </c>
      <c r="CA821" s="5">
        <f t="shared" si="497"/>
        <v>0.1</v>
      </c>
      <c r="CB821" s="5">
        <f t="shared" si="498"/>
        <v>109.80164461279463</v>
      </c>
      <c r="CC821" s="5">
        <f t="shared" si="499"/>
        <v>10.980164461279465</v>
      </c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R821" s="3" t="b">
        <f t="shared" si="510"/>
        <v>1</v>
      </c>
      <c r="CS821" s="3" t="b">
        <f t="shared" si="511"/>
        <v>1</v>
      </c>
      <c r="CT821" s="3" t="b">
        <f t="shared" si="512"/>
        <v>1</v>
      </c>
      <c r="CU821" s="3" t="b">
        <f t="shared" si="513"/>
        <v>1</v>
      </c>
      <c r="CV821" s="3" t="b">
        <f t="shared" si="514"/>
        <v>1</v>
      </c>
      <c r="CW821" s="3" t="b">
        <f t="shared" si="515"/>
        <v>1</v>
      </c>
      <c r="CX821" s="9" t="str">
        <f t="shared" si="516"/>
        <v>5300135</v>
      </c>
      <c r="CY821" s="9" t="str">
        <f t="shared" si="517"/>
        <v>5202135</v>
      </c>
      <c r="CZ821" s="9" t="str">
        <f t="shared" si="518"/>
        <v>5202135</v>
      </c>
      <c r="DA821" s="9" t="str">
        <f t="shared" si="519"/>
        <v>5401133</v>
      </c>
      <c r="DB821" s="9" t="str">
        <f t="shared" si="520"/>
        <v>5402132</v>
      </c>
      <c r="DC821" s="9" t="str">
        <f t="shared" si="521"/>
        <v>5401133</v>
      </c>
      <c r="DD821" s="9">
        <v>13</v>
      </c>
      <c r="DE821" s="9">
        <v>13</v>
      </c>
      <c r="DF821" s="9">
        <v>13</v>
      </c>
      <c r="DG821" s="9">
        <v>13</v>
      </c>
      <c r="DH821" s="9">
        <v>13</v>
      </c>
      <c r="DI821" s="9">
        <v>13</v>
      </c>
      <c r="DJ821" s="9">
        <v>5</v>
      </c>
      <c r="DK821" s="9">
        <v>5</v>
      </c>
      <c r="DL821" s="9">
        <v>5</v>
      </c>
      <c r="DM821" s="9">
        <v>5</v>
      </c>
      <c r="DN821" s="9">
        <v>5</v>
      </c>
      <c r="DO821" s="9">
        <v>5</v>
      </c>
      <c r="DP821" s="25" t="s">
        <v>212</v>
      </c>
      <c r="DQ821" s="25" t="s">
        <v>213</v>
      </c>
      <c r="DR821" s="25" t="s">
        <v>213</v>
      </c>
      <c r="DS821" s="25" t="s">
        <v>211</v>
      </c>
      <c r="DT821" s="25" t="s">
        <v>203</v>
      </c>
      <c r="DU821" s="25" t="s">
        <v>211</v>
      </c>
      <c r="DV821" s="25">
        <f t="shared" si="522"/>
        <v>1</v>
      </c>
      <c r="DW821" s="25">
        <f t="shared" si="523"/>
        <v>1</v>
      </c>
      <c r="DX821" s="25">
        <f t="shared" si="524"/>
        <v>1</v>
      </c>
      <c r="DY821" s="25">
        <f t="shared" si="525"/>
        <v>2</v>
      </c>
      <c r="DZ821" s="25">
        <f t="shared" si="526"/>
        <v>2</v>
      </c>
      <c r="EA821" s="25">
        <f t="shared" si="527"/>
        <v>2</v>
      </c>
      <c r="EB821" s="38"/>
    </row>
    <row r="822" spans="29:132" ht="13.5" customHeight="1">
      <c r="AC822" s="9" t="str">
        <f t="shared" si="528"/>
        <v/>
      </c>
      <c r="AD822" s="9" t="str">
        <f t="shared" si="529"/>
        <v/>
      </c>
      <c r="AE822" s="9" t="str">
        <f t="shared" si="530"/>
        <v/>
      </c>
      <c r="AF822" s="9" t="str">
        <f t="shared" si="531"/>
        <v/>
      </c>
      <c r="AG822" s="9" t="str">
        <f t="shared" si="532"/>
        <v/>
      </c>
      <c r="AH822" s="9" t="str">
        <f t="shared" si="533"/>
        <v/>
      </c>
      <c r="BR822" s="5">
        <v>5406074</v>
      </c>
      <c r="BS822" s="18">
        <f>[1]monsters!$N822</f>
        <v>102.4</v>
      </c>
      <c r="BT822" s="18">
        <f>[1]monsters!$O822</f>
        <v>10.24</v>
      </c>
      <c r="BU822" s="18">
        <f>[1]monsters!$P822</f>
        <v>160</v>
      </c>
      <c r="BV822" s="18">
        <f>[1]monsters!$Q822</f>
        <v>80</v>
      </c>
      <c r="BW822" s="18">
        <f>[1]monsters!$R822</f>
        <v>17.07</v>
      </c>
      <c r="BX822" s="18">
        <f>[1]monsters!$S822</f>
        <v>1.71</v>
      </c>
      <c r="BY822" s="18">
        <f>[1]monsters!$K822</f>
        <v>1.6</v>
      </c>
      <c r="BZ822" s="5">
        <f>[1]monsters!$D822</f>
        <v>5</v>
      </c>
      <c r="CA822" s="5">
        <f t="shared" si="497"/>
        <v>0.1</v>
      </c>
      <c r="CB822" s="5">
        <f t="shared" si="498"/>
        <v>102.1552053872054</v>
      </c>
      <c r="CC822" s="5">
        <f t="shared" si="499"/>
        <v>10.21552053872054</v>
      </c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R822" s="3" t="b">
        <f t="shared" si="510"/>
        <v>1</v>
      </c>
      <c r="CS822" s="3" t="b">
        <f t="shared" si="511"/>
        <v>1</v>
      </c>
      <c r="CT822" s="3" t="b">
        <f t="shared" si="512"/>
        <v>1</v>
      </c>
      <c r="CU822" s="3" t="b">
        <f t="shared" si="513"/>
        <v>1</v>
      </c>
      <c r="CV822" s="3" t="b">
        <f t="shared" si="514"/>
        <v>1</v>
      </c>
      <c r="CW822" s="3" t="b">
        <f t="shared" si="515"/>
        <v>1</v>
      </c>
      <c r="CX822" s="9" t="str">
        <f t="shared" si="516"/>
        <v>5202133</v>
      </c>
      <c r="CY822" s="9" t="str">
        <f t="shared" si="517"/>
        <v>5202133</v>
      </c>
      <c r="CZ822" s="9" t="str">
        <f t="shared" si="518"/>
        <v>5202133</v>
      </c>
      <c r="DA822" s="9" t="str">
        <f t="shared" si="519"/>
        <v>5400135</v>
      </c>
      <c r="DB822" s="9" t="str">
        <f t="shared" si="520"/>
        <v>5501135</v>
      </c>
      <c r="DC822" s="9" t="str">
        <f t="shared" si="521"/>
        <v>5400135</v>
      </c>
      <c r="DD822" s="9">
        <v>13</v>
      </c>
      <c r="DE822" s="9">
        <v>13</v>
      </c>
      <c r="DF822" s="9">
        <v>13</v>
      </c>
      <c r="DG822" s="9">
        <v>13</v>
      </c>
      <c r="DH822" s="9">
        <v>13</v>
      </c>
      <c r="DI822" s="9">
        <v>13</v>
      </c>
      <c r="DJ822" s="9">
        <v>5</v>
      </c>
      <c r="DK822" s="9">
        <v>5</v>
      </c>
      <c r="DL822" s="9">
        <v>5</v>
      </c>
      <c r="DM822" s="9">
        <v>5</v>
      </c>
      <c r="DN822" s="9">
        <v>5</v>
      </c>
      <c r="DO822" s="9">
        <v>5</v>
      </c>
      <c r="DP822" s="25" t="s">
        <v>208</v>
      </c>
      <c r="DQ822" s="25" t="s">
        <v>208</v>
      </c>
      <c r="DR822" s="25" t="s">
        <v>208</v>
      </c>
      <c r="DS822" s="25" t="s">
        <v>210</v>
      </c>
      <c r="DT822" s="25" t="s">
        <v>209</v>
      </c>
      <c r="DU822" s="25" t="s">
        <v>210</v>
      </c>
      <c r="DV822" s="25">
        <f t="shared" si="522"/>
        <v>1</v>
      </c>
      <c r="DW822" s="25">
        <f t="shared" si="523"/>
        <v>1</v>
      </c>
      <c r="DX822" s="25">
        <f t="shared" si="524"/>
        <v>1</v>
      </c>
      <c r="DY822" s="25">
        <f t="shared" si="525"/>
        <v>2</v>
      </c>
      <c r="DZ822" s="25">
        <f t="shared" si="526"/>
        <v>2</v>
      </c>
      <c r="EA822" s="25">
        <f t="shared" si="527"/>
        <v>2</v>
      </c>
      <c r="EB822" s="38"/>
    </row>
    <row r="823" spans="29:132" ht="13.5" customHeight="1">
      <c r="AC823" s="9" t="str">
        <f t="shared" si="528"/>
        <v/>
      </c>
      <c r="AD823" s="9" t="str">
        <f t="shared" si="529"/>
        <v/>
      </c>
      <c r="AE823" s="9" t="str">
        <f t="shared" si="530"/>
        <v/>
      </c>
      <c r="AF823" s="9" t="str">
        <f t="shared" si="531"/>
        <v/>
      </c>
      <c r="AG823" s="9" t="str">
        <f t="shared" si="532"/>
        <v/>
      </c>
      <c r="AH823" s="9" t="str">
        <f t="shared" si="533"/>
        <v/>
      </c>
      <c r="BR823" s="5">
        <v>5205074</v>
      </c>
      <c r="BS823" s="18">
        <f>[1]monsters!$N823</f>
        <v>85.87</v>
      </c>
      <c r="BT823" s="18">
        <f>[1]monsters!$O823</f>
        <v>8.59</v>
      </c>
      <c r="BU823" s="18">
        <f>[1]monsters!$P823</f>
        <v>166.95599999999999</v>
      </c>
      <c r="BV823" s="18">
        <f>[1]monsters!$Q823</f>
        <v>83.48</v>
      </c>
      <c r="BW823" s="18">
        <f>[1]monsters!$R823</f>
        <v>10.73</v>
      </c>
      <c r="BX823" s="18">
        <f>[1]monsters!$S823</f>
        <v>1.07</v>
      </c>
      <c r="BY823" s="18">
        <f>[1]monsters!$K823</f>
        <v>1.4</v>
      </c>
      <c r="BZ823" s="5">
        <f>[1]monsters!$D823</f>
        <v>3</v>
      </c>
      <c r="CA823" s="5">
        <f t="shared" si="497"/>
        <v>0.1</v>
      </c>
      <c r="CB823" s="5">
        <f t="shared" si="498"/>
        <v>86.768564141414146</v>
      </c>
      <c r="CC823" s="5">
        <f t="shared" si="499"/>
        <v>8.6768564141414153</v>
      </c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R823" s="3" t="b">
        <f t="shared" si="510"/>
        <v>1</v>
      </c>
      <c r="CS823" s="3" t="b">
        <f t="shared" si="511"/>
        <v>1</v>
      </c>
      <c r="CT823" s="3" t="b">
        <f t="shared" si="512"/>
        <v>1</v>
      </c>
      <c r="CU823" s="3" t="b">
        <f t="shared" si="513"/>
        <v>1</v>
      </c>
      <c r="CV823" s="3" t="b">
        <f t="shared" si="514"/>
        <v>1</v>
      </c>
      <c r="CW823" s="3" t="b">
        <f t="shared" si="515"/>
        <v>1</v>
      </c>
      <c r="CX823" s="9" t="str">
        <f t="shared" si="516"/>
        <v>5201131</v>
      </c>
      <c r="CY823" s="9" t="str">
        <f t="shared" si="517"/>
        <v>5201132</v>
      </c>
      <c r="CZ823" s="9" t="str">
        <f t="shared" si="518"/>
        <v>5200131</v>
      </c>
      <c r="DA823" s="9" t="str">
        <f t="shared" si="519"/>
        <v>5601131</v>
      </c>
      <c r="DB823" s="9" t="str">
        <f t="shared" si="520"/>
        <v>5500133</v>
      </c>
      <c r="DC823" s="9" t="str">
        <f t="shared" si="521"/>
        <v>5501134</v>
      </c>
      <c r="DD823" s="9">
        <v>13</v>
      </c>
      <c r="DE823" s="9">
        <v>13</v>
      </c>
      <c r="DF823" s="9">
        <v>13</v>
      </c>
      <c r="DG823" s="9">
        <v>13</v>
      </c>
      <c r="DH823" s="9">
        <v>13</v>
      </c>
      <c r="DI823" s="9">
        <v>13</v>
      </c>
      <c r="DJ823" s="9">
        <v>5</v>
      </c>
      <c r="DK823" s="9">
        <v>5</v>
      </c>
      <c r="DL823" s="9">
        <v>5</v>
      </c>
      <c r="DM823" s="9">
        <v>5</v>
      </c>
      <c r="DN823" s="9">
        <v>5</v>
      </c>
      <c r="DO823" s="9">
        <v>5</v>
      </c>
      <c r="DP823" s="25" t="s">
        <v>195</v>
      </c>
      <c r="DQ823" s="25" t="s">
        <v>114</v>
      </c>
      <c r="DR823" s="25" t="s">
        <v>194</v>
      </c>
      <c r="DS823" s="25" t="s">
        <v>198</v>
      </c>
      <c r="DT823" s="25" t="s">
        <v>207</v>
      </c>
      <c r="DU823" s="25" t="s">
        <v>214</v>
      </c>
      <c r="DV823" s="25">
        <f t="shared" si="522"/>
        <v>1</v>
      </c>
      <c r="DW823" s="25">
        <f t="shared" si="523"/>
        <v>1</v>
      </c>
      <c r="DX823" s="25">
        <f t="shared" si="524"/>
        <v>1</v>
      </c>
      <c r="DY823" s="25">
        <f t="shared" si="525"/>
        <v>2</v>
      </c>
      <c r="DZ823" s="25">
        <f t="shared" si="526"/>
        <v>2</v>
      </c>
      <c r="EA823" s="25">
        <f t="shared" si="527"/>
        <v>2</v>
      </c>
      <c r="EB823" s="38"/>
    </row>
    <row r="824" spans="29:132" ht="13.5" customHeight="1">
      <c r="AC824" s="9" t="str">
        <f t="shared" si="528"/>
        <v/>
      </c>
      <c r="AD824" s="9" t="str">
        <f t="shared" si="529"/>
        <v/>
      </c>
      <c r="AE824" s="9" t="str">
        <f t="shared" si="530"/>
        <v/>
      </c>
      <c r="AF824" s="9" t="str">
        <f t="shared" si="531"/>
        <v/>
      </c>
      <c r="AG824" s="9" t="str">
        <f t="shared" si="532"/>
        <v/>
      </c>
      <c r="AH824" s="9" t="str">
        <f t="shared" si="533"/>
        <v/>
      </c>
      <c r="BR824" s="5">
        <v>5405074</v>
      </c>
      <c r="BS824" s="18">
        <f>[1]monsters!$N824</f>
        <v>62.4</v>
      </c>
      <c r="BT824" s="18">
        <f>[1]monsters!$O824</f>
        <v>6.24</v>
      </c>
      <c r="BU824" s="18">
        <f>[1]monsters!$P824</f>
        <v>213.334</v>
      </c>
      <c r="BV824" s="18">
        <f>[1]monsters!$Q824</f>
        <v>106.67</v>
      </c>
      <c r="BW824" s="18">
        <f>[1]monsters!$R824</f>
        <v>12.48</v>
      </c>
      <c r="BX824" s="18">
        <f>[1]monsters!$S824</f>
        <v>1.25</v>
      </c>
      <c r="BY824" s="18">
        <f>[1]monsters!$K824</f>
        <v>1.3</v>
      </c>
      <c r="BZ824" s="5">
        <f>[1]monsters!$D824</f>
        <v>2</v>
      </c>
      <c r="CA824" s="5">
        <f t="shared" si="497"/>
        <v>0.1</v>
      </c>
      <c r="CB824" s="5">
        <f t="shared" si="498"/>
        <v>66.150962962962964</v>
      </c>
      <c r="CC824" s="5">
        <f t="shared" si="499"/>
        <v>6.6150962962962971</v>
      </c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R824" s="3" t="b">
        <f t="shared" si="510"/>
        <v>1</v>
      </c>
      <c r="CS824" s="3" t="b">
        <f t="shared" si="511"/>
        <v>1</v>
      </c>
      <c r="CT824" s="3" t="b">
        <f t="shared" si="512"/>
        <v>1</v>
      </c>
      <c r="CU824" s="3" t="b">
        <f t="shared" si="513"/>
        <v>1</v>
      </c>
      <c r="CV824" s="3" t="b">
        <f t="shared" si="514"/>
        <v>1</v>
      </c>
      <c r="CW824" s="3" t="b">
        <f t="shared" si="515"/>
        <v>1</v>
      </c>
      <c r="CX824" s="9" t="str">
        <f t="shared" si="516"/>
        <v>5302135</v>
      </c>
      <c r="CY824" s="9" t="str">
        <f t="shared" si="517"/>
        <v>5202135</v>
      </c>
      <c r="CZ824" s="9" t="str">
        <f t="shared" si="518"/>
        <v>5202135</v>
      </c>
      <c r="DA824" s="9" t="str">
        <f t="shared" si="519"/>
        <v>5400135</v>
      </c>
      <c r="DB824" s="9" t="str">
        <f t="shared" si="520"/>
        <v>5400135</v>
      </c>
      <c r="DC824" s="9" t="str">
        <f t="shared" si="521"/>
        <v>5400135</v>
      </c>
      <c r="DD824" s="9">
        <v>13</v>
      </c>
      <c r="DE824" s="9">
        <v>13</v>
      </c>
      <c r="DF824" s="9">
        <v>13</v>
      </c>
      <c r="DG824" s="9">
        <v>13</v>
      </c>
      <c r="DH824" s="9">
        <v>13</v>
      </c>
      <c r="DI824" s="9">
        <v>13</v>
      </c>
      <c r="DJ824" s="9">
        <v>5</v>
      </c>
      <c r="DK824" s="9">
        <v>5</v>
      </c>
      <c r="DL824" s="9">
        <v>5</v>
      </c>
      <c r="DM824" s="9">
        <v>5</v>
      </c>
      <c r="DN824" s="9">
        <v>5</v>
      </c>
      <c r="DO824" s="9">
        <v>5</v>
      </c>
      <c r="DP824" s="25" t="s">
        <v>221</v>
      </c>
      <c r="DQ824" s="25" t="s">
        <v>213</v>
      </c>
      <c r="DR824" s="25" t="s">
        <v>213</v>
      </c>
      <c r="DS824" s="25" t="s">
        <v>210</v>
      </c>
      <c r="DT824" s="25" t="s">
        <v>210</v>
      </c>
      <c r="DU824" s="25" t="s">
        <v>210</v>
      </c>
      <c r="DV824" s="25">
        <f t="shared" si="522"/>
        <v>1</v>
      </c>
      <c r="DW824" s="25">
        <f t="shared" si="523"/>
        <v>1</v>
      </c>
      <c r="DX824" s="25">
        <f t="shared" si="524"/>
        <v>1</v>
      </c>
      <c r="DY824" s="25">
        <f t="shared" si="525"/>
        <v>2</v>
      </c>
      <c r="DZ824" s="25">
        <f t="shared" si="526"/>
        <v>2</v>
      </c>
      <c r="EA824" s="25">
        <f t="shared" si="527"/>
        <v>2</v>
      </c>
      <c r="EB824" s="49"/>
    </row>
    <row r="825" spans="29:132" ht="13.5" customHeight="1">
      <c r="AC825" s="9" t="str">
        <f t="shared" si="528"/>
        <v/>
      </c>
      <c r="AD825" s="9" t="str">
        <f t="shared" si="529"/>
        <v/>
      </c>
      <c r="AE825" s="9" t="str">
        <f t="shared" si="530"/>
        <v/>
      </c>
      <c r="AF825" s="9" t="str">
        <f t="shared" si="531"/>
        <v/>
      </c>
      <c r="AG825" s="9" t="str">
        <f t="shared" si="532"/>
        <v/>
      </c>
      <c r="AH825" s="9" t="str">
        <f t="shared" si="533"/>
        <v/>
      </c>
      <c r="BR825" s="5">
        <v>5203074</v>
      </c>
      <c r="BS825" s="18">
        <f>[1]monsters!$N825</f>
        <v>83.2</v>
      </c>
      <c r="BT825" s="18">
        <f>[1]monsters!$O825</f>
        <v>8.32</v>
      </c>
      <c r="BU825" s="18">
        <f>[1]monsters!$P825</f>
        <v>160</v>
      </c>
      <c r="BV825" s="18">
        <f>[1]monsters!$Q825</f>
        <v>80</v>
      </c>
      <c r="BW825" s="18">
        <f>[1]monsters!$R825</f>
        <v>8.32</v>
      </c>
      <c r="BX825" s="18">
        <f>[1]monsters!$S825</f>
        <v>0.83</v>
      </c>
      <c r="BY825" s="18">
        <f>[1]monsters!$K825</f>
        <v>1.3</v>
      </c>
      <c r="BZ825" s="5">
        <f>[1]monsters!$D825</f>
        <v>4</v>
      </c>
      <c r="CA825" s="5">
        <f t="shared" si="497"/>
        <v>0.1</v>
      </c>
      <c r="CB825" s="5">
        <f t="shared" si="498"/>
        <v>84.011205387205393</v>
      </c>
      <c r="CC825" s="5">
        <f t="shared" si="499"/>
        <v>8.401120538720539</v>
      </c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R825" s="3" t="b">
        <f t="shared" si="510"/>
        <v>1</v>
      </c>
      <c r="CS825" s="3" t="b">
        <f t="shared" si="511"/>
        <v>1</v>
      </c>
      <c r="CT825" s="3" t="b">
        <f t="shared" si="512"/>
        <v>1</v>
      </c>
      <c r="CU825" s="3" t="b">
        <f t="shared" si="513"/>
        <v>1</v>
      </c>
      <c r="CV825" s="3" t="b">
        <f t="shared" si="514"/>
        <v>1</v>
      </c>
      <c r="CW825" s="3" t="b">
        <f t="shared" si="515"/>
        <v>1</v>
      </c>
      <c r="CX825" s="9" t="str">
        <f t="shared" si="516"/>
        <v>5301131</v>
      </c>
      <c r="CY825" s="9" t="str">
        <f t="shared" si="517"/>
        <v>5301132</v>
      </c>
      <c r="CZ825" s="9" t="str">
        <f t="shared" si="518"/>
        <v>5301132</v>
      </c>
      <c r="DA825" s="9" t="str">
        <f t="shared" si="519"/>
        <v>5500132</v>
      </c>
      <c r="DB825" s="9" t="str">
        <f t="shared" si="520"/>
        <v>5400135</v>
      </c>
      <c r="DC825" s="9" t="str">
        <f t="shared" si="521"/>
        <v>5502133</v>
      </c>
      <c r="DD825" s="9">
        <v>13</v>
      </c>
      <c r="DE825" s="9">
        <v>13</v>
      </c>
      <c r="DF825" s="9">
        <v>13</v>
      </c>
      <c r="DG825" s="9">
        <v>13</v>
      </c>
      <c r="DH825" s="9">
        <v>13</v>
      </c>
      <c r="DI825" s="9">
        <v>13</v>
      </c>
      <c r="DJ825" s="9">
        <v>5</v>
      </c>
      <c r="DK825" s="9">
        <v>5</v>
      </c>
      <c r="DL825" s="9">
        <v>5</v>
      </c>
      <c r="DM825" s="9">
        <v>5</v>
      </c>
      <c r="DN825" s="9">
        <v>5</v>
      </c>
      <c r="DO825" s="9">
        <v>5</v>
      </c>
      <c r="DP825" s="25" t="s">
        <v>107</v>
      </c>
      <c r="DQ825" s="25" t="s">
        <v>201</v>
      </c>
      <c r="DR825" s="25" t="s">
        <v>201</v>
      </c>
      <c r="DS825" s="25" t="s">
        <v>109</v>
      </c>
      <c r="DT825" s="25" t="s">
        <v>210</v>
      </c>
      <c r="DU825" s="25" t="s">
        <v>215</v>
      </c>
      <c r="DV825" s="25">
        <f t="shared" si="522"/>
        <v>1</v>
      </c>
      <c r="DW825" s="25">
        <f t="shared" si="523"/>
        <v>1</v>
      </c>
      <c r="DX825" s="25">
        <f t="shared" si="524"/>
        <v>1</v>
      </c>
      <c r="DY825" s="25">
        <f t="shared" si="525"/>
        <v>2</v>
      </c>
      <c r="DZ825" s="25">
        <f t="shared" si="526"/>
        <v>2</v>
      </c>
      <c r="EA825" s="25">
        <f t="shared" si="527"/>
        <v>2</v>
      </c>
      <c r="EB825" s="38"/>
    </row>
    <row r="826" spans="29:132" ht="13.5" customHeight="1">
      <c r="AC826" s="9" t="str">
        <f t="shared" si="528"/>
        <v/>
      </c>
      <c r="AD826" s="9" t="str">
        <f t="shared" si="529"/>
        <v/>
      </c>
      <c r="AE826" s="9" t="str">
        <f t="shared" si="530"/>
        <v/>
      </c>
      <c r="AF826" s="9" t="str">
        <f t="shared" si="531"/>
        <v/>
      </c>
      <c r="AG826" s="9" t="str">
        <f t="shared" si="532"/>
        <v/>
      </c>
      <c r="AH826" s="9" t="str">
        <f t="shared" si="533"/>
        <v/>
      </c>
      <c r="BR826" s="5">
        <v>5403074</v>
      </c>
      <c r="BS826" s="18">
        <f>[1]monsters!$N826</f>
        <v>86.4</v>
      </c>
      <c r="BT826" s="18">
        <f>[1]monsters!$O826</f>
        <v>8.64</v>
      </c>
      <c r="BU826" s="18">
        <f>[1]monsters!$P826</f>
        <v>213.334</v>
      </c>
      <c r="BV826" s="18">
        <f>[1]monsters!$Q826</f>
        <v>106.67</v>
      </c>
      <c r="BW826" s="18">
        <f>[1]monsters!$R826</f>
        <v>17.28</v>
      </c>
      <c r="BX826" s="18">
        <f>[1]monsters!$S826</f>
        <v>1.73</v>
      </c>
      <c r="BY826" s="18">
        <f>[1]monsters!$K826</f>
        <v>1.8</v>
      </c>
      <c r="BZ826" s="5">
        <f>[1]monsters!$D826</f>
        <v>2</v>
      </c>
      <c r="CA826" s="5">
        <f t="shared" si="497"/>
        <v>0.1</v>
      </c>
      <c r="CB826" s="5">
        <f t="shared" si="498"/>
        <v>88.830962962962971</v>
      </c>
      <c r="CC826" s="5">
        <f t="shared" si="499"/>
        <v>8.8830962962962978</v>
      </c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R826" s="3" t="b">
        <f t="shared" si="510"/>
        <v>1</v>
      </c>
      <c r="CS826" s="3" t="b">
        <f t="shared" si="511"/>
        <v>1</v>
      </c>
      <c r="CT826" s="3" t="b">
        <f t="shared" si="512"/>
        <v>1</v>
      </c>
      <c r="CU826" s="3" t="b">
        <f t="shared" si="513"/>
        <v>1</v>
      </c>
      <c r="CV826" s="3" t="b">
        <f t="shared" si="514"/>
        <v>1</v>
      </c>
      <c r="CW826" s="3" t="b">
        <f t="shared" si="515"/>
        <v>1</v>
      </c>
      <c r="CX826" s="9" t="str">
        <f t="shared" si="516"/>
        <v>5201133</v>
      </c>
      <c r="CY826" s="9" t="str">
        <f t="shared" si="517"/>
        <v>5200133</v>
      </c>
      <c r="CZ826" s="9" t="str">
        <f t="shared" si="518"/>
        <v>5301132</v>
      </c>
      <c r="DA826" s="9" t="str">
        <f t="shared" si="519"/>
        <v>5501134</v>
      </c>
      <c r="DB826" s="9" t="str">
        <f t="shared" si="520"/>
        <v>5500133</v>
      </c>
      <c r="DC826" s="9" t="str">
        <f t="shared" si="521"/>
        <v>5501134</v>
      </c>
      <c r="DD826" s="9">
        <v>13</v>
      </c>
      <c r="DE826" s="9">
        <v>13</v>
      </c>
      <c r="DF826" s="9">
        <v>13</v>
      </c>
      <c r="DG826" s="9">
        <v>13</v>
      </c>
      <c r="DH826" s="9">
        <v>13</v>
      </c>
      <c r="DI826" s="9">
        <v>13</v>
      </c>
      <c r="DJ826" s="9">
        <v>5</v>
      </c>
      <c r="DK826" s="9">
        <v>5</v>
      </c>
      <c r="DL826" s="9">
        <v>5</v>
      </c>
      <c r="DM826" s="9">
        <v>5</v>
      </c>
      <c r="DN826" s="9">
        <v>5</v>
      </c>
      <c r="DO826" s="9">
        <v>5</v>
      </c>
      <c r="DP826" s="25" t="s">
        <v>205</v>
      </c>
      <c r="DQ826" s="25" t="s">
        <v>113</v>
      </c>
      <c r="DR826" s="25" t="s">
        <v>201</v>
      </c>
      <c r="DS826" s="25" t="s">
        <v>214</v>
      </c>
      <c r="DT826" s="25" t="s">
        <v>207</v>
      </c>
      <c r="DU826" s="25" t="s">
        <v>214</v>
      </c>
      <c r="DV826" s="25">
        <f t="shared" si="522"/>
        <v>1</v>
      </c>
      <c r="DW826" s="25">
        <f t="shared" si="523"/>
        <v>1</v>
      </c>
      <c r="DX826" s="25">
        <f t="shared" si="524"/>
        <v>1</v>
      </c>
      <c r="DY826" s="25">
        <f t="shared" si="525"/>
        <v>2</v>
      </c>
      <c r="DZ826" s="25">
        <f t="shared" si="526"/>
        <v>2</v>
      </c>
      <c r="EA826" s="25">
        <f t="shared" si="527"/>
        <v>2</v>
      </c>
      <c r="EB826" s="38"/>
    </row>
    <row r="827" spans="29:132" ht="13.5" customHeight="1">
      <c r="AC827" s="9" t="str">
        <f t="shared" si="528"/>
        <v/>
      </c>
      <c r="AD827" s="9" t="str">
        <f t="shared" si="529"/>
        <v/>
      </c>
      <c r="AE827" s="9" t="str">
        <f t="shared" si="530"/>
        <v/>
      </c>
      <c r="AF827" s="9" t="str">
        <f t="shared" si="531"/>
        <v/>
      </c>
      <c r="AG827" s="9" t="str">
        <f t="shared" si="532"/>
        <v/>
      </c>
      <c r="AH827" s="9" t="str">
        <f t="shared" si="533"/>
        <v/>
      </c>
      <c r="BR827" s="5">
        <v>5204074</v>
      </c>
      <c r="BS827" s="18">
        <f>[1]monsters!$N827</f>
        <v>100</v>
      </c>
      <c r="BT827" s="18">
        <f>[1]monsters!$O827</f>
        <v>10</v>
      </c>
      <c r="BU827" s="18">
        <f>[1]monsters!$P827</f>
        <v>153.6</v>
      </c>
      <c r="BV827" s="18">
        <f>[1]monsters!$Q827</f>
        <v>76.8</v>
      </c>
      <c r="BW827" s="18">
        <f>[1]monsters!$R827</f>
        <v>10</v>
      </c>
      <c r="BX827" s="18">
        <f>[1]monsters!$S827</f>
        <v>1</v>
      </c>
      <c r="BY827" s="18">
        <f>[1]monsters!$K827</f>
        <v>1.5</v>
      </c>
      <c r="BZ827" s="5">
        <f>[1]monsters!$D827</f>
        <v>4</v>
      </c>
      <c r="CA827" s="5">
        <f t="shared" si="497"/>
        <v>0.1</v>
      </c>
      <c r="CB827" s="5">
        <f t="shared" si="498"/>
        <v>99.671717171717177</v>
      </c>
      <c r="CC827" s="5">
        <f t="shared" si="499"/>
        <v>9.967171717171718</v>
      </c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R827" s="3" t="b">
        <f t="shared" si="510"/>
        <v>1</v>
      </c>
      <c r="CS827" s="3" t="b">
        <f t="shared" si="511"/>
        <v>1</v>
      </c>
      <c r="CT827" s="3" t="b">
        <f t="shared" si="512"/>
        <v>1</v>
      </c>
      <c r="CU827" s="3" t="b">
        <f t="shared" si="513"/>
        <v>1</v>
      </c>
      <c r="CV827" s="3" t="b">
        <f t="shared" si="514"/>
        <v>1</v>
      </c>
      <c r="CW827" s="3" t="b">
        <f t="shared" si="515"/>
        <v>1</v>
      </c>
      <c r="CX827" s="9" t="str">
        <f t="shared" si="516"/>
        <v>5200133</v>
      </c>
      <c r="CY827" s="9" t="str">
        <f t="shared" si="517"/>
        <v>5200133</v>
      </c>
      <c r="CZ827" s="9" t="str">
        <f t="shared" si="518"/>
        <v>5200133</v>
      </c>
      <c r="DA827" s="9" t="str">
        <f t="shared" si="519"/>
        <v>5401133</v>
      </c>
      <c r="DB827" s="9" t="str">
        <f t="shared" si="520"/>
        <v>5401133</v>
      </c>
      <c r="DC827" s="9" t="str">
        <f t="shared" si="521"/>
        <v>5401133</v>
      </c>
      <c r="DD827" s="9">
        <v>13</v>
      </c>
      <c r="DE827" s="9">
        <v>13</v>
      </c>
      <c r="DF827" s="9">
        <v>13</v>
      </c>
      <c r="DG827" s="9">
        <v>13</v>
      </c>
      <c r="DH827" s="9">
        <v>13</v>
      </c>
      <c r="DI827" s="9">
        <v>13</v>
      </c>
      <c r="DJ827" s="9">
        <v>5</v>
      </c>
      <c r="DK827" s="9">
        <v>5</v>
      </c>
      <c r="DL827" s="9">
        <v>5</v>
      </c>
      <c r="DM827" s="9">
        <v>5</v>
      </c>
      <c r="DN827" s="9">
        <v>5</v>
      </c>
      <c r="DO827" s="9">
        <v>5</v>
      </c>
      <c r="DP827" s="25" t="s">
        <v>113</v>
      </c>
      <c r="DQ827" s="25" t="s">
        <v>113</v>
      </c>
      <c r="DR827" s="25" t="s">
        <v>113</v>
      </c>
      <c r="DS827" s="25" t="s">
        <v>211</v>
      </c>
      <c r="DT827" s="25" t="s">
        <v>211</v>
      </c>
      <c r="DU827" s="25" t="s">
        <v>211</v>
      </c>
      <c r="DV827" s="25">
        <f t="shared" si="522"/>
        <v>1</v>
      </c>
      <c r="DW827" s="25">
        <f t="shared" si="523"/>
        <v>1</v>
      </c>
      <c r="DX827" s="25">
        <f t="shared" si="524"/>
        <v>1</v>
      </c>
      <c r="DY827" s="25">
        <f t="shared" si="525"/>
        <v>2</v>
      </c>
      <c r="DZ827" s="25">
        <f t="shared" si="526"/>
        <v>2</v>
      </c>
      <c r="EA827" s="25">
        <f t="shared" si="527"/>
        <v>2</v>
      </c>
      <c r="EB827" s="38"/>
    </row>
    <row r="828" spans="29:132" ht="13.5" customHeight="1">
      <c r="AC828" s="9" t="str">
        <f t="shared" si="528"/>
        <v/>
      </c>
      <c r="AD828" s="9" t="str">
        <f t="shared" si="529"/>
        <v/>
      </c>
      <c r="AE828" s="9" t="str">
        <f t="shared" si="530"/>
        <v/>
      </c>
      <c r="AF828" s="9" t="str">
        <f t="shared" si="531"/>
        <v/>
      </c>
      <c r="AG828" s="9" t="str">
        <f t="shared" si="532"/>
        <v/>
      </c>
      <c r="AH828" s="9" t="str">
        <f t="shared" si="533"/>
        <v/>
      </c>
      <c r="BR828" s="5">
        <v>5404074</v>
      </c>
      <c r="BS828" s="18">
        <f>[1]monsters!$N828</f>
        <v>76.27</v>
      </c>
      <c r="BT828" s="18">
        <f>[1]monsters!$O828</f>
        <v>7.63</v>
      </c>
      <c r="BU828" s="18">
        <f>[1]monsters!$P828</f>
        <v>174.54599999999999</v>
      </c>
      <c r="BV828" s="18">
        <f>[1]monsters!$Q828</f>
        <v>87.27</v>
      </c>
      <c r="BW828" s="18">
        <f>[1]monsters!$R828</f>
        <v>9.5299999999999994</v>
      </c>
      <c r="BX828" s="18">
        <f>[1]monsters!$S828</f>
        <v>0.95</v>
      </c>
      <c r="BY828" s="18">
        <f>[1]monsters!$K828</f>
        <v>1.3</v>
      </c>
      <c r="BZ828" s="5">
        <f>[1]monsters!$D828</f>
        <v>3</v>
      </c>
      <c r="CA828" s="5">
        <f t="shared" si="497"/>
        <v>0.1</v>
      </c>
      <c r="CB828" s="5">
        <f t="shared" si="498"/>
        <v>77.952119696969703</v>
      </c>
      <c r="CC828" s="5">
        <f t="shared" si="499"/>
        <v>7.7952119696969708</v>
      </c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R828" s="3" t="b">
        <f t="shared" si="510"/>
        <v>1</v>
      </c>
      <c r="CS828" s="3" t="b">
        <f t="shared" si="511"/>
        <v>1</v>
      </c>
      <c r="CT828" s="3" t="b">
        <f t="shared" si="512"/>
        <v>1</v>
      </c>
      <c r="CU828" s="3" t="b">
        <f t="shared" si="513"/>
        <v>1</v>
      </c>
      <c r="CV828" s="3" t="b">
        <f t="shared" si="514"/>
        <v>1</v>
      </c>
      <c r="CW828" s="3" t="b">
        <f t="shared" si="515"/>
        <v>1</v>
      </c>
      <c r="CX828" s="9" t="str">
        <f t="shared" si="516"/>
        <v>5201131</v>
      </c>
      <c r="CY828" s="9" t="str">
        <f t="shared" si="517"/>
        <v>5201132</v>
      </c>
      <c r="CZ828" s="9" t="str">
        <f t="shared" si="518"/>
        <v>5202131</v>
      </c>
      <c r="DA828" s="9" t="str">
        <f t="shared" si="519"/>
        <v>5502131</v>
      </c>
      <c r="DB828" s="9" t="str">
        <f t="shared" si="520"/>
        <v>5500131</v>
      </c>
      <c r="DC828" s="9" t="str">
        <f t="shared" si="521"/>
        <v>5502131</v>
      </c>
      <c r="DD828" s="9">
        <v>13</v>
      </c>
      <c r="DE828" s="9">
        <v>13</v>
      </c>
      <c r="DF828" s="9">
        <v>13</v>
      </c>
      <c r="DG828" s="9">
        <v>13</v>
      </c>
      <c r="DH828" s="9">
        <v>13</v>
      </c>
      <c r="DI828" s="9">
        <v>13</v>
      </c>
      <c r="DJ828" s="9">
        <v>5</v>
      </c>
      <c r="DK828" s="9">
        <v>5</v>
      </c>
      <c r="DL828" s="9">
        <v>5</v>
      </c>
      <c r="DM828" s="9">
        <v>5</v>
      </c>
      <c r="DN828" s="9">
        <v>5</v>
      </c>
      <c r="DO828" s="9">
        <v>5</v>
      </c>
      <c r="DP828" s="25" t="s">
        <v>195</v>
      </c>
      <c r="DQ828" s="25" t="s">
        <v>114</v>
      </c>
      <c r="DR828" s="25" t="s">
        <v>111</v>
      </c>
      <c r="DS828" s="25" t="s">
        <v>119</v>
      </c>
      <c r="DT828" s="25" t="s">
        <v>197</v>
      </c>
      <c r="DU828" s="25" t="s">
        <v>119</v>
      </c>
      <c r="DV828" s="25">
        <f t="shared" si="522"/>
        <v>1</v>
      </c>
      <c r="DW828" s="25">
        <f t="shared" si="523"/>
        <v>1</v>
      </c>
      <c r="DX828" s="25">
        <f t="shared" si="524"/>
        <v>1</v>
      </c>
      <c r="DY828" s="25">
        <f t="shared" si="525"/>
        <v>2</v>
      </c>
      <c r="DZ828" s="25">
        <f t="shared" si="526"/>
        <v>2</v>
      </c>
      <c r="EA828" s="25">
        <f t="shared" si="527"/>
        <v>2</v>
      </c>
      <c r="EB828" s="49"/>
    </row>
    <row r="829" spans="29:132" ht="13.5" customHeight="1">
      <c r="AC829" s="9" t="str">
        <f t="shared" si="528"/>
        <v/>
      </c>
      <c r="AD829" s="9" t="str">
        <f t="shared" si="529"/>
        <v/>
      </c>
      <c r="AE829" s="9" t="str">
        <f t="shared" si="530"/>
        <v/>
      </c>
      <c r="AF829" s="9" t="str">
        <f t="shared" si="531"/>
        <v/>
      </c>
      <c r="AG829" s="9" t="str">
        <f t="shared" si="532"/>
        <v/>
      </c>
      <c r="AH829" s="9" t="str">
        <f t="shared" si="533"/>
        <v/>
      </c>
      <c r="BR829" s="5">
        <v>5303074</v>
      </c>
      <c r="BS829" s="18">
        <f>[1]monsters!$N829</f>
        <v>105.6</v>
      </c>
      <c r="BT829" s="18">
        <f>[1]monsters!$O829</f>
        <v>10.56</v>
      </c>
      <c r="BU829" s="18">
        <f>[1]monsters!$P829</f>
        <v>174.54599999999999</v>
      </c>
      <c r="BV829" s="18">
        <f>[1]monsters!$Q829</f>
        <v>87.27</v>
      </c>
      <c r="BW829" s="18">
        <f>[1]monsters!$R829</f>
        <v>17.600000000000001</v>
      </c>
      <c r="BX829" s="18">
        <f>[1]monsters!$S829</f>
        <v>1.76</v>
      </c>
      <c r="BY829" s="18">
        <f>[1]monsters!$K829</f>
        <v>1.8</v>
      </c>
      <c r="BZ829" s="5">
        <f>[1]monsters!$D829</f>
        <v>5</v>
      </c>
      <c r="CA829" s="5">
        <f t="shared" si="497"/>
        <v>0.1</v>
      </c>
      <c r="CB829" s="5">
        <f t="shared" si="498"/>
        <v>105.6689696969697</v>
      </c>
      <c r="CC829" s="5">
        <f t="shared" si="499"/>
        <v>10.56689696969697</v>
      </c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R829" s="3" t="b">
        <f t="shared" si="510"/>
        <v>1</v>
      </c>
      <c r="CS829" s="3" t="b">
        <f t="shared" si="511"/>
        <v>1</v>
      </c>
      <c r="CT829" s="3" t="b">
        <f t="shared" si="512"/>
        <v>1</v>
      </c>
      <c r="CU829" s="3" t="b">
        <f t="shared" si="513"/>
        <v>1</v>
      </c>
      <c r="CV829" s="3" t="b">
        <f t="shared" si="514"/>
        <v>1</v>
      </c>
      <c r="CW829" s="3" t="b">
        <f t="shared" si="515"/>
        <v>1</v>
      </c>
      <c r="CX829" s="9" t="str">
        <f t="shared" si="516"/>
        <v>5202133</v>
      </c>
      <c r="CY829" s="9" t="str">
        <f t="shared" si="517"/>
        <v>5201133</v>
      </c>
      <c r="CZ829" s="9" t="str">
        <f t="shared" si="518"/>
        <v>5302134</v>
      </c>
      <c r="DA829" s="9" t="str">
        <f t="shared" si="519"/>
        <v>5501134</v>
      </c>
      <c r="DB829" s="9" t="str">
        <f t="shared" si="520"/>
        <v>5400135</v>
      </c>
      <c r="DC829" s="9" t="str">
        <f t="shared" si="521"/>
        <v>5500132</v>
      </c>
      <c r="DD829" s="9">
        <v>13</v>
      </c>
      <c r="DE829" s="9">
        <v>13</v>
      </c>
      <c r="DF829" s="9">
        <v>13</v>
      </c>
      <c r="DG829" s="9">
        <v>13</v>
      </c>
      <c r="DH829" s="9">
        <v>13</v>
      </c>
      <c r="DI829" s="9">
        <v>13</v>
      </c>
      <c r="DJ829" s="9">
        <v>5</v>
      </c>
      <c r="DK829" s="9">
        <v>5</v>
      </c>
      <c r="DL829" s="9">
        <v>5</v>
      </c>
      <c r="DM829" s="9">
        <v>5</v>
      </c>
      <c r="DN829" s="9">
        <v>5</v>
      </c>
      <c r="DO829" s="9">
        <v>5</v>
      </c>
      <c r="DP829" s="25" t="s">
        <v>208</v>
      </c>
      <c r="DQ829" s="25" t="s">
        <v>205</v>
      </c>
      <c r="DR829" s="25" t="s">
        <v>218</v>
      </c>
      <c r="DS829" s="25" t="s">
        <v>214</v>
      </c>
      <c r="DT829" s="25" t="s">
        <v>210</v>
      </c>
      <c r="DU829" s="25" t="s">
        <v>109</v>
      </c>
      <c r="DV829" s="25">
        <f t="shared" si="522"/>
        <v>1</v>
      </c>
      <c r="DW829" s="25">
        <f t="shared" si="523"/>
        <v>1</v>
      </c>
      <c r="DX829" s="25">
        <f t="shared" si="524"/>
        <v>1</v>
      </c>
      <c r="DY829" s="25">
        <f t="shared" si="525"/>
        <v>2</v>
      </c>
      <c r="DZ829" s="25">
        <f t="shared" si="526"/>
        <v>2</v>
      </c>
      <c r="EA829" s="25">
        <f t="shared" si="527"/>
        <v>2</v>
      </c>
      <c r="EB829" s="38"/>
    </row>
    <row r="830" spans="29:132" ht="13.5" customHeight="1">
      <c r="AC830" s="9" t="str">
        <f t="shared" si="528"/>
        <v/>
      </c>
      <c r="AD830" s="9" t="str">
        <f t="shared" si="529"/>
        <v/>
      </c>
      <c r="AE830" s="9" t="str">
        <f t="shared" si="530"/>
        <v/>
      </c>
      <c r="AF830" s="9" t="str">
        <f t="shared" si="531"/>
        <v/>
      </c>
      <c r="AG830" s="9" t="str">
        <f t="shared" si="532"/>
        <v/>
      </c>
      <c r="AH830" s="9" t="str">
        <f t="shared" si="533"/>
        <v/>
      </c>
      <c r="BR830" s="5">
        <v>5304074</v>
      </c>
      <c r="BS830" s="18">
        <f>[1]monsters!$N830</f>
        <v>76.8</v>
      </c>
      <c r="BT830" s="18">
        <f>[1]monsters!$O830</f>
        <v>7.68</v>
      </c>
      <c r="BU830" s="18">
        <f>[1]monsters!$P830</f>
        <v>213.334</v>
      </c>
      <c r="BV830" s="18">
        <f>[1]monsters!$Q830</f>
        <v>106.67</v>
      </c>
      <c r="BW830" s="18">
        <f>[1]monsters!$R830</f>
        <v>15.36</v>
      </c>
      <c r="BX830" s="18">
        <f>[1]monsters!$S830</f>
        <v>1.54</v>
      </c>
      <c r="BY830" s="18">
        <f>[1]monsters!$K830</f>
        <v>1.6</v>
      </c>
      <c r="BZ830" s="5">
        <f>[1]monsters!$D830</f>
        <v>2</v>
      </c>
      <c r="CA830" s="5">
        <f t="shared" si="497"/>
        <v>0.1</v>
      </c>
      <c r="CB830" s="5">
        <f t="shared" si="498"/>
        <v>79.758962962962968</v>
      </c>
      <c r="CC830" s="5">
        <f t="shared" si="499"/>
        <v>7.9758962962962974</v>
      </c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R830" s="3" t="b">
        <f t="shared" si="510"/>
        <v>1</v>
      </c>
      <c r="CS830" s="3" t="b">
        <f t="shared" si="511"/>
        <v>1</v>
      </c>
      <c r="CT830" s="3" t="b">
        <f t="shared" si="512"/>
        <v>1</v>
      </c>
      <c r="CU830" s="3" t="b">
        <f t="shared" si="513"/>
        <v>1</v>
      </c>
      <c r="CV830" s="3" t="b">
        <f t="shared" si="514"/>
        <v>1</v>
      </c>
      <c r="CW830" s="3" t="b">
        <f t="shared" si="515"/>
        <v>1</v>
      </c>
      <c r="CX830" s="9" t="str">
        <f t="shared" si="516"/>
        <v>5201133</v>
      </c>
      <c r="CY830" s="9" t="str">
        <f t="shared" si="517"/>
        <v>5202135</v>
      </c>
      <c r="CZ830" s="9" t="str">
        <f t="shared" si="518"/>
        <v>5200131</v>
      </c>
      <c r="DA830" s="9" t="str">
        <f t="shared" si="519"/>
        <v>5501134</v>
      </c>
      <c r="DB830" s="9" t="str">
        <f t="shared" si="520"/>
        <v>5402132</v>
      </c>
      <c r="DC830" s="9" t="str">
        <f t="shared" si="521"/>
        <v>5501135</v>
      </c>
      <c r="DD830" s="9">
        <v>13</v>
      </c>
      <c r="DE830" s="9">
        <v>13</v>
      </c>
      <c r="DF830" s="9">
        <v>13</v>
      </c>
      <c r="DG830" s="9">
        <v>13</v>
      </c>
      <c r="DH830" s="9">
        <v>13</v>
      </c>
      <c r="DI830" s="9">
        <v>13</v>
      </c>
      <c r="DJ830" s="9">
        <v>5</v>
      </c>
      <c r="DK830" s="9">
        <v>5</v>
      </c>
      <c r="DL830" s="9">
        <v>5</v>
      </c>
      <c r="DM830" s="9">
        <v>5</v>
      </c>
      <c r="DN830" s="9">
        <v>5</v>
      </c>
      <c r="DO830" s="9">
        <v>5</v>
      </c>
      <c r="DP830" s="25" t="s">
        <v>205</v>
      </c>
      <c r="DQ830" s="25" t="s">
        <v>213</v>
      </c>
      <c r="DR830" s="25" t="s">
        <v>194</v>
      </c>
      <c r="DS830" s="25" t="s">
        <v>214</v>
      </c>
      <c r="DT830" s="25" t="s">
        <v>203</v>
      </c>
      <c r="DU830" s="25" t="s">
        <v>209</v>
      </c>
      <c r="DV830" s="25">
        <f t="shared" si="522"/>
        <v>1</v>
      </c>
      <c r="DW830" s="25">
        <f t="shared" si="523"/>
        <v>1</v>
      </c>
      <c r="DX830" s="25">
        <f t="shared" si="524"/>
        <v>1</v>
      </c>
      <c r="DY830" s="25">
        <f t="shared" si="525"/>
        <v>2</v>
      </c>
      <c r="DZ830" s="25">
        <f t="shared" si="526"/>
        <v>2</v>
      </c>
      <c r="EA830" s="25">
        <f t="shared" si="527"/>
        <v>2</v>
      </c>
      <c r="EB830" s="38"/>
    </row>
    <row r="831" spans="29:132" ht="13.5" customHeight="1">
      <c r="AC831" s="9" t="str">
        <f t="shared" si="528"/>
        <v/>
      </c>
      <c r="AD831" s="9" t="str">
        <f t="shared" si="529"/>
        <v/>
      </c>
      <c r="AE831" s="9" t="str">
        <f t="shared" si="530"/>
        <v/>
      </c>
      <c r="AF831" s="9" t="str">
        <f t="shared" si="531"/>
        <v/>
      </c>
      <c r="AG831" s="9" t="str">
        <f t="shared" si="532"/>
        <v/>
      </c>
      <c r="AH831" s="9" t="str">
        <f t="shared" si="533"/>
        <v/>
      </c>
      <c r="BR831" s="5">
        <v>5503074</v>
      </c>
      <c r="BS831" s="18">
        <f>[1]monsters!$N831</f>
        <v>97.07</v>
      </c>
      <c r="BT831" s="18">
        <f>[1]monsters!$O831</f>
        <v>9.7100000000000009</v>
      </c>
      <c r="BU831" s="18">
        <f>[1]monsters!$P831</f>
        <v>147.69200000000001</v>
      </c>
      <c r="BV831" s="18">
        <f>[1]monsters!$Q831</f>
        <v>73.849999999999994</v>
      </c>
      <c r="BW831" s="18">
        <f>[1]monsters!$R831</f>
        <v>9.7100000000000009</v>
      </c>
      <c r="BX831" s="18">
        <f>[1]monsters!$S831</f>
        <v>0.97</v>
      </c>
      <c r="BY831" s="18">
        <f>[1]monsters!$K831</f>
        <v>1.4</v>
      </c>
      <c r="BZ831" s="5">
        <f>[1]monsters!$D831</f>
        <v>4</v>
      </c>
      <c r="CA831" s="5">
        <f t="shared" si="497"/>
        <v>0.1</v>
      </c>
      <c r="CB831" s="5">
        <f t="shared" si="498"/>
        <v>96.703944612794615</v>
      </c>
      <c r="CC831" s="5">
        <f t="shared" si="499"/>
        <v>9.6703944612794626</v>
      </c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R831" s="3" t="b">
        <f t="shared" si="510"/>
        <v>1</v>
      </c>
      <c r="CS831" s="3" t="b">
        <f t="shared" si="511"/>
        <v>1</v>
      </c>
      <c r="CT831" s="3" t="b">
        <f t="shared" si="512"/>
        <v>1</v>
      </c>
      <c r="CU831" s="3" t="b">
        <f t="shared" si="513"/>
        <v>1</v>
      </c>
      <c r="CV831" s="3" t="b">
        <f t="shared" si="514"/>
        <v>1</v>
      </c>
      <c r="CW831" s="3" t="b">
        <f t="shared" si="515"/>
        <v>1</v>
      </c>
      <c r="CX831" s="9" t="str">
        <f t="shared" si="516"/>
        <v>5302135</v>
      </c>
      <c r="CY831" s="9" t="str">
        <f t="shared" si="517"/>
        <v>5202135</v>
      </c>
      <c r="CZ831" s="9" t="str">
        <f t="shared" si="518"/>
        <v>5202133</v>
      </c>
      <c r="DA831" s="9" t="str">
        <f t="shared" si="519"/>
        <v>5401133</v>
      </c>
      <c r="DB831" s="9" t="str">
        <f t="shared" si="520"/>
        <v>5501135</v>
      </c>
      <c r="DC831" s="9" t="str">
        <f t="shared" si="521"/>
        <v>5400135</v>
      </c>
      <c r="DD831" s="9">
        <v>13</v>
      </c>
      <c r="DE831" s="9">
        <v>13</v>
      </c>
      <c r="DF831" s="9">
        <v>13</v>
      </c>
      <c r="DG831" s="9">
        <v>13</v>
      </c>
      <c r="DH831" s="9">
        <v>13</v>
      </c>
      <c r="DI831" s="9">
        <v>13</v>
      </c>
      <c r="DJ831" s="9">
        <v>5</v>
      </c>
      <c r="DK831" s="9">
        <v>5</v>
      </c>
      <c r="DL831" s="9">
        <v>5</v>
      </c>
      <c r="DM831" s="9">
        <v>5</v>
      </c>
      <c r="DN831" s="9">
        <v>5</v>
      </c>
      <c r="DO831" s="9">
        <v>5</v>
      </c>
      <c r="DP831" s="25" t="s">
        <v>221</v>
      </c>
      <c r="DQ831" s="25" t="s">
        <v>213</v>
      </c>
      <c r="DR831" s="25" t="s">
        <v>208</v>
      </c>
      <c r="DS831" s="25" t="s">
        <v>211</v>
      </c>
      <c r="DT831" s="25" t="s">
        <v>209</v>
      </c>
      <c r="DU831" s="25" t="s">
        <v>210</v>
      </c>
      <c r="DV831" s="25">
        <f t="shared" si="522"/>
        <v>1</v>
      </c>
      <c r="DW831" s="25">
        <f t="shared" si="523"/>
        <v>1</v>
      </c>
      <c r="DX831" s="25">
        <f t="shared" si="524"/>
        <v>1</v>
      </c>
      <c r="DY831" s="25">
        <f t="shared" si="525"/>
        <v>2</v>
      </c>
      <c r="DZ831" s="25">
        <f t="shared" si="526"/>
        <v>2</v>
      </c>
      <c r="EA831" s="25">
        <f t="shared" si="527"/>
        <v>2</v>
      </c>
      <c r="EB831" s="49"/>
    </row>
    <row r="832" spans="29:132" ht="13.5" customHeight="1">
      <c r="AC832" s="9" t="str">
        <f t="shared" si="528"/>
        <v/>
      </c>
      <c r="AD832" s="9" t="str">
        <f t="shared" si="529"/>
        <v/>
      </c>
      <c r="AE832" s="9" t="str">
        <f t="shared" si="530"/>
        <v/>
      </c>
      <c r="AF832" s="9" t="str">
        <f t="shared" si="531"/>
        <v/>
      </c>
      <c r="AG832" s="9" t="str">
        <f t="shared" si="532"/>
        <v/>
      </c>
      <c r="AH832" s="9" t="str">
        <f t="shared" si="533"/>
        <v/>
      </c>
      <c r="BR832" s="5">
        <v>5504074</v>
      </c>
      <c r="BS832" s="18">
        <f>[1]monsters!$N832</f>
        <v>67.2</v>
      </c>
      <c r="BT832" s="18">
        <f>[1]monsters!$O832</f>
        <v>6.72</v>
      </c>
      <c r="BU832" s="18">
        <f>[1]monsters!$P832</f>
        <v>213.334</v>
      </c>
      <c r="BV832" s="18">
        <f>[1]monsters!$Q832</f>
        <v>106.67</v>
      </c>
      <c r="BW832" s="18">
        <f>[1]monsters!$R832</f>
        <v>13.44</v>
      </c>
      <c r="BX832" s="18">
        <f>[1]monsters!$S832</f>
        <v>1.34</v>
      </c>
      <c r="BY832" s="18">
        <f>[1]monsters!$K832</f>
        <v>1.4</v>
      </c>
      <c r="BZ832" s="5">
        <f>[1]monsters!$D832</f>
        <v>2</v>
      </c>
      <c r="CA832" s="5">
        <f t="shared" si="497"/>
        <v>0.1</v>
      </c>
      <c r="CB832" s="5">
        <f t="shared" si="498"/>
        <v>70.686962962962966</v>
      </c>
      <c r="CC832" s="5">
        <f t="shared" si="499"/>
        <v>7.0686962962962969</v>
      </c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R832" s="3" t="b">
        <f t="shared" si="510"/>
        <v>1</v>
      </c>
      <c r="CS832" s="3" t="b">
        <f t="shared" si="511"/>
        <v>1</v>
      </c>
      <c r="CT832" s="3" t="b">
        <f t="shared" si="512"/>
        <v>1</v>
      </c>
      <c r="CU832" s="3" t="b">
        <f t="shared" si="513"/>
        <v>1</v>
      </c>
      <c r="CV832" s="3" t="b">
        <f t="shared" si="514"/>
        <v>1</v>
      </c>
      <c r="CW832" s="3" t="b">
        <f t="shared" si="515"/>
        <v>1</v>
      </c>
      <c r="CX832" s="9" t="str">
        <f t="shared" si="516"/>
        <v>5202132</v>
      </c>
      <c r="CY832" s="9" t="str">
        <f t="shared" si="517"/>
        <v>5202132</v>
      </c>
      <c r="CZ832" s="9" t="str">
        <f t="shared" si="518"/>
        <v>5301132</v>
      </c>
      <c r="DA832" s="9" t="str">
        <f t="shared" si="519"/>
        <v>5502132</v>
      </c>
      <c r="DB832" s="9" t="str">
        <f t="shared" si="520"/>
        <v>5500131</v>
      </c>
      <c r="DC832" s="9" t="str">
        <f t="shared" si="521"/>
        <v>5502131</v>
      </c>
      <c r="DD832" s="9">
        <v>13</v>
      </c>
      <c r="DE832" s="9">
        <v>13</v>
      </c>
      <c r="DF832" s="9">
        <v>13</v>
      </c>
      <c r="DG832" s="9">
        <v>13</v>
      </c>
      <c r="DH832" s="9">
        <v>13</v>
      </c>
      <c r="DI832" s="9">
        <v>13</v>
      </c>
      <c r="DJ832" s="9">
        <v>5</v>
      </c>
      <c r="DK832" s="9">
        <v>5</v>
      </c>
      <c r="DL832" s="9">
        <v>5</v>
      </c>
      <c r="DM832" s="9">
        <v>5</v>
      </c>
      <c r="DN832" s="9">
        <v>5</v>
      </c>
      <c r="DO832" s="9">
        <v>5</v>
      </c>
      <c r="DP832" s="25" t="s">
        <v>200</v>
      </c>
      <c r="DQ832" s="25" t="s">
        <v>200</v>
      </c>
      <c r="DR832" s="25" t="s">
        <v>201</v>
      </c>
      <c r="DS832" s="25" t="s">
        <v>204</v>
      </c>
      <c r="DT832" s="25" t="s">
        <v>197</v>
      </c>
      <c r="DU832" s="25" t="s">
        <v>119</v>
      </c>
      <c r="DV832" s="25">
        <f t="shared" si="522"/>
        <v>1</v>
      </c>
      <c r="DW832" s="25">
        <f t="shared" si="523"/>
        <v>1</v>
      </c>
      <c r="DX832" s="25">
        <f t="shared" si="524"/>
        <v>1</v>
      </c>
      <c r="DY832" s="25">
        <f t="shared" si="525"/>
        <v>2</v>
      </c>
      <c r="DZ832" s="25">
        <f t="shared" si="526"/>
        <v>2</v>
      </c>
      <c r="EA832" s="25">
        <f t="shared" si="527"/>
        <v>2</v>
      </c>
      <c r="EB832" s="38"/>
    </row>
    <row r="833" spans="29:132" ht="13.5" customHeight="1">
      <c r="AC833" s="9" t="str">
        <f t="shared" si="528"/>
        <v/>
      </c>
      <c r="AD833" s="9" t="str">
        <f t="shared" si="529"/>
        <v/>
      </c>
      <c r="AE833" s="9" t="str">
        <f t="shared" si="530"/>
        <v/>
      </c>
      <c r="AF833" s="9" t="str">
        <f t="shared" si="531"/>
        <v/>
      </c>
      <c r="AG833" s="9" t="str">
        <f t="shared" si="532"/>
        <v/>
      </c>
      <c r="AH833" s="9" t="str">
        <f t="shared" si="533"/>
        <v/>
      </c>
      <c r="BR833" s="5">
        <v>5101074</v>
      </c>
      <c r="BS833" s="18">
        <f>[1]monsters!$N833</f>
        <v>110.93</v>
      </c>
      <c r="BT833" s="18">
        <f>[1]monsters!$O833</f>
        <v>11.09</v>
      </c>
      <c r="BU833" s="18">
        <f>[1]monsters!$P833</f>
        <v>147.69200000000001</v>
      </c>
      <c r="BV833" s="18">
        <f>[1]monsters!$Q833</f>
        <v>73.849999999999994</v>
      </c>
      <c r="BW833" s="18">
        <f>[1]monsters!$R833</f>
        <v>11.09</v>
      </c>
      <c r="BX833" s="18">
        <f>[1]monsters!$S833</f>
        <v>1.1100000000000001</v>
      </c>
      <c r="BY833" s="18">
        <f>[1]monsters!$K833</f>
        <v>1.6</v>
      </c>
      <c r="BZ833" s="5">
        <f>[1]monsters!$D833</f>
        <v>4</v>
      </c>
      <c r="CA833" s="5">
        <f t="shared" si="497"/>
        <v>0.1</v>
      </c>
      <c r="CB833" s="5">
        <f t="shared" si="498"/>
        <v>109.80164461279463</v>
      </c>
      <c r="CC833" s="5">
        <f t="shared" si="499"/>
        <v>10.980164461279465</v>
      </c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R833" s="3" t="b">
        <f t="shared" si="510"/>
        <v>1</v>
      </c>
      <c r="CS833" s="3" t="b">
        <f t="shared" si="511"/>
        <v>1</v>
      </c>
      <c r="CT833" s="3" t="b">
        <f t="shared" si="512"/>
        <v>1</v>
      </c>
      <c r="CU833" s="3" t="b">
        <f t="shared" si="513"/>
        <v>1</v>
      </c>
      <c r="CV833" s="3" t="b">
        <f t="shared" si="514"/>
        <v>1</v>
      </c>
      <c r="CW833" s="3" t="b">
        <f t="shared" si="515"/>
        <v>1</v>
      </c>
      <c r="CX833" s="9" t="str">
        <f t="shared" si="516"/>
        <v>5202133</v>
      </c>
      <c r="CY833" s="9" t="str">
        <f t="shared" si="517"/>
        <v>5201133</v>
      </c>
      <c r="CZ833" s="9" t="str">
        <f t="shared" si="518"/>
        <v>5302134</v>
      </c>
      <c r="DA833" s="9" t="str">
        <f t="shared" si="519"/>
        <v>5400135</v>
      </c>
      <c r="DB833" s="9" t="str">
        <f t="shared" si="520"/>
        <v>5601131</v>
      </c>
      <c r="DC833" s="9" t="str">
        <f t="shared" si="521"/>
        <v>5400135</v>
      </c>
      <c r="DD833" s="9">
        <v>13</v>
      </c>
      <c r="DE833" s="9">
        <v>13</v>
      </c>
      <c r="DF833" s="9">
        <v>13</v>
      </c>
      <c r="DG833" s="9">
        <v>13</v>
      </c>
      <c r="DH833" s="9">
        <v>13</v>
      </c>
      <c r="DI833" s="9">
        <v>13</v>
      </c>
      <c r="DJ833" s="9">
        <v>5</v>
      </c>
      <c r="DK833" s="9">
        <v>5</v>
      </c>
      <c r="DL833" s="9">
        <v>5</v>
      </c>
      <c r="DM833" s="9">
        <v>5</v>
      </c>
      <c r="DN833" s="9">
        <v>5</v>
      </c>
      <c r="DO833" s="9">
        <v>5</v>
      </c>
      <c r="DP833" s="25" t="s">
        <v>208</v>
      </c>
      <c r="DQ833" s="25" t="s">
        <v>205</v>
      </c>
      <c r="DR833" s="25" t="s">
        <v>218</v>
      </c>
      <c r="DS833" s="25" t="s">
        <v>210</v>
      </c>
      <c r="DT833" s="25" t="s">
        <v>198</v>
      </c>
      <c r="DU833" s="25" t="s">
        <v>210</v>
      </c>
      <c r="DV833" s="25">
        <f t="shared" si="522"/>
        <v>1</v>
      </c>
      <c r="DW833" s="25">
        <f t="shared" si="523"/>
        <v>1</v>
      </c>
      <c r="DX833" s="25">
        <f t="shared" si="524"/>
        <v>1</v>
      </c>
      <c r="DY833" s="25">
        <f t="shared" si="525"/>
        <v>2</v>
      </c>
      <c r="DZ833" s="25">
        <f t="shared" si="526"/>
        <v>2</v>
      </c>
      <c r="EA833" s="25">
        <f t="shared" si="527"/>
        <v>2</v>
      </c>
      <c r="EB833" s="38"/>
    </row>
    <row r="834" spans="29:132" ht="13.5" customHeight="1">
      <c r="AC834" s="9" t="str">
        <f t="shared" si="528"/>
        <v/>
      </c>
      <c r="AD834" s="9" t="str">
        <f t="shared" si="529"/>
        <v/>
      </c>
      <c r="AE834" s="9" t="str">
        <f t="shared" si="530"/>
        <v/>
      </c>
      <c r="AF834" s="9" t="str">
        <f t="shared" si="531"/>
        <v/>
      </c>
      <c r="AG834" s="9" t="str">
        <f t="shared" si="532"/>
        <v/>
      </c>
      <c r="AH834" s="9" t="str">
        <f t="shared" si="533"/>
        <v/>
      </c>
      <c r="BR834" s="5">
        <v>5102074</v>
      </c>
      <c r="BS834" s="18">
        <f>[1]monsters!$N834</f>
        <v>102.4</v>
      </c>
      <c r="BT834" s="18">
        <f>[1]monsters!$O834</f>
        <v>10.24</v>
      </c>
      <c r="BU834" s="18">
        <f>[1]monsters!$P834</f>
        <v>160</v>
      </c>
      <c r="BV834" s="18">
        <f>[1]monsters!$Q834</f>
        <v>80</v>
      </c>
      <c r="BW834" s="18">
        <f>[1]monsters!$R834</f>
        <v>17.07</v>
      </c>
      <c r="BX834" s="18">
        <f>[1]monsters!$S834</f>
        <v>1.71</v>
      </c>
      <c r="BY834" s="18">
        <f>[1]monsters!$K834</f>
        <v>1.6</v>
      </c>
      <c r="BZ834" s="5">
        <f>[1]monsters!$D834</f>
        <v>5</v>
      </c>
      <c r="CA834" s="5">
        <f t="shared" si="497"/>
        <v>0.1</v>
      </c>
      <c r="CB834" s="5">
        <f t="shared" si="498"/>
        <v>102.1552053872054</v>
      </c>
      <c r="CC834" s="5">
        <f t="shared" si="499"/>
        <v>10.21552053872054</v>
      </c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R834" s="3" t="b">
        <f t="shared" si="510"/>
        <v>1</v>
      </c>
      <c r="CS834" s="3" t="b">
        <f t="shared" si="511"/>
        <v>1</v>
      </c>
      <c r="CT834" s="3" t="b">
        <f t="shared" si="512"/>
        <v>1</v>
      </c>
      <c r="CU834" s="3" t="b">
        <f t="shared" si="513"/>
        <v>1</v>
      </c>
      <c r="CV834" s="3" t="b">
        <f t="shared" si="514"/>
        <v>1</v>
      </c>
      <c r="CW834" s="3" t="b">
        <f t="shared" si="515"/>
        <v>1</v>
      </c>
      <c r="CX834" s="9" t="str">
        <f t="shared" si="516"/>
        <v>5200133</v>
      </c>
      <c r="CY834" s="9" t="str">
        <f t="shared" si="517"/>
        <v>5202135</v>
      </c>
      <c r="CZ834" s="9" t="str">
        <f t="shared" si="518"/>
        <v>5301133</v>
      </c>
      <c r="DA834" s="9" t="str">
        <f t="shared" si="519"/>
        <v>5401133</v>
      </c>
      <c r="DB834" s="9" t="str">
        <f t="shared" si="520"/>
        <v>5400135</v>
      </c>
      <c r="DC834" s="9" t="str">
        <f t="shared" si="521"/>
        <v>5400135</v>
      </c>
      <c r="DD834" s="9">
        <v>13</v>
      </c>
      <c r="DE834" s="9">
        <v>13</v>
      </c>
      <c r="DF834" s="9">
        <v>13</v>
      </c>
      <c r="DG834" s="9">
        <v>13</v>
      </c>
      <c r="DH834" s="9">
        <v>13</v>
      </c>
      <c r="DI834" s="9">
        <v>13</v>
      </c>
      <c r="DJ834" s="9">
        <v>5</v>
      </c>
      <c r="DK834" s="9">
        <v>5</v>
      </c>
      <c r="DL834" s="9">
        <v>5</v>
      </c>
      <c r="DM834" s="9">
        <v>5</v>
      </c>
      <c r="DN834" s="9">
        <v>5</v>
      </c>
      <c r="DO834" s="9">
        <v>5</v>
      </c>
      <c r="DP834" s="25" t="s">
        <v>113</v>
      </c>
      <c r="DQ834" s="25" t="s">
        <v>213</v>
      </c>
      <c r="DR834" s="25" t="s">
        <v>206</v>
      </c>
      <c r="DS834" s="25" t="s">
        <v>211</v>
      </c>
      <c r="DT834" s="25" t="s">
        <v>210</v>
      </c>
      <c r="DU834" s="25" t="s">
        <v>210</v>
      </c>
      <c r="DV834" s="25">
        <f t="shared" si="522"/>
        <v>1</v>
      </c>
      <c r="DW834" s="25">
        <f t="shared" si="523"/>
        <v>1</v>
      </c>
      <c r="DX834" s="25">
        <f t="shared" si="524"/>
        <v>1</v>
      </c>
      <c r="DY834" s="25">
        <f t="shared" si="525"/>
        <v>2</v>
      </c>
      <c r="DZ834" s="25">
        <f t="shared" si="526"/>
        <v>2</v>
      </c>
      <c r="EA834" s="25">
        <f t="shared" si="527"/>
        <v>2</v>
      </c>
      <c r="EB834" s="38"/>
    </row>
    <row r="835" spans="29:132" ht="13.5" customHeight="1">
      <c r="AC835" s="9" t="str">
        <f t="shared" si="528"/>
        <v/>
      </c>
      <c r="AD835" s="9" t="str">
        <f t="shared" si="529"/>
        <v/>
      </c>
      <c r="AE835" s="9" t="str">
        <f t="shared" si="530"/>
        <v/>
      </c>
      <c r="AF835" s="9" t="str">
        <f t="shared" si="531"/>
        <v/>
      </c>
      <c r="AG835" s="9" t="str">
        <f t="shared" si="532"/>
        <v/>
      </c>
      <c r="AH835" s="9" t="str">
        <f t="shared" si="533"/>
        <v/>
      </c>
      <c r="BR835" s="5">
        <v>5206075</v>
      </c>
      <c r="BS835" s="18">
        <f>[1]monsters!$N835</f>
        <v>85.87</v>
      </c>
      <c r="BT835" s="18">
        <f>[1]monsters!$O835</f>
        <v>8.59</v>
      </c>
      <c r="BU835" s="18">
        <f>[1]monsters!$P835</f>
        <v>166.95599999999999</v>
      </c>
      <c r="BV835" s="18">
        <f>[1]monsters!$Q835</f>
        <v>83.48</v>
      </c>
      <c r="BW835" s="18">
        <f>[1]monsters!$R835</f>
        <v>10.73</v>
      </c>
      <c r="BX835" s="18">
        <f>[1]monsters!$S835</f>
        <v>1.07</v>
      </c>
      <c r="BY835" s="18">
        <f>[1]monsters!$K835</f>
        <v>1.4</v>
      </c>
      <c r="BZ835" s="5">
        <f>[1]monsters!$D835</f>
        <v>3</v>
      </c>
      <c r="CA835" s="5">
        <f t="shared" si="497"/>
        <v>0.1</v>
      </c>
      <c r="CB835" s="5">
        <f t="shared" si="498"/>
        <v>86.768564141414146</v>
      </c>
      <c r="CC835" s="5">
        <f t="shared" si="499"/>
        <v>8.6768564141414153</v>
      </c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R835" s="3" t="b">
        <f t="shared" si="510"/>
        <v>1</v>
      </c>
      <c r="CS835" s="3" t="b">
        <f t="shared" si="511"/>
        <v>1</v>
      </c>
      <c r="CT835" s="3" t="b">
        <f t="shared" si="512"/>
        <v>1</v>
      </c>
      <c r="CU835" s="3" t="b">
        <f t="shared" si="513"/>
        <v>1</v>
      </c>
      <c r="CV835" s="3" t="b">
        <f t="shared" si="514"/>
        <v>1</v>
      </c>
      <c r="CW835" s="3" t="b">
        <f t="shared" si="515"/>
        <v>1</v>
      </c>
      <c r="CX835" s="9" t="str">
        <f t="shared" si="516"/>
        <v>5201133</v>
      </c>
      <c r="CY835" s="9" t="str">
        <f t="shared" si="517"/>
        <v>5200133</v>
      </c>
      <c r="CZ835" s="9" t="str">
        <f t="shared" si="518"/>
        <v>5301132</v>
      </c>
      <c r="DA835" s="9" t="str">
        <f t="shared" si="519"/>
        <v>5501134</v>
      </c>
      <c r="DB835" s="9" t="str">
        <f t="shared" si="520"/>
        <v>5500133</v>
      </c>
      <c r="DC835" s="9" t="str">
        <f t="shared" si="521"/>
        <v>5501134</v>
      </c>
      <c r="DD835" s="9">
        <v>13</v>
      </c>
      <c r="DE835" s="9">
        <v>13</v>
      </c>
      <c r="DF835" s="9">
        <v>13</v>
      </c>
      <c r="DG835" s="9">
        <v>13</v>
      </c>
      <c r="DH835" s="9">
        <v>13</v>
      </c>
      <c r="DI835" s="9">
        <v>13</v>
      </c>
      <c r="DJ835" s="9">
        <v>5</v>
      </c>
      <c r="DK835" s="9">
        <v>5</v>
      </c>
      <c r="DL835" s="9">
        <v>5</v>
      </c>
      <c r="DM835" s="9">
        <v>5</v>
      </c>
      <c r="DN835" s="9">
        <v>5</v>
      </c>
      <c r="DO835" s="9">
        <v>5</v>
      </c>
      <c r="DP835" s="25" t="s">
        <v>205</v>
      </c>
      <c r="DQ835" s="25" t="s">
        <v>113</v>
      </c>
      <c r="DR835" s="25" t="s">
        <v>201</v>
      </c>
      <c r="DS835" s="25" t="s">
        <v>214</v>
      </c>
      <c r="DT835" s="25" t="s">
        <v>207</v>
      </c>
      <c r="DU835" s="25" t="s">
        <v>214</v>
      </c>
      <c r="DV835" s="25">
        <f t="shared" si="522"/>
        <v>1</v>
      </c>
      <c r="DW835" s="25">
        <f t="shared" si="523"/>
        <v>1</v>
      </c>
      <c r="DX835" s="25">
        <f t="shared" si="524"/>
        <v>1</v>
      </c>
      <c r="DY835" s="25">
        <f t="shared" si="525"/>
        <v>2</v>
      </c>
      <c r="DZ835" s="25">
        <f t="shared" si="526"/>
        <v>2</v>
      </c>
      <c r="EA835" s="25">
        <f t="shared" si="527"/>
        <v>2</v>
      </c>
      <c r="EB835" s="50"/>
    </row>
    <row r="836" spans="29:132" ht="13.5" customHeight="1">
      <c r="AC836" s="9" t="str">
        <f t="shared" si="528"/>
        <v/>
      </c>
      <c r="AD836" s="9" t="str">
        <f t="shared" si="529"/>
        <v/>
      </c>
      <c r="AE836" s="9" t="str">
        <f t="shared" si="530"/>
        <v/>
      </c>
      <c r="AF836" s="9" t="str">
        <f t="shared" si="531"/>
        <v/>
      </c>
      <c r="AG836" s="9" t="str">
        <f t="shared" si="532"/>
        <v/>
      </c>
      <c r="AH836" s="9" t="str">
        <f t="shared" si="533"/>
        <v/>
      </c>
      <c r="BR836" s="5">
        <v>5406075</v>
      </c>
      <c r="BS836" s="18">
        <f>[1]monsters!$N836</f>
        <v>62.4</v>
      </c>
      <c r="BT836" s="18">
        <f>[1]monsters!$O836</f>
        <v>6.24</v>
      </c>
      <c r="BU836" s="18">
        <f>[1]monsters!$P836</f>
        <v>213.334</v>
      </c>
      <c r="BV836" s="18">
        <f>[1]monsters!$Q836</f>
        <v>106.67</v>
      </c>
      <c r="BW836" s="18">
        <f>[1]monsters!$R836</f>
        <v>12.48</v>
      </c>
      <c r="BX836" s="18">
        <f>[1]monsters!$S836</f>
        <v>1.25</v>
      </c>
      <c r="BY836" s="18">
        <f>[1]monsters!$K836</f>
        <v>1.3</v>
      </c>
      <c r="BZ836" s="5">
        <f>[1]monsters!$D836</f>
        <v>2</v>
      </c>
      <c r="CA836" s="5">
        <f t="shared" si="497"/>
        <v>0.1</v>
      </c>
      <c r="CB836" s="5">
        <f t="shared" si="498"/>
        <v>66.150962962962964</v>
      </c>
      <c r="CC836" s="5">
        <f t="shared" si="499"/>
        <v>6.6150962962962971</v>
      </c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R836" s="3" t="b">
        <f t="shared" si="510"/>
        <v>1</v>
      </c>
      <c r="CS836" s="3" t="b">
        <f t="shared" si="511"/>
        <v>1</v>
      </c>
      <c r="CT836" s="3" t="b">
        <f t="shared" si="512"/>
        <v>1</v>
      </c>
      <c r="CU836" s="3" t="b">
        <f t="shared" si="513"/>
        <v>1</v>
      </c>
      <c r="CV836" s="3" t="b">
        <f t="shared" si="514"/>
        <v>1</v>
      </c>
      <c r="CW836" s="3" t="b">
        <f t="shared" si="515"/>
        <v>1</v>
      </c>
      <c r="CX836" s="9" t="str">
        <f t="shared" si="516"/>
        <v>5200131</v>
      </c>
      <c r="CY836" s="9" t="str">
        <f t="shared" si="517"/>
        <v>5301132</v>
      </c>
      <c r="CZ836" s="9" t="str">
        <f t="shared" si="518"/>
        <v>5201131</v>
      </c>
      <c r="DA836" s="9" t="str">
        <f t="shared" si="519"/>
        <v>5401131</v>
      </c>
      <c r="DB836" s="9" t="str">
        <f t="shared" si="520"/>
        <v>5501135</v>
      </c>
      <c r="DC836" s="9" t="str">
        <f t="shared" si="521"/>
        <v>5401132</v>
      </c>
      <c r="DD836" s="9">
        <v>13</v>
      </c>
      <c r="DE836" s="9">
        <v>13</v>
      </c>
      <c r="DF836" s="9">
        <v>13</v>
      </c>
      <c r="DG836" s="9">
        <v>13</v>
      </c>
      <c r="DH836" s="9">
        <v>13</v>
      </c>
      <c r="DI836" s="9">
        <v>13</v>
      </c>
      <c r="DJ836" s="9">
        <v>5</v>
      </c>
      <c r="DK836" s="9">
        <v>5</v>
      </c>
      <c r="DL836" s="9">
        <v>5</v>
      </c>
      <c r="DM836" s="9">
        <v>5</v>
      </c>
      <c r="DN836" s="9">
        <v>5</v>
      </c>
      <c r="DO836" s="9">
        <v>5</v>
      </c>
      <c r="DP836" s="25" t="s">
        <v>194</v>
      </c>
      <c r="DQ836" s="25" t="s">
        <v>201</v>
      </c>
      <c r="DR836" s="25" t="s">
        <v>195</v>
      </c>
      <c r="DS836" s="25" t="s">
        <v>117</v>
      </c>
      <c r="DT836" s="25" t="s">
        <v>209</v>
      </c>
      <c r="DU836" s="25" t="s">
        <v>202</v>
      </c>
      <c r="DV836" s="25">
        <f t="shared" si="522"/>
        <v>1</v>
      </c>
      <c r="DW836" s="25">
        <f t="shared" si="523"/>
        <v>1</v>
      </c>
      <c r="DX836" s="25">
        <f t="shared" si="524"/>
        <v>1</v>
      </c>
      <c r="DY836" s="25">
        <f t="shared" si="525"/>
        <v>2</v>
      </c>
      <c r="DZ836" s="25">
        <f t="shared" si="526"/>
        <v>2</v>
      </c>
      <c r="EA836" s="25">
        <f t="shared" si="527"/>
        <v>2</v>
      </c>
      <c r="EB836" s="50"/>
    </row>
    <row r="837" spans="29:132" ht="13.5" customHeight="1">
      <c r="AC837" s="9" t="str">
        <f t="shared" si="528"/>
        <v/>
      </c>
      <c r="AD837" s="9" t="str">
        <f t="shared" si="529"/>
        <v/>
      </c>
      <c r="AE837" s="9" t="str">
        <f t="shared" si="530"/>
        <v/>
      </c>
      <c r="AF837" s="9" t="str">
        <f t="shared" si="531"/>
        <v/>
      </c>
      <c r="AG837" s="9" t="str">
        <f t="shared" si="532"/>
        <v/>
      </c>
      <c r="AH837" s="9" t="str">
        <f t="shared" si="533"/>
        <v/>
      </c>
      <c r="BR837" s="5">
        <v>5205075</v>
      </c>
      <c r="BS837" s="18">
        <f>[1]monsters!$N837</f>
        <v>83.2</v>
      </c>
      <c r="BT837" s="18">
        <f>[1]monsters!$O837</f>
        <v>8.32</v>
      </c>
      <c r="BU837" s="18">
        <f>[1]monsters!$P837</f>
        <v>160</v>
      </c>
      <c r="BV837" s="18">
        <f>[1]monsters!$Q837</f>
        <v>80</v>
      </c>
      <c r="BW837" s="18">
        <f>[1]monsters!$R837</f>
        <v>8.32</v>
      </c>
      <c r="BX837" s="18">
        <f>[1]monsters!$S837</f>
        <v>0.83</v>
      </c>
      <c r="BY837" s="18">
        <f>[1]monsters!$K837</f>
        <v>1.3</v>
      </c>
      <c r="BZ837" s="5">
        <f>[1]monsters!$D837</f>
        <v>4</v>
      </c>
      <c r="CA837" s="5">
        <f t="shared" ref="CA837:CA900" si="534">INDEX($CH$5:$CH$10,MATCH($BZ837,$CG$5:$CG$10))</f>
        <v>0.1</v>
      </c>
      <c r="CB837" s="5">
        <f t="shared" ref="CB837:CB900" si="535">(BU837/33/(1-CA837)/(1-0)+BS837*(1+0.5*0.1)*0.9)</f>
        <v>84.011205387205393</v>
      </c>
      <c r="CC837" s="5">
        <f t="shared" ref="CC837:CC900" si="536">(BU837/33/(1-CA837)/(1-0)+BS837*(1+0.5*0.1)*0.9)*0.1</f>
        <v>8.401120538720539</v>
      </c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R837" s="3" t="b">
        <f t="shared" si="510"/>
        <v>1</v>
      </c>
      <c r="CS837" s="3" t="b">
        <f t="shared" si="511"/>
        <v>1</v>
      </c>
      <c r="CT837" s="3" t="b">
        <f t="shared" si="512"/>
        <v>1</v>
      </c>
      <c r="CU837" s="3" t="b">
        <f t="shared" si="513"/>
        <v>1</v>
      </c>
      <c r="CV837" s="3" t="b">
        <f t="shared" si="514"/>
        <v>1</v>
      </c>
      <c r="CW837" s="3" t="b">
        <f t="shared" si="515"/>
        <v>1</v>
      </c>
      <c r="CX837" s="9" t="str">
        <f t="shared" si="516"/>
        <v>5201132</v>
      </c>
      <c r="CY837" s="9" t="str">
        <f t="shared" si="517"/>
        <v>5201132</v>
      </c>
      <c r="CZ837" s="9" t="str">
        <f t="shared" si="518"/>
        <v>5201132</v>
      </c>
      <c r="DA837" s="9" t="str">
        <f t="shared" si="519"/>
        <v>5502132</v>
      </c>
      <c r="DB837" s="9" t="str">
        <f t="shared" si="520"/>
        <v>5502132</v>
      </c>
      <c r="DC837" s="9" t="str">
        <f t="shared" si="521"/>
        <v>5502132</v>
      </c>
      <c r="DD837" s="9">
        <v>13</v>
      </c>
      <c r="DE837" s="9">
        <v>13</v>
      </c>
      <c r="DF837" s="9">
        <v>13</v>
      </c>
      <c r="DG837" s="9">
        <v>13</v>
      </c>
      <c r="DH837" s="9">
        <v>13</v>
      </c>
      <c r="DI837" s="9">
        <v>13</v>
      </c>
      <c r="DJ837" s="9">
        <v>5</v>
      </c>
      <c r="DK837" s="9">
        <v>5</v>
      </c>
      <c r="DL837" s="9">
        <v>5</v>
      </c>
      <c r="DM837" s="9">
        <v>5</v>
      </c>
      <c r="DN837" s="9">
        <v>5</v>
      </c>
      <c r="DO837" s="9">
        <v>5</v>
      </c>
      <c r="DP837" s="25" t="s">
        <v>114</v>
      </c>
      <c r="DQ837" s="25" t="s">
        <v>114</v>
      </c>
      <c r="DR837" s="25" t="s">
        <v>114</v>
      </c>
      <c r="DS837" s="25" t="s">
        <v>204</v>
      </c>
      <c r="DT837" s="25" t="s">
        <v>204</v>
      </c>
      <c r="DU837" s="25" t="s">
        <v>204</v>
      </c>
      <c r="DV837" s="25">
        <f t="shared" si="522"/>
        <v>1</v>
      </c>
      <c r="DW837" s="25">
        <f t="shared" si="523"/>
        <v>1</v>
      </c>
      <c r="DX837" s="25">
        <f t="shared" si="524"/>
        <v>1</v>
      </c>
      <c r="DY837" s="25">
        <f t="shared" si="525"/>
        <v>2</v>
      </c>
      <c r="DZ837" s="25">
        <f t="shared" si="526"/>
        <v>2</v>
      </c>
      <c r="EA837" s="25">
        <f t="shared" si="527"/>
        <v>2</v>
      </c>
      <c r="EB837" s="50"/>
    </row>
    <row r="838" spans="29:132" ht="13.5" customHeight="1">
      <c r="AC838" s="9" t="str">
        <f t="shared" si="528"/>
        <v/>
      </c>
      <c r="AD838" s="9" t="str">
        <f t="shared" si="529"/>
        <v/>
      </c>
      <c r="AE838" s="9" t="str">
        <f t="shared" si="530"/>
        <v/>
      </c>
      <c r="AF838" s="9" t="str">
        <f t="shared" si="531"/>
        <v/>
      </c>
      <c r="AG838" s="9" t="str">
        <f t="shared" si="532"/>
        <v/>
      </c>
      <c r="AH838" s="9" t="str">
        <f t="shared" si="533"/>
        <v/>
      </c>
      <c r="BR838" s="5">
        <v>5405075</v>
      </c>
      <c r="BS838" s="18">
        <f>[1]monsters!$N838</f>
        <v>86.4</v>
      </c>
      <c r="BT838" s="18">
        <f>[1]monsters!$O838</f>
        <v>8.64</v>
      </c>
      <c r="BU838" s="18">
        <f>[1]monsters!$P838</f>
        <v>213.334</v>
      </c>
      <c r="BV838" s="18">
        <f>[1]monsters!$Q838</f>
        <v>106.67</v>
      </c>
      <c r="BW838" s="18">
        <f>[1]monsters!$R838</f>
        <v>17.28</v>
      </c>
      <c r="BX838" s="18">
        <f>[1]monsters!$S838</f>
        <v>1.73</v>
      </c>
      <c r="BY838" s="18">
        <f>[1]monsters!$K838</f>
        <v>1.8</v>
      </c>
      <c r="BZ838" s="5">
        <f>[1]monsters!$D838</f>
        <v>2</v>
      </c>
      <c r="CA838" s="5">
        <f t="shared" si="534"/>
        <v>0.1</v>
      </c>
      <c r="CB838" s="5">
        <f t="shared" si="535"/>
        <v>88.830962962962971</v>
      </c>
      <c r="CC838" s="5">
        <f t="shared" si="536"/>
        <v>8.8830962962962978</v>
      </c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R838" s="3" t="b">
        <f t="shared" si="510"/>
        <v>1</v>
      </c>
      <c r="CS838" s="3" t="b">
        <f t="shared" si="511"/>
        <v>1</v>
      </c>
      <c r="CT838" s="3" t="b">
        <f t="shared" si="512"/>
        <v>1</v>
      </c>
      <c r="CU838" s="3" t="b">
        <f t="shared" si="513"/>
        <v>1</v>
      </c>
      <c r="CV838" s="3" t="b">
        <f t="shared" si="514"/>
        <v>1</v>
      </c>
      <c r="CW838" s="3" t="b">
        <f t="shared" si="515"/>
        <v>1</v>
      </c>
      <c r="CX838" s="9" t="str">
        <f t="shared" si="516"/>
        <v>5202133</v>
      </c>
      <c r="CY838" s="9" t="str">
        <f t="shared" si="517"/>
        <v>5201133</v>
      </c>
      <c r="CZ838" s="9" t="str">
        <f t="shared" si="518"/>
        <v>5302134</v>
      </c>
      <c r="DA838" s="9" t="str">
        <f t="shared" si="519"/>
        <v>5501134</v>
      </c>
      <c r="DB838" s="9" t="str">
        <f t="shared" si="520"/>
        <v>5400135</v>
      </c>
      <c r="DC838" s="9" t="str">
        <f t="shared" si="521"/>
        <v>5500132</v>
      </c>
      <c r="DD838" s="9">
        <v>13</v>
      </c>
      <c r="DE838" s="9">
        <v>13</v>
      </c>
      <c r="DF838" s="9">
        <v>13</v>
      </c>
      <c r="DG838" s="9">
        <v>13</v>
      </c>
      <c r="DH838" s="9">
        <v>13</v>
      </c>
      <c r="DI838" s="9">
        <v>13</v>
      </c>
      <c r="DJ838" s="9">
        <v>5</v>
      </c>
      <c r="DK838" s="9">
        <v>5</v>
      </c>
      <c r="DL838" s="9">
        <v>5</v>
      </c>
      <c r="DM838" s="9">
        <v>5</v>
      </c>
      <c r="DN838" s="9">
        <v>5</v>
      </c>
      <c r="DO838" s="9">
        <v>5</v>
      </c>
      <c r="DP838" s="25" t="s">
        <v>208</v>
      </c>
      <c r="DQ838" s="25" t="s">
        <v>205</v>
      </c>
      <c r="DR838" s="25" t="s">
        <v>218</v>
      </c>
      <c r="DS838" s="25" t="s">
        <v>214</v>
      </c>
      <c r="DT838" s="25" t="s">
        <v>210</v>
      </c>
      <c r="DU838" s="25" t="s">
        <v>109</v>
      </c>
      <c r="DV838" s="25">
        <f t="shared" si="522"/>
        <v>1</v>
      </c>
      <c r="DW838" s="25">
        <f t="shared" si="523"/>
        <v>1</v>
      </c>
      <c r="DX838" s="25">
        <f t="shared" si="524"/>
        <v>1</v>
      </c>
      <c r="DY838" s="25">
        <f t="shared" si="525"/>
        <v>2</v>
      </c>
      <c r="DZ838" s="25">
        <f t="shared" si="526"/>
        <v>2</v>
      </c>
      <c r="EA838" s="25">
        <f t="shared" si="527"/>
        <v>2</v>
      </c>
      <c r="EB838" s="51"/>
    </row>
    <row r="839" spans="29:132" ht="13.5" customHeight="1">
      <c r="AC839" s="9" t="str">
        <f t="shared" si="528"/>
        <v/>
      </c>
      <c r="AD839" s="9" t="str">
        <f t="shared" si="529"/>
        <v/>
      </c>
      <c r="AE839" s="9" t="str">
        <f t="shared" si="530"/>
        <v/>
      </c>
      <c r="AF839" s="9" t="str">
        <f t="shared" si="531"/>
        <v/>
      </c>
      <c r="AG839" s="9" t="str">
        <f t="shared" si="532"/>
        <v/>
      </c>
      <c r="AH839" s="9" t="str">
        <f t="shared" si="533"/>
        <v/>
      </c>
      <c r="BR839" s="5">
        <v>5203075</v>
      </c>
      <c r="BS839" s="18">
        <f>[1]monsters!$N839</f>
        <v>100</v>
      </c>
      <c r="BT839" s="18">
        <f>[1]monsters!$O839</f>
        <v>10</v>
      </c>
      <c r="BU839" s="18">
        <f>[1]monsters!$P839</f>
        <v>153.6</v>
      </c>
      <c r="BV839" s="18">
        <f>[1]monsters!$Q839</f>
        <v>76.8</v>
      </c>
      <c r="BW839" s="18">
        <f>[1]monsters!$R839</f>
        <v>10</v>
      </c>
      <c r="BX839" s="18">
        <f>[1]monsters!$S839</f>
        <v>1</v>
      </c>
      <c r="BY839" s="18">
        <f>[1]monsters!$K839</f>
        <v>1.5</v>
      </c>
      <c r="BZ839" s="5">
        <f>[1]monsters!$D839</f>
        <v>4</v>
      </c>
      <c r="CA839" s="5">
        <f t="shared" si="534"/>
        <v>0.1</v>
      </c>
      <c r="CB839" s="5">
        <f t="shared" si="535"/>
        <v>99.671717171717177</v>
      </c>
      <c r="CC839" s="5">
        <f t="shared" si="536"/>
        <v>9.967171717171718</v>
      </c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R839" s="3" t="b">
        <f t="shared" si="510"/>
        <v>1</v>
      </c>
      <c r="CS839" s="3" t="b">
        <f t="shared" si="511"/>
        <v>1</v>
      </c>
      <c r="CT839" s="3" t="b">
        <f t="shared" si="512"/>
        <v>1</v>
      </c>
      <c r="CU839" s="3" t="b">
        <f t="shared" si="513"/>
        <v>1</v>
      </c>
      <c r="CV839" s="3" t="b">
        <f t="shared" si="514"/>
        <v>1</v>
      </c>
      <c r="CW839" s="3" t="b">
        <f t="shared" si="515"/>
        <v>1</v>
      </c>
      <c r="CX839" s="9" t="str">
        <f t="shared" si="516"/>
        <v>5201133</v>
      </c>
      <c r="CY839" s="9" t="str">
        <f t="shared" si="517"/>
        <v>5202135</v>
      </c>
      <c r="CZ839" s="9" t="str">
        <f t="shared" si="518"/>
        <v>5200131</v>
      </c>
      <c r="DA839" s="9" t="str">
        <f t="shared" si="519"/>
        <v>5501134</v>
      </c>
      <c r="DB839" s="9" t="str">
        <f t="shared" si="520"/>
        <v>5402132</v>
      </c>
      <c r="DC839" s="9" t="str">
        <f t="shared" si="521"/>
        <v>5501135</v>
      </c>
      <c r="DD839" s="9">
        <v>13</v>
      </c>
      <c r="DE839" s="9">
        <v>13</v>
      </c>
      <c r="DF839" s="9">
        <v>13</v>
      </c>
      <c r="DG839" s="9">
        <v>13</v>
      </c>
      <c r="DH839" s="9">
        <v>13</v>
      </c>
      <c r="DI839" s="9">
        <v>13</v>
      </c>
      <c r="DJ839" s="9">
        <v>5</v>
      </c>
      <c r="DK839" s="9">
        <v>5</v>
      </c>
      <c r="DL839" s="9">
        <v>5</v>
      </c>
      <c r="DM839" s="9">
        <v>5</v>
      </c>
      <c r="DN839" s="9">
        <v>5</v>
      </c>
      <c r="DO839" s="9">
        <v>5</v>
      </c>
      <c r="DP839" s="25" t="s">
        <v>205</v>
      </c>
      <c r="DQ839" s="25" t="s">
        <v>213</v>
      </c>
      <c r="DR839" s="25" t="s">
        <v>194</v>
      </c>
      <c r="DS839" s="25" t="s">
        <v>214</v>
      </c>
      <c r="DT839" s="25" t="s">
        <v>203</v>
      </c>
      <c r="DU839" s="25" t="s">
        <v>209</v>
      </c>
      <c r="DV839" s="25">
        <f t="shared" si="522"/>
        <v>1</v>
      </c>
      <c r="DW839" s="25">
        <f t="shared" si="523"/>
        <v>1</v>
      </c>
      <c r="DX839" s="25">
        <f t="shared" si="524"/>
        <v>1</v>
      </c>
      <c r="DY839" s="25">
        <f t="shared" si="525"/>
        <v>2</v>
      </c>
      <c r="DZ839" s="25">
        <f t="shared" si="526"/>
        <v>2</v>
      </c>
      <c r="EA839" s="25">
        <f t="shared" si="527"/>
        <v>2</v>
      </c>
      <c r="EB839" s="50"/>
    </row>
    <row r="840" spans="29:132" ht="13.5" customHeight="1">
      <c r="AC840" s="9" t="str">
        <f t="shared" si="528"/>
        <v/>
      </c>
      <c r="AD840" s="9" t="str">
        <f t="shared" si="529"/>
        <v/>
      </c>
      <c r="AE840" s="9" t="str">
        <f t="shared" si="530"/>
        <v/>
      </c>
      <c r="AF840" s="9" t="str">
        <f t="shared" si="531"/>
        <v/>
      </c>
      <c r="AG840" s="9" t="str">
        <f t="shared" si="532"/>
        <v/>
      </c>
      <c r="AH840" s="9" t="str">
        <f t="shared" si="533"/>
        <v/>
      </c>
      <c r="BR840" s="5">
        <v>5403075</v>
      </c>
      <c r="BS840" s="18">
        <f>[1]monsters!$N840</f>
        <v>76.27</v>
      </c>
      <c r="BT840" s="18">
        <f>[1]monsters!$O840</f>
        <v>7.63</v>
      </c>
      <c r="BU840" s="18">
        <f>[1]monsters!$P840</f>
        <v>174.54599999999999</v>
      </c>
      <c r="BV840" s="18">
        <f>[1]monsters!$Q840</f>
        <v>87.27</v>
      </c>
      <c r="BW840" s="18">
        <f>[1]monsters!$R840</f>
        <v>9.5299999999999994</v>
      </c>
      <c r="BX840" s="18">
        <f>[1]monsters!$S840</f>
        <v>0.95</v>
      </c>
      <c r="BY840" s="18">
        <f>[1]monsters!$K840</f>
        <v>1.3</v>
      </c>
      <c r="BZ840" s="5">
        <f>[1]monsters!$D840</f>
        <v>3</v>
      </c>
      <c r="CA840" s="5">
        <f t="shared" si="534"/>
        <v>0.1</v>
      </c>
      <c r="CB840" s="5">
        <f t="shared" si="535"/>
        <v>77.952119696969703</v>
      </c>
      <c r="CC840" s="5">
        <f t="shared" si="536"/>
        <v>7.7952119696969708</v>
      </c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R840" s="3" t="b">
        <f t="shared" si="510"/>
        <v>1</v>
      </c>
      <c r="CS840" s="3" t="b">
        <f t="shared" si="511"/>
        <v>1</v>
      </c>
      <c r="CT840" s="3" t="b">
        <f t="shared" si="512"/>
        <v>1</v>
      </c>
      <c r="CU840" s="3" t="b">
        <f t="shared" si="513"/>
        <v>1</v>
      </c>
      <c r="CV840" s="3" t="b">
        <f t="shared" si="514"/>
        <v>1</v>
      </c>
      <c r="CW840" s="3" t="b">
        <f t="shared" si="515"/>
        <v>1</v>
      </c>
      <c r="CX840" s="9" t="str">
        <f t="shared" si="516"/>
        <v>5300135</v>
      </c>
      <c r="CY840" s="9" t="str">
        <f t="shared" si="517"/>
        <v>5202135</v>
      </c>
      <c r="CZ840" s="9" t="str">
        <f t="shared" si="518"/>
        <v>5202133</v>
      </c>
      <c r="DA840" s="9" t="str">
        <f t="shared" si="519"/>
        <v>5401133</v>
      </c>
      <c r="DB840" s="9" t="str">
        <f t="shared" si="520"/>
        <v>5400135</v>
      </c>
      <c r="DC840" s="9" t="str">
        <f t="shared" si="521"/>
        <v>5400135</v>
      </c>
      <c r="DD840" s="9">
        <v>13</v>
      </c>
      <c r="DE840" s="9">
        <v>13</v>
      </c>
      <c r="DF840" s="9">
        <v>13</v>
      </c>
      <c r="DG840" s="9">
        <v>13</v>
      </c>
      <c r="DH840" s="9">
        <v>13</v>
      </c>
      <c r="DI840" s="9">
        <v>13</v>
      </c>
      <c r="DJ840" s="9">
        <v>5</v>
      </c>
      <c r="DK840" s="9">
        <v>5</v>
      </c>
      <c r="DL840" s="9">
        <v>5</v>
      </c>
      <c r="DM840" s="9">
        <v>5</v>
      </c>
      <c r="DN840" s="9">
        <v>5</v>
      </c>
      <c r="DO840" s="9">
        <v>5</v>
      </c>
      <c r="DP840" s="25" t="s">
        <v>212</v>
      </c>
      <c r="DQ840" s="25" t="s">
        <v>213</v>
      </c>
      <c r="DR840" s="25" t="s">
        <v>208</v>
      </c>
      <c r="DS840" s="25" t="s">
        <v>211</v>
      </c>
      <c r="DT840" s="25" t="s">
        <v>210</v>
      </c>
      <c r="DU840" s="25" t="s">
        <v>210</v>
      </c>
      <c r="DV840" s="25">
        <f t="shared" si="522"/>
        <v>1</v>
      </c>
      <c r="DW840" s="25">
        <f t="shared" si="523"/>
        <v>1</v>
      </c>
      <c r="DX840" s="25">
        <f t="shared" si="524"/>
        <v>1</v>
      </c>
      <c r="DY840" s="25">
        <f t="shared" si="525"/>
        <v>2</v>
      </c>
      <c r="DZ840" s="25">
        <f t="shared" si="526"/>
        <v>2</v>
      </c>
      <c r="EA840" s="25">
        <f t="shared" si="527"/>
        <v>2</v>
      </c>
      <c r="EB840" s="50"/>
    </row>
    <row r="841" spans="29:132" ht="13.5" customHeight="1">
      <c r="AC841" s="9" t="str">
        <f t="shared" si="528"/>
        <v/>
      </c>
      <c r="AD841" s="9" t="str">
        <f t="shared" si="529"/>
        <v/>
      </c>
      <c r="AE841" s="9" t="str">
        <f t="shared" si="530"/>
        <v/>
      </c>
      <c r="AF841" s="9" t="str">
        <f t="shared" si="531"/>
        <v/>
      </c>
      <c r="AG841" s="9" t="str">
        <f t="shared" si="532"/>
        <v/>
      </c>
      <c r="AH841" s="9" t="str">
        <f t="shared" si="533"/>
        <v/>
      </c>
      <c r="BR841" s="5">
        <v>5204075</v>
      </c>
      <c r="BS841" s="18">
        <f>[1]monsters!$N841</f>
        <v>105.6</v>
      </c>
      <c r="BT841" s="18">
        <f>[1]monsters!$O841</f>
        <v>10.56</v>
      </c>
      <c r="BU841" s="18">
        <f>[1]monsters!$P841</f>
        <v>174.54599999999999</v>
      </c>
      <c r="BV841" s="18">
        <f>[1]monsters!$Q841</f>
        <v>87.27</v>
      </c>
      <c r="BW841" s="18">
        <f>[1]monsters!$R841</f>
        <v>17.600000000000001</v>
      </c>
      <c r="BX841" s="18">
        <f>[1]monsters!$S841</f>
        <v>1.76</v>
      </c>
      <c r="BY841" s="18">
        <f>[1]monsters!$K841</f>
        <v>1.8</v>
      </c>
      <c r="BZ841" s="5">
        <f>[1]monsters!$D841</f>
        <v>5</v>
      </c>
      <c r="CA841" s="5">
        <f t="shared" si="534"/>
        <v>0.1</v>
      </c>
      <c r="CB841" s="5">
        <f t="shared" si="535"/>
        <v>105.6689696969697</v>
      </c>
      <c r="CC841" s="5">
        <f t="shared" si="536"/>
        <v>10.56689696969697</v>
      </c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R841" s="3" t="b">
        <f t="shared" si="510"/>
        <v>1</v>
      </c>
      <c r="CS841" s="3" t="b">
        <f t="shared" si="511"/>
        <v>1</v>
      </c>
      <c r="CT841" s="3" t="b">
        <f t="shared" si="512"/>
        <v>1</v>
      </c>
      <c r="CU841" s="3" t="b">
        <f t="shared" si="513"/>
        <v>1</v>
      </c>
      <c r="CV841" s="3" t="b">
        <f t="shared" si="514"/>
        <v>1</v>
      </c>
      <c r="CW841" s="3" t="b">
        <f t="shared" si="515"/>
        <v>1</v>
      </c>
      <c r="CX841" s="9" t="str">
        <f t="shared" si="516"/>
        <v>5202132</v>
      </c>
      <c r="CY841" s="9" t="str">
        <f t="shared" si="517"/>
        <v>5202132</v>
      </c>
      <c r="CZ841" s="9" t="str">
        <f t="shared" si="518"/>
        <v>5301132</v>
      </c>
      <c r="DA841" s="9" t="str">
        <f t="shared" si="519"/>
        <v>5502132</v>
      </c>
      <c r="DB841" s="9" t="str">
        <f t="shared" si="520"/>
        <v>5500131</v>
      </c>
      <c r="DC841" s="9" t="str">
        <f t="shared" si="521"/>
        <v>5501135</v>
      </c>
      <c r="DD841" s="9">
        <v>13</v>
      </c>
      <c r="DE841" s="9">
        <v>13</v>
      </c>
      <c r="DF841" s="9">
        <v>13</v>
      </c>
      <c r="DG841" s="9">
        <v>13</v>
      </c>
      <c r="DH841" s="9">
        <v>13</v>
      </c>
      <c r="DI841" s="9">
        <v>13</v>
      </c>
      <c r="DJ841" s="9">
        <v>5</v>
      </c>
      <c r="DK841" s="9">
        <v>5</v>
      </c>
      <c r="DL841" s="9">
        <v>5</v>
      </c>
      <c r="DM841" s="9">
        <v>5</v>
      </c>
      <c r="DN841" s="9">
        <v>5</v>
      </c>
      <c r="DO841" s="9">
        <v>5</v>
      </c>
      <c r="DP841" s="25" t="s">
        <v>200</v>
      </c>
      <c r="DQ841" s="25" t="s">
        <v>200</v>
      </c>
      <c r="DR841" s="25" t="s">
        <v>201</v>
      </c>
      <c r="DS841" s="25" t="s">
        <v>204</v>
      </c>
      <c r="DT841" s="25" t="s">
        <v>197</v>
      </c>
      <c r="DU841" s="25" t="s">
        <v>209</v>
      </c>
      <c r="DV841" s="25">
        <f t="shared" si="522"/>
        <v>1</v>
      </c>
      <c r="DW841" s="25">
        <f t="shared" si="523"/>
        <v>1</v>
      </c>
      <c r="DX841" s="25">
        <f t="shared" si="524"/>
        <v>1</v>
      </c>
      <c r="DY841" s="25">
        <f t="shared" si="525"/>
        <v>2</v>
      </c>
      <c r="DZ841" s="25">
        <f t="shared" si="526"/>
        <v>2</v>
      </c>
      <c r="EA841" s="25">
        <f t="shared" si="527"/>
        <v>2</v>
      </c>
      <c r="EB841" s="50"/>
    </row>
    <row r="842" spans="29:132" ht="13.5" customHeight="1">
      <c r="AC842" s="9" t="str">
        <f t="shared" si="528"/>
        <v/>
      </c>
      <c r="AD842" s="9" t="str">
        <f t="shared" si="529"/>
        <v/>
      </c>
      <c r="AE842" s="9" t="str">
        <f t="shared" si="530"/>
        <v/>
      </c>
      <c r="AF842" s="9" t="str">
        <f t="shared" si="531"/>
        <v/>
      </c>
      <c r="AG842" s="9" t="str">
        <f t="shared" si="532"/>
        <v/>
      </c>
      <c r="AH842" s="9" t="str">
        <f t="shared" si="533"/>
        <v/>
      </c>
      <c r="BR842" s="5">
        <v>5404075</v>
      </c>
      <c r="BS842" s="18">
        <f>[1]monsters!$N842</f>
        <v>76.8</v>
      </c>
      <c r="BT842" s="18">
        <f>[1]monsters!$O842</f>
        <v>7.68</v>
      </c>
      <c r="BU842" s="18">
        <f>[1]monsters!$P842</f>
        <v>213.334</v>
      </c>
      <c r="BV842" s="18">
        <f>[1]monsters!$Q842</f>
        <v>106.67</v>
      </c>
      <c r="BW842" s="18">
        <f>[1]monsters!$R842</f>
        <v>15.36</v>
      </c>
      <c r="BX842" s="18">
        <f>[1]monsters!$S842</f>
        <v>1.54</v>
      </c>
      <c r="BY842" s="18">
        <f>[1]monsters!$K842</f>
        <v>1.6</v>
      </c>
      <c r="BZ842" s="5">
        <f>[1]monsters!$D842</f>
        <v>2</v>
      </c>
      <c r="CA842" s="5">
        <f t="shared" si="534"/>
        <v>0.1</v>
      </c>
      <c r="CB842" s="5">
        <f t="shared" si="535"/>
        <v>79.758962962962968</v>
      </c>
      <c r="CC842" s="5">
        <f t="shared" si="536"/>
        <v>7.9758962962962974</v>
      </c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R842" s="3" t="b">
        <f t="shared" si="510"/>
        <v>1</v>
      </c>
      <c r="CS842" s="3" t="b">
        <f t="shared" si="511"/>
        <v>1</v>
      </c>
      <c r="CT842" s="3" t="b">
        <f t="shared" si="512"/>
        <v>1</v>
      </c>
      <c r="CU842" s="3" t="b">
        <f t="shared" si="513"/>
        <v>1</v>
      </c>
      <c r="CV842" s="3" t="b">
        <f t="shared" si="514"/>
        <v>1</v>
      </c>
      <c r="CW842" s="3" t="b">
        <f t="shared" si="515"/>
        <v>1</v>
      </c>
      <c r="CX842" s="9" t="str">
        <f t="shared" si="516"/>
        <v>5202133</v>
      </c>
      <c r="CY842" s="9" t="str">
        <f t="shared" si="517"/>
        <v>5201133</v>
      </c>
      <c r="CZ842" s="9" t="str">
        <f t="shared" si="518"/>
        <v>5302134</v>
      </c>
      <c r="DA842" s="9" t="str">
        <f t="shared" si="519"/>
        <v>5400135</v>
      </c>
      <c r="DB842" s="9" t="str">
        <f t="shared" si="520"/>
        <v>5601133</v>
      </c>
      <c r="DC842" s="9" t="str">
        <f t="shared" si="521"/>
        <v>5400135</v>
      </c>
      <c r="DD842" s="9">
        <v>13</v>
      </c>
      <c r="DE842" s="9">
        <v>13</v>
      </c>
      <c r="DF842" s="9">
        <v>13</v>
      </c>
      <c r="DG842" s="9">
        <v>13</v>
      </c>
      <c r="DH842" s="9">
        <v>13</v>
      </c>
      <c r="DI842" s="9">
        <v>13</v>
      </c>
      <c r="DJ842" s="9">
        <v>5</v>
      </c>
      <c r="DK842" s="9">
        <v>5</v>
      </c>
      <c r="DL842" s="9">
        <v>5</v>
      </c>
      <c r="DM842" s="9">
        <v>5</v>
      </c>
      <c r="DN842" s="9">
        <v>5</v>
      </c>
      <c r="DO842" s="9">
        <v>5</v>
      </c>
      <c r="DP842" s="25" t="s">
        <v>208</v>
      </c>
      <c r="DQ842" s="25" t="s">
        <v>205</v>
      </c>
      <c r="DR842" s="25" t="s">
        <v>218</v>
      </c>
      <c r="DS842" s="25" t="s">
        <v>210</v>
      </c>
      <c r="DT842" s="25" t="s">
        <v>216</v>
      </c>
      <c r="DU842" s="25" t="s">
        <v>210</v>
      </c>
      <c r="DV842" s="25">
        <f t="shared" si="522"/>
        <v>1</v>
      </c>
      <c r="DW842" s="25">
        <f t="shared" si="523"/>
        <v>1</v>
      </c>
      <c r="DX842" s="25">
        <f t="shared" si="524"/>
        <v>1</v>
      </c>
      <c r="DY842" s="25">
        <f t="shared" si="525"/>
        <v>2</v>
      </c>
      <c r="DZ842" s="25">
        <f t="shared" si="526"/>
        <v>2</v>
      </c>
      <c r="EA842" s="25">
        <f t="shared" si="527"/>
        <v>2</v>
      </c>
      <c r="EB842" s="51"/>
    </row>
    <row r="843" spans="29:132" ht="13.5" customHeight="1">
      <c r="AC843" s="9" t="str">
        <f t="shared" si="528"/>
        <v/>
      </c>
      <c r="AD843" s="9" t="str">
        <f t="shared" si="529"/>
        <v/>
      </c>
      <c r="AE843" s="9" t="str">
        <f t="shared" si="530"/>
        <v/>
      </c>
      <c r="AF843" s="9" t="str">
        <f t="shared" si="531"/>
        <v/>
      </c>
      <c r="AG843" s="9" t="str">
        <f t="shared" si="532"/>
        <v/>
      </c>
      <c r="AH843" s="9" t="str">
        <f t="shared" si="533"/>
        <v/>
      </c>
      <c r="BR843" s="5">
        <v>5303075</v>
      </c>
      <c r="BS843" s="18">
        <f>[1]monsters!$N843</f>
        <v>97.07</v>
      </c>
      <c r="BT843" s="18">
        <f>[1]monsters!$O843</f>
        <v>9.7100000000000009</v>
      </c>
      <c r="BU843" s="18">
        <f>[1]monsters!$P843</f>
        <v>147.69200000000001</v>
      </c>
      <c r="BV843" s="18">
        <f>[1]monsters!$Q843</f>
        <v>73.849999999999994</v>
      </c>
      <c r="BW843" s="18">
        <f>[1]monsters!$R843</f>
        <v>9.7100000000000009</v>
      </c>
      <c r="BX843" s="18">
        <f>[1]monsters!$S843</f>
        <v>0.97</v>
      </c>
      <c r="BY843" s="18">
        <f>[1]monsters!$K843</f>
        <v>1.4</v>
      </c>
      <c r="BZ843" s="5">
        <f>[1]monsters!$D843</f>
        <v>4</v>
      </c>
      <c r="CA843" s="5">
        <f t="shared" si="534"/>
        <v>0.1</v>
      </c>
      <c r="CB843" s="5">
        <f t="shared" si="535"/>
        <v>96.703944612794615</v>
      </c>
      <c r="CC843" s="5">
        <f t="shared" si="536"/>
        <v>9.6703944612794626</v>
      </c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R843" s="3" t="b">
        <f t="shared" si="510"/>
        <v>1</v>
      </c>
      <c r="CS843" s="3" t="b">
        <f t="shared" si="511"/>
        <v>1</v>
      </c>
      <c r="CT843" s="3" t="b">
        <f t="shared" si="512"/>
        <v>1</v>
      </c>
      <c r="CU843" s="3" t="b">
        <f t="shared" si="513"/>
        <v>1</v>
      </c>
      <c r="CV843" s="3" t="b">
        <f t="shared" si="514"/>
        <v>1</v>
      </c>
      <c r="CW843" s="3" t="b">
        <f t="shared" si="515"/>
        <v>1</v>
      </c>
      <c r="CX843" s="9" t="str">
        <f t="shared" si="516"/>
        <v>5301131</v>
      </c>
      <c r="CY843" s="9" t="str">
        <f t="shared" si="517"/>
        <v>5301132</v>
      </c>
      <c r="CZ843" s="9" t="str">
        <f t="shared" si="518"/>
        <v>5301133</v>
      </c>
      <c r="DA843" s="9" t="str">
        <f t="shared" si="519"/>
        <v>5500131</v>
      </c>
      <c r="DB843" s="9" t="str">
        <f t="shared" si="520"/>
        <v>5500132</v>
      </c>
      <c r="DC843" s="9" t="str">
        <f t="shared" si="521"/>
        <v>5500133</v>
      </c>
      <c r="DD843" s="9">
        <v>13</v>
      </c>
      <c r="DE843" s="9">
        <v>13</v>
      </c>
      <c r="DF843" s="9">
        <v>13</v>
      </c>
      <c r="DG843" s="9">
        <v>13</v>
      </c>
      <c r="DH843" s="9">
        <v>13</v>
      </c>
      <c r="DI843" s="9">
        <v>13</v>
      </c>
      <c r="DJ843" s="9">
        <v>5</v>
      </c>
      <c r="DK843" s="9">
        <v>5</v>
      </c>
      <c r="DL843" s="9">
        <v>5</v>
      </c>
      <c r="DM843" s="9">
        <v>5</v>
      </c>
      <c r="DN843" s="9">
        <v>5</v>
      </c>
      <c r="DO843" s="9">
        <v>5</v>
      </c>
      <c r="DP843" s="3" t="s">
        <v>107</v>
      </c>
      <c r="DQ843" s="3" t="s">
        <v>201</v>
      </c>
      <c r="DR843" s="3" t="s">
        <v>206</v>
      </c>
      <c r="DS843" s="3" t="s">
        <v>197</v>
      </c>
      <c r="DT843" s="3" t="s">
        <v>109</v>
      </c>
      <c r="DU843" s="3" t="s">
        <v>207</v>
      </c>
      <c r="DV843" s="25">
        <f t="shared" si="522"/>
        <v>1</v>
      </c>
      <c r="DW843" s="25">
        <f t="shared" si="523"/>
        <v>1</v>
      </c>
      <c r="DX843" s="25">
        <f t="shared" si="524"/>
        <v>1</v>
      </c>
      <c r="DY843" s="25">
        <f t="shared" si="525"/>
        <v>2</v>
      </c>
      <c r="DZ843" s="25">
        <f t="shared" si="526"/>
        <v>2</v>
      </c>
      <c r="EA843" s="25">
        <f t="shared" si="527"/>
        <v>2</v>
      </c>
      <c r="EB843" s="50"/>
    </row>
    <row r="844" spans="29:132" ht="13.5" customHeight="1">
      <c r="AC844" s="9" t="str">
        <f t="shared" si="528"/>
        <v/>
      </c>
      <c r="AD844" s="9" t="str">
        <f t="shared" si="529"/>
        <v/>
      </c>
      <c r="AE844" s="9" t="str">
        <f t="shared" si="530"/>
        <v/>
      </c>
      <c r="AF844" s="9" t="str">
        <f t="shared" si="531"/>
        <v/>
      </c>
      <c r="AG844" s="9" t="str">
        <f t="shared" si="532"/>
        <v/>
      </c>
      <c r="AH844" s="9" t="str">
        <f t="shared" si="533"/>
        <v/>
      </c>
      <c r="BR844" s="5">
        <v>5304075</v>
      </c>
      <c r="BS844" s="18">
        <f>[1]monsters!$N844</f>
        <v>67.2</v>
      </c>
      <c r="BT844" s="18">
        <f>[1]monsters!$O844</f>
        <v>6.72</v>
      </c>
      <c r="BU844" s="18">
        <f>[1]monsters!$P844</f>
        <v>213.334</v>
      </c>
      <c r="BV844" s="18">
        <f>[1]monsters!$Q844</f>
        <v>106.67</v>
      </c>
      <c r="BW844" s="18">
        <f>[1]monsters!$R844</f>
        <v>13.44</v>
      </c>
      <c r="BX844" s="18">
        <f>[1]monsters!$S844</f>
        <v>1.34</v>
      </c>
      <c r="BY844" s="18">
        <f>[1]monsters!$K844</f>
        <v>1.4</v>
      </c>
      <c r="BZ844" s="5">
        <f>[1]monsters!$D844</f>
        <v>2</v>
      </c>
      <c r="CA844" s="5">
        <f t="shared" si="534"/>
        <v>0.1</v>
      </c>
      <c r="CB844" s="5">
        <f t="shared" si="535"/>
        <v>70.686962962962966</v>
      </c>
      <c r="CC844" s="5">
        <f t="shared" si="536"/>
        <v>7.0686962962962969</v>
      </c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R844" s="3" t="b">
        <f t="shared" si="510"/>
        <v>1</v>
      </c>
      <c r="CS844" s="3" t="b">
        <f t="shared" si="511"/>
        <v>1</v>
      </c>
      <c r="CT844" s="3" t="b">
        <f t="shared" si="512"/>
        <v>1</v>
      </c>
      <c r="CU844" s="3" t="b">
        <f t="shared" si="513"/>
        <v>1</v>
      </c>
      <c r="CV844" s="3" t="b">
        <f t="shared" si="514"/>
        <v>1</v>
      </c>
      <c r="CW844" s="3" t="b">
        <f t="shared" si="515"/>
        <v>1</v>
      </c>
      <c r="CX844" s="9" t="str">
        <f t="shared" si="516"/>
        <v>5200132</v>
      </c>
      <c r="CY844" s="9" t="str">
        <f t="shared" si="517"/>
        <v>5200133</v>
      </c>
      <c r="CZ844" s="9" t="str">
        <f t="shared" si="518"/>
        <v>5200132</v>
      </c>
      <c r="DA844" s="9" t="str">
        <f t="shared" si="519"/>
        <v>5501135</v>
      </c>
      <c r="DB844" s="9" t="str">
        <f t="shared" si="520"/>
        <v>5401131</v>
      </c>
      <c r="DC844" s="9" t="str">
        <f t="shared" si="521"/>
        <v>5502131</v>
      </c>
      <c r="DD844" s="9">
        <v>13</v>
      </c>
      <c r="DE844" s="9">
        <v>13</v>
      </c>
      <c r="DF844" s="9">
        <v>13</v>
      </c>
      <c r="DG844" s="9">
        <v>13</v>
      </c>
      <c r="DH844" s="9">
        <v>13</v>
      </c>
      <c r="DI844" s="9">
        <v>13</v>
      </c>
      <c r="DJ844" s="9">
        <v>5</v>
      </c>
      <c r="DK844" s="9">
        <v>5</v>
      </c>
      <c r="DL844" s="9">
        <v>5</v>
      </c>
      <c r="DM844" s="9">
        <v>5</v>
      </c>
      <c r="DN844" s="9">
        <v>5</v>
      </c>
      <c r="DO844" s="9">
        <v>5</v>
      </c>
      <c r="DP844" s="3" t="s">
        <v>199</v>
      </c>
      <c r="DQ844" s="3" t="s">
        <v>113</v>
      </c>
      <c r="DR844" s="3" t="s">
        <v>199</v>
      </c>
      <c r="DS844" s="25" t="s">
        <v>209</v>
      </c>
      <c r="DT844" s="25" t="s">
        <v>117</v>
      </c>
      <c r="DU844" s="25" t="s">
        <v>119</v>
      </c>
      <c r="DV844" s="25">
        <f t="shared" si="522"/>
        <v>1</v>
      </c>
      <c r="DW844" s="25">
        <f t="shared" si="523"/>
        <v>1</v>
      </c>
      <c r="DX844" s="25">
        <f t="shared" si="524"/>
        <v>1</v>
      </c>
      <c r="DY844" s="25">
        <f t="shared" si="525"/>
        <v>2</v>
      </c>
      <c r="DZ844" s="25">
        <f t="shared" si="526"/>
        <v>2</v>
      </c>
      <c r="EA844" s="25">
        <f t="shared" si="527"/>
        <v>2</v>
      </c>
      <c r="EB844" s="50"/>
    </row>
    <row r="845" spans="29:132" ht="13.5" customHeight="1">
      <c r="AC845" s="9" t="str">
        <f t="shared" si="528"/>
        <v/>
      </c>
      <c r="AD845" s="9" t="str">
        <f t="shared" si="529"/>
        <v/>
      </c>
      <c r="AE845" s="9" t="str">
        <f t="shared" si="530"/>
        <v/>
      </c>
      <c r="AF845" s="9" t="str">
        <f t="shared" si="531"/>
        <v/>
      </c>
      <c r="AG845" s="9" t="str">
        <f t="shared" si="532"/>
        <v/>
      </c>
      <c r="AH845" s="9" t="str">
        <f t="shared" si="533"/>
        <v/>
      </c>
      <c r="BR845" s="5">
        <v>5503075</v>
      </c>
      <c r="BS845" s="18">
        <f>[1]monsters!$N845</f>
        <v>110.93</v>
      </c>
      <c r="BT845" s="18">
        <f>[1]monsters!$O845</f>
        <v>11.09</v>
      </c>
      <c r="BU845" s="18">
        <f>[1]monsters!$P845</f>
        <v>147.69200000000001</v>
      </c>
      <c r="BV845" s="18">
        <f>[1]monsters!$Q845</f>
        <v>73.849999999999994</v>
      </c>
      <c r="BW845" s="18">
        <f>[1]monsters!$R845</f>
        <v>11.09</v>
      </c>
      <c r="BX845" s="18">
        <f>[1]monsters!$S845</f>
        <v>1.1100000000000001</v>
      </c>
      <c r="BY845" s="18">
        <f>[1]monsters!$K845</f>
        <v>1.6</v>
      </c>
      <c r="BZ845" s="5">
        <f>[1]monsters!$D845</f>
        <v>4</v>
      </c>
      <c r="CA845" s="5">
        <f t="shared" si="534"/>
        <v>0.1</v>
      </c>
      <c r="CB845" s="5">
        <f t="shared" si="535"/>
        <v>109.80164461279463</v>
      </c>
      <c r="CC845" s="5">
        <f t="shared" si="536"/>
        <v>10.980164461279465</v>
      </c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R845" s="3" t="b">
        <f t="shared" si="510"/>
        <v>1</v>
      </c>
      <c r="CS845" s="3" t="b">
        <f t="shared" si="511"/>
        <v>1</v>
      </c>
      <c r="CT845" s="3" t="b">
        <f t="shared" si="512"/>
        <v>1</v>
      </c>
      <c r="CU845" s="3" t="b">
        <f t="shared" si="513"/>
        <v>1</v>
      </c>
      <c r="CV845" s="3" t="b">
        <f t="shared" si="514"/>
        <v>1</v>
      </c>
      <c r="CW845" s="3" t="b">
        <f t="shared" si="515"/>
        <v>1</v>
      </c>
      <c r="CX845" s="9" t="str">
        <f t="shared" si="516"/>
        <v>5201131</v>
      </c>
      <c r="CY845" s="9" t="str">
        <f t="shared" si="517"/>
        <v>5201132</v>
      </c>
      <c r="CZ845" s="9" t="str">
        <f t="shared" si="518"/>
        <v>5202131</v>
      </c>
      <c r="DA845" s="9" t="str">
        <f t="shared" si="519"/>
        <v>5401131</v>
      </c>
      <c r="DB845" s="9" t="str">
        <f t="shared" si="520"/>
        <v>5501135</v>
      </c>
      <c r="DC845" s="9" t="str">
        <f t="shared" si="521"/>
        <v>5401132</v>
      </c>
      <c r="DD845" s="9">
        <v>13</v>
      </c>
      <c r="DE845" s="9">
        <v>13</v>
      </c>
      <c r="DF845" s="9">
        <v>13</v>
      </c>
      <c r="DG845" s="9">
        <v>13</v>
      </c>
      <c r="DH845" s="9">
        <v>13</v>
      </c>
      <c r="DI845" s="9">
        <v>13</v>
      </c>
      <c r="DJ845" s="9">
        <v>5</v>
      </c>
      <c r="DK845" s="9">
        <v>5</v>
      </c>
      <c r="DL845" s="9">
        <v>5</v>
      </c>
      <c r="DM845" s="9">
        <v>5</v>
      </c>
      <c r="DN845" s="9">
        <v>5</v>
      </c>
      <c r="DO845" s="9">
        <v>5</v>
      </c>
      <c r="DP845" s="3" t="s">
        <v>195</v>
      </c>
      <c r="DQ845" s="3" t="s">
        <v>114</v>
      </c>
      <c r="DR845" s="3" t="s">
        <v>111</v>
      </c>
      <c r="DS845" s="3" t="s">
        <v>117</v>
      </c>
      <c r="DT845" s="3" t="s">
        <v>209</v>
      </c>
      <c r="DU845" s="3" t="s">
        <v>202</v>
      </c>
      <c r="DV845" s="25">
        <f t="shared" si="522"/>
        <v>1</v>
      </c>
      <c r="DW845" s="25">
        <f t="shared" si="523"/>
        <v>1</v>
      </c>
      <c r="DX845" s="25">
        <f t="shared" si="524"/>
        <v>1</v>
      </c>
      <c r="DY845" s="25">
        <f t="shared" si="525"/>
        <v>2</v>
      </c>
      <c r="DZ845" s="25">
        <f t="shared" si="526"/>
        <v>2</v>
      </c>
      <c r="EA845" s="25">
        <f t="shared" si="527"/>
        <v>2</v>
      </c>
      <c r="EB845" s="51"/>
    </row>
    <row r="846" spans="29:132" ht="13.5" customHeight="1">
      <c r="AC846" s="9" t="str">
        <f t="shared" si="528"/>
        <v/>
      </c>
      <c r="AD846" s="9" t="str">
        <f t="shared" si="529"/>
        <v/>
      </c>
      <c r="AE846" s="9" t="str">
        <f t="shared" si="530"/>
        <v/>
      </c>
      <c r="AF846" s="9" t="str">
        <f t="shared" si="531"/>
        <v/>
      </c>
      <c r="AG846" s="9" t="str">
        <f t="shared" si="532"/>
        <v/>
      </c>
      <c r="AH846" s="9" t="str">
        <f t="shared" si="533"/>
        <v/>
      </c>
      <c r="BR846" s="5">
        <v>5504075</v>
      </c>
      <c r="BS846" s="18">
        <f>[1]monsters!$N846</f>
        <v>102.4</v>
      </c>
      <c r="BT846" s="18">
        <f>[1]monsters!$O846</f>
        <v>10.24</v>
      </c>
      <c r="BU846" s="18">
        <f>[1]monsters!$P846</f>
        <v>160</v>
      </c>
      <c r="BV846" s="18">
        <f>[1]monsters!$Q846</f>
        <v>80</v>
      </c>
      <c r="BW846" s="18">
        <f>[1]monsters!$R846</f>
        <v>17.07</v>
      </c>
      <c r="BX846" s="18">
        <f>[1]monsters!$S846</f>
        <v>1.71</v>
      </c>
      <c r="BY846" s="18">
        <f>[1]monsters!$K846</f>
        <v>1.6</v>
      </c>
      <c r="BZ846" s="5">
        <f>[1]monsters!$D846</f>
        <v>5</v>
      </c>
      <c r="CA846" s="5">
        <f t="shared" si="534"/>
        <v>0.1</v>
      </c>
      <c r="CB846" s="5">
        <f t="shared" si="535"/>
        <v>102.1552053872054</v>
      </c>
      <c r="CC846" s="5">
        <f t="shared" si="536"/>
        <v>10.21552053872054</v>
      </c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R846" s="3" t="b">
        <f t="shared" si="510"/>
        <v>1</v>
      </c>
      <c r="CS846" s="3" t="b">
        <f t="shared" si="511"/>
        <v>1</v>
      </c>
      <c r="CT846" s="3" t="b">
        <f t="shared" si="512"/>
        <v>1</v>
      </c>
      <c r="CU846" s="3" t="b">
        <f t="shared" si="513"/>
        <v>1</v>
      </c>
      <c r="CV846" s="3" t="b">
        <f t="shared" si="514"/>
        <v>1</v>
      </c>
      <c r="CW846" s="3" t="b">
        <f t="shared" si="515"/>
        <v>1</v>
      </c>
      <c r="CX846" s="9" t="str">
        <f t="shared" si="516"/>
        <v>5302135</v>
      </c>
      <c r="CY846" s="9" t="str">
        <f t="shared" si="517"/>
        <v>5202135</v>
      </c>
      <c r="CZ846" s="9" t="str">
        <f t="shared" si="518"/>
        <v>5202135</v>
      </c>
      <c r="DA846" s="9" t="str">
        <f t="shared" si="519"/>
        <v>5501134</v>
      </c>
      <c r="DB846" s="9" t="str">
        <f t="shared" si="520"/>
        <v>5500133</v>
      </c>
      <c r="DC846" s="9" t="str">
        <f t="shared" si="521"/>
        <v>5501134</v>
      </c>
      <c r="DD846" s="9">
        <v>13</v>
      </c>
      <c r="DE846" s="9">
        <v>13</v>
      </c>
      <c r="DF846" s="9">
        <v>13</v>
      </c>
      <c r="DG846" s="9">
        <v>13</v>
      </c>
      <c r="DH846" s="9">
        <v>13</v>
      </c>
      <c r="DI846" s="9">
        <v>13</v>
      </c>
      <c r="DJ846" s="9">
        <v>5</v>
      </c>
      <c r="DK846" s="9">
        <v>5</v>
      </c>
      <c r="DL846" s="9">
        <v>5</v>
      </c>
      <c r="DM846" s="9">
        <v>5</v>
      </c>
      <c r="DN846" s="9">
        <v>5</v>
      </c>
      <c r="DO846" s="9">
        <v>5</v>
      </c>
      <c r="DP846" s="3" t="s">
        <v>221</v>
      </c>
      <c r="DQ846" s="3" t="s">
        <v>213</v>
      </c>
      <c r="DR846" s="3" t="s">
        <v>213</v>
      </c>
      <c r="DS846" s="3" t="s">
        <v>214</v>
      </c>
      <c r="DT846" s="3" t="s">
        <v>207</v>
      </c>
      <c r="DU846" s="3" t="s">
        <v>214</v>
      </c>
      <c r="DV846" s="25">
        <f t="shared" si="522"/>
        <v>1</v>
      </c>
      <c r="DW846" s="25">
        <f t="shared" si="523"/>
        <v>1</v>
      </c>
      <c r="DX846" s="25">
        <f t="shared" si="524"/>
        <v>1</v>
      </c>
      <c r="DY846" s="25">
        <f t="shared" si="525"/>
        <v>2</v>
      </c>
      <c r="DZ846" s="25">
        <f t="shared" si="526"/>
        <v>2</v>
      </c>
      <c r="EA846" s="25">
        <f t="shared" si="527"/>
        <v>2</v>
      </c>
      <c r="EB846" s="50"/>
    </row>
    <row r="847" spans="29:132" ht="13.5" customHeight="1">
      <c r="AC847" s="9" t="str">
        <f t="shared" si="528"/>
        <v/>
      </c>
      <c r="AD847" s="9" t="str">
        <f t="shared" si="529"/>
        <v/>
      </c>
      <c r="AE847" s="9" t="str">
        <f t="shared" si="530"/>
        <v/>
      </c>
      <c r="AF847" s="9" t="str">
        <f t="shared" si="531"/>
        <v/>
      </c>
      <c r="AG847" s="9" t="str">
        <f t="shared" si="532"/>
        <v/>
      </c>
      <c r="AH847" s="9" t="str">
        <f t="shared" si="533"/>
        <v/>
      </c>
      <c r="BR847" s="5">
        <v>5101075</v>
      </c>
      <c r="BS847" s="18">
        <f>[1]monsters!$N847</f>
        <v>85.87</v>
      </c>
      <c r="BT847" s="18">
        <f>[1]monsters!$O847</f>
        <v>8.59</v>
      </c>
      <c r="BU847" s="18">
        <f>[1]monsters!$P847</f>
        <v>166.95599999999999</v>
      </c>
      <c r="BV847" s="18">
        <f>[1]monsters!$Q847</f>
        <v>83.48</v>
      </c>
      <c r="BW847" s="18">
        <f>[1]monsters!$R847</f>
        <v>10.73</v>
      </c>
      <c r="BX847" s="18">
        <f>[1]monsters!$S847</f>
        <v>1.07</v>
      </c>
      <c r="BY847" s="18">
        <f>[1]monsters!$K847</f>
        <v>1.4</v>
      </c>
      <c r="BZ847" s="5">
        <f>[1]monsters!$D847</f>
        <v>3</v>
      </c>
      <c r="CA847" s="5">
        <f t="shared" si="534"/>
        <v>0.1</v>
      </c>
      <c r="CB847" s="5">
        <f t="shared" si="535"/>
        <v>86.768564141414146</v>
      </c>
      <c r="CC847" s="5">
        <f t="shared" si="536"/>
        <v>8.6768564141414153</v>
      </c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R847" s="3" t="b">
        <f t="shared" si="510"/>
        <v>1</v>
      </c>
      <c r="CS847" s="3" t="b">
        <f t="shared" si="511"/>
        <v>1</v>
      </c>
      <c r="CT847" s="3" t="b">
        <f t="shared" si="512"/>
        <v>1</v>
      </c>
      <c r="CU847" s="3" t="b">
        <f t="shared" si="513"/>
        <v>1</v>
      </c>
      <c r="CV847" s="3" t="b">
        <f t="shared" si="514"/>
        <v>1</v>
      </c>
      <c r="CW847" s="3" t="b">
        <f t="shared" si="515"/>
        <v>1</v>
      </c>
      <c r="CX847" s="9" t="str">
        <f t="shared" si="516"/>
        <v>5201131</v>
      </c>
      <c r="CY847" s="9" t="str">
        <f t="shared" si="517"/>
        <v>5201131</v>
      </c>
      <c r="CZ847" s="9" t="str">
        <f t="shared" si="518"/>
        <v>5200132</v>
      </c>
      <c r="DA847" s="9" t="str">
        <f t="shared" si="519"/>
        <v>5502132</v>
      </c>
      <c r="DB847" s="9" t="str">
        <f t="shared" si="520"/>
        <v>5501134</v>
      </c>
      <c r="DC847" s="9" t="str">
        <f t="shared" si="521"/>
        <v>5501134</v>
      </c>
      <c r="DD847" s="9">
        <v>13</v>
      </c>
      <c r="DE847" s="9">
        <v>13</v>
      </c>
      <c r="DF847" s="9">
        <v>13</v>
      </c>
      <c r="DG847" s="9">
        <v>13</v>
      </c>
      <c r="DH847" s="9">
        <v>13</v>
      </c>
      <c r="DI847" s="9">
        <v>13</v>
      </c>
      <c r="DJ847" s="9">
        <v>5</v>
      </c>
      <c r="DK847" s="9">
        <v>5</v>
      </c>
      <c r="DL847" s="9">
        <v>5</v>
      </c>
      <c r="DM847" s="9">
        <v>5</v>
      </c>
      <c r="DN847" s="9">
        <v>5</v>
      </c>
      <c r="DO847" s="9">
        <v>5</v>
      </c>
      <c r="DP847" s="3" t="s">
        <v>195</v>
      </c>
      <c r="DQ847" s="3" t="s">
        <v>195</v>
      </c>
      <c r="DR847" s="3" t="s">
        <v>199</v>
      </c>
      <c r="DS847" s="3" t="s">
        <v>204</v>
      </c>
      <c r="DT847" s="3" t="s">
        <v>214</v>
      </c>
      <c r="DU847" s="3" t="s">
        <v>214</v>
      </c>
      <c r="DV847" s="25">
        <f t="shared" si="522"/>
        <v>1</v>
      </c>
      <c r="DW847" s="25">
        <f t="shared" si="523"/>
        <v>1</v>
      </c>
      <c r="DX847" s="25">
        <f t="shared" si="524"/>
        <v>1</v>
      </c>
      <c r="DY847" s="25">
        <f t="shared" si="525"/>
        <v>2</v>
      </c>
      <c r="DZ847" s="25">
        <f t="shared" si="526"/>
        <v>2</v>
      </c>
      <c r="EA847" s="25">
        <f t="shared" si="527"/>
        <v>2</v>
      </c>
      <c r="EB847" s="50"/>
    </row>
    <row r="848" spans="29:132" ht="13.5" customHeight="1">
      <c r="AC848" s="9" t="str">
        <f t="shared" si="528"/>
        <v/>
      </c>
      <c r="AD848" s="9" t="str">
        <f t="shared" si="529"/>
        <v/>
      </c>
      <c r="AE848" s="9" t="str">
        <f t="shared" si="530"/>
        <v/>
      </c>
      <c r="AF848" s="9" t="str">
        <f t="shared" si="531"/>
        <v/>
      </c>
      <c r="AG848" s="9" t="str">
        <f t="shared" si="532"/>
        <v/>
      </c>
      <c r="AH848" s="9" t="str">
        <f t="shared" si="533"/>
        <v/>
      </c>
      <c r="BR848" s="5">
        <v>5102075</v>
      </c>
      <c r="BS848" s="18">
        <f>[1]monsters!$N848</f>
        <v>62.4</v>
      </c>
      <c r="BT848" s="18">
        <f>[1]monsters!$O848</f>
        <v>6.24</v>
      </c>
      <c r="BU848" s="18">
        <f>[1]monsters!$P848</f>
        <v>213.334</v>
      </c>
      <c r="BV848" s="18">
        <f>[1]monsters!$Q848</f>
        <v>106.67</v>
      </c>
      <c r="BW848" s="18">
        <f>[1]monsters!$R848</f>
        <v>12.48</v>
      </c>
      <c r="BX848" s="18">
        <f>[1]monsters!$S848</f>
        <v>1.25</v>
      </c>
      <c r="BY848" s="18">
        <f>[1]monsters!$K848</f>
        <v>1.3</v>
      </c>
      <c r="BZ848" s="5">
        <f>[1]monsters!$D848</f>
        <v>2</v>
      </c>
      <c r="CA848" s="5">
        <f t="shared" si="534"/>
        <v>0.1</v>
      </c>
      <c r="CB848" s="5">
        <f t="shared" si="535"/>
        <v>66.150962962962964</v>
      </c>
      <c r="CC848" s="5">
        <f t="shared" si="536"/>
        <v>6.6150962962962971</v>
      </c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R848" s="3" t="b">
        <f t="shared" si="510"/>
        <v>1</v>
      </c>
      <c r="CS848" s="3" t="b">
        <f t="shared" si="511"/>
        <v>1</v>
      </c>
      <c r="CT848" s="3" t="b">
        <f t="shared" si="512"/>
        <v>1</v>
      </c>
      <c r="CU848" s="3" t="b">
        <f t="shared" si="513"/>
        <v>1</v>
      </c>
      <c r="CV848" s="3" t="b">
        <f t="shared" si="514"/>
        <v>1</v>
      </c>
      <c r="CW848" s="3" t="b">
        <f t="shared" si="515"/>
        <v>1</v>
      </c>
      <c r="CX848" s="9" t="str">
        <f t="shared" si="516"/>
        <v>5202133</v>
      </c>
      <c r="CY848" s="9" t="str">
        <f t="shared" si="517"/>
        <v>5202132</v>
      </c>
      <c r="CZ848" s="9" t="str">
        <f t="shared" si="518"/>
        <v>5202133</v>
      </c>
      <c r="DA848" s="9" t="str">
        <f t="shared" si="519"/>
        <v>5400135</v>
      </c>
      <c r="DB848" s="9" t="str">
        <f t="shared" si="520"/>
        <v>5500132</v>
      </c>
      <c r="DC848" s="9" t="str">
        <f t="shared" si="521"/>
        <v>5500133</v>
      </c>
      <c r="DD848" s="9">
        <v>13</v>
      </c>
      <c r="DE848" s="9">
        <v>13</v>
      </c>
      <c r="DF848" s="9">
        <v>13</v>
      </c>
      <c r="DG848" s="9">
        <v>13</v>
      </c>
      <c r="DH848" s="9">
        <v>13</v>
      </c>
      <c r="DI848" s="9">
        <v>13</v>
      </c>
      <c r="DJ848" s="9">
        <v>5</v>
      </c>
      <c r="DK848" s="9">
        <v>5</v>
      </c>
      <c r="DL848" s="9">
        <v>5</v>
      </c>
      <c r="DM848" s="9">
        <v>5</v>
      </c>
      <c r="DN848" s="9">
        <v>5</v>
      </c>
      <c r="DO848" s="9">
        <v>5</v>
      </c>
      <c r="DP848" s="25" t="s">
        <v>208</v>
      </c>
      <c r="DQ848" s="25" t="s">
        <v>200</v>
      </c>
      <c r="DR848" s="25" t="s">
        <v>208</v>
      </c>
      <c r="DS848" s="25" t="s">
        <v>210</v>
      </c>
      <c r="DT848" s="25" t="s">
        <v>109</v>
      </c>
      <c r="DU848" s="25" t="s">
        <v>207</v>
      </c>
      <c r="DV848" s="25">
        <f t="shared" si="522"/>
        <v>1</v>
      </c>
      <c r="DW848" s="25">
        <f t="shared" si="523"/>
        <v>1</v>
      </c>
      <c r="DX848" s="25">
        <f t="shared" si="524"/>
        <v>1</v>
      </c>
      <c r="DY848" s="25">
        <f t="shared" si="525"/>
        <v>2</v>
      </c>
      <c r="DZ848" s="25">
        <f t="shared" si="526"/>
        <v>2</v>
      </c>
      <c r="EA848" s="25">
        <f t="shared" si="527"/>
        <v>2</v>
      </c>
      <c r="EB848" s="50"/>
    </row>
    <row r="849" spans="29:132" ht="13.5" customHeight="1">
      <c r="AC849" s="9" t="str">
        <f t="shared" si="528"/>
        <v/>
      </c>
      <c r="AD849" s="9" t="str">
        <f t="shared" si="529"/>
        <v/>
      </c>
      <c r="AE849" s="9" t="str">
        <f t="shared" si="530"/>
        <v/>
      </c>
      <c r="AF849" s="9" t="str">
        <f t="shared" si="531"/>
        <v/>
      </c>
      <c r="AG849" s="9" t="str">
        <f t="shared" si="532"/>
        <v/>
      </c>
      <c r="AH849" s="9" t="str">
        <f t="shared" si="533"/>
        <v/>
      </c>
      <c r="BR849" s="5">
        <v>5206081</v>
      </c>
      <c r="BS849" s="18">
        <f>[1]monsters!$N849</f>
        <v>83.2</v>
      </c>
      <c r="BT849" s="18">
        <f>[1]monsters!$O849</f>
        <v>8.32</v>
      </c>
      <c r="BU849" s="18">
        <f>[1]monsters!$P849</f>
        <v>160</v>
      </c>
      <c r="BV849" s="18">
        <f>[1]monsters!$Q849</f>
        <v>80</v>
      </c>
      <c r="BW849" s="18">
        <f>[1]monsters!$R849</f>
        <v>8.32</v>
      </c>
      <c r="BX849" s="18">
        <f>[1]monsters!$S849</f>
        <v>0.83</v>
      </c>
      <c r="BY849" s="18">
        <f>[1]monsters!$K849</f>
        <v>1.3</v>
      </c>
      <c r="BZ849" s="5">
        <f>[1]monsters!$D849</f>
        <v>4</v>
      </c>
      <c r="CA849" s="5">
        <f t="shared" si="534"/>
        <v>0.1</v>
      </c>
      <c r="CB849" s="5">
        <f t="shared" si="535"/>
        <v>84.011205387205393</v>
      </c>
      <c r="CC849" s="5">
        <f t="shared" si="536"/>
        <v>8.401120538720539</v>
      </c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R849" s="3" t="b">
        <f t="shared" si="510"/>
        <v>1</v>
      </c>
      <c r="CS849" s="3" t="b">
        <f t="shared" si="511"/>
        <v>1</v>
      </c>
      <c r="CT849" s="3" t="b">
        <f t="shared" si="512"/>
        <v>1</v>
      </c>
      <c r="CU849" s="3" t="b">
        <f t="shared" si="513"/>
        <v>1</v>
      </c>
      <c r="CV849" s="3" t="b">
        <f t="shared" si="514"/>
        <v>1</v>
      </c>
      <c r="CW849" s="3" t="b">
        <f t="shared" si="515"/>
        <v>1</v>
      </c>
      <c r="CX849" s="9" t="str">
        <f t="shared" si="516"/>
        <v>5301131</v>
      </c>
      <c r="CY849" s="9" t="str">
        <f t="shared" si="517"/>
        <v>5301132</v>
      </c>
      <c r="CZ849" s="9" t="str">
        <f t="shared" si="518"/>
        <v>5301133</v>
      </c>
      <c r="DA849" s="9" t="str">
        <f t="shared" si="519"/>
        <v>5501134</v>
      </c>
      <c r="DB849" s="9" t="str">
        <f t="shared" si="520"/>
        <v>5501135</v>
      </c>
      <c r="DC849" s="9" t="str">
        <f t="shared" si="521"/>
        <v>5502133</v>
      </c>
      <c r="DD849" s="9">
        <v>13</v>
      </c>
      <c r="DE849" s="9">
        <v>13</v>
      </c>
      <c r="DF849" s="9">
        <v>13</v>
      </c>
      <c r="DG849" s="9">
        <v>13</v>
      </c>
      <c r="DH849" s="9">
        <v>13</v>
      </c>
      <c r="DI849" s="9">
        <v>13</v>
      </c>
      <c r="DJ849" s="9">
        <v>5</v>
      </c>
      <c r="DK849" s="9">
        <v>5</v>
      </c>
      <c r="DL849" s="9">
        <v>5</v>
      </c>
      <c r="DM849" s="9">
        <v>5</v>
      </c>
      <c r="DN849" s="9">
        <v>5</v>
      </c>
      <c r="DO849" s="9">
        <v>5</v>
      </c>
      <c r="DP849" s="26" t="s">
        <v>107</v>
      </c>
      <c r="DQ849" s="26" t="s">
        <v>201</v>
      </c>
      <c r="DR849" s="26" t="s">
        <v>206</v>
      </c>
      <c r="DS849" s="26" t="s">
        <v>214</v>
      </c>
      <c r="DT849" s="26" t="s">
        <v>209</v>
      </c>
      <c r="DU849" s="26" t="s">
        <v>215</v>
      </c>
      <c r="DV849" s="25">
        <f t="shared" si="522"/>
        <v>1</v>
      </c>
      <c r="DW849" s="25">
        <f t="shared" si="523"/>
        <v>1</v>
      </c>
      <c r="DX849" s="25">
        <f t="shared" si="524"/>
        <v>1</v>
      </c>
      <c r="DY849" s="25">
        <f t="shared" si="525"/>
        <v>2</v>
      </c>
      <c r="DZ849" s="25">
        <f t="shared" si="526"/>
        <v>2</v>
      </c>
      <c r="EA849" s="25">
        <f t="shared" si="527"/>
        <v>2</v>
      </c>
      <c r="EB849" s="45"/>
    </row>
    <row r="850" spans="29:132" ht="13.5" customHeight="1">
      <c r="AC850" s="9" t="str">
        <f t="shared" si="528"/>
        <v/>
      </c>
      <c r="AD850" s="9" t="str">
        <f t="shared" si="529"/>
        <v/>
      </c>
      <c r="AE850" s="9" t="str">
        <f t="shared" si="530"/>
        <v/>
      </c>
      <c r="AF850" s="9" t="str">
        <f t="shared" si="531"/>
        <v/>
      </c>
      <c r="AG850" s="9" t="str">
        <f t="shared" si="532"/>
        <v/>
      </c>
      <c r="AH850" s="9" t="str">
        <f t="shared" si="533"/>
        <v/>
      </c>
      <c r="BR850" s="5">
        <v>5406081</v>
      </c>
      <c r="BS850" s="18">
        <f>[1]monsters!$N850</f>
        <v>86.4</v>
      </c>
      <c r="BT850" s="18">
        <f>[1]monsters!$O850</f>
        <v>8.64</v>
      </c>
      <c r="BU850" s="18">
        <f>[1]monsters!$P850</f>
        <v>213.334</v>
      </c>
      <c r="BV850" s="18">
        <f>[1]monsters!$Q850</f>
        <v>106.67</v>
      </c>
      <c r="BW850" s="18">
        <f>[1]monsters!$R850</f>
        <v>17.28</v>
      </c>
      <c r="BX850" s="18">
        <f>[1]monsters!$S850</f>
        <v>1.73</v>
      </c>
      <c r="BY850" s="18">
        <f>[1]monsters!$K850</f>
        <v>1.8</v>
      </c>
      <c r="BZ850" s="5">
        <f>[1]monsters!$D850</f>
        <v>2</v>
      </c>
      <c r="CA850" s="5">
        <f t="shared" si="534"/>
        <v>0.1</v>
      </c>
      <c r="CB850" s="5">
        <f t="shared" si="535"/>
        <v>88.830962962962971</v>
      </c>
      <c r="CC850" s="5">
        <f t="shared" si="536"/>
        <v>8.8830962962962978</v>
      </c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R850" s="3" t="b">
        <f t="shared" si="510"/>
        <v>1</v>
      </c>
      <c r="CS850" s="3" t="b">
        <f t="shared" si="511"/>
        <v>1</v>
      </c>
      <c r="CT850" s="3" t="b">
        <f t="shared" si="512"/>
        <v>1</v>
      </c>
      <c r="CU850" s="3" t="b">
        <f t="shared" si="513"/>
        <v>1</v>
      </c>
      <c r="CV850" s="3" t="b">
        <f t="shared" si="514"/>
        <v>1</v>
      </c>
      <c r="CW850" s="3" t="b">
        <f t="shared" si="515"/>
        <v>1</v>
      </c>
      <c r="CX850" s="9" t="str">
        <f t="shared" si="516"/>
        <v>5200132</v>
      </c>
      <c r="CY850" s="9" t="str">
        <f t="shared" si="517"/>
        <v>5200133</v>
      </c>
      <c r="CZ850" s="9" t="str">
        <f t="shared" si="518"/>
        <v>5202132</v>
      </c>
      <c r="DA850" s="9" t="str">
        <f t="shared" si="519"/>
        <v>5402132</v>
      </c>
      <c r="DB850" s="9" t="str">
        <f t="shared" si="520"/>
        <v>5500133</v>
      </c>
      <c r="DC850" s="9" t="str">
        <f t="shared" si="521"/>
        <v>5501134</v>
      </c>
      <c r="DD850" s="9">
        <v>13</v>
      </c>
      <c r="DE850" s="9">
        <v>13</v>
      </c>
      <c r="DF850" s="9">
        <v>13</v>
      </c>
      <c r="DG850" s="9">
        <v>13</v>
      </c>
      <c r="DH850" s="9">
        <v>13</v>
      </c>
      <c r="DI850" s="9">
        <v>13</v>
      </c>
      <c r="DJ850" s="9">
        <v>5</v>
      </c>
      <c r="DK850" s="9">
        <v>5</v>
      </c>
      <c r="DL850" s="9">
        <v>5</v>
      </c>
      <c r="DM850" s="9">
        <v>5</v>
      </c>
      <c r="DN850" s="9">
        <v>5</v>
      </c>
      <c r="DO850" s="9">
        <v>5</v>
      </c>
      <c r="DP850" s="25" t="s">
        <v>199</v>
      </c>
      <c r="DQ850" s="25" t="s">
        <v>113</v>
      </c>
      <c r="DR850" s="26" t="s">
        <v>200</v>
      </c>
      <c r="DS850" s="26" t="s">
        <v>203</v>
      </c>
      <c r="DT850" s="26" t="s">
        <v>207</v>
      </c>
      <c r="DU850" s="26" t="s">
        <v>214</v>
      </c>
      <c r="DV850" s="25">
        <f t="shared" si="522"/>
        <v>1</v>
      </c>
      <c r="DW850" s="25">
        <f t="shared" si="523"/>
        <v>1</v>
      </c>
      <c r="DX850" s="25">
        <f t="shared" si="524"/>
        <v>1</v>
      </c>
      <c r="DY850" s="25">
        <f t="shared" si="525"/>
        <v>2</v>
      </c>
      <c r="DZ850" s="25">
        <f t="shared" si="526"/>
        <v>2</v>
      </c>
      <c r="EA850" s="25">
        <f t="shared" si="527"/>
        <v>2</v>
      </c>
      <c r="EB850" s="45"/>
    </row>
    <row r="851" spans="29:132" ht="13.5" customHeight="1">
      <c r="AC851" s="9" t="str">
        <f t="shared" si="528"/>
        <v/>
      </c>
      <c r="AD851" s="9" t="str">
        <f t="shared" si="529"/>
        <v/>
      </c>
      <c r="AE851" s="9" t="str">
        <f t="shared" si="530"/>
        <v/>
      </c>
      <c r="AF851" s="9" t="str">
        <f t="shared" si="531"/>
        <v/>
      </c>
      <c r="AG851" s="9" t="str">
        <f t="shared" si="532"/>
        <v/>
      </c>
      <c r="AH851" s="9" t="str">
        <f t="shared" si="533"/>
        <v/>
      </c>
      <c r="BR851" s="5">
        <v>5205081</v>
      </c>
      <c r="BS851" s="18">
        <f>[1]monsters!$N851</f>
        <v>100</v>
      </c>
      <c r="BT851" s="18">
        <f>[1]monsters!$O851</f>
        <v>10</v>
      </c>
      <c r="BU851" s="18">
        <f>[1]monsters!$P851</f>
        <v>153.6</v>
      </c>
      <c r="BV851" s="18">
        <f>[1]monsters!$Q851</f>
        <v>76.8</v>
      </c>
      <c r="BW851" s="18">
        <f>[1]monsters!$R851</f>
        <v>10</v>
      </c>
      <c r="BX851" s="18">
        <f>[1]monsters!$S851</f>
        <v>1</v>
      </c>
      <c r="BY851" s="18">
        <f>[1]monsters!$K851</f>
        <v>1.5</v>
      </c>
      <c r="BZ851" s="5">
        <f>[1]monsters!$D851</f>
        <v>4</v>
      </c>
      <c r="CA851" s="5">
        <f t="shared" si="534"/>
        <v>0.1</v>
      </c>
      <c r="CB851" s="5">
        <f t="shared" si="535"/>
        <v>99.671717171717177</v>
      </c>
      <c r="CC851" s="5">
        <f t="shared" si="536"/>
        <v>9.967171717171718</v>
      </c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R851" s="3" t="b">
        <f t="shared" si="510"/>
        <v>1</v>
      </c>
      <c r="CS851" s="3" t="b">
        <f t="shared" si="511"/>
        <v>1</v>
      </c>
      <c r="CT851" s="3" t="b">
        <f t="shared" si="512"/>
        <v>1</v>
      </c>
      <c r="CU851" s="3" t="b">
        <f t="shared" si="513"/>
        <v>1</v>
      </c>
      <c r="CV851" s="3" t="b">
        <f t="shared" si="514"/>
        <v>1</v>
      </c>
      <c r="CW851" s="3" t="b">
        <f t="shared" si="515"/>
        <v>1</v>
      </c>
      <c r="CX851" s="9" t="str">
        <f t="shared" si="516"/>
        <v>5300135</v>
      </c>
      <c r="CY851" s="9" t="str">
        <f t="shared" si="517"/>
        <v>5202135</v>
      </c>
      <c r="CZ851" s="9" t="str">
        <f t="shared" si="518"/>
        <v>5202135</v>
      </c>
      <c r="DA851" s="9" t="str">
        <f t="shared" si="519"/>
        <v>5400135</v>
      </c>
      <c r="DB851" s="9" t="str">
        <f t="shared" si="520"/>
        <v>5501135</v>
      </c>
      <c r="DC851" s="9" t="str">
        <f t="shared" si="521"/>
        <v>5400135</v>
      </c>
      <c r="DD851" s="9">
        <v>13</v>
      </c>
      <c r="DE851" s="9">
        <v>13</v>
      </c>
      <c r="DF851" s="9">
        <v>13</v>
      </c>
      <c r="DG851" s="9">
        <v>13</v>
      </c>
      <c r="DH851" s="9">
        <v>13</v>
      </c>
      <c r="DI851" s="9">
        <v>13</v>
      </c>
      <c r="DJ851" s="9">
        <v>5</v>
      </c>
      <c r="DK851" s="9">
        <v>5</v>
      </c>
      <c r="DL851" s="9">
        <v>5</v>
      </c>
      <c r="DM851" s="9">
        <v>5</v>
      </c>
      <c r="DN851" s="9">
        <v>5</v>
      </c>
      <c r="DO851" s="9">
        <v>5</v>
      </c>
      <c r="DP851" s="25" t="s">
        <v>212</v>
      </c>
      <c r="DQ851" s="25" t="s">
        <v>213</v>
      </c>
      <c r="DR851" s="25" t="s">
        <v>213</v>
      </c>
      <c r="DS851" s="26" t="s">
        <v>210</v>
      </c>
      <c r="DT851" s="26" t="s">
        <v>209</v>
      </c>
      <c r="DU851" s="26" t="s">
        <v>210</v>
      </c>
      <c r="DV851" s="25">
        <f t="shared" si="522"/>
        <v>1</v>
      </c>
      <c r="DW851" s="25">
        <f t="shared" si="523"/>
        <v>1</v>
      </c>
      <c r="DX851" s="25">
        <f t="shared" si="524"/>
        <v>1</v>
      </c>
      <c r="DY851" s="25">
        <f t="shared" si="525"/>
        <v>2</v>
      </c>
      <c r="DZ851" s="25">
        <f t="shared" si="526"/>
        <v>2</v>
      </c>
      <c r="EA851" s="25">
        <f t="shared" si="527"/>
        <v>2</v>
      </c>
      <c r="EB851" s="45"/>
    </row>
    <row r="852" spans="29:132" ht="13.5" customHeight="1">
      <c r="AC852" s="9" t="str">
        <f t="shared" si="528"/>
        <v/>
      </c>
      <c r="AD852" s="9" t="str">
        <f t="shared" si="529"/>
        <v/>
      </c>
      <c r="AE852" s="9" t="str">
        <f t="shared" si="530"/>
        <v/>
      </c>
      <c r="AF852" s="9" t="str">
        <f t="shared" si="531"/>
        <v/>
      </c>
      <c r="AG852" s="9" t="str">
        <f t="shared" si="532"/>
        <v/>
      </c>
      <c r="AH852" s="9" t="str">
        <f t="shared" si="533"/>
        <v/>
      </c>
      <c r="BR852" s="5">
        <v>5405081</v>
      </c>
      <c r="BS852" s="18">
        <f>[1]monsters!$N852</f>
        <v>76.27</v>
      </c>
      <c r="BT852" s="18">
        <f>[1]monsters!$O852</f>
        <v>7.63</v>
      </c>
      <c r="BU852" s="18">
        <f>[1]monsters!$P852</f>
        <v>174.54599999999999</v>
      </c>
      <c r="BV852" s="18">
        <f>[1]monsters!$Q852</f>
        <v>87.27</v>
      </c>
      <c r="BW852" s="18">
        <f>[1]monsters!$R852</f>
        <v>9.5299999999999994</v>
      </c>
      <c r="BX852" s="18">
        <f>[1]monsters!$S852</f>
        <v>0.95</v>
      </c>
      <c r="BY852" s="18">
        <f>[1]monsters!$K852</f>
        <v>1.3</v>
      </c>
      <c r="BZ852" s="5">
        <f>[1]monsters!$D852</f>
        <v>3</v>
      </c>
      <c r="CA852" s="5">
        <f t="shared" si="534"/>
        <v>0.1</v>
      </c>
      <c r="CB852" s="5">
        <f t="shared" si="535"/>
        <v>77.952119696969703</v>
      </c>
      <c r="CC852" s="5">
        <f t="shared" si="536"/>
        <v>7.7952119696969708</v>
      </c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R852" s="3" t="b">
        <f t="shared" si="510"/>
        <v>1</v>
      </c>
      <c r="CS852" s="3" t="b">
        <f t="shared" si="511"/>
        <v>1</v>
      </c>
      <c r="CT852" s="3" t="b">
        <f t="shared" si="512"/>
        <v>1</v>
      </c>
      <c r="CU852" s="3" t="b">
        <f t="shared" si="513"/>
        <v>1</v>
      </c>
      <c r="CV852" s="3" t="b">
        <f t="shared" si="514"/>
        <v>1</v>
      </c>
      <c r="CW852" s="3" t="b">
        <f t="shared" si="515"/>
        <v>1</v>
      </c>
      <c r="CX852" s="9" t="str">
        <f t="shared" si="516"/>
        <v>5201131</v>
      </c>
      <c r="CY852" s="9" t="str">
        <f t="shared" si="517"/>
        <v>5200132</v>
      </c>
      <c r="CZ852" s="9" t="str">
        <f t="shared" si="518"/>
        <v>5201131</v>
      </c>
      <c r="DA852" s="9" t="str">
        <f t="shared" si="519"/>
        <v>5502132</v>
      </c>
      <c r="DB852" s="9" t="str">
        <f t="shared" si="520"/>
        <v>5500131</v>
      </c>
      <c r="DC852" s="9" t="str">
        <f t="shared" si="521"/>
        <v>5601132</v>
      </c>
      <c r="DD852" s="9">
        <v>13</v>
      </c>
      <c r="DE852" s="9">
        <v>13</v>
      </c>
      <c r="DF852" s="9">
        <v>13</v>
      </c>
      <c r="DG852" s="9">
        <v>13</v>
      </c>
      <c r="DH852" s="9">
        <v>13</v>
      </c>
      <c r="DI852" s="9">
        <v>13</v>
      </c>
      <c r="DJ852" s="9">
        <v>5</v>
      </c>
      <c r="DK852" s="9">
        <v>5</v>
      </c>
      <c r="DL852" s="9">
        <v>5</v>
      </c>
      <c r="DM852" s="9">
        <v>5</v>
      </c>
      <c r="DN852" s="9">
        <v>5</v>
      </c>
      <c r="DO852" s="9">
        <v>5</v>
      </c>
      <c r="DP852" s="25" t="s">
        <v>195</v>
      </c>
      <c r="DQ852" s="25" t="s">
        <v>199</v>
      </c>
      <c r="DR852" s="26" t="s">
        <v>195</v>
      </c>
      <c r="DS852" s="28" t="s">
        <v>204</v>
      </c>
      <c r="DT852" s="26" t="s">
        <v>197</v>
      </c>
      <c r="DU852" s="26" t="s">
        <v>124</v>
      </c>
      <c r="DV852" s="25">
        <f t="shared" si="522"/>
        <v>1</v>
      </c>
      <c r="DW852" s="25">
        <f t="shared" si="523"/>
        <v>1</v>
      </c>
      <c r="DX852" s="25">
        <f t="shared" si="524"/>
        <v>1</v>
      </c>
      <c r="DY852" s="25">
        <f t="shared" si="525"/>
        <v>2</v>
      </c>
      <c r="DZ852" s="25">
        <f t="shared" si="526"/>
        <v>2</v>
      </c>
      <c r="EA852" s="25">
        <f t="shared" si="527"/>
        <v>2</v>
      </c>
      <c r="EB852" s="46"/>
    </row>
    <row r="853" spans="29:132" ht="13.5" customHeight="1">
      <c r="AC853" s="9" t="str">
        <f t="shared" si="528"/>
        <v/>
      </c>
      <c r="AD853" s="9" t="str">
        <f t="shared" si="529"/>
        <v/>
      </c>
      <c r="AE853" s="9" t="str">
        <f t="shared" si="530"/>
        <v/>
      </c>
      <c r="AF853" s="9" t="str">
        <f t="shared" si="531"/>
        <v/>
      </c>
      <c r="AG853" s="9" t="str">
        <f t="shared" si="532"/>
        <v/>
      </c>
      <c r="AH853" s="9" t="str">
        <f t="shared" si="533"/>
        <v/>
      </c>
      <c r="BR853" s="5">
        <v>5203081</v>
      </c>
      <c r="BS853" s="18">
        <f>[1]monsters!$N853</f>
        <v>105.6</v>
      </c>
      <c r="BT853" s="18">
        <f>[1]monsters!$O853</f>
        <v>10.56</v>
      </c>
      <c r="BU853" s="18">
        <f>[1]monsters!$P853</f>
        <v>174.54599999999999</v>
      </c>
      <c r="BV853" s="18">
        <f>[1]monsters!$Q853</f>
        <v>87.27</v>
      </c>
      <c r="BW853" s="18">
        <f>[1]monsters!$R853</f>
        <v>17.600000000000001</v>
      </c>
      <c r="BX853" s="18">
        <f>[1]monsters!$S853</f>
        <v>1.76</v>
      </c>
      <c r="BY853" s="18">
        <f>[1]monsters!$K853</f>
        <v>1.8</v>
      </c>
      <c r="BZ853" s="5">
        <f>[1]monsters!$D853</f>
        <v>5</v>
      </c>
      <c r="CA853" s="5">
        <f t="shared" si="534"/>
        <v>0.1</v>
      </c>
      <c r="CB853" s="5">
        <f t="shared" si="535"/>
        <v>105.6689696969697</v>
      </c>
      <c r="CC853" s="5">
        <f t="shared" si="536"/>
        <v>10.56689696969697</v>
      </c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R853" s="3" t="b">
        <f t="shared" si="510"/>
        <v>1</v>
      </c>
      <c r="CS853" s="3" t="b">
        <f t="shared" si="511"/>
        <v>1</v>
      </c>
      <c r="CT853" s="3" t="b">
        <f t="shared" si="512"/>
        <v>1</v>
      </c>
      <c r="CU853" s="3" t="b">
        <f t="shared" si="513"/>
        <v>1</v>
      </c>
      <c r="CV853" s="3" t="b">
        <f t="shared" si="514"/>
        <v>1</v>
      </c>
      <c r="CW853" s="3" t="b">
        <f t="shared" si="515"/>
        <v>1</v>
      </c>
      <c r="CX853" s="9" t="str">
        <f t="shared" si="516"/>
        <v>5200132</v>
      </c>
      <c r="CY853" s="9" t="str">
        <f t="shared" si="517"/>
        <v>5200133</v>
      </c>
      <c r="CZ853" s="9" t="str">
        <f t="shared" si="518"/>
        <v>5200132</v>
      </c>
      <c r="DA853" s="9" t="str">
        <f t="shared" si="519"/>
        <v>5501134</v>
      </c>
      <c r="DB853" s="9" t="str">
        <f t="shared" si="520"/>
        <v>5500133</v>
      </c>
      <c r="DC853" s="9" t="str">
        <f t="shared" si="521"/>
        <v>5501134</v>
      </c>
      <c r="DD853" s="9">
        <v>13</v>
      </c>
      <c r="DE853" s="9">
        <v>13</v>
      </c>
      <c r="DF853" s="9">
        <v>13</v>
      </c>
      <c r="DG853" s="9">
        <v>13</v>
      </c>
      <c r="DH853" s="9">
        <v>13</v>
      </c>
      <c r="DI853" s="9">
        <v>13</v>
      </c>
      <c r="DJ853" s="9">
        <v>5</v>
      </c>
      <c r="DK853" s="9">
        <v>5</v>
      </c>
      <c r="DL853" s="9">
        <v>5</v>
      </c>
      <c r="DM853" s="9">
        <v>5</v>
      </c>
      <c r="DN853" s="9">
        <v>5</v>
      </c>
      <c r="DO853" s="9">
        <v>5</v>
      </c>
      <c r="DP853" s="25" t="s">
        <v>199</v>
      </c>
      <c r="DQ853" s="25" t="s">
        <v>113</v>
      </c>
      <c r="DR853" s="25" t="s">
        <v>199</v>
      </c>
      <c r="DS853" s="26" t="s">
        <v>214</v>
      </c>
      <c r="DT853" s="26" t="s">
        <v>207</v>
      </c>
      <c r="DU853" s="26" t="s">
        <v>214</v>
      </c>
      <c r="DV853" s="25">
        <f t="shared" si="522"/>
        <v>1</v>
      </c>
      <c r="DW853" s="25">
        <f t="shared" si="523"/>
        <v>1</v>
      </c>
      <c r="DX853" s="25">
        <f t="shared" si="524"/>
        <v>1</v>
      </c>
      <c r="DY853" s="25">
        <f t="shared" si="525"/>
        <v>2</v>
      </c>
      <c r="DZ853" s="25">
        <f t="shared" si="526"/>
        <v>2</v>
      </c>
      <c r="EA853" s="25">
        <f t="shared" si="527"/>
        <v>2</v>
      </c>
      <c r="EB853" s="45"/>
    </row>
    <row r="854" spans="29:132" ht="13.5" customHeight="1">
      <c r="AC854" s="9" t="str">
        <f t="shared" si="528"/>
        <v/>
      </c>
      <c r="AD854" s="9" t="str">
        <f t="shared" si="529"/>
        <v/>
      </c>
      <c r="AE854" s="9" t="str">
        <f t="shared" si="530"/>
        <v/>
      </c>
      <c r="AF854" s="9" t="str">
        <f t="shared" si="531"/>
        <v/>
      </c>
      <c r="AG854" s="9" t="str">
        <f t="shared" si="532"/>
        <v/>
      </c>
      <c r="AH854" s="9" t="str">
        <f t="shared" si="533"/>
        <v/>
      </c>
      <c r="BR854" s="5">
        <v>5403081</v>
      </c>
      <c r="BS854" s="18">
        <f>[1]monsters!$N854</f>
        <v>76.8</v>
      </c>
      <c r="BT854" s="18">
        <f>[1]monsters!$O854</f>
        <v>7.68</v>
      </c>
      <c r="BU854" s="18">
        <f>[1]monsters!$P854</f>
        <v>213.334</v>
      </c>
      <c r="BV854" s="18">
        <f>[1]monsters!$Q854</f>
        <v>106.67</v>
      </c>
      <c r="BW854" s="18">
        <f>[1]monsters!$R854</f>
        <v>15.36</v>
      </c>
      <c r="BX854" s="18">
        <f>[1]monsters!$S854</f>
        <v>1.54</v>
      </c>
      <c r="BY854" s="18">
        <f>[1]monsters!$K854</f>
        <v>1.6</v>
      </c>
      <c r="BZ854" s="5">
        <f>[1]monsters!$D854</f>
        <v>2</v>
      </c>
      <c r="CA854" s="5">
        <f t="shared" si="534"/>
        <v>0.1</v>
      </c>
      <c r="CB854" s="5">
        <f t="shared" si="535"/>
        <v>79.758962962962968</v>
      </c>
      <c r="CC854" s="5">
        <f t="shared" si="536"/>
        <v>7.9758962962962974</v>
      </c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R854" s="3" t="b">
        <f t="shared" si="510"/>
        <v>1</v>
      </c>
      <c r="CS854" s="3" t="b">
        <f t="shared" si="511"/>
        <v>1</v>
      </c>
      <c r="CT854" s="3" t="b">
        <f t="shared" si="512"/>
        <v>1</v>
      </c>
      <c r="CU854" s="3" t="b">
        <f t="shared" si="513"/>
        <v>1</v>
      </c>
      <c r="CV854" s="3" t="b">
        <f t="shared" si="514"/>
        <v>1</v>
      </c>
      <c r="CW854" s="3" t="b">
        <f t="shared" si="515"/>
        <v>1</v>
      </c>
      <c r="CX854" s="9" t="str">
        <f t="shared" si="516"/>
        <v>5202132</v>
      </c>
      <c r="CY854" s="9" t="str">
        <f t="shared" si="517"/>
        <v>5201132</v>
      </c>
      <c r="CZ854" s="9" t="str">
        <f t="shared" si="518"/>
        <v>5301131</v>
      </c>
      <c r="DA854" s="9" t="str">
        <f t="shared" si="519"/>
        <v>5400135</v>
      </c>
      <c r="DB854" s="9" t="str">
        <f t="shared" si="520"/>
        <v>5500132</v>
      </c>
      <c r="DC854" s="9" t="str">
        <f t="shared" si="521"/>
        <v>5500133</v>
      </c>
      <c r="DD854" s="9">
        <v>13</v>
      </c>
      <c r="DE854" s="9">
        <v>13</v>
      </c>
      <c r="DF854" s="9">
        <v>13</v>
      </c>
      <c r="DG854" s="9">
        <v>13</v>
      </c>
      <c r="DH854" s="9">
        <v>13</v>
      </c>
      <c r="DI854" s="9">
        <v>13</v>
      </c>
      <c r="DJ854" s="9">
        <v>5</v>
      </c>
      <c r="DK854" s="9">
        <v>5</v>
      </c>
      <c r="DL854" s="9">
        <v>5</v>
      </c>
      <c r="DM854" s="9">
        <v>5</v>
      </c>
      <c r="DN854" s="9">
        <v>5</v>
      </c>
      <c r="DO854" s="9">
        <v>5</v>
      </c>
      <c r="DP854" s="25" t="s">
        <v>200</v>
      </c>
      <c r="DQ854" s="25" t="s">
        <v>114</v>
      </c>
      <c r="DR854" s="25" t="s">
        <v>107</v>
      </c>
      <c r="DS854" s="25" t="s">
        <v>210</v>
      </c>
      <c r="DT854" s="25" t="s">
        <v>109</v>
      </c>
      <c r="DU854" s="25" t="s">
        <v>207</v>
      </c>
      <c r="DV854" s="25">
        <f t="shared" si="522"/>
        <v>1</v>
      </c>
      <c r="DW854" s="25">
        <f t="shared" si="523"/>
        <v>1</v>
      </c>
      <c r="DX854" s="25">
        <f t="shared" si="524"/>
        <v>1</v>
      </c>
      <c r="DY854" s="25">
        <f t="shared" si="525"/>
        <v>2</v>
      </c>
      <c r="DZ854" s="25">
        <f t="shared" si="526"/>
        <v>2</v>
      </c>
      <c r="EA854" s="25">
        <f t="shared" si="527"/>
        <v>2</v>
      </c>
      <c r="EB854" s="45"/>
    </row>
    <row r="855" spans="29:132" ht="13.5" customHeight="1">
      <c r="AC855" s="9" t="str">
        <f t="shared" si="528"/>
        <v/>
      </c>
      <c r="AD855" s="9" t="str">
        <f t="shared" si="529"/>
        <v/>
      </c>
      <c r="AE855" s="9" t="str">
        <f t="shared" si="530"/>
        <v/>
      </c>
      <c r="AF855" s="9" t="str">
        <f t="shared" si="531"/>
        <v/>
      </c>
      <c r="AG855" s="9" t="str">
        <f t="shared" si="532"/>
        <v/>
      </c>
      <c r="AH855" s="9" t="str">
        <f t="shared" si="533"/>
        <v/>
      </c>
      <c r="BR855" s="5">
        <v>5204081</v>
      </c>
      <c r="BS855" s="18">
        <f>[1]monsters!$N855</f>
        <v>97.07</v>
      </c>
      <c r="BT855" s="18">
        <f>[1]monsters!$O855</f>
        <v>9.7100000000000009</v>
      </c>
      <c r="BU855" s="18">
        <f>[1]monsters!$P855</f>
        <v>147.69200000000001</v>
      </c>
      <c r="BV855" s="18">
        <f>[1]monsters!$Q855</f>
        <v>73.849999999999994</v>
      </c>
      <c r="BW855" s="18">
        <f>[1]monsters!$R855</f>
        <v>9.7100000000000009</v>
      </c>
      <c r="BX855" s="18">
        <f>[1]monsters!$S855</f>
        <v>0.97</v>
      </c>
      <c r="BY855" s="18">
        <f>[1]monsters!$K855</f>
        <v>1.4</v>
      </c>
      <c r="BZ855" s="5">
        <f>[1]monsters!$D855</f>
        <v>4</v>
      </c>
      <c r="CA855" s="5">
        <f t="shared" si="534"/>
        <v>0.1</v>
      </c>
      <c r="CB855" s="5">
        <f t="shared" si="535"/>
        <v>96.703944612794615</v>
      </c>
      <c r="CC855" s="5">
        <f t="shared" si="536"/>
        <v>9.6703944612794626</v>
      </c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R855" s="3" t="b">
        <f t="shared" si="510"/>
        <v>1</v>
      </c>
      <c r="CS855" s="3" t="b">
        <f t="shared" si="511"/>
        <v>1</v>
      </c>
      <c r="CT855" s="3" t="b">
        <f t="shared" si="512"/>
        <v>1</v>
      </c>
      <c r="CU855" s="3" t="b">
        <f t="shared" si="513"/>
        <v>1</v>
      </c>
      <c r="CV855" s="3" t="b">
        <f t="shared" si="514"/>
        <v>1</v>
      </c>
      <c r="CW855" s="3" t="b">
        <f t="shared" si="515"/>
        <v>1</v>
      </c>
      <c r="CX855" s="9" t="str">
        <f t="shared" si="516"/>
        <v>5301131</v>
      </c>
      <c r="CY855" s="9" t="str">
        <f t="shared" si="517"/>
        <v>5301132</v>
      </c>
      <c r="CZ855" s="9" t="str">
        <f t="shared" si="518"/>
        <v>5301133</v>
      </c>
      <c r="DA855" s="9" t="str">
        <f t="shared" si="519"/>
        <v>5500132</v>
      </c>
      <c r="DB855" s="9" t="str">
        <f t="shared" si="520"/>
        <v>5500131</v>
      </c>
      <c r="DC855" s="9" t="str">
        <f t="shared" si="521"/>
        <v>5500132</v>
      </c>
      <c r="DD855" s="9">
        <v>13</v>
      </c>
      <c r="DE855" s="9">
        <v>13</v>
      </c>
      <c r="DF855" s="9">
        <v>13</v>
      </c>
      <c r="DG855" s="9">
        <v>13</v>
      </c>
      <c r="DH855" s="9">
        <v>13</v>
      </c>
      <c r="DI855" s="9">
        <v>13</v>
      </c>
      <c r="DJ855" s="9">
        <v>5</v>
      </c>
      <c r="DK855" s="9">
        <v>5</v>
      </c>
      <c r="DL855" s="9">
        <v>5</v>
      </c>
      <c r="DM855" s="9">
        <v>5</v>
      </c>
      <c r="DN855" s="9">
        <v>5</v>
      </c>
      <c r="DO855" s="9">
        <v>5</v>
      </c>
      <c r="DP855" s="26" t="s">
        <v>107</v>
      </c>
      <c r="DQ855" s="26" t="s">
        <v>201</v>
      </c>
      <c r="DR855" s="26" t="s">
        <v>206</v>
      </c>
      <c r="DS855" s="26" t="s">
        <v>109</v>
      </c>
      <c r="DT855" s="26" t="s">
        <v>197</v>
      </c>
      <c r="DU855" s="26" t="s">
        <v>109</v>
      </c>
      <c r="DV855" s="25">
        <f t="shared" si="522"/>
        <v>1</v>
      </c>
      <c r="DW855" s="25">
        <f t="shared" si="523"/>
        <v>1</v>
      </c>
      <c r="DX855" s="25">
        <f t="shared" si="524"/>
        <v>1</v>
      </c>
      <c r="DY855" s="25">
        <f t="shared" si="525"/>
        <v>2</v>
      </c>
      <c r="DZ855" s="25">
        <f t="shared" si="526"/>
        <v>2</v>
      </c>
      <c r="EA855" s="25">
        <f t="shared" si="527"/>
        <v>2</v>
      </c>
      <c r="EB855" s="45"/>
    </row>
    <row r="856" spans="29:132" ht="13.5" customHeight="1">
      <c r="AC856" s="9" t="str">
        <f t="shared" si="528"/>
        <v/>
      </c>
      <c r="AD856" s="9" t="str">
        <f t="shared" si="529"/>
        <v/>
      </c>
      <c r="AE856" s="9" t="str">
        <f t="shared" si="530"/>
        <v/>
      </c>
      <c r="AF856" s="9" t="str">
        <f t="shared" si="531"/>
        <v/>
      </c>
      <c r="AG856" s="9" t="str">
        <f t="shared" si="532"/>
        <v/>
      </c>
      <c r="AH856" s="9" t="str">
        <f t="shared" si="533"/>
        <v/>
      </c>
      <c r="BR856" s="5">
        <v>5404081</v>
      </c>
      <c r="BS856" s="18">
        <f>[1]monsters!$N856</f>
        <v>67.2</v>
      </c>
      <c r="BT856" s="18">
        <f>[1]monsters!$O856</f>
        <v>6.72</v>
      </c>
      <c r="BU856" s="18">
        <f>[1]monsters!$P856</f>
        <v>213.334</v>
      </c>
      <c r="BV856" s="18">
        <f>[1]monsters!$Q856</f>
        <v>106.67</v>
      </c>
      <c r="BW856" s="18">
        <f>[1]monsters!$R856</f>
        <v>13.44</v>
      </c>
      <c r="BX856" s="18">
        <f>[1]monsters!$S856</f>
        <v>1.34</v>
      </c>
      <c r="BY856" s="18">
        <f>[1]monsters!$K856</f>
        <v>1.4</v>
      </c>
      <c r="BZ856" s="5">
        <f>[1]monsters!$D856</f>
        <v>2</v>
      </c>
      <c r="CA856" s="5">
        <f t="shared" si="534"/>
        <v>0.1</v>
      </c>
      <c r="CB856" s="5">
        <f t="shared" si="535"/>
        <v>70.686962962962966</v>
      </c>
      <c r="CC856" s="5">
        <f t="shared" si="536"/>
        <v>7.0686962962962969</v>
      </c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R856" s="3" t="b">
        <f t="shared" si="510"/>
        <v>1</v>
      </c>
      <c r="CS856" s="3" t="b">
        <f t="shared" si="511"/>
        <v>1</v>
      </c>
      <c r="CT856" s="3" t="b">
        <f t="shared" si="512"/>
        <v>1</v>
      </c>
      <c r="CU856" s="3" t="b">
        <f t="shared" si="513"/>
        <v>1</v>
      </c>
      <c r="CV856" s="3" t="b">
        <f t="shared" si="514"/>
        <v>1</v>
      </c>
      <c r="CW856" s="3" t="b">
        <f t="shared" si="515"/>
        <v>1</v>
      </c>
      <c r="CX856" s="9" t="str">
        <f t="shared" si="516"/>
        <v>5201132</v>
      </c>
      <c r="CY856" s="9" t="str">
        <f t="shared" si="517"/>
        <v>5202135</v>
      </c>
      <c r="CZ856" s="9" t="str">
        <f t="shared" si="518"/>
        <v>5201132</v>
      </c>
      <c r="DA856" s="9" t="str">
        <f t="shared" si="519"/>
        <v>5501135</v>
      </c>
      <c r="DB856" s="9" t="str">
        <f t="shared" si="520"/>
        <v>5500132</v>
      </c>
      <c r="DC856" s="9" t="str">
        <f t="shared" si="521"/>
        <v>5500133</v>
      </c>
      <c r="DD856" s="9">
        <v>13</v>
      </c>
      <c r="DE856" s="9">
        <v>13</v>
      </c>
      <c r="DF856" s="9">
        <v>13</v>
      </c>
      <c r="DG856" s="9">
        <v>13</v>
      </c>
      <c r="DH856" s="9">
        <v>13</v>
      </c>
      <c r="DI856" s="9">
        <v>13</v>
      </c>
      <c r="DJ856" s="9">
        <v>5</v>
      </c>
      <c r="DK856" s="9">
        <v>5</v>
      </c>
      <c r="DL856" s="9">
        <v>5</v>
      </c>
      <c r="DM856" s="9">
        <v>5</v>
      </c>
      <c r="DN856" s="9">
        <v>5</v>
      </c>
      <c r="DO856" s="9">
        <v>5</v>
      </c>
      <c r="DP856" s="25" t="s">
        <v>114</v>
      </c>
      <c r="DQ856" s="25" t="s">
        <v>213</v>
      </c>
      <c r="DR856" s="25" t="s">
        <v>114</v>
      </c>
      <c r="DS856" s="25" t="s">
        <v>209</v>
      </c>
      <c r="DT856" s="25" t="s">
        <v>109</v>
      </c>
      <c r="DU856" s="25" t="s">
        <v>207</v>
      </c>
      <c r="DV856" s="25">
        <f t="shared" si="522"/>
        <v>1</v>
      </c>
      <c r="DW856" s="25">
        <f t="shared" si="523"/>
        <v>1</v>
      </c>
      <c r="DX856" s="25">
        <f t="shared" si="524"/>
        <v>1</v>
      </c>
      <c r="DY856" s="25">
        <f t="shared" si="525"/>
        <v>2</v>
      </c>
      <c r="DZ856" s="25">
        <f t="shared" si="526"/>
        <v>2</v>
      </c>
      <c r="EA856" s="25">
        <f t="shared" si="527"/>
        <v>2</v>
      </c>
      <c r="EB856" s="46"/>
    </row>
    <row r="857" spans="29:132" ht="13.5" customHeight="1">
      <c r="AC857" s="9" t="str">
        <f t="shared" si="528"/>
        <v/>
      </c>
      <c r="AD857" s="9" t="str">
        <f t="shared" si="529"/>
        <v/>
      </c>
      <c r="AE857" s="9" t="str">
        <f t="shared" si="530"/>
        <v/>
      </c>
      <c r="AF857" s="9" t="str">
        <f t="shared" si="531"/>
        <v/>
      </c>
      <c r="AG857" s="9" t="str">
        <f t="shared" si="532"/>
        <v/>
      </c>
      <c r="AH857" s="9" t="str">
        <f t="shared" si="533"/>
        <v/>
      </c>
      <c r="BR857" s="5">
        <v>5303081</v>
      </c>
      <c r="BS857" s="18">
        <f>[1]monsters!$N857</f>
        <v>110.93</v>
      </c>
      <c r="BT857" s="18">
        <f>[1]monsters!$O857</f>
        <v>11.09</v>
      </c>
      <c r="BU857" s="18">
        <f>[1]monsters!$P857</f>
        <v>147.69200000000001</v>
      </c>
      <c r="BV857" s="18">
        <f>[1]monsters!$Q857</f>
        <v>73.849999999999994</v>
      </c>
      <c r="BW857" s="18">
        <f>[1]monsters!$R857</f>
        <v>11.09</v>
      </c>
      <c r="BX857" s="18">
        <f>[1]monsters!$S857</f>
        <v>1.1100000000000001</v>
      </c>
      <c r="BY857" s="18">
        <f>[1]monsters!$K857</f>
        <v>1.6</v>
      </c>
      <c r="BZ857" s="5">
        <f>[1]monsters!$D857</f>
        <v>4</v>
      </c>
      <c r="CA857" s="5">
        <f t="shared" si="534"/>
        <v>0.1</v>
      </c>
      <c r="CB857" s="5">
        <f t="shared" si="535"/>
        <v>109.80164461279463</v>
      </c>
      <c r="CC857" s="5">
        <f t="shared" si="536"/>
        <v>10.980164461279465</v>
      </c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R857" s="3" t="b">
        <f t="shared" si="510"/>
        <v>1</v>
      </c>
      <c r="CS857" s="3" t="b">
        <f t="shared" si="511"/>
        <v>1</v>
      </c>
      <c r="CT857" s="3" t="b">
        <f t="shared" si="512"/>
        <v>1</v>
      </c>
      <c r="CU857" s="3" t="b">
        <f t="shared" si="513"/>
        <v>1</v>
      </c>
      <c r="CV857" s="3" t="b">
        <f t="shared" si="514"/>
        <v>1</v>
      </c>
      <c r="CW857" s="3" t="b">
        <f t="shared" si="515"/>
        <v>1</v>
      </c>
      <c r="CX857" s="9" t="str">
        <f t="shared" si="516"/>
        <v>5600134</v>
      </c>
      <c r="CY857" s="9" t="str">
        <f t="shared" si="517"/>
        <v>5202133</v>
      </c>
      <c r="CZ857" s="9" t="str">
        <f t="shared" si="518"/>
        <v>5201134</v>
      </c>
      <c r="DA857" s="9" t="str">
        <f t="shared" si="519"/>
        <v>5501134</v>
      </c>
      <c r="DB857" s="9" t="str">
        <f t="shared" si="520"/>
        <v>5501134</v>
      </c>
      <c r="DC857" s="9" t="str">
        <f t="shared" si="521"/>
        <v>5501134</v>
      </c>
      <c r="DD857" s="9">
        <v>13</v>
      </c>
      <c r="DE857" s="9">
        <v>13</v>
      </c>
      <c r="DF857" s="9">
        <v>13</v>
      </c>
      <c r="DG857" s="9">
        <v>13</v>
      </c>
      <c r="DH857" s="9">
        <v>13</v>
      </c>
      <c r="DI857" s="9">
        <v>13</v>
      </c>
      <c r="DJ857" s="9">
        <v>5</v>
      </c>
      <c r="DK857" s="9">
        <v>5</v>
      </c>
      <c r="DL857" s="9">
        <v>5</v>
      </c>
      <c r="DM857" s="9">
        <v>5</v>
      </c>
      <c r="DN857" s="9">
        <v>5</v>
      </c>
      <c r="DO857" s="9">
        <v>5</v>
      </c>
      <c r="DP857" s="27" t="s">
        <v>219</v>
      </c>
      <c r="DQ857" s="25" t="s">
        <v>208</v>
      </c>
      <c r="DR857" s="25" t="s">
        <v>217</v>
      </c>
      <c r="DS857" s="25" t="s">
        <v>214</v>
      </c>
      <c r="DT857" s="25" t="s">
        <v>214</v>
      </c>
      <c r="DU857" s="25" t="s">
        <v>214</v>
      </c>
      <c r="DV857" s="25">
        <f t="shared" si="522"/>
        <v>1</v>
      </c>
      <c r="DW857" s="25">
        <f t="shared" si="523"/>
        <v>1</v>
      </c>
      <c r="DX857" s="25">
        <f t="shared" si="524"/>
        <v>1</v>
      </c>
      <c r="DY857" s="25">
        <f t="shared" si="525"/>
        <v>2</v>
      </c>
      <c r="DZ857" s="25">
        <f t="shared" si="526"/>
        <v>2</v>
      </c>
      <c r="EA857" s="25">
        <f t="shared" si="527"/>
        <v>2</v>
      </c>
      <c r="EB857" s="45"/>
    </row>
    <row r="858" spans="29:132" ht="13.5" customHeight="1">
      <c r="AC858" s="9" t="str">
        <f t="shared" si="528"/>
        <v/>
      </c>
      <c r="AD858" s="9" t="str">
        <f t="shared" si="529"/>
        <v/>
      </c>
      <c r="AE858" s="9" t="str">
        <f t="shared" si="530"/>
        <v/>
      </c>
      <c r="AF858" s="9" t="str">
        <f t="shared" si="531"/>
        <v/>
      </c>
      <c r="AG858" s="9" t="str">
        <f t="shared" si="532"/>
        <v/>
      </c>
      <c r="AH858" s="9" t="str">
        <f t="shared" si="533"/>
        <v/>
      </c>
      <c r="BR858" s="5">
        <v>5304081</v>
      </c>
      <c r="BS858" s="18">
        <f>[1]monsters!$N858</f>
        <v>102.4</v>
      </c>
      <c r="BT858" s="18">
        <f>[1]monsters!$O858</f>
        <v>10.24</v>
      </c>
      <c r="BU858" s="18">
        <f>[1]monsters!$P858</f>
        <v>160</v>
      </c>
      <c r="BV858" s="18">
        <f>[1]monsters!$Q858</f>
        <v>80</v>
      </c>
      <c r="BW858" s="18">
        <f>[1]monsters!$R858</f>
        <v>17.07</v>
      </c>
      <c r="BX858" s="18">
        <f>[1]monsters!$S858</f>
        <v>1.71</v>
      </c>
      <c r="BY858" s="18">
        <f>[1]monsters!$K858</f>
        <v>1.6</v>
      </c>
      <c r="BZ858" s="5">
        <f>[1]monsters!$D858</f>
        <v>5</v>
      </c>
      <c r="CA858" s="5">
        <f t="shared" si="534"/>
        <v>0.1</v>
      </c>
      <c r="CB858" s="5">
        <f t="shared" si="535"/>
        <v>102.1552053872054</v>
      </c>
      <c r="CC858" s="5">
        <f t="shared" si="536"/>
        <v>10.21552053872054</v>
      </c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R858" s="3" t="b">
        <f t="shared" si="510"/>
        <v>1</v>
      </c>
      <c r="CS858" s="3" t="b">
        <f t="shared" si="511"/>
        <v>1</v>
      </c>
      <c r="CT858" s="3" t="b">
        <f t="shared" si="512"/>
        <v>1</v>
      </c>
      <c r="CU858" s="3" t="b">
        <f t="shared" si="513"/>
        <v>1</v>
      </c>
      <c r="CV858" s="3" t="b">
        <f t="shared" si="514"/>
        <v>1</v>
      </c>
      <c r="CW858" s="3" t="b">
        <f t="shared" si="515"/>
        <v>1</v>
      </c>
      <c r="CX858" s="9" t="str">
        <f t="shared" si="516"/>
        <v>5302135</v>
      </c>
      <c r="CY858" s="9" t="str">
        <f t="shared" si="517"/>
        <v>5202135</v>
      </c>
      <c r="CZ858" s="9" t="str">
        <f t="shared" si="518"/>
        <v>5202135</v>
      </c>
      <c r="DA858" s="9" t="str">
        <f t="shared" si="519"/>
        <v>5400135</v>
      </c>
      <c r="DB858" s="9" t="str">
        <f t="shared" si="520"/>
        <v>5501135</v>
      </c>
      <c r="DC858" s="9" t="str">
        <f t="shared" si="521"/>
        <v>5400135</v>
      </c>
      <c r="DD858" s="9">
        <v>13</v>
      </c>
      <c r="DE858" s="9">
        <v>13</v>
      </c>
      <c r="DF858" s="9">
        <v>13</v>
      </c>
      <c r="DG858" s="9">
        <v>13</v>
      </c>
      <c r="DH858" s="9">
        <v>13</v>
      </c>
      <c r="DI858" s="9">
        <v>13</v>
      </c>
      <c r="DJ858" s="9">
        <v>5</v>
      </c>
      <c r="DK858" s="9">
        <v>5</v>
      </c>
      <c r="DL858" s="9">
        <v>5</v>
      </c>
      <c r="DM858" s="9">
        <v>5</v>
      </c>
      <c r="DN858" s="9">
        <v>5</v>
      </c>
      <c r="DO858" s="9">
        <v>5</v>
      </c>
      <c r="DP858" s="26" t="s">
        <v>221</v>
      </c>
      <c r="DQ858" s="26" t="s">
        <v>213</v>
      </c>
      <c r="DR858" s="26" t="s">
        <v>213</v>
      </c>
      <c r="DS858" s="26" t="s">
        <v>210</v>
      </c>
      <c r="DT858" s="26" t="s">
        <v>209</v>
      </c>
      <c r="DU858" s="26" t="s">
        <v>210</v>
      </c>
      <c r="DV858" s="25">
        <f t="shared" si="522"/>
        <v>1</v>
      </c>
      <c r="DW858" s="25">
        <f t="shared" si="523"/>
        <v>1</v>
      </c>
      <c r="DX858" s="25">
        <f t="shared" si="524"/>
        <v>1</v>
      </c>
      <c r="DY858" s="25">
        <f t="shared" si="525"/>
        <v>2</v>
      </c>
      <c r="DZ858" s="25">
        <f t="shared" si="526"/>
        <v>2</v>
      </c>
      <c r="EA858" s="25">
        <f t="shared" si="527"/>
        <v>2</v>
      </c>
      <c r="EB858" s="45"/>
    </row>
    <row r="859" spans="29:132" ht="13.5" customHeight="1">
      <c r="AC859" s="9" t="str">
        <f t="shared" si="528"/>
        <v/>
      </c>
      <c r="AD859" s="9" t="str">
        <f t="shared" si="529"/>
        <v/>
      </c>
      <c r="AE859" s="9" t="str">
        <f t="shared" si="530"/>
        <v/>
      </c>
      <c r="AF859" s="9" t="str">
        <f t="shared" si="531"/>
        <v/>
      </c>
      <c r="AG859" s="9" t="str">
        <f t="shared" si="532"/>
        <v/>
      </c>
      <c r="AH859" s="9" t="str">
        <f t="shared" si="533"/>
        <v/>
      </c>
      <c r="BR859" s="5">
        <v>5503081</v>
      </c>
      <c r="BS859" s="18">
        <f>[1]monsters!$N859</f>
        <v>85.87</v>
      </c>
      <c r="BT859" s="18">
        <f>[1]monsters!$O859</f>
        <v>8.59</v>
      </c>
      <c r="BU859" s="18">
        <f>[1]monsters!$P859</f>
        <v>166.95599999999999</v>
      </c>
      <c r="BV859" s="18">
        <f>[1]monsters!$Q859</f>
        <v>83.48</v>
      </c>
      <c r="BW859" s="18">
        <f>[1]monsters!$R859</f>
        <v>10.73</v>
      </c>
      <c r="BX859" s="18">
        <f>[1]monsters!$S859</f>
        <v>1.07</v>
      </c>
      <c r="BY859" s="18">
        <f>[1]monsters!$K859</f>
        <v>1.4</v>
      </c>
      <c r="BZ859" s="5">
        <f>[1]monsters!$D859</f>
        <v>3</v>
      </c>
      <c r="CA859" s="5">
        <f t="shared" si="534"/>
        <v>0.1</v>
      </c>
      <c r="CB859" s="5">
        <f t="shared" si="535"/>
        <v>86.768564141414146</v>
      </c>
      <c r="CC859" s="5">
        <f t="shared" si="536"/>
        <v>8.6768564141414153</v>
      </c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R859" s="3" t="b">
        <f t="shared" si="510"/>
        <v>1</v>
      </c>
      <c r="CS859" s="3" t="b">
        <f t="shared" si="511"/>
        <v>1</v>
      </c>
      <c r="CT859" s="3" t="b">
        <f t="shared" si="512"/>
        <v>1</v>
      </c>
      <c r="CU859" s="3" t="b">
        <f t="shared" si="513"/>
        <v>1</v>
      </c>
      <c r="CV859" s="3" t="b">
        <f t="shared" si="514"/>
        <v>1</v>
      </c>
      <c r="CW859" s="3" t="b">
        <f t="shared" si="515"/>
        <v>1</v>
      </c>
      <c r="CX859" s="9" t="str">
        <f t="shared" si="516"/>
        <v>5300135</v>
      </c>
      <c r="CY859" s="9" t="str">
        <f t="shared" si="517"/>
        <v>5202135</v>
      </c>
      <c r="CZ859" s="9" t="str">
        <f t="shared" si="518"/>
        <v>5301132</v>
      </c>
      <c r="DA859" s="9" t="str">
        <f t="shared" si="519"/>
        <v>5500132</v>
      </c>
      <c r="DB859" s="9" t="str">
        <f t="shared" si="520"/>
        <v>5400135</v>
      </c>
      <c r="DC859" s="9" t="str">
        <f t="shared" si="521"/>
        <v>5501135</v>
      </c>
      <c r="DD859" s="9">
        <v>13</v>
      </c>
      <c r="DE859" s="9">
        <v>13</v>
      </c>
      <c r="DF859" s="9">
        <v>13</v>
      </c>
      <c r="DG859" s="9">
        <v>13</v>
      </c>
      <c r="DH859" s="9">
        <v>13</v>
      </c>
      <c r="DI859" s="9">
        <v>13</v>
      </c>
      <c r="DJ859" s="9">
        <v>5</v>
      </c>
      <c r="DK859" s="9">
        <v>5</v>
      </c>
      <c r="DL859" s="9">
        <v>5</v>
      </c>
      <c r="DM859" s="9">
        <v>5</v>
      </c>
      <c r="DN859" s="9">
        <v>5</v>
      </c>
      <c r="DO859" s="9">
        <v>5</v>
      </c>
      <c r="DP859" s="25" t="s">
        <v>212</v>
      </c>
      <c r="DQ859" s="25" t="s">
        <v>213</v>
      </c>
      <c r="DR859" s="26" t="s">
        <v>201</v>
      </c>
      <c r="DS859" s="26" t="s">
        <v>109</v>
      </c>
      <c r="DT859" s="25" t="s">
        <v>210</v>
      </c>
      <c r="DU859" s="25" t="s">
        <v>209</v>
      </c>
      <c r="DV859" s="25">
        <f t="shared" si="522"/>
        <v>1</v>
      </c>
      <c r="DW859" s="25">
        <f t="shared" si="523"/>
        <v>1</v>
      </c>
      <c r="DX859" s="25">
        <f t="shared" si="524"/>
        <v>1</v>
      </c>
      <c r="DY859" s="25">
        <f t="shared" si="525"/>
        <v>2</v>
      </c>
      <c r="DZ859" s="25">
        <f t="shared" si="526"/>
        <v>2</v>
      </c>
      <c r="EA859" s="25">
        <f t="shared" si="527"/>
        <v>2</v>
      </c>
      <c r="EB859" s="46"/>
    </row>
    <row r="860" spans="29:132" ht="13.5" customHeight="1">
      <c r="AC860" s="9" t="str">
        <f t="shared" ref="AC860:AC923" si="537">IF(AI860&gt;0,FLOOR((POWER((AI860/IF(AND(W860&gt;=2,W860&lt;4),1.1,IF(AND(W860&gt;=4,W860&lt;6),1.2,IF(W860&gt;=6,1.4,1)))/$Z$1),0.5)/INDEX($BD$4:$BQ$4,MATCH(W860,$BD$3:$BQ$3,0))-1)*10,1),"")</f>
        <v/>
      </c>
      <c r="AD860" s="9" t="str">
        <f t="shared" ref="AD860:AD923" si="538">IF(AJ860&gt;0,FLOOR((POWER((AJ860/IF(AND(X860&gt;=2,X860&lt;4),1.1,IF(AND(X860&gt;=4,X860&lt;6),1.15,IF(X860&gt;=6,1.2,1)))/$Z$1),0.5)/INDEX($BD$4:$BQ$4,MATCH(X860,$BD$3:$BQ$3,0))-1)*10,1),"")</f>
        <v/>
      </c>
      <c r="AE860" s="9" t="str">
        <f t="shared" ref="AE860:AE923" si="539">IF(AK860&gt;0,FLOOR((POWER((AK860/IF(AND(Y860&gt;=2,Y860&lt;4),1.1,IF(AND(Y860&gt;=4,Y860&lt;6),1.15,IF(Y860&gt;=6,1.2,1)))/$Z$1),0.5)/INDEX($BD$4:$BQ$4,MATCH(Y860,$BD$3:$BQ$3,0))-1)*10,1),"")</f>
        <v/>
      </c>
      <c r="AF860" s="9" t="str">
        <f t="shared" ref="AF860:AF923" si="540">IF(AL860&gt;0,FLOOR((POWER((AL860/IF(AND(Z860&gt;=2,Z860&lt;4),1.1,IF(AND(Z860&gt;=4,Z860&lt;6),1.15,IF(Z860&gt;=6,1.2,1)))/$Z$1),0.5)/INDEX($BD$4:$BQ$4,MATCH(Z860,$BD$3:$BQ$3,0))-1)*10,1),"")</f>
        <v/>
      </c>
      <c r="AG860" s="9" t="str">
        <f t="shared" ref="AG860:AG923" si="541">IF(AM860&gt;0,FLOOR((POWER((AM860/IF(AND(AA860&gt;=2,AA860&lt;4),1.1,IF(AND(AA860&gt;=4,AA860&lt;6),1.15,IF(AA860&gt;=6,1.2,1)))/$Z$1),0.5)/INDEX($BD$4:$BQ$4,MATCH(AA860,$BD$3:$BQ$3,0))-1)*10,1),"")</f>
        <v/>
      </c>
      <c r="AH860" s="9" t="str">
        <f t="shared" ref="AH860:AH923" si="542">IF(AN860&gt;0,FLOOR((POWER((AN860/IF(AND(AB860&gt;=2,AB860&lt;4),1.1,IF(AND(AB860&gt;=4,AB860&lt;6),1.15,IF(AB860&gt;=6,1.2,1)))/$Z$1),0.5)/INDEX($BD$4:$BQ$4,MATCH(AB860,$BD$3:$BQ$3,0))-1)*10,1),"")</f>
        <v/>
      </c>
      <c r="BR860" s="5">
        <v>5504081</v>
      </c>
      <c r="BS860" s="18">
        <f>[1]monsters!$N860</f>
        <v>299</v>
      </c>
      <c r="BT860" s="18">
        <f>[1]monsters!$O860</f>
        <v>1</v>
      </c>
      <c r="BU860" s="18">
        <f>[1]monsters!$P860</f>
        <v>799</v>
      </c>
      <c r="BV860" s="18">
        <f>[1]monsters!$Q860</f>
        <v>1</v>
      </c>
      <c r="BW860" s="18">
        <f>[1]monsters!$R860</f>
        <v>1</v>
      </c>
      <c r="BX860" s="18">
        <f>[1]monsters!$S860</f>
        <v>1</v>
      </c>
      <c r="BY860" s="18">
        <f>[1]monsters!$K860</f>
        <v>1.6</v>
      </c>
      <c r="BZ860" s="5">
        <f>[1]monsters!$D860</f>
        <v>2</v>
      </c>
      <c r="CA860" s="5">
        <f t="shared" si="534"/>
        <v>0.1</v>
      </c>
      <c r="CB860" s="5">
        <f t="shared" si="535"/>
        <v>309.45735690235688</v>
      </c>
      <c r="CC860" s="5">
        <f t="shared" si="536"/>
        <v>30.94573569023569</v>
      </c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R860" s="3" t="b">
        <f t="shared" ref="CR860:CR923" si="543">IF(ISERROR(MATCH(INT(CX860),$EC$4:$EC$426,0))=FALSE,TRUE)</f>
        <v>1</v>
      </c>
      <c r="CS860" s="3" t="b">
        <f t="shared" ref="CS860:CS923" si="544">IF(ISERROR(MATCH(INT(CY860),$EC$4:$EC$426,0))=FALSE,TRUE)</f>
        <v>1</v>
      </c>
      <c r="CT860" s="3" t="b">
        <f t="shared" ref="CT860:CT923" si="545">IF(ISERROR(MATCH(INT(CZ860),$EC$4:$EC$426,0))=FALSE,TRUE)</f>
        <v>1</v>
      </c>
      <c r="CU860" s="3" t="b">
        <f t="shared" ref="CU860:CU923" si="546">IF(ISERROR(MATCH(INT(DA860),$EC$4:$EC$426,0))=FALSE,TRUE)</f>
        <v>1</v>
      </c>
      <c r="CV860" s="3" t="b">
        <f t="shared" ref="CV860:CV923" si="547">IF(ISERROR(MATCH(INT(DB860),$EC$4:$EC$426,0))=FALSE,TRUE)</f>
        <v>1</v>
      </c>
      <c r="CW860" s="3" t="b">
        <f t="shared" ref="CW860:CW923" si="548">IF(ISERROR(MATCH(INT(DC860),$EC$4:$EC$426,0))=FALSE,TRUE)</f>
        <v>1</v>
      </c>
      <c r="CX860" s="9" t="str">
        <f t="shared" ref="CX860:CX923" si="549">REPLACE(REPLACE(INDEX($EC$4:$EC$426,MATCH(DP860,$ED$4:$ED$426,0)),IF(DD860&gt;9,5,6),IF(DD860&gt;9,2,1),DD860),1,1,DJ860)</f>
        <v>5202133</v>
      </c>
      <c r="CY860" s="9" t="str">
        <f t="shared" ref="CY860:CY923" si="550">REPLACE(REPLACE(INDEX($EC$4:$EC$426,MATCH(DQ860,$ED$4:$ED$426,0)),IF(DE860&gt;9,5,6),IF(DE860&gt;9,2,1),DE860),1,1,DK860)</f>
        <v>5202132</v>
      </c>
      <c r="CZ860" s="9" t="str">
        <f t="shared" ref="CZ860:CZ923" si="551">REPLACE(REPLACE(INDEX($EC$4:$EC$426,MATCH(DR860,$ED$4:$ED$426,0)),IF(DF860&gt;9,5,6),IF(DF860&gt;9,2,1),DF860),1,1,DL860)</f>
        <v>5201134</v>
      </c>
      <c r="DA860" s="9" t="str">
        <f t="shared" ref="DA860:DA923" si="552">REPLACE(REPLACE(INDEX($EC$4:$EC$426,MATCH(DS860,$ED$4:$ED$426,0)),IF(DG860&gt;9,5,6),IF(DG860&gt;9,2,1),DG860),1,1,DM860)</f>
        <v>5501134</v>
      </c>
      <c r="DB860" s="9" t="str">
        <f t="shared" ref="DB860:DB923" si="553">REPLACE(REPLACE(INDEX($EC$4:$EC$426,MATCH(DT860,$ED$4:$ED$426,0)),IF(DH860&gt;9,5,6),IF(DH860&gt;9,2,1),DH860),1,1,DN860)</f>
        <v>5500133</v>
      </c>
      <c r="DC860" s="9" t="str">
        <f t="shared" ref="DC860:DC923" si="554">REPLACE(REPLACE(INDEX($EC$4:$EC$426,MATCH(DU860,$ED$4:$ED$426,0)),IF(DI860&gt;9,5,6),IF(DI860&gt;9,2,1),DI860),1,1,DO860)</f>
        <v>5501134</v>
      </c>
      <c r="DD860" s="9">
        <v>13</v>
      </c>
      <c r="DE860" s="9">
        <v>13</v>
      </c>
      <c r="DF860" s="9">
        <v>13</v>
      </c>
      <c r="DG860" s="9">
        <v>13</v>
      </c>
      <c r="DH860" s="9">
        <v>13</v>
      </c>
      <c r="DI860" s="9">
        <v>13</v>
      </c>
      <c r="DJ860" s="9">
        <v>5</v>
      </c>
      <c r="DK860" s="9">
        <v>5</v>
      </c>
      <c r="DL860" s="9">
        <v>5</v>
      </c>
      <c r="DM860" s="9">
        <v>5</v>
      </c>
      <c r="DN860" s="9">
        <v>5</v>
      </c>
      <c r="DO860" s="9">
        <v>5</v>
      </c>
      <c r="DP860" s="25" t="s">
        <v>208</v>
      </c>
      <c r="DQ860" s="25" t="s">
        <v>200</v>
      </c>
      <c r="DR860" s="26" t="s">
        <v>217</v>
      </c>
      <c r="DS860" s="26" t="s">
        <v>214</v>
      </c>
      <c r="DT860" s="26" t="s">
        <v>207</v>
      </c>
      <c r="DU860" s="26" t="s">
        <v>214</v>
      </c>
      <c r="DV860" s="25">
        <f t="shared" ref="DV860:DV923" si="555">INDEX($EE$4:$EE$426,MATCH(DP860,$ED$4:$ED$426,0))</f>
        <v>1</v>
      </c>
      <c r="DW860" s="25">
        <f t="shared" ref="DW860:DW923" si="556">INDEX($EE$4:$EE$426,MATCH(DQ860,$ED$4:$ED$426,0))</f>
        <v>1</v>
      </c>
      <c r="DX860" s="25">
        <f t="shared" ref="DX860:DX923" si="557">INDEX($EE$4:$EE$426,MATCH(DR860,$ED$4:$ED$426,0))</f>
        <v>1</v>
      </c>
      <c r="DY860" s="25">
        <f t="shared" ref="DY860:DY923" si="558">INDEX($EE$4:$EE$426,MATCH(DS860,$ED$4:$ED$426,0))</f>
        <v>2</v>
      </c>
      <c r="DZ860" s="25">
        <f t="shared" ref="DZ860:DZ923" si="559">INDEX($EE$4:$EE$426,MATCH(DT860,$ED$4:$ED$426,0))</f>
        <v>2</v>
      </c>
      <c r="EA860" s="25">
        <f t="shared" ref="EA860:EA923" si="560">INDEX($EE$4:$EE$426,MATCH(DU860,$ED$4:$ED$426,0))</f>
        <v>2</v>
      </c>
      <c r="EB860" s="45"/>
    </row>
    <row r="861" spans="29:132" ht="13.5" customHeight="1">
      <c r="AC861" s="9" t="str">
        <f t="shared" si="537"/>
        <v/>
      </c>
      <c r="AD861" s="9" t="str">
        <f t="shared" si="538"/>
        <v/>
      </c>
      <c r="AE861" s="9" t="str">
        <f t="shared" si="539"/>
        <v/>
      </c>
      <c r="AF861" s="9" t="str">
        <f t="shared" si="540"/>
        <v/>
      </c>
      <c r="AG861" s="9" t="str">
        <f t="shared" si="541"/>
        <v/>
      </c>
      <c r="AH861" s="9" t="str">
        <f t="shared" si="542"/>
        <v/>
      </c>
      <c r="BR861" s="5">
        <v>5101081</v>
      </c>
      <c r="BS861" s="18">
        <f>[1]monsters!$N861</f>
        <v>200</v>
      </c>
      <c r="BT861" s="18">
        <f>[1]monsters!$O861</f>
        <v>1</v>
      </c>
      <c r="BU861" s="18">
        <f>[1]monsters!$P861</f>
        <v>1000</v>
      </c>
      <c r="BV861" s="18">
        <f>[1]monsters!$Q861</f>
        <v>1</v>
      </c>
      <c r="BW861" s="18">
        <f>[1]monsters!$R861</f>
        <v>1</v>
      </c>
      <c r="BX861" s="18">
        <f>[1]monsters!$S861</f>
        <v>1</v>
      </c>
      <c r="BY861" s="18">
        <f>[1]monsters!$K861</f>
        <v>1.4</v>
      </c>
      <c r="BZ861" s="5">
        <f>[1]monsters!$D861</f>
        <v>3</v>
      </c>
      <c r="CA861" s="5">
        <f t="shared" si="534"/>
        <v>0.1</v>
      </c>
      <c r="CB861" s="5">
        <f t="shared" si="535"/>
        <v>222.67003367003366</v>
      </c>
      <c r="CC861" s="5">
        <f t="shared" si="536"/>
        <v>22.267003367003369</v>
      </c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R861" s="3" t="b">
        <f t="shared" si="543"/>
        <v>1</v>
      </c>
      <c r="CS861" s="3" t="b">
        <f t="shared" si="544"/>
        <v>1</v>
      </c>
      <c r="CT861" s="3" t="b">
        <f t="shared" si="545"/>
        <v>1</v>
      </c>
      <c r="CU861" s="3" t="b">
        <f t="shared" si="546"/>
        <v>1</v>
      </c>
      <c r="CV861" s="3" t="b">
        <f t="shared" si="547"/>
        <v>1</v>
      </c>
      <c r="CW861" s="3" t="b">
        <f t="shared" si="548"/>
        <v>1</v>
      </c>
      <c r="CX861" s="9" t="str">
        <f t="shared" si="549"/>
        <v>5202133</v>
      </c>
      <c r="CY861" s="9" t="str">
        <f t="shared" si="550"/>
        <v>5202132</v>
      </c>
      <c r="CZ861" s="9" t="str">
        <f t="shared" si="551"/>
        <v>5301133</v>
      </c>
      <c r="DA861" s="9" t="str">
        <f t="shared" si="552"/>
        <v>5601133</v>
      </c>
      <c r="DB861" s="9" t="str">
        <f t="shared" si="553"/>
        <v>5500133</v>
      </c>
      <c r="DC861" s="9" t="str">
        <f t="shared" si="554"/>
        <v>5502133</v>
      </c>
      <c r="DD861" s="9">
        <v>13</v>
      </c>
      <c r="DE861" s="9">
        <v>13</v>
      </c>
      <c r="DF861" s="9">
        <v>13</v>
      </c>
      <c r="DG861" s="9">
        <v>13</v>
      </c>
      <c r="DH861" s="9">
        <v>13</v>
      </c>
      <c r="DI861" s="9">
        <v>13</v>
      </c>
      <c r="DJ861" s="9">
        <v>5</v>
      </c>
      <c r="DK861" s="9">
        <v>5</v>
      </c>
      <c r="DL861" s="9">
        <v>5</v>
      </c>
      <c r="DM861" s="9">
        <v>5</v>
      </c>
      <c r="DN861" s="9">
        <v>5</v>
      </c>
      <c r="DO861" s="9">
        <v>5</v>
      </c>
      <c r="DP861" s="25" t="s">
        <v>208</v>
      </c>
      <c r="DQ861" s="25" t="s">
        <v>200</v>
      </c>
      <c r="DR861" s="25" t="s">
        <v>206</v>
      </c>
      <c r="DS861" s="25" t="s">
        <v>216</v>
      </c>
      <c r="DT861" s="26" t="s">
        <v>207</v>
      </c>
      <c r="DU861" s="26" t="s">
        <v>215</v>
      </c>
      <c r="DV861" s="25">
        <f t="shared" si="555"/>
        <v>1</v>
      </c>
      <c r="DW861" s="25">
        <f t="shared" si="556"/>
        <v>1</v>
      </c>
      <c r="DX861" s="25">
        <f t="shared" si="557"/>
        <v>1</v>
      </c>
      <c r="DY861" s="25">
        <f t="shared" si="558"/>
        <v>2</v>
      </c>
      <c r="DZ861" s="25">
        <f t="shared" si="559"/>
        <v>2</v>
      </c>
      <c r="EA861" s="25">
        <f t="shared" si="560"/>
        <v>2</v>
      </c>
      <c r="EB861" s="45"/>
    </row>
    <row r="862" spans="29:132" ht="13.5" customHeight="1">
      <c r="AC862" s="9" t="str">
        <f t="shared" si="537"/>
        <v/>
      </c>
      <c r="AD862" s="9" t="str">
        <f t="shared" si="538"/>
        <v/>
      </c>
      <c r="AE862" s="9" t="str">
        <f t="shared" si="539"/>
        <v/>
      </c>
      <c r="AF862" s="9" t="str">
        <f t="shared" si="540"/>
        <v/>
      </c>
      <c r="AG862" s="9" t="str">
        <f t="shared" si="541"/>
        <v/>
      </c>
      <c r="AH862" s="9" t="str">
        <f t="shared" si="542"/>
        <v/>
      </c>
      <c r="BR862" s="5">
        <v>5102081</v>
      </c>
      <c r="BS862" s="18">
        <f>[1]monsters!$N862</f>
        <v>200</v>
      </c>
      <c r="BT862" s="18">
        <f>[1]monsters!$O862</f>
        <v>1</v>
      </c>
      <c r="BU862" s="18">
        <f>[1]monsters!$P862</f>
        <v>1000</v>
      </c>
      <c r="BV862" s="18">
        <f>[1]monsters!$Q862</f>
        <v>1</v>
      </c>
      <c r="BW862" s="18">
        <f>[1]monsters!$R862</f>
        <v>1</v>
      </c>
      <c r="BX862" s="18">
        <f>[1]monsters!$S862</f>
        <v>1</v>
      </c>
      <c r="BY862" s="18">
        <f>[1]monsters!$K862</f>
        <v>1.8</v>
      </c>
      <c r="BZ862" s="5">
        <f>[1]monsters!$D862</f>
        <v>2</v>
      </c>
      <c r="CA862" s="5">
        <f t="shared" si="534"/>
        <v>0.1</v>
      </c>
      <c r="CB862" s="5">
        <f t="shared" si="535"/>
        <v>222.67003367003366</v>
      </c>
      <c r="CC862" s="5">
        <f t="shared" si="536"/>
        <v>22.267003367003369</v>
      </c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R862" s="3" t="b">
        <f t="shared" si="543"/>
        <v>1</v>
      </c>
      <c r="CS862" s="3" t="b">
        <f t="shared" si="544"/>
        <v>1</v>
      </c>
      <c r="CT862" s="3" t="b">
        <f t="shared" si="545"/>
        <v>1</v>
      </c>
      <c r="CU862" s="3" t="b">
        <f t="shared" si="546"/>
        <v>1</v>
      </c>
      <c r="CV862" s="3" t="b">
        <f t="shared" si="547"/>
        <v>1</v>
      </c>
      <c r="CW862" s="3" t="b">
        <f t="shared" si="548"/>
        <v>1</v>
      </c>
      <c r="CX862" s="9" t="str">
        <f t="shared" si="549"/>
        <v>5201133</v>
      </c>
      <c r="CY862" s="9" t="str">
        <f t="shared" si="550"/>
        <v>5201133</v>
      </c>
      <c r="CZ862" s="9" t="str">
        <f t="shared" si="551"/>
        <v>5201133</v>
      </c>
      <c r="DA862" s="9" t="str">
        <f t="shared" si="552"/>
        <v>5402133</v>
      </c>
      <c r="DB862" s="9" t="str">
        <f t="shared" si="553"/>
        <v>5402133</v>
      </c>
      <c r="DC862" s="9" t="str">
        <f t="shared" si="554"/>
        <v>5402133</v>
      </c>
      <c r="DD862" s="9">
        <v>13</v>
      </c>
      <c r="DE862" s="9">
        <v>13</v>
      </c>
      <c r="DF862" s="9">
        <v>13</v>
      </c>
      <c r="DG862" s="9">
        <v>13</v>
      </c>
      <c r="DH862" s="9">
        <v>13</v>
      </c>
      <c r="DI862" s="9">
        <v>13</v>
      </c>
      <c r="DJ862" s="9">
        <v>5</v>
      </c>
      <c r="DK862" s="9">
        <v>5</v>
      </c>
      <c r="DL862" s="9">
        <v>5</v>
      </c>
      <c r="DM862" s="9">
        <v>5</v>
      </c>
      <c r="DN862" s="9">
        <v>5</v>
      </c>
      <c r="DO862" s="9">
        <v>5</v>
      </c>
      <c r="DP862" s="25" t="s">
        <v>205</v>
      </c>
      <c r="DQ862" s="25" t="s">
        <v>205</v>
      </c>
      <c r="DR862" s="25" t="s">
        <v>205</v>
      </c>
      <c r="DS862" s="26" t="s">
        <v>118</v>
      </c>
      <c r="DT862" s="26" t="s">
        <v>118</v>
      </c>
      <c r="DU862" s="26" t="s">
        <v>118</v>
      </c>
      <c r="DV862" s="25">
        <f t="shared" si="555"/>
        <v>1</v>
      </c>
      <c r="DW862" s="25">
        <f t="shared" si="556"/>
        <v>1</v>
      </c>
      <c r="DX862" s="25">
        <f t="shared" si="557"/>
        <v>1</v>
      </c>
      <c r="DY862" s="25">
        <f t="shared" si="558"/>
        <v>2</v>
      </c>
      <c r="DZ862" s="25">
        <f t="shared" si="559"/>
        <v>2</v>
      </c>
      <c r="EA862" s="25">
        <f t="shared" si="560"/>
        <v>2</v>
      </c>
      <c r="EB862" s="45"/>
    </row>
    <row r="863" spans="29:132" ht="13.5" customHeight="1">
      <c r="AC863" s="9" t="str">
        <f t="shared" si="537"/>
        <v/>
      </c>
      <c r="AD863" s="9" t="str">
        <f t="shared" si="538"/>
        <v/>
      </c>
      <c r="AE863" s="9" t="str">
        <f t="shared" si="539"/>
        <v/>
      </c>
      <c r="AF863" s="9" t="str">
        <f t="shared" si="540"/>
        <v/>
      </c>
      <c r="AG863" s="9" t="str">
        <f t="shared" si="541"/>
        <v/>
      </c>
      <c r="AH863" s="9" t="str">
        <f t="shared" si="542"/>
        <v/>
      </c>
      <c r="BR863" s="5">
        <v>5206082</v>
      </c>
      <c r="BS863" s="18">
        <f>[1]monsters!$N863</f>
        <v>0</v>
      </c>
      <c r="BT863" s="18">
        <f>[1]monsters!$O863</f>
        <v>0</v>
      </c>
      <c r="BU863" s="18">
        <f>[1]monsters!$P863</f>
        <v>0</v>
      </c>
      <c r="BV863" s="18">
        <f>[1]monsters!$Q863</f>
        <v>0</v>
      </c>
      <c r="BW863" s="18">
        <f>[1]monsters!$R863</f>
        <v>0</v>
      </c>
      <c r="BX863" s="18">
        <f>[1]monsters!$S863</f>
        <v>0</v>
      </c>
      <c r="BY863" s="18">
        <f>[1]monsters!$K863</f>
        <v>0</v>
      </c>
      <c r="BZ863" s="5">
        <f>[1]monsters!$D863</f>
        <v>0</v>
      </c>
      <c r="CA863" s="5" t="e">
        <f t="shared" si="534"/>
        <v>#N/A</v>
      </c>
      <c r="CB863" s="5" t="e">
        <f t="shared" si="535"/>
        <v>#N/A</v>
      </c>
      <c r="CC863" s="5" t="e">
        <f t="shared" si="536"/>
        <v>#N/A</v>
      </c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R863" s="3" t="b">
        <f t="shared" si="543"/>
        <v>1</v>
      </c>
      <c r="CS863" s="3" t="b">
        <f t="shared" si="544"/>
        <v>1</v>
      </c>
      <c r="CT863" s="3" t="b">
        <f t="shared" si="545"/>
        <v>1</v>
      </c>
      <c r="CU863" s="3" t="b">
        <f t="shared" si="546"/>
        <v>1</v>
      </c>
      <c r="CV863" s="3" t="b">
        <f t="shared" si="547"/>
        <v>1</v>
      </c>
      <c r="CW863" s="3" t="b">
        <f t="shared" si="548"/>
        <v>1</v>
      </c>
      <c r="CX863" s="9" t="str">
        <f t="shared" si="549"/>
        <v>5302135</v>
      </c>
      <c r="CY863" s="9" t="str">
        <f t="shared" si="550"/>
        <v>5202135</v>
      </c>
      <c r="CZ863" s="9" t="str">
        <f t="shared" si="551"/>
        <v>5202135</v>
      </c>
      <c r="DA863" s="9" t="str">
        <f t="shared" si="552"/>
        <v>5502132</v>
      </c>
      <c r="DB863" s="9" t="str">
        <f t="shared" si="553"/>
        <v>5500132</v>
      </c>
      <c r="DC863" s="9" t="str">
        <f t="shared" si="554"/>
        <v>5502133</v>
      </c>
      <c r="DD863" s="9">
        <v>13</v>
      </c>
      <c r="DE863" s="9">
        <v>13</v>
      </c>
      <c r="DF863" s="9">
        <v>13</v>
      </c>
      <c r="DG863" s="9">
        <v>13</v>
      </c>
      <c r="DH863" s="9">
        <v>13</v>
      </c>
      <c r="DI863" s="9">
        <v>13</v>
      </c>
      <c r="DJ863" s="9">
        <v>5</v>
      </c>
      <c r="DK863" s="9">
        <v>5</v>
      </c>
      <c r="DL863" s="9">
        <v>5</v>
      </c>
      <c r="DM863" s="9">
        <v>5</v>
      </c>
      <c r="DN863" s="9">
        <v>5</v>
      </c>
      <c r="DO863" s="9">
        <v>5</v>
      </c>
      <c r="DP863" s="25" t="s">
        <v>221</v>
      </c>
      <c r="DQ863" s="25" t="s">
        <v>213</v>
      </c>
      <c r="DR863" s="25" t="s">
        <v>213</v>
      </c>
      <c r="DS863" s="26" t="s">
        <v>204</v>
      </c>
      <c r="DT863" s="26" t="s">
        <v>109</v>
      </c>
      <c r="DU863" s="26" t="s">
        <v>215</v>
      </c>
      <c r="DV863" s="25">
        <f t="shared" si="555"/>
        <v>1</v>
      </c>
      <c r="DW863" s="25">
        <f t="shared" si="556"/>
        <v>1</v>
      </c>
      <c r="DX863" s="25">
        <f t="shared" si="557"/>
        <v>1</v>
      </c>
      <c r="DY863" s="25">
        <f t="shared" si="558"/>
        <v>2</v>
      </c>
      <c r="DZ863" s="25">
        <f t="shared" si="559"/>
        <v>2</v>
      </c>
      <c r="EA863" s="25">
        <f t="shared" si="560"/>
        <v>2</v>
      </c>
      <c r="EB863" s="47"/>
    </row>
    <row r="864" spans="29:132" ht="13.5" customHeight="1">
      <c r="AC864" s="9" t="str">
        <f t="shared" si="537"/>
        <v/>
      </c>
      <c r="AD864" s="9" t="str">
        <f t="shared" si="538"/>
        <v/>
      </c>
      <c r="AE864" s="9" t="str">
        <f t="shared" si="539"/>
        <v/>
      </c>
      <c r="AF864" s="9" t="str">
        <f t="shared" si="540"/>
        <v/>
      </c>
      <c r="AG864" s="9" t="str">
        <f t="shared" si="541"/>
        <v/>
      </c>
      <c r="AH864" s="9" t="str">
        <f t="shared" si="542"/>
        <v/>
      </c>
      <c r="BR864" s="5">
        <v>5406082</v>
      </c>
      <c r="BS864" s="18">
        <f>[1]monsters!$N864</f>
        <v>0</v>
      </c>
      <c r="BT864" s="18">
        <f>[1]monsters!$O864</f>
        <v>0</v>
      </c>
      <c r="BU864" s="18">
        <f>[1]monsters!$P864</f>
        <v>0</v>
      </c>
      <c r="BV864" s="18">
        <f>[1]monsters!$Q864</f>
        <v>0</v>
      </c>
      <c r="BW864" s="18">
        <f>[1]monsters!$R864</f>
        <v>0</v>
      </c>
      <c r="BX864" s="18">
        <f>[1]monsters!$S864</f>
        <v>0</v>
      </c>
      <c r="BY864" s="18">
        <f>[1]monsters!$K864</f>
        <v>0</v>
      </c>
      <c r="BZ864" s="5">
        <f>[1]monsters!$D864</f>
        <v>0</v>
      </c>
      <c r="CA864" s="5" t="e">
        <f t="shared" si="534"/>
        <v>#N/A</v>
      </c>
      <c r="CB864" s="5" t="e">
        <f t="shared" si="535"/>
        <v>#N/A</v>
      </c>
      <c r="CC864" s="5" t="e">
        <f t="shared" si="536"/>
        <v>#N/A</v>
      </c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R864" s="3" t="b">
        <f t="shared" si="543"/>
        <v>1</v>
      </c>
      <c r="CS864" s="3" t="b">
        <f t="shared" si="544"/>
        <v>1</v>
      </c>
      <c r="CT864" s="3" t="b">
        <f t="shared" si="545"/>
        <v>1</v>
      </c>
      <c r="CU864" s="3" t="b">
        <f t="shared" si="546"/>
        <v>1</v>
      </c>
      <c r="CV864" s="3" t="b">
        <f t="shared" si="547"/>
        <v>1</v>
      </c>
      <c r="CW864" s="3" t="b">
        <f t="shared" si="548"/>
        <v>1</v>
      </c>
      <c r="CX864" s="9" t="str">
        <f t="shared" si="549"/>
        <v>5200132</v>
      </c>
      <c r="CY864" s="9" t="str">
        <f t="shared" si="550"/>
        <v>5200133</v>
      </c>
      <c r="CZ864" s="9" t="str">
        <f t="shared" si="551"/>
        <v>5200132</v>
      </c>
      <c r="DA864" s="9" t="str">
        <f t="shared" si="552"/>
        <v>5401131</v>
      </c>
      <c r="DB864" s="9" t="str">
        <f t="shared" si="553"/>
        <v>5501135</v>
      </c>
      <c r="DC864" s="9" t="str">
        <f t="shared" si="554"/>
        <v>5400135</v>
      </c>
      <c r="DD864" s="9">
        <v>13</v>
      </c>
      <c r="DE864" s="9">
        <v>13</v>
      </c>
      <c r="DF864" s="9">
        <v>13</v>
      </c>
      <c r="DG864" s="9">
        <v>13</v>
      </c>
      <c r="DH864" s="9">
        <v>13</v>
      </c>
      <c r="DI864" s="9">
        <v>13</v>
      </c>
      <c r="DJ864" s="9">
        <v>5</v>
      </c>
      <c r="DK864" s="9">
        <v>5</v>
      </c>
      <c r="DL864" s="9">
        <v>5</v>
      </c>
      <c r="DM864" s="9">
        <v>5</v>
      </c>
      <c r="DN864" s="9">
        <v>5</v>
      </c>
      <c r="DO864" s="9">
        <v>5</v>
      </c>
      <c r="DP864" s="25" t="s">
        <v>199</v>
      </c>
      <c r="DQ864" s="25" t="s">
        <v>113</v>
      </c>
      <c r="DR864" s="25" t="s">
        <v>199</v>
      </c>
      <c r="DS864" s="26" t="s">
        <v>117</v>
      </c>
      <c r="DT864" s="26" t="s">
        <v>209</v>
      </c>
      <c r="DU864" s="26" t="s">
        <v>210</v>
      </c>
      <c r="DV864" s="25">
        <f t="shared" si="555"/>
        <v>1</v>
      </c>
      <c r="DW864" s="25">
        <f t="shared" si="556"/>
        <v>1</v>
      </c>
      <c r="DX864" s="25">
        <f t="shared" si="557"/>
        <v>1</v>
      </c>
      <c r="DY864" s="25">
        <f t="shared" si="558"/>
        <v>2</v>
      </c>
      <c r="DZ864" s="25">
        <f t="shared" si="559"/>
        <v>2</v>
      </c>
      <c r="EA864" s="25">
        <f t="shared" si="560"/>
        <v>2</v>
      </c>
      <c r="EB864" s="47"/>
    </row>
    <row r="865" spans="29:132" ht="13.5" customHeight="1">
      <c r="AC865" s="9" t="str">
        <f t="shared" si="537"/>
        <v/>
      </c>
      <c r="AD865" s="9" t="str">
        <f t="shared" si="538"/>
        <v/>
      </c>
      <c r="AE865" s="9" t="str">
        <f t="shared" si="539"/>
        <v/>
      </c>
      <c r="AF865" s="9" t="str">
        <f t="shared" si="540"/>
        <v/>
      </c>
      <c r="AG865" s="9" t="str">
        <f t="shared" si="541"/>
        <v/>
      </c>
      <c r="AH865" s="9" t="str">
        <f t="shared" si="542"/>
        <v/>
      </c>
      <c r="BR865" s="5">
        <v>5205082</v>
      </c>
      <c r="BS865" s="18">
        <f>[1]monsters!$N865</f>
        <v>0</v>
      </c>
      <c r="BT865" s="18">
        <f>[1]monsters!$O865</f>
        <v>0</v>
      </c>
      <c r="BU865" s="18">
        <f>[1]monsters!$P865</f>
        <v>0</v>
      </c>
      <c r="BV865" s="18">
        <f>[1]monsters!$Q865</f>
        <v>0</v>
      </c>
      <c r="BW865" s="18">
        <f>[1]monsters!$R865</f>
        <v>0</v>
      </c>
      <c r="BX865" s="18">
        <f>[1]monsters!$S865</f>
        <v>0</v>
      </c>
      <c r="BY865" s="18">
        <f>[1]monsters!$K865</f>
        <v>0</v>
      </c>
      <c r="BZ865" s="5">
        <f>[1]monsters!$D865</f>
        <v>0</v>
      </c>
      <c r="CA865" s="5" t="e">
        <f t="shared" si="534"/>
        <v>#N/A</v>
      </c>
      <c r="CB865" s="5" t="e">
        <f t="shared" si="535"/>
        <v>#N/A</v>
      </c>
      <c r="CC865" s="5" t="e">
        <f t="shared" si="536"/>
        <v>#N/A</v>
      </c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R865" s="3" t="b">
        <f t="shared" si="543"/>
        <v>1</v>
      </c>
      <c r="CS865" s="3" t="b">
        <f t="shared" si="544"/>
        <v>1</v>
      </c>
      <c r="CT865" s="3" t="b">
        <f t="shared" si="545"/>
        <v>1</v>
      </c>
      <c r="CU865" s="3" t="b">
        <f t="shared" si="546"/>
        <v>1</v>
      </c>
      <c r="CV865" s="3" t="b">
        <f t="shared" si="547"/>
        <v>1</v>
      </c>
      <c r="CW865" s="3" t="b">
        <f t="shared" si="548"/>
        <v>1</v>
      </c>
      <c r="CX865" s="9" t="str">
        <f t="shared" si="549"/>
        <v>5202131</v>
      </c>
      <c r="CY865" s="9" t="str">
        <f t="shared" si="550"/>
        <v>5202132</v>
      </c>
      <c r="CZ865" s="9" t="str">
        <f t="shared" si="551"/>
        <v>5301132</v>
      </c>
      <c r="DA865" s="9" t="str">
        <f t="shared" si="552"/>
        <v>5502131</v>
      </c>
      <c r="DB865" s="9" t="str">
        <f t="shared" si="553"/>
        <v>5500131</v>
      </c>
      <c r="DC865" s="9" t="str">
        <f t="shared" si="554"/>
        <v>5502131</v>
      </c>
      <c r="DD865" s="9">
        <v>13</v>
      </c>
      <c r="DE865" s="9">
        <v>13</v>
      </c>
      <c r="DF865" s="9">
        <v>13</v>
      </c>
      <c r="DG865" s="9">
        <v>13</v>
      </c>
      <c r="DH865" s="9">
        <v>13</v>
      </c>
      <c r="DI865" s="9">
        <v>13</v>
      </c>
      <c r="DJ865" s="9">
        <v>5</v>
      </c>
      <c r="DK865" s="9">
        <v>5</v>
      </c>
      <c r="DL865" s="9">
        <v>5</v>
      </c>
      <c r="DM865" s="9">
        <v>5</v>
      </c>
      <c r="DN865" s="9">
        <v>5</v>
      </c>
      <c r="DO865" s="9">
        <v>5</v>
      </c>
      <c r="DP865" s="25" t="s">
        <v>111</v>
      </c>
      <c r="DQ865" s="25" t="s">
        <v>200</v>
      </c>
      <c r="DR865" s="25" t="s">
        <v>201</v>
      </c>
      <c r="DS865" s="26" t="s">
        <v>119</v>
      </c>
      <c r="DT865" s="26" t="s">
        <v>197</v>
      </c>
      <c r="DU865" s="26" t="s">
        <v>119</v>
      </c>
      <c r="DV865" s="25">
        <f t="shared" si="555"/>
        <v>1</v>
      </c>
      <c r="DW865" s="25">
        <f t="shared" si="556"/>
        <v>1</v>
      </c>
      <c r="DX865" s="25">
        <f t="shared" si="557"/>
        <v>1</v>
      </c>
      <c r="DY865" s="25">
        <f t="shared" si="558"/>
        <v>2</v>
      </c>
      <c r="DZ865" s="25">
        <f t="shared" si="559"/>
        <v>2</v>
      </c>
      <c r="EA865" s="25">
        <f t="shared" si="560"/>
        <v>2</v>
      </c>
      <c r="EB865" s="47"/>
    </row>
    <row r="866" spans="29:132" ht="13.5" customHeight="1">
      <c r="AC866" s="9" t="str">
        <f t="shared" si="537"/>
        <v/>
      </c>
      <c r="AD866" s="9" t="str">
        <f t="shared" si="538"/>
        <v/>
      </c>
      <c r="AE866" s="9" t="str">
        <f t="shared" si="539"/>
        <v/>
      </c>
      <c r="AF866" s="9" t="str">
        <f t="shared" si="540"/>
        <v/>
      </c>
      <c r="AG866" s="9" t="str">
        <f t="shared" si="541"/>
        <v/>
      </c>
      <c r="AH866" s="9" t="str">
        <f t="shared" si="542"/>
        <v/>
      </c>
      <c r="BR866" s="5">
        <v>5405082</v>
      </c>
      <c r="BS866" s="18">
        <f>[1]monsters!$N866</f>
        <v>0</v>
      </c>
      <c r="BT866" s="18">
        <f>[1]monsters!$O866</f>
        <v>0</v>
      </c>
      <c r="BU866" s="18">
        <f>[1]monsters!$P866</f>
        <v>0</v>
      </c>
      <c r="BV866" s="18">
        <f>[1]monsters!$Q866</f>
        <v>0</v>
      </c>
      <c r="BW866" s="18">
        <f>[1]monsters!$R866</f>
        <v>0</v>
      </c>
      <c r="BX866" s="18">
        <f>[1]monsters!$S866</f>
        <v>0</v>
      </c>
      <c r="BY866" s="18">
        <f>[1]monsters!$K866</f>
        <v>0</v>
      </c>
      <c r="BZ866" s="5">
        <f>[1]monsters!$D866</f>
        <v>0</v>
      </c>
      <c r="CA866" s="5" t="e">
        <f t="shared" si="534"/>
        <v>#N/A</v>
      </c>
      <c r="CB866" s="5" t="e">
        <f t="shared" si="535"/>
        <v>#N/A</v>
      </c>
      <c r="CC866" s="5" t="e">
        <f t="shared" si="536"/>
        <v>#N/A</v>
      </c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R866" s="3" t="b">
        <f t="shared" si="543"/>
        <v>1</v>
      </c>
      <c r="CS866" s="3" t="b">
        <f t="shared" si="544"/>
        <v>1</v>
      </c>
      <c r="CT866" s="3" t="b">
        <f t="shared" si="545"/>
        <v>1</v>
      </c>
      <c r="CU866" s="3" t="b">
        <f t="shared" si="546"/>
        <v>1</v>
      </c>
      <c r="CV866" s="3" t="b">
        <f t="shared" si="547"/>
        <v>1</v>
      </c>
      <c r="CW866" s="3" t="b">
        <f t="shared" si="548"/>
        <v>1</v>
      </c>
      <c r="CX866" s="9" t="str">
        <f t="shared" si="549"/>
        <v>5202132</v>
      </c>
      <c r="CY866" s="9" t="str">
        <f t="shared" si="550"/>
        <v>5201132</v>
      </c>
      <c r="CZ866" s="9" t="str">
        <f t="shared" si="551"/>
        <v>5301131</v>
      </c>
      <c r="DA866" s="9" t="str">
        <f t="shared" si="552"/>
        <v>5500132</v>
      </c>
      <c r="DB866" s="9" t="str">
        <f t="shared" si="553"/>
        <v>5502132</v>
      </c>
      <c r="DC866" s="9" t="str">
        <f t="shared" si="554"/>
        <v>5502132</v>
      </c>
      <c r="DD866" s="9">
        <v>13</v>
      </c>
      <c r="DE866" s="9">
        <v>13</v>
      </c>
      <c r="DF866" s="9">
        <v>13</v>
      </c>
      <c r="DG866" s="9">
        <v>13</v>
      </c>
      <c r="DH866" s="9">
        <v>13</v>
      </c>
      <c r="DI866" s="9">
        <v>13</v>
      </c>
      <c r="DJ866" s="9">
        <v>5</v>
      </c>
      <c r="DK866" s="9">
        <v>5</v>
      </c>
      <c r="DL866" s="9">
        <v>5</v>
      </c>
      <c r="DM866" s="9">
        <v>5</v>
      </c>
      <c r="DN866" s="9">
        <v>5</v>
      </c>
      <c r="DO866" s="9">
        <v>5</v>
      </c>
      <c r="DP866" s="27" t="s">
        <v>200</v>
      </c>
      <c r="DQ866" s="27" t="s">
        <v>114</v>
      </c>
      <c r="DR866" s="27" t="s">
        <v>107</v>
      </c>
      <c r="DS866" s="27" t="s">
        <v>109</v>
      </c>
      <c r="DT866" s="28" t="s">
        <v>204</v>
      </c>
      <c r="DU866" s="28" t="s">
        <v>204</v>
      </c>
      <c r="DV866" s="25">
        <f t="shared" si="555"/>
        <v>1</v>
      </c>
      <c r="DW866" s="25">
        <f t="shared" si="556"/>
        <v>1</v>
      </c>
      <c r="DX866" s="25">
        <f t="shared" si="557"/>
        <v>1</v>
      </c>
      <c r="DY866" s="25">
        <f t="shared" si="558"/>
        <v>2</v>
      </c>
      <c r="DZ866" s="25">
        <f t="shared" si="559"/>
        <v>2</v>
      </c>
      <c r="EA866" s="25">
        <f t="shared" si="560"/>
        <v>2</v>
      </c>
      <c r="EB866" s="48"/>
    </row>
    <row r="867" spans="29:132" ht="13.5" customHeight="1">
      <c r="AC867" s="9" t="str">
        <f t="shared" si="537"/>
        <v/>
      </c>
      <c r="AD867" s="9" t="str">
        <f t="shared" si="538"/>
        <v/>
      </c>
      <c r="AE867" s="9" t="str">
        <f t="shared" si="539"/>
        <v/>
      </c>
      <c r="AF867" s="9" t="str">
        <f t="shared" si="540"/>
        <v/>
      </c>
      <c r="AG867" s="9" t="str">
        <f t="shared" si="541"/>
        <v/>
      </c>
      <c r="AH867" s="9" t="str">
        <f t="shared" si="542"/>
        <v/>
      </c>
      <c r="BR867" s="5">
        <v>5203082</v>
      </c>
      <c r="BS867" s="18">
        <f>[1]monsters!$N867</f>
        <v>0</v>
      </c>
      <c r="BT867" s="18">
        <f>[1]monsters!$O867</f>
        <v>0</v>
      </c>
      <c r="BU867" s="18">
        <f>[1]monsters!$P867</f>
        <v>0</v>
      </c>
      <c r="BV867" s="18">
        <f>[1]monsters!$Q867</f>
        <v>0</v>
      </c>
      <c r="BW867" s="18">
        <f>[1]monsters!$R867</f>
        <v>0</v>
      </c>
      <c r="BX867" s="18">
        <f>[1]monsters!$S867</f>
        <v>0</v>
      </c>
      <c r="BY867" s="18">
        <f>[1]monsters!$K867</f>
        <v>0</v>
      </c>
      <c r="BZ867" s="5">
        <f>[1]monsters!$D867</f>
        <v>0</v>
      </c>
      <c r="CA867" s="5" t="e">
        <f t="shared" si="534"/>
        <v>#N/A</v>
      </c>
      <c r="CB867" s="5" t="e">
        <f t="shared" si="535"/>
        <v>#N/A</v>
      </c>
      <c r="CC867" s="5" t="e">
        <f t="shared" si="536"/>
        <v>#N/A</v>
      </c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R867" s="3" t="b">
        <f t="shared" si="543"/>
        <v>1</v>
      </c>
      <c r="CS867" s="3" t="b">
        <f t="shared" si="544"/>
        <v>1</v>
      </c>
      <c r="CT867" s="3" t="b">
        <f t="shared" si="545"/>
        <v>1</v>
      </c>
      <c r="CU867" s="3" t="b">
        <f t="shared" si="546"/>
        <v>1</v>
      </c>
      <c r="CV867" s="3" t="b">
        <f t="shared" si="547"/>
        <v>1</v>
      </c>
      <c r="CW867" s="3" t="b">
        <f t="shared" si="548"/>
        <v>1</v>
      </c>
      <c r="CX867" s="9" t="str">
        <f t="shared" si="549"/>
        <v>5201132</v>
      </c>
      <c r="CY867" s="9" t="str">
        <f t="shared" si="550"/>
        <v>5201132</v>
      </c>
      <c r="CZ867" s="9" t="str">
        <f t="shared" si="551"/>
        <v>5200132</v>
      </c>
      <c r="DA867" s="9" t="str">
        <f t="shared" si="552"/>
        <v>5402132</v>
      </c>
      <c r="DB867" s="9" t="str">
        <f t="shared" si="553"/>
        <v>5601132</v>
      </c>
      <c r="DC867" s="9" t="str">
        <f t="shared" si="554"/>
        <v>5402132</v>
      </c>
      <c r="DD867" s="9">
        <v>13</v>
      </c>
      <c r="DE867" s="9">
        <v>13</v>
      </c>
      <c r="DF867" s="9">
        <v>13</v>
      </c>
      <c r="DG867" s="9">
        <v>13</v>
      </c>
      <c r="DH867" s="9">
        <v>13</v>
      </c>
      <c r="DI867" s="9">
        <v>13</v>
      </c>
      <c r="DJ867" s="9">
        <v>5</v>
      </c>
      <c r="DK867" s="9">
        <v>5</v>
      </c>
      <c r="DL867" s="9">
        <v>5</v>
      </c>
      <c r="DM867" s="9">
        <v>5</v>
      </c>
      <c r="DN867" s="9">
        <v>5</v>
      </c>
      <c r="DO867" s="9">
        <v>5</v>
      </c>
      <c r="DP867" s="25" t="s">
        <v>114</v>
      </c>
      <c r="DQ867" s="25" t="s">
        <v>114</v>
      </c>
      <c r="DR867" s="26" t="s">
        <v>199</v>
      </c>
      <c r="DS867" s="26" t="s">
        <v>203</v>
      </c>
      <c r="DT867" s="25" t="s">
        <v>124</v>
      </c>
      <c r="DU867" s="25" t="s">
        <v>203</v>
      </c>
      <c r="DV867" s="25">
        <f t="shared" si="555"/>
        <v>1</v>
      </c>
      <c r="DW867" s="25">
        <f t="shared" si="556"/>
        <v>1</v>
      </c>
      <c r="DX867" s="25">
        <f t="shared" si="557"/>
        <v>1</v>
      </c>
      <c r="DY867" s="25">
        <f t="shared" si="558"/>
        <v>2</v>
      </c>
      <c r="DZ867" s="25">
        <f t="shared" si="559"/>
        <v>2</v>
      </c>
      <c r="EA867" s="25">
        <f t="shared" si="560"/>
        <v>2</v>
      </c>
      <c r="EB867" s="47"/>
    </row>
    <row r="868" spans="29:132" ht="13.5" customHeight="1">
      <c r="AC868" s="9" t="str">
        <f t="shared" si="537"/>
        <v/>
      </c>
      <c r="AD868" s="9" t="str">
        <f t="shared" si="538"/>
        <v/>
      </c>
      <c r="AE868" s="9" t="str">
        <f t="shared" si="539"/>
        <v/>
      </c>
      <c r="AF868" s="9" t="str">
        <f t="shared" si="540"/>
        <v/>
      </c>
      <c r="AG868" s="9" t="str">
        <f t="shared" si="541"/>
        <v/>
      </c>
      <c r="AH868" s="9" t="str">
        <f t="shared" si="542"/>
        <v/>
      </c>
      <c r="BR868" s="5">
        <v>5403082</v>
      </c>
      <c r="BS868" s="18">
        <f>[1]monsters!$N868</f>
        <v>0</v>
      </c>
      <c r="BT868" s="18">
        <f>[1]monsters!$O868</f>
        <v>0</v>
      </c>
      <c r="BU868" s="18">
        <f>[1]monsters!$P868</f>
        <v>0</v>
      </c>
      <c r="BV868" s="18">
        <f>[1]monsters!$Q868</f>
        <v>0</v>
      </c>
      <c r="BW868" s="18">
        <f>[1]monsters!$R868</f>
        <v>0</v>
      </c>
      <c r="BX868" s="18">
        <f>[1]monsters!$S868</f>
        <v>0</v>
      </c>
      <c r="BY868" s="18">
        <f>[1]monsters!$K868</f>
        <v>0</v>
      </c>
      <c r="BZ868" s="5">
        <f>[1]monsters!$D868</f>
        <v>0</v>
      </c>
      <c r="CA868" s="5" t="e">
        <f t="shared" si="534"/>
        <v>#N/A</v>
      </c>
      <c r="CB868" s="5" t="e">
        <f t="shared" si="535"/>
        <v>#N/A</v>
      </c>
      <c r="CC868" s="5" t="e">
        <f t="shared" si="536"/>
        <v>#N/A</v>
      </c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R868" s="3" t="b">
        <f t="shared" si="543"/>
        <v>1</v>
      </c>
      <c r="CS868" s="3" t="b">
        <f t="shared" si="544"/>
        <v>1</v>
      </c>
      <c r="CT868" s="3" t="b">
        <f t="shared" si="545"/>
        <v>1</v>
      </c>
      <c r="CU868" s="3" t="b">
        <f t="shared" si="546"/>
        <v>1</v>
      </c>
      <c r="CV868" s="3" t="b">
        <f t="shared" si="547"/>
        <v>1</v>
      </c>
      <c r="CW868" s="3" t="b">
        <f t="shared" si="548"/>
        <v>1</v>
      </c>
      <c r="CX868" s="9" t="str">
        <f t="shared" si="549"/>
        <v>5200132</v>
      </c>
      <c r="CY868" s="9" t="str">
        <f t="shared" si="550"/>
        <v>5200133</v>
      </c>
      <c r="CZ868" s="9" t="str">
        <f t="shared" si="551"/>
        <v>5200132</v>
      </c>
      <c r="DA868" s="9" t="str">
        <f t="shared" si="552"/>
        <v>5502132</v>
      </c>
      <c r="DB868" s="9" t="str">
        <f t="shared" si="553"/>
        <v>5500132</v>
      </c>
      <c r="DC868" s="9" t="str">
        <f t="shared" si="554"/>
        <v>5502133</v>
      </c>
      <c r="DD868" s="9">
        <v>13</v>
      </c>
      <c r="DE868" s="9">
        <v>13</v>
      </c>
      <c r="DF868" s="9">
        <v>13</v>
      </c>
      <c r="DG868" s="9">
        <v>13</v>
      </c>
      <c r="DH868" s="9">
        <v>13</v>
      </c>
      <c r="DI868" s="9">
        <v>13</v>
      </c>
      <c r="DJ868" s="9">
        <v>5</v>
      </c>
      <c r="DK868" s="9">
        <v>5</v>
      </c>
      <c r="DL868" s="9">
        <v>5</v>
      </c>
      <c r="DM868" s="9">
        <v>5</v>
      </c>
      <c r="DN868" s="9">
        <v>5</v>
      </c>
      <c r="DO868" s="9">
        <v>5</v>
      </c>
      <c r="DP868" s="25" t="s">
        <v>199</v>
      </c>
      <c r="DQ868" s="25" t="s">
        <v>113</v>
      </c>
      <c r="DR868" s="25" t="s">
        <v>199</v>
      </c>
      <c r="DS868" s="28" t="s">
        <v>204</v>
      </c>
      <c r="DT868" s="28" t="s">
        <v>109</v>
      </c>
      <c r="DU868" s="28" t="s">
        <v>215</v>
      </c>
      <c r="DV868" s="25">
        <f t="shared" si="555"/>
        <v>1</v>
      </c>
      <c r="DW868" s="25">
        <f t="shared" si="556"/>
        <v>1</v>
      </c>
      <c r="DX868" s="25">
        <f t="shared" si="557"/>
        <v>1</v>
      </c>
      <c r="DY868" s="25">
        <f t="shared" si="558"/>
        <v>2</v>
      </c>
      <c r="DZ868" s="25">
        <f t="shared" si="559"/>
        <v>2</v>
      </c>
      <c r="EA868" s="25">
        <f t="shared" si="560"/>
        <v>2</v>
      </c>
      <c r="EB868" s="47"/>
    </row>
    <row r="869" spans="29:132" ht="13.5" customHeight="1">
      <c r="AC869" s="9" t="str">
        <f t="shared" si="537"/>
        <v/>
      </c>
      <c r="AD869" s="9" t="str">
        <f t="shared" si="538"/>
        <v/>
      </c>
      <c r="AE869" s="9" t="str">
        <f t="shared" si="539"/>
        <v/>
      </c>
      <c r="AF869" s="9" t="str">
        <f t="shared" si="540"/>
        <v/>
      </c>
      <c r="AG869" s="9" t="str">
        <f t="shared" si="541"/>
        <v/>
      </c>
      <c r="AH869" s="9" t="str">
        <f t="shared" si="542"/>
        <v/>
      </c>
      <c r="BR869" s="5">
        <v>5204082</v>
      </c>
      <c r="BS869" s="18">
        <f>[1]monsters!$N869</f>
        <v>0</v>
      </c>
      <c r="BT869" s="18">
        <f>[1]monsters!$O869</f>
        <v>0</v>
      </c>
      <c r="BU869" s="18">
        <f>[1]monsters!$P869</f>
        <v>0</v>
      </c>
      <c r="BV869" s="18">
        <f>[1]monsters!$Q869</f>
        <v>0</v>
      </c>
      <c r="BW869" s="18">
        <f>[1]monsters!$R869</f>
        <v>0</v>
      </c>
      <c r="BX869" s="18">
        <f>[1]monsters!$S869</f>
        <v>0</v>
      </c>
      <c r="BY869" s="18">
        <f>[1]monsters!$K869</f>
        <v>0</v>
      </c>
      <c r="BZ869" s="5">
        <f>[1]monsters!$D869</f>
        <v>0</v>
      </c>
      <c r="CA869" s="5" t="e">
        <f t="shared" si="534"/>
        <v>#N/A</v>
      </c>
      <c r="CB869" s="5" t="e">
        <f t="shared" si="535"/>
        <v>#N/A</v>
      </c>
      <c r="CC869" s="5" t="e">
        <f t="shared" si="536"/>
        <v>#N/A</v>
      </c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R869" s="3" t="b">
        <f t="shared" si="543"/>
        <v>1</v>
      </c>
      <c r="CS869" s="3" t="b">
        <f t="shared" si="544"/>
        <v>1</v>
      </c>
      <c r="CT869" s="3" t="b">
        <f t="shared" si="545"/>
        <v>1</v>
      </c>
      <c r="CU869" s="3" t="b">
        <f t="shared" si="546"/>
        <v>1</v>
      </c>
      <c r="CV869" s="3" t="b">
        <f t="shared" si="547"/>
        <v>1</v>
      </c>
      <c r="CW869" s="3" t="b">
        <f t="shared" si="548"/>
        <v>1</v>
      </c>
      <c r="CX869" s="9" t="str">
        <f t="shared" si="549"/>
        <v>5202133</v>
      </c>
      <c r="CY869" s="9" t="str">
        <f t="shared" si="550"/>
        <v>5202132</v>
      </c>
      <c r="CZ869" s="9" t="str">
        <f t="shared" si="551"/>
        <v>5202133</v>
      </c>
      <c r="DA869" s="9" t="str">
        <f t="shared" si="552"/>
        <v>5401133</v>
      </c>
      <c r="DB869" s="9" t="str">
        <f t="shared" si="553"/>
        <v>5400135</v>
      </c>
      <c r="DC869" s="9" t="str">
        <f t="shared" si="554"/>
        <v>5501135</v>
      </c>
      <c r="DD869" s="9">
        <v>13</v>
      </c>
      <c r="DE869" s="9">
        <v>13</v>
      </c>
      <c r="DF869" s="9">
        <v>13</v>
      </c>
      <c r="DG869" s="9">
        <v>13</v>
      </c>
      <c r="DH869" s="9">
        <v>13</v>
      </c>
      <c r="DI869" s="9">
        <v>13</v>
      </c>
      <c r="DJ869" s="9">
        <v>5</v>
      </c>
      <c r="DK869" s="9">
        <v>5</v>
      </c>
      <c r="DL869" s="9">
        <v>5</v>
      </c>
      <c r="DM869" s="9">
        <v>5</v>
      </c>
      <c r="DN869" s="9">
        <v>5</v>
      </c>
      <c r="DO869" s="9">
        <v>5</v>
      </c>
      <c r="DP869" s="25" t="s">
        <v>208</v>
      </c>
      <c r="DQ869" s="25" t="s">
        <v>200</v>
      </c>
      <c r="DR869" s="26" t="s">
        <v>208</v>
      </c>
      <c r="DS869" s="26" t="s">
        <v>211</v>
      </c>
      <c r="DT869" s="25" t="s">
        <v>210</v>
      </c>
      <c r="DU869" s="25" t="s">
        <v>209</v>
      </c>
      <c r="DV869" s="25">
        <f t="shared" si="555"/>
        <v>1</v>
      </c>
      <c r="DW869" s="25">
        <f t="shared" si="556"/>
        <v>1</v>
      </c>
      <c r="DX869" s="25">
        <f t="shared" si="557"/>
        <v>1</v>
      </c>
      <c r="DY869" s="25">
        <f t="shared" si="558"/>
        <v>2</v>
      </c>
      <c r="DZ869" s="25">
        <f t="shared" si="559"/>
        <v>2</v>
      </c>
      <c r="EA869" s="25">
        <f t="shared" si="560"/>
        <v>2</v>
      </c>
      <c r="EB869" s="47"/>
    </row>
    <row r="870" spans="29:132" ht="13.5" customHeight="1">
      <c r="AC870" s="9" t="str">
        <f t="shared" si="537"/>
        <v/>
      </c>
      <c r="AD870" s="9" t="str">
        <f t="shared" si="538"/>
        <v/>
      </c>
      <c r="AE870" s="9" t="str">
        <f t="shared" si="539"/>
        <v/>
      </c>
      <c r="AF870" s="9" t="str">
        <f t="shared" si="540"/>
        <v/>
      </c>
      <c r="AG870" s="9" t="str">
        <f t="shared" si="541"/>
        <v/>
      </c>
      <c r="AH870" s="9" t="str">
        <f t="shared" si="542"/>
        <v/>
      </c>
      <c r="BR870" s="5">
        <v>5404082</v>
      </c>
      <c r="BS870" s="18">
        <f>[1]monsters!$N870</f>
        <v>0</v>
      </c>
      <c r="BT870" s="18">
        <f>[1]monsters!$O870</f>
        <v>0</v>
      </c>
      <c r="BU870" s="18">
        <f>[1]monsters!$P870</f>
        <v>0</v>
      </c>
      <c r="BV870" s="18">
        <f>[1]monsters!$Q870</f>
        <v>0</v>
      </c>
      <c r="BW870" s="18">
        <f>[1]monsters!$R870</f>
        <v>0</v>
      </c>
      <c r="BX870" s="18">
        <f>[1]monsters!$S870</f>
        <v>0</v>
      </c>
      <c r="BY870" s="18">
        <f>[1]monsters!$K870</f>
        <v>0</v>
      </c>
      <c r="BZ870" s="5">
        <f>[1]monsters!$D870</f>
        <v>0</v>
      </c>
      <c r="CA870" s="5" t="e">
        <f t="shared" si="534"/>
        <v>#N/A</v>
      </c>
      <c r="CB870" s="5" t="e">
        <f t="shared" si="535"/>
        <v>#N/A</v>
      </c>
      <c r="CC870" s="5" t="e">
        <f t="shared" si="536"/>
        <v>#N/A</v>
      </c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R870" s="3" t="b">
        <f t="shared" si="543"/>
        <v>1</v>
      </c>
      <c r="CS870" s="3" t="b">
        <f t="shared" si="544"/>
        <v>1</v>
      </c>
      <c r="CT870" s="3" t="b">
        <f t="shared" si="545"/>
        <v>1</v>
      </c>
      <c r="CU870" s="3" t="b">
        <f t="shared" si="546"/>
        <v>1</v>
      </c>
      <c r="CV870" s="3" t="b">
        <f t="shared" si="547"/>
        <v>1</v>
      </c>
      <c r="CW870" s="3" t="b">
        <f t="shared" si="548"/>
        <v>1</v>
      </c>
      <c r="CX870" s="9" t="str">
        <f t="shared" si="549"/>
        <v>5201131</v>
      </c>
      <c r="CY870" s="9" t="str">
        <f t="shared" si="550"/>
        <v>5201132</v>
      </c>
      <c r="CZ870" s="9" t="str">
        <f t="shared" si="551"/>
        <v>5201134</v>
      </c>
      <c r="DA870" s="9" t="str">
        <f t="shared" si="552"/>
        <v>5501134</v>
      </c>
      <c r="DB870" s="9" t="str">
        <f t="shared" si="553"/>
        <v>5500133</v>
      </c>
      <c r="DC870" s="9" t="str">
        <f t="shared" si="554"/>
        <v>5602134</v>
      </c>
      <c r="DD870" s="9">
        <v>13</v>
      </c>
      <c r="DE870" s="9">
        <v>13</v>
      </c>
      <c r="DF870" s="9">
        <v>13</v>
      </c>
      <c r="DG870" s="9">
        <v>13</v>
      </c>
      <c r="DH870" s="9">
        <v>13</v>
      </c>
      <c r="DI870" s="9">
        <v>13</v>
      </c>
      <c r="DJ870" s="9">
        <v>5</v>
      </c>
      <c r="DK870" s="9">
        <v>5</v>
      </c>
      <c r="DL870" s="9">
        <v>5</v>
      </c>
      <c r="DM870" s="9">
        <v>5</v>
      </c>
      <c r="DN870" s="9">
        <v>5</v>
      </c>
      <c r="DO870" s="9">
        <v>5</v>
      </c>
      <c r="DP870" s="25" t="s">
        <v>195</v>
      </c>
      <c r="DQ870" s="25" t="s">
        <v>114</v>
      </c>
      <c r="DR870" s="26" t="s">
        <v>217</v>
      </c>
      <c r="DS870" s="26" t="s">
        <v>214</v>
      </c>
      <c r="DT870" s="26" t="s">
        <v>207</v>
      </c>
      <c r="DU870" s="26" t="s">
        <v>220</v>
      </c>
      <c r="DV870" s="25">
        <f t="shared" si="555"/>
        <v>1</v>
      </c>
      <c r="DW870" s="25">
        <f t="shared" si="556"/>
        <v>1</v>
      </c>
      <c r="DX870" s="25">
        <f t="shared" si="557"/>
        <v>1</v>
      </c>
      <c r="DY870" s="25">
        <f t="shared" si="558"/>
        <v>2</v>
      </c>
      <c r="DZ870" s="25">
        <f t="shared" si="559"/>
        <v>2</v>
      </c>
      <c r="EA870" s="25">
        <f t="shared" si="560"/>
        <v>2</v>
      </c>
      <c r="EB870" s="48"/>
    </row>
    <row r="871" spans="29:132" ht="13.5" customHeight="1">
      <c r="AC871" s="9" t="str">
        <f t="shared" si="537"/>
        <v/>
      </c>
      <c r="AD871" s="9" t="str">
        <f t="shared" si="538"/>
        <v/>
      </c>
      <c r="AE871" s="9" t="str">
        <f t="shared" si="539"/>
        <v/>
      </c>
      <c r="AF871" s="9" t="str">
        <f t="shared" si="540"/>
        <v/>
      </c>
      <c r="AG871" s="9" t="str">
        <f t="shared" si="541"/>
        <v/>
      </c>
      <c r="AH871" s="9" t="str">
        <f t="shared" si="542"/>
        <v/>
      </c>
      <c r="BR871" s="5">
        <v>5303082</v>
      </c>
      <c r="BS871" s="18">
        <f>[1]monsters!$N871</f>
        <v>0</v>
      </c>
      <c r="BT871" s="18">
        <f>[1]monsters!$O871</f>
        <v>0</v>
      </c>
      <c r="BU871" s="18">
        <f>[1]monsters!$P871</f>
        <v>0</v>
      </c>
      <c r="BV871" s="18">
        <f>[1]monsters!$Q871</f>
        <v>0</v>
      </c>
      <c r="BW871" s="18">
        <f>[1]monsters!$R871</f>
        <v>0</v>
      </c>
      <c r="BX871" s="18">
        <f>[1]monsters!$S871</f>
        <v>0</v>
      </c>
      <c r="BY871" s="18">
        <f>[1]monsters!$K871</f>
        <v>0</v>
      </c>
      <c r="BZ871" s="5">
        <f>[1]monsters!$D871</f>
        <v>0</v>
      </c>
      <c r="CA871" s="5" t="e">
        <f t="shared" si="534"/>
        <v>#N/A</v>
      </c>
      <c r="CB871" s="5" t="e">
        <f t="shared" si="535"/>
        <v>#N/A</v>
      </c>
      <c r="CC871" s="5" t="e">
        <f t="shared" si="536"/>
        <v>#N/A</v>
      </c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R871" s="3" t="b">
        <f t="shared" si="543"/>
        <v>1</v>
      </c>
      <c r="CS871" s="3" t="b">
        <f t="shared" si="544"/>
        <v>1</v>
      </c>
      <c r="CT871" s="3" t="b">
        <f t="shared" si="545"/>
        <v>1</v>
      </c>
      <c r="CU871" s="3" t="b">
        <f t="shared" si="546"/>
        <v>1</v>
      </c>
      <c r="CV871" s="3" t="b">
        <f t="shared" si="547"/>
        <v>1</v>
      </c>
      <c r="CW871" s="3" t="b">
        <f t="shared" si="548"/>
        <v>1</v>
      </c>
      <c r="CX871" s="9" t="str">
        <f t="shared" si="549"/>
        <v>5200132</v>
      </c>
      <c r="CY871" s="9" t="str">
        <f t="shared" si="550"/>
        <v>5301132</v>
      </c>
      <c r="CZ871" s="9" t="str">
        <f t="shared" si="551"/>
        <v>5202133</v>
      </c>
      <c r="DA871" s="9" t="str">
        <f t="shared" si="552"/>
        <v>5402131</v>
      </c>
      <c r="DB871" s="9" t="str">
        <f t="shared" si="553"/>
        <v>5501135</v>
      </c>
      <c r="DC871" s="9" t="str">
        <f t="shared" si="554"/>
        <v>5500131</v>
      </c>
      <c r="DD871" s="9">
        <v>13</v>
      </c>
      <c r="DE871" s="9">
        <v>13</v>
      </c>
      <c r="DF871" s="9">
        <v>13</v>
      </c>
      <c r="DG871" s="9">
        <v>13</v>
      </c>
      <c r="DH871" s="9">
        <v>13</v>
      </c>
      <c r="DI871" s="9">
        <v>13</v>
      </c>
      <c r="DJ871" s="9">
        <v>5</v>
      </c>
      <c r="DK871" s="9">
        <v>5</v>
      </c>
      <c r="DL871" s="9">
        <v>5</v>
      </c>
      <c r="DM871" s="9">
        <v>5</v>
      </c>
      <c r="DN871" s="9">
        <v>5</v>
      </c>
      <c r="DO871" s="9">
        <v>5</v>
      </c>
      <c r="DP871" s="25" t="s">
        <v>199</v>
      </c>
      <c r="DQ871" s="26" t="s">
        <v>201</v>
      </c>
      <c r="DR871" s="25" t="s">
        <v>208</v>
      </c>
      <c r="DS871" s="26" t="s">
        <v>196</v>
      </c>
      <c r="DT871" s="26" t="s">
        <v>209</v>
      </c>
      <c r="DU871" s="28" t="s">
        <v>197</v>
      </c>
      <c r="DV871" s="25">
        <f t="shared" si="555"/>
        <v>1</v>
      </c>
      <c r="DW871" s="25">
        <f t="shared" si="556"/>
        <v>1</v>
      </c>
      <c r="DX871" s="25">
        <f t="shared" si="557"/>
        <v>1</v>
      </c>
      <c r="DY871" s="25">
        <f t="shared" si="558"/>
        <v>2</v>
      </c>
      <c r="DZ871" s="25">
        <f t="shared" si="559"/>
        <v>2</v>
      </c>
      <c r="EA871" s="25">
        <f t="shared" si="560"/>
        <v>2</v>
      </c>
      <c r="EB871" s="47"/>
    </row>
    <row r="872" spans="29:132" ht="13.5" customHeight="1">
      <c r="AC872" s="9" t="str">
        <f t="shared" si="537"/>
        <v/>
      </c>
      <c r="AD872" s="9" t="str">
        <f t="shared" si="538"/>
        <v/>
      </c>
      <c r="AE872" s="9" t="str">
        <f t="shared" si="539"/>
        <v/>
      </c>
      <c r="AF872" s="9" t="str">
        <f t="shared" si="540"/>
        <v/>
      </c>
      <c r="AG872" s="9" t="str">
        <f t="shared" si="541"/>
        <v/>
      </c>
      <c r="AH872" s="9" t="str">
        <f t="shared" si="542"/>
        <v/>
      </c>
      <c r="BR872" s="5">
        <v>5304082</v>
      </c>
      <c r="BS872" s="18">
        <f>[1]monsters!$N872</f>
        <v>0</v>
      </c>
      <c r="BT872" s="18">
        <f>[1]monsters!$O872</f>
        <v>0</v>
      </c>
      <c r="BU872" s="18">
        <f>[1]monsters!$P872</f>
        <v>0</v>
      </c>
      <c r="BV872" s="18">
        <f>[1]monsters!$Q872</f>
        <v>0</v>
      </c>
      <c r="BW872" s="18">
        <f>[1]monsters!$R872</f>
        <v>0</v>
      </c>
      <c r="BX872" s="18">
        <f>[1]monsters!$S872</f>
        <v>0</v>
      </c>
      <c r="BY872" s="18">
        <f>[1]monsters!$K872</f>
        <v>0</v>
      </c>
      <c r="BZ872" s="5">
        <f>[1]monsters!$D872</f>
        <v>0</v>
      </c>
      <c r="CA872" s="5" t="e">
        <f t="shared" si="534"/>
        <v>#N/A</v>
      </c>
      <c r="CB872" s="5" t="e">
        <f t="shared" si="535"/>
        <v>#N/A</v>
      </c>
      <c r="CC872" s="5" t="e">
        <f t="shared" si="536"/>
        <v>#N/A</v>
      </c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R872" s="3" t="b">
        <f t="shared" si="543"/>
        <v>1</v>
      </c>
      <c r="CS872" s="3" t="b">
        <f t="shared" si="544"/>
        <v>1</v>
      </c>
      <c r="CT872" s="3" t="b">
        <f t="shared" si="545"/>
        <v>1</v>
      </c>
      <c r="CU872" s="3" t="b">
        <f t="shared" si="546"/>
        <v>1</v>
      </c>
      <c r="CV872" s="3" t="b">
        <f t="shared" si="547"/>
        <v>1</v>
      </c>
      <c r="CW872" s="3" t="b">
        <f t="shared" si="548"/>
        <v>1</v>
      </c>
      <c r="CX872" s="9" t="str">
        <f t="shared" si="549"/>
        <v>5201133</v>
      </c>
      <c r="CY872" s="9" t="str">
        <f t="shared" si="550"/>
        <v>5201133</v>
      </c>
      <c r="CZ872" s="9" t="str">
        <f t="shared" si="551"/>
        <v>5201133</v>
      </c>
      <c r="DA872" s="9" t="str">
        <f t="shared" si="552"/>
        <v>5402133</v>
      </c>
      <c r="DB872" s="9" t="str">
        <f t="shared" si="553"/>
        <v>5402133</v>
      </c>
      <c r="DC872" s="9" t="str">
        <f t="shared" si="554"/>
        <v>5402133</v>
      </c>
      <c r="DD872" s="9">
        <v>13</v>
      </c>
      <c r="DE872" s="9">
        <v>13</v>
      </c>
      <c r="DF872" s="9">
        <v>13</v>
      </c>
      <c r="DG872" s="9">
        <v>13</v>
      </c>
      <c r="DH872" s="9">
        <v>13</v>
      </c>
      <c r="DI872" s="9">
        <v>13</v>
      </c>
      <c r="DJ872" s="9">
        <v>5</v>
      </c>
      <c r="DK872" s="9">
        <v>5</v>
      </c>
      <c r="DL872" s="9">
        <v>5</v>
      </c>
      <c r="DM872" s="9">
        <v>5</v>
      </c>
      <c r="DN872" s="9">
        <v>5</v>
      </c>
      <c r="DO872" s="9">
        <v>5</v>
      </c>
      <c r="DP872" s="25" t="s">
        <v>205</v>
      </c>
      <c r="DQ872" s="25" t="s">
        <v>205</v>
      </c>
      <c r="DR872" s="25" t="s">
        <v>205</v>
      </c>
      <c r="DS872" s="26" t="s">
        <v>118</v>
      </c>
      <c r="DT872" s="26" t="s">
        <v>118</v>
      </c>
      <c r="DU872" s="26" t="s">
        <v>118</v>
      </c>
      <c r="DV872" s="25">
        <f t="shared" si="555"/>
        <v>1</v>
      </c>
      <c r="DW872" s="25">
        <f t="shared" si="556"/>
        <v>1</v>
      </c>
      <c r="DX872" s="25">
        <f t="shared" si="557"/>
        <v>1</v>
      </c>
      <c r="DY872" s="25">
        <f t="shared" si="558"/>
        <v>2</v>
      </c>
      <c r="DZ872" s="25">
        <f t="shared" si="559"/>
        <v>2</v>
      </c>
      <c r="EA872" s="25">
        <f t="shared" si="560"/>
        <v>2</v>
      </c>
      <c r="EB872" s="47"/>
    </row>
    <row r="873" spans="29:132" ht="13.5" customHeight="1">
      <c r="AC873" s="9" t="str">
        <f t="shared" si="537"/>
        <v/>
      </c>
      <c r="AD873" s="9" t="str">
        <f t="shared" si="538"/>
        <v/>
      </c>
      <c r="AE873" s="9" t="str">
        <f t="shared" si="539"/>
        <v/>
      </c>
      <c r="AF873" s="9" t="str">
        <f t="shared" si="540"/>
        <v/>
      </c>
      <c r="AG873" s="9" t="str">
        <f t="shared" si="541"/>
        <v/>
      </c>
      <c r="AH873" s="9" t="str">
        <f t="shared" si="542"/>
        <v/>
      </c>
      <c r="BR873" s="5">
        <v>5503082</v>
      </c>
      <c r="BS873" s="18">
        <f>[1]monsters!$N873</f>
        <v>0</v>
      </c>
      <c r="BT873" s="18">
        <f>[1]monsters!$O873</f>
        <v>0</v>
      </c>
      <c r="BU873" s="18">
        <f>[1]monsters!$P873</f>
        <v>0</v>
      </c>
      <c r="BV873" s="18">
        <f>[1]monsters!$Q873</f>
        <v>0</v>
      </c>
      <c r="BW873" s="18">
        <f>[1]monsters!$R873</f>
        <v>0</v>
      </c>
      <c r="BX873" s="18">
        <f>[1]monsters!$S873</f>
        <v>0</v>
      </c>
      <c r="BY873" s="18">
        <f>[1]monsters!$K873</f>
        <v>0</v>
      </c>
      <c r="BZ873" s="5">
        <f>[1]monsters!$D873</f>
        <v>0</v>
      </c>
      <c r="CA873" s="5" t="e">
        <f t="shared" si="534"/>
        <v>#N/A</v>
      </c>
      <c r="CB873" s="5" t="e">
        <f t="shared" si="535"/>
        <v>#N/A</v>
      </c>
      <c r="CC873" s="5" t="e">
        <f t="shared" si="536"/>
        <v>#N/A</v>
      </c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R873" s="3" t="b">
        <f t="shared" si="543"/>
        <v>1</v>
      </c>
      <c r="CS873" s="3" t="b">
        <f t="shared" si="544"/>
        <v>1</v>
      </c>
      <c r="CT873" s="3" t="b">
        <f t="shared" si="545"/>
        <v>1</v>
      </c>
      <c r="CU873" s="3" t="b">
        <f t="shared" si="546"/>
        <v>1</v>
      </c>
      <c r="CV873" s="3" t="b">
        <f t="shared" si="547"/>
        <v>1</v>
      </c>
      <c r="CW873" s="3" t="b">
        <f t="shared" si="548"/>
        <v>1</v>
      </c>
      <c r="CX873" s="9" t="str">
        <f t="shared" si="549"/>
        <v>5201131</v>
      </c>
      <c r="CY873" s="9" t="str">
        <f t="shared" si="550"/>
        <v>5201132</v>
      </c>
      <c r="CZ873" s="9" t="str">
        <f t="shared" si="551"/>
        <v>5200131</v>
      </c>
      <c r="DA873" s="9" t="str">
        <f t="shared" si="552"/>
        <v>5502131</v>
      </c>
      <c r="DB873" s="9" t="str">
        <f t="shared" si="553"/>
        <v>5601131</v>
      </c>
      <c r="DC873" s="9" t="str">
        <f t="shared" si="554"/>
        <v>5502131</v>
      </c>
      <c r="DD873" s="9">
        <v>13</v>
      </c>
      <c r="DE873" s="9">
        <v>13</v>
      </c>
      <c r="DF873" s="9">
        <v>13</v>
      </c>
      <c r="DG873" s="9">
        <v>13</v>
      </c>
      <c r="DH873" s="9">
        <v>13</v>
      </c>
      <c r="DI873" s="9">
        <v>13</v>
      </c>
      <c r="DJ873" s="9">
        <v>5</v>
      </c>
      <c r="DK873" s="9">
        <v>5</v>
      </c>
      <c r="DL873" s="9">
        <v>5</v>
      </c>
      <c r="DM873" s="9">
        <v>5</v>
      </c>
      <c r="DN873" s="9">
        <v>5</v>
      </c>
      <c r="DO873" s="9">
        <v>5</v>
      </c>
      <c r="DP873" s="25" t="s">
        <v>195</v>
      </c>
      <c r="DQ873" s="25" t="s">
        <v>114</v>
      </c>
      <c r="DR873" s="25" t="s">
        <v>194</v>
      </c>
      <c r="DS873" s="25" t="s">
        <v>119</v>
      </c>
      <c r="DT873" s="25" t="s">
        <v>198</v>
      </c>
      <c r="DU873" s="25" t="s">
        <v>119</v>
      </c>
      <c r="DV873" s="25">
        <f t="shared" si="555"/>
        <v>1</v>
      </c>
      <c r="DW873" s="25">
        <f t="shared" si="556"/>
        <v>1</v>
      </c>
      <c r="DX873" s="25">
        <f t="shared" si="557"/>
        <v>1</v>
      </c>
      <c r="DY873" s="25">
        <f t="shared" si="558"/>
        <v>2</v>
      </c>
      <c r="DZ873" s="25">
        <f t="shared" si="559"/>
        <v>2</v>
      </c>
      <c r="EA873" s="25">
        <f t="shared" si="560"/>
        <v>2</v>
      </c>
      <c r="EB873" s="48"/>
    </row>
    <row r="874" spans="29:132" ht="13.5" customHeight="1">
      <c r="AC874" s="9" t="str">
        <f t="shared" si="537"/>
        <v/>
      </c>
      <c r="AD874" s="9" t="str">
        <f t="shared" si="538"/>
        <v/>
      </c>
      <c r="AE874" s="9" t="str">
        <f t="shared" si="539"/>
        <v/>
      </c>
      <c r="AF874" s="9" t="str">
        <f t="shared" si="540"/>
        <v/>
      </c>
      <c r="AG874" s="9" t="str">
        <f t="shared" si="541"/>
        <v/>
      </c>
      <c r="AH874" s="9" t="str">
        <f t="shared" si="542"/>
        <v/>
      </c>
      <c r="BR874" s="5">
        <v>5504082</v>
      </c>
      <c r="BS874" s="18">
        <f>[1]monsters!$N874</f>
        <v>0</v>
      </c>
      <c r="BT874" s="18">
        <f>[1]monsters!$O874</f>
        <v>0</v>
      </c>
      <c r="BU874" s="18">
        <f>[1]monsters!$P874</f>
        <v>0</v>
      </c>
      <c r="BV874" s="18">
        <f>[1]monsters!$Q874</f>
        <v>0</v>
      </c>
      <c r="BW874" s="18">
        <f>[1]monsters!$R874</f>
        <v>0</v>
      </c>
      <c r="BX874" s="18">
        <f>[1]monsters!$S874</f>
        <v>0</v>
      </c>
      <c r="BY874" s="18">
        <f>[1]monsters!$K874</f>
        <v>0</v>
      </c>
      <c r="BZ874" s="5">
        <f>[1]monsters!$D874</f>
        <v>0</v>
      </c>
      <c r="CA874" s="5" t="e">
        <f t="shared" si="534"/>
        <v>#N/A</v>
      </c>
      <c r="CB874" s="5" t="e">
        <f t="shared" si="535"/>
        <v>#N/A</v>
      </c>
      <c r="CC874" s="5" t="e">
        <f t="shared" si="536"/>
        <v>#N/A</v>
      </c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R874" s="3" t="b">
        <f t="shared" si="543"/>
        <v>1</v>
      </c>
      <c r="CS874" s="3" t="b">
        <f t="shared" si="544"/>
        <v>1</v>
      </c>
      <c r="CT874" s="3" t="b">
        <f t="shared" si="545"/>
        <v>1</v>
      </c>
      <c r="CU874" s="3" t="b">
        <f t="shared" si="546"/>
        <v>1</v>
      </c>
      <c r="CV874" s="3" t="b">
        <f t="shared" si="547"/>
        <v>1</v>
      </c>
      <c r="CW874" s="3" t="b">
        <f t="shared" si="548"/>
        <v>1</v>
      </c>
      <c r="CX874" s="9" t="str">
        <f t="shared" si="549"/>
        <v>5200132</v>
      </c>
      <c r="CY874" s="9" t="str">
        <f t="shared" si="550"/>
        <v>5200133</v>
      </c>
      <c r="CZ874" s="9" t="str">
        <f t="shared" si="551"/>
        <v>5200132</v>
      </c>
      <c r="DA874" s="9" t="str">
        <f t="shared" si="552"/>
        <v>5502132</v>
      </c>
      <c r="DB874" s="9" t="str">
        <f t="shared" si="553"/>
        <v>5500132</v>
      </c>
      <c r="DC874" s="9" t="str">
        <f t="shared" si="554"/>
        <v>5502133</v>
      </c>
      <c r="DD874" s="9">
        <v>13</v>
      </c>
      <c r="DE874" s="9">
        <v>13</v>
      </c>
      <c r="DF874" s="9">
        <v>13</v>
      </c>
      <c r="DG874" s="9">
        <v>13</v>
      </c>
      <c r="DH874" s="9">
        <v>13</v>
      </c>
      <c r="DI874" s="9">
        <v>13</v>
      </c>
      <c r="DJ874" s="9">
        <v>5</v>
      </c>
      <c r="DK874" s="9">
        <v>5</v>
      </c>
      <c r="DL874" s="9">
        <v>5</v>
      </c>
      <c r="DM874" s="9">
        <v>5</v>
      </c>
      <c r="DN874" s="9">
        <v>5</v>
      </c>
      <c r="DO874" s="9">
        <v>5</v>
      </c>
      <c r="DP874" s="25" t="s">
        <v>199</v>
      </c>
      <c r="DQ874" s="25" t="s">
        <v>113</v>
      </c>
      <c r="DR874" s="25" t="s">
        <v>199</v>
      </c>
      <c r="DS874" s="25" t="s">
        <v>204</v>
      </c>
      <c r="DT874" s="25" t="s">
        <v>109</v>
      </c>
      <c r="DU874" s="25" t="s">
        <v>215</v>
      </c>
      <c r="DV874" s="25">
        <f t="shared" si="555"/>
        <v>1</v>
      </c>
      <c r="DW874" s="25">
        <f t="shared" si="556"/>
        <v>1</v>
      </c>
      <c r="DX874" s="25">
        <f t="shared" si="557"/>
        <v>1</v>
      </c>
      <c r="DY874" s="25">
        <f t="shared" si="558"/>
        <v>2</v>
      </c>
      <c r="DZ874" s="25">
        <f t="shared" si="559"/>
        <v>2</v>
      </c>
      <c r="EA874" s="25">
        <f t="shared" si="560"/>
        <v>2</v>
      </c>
      <c r="EB874" s="47"/>
    </row>
    <row r="875" spans="29:132" ht="13.5" customHeight="1">
      <c r="AC875" s="9" t="str">
        <f t="shared" si="537"/>
        <v/>
      </c>
      <c r="AD875" s="9" t="str">
        <f t="shared" si="538"/>
        <v/>
      </c>
      <c r="AE875" s="9" t="str">
        <f t="shared" si="539"/>
        <v/>
      </c>
      <c r="AF875" s="9" t="str">
        <f t="shared" si="540"/>
        <v/>
      </c>
      <c r="AG875" s="9" t="str">
        <f t="shared" si="541"/>
        <v/>
      </c>
      <c r="AH875" s="9" t="str">
        <f t="shared" si="542"/>
        <v/>
      </c>
      <c r="BR875" s="5">
        <v>5101082</v>
      </c>
      <c r="BS875" s="18">
        <f>[1]monsters!$N875</f>
        <v>0</v>
      </c>
      <c r="BT875" s="18">
        <f>[1]monsters!$O875</f>
        <v>0</v>
      </c>
      <c r="BU875" s="18">
        <f>[1]monsters!$P875</f>
        <v>0</v>
      </c>
      <c r="BV875" s="18">
        <f>[1]monsters!$Q875</f>
        <v>0</v>
      </c>
      <c r="BW875" s="18">
        <f>[1]monsters!$R875</f>
        <v>0</v>
      </c>
      <c r="BX875" s="18">
        <f>[1]monsters!$S875</f>
        <v>0</v>
      </c>
      <c r="BY875" s="18">
        <f>[1]monsters!$K875</f>
        <v>0</v>
      </c>
      <c r="BZ875" s="5">
        <f>[1]monsters!$D875</f>
        <v>0</v>
      </c>
      <c r="CA875" s="5" t="e">
        <f t="shared" si="534"/>
        <v>#N/A</v>
      </c>
      <c r="CB875" s="5" t="e">
        <f t="shared" si="535"/>
        <v>#N/A</v>
      </c>
      <c r="CC875" s="5" t="e">
        <f t="shared" si="536"/>
        <v>#N/A</v>
      </c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R875" s="3" t="b">
        <f t="shared" si="543"/>
        <v>1</v>
      </c>
      <c r="CS875" s="3" t="b">
        <f t="shared" si="544"/>
        <v>1</v>
      </c>
      <c r="CT875" s="3" t="b">
        <f t="shared" si="545"/>
        <v>1</v>
      </c>
      <c r="CU875" s="3" t="b">
        <f t="shared" si="546"/>
        <v>1</v>
      </c>
      <c r="CV875" s="3" t="b">
        <f t="shared" si="547"/>
        <v>1</v>
      </c>
      <c r="CW875" s="3" t="b">
        <f t="shared" si="548"/>
        <v>1</v>
      </c>
      <c r="CX875" s="9" t="str">
        <f t="shared" si="549"/>
        <v>5202133</v>
      </c>
      <c r="CY875" s="9" t="str">
        <f t="shared" si="550"/>
        <v>5202132</v>
      </c>
      <c r="CZ875" s="9" t="str">
        <f t="shared" si="551"/>
        <v>5202133</v>
      </c>
      <c r="DA875" s="9" t="str">
        <f t="shared" si="552"/>
        <v>5401133</v>
      </c>
      <c r="DB875" s="9" t="str">
        <f t="shared" si="553"/>
        <v>5402132</v>
      </c>
      <c r="DC875" s="9" t="str">
        <f t="shared" si="554"/>
        <v>5401133</v>
      </c>
      <c r="DD875" s="9">
        <v>13</v>
      </c>
      <c r="DE875" s="9">
        <v>13</v>
      </c>
      <c r="DF875" s="9">
        <v>13</v>
      </c>
      <c r="DG875" s="9">
        <v>13</v>
      </c>
      <c r="DH875" s="9">
        <v>13</v>
      </c>
      <c r="DI875" s="9">
        <v>13</v>
      </c>
      <c r="DJ875" s="9">
        <v>5</v>
      </c>
      <c r="DK875" s="9">
        <v>5</v>
      </c>
      <c r="DL875" s="9">
        <v>5</v>
      </c>
      <c r="DM875" s="9">
        <v>5</v>
      </c>
      <c r="DN875" s="9">
        <v>5</v>
      </c>
      <c r="DO875" s="9">
        <v>5</v>
      </c>
      <c r="DP875" s="25" t="s">
        <v>208</v>
      </c>
      <c r="DQ875" s="25" t="s">
        <v>200</v>
      </c>
      <c r="DR875" s="25" t="s">
        <v>208</v>
      </c>
      <c r="DS875" s="25" t="s">
        <v>211</v>
      </c>
      <c r="DT875" s="25" t="s">
        <v>203</v>
      </c>
      <c r="DU875" s="25" t="s">
        <v>211</v>
      </c>
      <c r="DV875" s="25">
        <f t="shared" si="555"/>
        <v>1</v>
      </c>
      <c r="DW875" s="25">
        <f t="shared" si="556"/>
        <v>1</v>
      </c>
      <c r="DX875" s="25">
        <f t="shared" si="557"/>
        <v>1</v>
      </c>
      <c r="DY875" s="25">
        <f t="shared" si="558"/>
        <v>2</v>
      </c>
      <c r="DZ875" s="25">
        <f t="shared" si="559"/>
        <v>2</v>
      </c>
      <c r="EA875" s="25">
        <f t="shared" si="560"/>
        <v>2</v>
      </c>
      <c r="EB875" s="47"/>
    </row>
    <row r="876" spans="29:132" ht="13.5" customHeight="1">
      <c r="AC876" s="9" t="str">
        <f t="shared" si="537"/>
        <v/>
      </c>
      <c r="AD876" s="9" t="str">
        <f t="shared" si="538"/>
        <v/>
      </c>
      <c r="AE876" s="9" t="str">
        <f t="shared" si="539"/>
        <v/>
      </c>
      <c r="AF876" s="9" t="str">
        <f t="shared" si="540"/>
        <v/>
      </c>
      <c r="AG876" s="9" t="str">
        <f t="shared" si="541"/>
        <v/>
      </c>
      <c r="AH876" s="9" t="str">
        <f t="shared" si="542"/>
        <v/>
      </c>
      <c r="BR876" s="5">
        <v>5102082</v>
      </c>
      <c r="BS876" s="18">
        <f>[1]monsters!$N876</f>
        <v>0</v>
      </c>
      <c r="BT876" s="18">
        <f>[1]monsters!$O876</f>
        <v>0</v>
      </c>
      <c r="BU876" s="18">
        <f>[1]monsters!$P876</f>
        <v>0</v>
      </c>
      <c r="BV876" s="18">
        <f>[1]monsters!$Q876</f>
        <v>0</v>
      </c>
      <c r="BW876" s="18">
        <f>[1]monsters!$R876</f>
        <v>0</v>
      </c>
      <c r="BX876" s="18">
        <f>[1]monsters!$S876</f>
        <v>0</v>
      </c>
      <c r="BY876" s="18">
        <f>[1]monsters!$K876</f>
        <v>0</v>
      </c>
      <c r="BZ876" s="5">
        <f>[1]monsters!$D876</f>
        <v>0</v>
      </c>
      <c r="CA876" s="5" t="e">
        <f t="shared" si="534"/>
        <v>#N/A</v>
      </c>
      <c r="CB876" s="5" t="e">
        <f t="shared" si="535"/>
        <v>#N/A</v>
      </c>
      <c r="CC876" s="5" t="e">
        <f t="shared" si="536"/>
        <v>#N/A</v>
      </c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R876" s="3" t="b">
        <f t="shared" si="543"/>
        <v>1</v>
      </c>
      <c r="CS876" s="3" t="b">
        <f t="shared" si="544"/>
        <v>1</v>
      </c>
      <c r="CT876" s="3" t="b">
        <f t="shared" si="545"/>
        <v>1</v>
      </c>
      <c r="CU876" s="3" t="b">
        <f t="shared" si="546"/>
        <v>1</v>
      </c>
      <c r="CV876" s="3" t="b">
        <f t="shared" si="547"/>
        <v>1</v>
      </c>
      <c r="CW876" s="3" t="b">
        <f t="shared" si="548"/>
        <v>1</v>
      </c>
      <c r="CX876" s="9" t="str">
        <f t="shared" si="549"/>
        <v>5202133</v>
      </c>
      <c r="CY876" s="9" t="str">
        <f t="shared" si="550"/>
        <v>5202132</v>
      </c>
      <c r="CZ876" s="9" t="str">
        <f t="shared" si="551"/>
        <v>5202133</v>
      </c>
      <c r="DA876" s="9" t="str">
        <f t="shared" si="552"/>
        <v>5500132</v>
      </c>
      <c r="DB876" s="9" t="str">
        <f t="shared" si="553"/>
        <v>5500131</v>
      </c>
      <c r="DC876" s="9" t="str">
        <f t="shared" si="554"/>
        <v>5500132</v>
      </c>
      <c r="DD876" s="9">
        <v>13</v>
      </c>
      <c r="DE876" s="9">
        <v>13</v>
      </c>
      <c r="DF876" s="9">
        <v>13</v>
      </c>
      <c r="DG876" s="9">
        <v>13</v>
      </c>
      <c r="DH876" s="9">
        <v>13</v>
      </c>
      <c r="DI876" s="9">
        <v>13</v>
      </c>
      <c r="DJ876" s="9">
        <v>5</v>
      </c>
      <c r="DK876" s="9">
        <v>5</v>
      </c>
      <c r="DL876" s="9">
        <v>5</v>
      </c>
      <c r="DM876" s="9">
        <v>5</v>
      </c>
      <c r="DN876" s="9">
        <v>5</v>
      </c>
      <c r="DO876" s="9">
        <v>5</v>
      </c>
      <c r="DP876" s="25" t="s">
        <v>208</v>
      </c>
      <c r="DQ876" s="25" t="s">
        <v>200</v>
      </c>
      <c r="DR876" s="25" t="s">
        <v>208</v>
      </c>
      <c r="DS876" s="25" t="s">
        <v>109</v>
      </c>
      <c r="DT876" s="25" t="s">
        <v>197</v>
      </c>
      <c r="DU876" s="25" t="s">
        <v>109</v>
      </c>
      <c r="DV876" s="25">
        <f t="shared" si="555"/>
        <v>1</v>
      </c>
      <c r="DW876" s="25">
        <f t="shared" si="556"/>
        <v>1</v>
      </c>
      <c r="DX876" s="25">
        <f t="shared" si="557"/>
        <v>1</v>
      </c>
      <c r="DY876" s="25">
        <f t="shared" si="558"/>
        <v>2</v>
      </c>
      <c r="DZ876" s="25">
        <f t="shared" si="559"/>
        <v>2</v>
      </c>
      <c r="EA876" s="25">
        <f t="shared" si="560"/>
        <v>2</v>
      </c>
      <c r="EB876" s="47"/>
    </row>
    <row r="877" spans="29:132" ht="13.5" customHeight="1">
      <c r="AC877" s="9" t="str">
        <f t="shared" si="537"/>
        <v/>
      </c>
      <c r="AD877" s="9" t="str">
        <f t="shared" si="538"/>
        <v/>
      </c>
      <c r="AE877" s="9" t="str">
        <f t="shared" si="539"/>
        <v/>
      </c>
      <c r="AF877" s="9" t="str">
        <f t="shared" si="540"/>
        <v/>
      </c>
      <c r="AG877" s="9" t="str">
        <f t="shared" si="541"/>
        <v/>
      </c>
      <c r="AH877" s="9" t="str">
        <f t="shared" si="542"/>
        <v/>
      </c>
      <c r="BR877" s="5">
        <v>5206083</v>
      </c>
      <c r="BS877" s="18">
        <f>[1]monsters!$N877</f>
        <v>0</v>
      </c>
      <c r="BT877" s="18">
        <f>[1]monsters!$O877</f>
        <v>0</v>
      </c>
      <c r="BU877" s="18">
        <f>[1]monsters!$P877</f>
        <v>0</v>
      </c>
      <c r="BV877" s="18">
        <f>[1]monsters!$Q877</f>
        <v>0</v>
      </c>
      <c r="BW877" s="18">
        <f>[1]monsters!$R877</f>
        <v>0</v>
      </c>
      <c r="BX877" s="18">
        <f>[1]monsters!$S877</f>
        <v>0</v>
      </c>
      <c r="BY877" s="18">
        <f>[1]monsters!$K877</f>
        <v>0</v>
      </c>
      <c r="BZ877" s="5">
        <f>[1]monsters!$D877</f>
        <v>0</v>
      </c>
      <c r="CA877" s="5" t="e">
        <f t="shared" si="534"/>
        <v>#N/A</v>
      </c>
      <c r="CB877" s="5" t="e">
        <f t="shared" si="535"/>
        <v>#N/A</v>
      </c>
      <c r="CC877" s="5" t="e">
        <f t="shared" si="536"/>
        <v>#N/A</v>
      </c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R877" s="3" t="b">
        <f t="shared" si="543"/>
        <v>1</v>
      </c>
      <c r="CS877" s="3" t="b">
        <f t="shared" si="544"/>
        <v>1</v>
      </c>
      <c r="CT877" s="3" t="b">
        <f t="shared" si="545"/>
        <v>1</v>
      </c>
      <c r="CU877" s="3" t="b">
        <f t="shared" si="546"/>
        <v>1</v>
      </c>
      <c r="CV877" s="3" t="b">
        <f t="shared" si="547"/>
        <v>1</v>
      </c>
      <c r="CW877" s="3" t="b">
        <f t="shared" si="548"/>
        <v>1</v>
      </c>
      <c r="CX877" s="9" t="str">
        <f t="shared" si="549"/>
        <v>5202131</v>
      </c>
      <c r="CY877" s="9" t="str">
        <f t="shared" si="550"/>
        <v>5202131</v>
      </c>
      <c r="CZ877" s="9" t="str">
        <f t="shared" si="551"/>
        <v>5200131</v>
      </c>
      <c r="DA877" s="9" t="str">
        <f t="shared" si="552"/>
        <v>5400135</v>
      </c>
      <c r="DB877" s="9" t="str">
        <f t="shared" si="553"/>
        <v>5602134</v>
      </c>
      <c r="DC877" s="9" t="str">
        <f t="shared" si="554"/>
        <v>5501134</v>
      </c>
      <c r="DD877" s="9">
        <v>13</v>
      </c>
      <c r="DE877" s="9">
        <v>13</v>
      </c>
      <c r="DF877" s="9">
        <v>13</v>
      </c>
      <c r="DG877" s="9">
        <v>13</v>
      </c>
      <c r="DH877" s="9">
        <v>13</v>
      </c>
      <c r="DI877" s="9">
        <v>13</v>
      </c>
      <c r="DJ877" s="9">
        <v>5</v>
      </c>
      <c r="DK877" s="9">
        <v>5</v>
      </c>
      <c r="DL877" s="9">
        <v>5</v>
      </c>
      <c r="DM877" s="9">
        <v>5</v>
      </c>
      <c r="DN877" s="9">
        <v>5</v>
      </c>
      <c r="DO877" s="9">
        <v>5</v>
      </c>
      <c r="DP877" s="25" t="s">
        <v>111</v>
      </c>
      <c r="DQ877" s="25" t="s">
        <v>111</v>
      </c>
      <c r="DR877" s="25" t="s">
        <v>194</v>
      </c>
      <c r="DS877" s="25" t="s">
        <v>210</v>
      </c>
      <c r="DT877" s="25" t="s">
        <v>220</v>
      </c>
      <c r="DU877" s="25" t="s">
        <v>214</v>
      </c>
      <c r="DV877" s="25">
        <f t="shared" si="555"/>
        <v>1</v>
      </c>
      <c r="DW877" s="25">
        <f t="shared" si="556"/>
        <v>1</v>
      </c>
      <c r="DX877" s="25">
        <f t="shared" si="557"/>
        <v>1</v>
      </c>
      <c r="DY877" s="25">
        <f t="shared" si="558"/>
        <v>2</v>
      </c>
      <c r="DZ877" s="25">
        <f t="shared" si="559"/>
        <v>2</v>
      </c>
      <c r="EA877" s="25">
        <f t="shared" si="560"/>
        <v>2</v>
      </c>
      <c r="EB877" s="29"/>
    </row>
    <row r="878" spans="29:132" ht="13.5" customHeight="1">
      <c r="AC878" s="9" t="str">
        <f t="shared" si="537"/>
        <v/>
      </c>
      <c r="AD878" s="9" t="str">
        <f t="shared" si="538"/>
        <v/>
      </c>
      <c r="AE878" s="9" t="str">
        <f t="shared" si="539"/>
        <v/>
      </c>
      <c r="AF878" s="9" t="str">
        <f t="shared" si="540"/>
        <v/>
      </c>
      <c r="AG878" s="9" t="str">
        <f t="shared" si="541"/>
        <v/>
      </c>
      <c r="AH878" s="9" t="str">
        <f t="shared" si="542"/>
        <v/>
      </c>
      <c r="BR878" s="5">
        <v>5406083</v>
      </c>
      <c r="BS878" s="18">
        <f>[1]monsters!$N878</f>
        <v>0</v>
      </c>
      <c r="BT878" s="18">
        <f>[1]monsters!$O878</f>
        <v>0</v>
      </c>
      <c r="BU878" s="18">
        <f>[1]monsters!$P878</f>
        <v>0</v>
      </c>
      <c r="BV878" s="18">
        <f>[1]monsters!$Q878</f>
        <v>0</v>
      </c>
      <c r="BW878" s="18">
        <f>[1]monsters!$R878</f>
        <v>0</v>
      </c>
      <c r="BX878" s="18">
        <f>[1]monsters!$S878</f>
        <v>0</v>
      </c>
      <c r="BY878" s="18">
        <f>[1]monsters!$K878</f>
        <v>0</v>
      </c>
      <c r="BZ878" s="5">
        <f>[1]monsters!$D878</f>
        <v>0</v>
      </c>
      <c r="CA878" s="5" t="e">
        <f t="shared" si="534"/>
        <v>#N/A</v>
      </c>
      <c r="CB878" s="5" t="e">
        <f t="shared" si="535"/>
        <v>#N/A</v>
      </c>
      <c r="CC878" s="5" t="e">
        <f t="shared" si="536"/>
        <v>#N/A</v>
      </c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R878" s="3" t="b">
        <f t="shared" si="543"/>
        <v>1</v>
      </c>
      <c r="CS878" s="3" t="b">
        <f t="shared" si="544"/>
        <v>1</v>
      </c>
      <c r="CT878" s="3" t="b">
        <f t="shared" si="545"/>
        <v>1</v>
      </c>
      <c r="CU878" s="3" t="b">
        <f t="shared" si="546"/>
        <v>1</v>
      </c>
      <c r="CV878" s="3" t="b">
        <f t="shared" si="547"/>
        <v>1</v>
      </c>
      <c r="CW878" s="3" t="b">
        <f t="shared" si="548"/>
        <v>1</v>
      </c>
      <c r="CX878" s="9" t="str">
        <f t="shared" si="549"/>
        <v>5202132</v>
      </c>
      <c r="CY878" s="9" t="str">
        <f t="shared" si="550"/>
        <v>5201132</v>
      </c>
      <c r="CZ878" s="9" t="str">
        <f t="shared" si="551"/>
        <v>5301131</v>
      </c>
      <c r="DA878" s="9" t="str">
        <f t="shared" si="552"/>
        <v>5501134</v>
      </c>
      <c r="DB878" s="9" t="str">
        <f t="shared" si="553"/>
        <v>5500133</v>
      </c>
      <c r="DC878" s="9" t="str">
        <f t="shared" si="554"/>
        <v>5501134</v>
      </c>
      <c r="DD878" s="9">
        <v>13</v>
      </c>
      <c r="DE878" s="9">
        <v>13</v>
      </c>
      <c r="DF878" s="9">
        <v>13</v>
      </c>
      <c r="DG878" s="9">
        <v>13</v>
      </c>
      <c r="DH878" s="9">
        <v>13</v>
      </c>
      <c r="DI878" s="9">
        <v>13</v>
      </c>
      <c r="DJ878" s="9">
        <v>5</v>
      </c>
      <c r="DK878" s="9">
        <v>5</v>
      </c>
      <c r="DL878" s="9">
        <v>5</v>
      </c>
      <c r="DM878" s="9">
        <v>5</v>
      </c>
      <c r="DN878" s="9">
        <v>5</v>
      </c>
      <c r="DO878" s="9">
        <v>5</v>
      </c>
      <c r="DP878" s="25" t="s">
        <v>200</v>
      </c>
      <c r="DQ878" s="25" t="s">
        <v>114</v>
      </c>
      <c r="DR878" s="25" t="s">
        <v>107</v>
      </c>
      <c r="DS878" s="25" t="s">
        <v>214</v>
      </c>
      <c r="DT878" s="25" t="s">
        <v>207</v>
      </c>
      <c r="DU878" s="25" t="s">
        <v>214</v>
      </c>
      <c r="DV878" s="25">
        <f t="shared" si="555"/>
        <v>1</v>
      </c>
      <c r="DW878" s="25">
        <f t="shared" si="556"/>
        <v>1</v>
      </c>
      <c r="DX878" s="25">
        <f t="shared" si="557"/>
        <v>1</v>
      </c>
      <c r="DY878" s="25">
        <f t="shared" si="558"/>
        <v>2</v>
      </c>
      <c r="DZ878" s="25">
        <f t="shared" si="559"/>
        <v>2</v>
      </c>
      <c r="EA878" s="25">
        <f t="shared" si="560"/>
        <v>2</v>
      </c>
      <c r="EB878" s="29"/>
    </row>
    <row r="879" spans="29:132" ht="13.5" customHeight="1">
      <c r="AC879" s="9" t="str">
        <f t="shared" si="537"/>
        <v/>
      </c>
      <c r="AD879" s="9" t="str">
        <f t="shared" si="538"/>
        <v/>
      </c>
      <c r="AE879" s="9" t="str">
        <f t="shared" si="539"/>
        <v/>
      </c>
      <c r="AF879" s="9" t="str">
        <f t="shared" si="540"/>
        <v/>
      </c>
      <c r="AG879" s="9" t="str">
        <f t="shared" si="541"/>
        <v/>
      </c>
      <c r="AH879" s="9" t="str">
        <f t="shared" si="542"/>
        <v/>
      </c>
      <c r="BR879" s="5">
        <v>5205083</v>
      </c>
      <c r="BS879" s="18">
        <f>[1]monsters!$N879</f>
        <v>0</v>
      </c>
      <c r="BT879" s="18">
        <f>[1]monsters!$O879</f>
        <v>0</v>
      </c>
      <c r="BU879" s="18">
        <f>[1]monsters!$P879</f>
        <v>0</v>
      </c>
      <c r="BV879" s="18">
        <f>[1]monsters!$Q879</f>
        <v>0</v>
      </c>
      <c r="BW879" s="18">
        <f>[1]monsters!$R879</f>
        <v>0</v>
      </c>
      <c r="BX879" s="18">
        <f>[1]monsters!$S879</f>
        <v>0</v>
      </c>
      <c r="BY879" s="18">
        <f>[1]monsters!$K879</f>
        <v>0</v>
      </c>
      <c r="BZ879" s="5">
        <f>[1]monsters!$D879</f>
        <v>0</v>
      </c>
      <c r="CA879" s="5" t="e">
        <f t="shared" si="534"/>
        <v>#N/A</v>
      </c>
      <c r="CB879" s="5" t="e">
        <f t="shared" si="535"/>
        <v>#N/A</v>
      </c>
      <c r="CC879" s="5" t="e">
        <f t="shared" si="536"/>
        <v>#N/A</v>
      </c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R879" s="3" t="b">
        <f t="shared" si="543"/>
        <v>1</v>
      </c>
      <c r="CS879" s="3" t="b">
        <f t="shared" si="544"/>
        <v>1</v>
      </c>
      <c r="CT879" s="3" t="b">
        <f t="shared" si="545"/>
        <v>1</v>
      </c>
      <c r="CU879" s="3" t="b">
        <f t="shared" si="546"/>
        <v>1</v>
      </c>
      <c r="CV879" s="3" t="b">
        <f t="shared" si="547"/>
        <v>1</v>
      </c>
      <c r="CW879" s="3" t="b">
        <f t="shared" si="548"/>
        <v>1</v>
      </c>
      <c r="CX879" s="9" t="str">
        <f t="shared" si="549"/>
        <v>5202133</v>
      </c>
      <c r="CY879" s="9" t="str">
        <f t="shared" si="550"/>
        <v>5202132</v>
      </c>
      <c r="CZ879" s="9" t="str">
        <f t="shared" si="551"/>
        <v>5202133</v>
      </c>
      <c r="DA879" s="9" t="str">
        <f t="shared" si="552"/>
        <v>5500133</v>
      </c>
      <c r="DB879" s="9" t="str">
        <f t="shared" si="553"/>
        <v>5500131</v>
      </c>
      <c r="DC879" s="9" t="str">
        <f t="shared" si="554"/>
        <v>5400135</v>
      </c>
      <c r="DD879" s="9">
        <v>13</v>
      </c>
      <c r="DE879" s="9">
        <v>13</v>
      </c>
      <c r="DF879" s="9">
        <v>13</v>
      </c>
      <c r="DG879" s="9">
        <v>13</v>
      </c>
      <c r="DH879" s="9">
        <v>13</v>
      </c>
      <c r="DI879" s="9">
        <v>13</v>
      </c>
      <c r="DJ879" s="9">
        <v>5</v>
      </c>
      <c r="DK879" s="9">
        <v>5</v>
      </c>
      <c r="DL879" s="9">
        <v>5</v>
      </c>
      <c r="DM879" s="9">
        <v>5</v>
      </c>
      <c r="DN879" s="9">
        <v>5</v>
      </c>
      <c r="DO879" s="9">
        <v>5</v>
      </c>
      <c r="DP879" s="27" t="s">
        <v>208</v>
      </c>
      <c r="DQ879" s="27" t="s">
        <v>200</v>
      </c>
      <c r="DR879" s="27" t="s">
        <v>208</v>
      </c>
      <c r="DS879" s="25" t="s">
        <v>207</v>
      </c>
      <c r="DT879" s="25" t="s">
        <v>197</v>
      </c>
      <c r="DU879" s="25" t="s">
        <v>210</v>
      </c>
      <c r="DV879" s="25">
        <f t="shared" si="555"/>
        <v>1</v>
      </c>
      <c r="DW879" s="25">
        <f t="shared" si="556"/>
        <v>1</v>
      </c>
      <c r="DX879" s="25">
        <f t="shared" si="557"/>
        <v>1</v>
      </c>
      <c r="DY879" s="25">
        <f t="shared" si="558"/>
        <v>2</v>
      </c>
      <c r="DZ879" s="25">
        <f t="shared" si="559"/>
        <v>2</v>
      </c>
      <c r="EA879" s="25">
        <f t="shared" si="560"/>
        <v>2</v>
      </c>
      <c r="EB879" s="29"/>
    </row>
    <row r="880" spans="29:132" ht="13.5" customHeight="1">
      <c r="AC880" s="9" t="str">
        <f t="shared" si="537"/>
        <v/>
      </c>
      <c r="AD880" s="9" t="str">
        <f t="shared" si="538"/>
        <v/>
      </c>
      <c r="AE880" s="9" t="str">
        <f t="shared" si="539"/>
        <v/>
      </c>
      <c r="AF880" s="9" t="str">
        <f t="shared" si="540"/>
        <v/>
      </c>
      <c r="AG880" s="9" t="str">
        <f t="shared" si="541"/>
        <v/>
      </c>
      <c r="AH880" s="9" t="str">
        <f t="shared" si="542"/>
        <v/>
      </c>
      <c r="BR880" s="5">
        <v>5405083</v>
      </c>
      <c r="BS880" s="18">
        <f>[1]monsters!$N880</f>
        <v>0</v>
      </c>
      <c r="BT880" s="18">
        <f>[1]monsters!$O880</f>
        <v>0</v>
      </c>
      <c r="BU880" s="18">
        <f>[1]monsters!$P880</f>
        <v>0</v>
      </c>
      <c r="BV880" s="18">
        <f>[1]monsters!$Q880</f>
        <v>0</v>
      </c>
      <c r="BW880" s="18">
        <f>[1]monsters!$R880</f>
        <v>0</v>
      </c>
      <c r="BX880" s="18">
        <f>[1]monsters!$S880</f>
        <v>0</v>
      </c>
      <c r="BY880" s="18">
        <f>[1]monsters!$K880</f>
        <v>0</v>
      </c>
      <c r="BZ880" s="5">
        <f>[1]monsters!$D880</f>
        <v>0</v>
      </c>
      <c r="CA880" s="5" t="e">
        <f t="shared" si="534"/>
        <v>#N/A</v>
      </c>
      <c r="CB880" s="5" t="e">
        <f t="shared" si="535"/>
        <v>#N/A</v>
      </c>
      <c r="CC880" s="5" t="e">
        <f t="shared" si="536"/>
        <v>#N/A</v>
      </c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R880" s="3" t="b">
        <f t="shared" si="543"/>
        <v>1</v>
      </c>
      <c r="CS880" s="3" t="b">
        <f t="shared" si="544"/>
        <v>1</v>
      </c>
      <c r="CT880" s="3" t="b">
        <f t="shared" si="545"/>
        <v>1</v>
      </c>
      <c r="CU880" s="3" t="b">
        <f t="shared" si="546"/>
        <v>1</v>
      </c>
      <c r="CV880" s="3" t="b">
        <f t="shared" si="547"/>
        <v>1</v>
      </c>
      <c r="CW880" s="3" t="b">
        <f t="shared" si="548"/>
        <v>1</v>
      </c>
      <c r="CX880" s="9" t="str">
        <f t="shared" si="549"/>
        <v>5300135</v>
      </c>
      <c r="CY880" s="9" t="str">
        <f t="shared" si="550"/>
        <v>5202135</v>
      </c>
      <c r="CZ880" s="9" t="str">
        <f t="shared" si="551"/>
        <v>5202135</v>
      </c>
      <c r="DA880" s="9" t="str">
        <f t="shared" si="552"/>
        <v>5401133</v>
      </c>
      <c r="DB880" s="9" t="str">
        <f t="shared" si="553"/>
        <v>5402132</v>
      </c>
      <c r="DC880" s="9" t="str">
        <f t="shared" si="554"/>
        <v>5401133</v>
      </c>
      <c r="DD880" s="9">
        <v>13</v>
      </c>
      <c r="DE880" s="9">
        <v>13</v>
      </c>
      <c r="DF880" s="9">
        <v>13</v>
      </c>
      <c r="DG880" s="9">
        <v>13</v>
      </c>
      <c r="DH880" s="9">
        <v>13</v>
      </c>
      <c r="DI880" s="9">
        <v>13</v>
      </c>
      <c r="DJ880" s="9">
        <v>5</v>
      </c>
      <c r="DK880" s="9">
        <v>5</v>
      </c>
      <c r="DL880" s="9">
        <v>5</v>
      </c>
      <c r="DM880" s="9">
        <v>5</v>
      </c>
      <c r="DN880" s="9">
        <v>5</v>
      </c>
      <c r="DO880" s="9">
        <v>5</v>
      </c>
      <c r="DP880" s="25" t="s">
        <v>212</v>
      </c>
      <c r="DQ880" s="25" t="s">
        <v>213</v>
      </c>
      <c r="DR880" s="25" t="s">
        <v>213</v>
      </c>
      <c r="DS880" s="25" t="s">
        <v>211</v>
      </c>
      <c r="DT880" s="25" t="s">
        <v>203</v>
      </c>
      <c r="DU880" s="25" t="s">
        <v>211</v>
      </c>
      <c r="DV880" s="25">
        <f t="shared" si="555"/>
        <v>1</v>
      </c>
      <c r="DW880" s="25">
        <f t="shared" si="556"/>
        <v>1</v>
      </c>
      <c r="DX880" s="25">
        <f t="shared" si="557"/>
        <v>1</v>
      </c>
      <c r="DY880" s="25">
        <f t="shared" si="558"/>
        <v>2</v>
      </c>
      <c r="DZ880" s="25">
        <f t="shared" si="559"/>
        <v>2</v>
      </c>
      <c r="EA880" s="25">
        <f t="shared" si="560"/>
        <v>2</v>
      </c>
      <c r="EB880" s="30"/>
    </row>
    <row r="881" spans="29:132" ht="13.5" customHeight="1">
      <c r="AC881" s="9" t="str">
        <f t="shared" si="537"/>
        <v/>
      </c>
      <c r="AD881" s="9" t="str">
        <f t="shared" si="538"/>
        <v/>
      </c>
      <c r="AE881" s="9" t="str">
        <f t="shared" si="539"/>
        <v/>
      </c>
      <c r="AF881" s="9" t="str">
        <f t="shared" si="540"/>
        <v/>
      </c>
      <c r="AG881" s="9" t="str">
        <f t="shared" si="541"/>
        <v/>
      </c>
      <c r="AH881" s="9" t="str">
        <f t="shared" si="542"/>
        <v/>
      </c>
      <c r="BR881" s="5">
        <v>5203083</v>
      </c>
      <c r="BS881" s="18">
        <f>[1]monsters!$N881</f>
        <v>0</v>
      </c>
      <c r="BT881" s="18">
        <f>[1]monsters!$O881</f>
        <v>0</v>
      </c>
      <c r="BU881" s="18">
        <f>[1]monsters!$P881</f>
        <v>0</v>
      </c>
      <c r="BV881" s="18">
        <f>[1]monsters!$Q881</f>
        <v>0</v>
      </c>
      <c r="BW881" s="18">
        <f>[1]monsters!$R881</f>
        <v>0</v>
      </c>
      <c r="BX881" s="18">
        <f>[1]monsters!$S881</f>
        <v>0</v>
      </c>
      <c r="BY881" s="18">
        <f>[1]monsters!$K881</f>
        <v>0</v>
      </c>
      <c r="BZ881" s="5">
        <f>[1]monsters!$D881</f>
        <v>0</v>
      </c>
      <c r="CA881" s="5" t="e">
        <f t="shared" si="534"/>
        <v>#N/A</v>
      </c>
      <c r="CB881" s="5" t="e">
        <f t="shared" si="535"/>
        <v>#N/A</v>
      </c>
      <c r="CC881" s="5" t="e">
        <f t="shared" si="536"/>
        <v>#N/A</v>
      </c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R881" s="3" t="b">
        <f t="shared" si="543"/>
        <v>1</v>
      </c>
      <c r="CS881" s="3" t="b">
        <f t="shared" si="544"/>
        <v>1</v>
      </c>
      <c r="CT881" s="3" t="b">
        <f t="shared" si="545"/>
        <v>1</v>
      </c>
      <c r="CU881" s="3" t="b">
        <f t="shared" si="546"/>
        <v>1</v>
      </c>
      <c r="CV881" s="3" t="b">
        <f t="shared" si="547"/>
        <v>1</v>
      </c>
      <c r="CW881" s="3" t="b">
        <f t="shared" si="548"/>
        <v>1</v>
      </c>
      <c r="CX881" s="9" t="str">
        <f t="shared" si="549"/>
        <v>5202133</v>
      </c>
      <c r="CY881" s="9" t="str">
        <f t="shared" si="550"/>
        <v>5202132</v>
      </c>
      <c r="CZ881" s="9" t="str">
        <f t="shared" si="551"/>
        <v>5202133</v>
      </c>
      <c r="DA881" s="9" t="str">
        <f t="shared" si="552"/>
        <v>5501135</v>
      </c>
      <c r="DB881" s="9" t="str">
        <f t="shared" si="553"/>
        <v>5500132</v>
      </c>
      <c r="DC881" s="9" t="str">
        <f t="shared" si="554"/>
        <v>5500133</v>
      </c>
      <c r="DD881" s="9">
        <v>13</v>
      </c>
      <c r="DE881" s="9">
        <v>13</v>
      </c>
      <c r="DF881" s="9">
        <v>13</v>
      </c>
      <c r="DG881" s="9">
        <v>13</v>
      </c>
      <c r="DH881" s="9">
        <v>13</v>
      </c>
      <c r="DI881" s="9">
        <v>13</v>
      </c>
      <c r="DJ881" s="9">
        <v>5</v>
      </c>
      <c r="DK881" s="9">
        <v>5</v>
      </c>
      <c r="DL881" s="9">
        <v>5</v>
      </c>
      <c r="DM881" s="9">
        <v>5</v>
      </c>
      <c r="DN881" s="9">
        <v>5</v>
      </c>
      <c r="DO881" s="9">
        <v>5</v>
      </c>
      <c r="DP881" s="25" t="s">
        <v>208</v>
      </c>
      <c r="DQ881" s="25" t="s">
        <v>200</v>
      </c>
      <c r="DR881" s="25" t="s">
        <v>208</v>
      </c>
      <c r="DS881" s="25" t="s">
        <v>209</v>
      </c>
      <c r="DT881" s="25" t="s">
        <v>109</v>
      </c>
      <c r="DU881" s="25" t="s">
        <v>207</v>
      </c>
      <c r="DV881" s="25">
        <f t="shared" si="555"/>
        <v>1</v>
      </c>
      <c r="DW881" s="25">
        <f t="shared" si="556"/>
        <v>1</v>
      </c>
      <c r="DX881" s="25">
        <f t="shared" si="557"/>
        <v>1</v>
      </c>
      <c r="DY881" s="25">
        <f t="shared" si="558"/>
        <v>2</v>
      </c>
      <c r="DZ881" s="25">
        <f t="shared" si="559"/>
        <v>2</v>
      </c>
      <c r="EA881" s="25">
        <f t="shared" si="560"/>
        <v>2</v>
      </c>
      <c r="EB881" s="29"/>
    </row>
    <row r="882" spans="29:132" ht="13.5" customHeight="1">
      <c r="AC882" s="9" t="str">
        <f t="shared" si="537"/>
        <v/>
      </c>
      <c r="AD882" s="9" t="str">
        <f t="shared" si="538"/>
        <v/>
      </c>
      <c r="AE882" s="9" t="str">
        <f t="shared" si="539"/>
        <v/>
      </c>
      <c r="AF882" s="9" t="str">
        <f t="shared" si="540"/>
        <v/>
      </c>
      <c r="AG882" s="9" t="str">
        <f t="shared" si="541"/>
        <v/>
      </c>
      <c r="AH882" s="9" t="str">
        <f t="shared" si="542"/>
        <v/>
      </c>
      <c r="BR882" s="5">
        <v>5403083</v>
      </c>
      <c r="BS882" s="18">
        <f>[1]monsters!$N882</f>
        <v>0</v>
      </c>
      <c r="BT882" s="18">
        <f>[1]monsters!$O882</f>
        <v>0</v>
      </c>
      <c r="BU882" s="18">
        <f>[1]monsters!$P882</f>
        <v>0</v>
      </c>
      <c r="BV882" s="18">
        <f>[1]monsters!$Q882</f>
        <v>0</v>
      </c>
      <c r="BW882" s="18">
        <f>[1]monsters!$R882</f>
        <v>0</v>
      </c>
      <c r="BX882" s="18">
        <f>[1]monsters!$S882</f>
        <v>0</v>
      </c>
      <c r="BY882" s="18">
        <f>[1]monsters!$K882</f>
        <v>0</v>
      </c>
      <c r="BZ882" s="5">
        <f>[1]monsters!$D882</f>
        <v>0</v>
      </c>
      <c r="CA882" s="5" t="e">
        <f t="shared" si="534"/>
        <v>#N/A</v>
      </c>
      <c r="CB882" s="5" t="e">
        <f t="shared" si="535"/>
        <v>#N/A</v>
      </c>
      <c r="CC882" s="5" t="e">
        <f t="shared" si="536"/>
        <v>#N/A</v>
      </c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R882" s="3" t="b">
        <f t="shared" si="543"/>
        <v>1</v>
      </c>
      <c r="CS882" s="3" t="b">
        <f t="shared" si="544"/>
        <v>1</v>
      </c>
      <c r="CT882" s="3" t="b">
        <f t="shared" si="545"/>
        <v>1</v>
      </c>
      <c r="CU882" s="3" t="b">
        <f t="shared" si="546"/>
        <v>1</v>
      </c>
      <c r="CV882" s="3" t="b">
        <f t="shared" si="547"/>
        <v>1</v>
      </c>
      <c r="CW882" s="3" t="b">
        <f t="shared" si="548"/>
        <v>1</v>
      </c>
      <c r="CX882" s="9" t="str">
        <f t="shared" si="549"/>
        <v>5201131</v>
      </c>
      <c r="CY882" s="9" t="str">
        <f t="shared" si="550"/>
        <v>5201131</v>
      </c>
      <c r="CZ882" s="9" t="str">
        <f t="shared" si="551"/>
        <v>5200131</v>
      </c>
      <c r="DA882" s="9" t="str">
        <f t="shared" si="552"/>
        <v>5601131</v>
      </c>
      <c r="DB882" s="9" t="str">
        <f t="shared" si="553"/>
        <v>5501134</v>
      </c>
      <c r="DC882" s="9" t="str">
        <f t="shared" si="554"/>
        <v>5501134</v>
      </c>
      <c r="DD882" s="9">
        <v>13</v>
      </c>
      <c r="DE882" s="9">
        <v>13</v>
      </c>
      <c r="DF882" s="9">
        <v>13</v>
      </c>
      <c r="DG882" s="9">
        <v>13</v>
      </c>
      <c r="DH882" s="9">
        <v>13</v>
      </c>
      <c r="DI882" s="9">
        <v>13</v>
      </c>
      <c r="DJ882" s="9">
        <v>5</v>
      </c>
      <c r="DK882" s="9">
        <v>5</v>
      </c>
      <c r="DL882" s="9">
        <v>5</v>
      </c>
      <c r="DM882" s="9">
        <v>5</v>
      </c>
      <c r="DN882" s="9">
        <v>5</v>
      </c>
      <c r="DO882" s="9">
        <v>5</v>
      </c>
      <c r="DP882" s="25" t="s">
        <v>195</v>
      </c>
      <c r="DQ882" s="25" t="s">
        <v>195</v>
      </c>
      <c r="DR882" s="25" t="s">
        <v>194</v>
      </c>
      <c r="DS882" s="25" t="s">
        <v>198</v>
      </c>
      <c r="DT882" s="25" t="s">
        <v>214</v>
      </c>
      <c r="DU882" s="25" t="s">
        <v>214</v>
      </c>
      <c r="DV882" s="25">
        <f t="shared" si="555"/>
        <v>1</v>
      </c>
      <c r="DW882" s="25">
        <f t="shared" si="556"/>
        <v>1</v>
      </c>
      <c r="DX882" s="25">
        <f t="shared" si="557"/>
        <v>1</v>
      </c>
      <c r="DY882" s="25">
        <f t="shared" si="558"/>
        <v>2</v>
      </c>
      <c r="DZ882" s="25">
        <f t="shared" si="559"/>
        <v>2</v>
      </c>
      <c r="EA882" s="25">
        <f t="shared" si="560"/>
        <v>2</v>
      </c>
      <c r="EB882" s="29"/>
    </row>
    <row r="883" spans="29:132" ht="13.5" customHeight="1">
      <c r="AC883" s="9" t="str">
        <f t="shared" si="537"/>
        <v/>
      </c>
      <c r="AD883" s="9" t="str">
        <f t="shared" si="538"/>
        <v/>
      </c>
      <c r="AE883" s="9" t="str">
        <f t="shared" si="539"/>
        <v/>
      </c>
      <c r="AF883" s="9" t="str">
        <f t="shared" si="540"/>
        <v/>
      </c>
      <c r="AG883" s="9" t="str">
        <f t="shared" si="541"/>
        <v/>
      </c>
      <c r="AH883" s="9" t="str">
        <f t="shared" si="542"/>
        <v/>
      </c>
      <c r="BR883" s="5">
        <v>5204083</v>
      </c>
      <c r="BS883" s="18">
        <f>[1]monsters!$N883</f>
        <v>0</v>
      </c>
      <c r="BT883" s="18">
        <f>[1]monsters!$O883</f>
        <v>0</v>
      </c>
      <c r="BU883" s="18">
        <f>[1]monsters!$P883</f>
        <v>0</v>
      </c>
      <c r="BV883" s="18">
        <f>[1]monsters!$Q883</f>
        <v>0</v>
      </c>
      <c r="BW883" s="18">
        <f>[1]monsters!$R883</f>
        <v>0</v>
      </c>
      <c r="BX883" s="18">
        <f>[1]monsters!$S883</f>
        <v>0</v>
      </c>
      <c r="BY883" s="18">
        <f>[1]monsters!$K883</f>
        <v>0</v>
      </c>
      <c r="BZ883" s="5">
        <f>[1]monsters!$D883</f>
        <v>0</v>
      </c>
      <c r="CA883" s="5" t="e">
        <f t="shared" si="534"/>
        <v>#N/A</v>
      </c>
      <c r="CB883" s="5" t="e">
        <f t="shared" si="535"/>
        <v>#N/A</v>
      </c>
      <c r="CC883" s="5" t="e">
        <f t="shared" si="536"/>
        <v>#N/A</v>
      </c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R883" s="3" t="b">
        <f t="shared" si="543"/>
        <v>1</v>
      </c>
      <c r="CS883" s="3" t="b">
        <f t="shared" si="544"/>
        <v>1</v>
      </c>
      <c r="CT883" s="3" t="b">
        <f t="shared" si="545"/>
        <v>1</v>
      </c>
      <c r="CU883" s="3" t="b">
        <f t="shared" si="546"/>
        <v>1</v>
      </c>
      <c r="CV883" s="3" t="b">
        <f t="shared" si="547"/>
        <v>1</v>
      </c>
      <c r="CW883" s="3" t="b">
        <f t="shared" si="548"/>
        <v>1</v>
      </c>
      <c r="CX883" s="9" t="str">
        <f t="shared" si="549"/>
        <v>5302135</v>
      </c>
      <c r="CY883" s="9" t="str">
        <f t="shared" si="550"/>
        <v>5202135</v>
      </c>
      <c r="CZ883" s="9" t="str">
        <f t="shared" si="551"/>
        <v>5202135</v>
      </c>
      <c r="DA883" s="9" t="str">
        <f t="shared" si="552"/>
        <v>5400135</v>
      </c>
      <c r="DB883" s="9" t="str">
        <f t="shared" si="553"/>
        <v>5400135</v>
      </c>
      <c r="DC883" s="9" t="str">
        <f t="shared" si="554"/>
        <v>5400135</v>
      </c>
      <c r="DD883" s="9">
        <v>13</v>
      </c>
      <c r="DE883" s="9">
        <v>13</v>
      </c>
      <c r="DF883" s="9">
        <v>13</v>
      </c>
      <c r="DG883" s="9">
        <v>13</v>
      </c>
      <c r="DH883" s="9">
        <v>13</v>
      </c>
      <c r="DI883" s="9">
        <v>13</v>
      </c>
      <c r="DJ883" s="9">
        <v>5</v>
      </c>
      <c r="DK883" s="9">
        <v>5</v>
      </c>
      <c r="DL883" s="9">
        <v>5</v>
      </c>
      <c r="DM883" s="9">
        <v>5</v>
      </c>
      <c r="DN883" s="9">
        <v>5</v>
      </c>
      <c r="DO883" s="9">
        <v>5</v>
      </c>
      <c r="DP883" s="25" t="s">
        <v>221</v>
      </c>
      <c r="DQ883" s="25" t="s">
        <v>213</v>
      </c>
      <c r="DR883" s="25" t="s">
        <v>213</v>
      </c>
      <c r="DS883" s="25" t="s">
        <v>210</v>
      </c>
      <c r="DT883" s="25" t="s">
        <v>210</v>
      </c>
      <c r="DU883" s="25" t="s">
        <v>210</v>
      </c>
      <c r="DV883" s="25">
        <f t="shared" si="555"/>
        <v>1</v>
      </c>
      <c r="DW883" s="25">
        <f t="shared" si="556"/>
        <v>1</v>
      </c>
      <c r="DX883" s="25">
        <f t="shared" si="557"/>
        <v>1</v>
      </c>
      <c r="DY883" s="25">
        <f t="shared" si="558"/>
        <v>2</v>
      </c>
      <c r="DZ883" s="25">
        <f t="shared" si="559"/>
        <v>2</v>
      </c>
      <c r="EA883" s="25">
        <f t="shared" si="560"/>
        <v>2</v>
      </c>
      <c r="EB883" s="29"/>
    </row>
    <row r="884" spans="29:132" ht="13.5" customHeight="1">
      <c r="AC884" s="9" t="str">
        <f t="shared" si="537"/>
        <v/>
      </c>
      <c r="AD884" s="9" t="str">
        <f t="shared" si="538"/>
        <v/>
      </c>
      <c r="AE884" s="9" t="str">
        <f t="shared" si="539"/>
        <v/>
      </c>
      <c r="AF884" s="9" t="str">
        <f t="shared" si="540"/>
        <v/>
      </c>
      <c r="AG884" s="9" t="str">
        <f t="shared" si="541"/>
        <v/>
      </c>
      <c r="AH884" s="9" t="str">
        <f t="shared" si="542"/>
        <v/>
      </c>
      <c r="BR884" s="5">
        <v>5404083</v>
      </c>
      <c r="BS884" s="18">
        <f>[1]monsters!$N884</f>
        <v>0</v>
      </c>
      <c r="BT884" s="18">
        <f>[1]monsters!$O884</f>
        <v>0</v>
      </c>
      <c r="BU884" s="18">
        <f>[1]monsters!$P884</f>
        <v>0</v>
      </c>
      <c r="BV884" s="18">
        <f>[1]monsters!$Q884</f>
        <v>0</v>
      </c>
      <c r="BW884" s="18">
        <f>[1]monsters!$R884</f>
        <v>0</v>
      </c>
      <c r="BX884" s="18">
        <f>[1]monsters!$S884</f>
        <v>0</v>
      </c>
      <c r="BY884" s="18">
        <f>[1]monsters!$K884</f>
        <v>0</v>
      </c>
      <c r="BZ884" s="5">
        <f>[1]monsters!$D884</f>
        <v>0</v>
      </c>
      <c r="CA884" s="5" t="e">
        <f t="shared" si="534"/>
        <v>#N/A</v>
      </c>
      <c r="CB884" s="5" t="e">
        <f t="shared" si="535"/>
        <v>#N/A</v>
      </c>
      <c r="CC884" s="5" t="e">
        <f t="shared" si="536"/>
        <v>#N/A</v>
      </c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R884" s="3" t="b">
        <f t="shared" si="543"/>
        <v>1</v>
      </c>
      <c r="CS884" s="3" t="b">
        <f t="shared" si="544"/>
        <v>1</v>
      </c>
      <c r="CT884" s="3" t="b">
        <f t="shared" si="545"/>
        <v>1</v>
      </c>
      <c r="CU884" s="3" t="b">
        <f t="shared" si="546"/>
        <v>1</v>
      </c>
      <c r="CV884" s="3" t="b">
        <f t="shared" si="547"/>
        <v>1</v>
      </c>
      <c r="CW884" s="3" t="b">
        <f t="shared" si="548"/>
        <v>1</v>
      </c>
      <c r="CX884" s="9" t="str">
        <f t="shared" si="549"/>
        <v>5301131</v>
      </c>
      <c r="CY884" s="9" t="str">
        <f t="shared" si="550"/>
        <v>5301132</v>
      </c>
      <c r="CZ884" s="9" t="str">
        <f t="shared" si="551"/>
        <v>5301132</v>
      </c>
      <c r="DA884" s="9" t="str">
        <f t="shared" si="552"/>
        <v>5500132</v>
      </c>
      <c r="DB884" s="9" t="str">
        <f t="shared" si="553"/>
        <v>5501135</v>
      </c>
      <c r="DC884" s="9" t="str">
        <f t="shared" si="554"/>
        <v>5502133</v>
      </c>
      <c r="DD884" s="9">
        <v>13</v>
      </c>
      <c r="DE884" s="9">
        <v>13</v>
      </c>
      <c r="DF884" s="9">
        <v>13</v>
      </c>
      <c r="DG884" s="9">
        <v>13</v>
      </c>
      <c r="DH884" s="9">
        <v>13</v>
      </c>
      <c r="DI884" s="9">
        <v>13</v>
      </c>
      <c r="DJ884" s="9">
        <v>5</v>
      </c>
      <c r="DK884" s="9">
        <v>5</v>
      </c>
      <c r="DL884" s="9">
        <v>5</v>
      </c>
      <c r="DM884" s="9">
        <v>5</v>
      </c>
      <c r="DN884" s="9">
        <v>5</v>
      </c>
      <c r="DO884" s="9">
        <v>5</v>
      </c>
      <c r="DP884" s="25" t="s">
        <v>107</v>
      </c>
      <c r="DQ884" s="25" t="s">
        <v>201</v>
      </c>
      <c r="DR884" s="25" t="s">
        <v>201</v>
      </c>
      <c r="DS884" s="25" t="s">
        <v>109</v>
      </c>
      <c r="DT884" s="25" t="s">
        <v>209</v>
      </c>
      <c r="DU884" s="25" t="s">
        <v>215</v>
      </c>
      <c r="DV884" s="25">
        <f t="shared" si="555"/>
        <v>1</v>
      </c>
      <c r="DW884" s="25">
        <f t="shared" si="556"/>
        <v>1</v>
      </c>
      <c r="DX884" s="25">
        <f t="shared" si="557"/>
        <v>1</v>
      </c>
      <c r="DY884" s="25">
        <f t="shared" si="558"/>
        <v>2</v>
      </c>
      <c r="DZ884" s="25">
        <f t="shared" si="559"/>
        <v>2</v>
      </c>
      <c r="EA884" s="25">
        <f t="shared" si="560"/>
        <v>2</v>
      </c>
      <c r="EB884" s="30"/>
    </row>
    <row r="885" spans="29:132" ht="13.5" customHeight="1">
      <c r="AC885" s="9" t="str">
        <f t="shared" si="537"/>
        <v/>
      </c>
      <c r="AD885" s="9" t="str">
        <f t="shared" si="538"/>
        <v/>
      </c>
      <c r="AE885" s="9" t="str">
        <f t="shared" si="539"/>
        <v/>
      </c>
      <c r="AF885" s="9" t="str">
        <f t="shared" si="540"/>
        <v/>
      </c>
      <c r="AG885" s="9" t="str">
        <f t="shared" si="541"/>
        <v/>
      </c>
      <c r="AH885" s="9" t="str">
        <f t="shared" si="542"/>
        <v/>
      </c>
      <c r="BR885" s="5">
        <v>5303083</v>
      </c>
      <c r="BS885" s="18">
        <f>[1]monsters!$N885</f>
        <v>0</v>
      </c>
      <c r="BT885" s="18">
        <f>[1]monsters!$O885</f>
        <v>0</v>
      </c>
      <c r="BU885" s="18">
        <f>[1]monsters!$P885</f>
        <v>0</v>
      </c>
      <c r="BV885" s="18">
        <f>[1]monsters!$Q885</f>
        <v>0</v>
      </c>
      <c r="BW885" s="18">
        <f>[1]monsters!$R885</f>
        <v>0</v>
      </c>
      <c r="BX885" s="18">
        <f>[1]monsters!$S885</f>
        <v>0</v>
      </c>
      <c r="BY885" s="18">
        <f>[1]monsters!$K885</f>
        <v>0</v>
      </c>
      <c r="BZ885" s="5">
        <f>[1]monsters!$D885</f>
        <v>0</v>
      </c>
      <c r="CA885" s="5" t="e">
        <f t="shared" si="534"/>
        <v>#N/A</v>
      </c>
      <c r="CB885" s="5" t="e">
        <f t="shared" si="535"/>
        <v>#N/A</v>
      </c>
      <c r="CC885" s="5" t="e">
        <f t="shared" si="536"/>
        <v>#N/A</v>
      </c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R885" s="3" t="b">
        <f t="shared" si="543"/>
        <v>1</v>
      </c>
      <c r="CS885" s="3" t="b">
        <f t="shared" si="544"/>
        <v>1</v>
      </c>
      <c r="CT885" s="3" t="b">
        <f t="shared" si="545"/>
        <v>1</v>
      </c>
      <c r="CU885" s="3" t="b">
        <f t="shared" si="546"/>
        <v>1</v>
      </c>
      <c r="CV885" s="3" t="b">
        <f t="shared" si="547"/>
        <v>1</v>
      </c>
      <c r="CW885" s="3" t="b">
        <f t="shared" si="548"/>
        <v>1</v>
      </c>
      <c r="CX885" s="9" t="str">
        <f t="shared" si="549"/>
        <v>5201133</v>
      </c>
      <c r="CY885" s="9" t="str">
        <f t="shared" si="550"/>
        <v>5200133</v>
      </c>
      <c r="CZ885" s="9" t="str">
        <f t="shared" si="551"/>
        <v>5301132</v>
      </c>
      <c r="DA885" s="9" t="str">
        <f t="shared" si="552"/>
        <v>5501134</v>
      </c>
      <c r="DB885" s="9" t="str">
        <f t="shared" si="553"/>
        <v>5500133</v>
      </c>
      <c r="DC885" s="9" t="str">
        <f t="shared" si="554"/>
        <v>5501134</v>
      </c>
      <c r="DD885" s="9">
        <v>13</v>
      </c>
      <c r="DE885" s="9">
        <v>13</v>
      </c>
      <c r="DF885" s="9">
        <v>13</v>
      </c>
      <c r="DG885" s="9">
        <v>13</v>
      </c>
      <c r="DH885" s="9">
        <v>13</v>
      </c>
      <c r="DI885" s="9">
        <v>13</v>
      </c>
      <c r="DJ885" s="9">
        <v>5</v>
      </c>
      <c r="DK885" s="9">
        <v>5</v>
      </c>
      <c r="DL885" s="9">
        <v>5</v>
      </c>
      <c r="DM885" s="9">
        <v>5</v>
      </c>
      <c r="DN885" s="9">
        <v>5</v>
      </c>
      <c r="DO885" s="9">
        <v>5</v>
      </c>
      <c r="DP885" s="25" t="s">
        <v>205</v>
      </c>
      <c r="DQ885" s="25" t="s">
        <v>113</v>
      </c>
      <c r="DR885" s="25" t="s">
        <v>201</v>
      </c>
      <c r="DS885" s="25" t="s">
        <v>214</v>
      </c>
      <c r="DT885" s="25" t="s">
        <v>207</v>
      </c>
      <c r="DU885" s="25" t="s">
        <v>214</v>
      </c>
      <c r="DV885" s="25">
        <f t="shared" si="555"/>
        <v>1</v>
      </c>
      <c r="DW885" s="25">
        <f t="shared" si="556"/>
        <v>1</v>
      </c>
      <c r="DX885" s="25">
        <f t="shared" si="557"/>
        <v>1</v>
      </c>
      <c r="DY885" s="25">
        <f t="shared" si="558"/>
        <v>2</v>
      </c>
      <c r="DZ885" s="25">
        <f t="shared" si="559"/>
        <v>2</v>
      </c>
      <c r="EA885" s="25">
        <f t="shared" si="560"/>
        <v>2</v>
      </c>
      <c r="EB885" s="29"/>
    </row>
    <row r="886" spans="29:132" ht="13.5" customHeight="1">
      <c r="AC886" s="9" t="str">
        <f t="shared" si="537"/>
        <v/>
      </c>
      <c r="AD886" s="9" t="str">
        <f t="shared" si="538"/>
        <v/>
      </c>
      <c r="AE886" s="9" t="str">
        <f t="shared" si="539"/>
        <v/>
      </c>
      <c r="AF886" s="9" t="str">
        <f t="shared" si="540"/>
        <v/>
      </c>
      <c r="AG886" s="9" t="str">
        <f t="shared" si="541"/>
        <v/>
      </c>
      <c r="AH886" s="9" t="str">
        <f t="shared" si="542"/>
        <v/>
      </c>
      <c r="BR886" s="5">
        <v>5304083</v>
      </c>
      <c r="BS886" s="18">
        <f>[1]monsters!$N886</f>
        <v>0</v>
      </c>
      <c r="BT886" s="18">
        <f>[1]monsters!$O886</f>
        <v>0</v>
      </c>
      <c r="BU886" s="18">
        <f>[1]monsters!$P886</f>
        <v>0</v>
      </c>
      <c r="BV886" s="18">
        <f>[1]monsters!$Q886</f>
        <v>0</v>
      </c>
      <c r="BW886" s="18">
        <f>[1]monsters!$R886</f>
        <v>0</v>
      </c>
      <c r="BX886" s="18">
        <f>[1]monsters!$S886</f>
        <v>0</v>
      </c>
      <c r="BY886" s="18">
        <f>[1]monsters!$K886</f>
        <v>0</v>
      </c>
      <c r="BZ886" s="5">
        <f>[1]monsters!$D886</f>
        <v>0</v>
      </c>
      <c r="CA886" s="5" t="e">
        <f t="shared" si="534"/>
        <v>#N/A</v>
      </c>
      <c r="CB886" s="5" t="e">
        <f t="shared" si="535"/>
        <v>#N/A</v>
      </c>
      <c r="CC886" s="5" t="e">
        <f t="shared" si="536"/>
        <v>#N/A</v>
      </c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R886" s="3" t="b">
        <f t="shared" si="543"/>
        <v>1</v>
      </c>
      <c r="CS886" s="3" t="b">
        <f t="shared" si="544"/>
        <v>1</v>
      </c>
      <c r="CT886" s="3" t="b">
        <f t="shared" si="545"/>
        <v>1</v>
      </c>
      <c r="CU886" s="3" t="b">
        <f t="shared" si="546"/>
        <v>1</v>
      </c>
      <c r="CV886" s="3" t="b">
        <f t="shared" si="547"/>
        <v>1</v>
      </c>
      <c r="CW886" s="3" t="b">
        <f t="shared" si="548"/>
        <v>1</v>
      </c>
      <c r="CX886" s="9" t="str">
        <f t="shared" si="549"/>
        <v>5200133</v>
      </c>
      <c r="CY886" s="9" t="str">
        <f t="shared" si="550"/>
        <v>5200133</v>
      </c>
      <c r="CZ886" s="9" t="str">
        <f t="shared" si="551"/>
        <v>5201132</v>
      </c>
      <c r="DA886" s="9" t="str">
        <f t="shared" si="552"/>
        <v>5401133</v>
      </c>
      <c r="DB886" s="9" t="str">
        <f t="shared" si="553"/>
        <v>5402132</v>
      </c>
      <c r="DC886" s="9" t="str">
        <f t="shared" si="554"/>
        <v>5401133</v>
      </c>
      <c r="DD886" s="9">
        <v>13</v>
      </c>
      <c r="DE886" s="9">
        <v>13</v>
      </c>
      <c r="DF886" s="9">
        <v>13</v>
      </c>
      <c r="DG886" s="9">
        <v>13</v>
      </c>
      <c r="DH886" s="9">
        <v>13</v>
      </c>
      <c r="DI886" s="9">
        <v>13</v>
      </c>
      <c r="DJ886" s="9">
        <v>5</v>
      </c>
      <c r="DK886" s="9">
        <v>5</v>
      </c>
      <c r="DL886" s="9">
        <v>5</v>
      </c>
      <c r="DM886" s="9">
        <v>5</v>
      </c>
      <c r="DN886" s="9">
        <v>5</v>
      </c>
      <c r="DO886" s="9">
        <v>5</v>
      </c>
      <c r="DP886" s="25" t="s">
        <v>113</v>
      </c>
      <c r="DQ886" s="25" t="s">
        <v>113</v>
      </c>
      <c r="DR886" s="25" t="s">
        <v>114</v>
      </c>
      <c r="DS886" s="25" t="s">
        <v>211</v>
      </c>
      <c r="DT886" s="25" t="s">
        <v>203</v>
      </c>
      <c r="DU886" s="25" t="s">
        <v>211</v>
      </c>
      <c r="DV886" s="25">
        <f t="shared" si="555"/>
        <v>1</v>
      </c>
      <c r="DW886" s="25">
        <f t="shared" si="556"/>
        <v>1</v>
      </c>
      <c r="DX886" s="25">
        <f t="shared" si="557"/>
        <v>1</v>
      </c>
      <c r="DY886" s="25">
        <f t="shared" si="558"/>
        <v>2</v>
      </c>
      <c r="DZ886" s="25">
        <f t="shared" si="559"/>
        <v>2</v>
      </c>
      <c r="EA886" s="25">
        <f t="shared" si="560"/>
        <v>2</v>
      </c>
      <c r="EB886" s="29"/>
    </row>
    <row r="887" spans="29:132" ht="13.5" customHeight="1">
      <c r="AC887" s="9" t="str">
        <f t="shared" si="537"/>
        <v/>
      </c>
      <c r="AD887" s="9" t="str">
        <f t="shared" si="538"/>
        <v/>
      </c>
      <c r="AE887" s="9" t="str">
        <f t="shared" si="539"/>
        <v/>
      </c>
      <c r="AF887" s="9" t="str">
        <f t="shared" si="540"/>
        <v/>
      </c>
      <c r="AG887" s="9" t="str">
        <f t="shared" si="541"/>
        <v/>
      </c>
      <c r="AH887" s="9" t="str">
        <f t="shared" si="542"/>
        <v/>
      </c>
      <c r="BR887" s="5">
        <v>5503083</v>
      </c>
      <c r="BS887" s="18">
        <f>[1]monsters!$N887</f>
        <v>0</v>
      </c>
      <c r="BT887" s="18">
        <f>[1]monsters!$O887</f>
        <v>0</v>
      </c>
      <c r="BU887" s="18">
        <f>[1]monsters!$P887</f>
        <v>0</v>
      </c>
      <c r="BV887" s="18">
        <f>[1]monsters!$Q887</f>
        <v>0</v>
      </c>
      <c r="BW887" s="18">
        <f>[1]monsters!$R887</f>
        <v>0</v>
      </c>
      <c r="BX887" s="18">
        <f>[1]monsters!$S887</f>
        <v>0</v>
      </c>
      <c r="BY887" s="18">
        <f>[1]monsters!$K887</f>
        <v>0</v>
      </c>
      <c r="BZ887" s="5">
        <f>[1]monsters!$D887</f>
        <v>0</v>
      </c>
      <c r="CA887" s="5" t="e">
        <f t="shared" si="534"/>
        <v>#N/A</v>
      </c>
      <c r="CB887" s="5" t="e">
        <f t="shared" si="535"/>
        <v>#N/A</v>
      </c>
      <c r="CC887" s="5" t="e">
        <f t="shared" si="536"/>
        <v>#N/A</v>
      </c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R887" s="3" t="b">
        <f t="shared" si="543"/>
        <v>1</v>
      </c>
      <c r="CS887" s="3" t="b">
        <f t="shared" si="544"/>
        <v>1</v>
      </c>
      <c r="CT887" s="3" t="b">
        <f t="shared" si="545"/>
        <v>1</v>
      </c>
      <c r="CU887" s="3" t="b">
        <f t="shared" si="546"/>
        <v>1</v>
      </c>
      <c r="CV887" s="3" t="b">
        <f t="shared" si="547"/>
        <v>1</v>
      </c>
      <c r="CW887" s="3" t="b">
        <f t="shared" si="548"/>
        <v>1</v>
      </c>
      <c r="CX887" s="9" t="str">
        <f t="shared" si="549"/>
        <v>5201131</v>
      </c>
      <c r="CY887" s="9" t="str">
        <f t="shared" si="550"/>
        <v>5201131</v>
      </c>
      <c r="CZ887" s="9" t="str">
        <f t="shared" si="551"/>
        <v>5201131</v>
      </c>
      <c r="DA887" s="9" t="str">
        <f t="shared" si="552"/>
        <v>5502131</v>
      </c>
      <c r="DB887" s="9" t="str">
        <f t="shared" si="553"/>
        <v>5502131</v>
      </c>
      <c r="DC887" s="9" t="str">
        <f t="shared" si="554"/>
        <v>5502131</v>
      </c>
      <c r="DD887" s="9">
        <v>13</v>
      </c>
      <c r="DE887" s="9">
        <v>13</v>
      </c>
      <c r="DF887" s="9">
        <v>13</v>
      </c>
      <c r="DG887" s="9">
        <v>13</v>
      </c>
      <c r="DH887" s="9">
        <v>13</v>
      </c>
      <c r="DI887" s="9">
        <v>13</v>
      </c>
      <c r="DJ887" s="9">
        <v>5</v>
      </c>
      <c r="DK887" s="9">
        <v>5</v>
      </c>
      <c r="DL887" s="9">
        <v>5</v>
      </c>
      <c r="DM887" s="9">
        <v>5</v>
      </c>
      <c r="DN887" s="9">
        <v>5</v>
      </c>
      <c r="DO887" s="9">
        <v>5</v>
      </c>
      <c r="DP887" s="25" t="s">
        <v>195</v>
      </c>
      <c r="DQ887" s="25" t="s">
        <v>195</v>
      </c>
      <c r="DR887" s="25" t="s">
        <v>195</v>
      </c>
      <c r="DS887" s="25" t="s">
        <v>119</v>
      </c>
      <c r="DT887" s="25" t="s">
        <v>119</v>
      </c>
      <c r="DU887" s="25" t="s">
        <v>119</v>
      </c>
      <c r="DV887" s="25">
        <f t="shared" si="555"/>
        <v>1</v>
      </c>
      <c r="DW887" s="25">
        <f t="shared" si="556"/>
        <v>1</v>
      </c>
      <c r="DX887" s="25">
        <f t="shared" si="557"/>
        <v>1</v>
      </c>
      <c r="DY887" s="25">
        <f t="shared" si="558"/>
        <v>2</v>
      </c>
      <c r="DZ887" s="25">
        <f t="shared" si="559"/>
        <v>2</v>
      </c>
      <c r="EA887" s="25">
        <f t="shared" si="560"/>
        <v>2</v>
      </c>
      <c r="EB887" s="30"/>
    </row>
    <row r="888" spans="29:132" ht="13.5" customHeight="1">
      <c r="AC888" s="9" t="str">
        <f t="shared" si="537"/>
        <v/>
      </c>
      <c r="AD888" s="9" t="str">
        <f t="shared" si="538"/>
        <v/>
      </c>
      <c r="AE888" s="9" t="str">
        <f t="shared" si="539"/>
        <v/>
      </c>
      <c r="AF888" s="9" t="str">
        <f t="shared" si="540"/>
        <v/>
      </c>
      <c r="AG888" s="9" t="str">
        <f t="shared" si="541"/>
        <v/>
      </c>
      <c r="AH888" s="9" t="str">
        <f t="shared" si="542"/>
        <v/>
      </c>
      <c r="BR888" s="5">
        <v>5504083</v>
      </c>
      <c r="BS888" s="18">
        <f>[1]monsters!$N888</f>
        <v>0</v>
      </c>
      <c r="BT888" s="18">
        <f>[1]monsters!$O888</f>
        <v>0</v>
      </c>
      <c r="BU888" s="18">
        <f>[1]monsters!$P888</f>
        <v>0</v>
      </c>
      <c r="BV888" s="18">
        <f>[1]monsters!$Q888</f>
        <v>0</v>
      </c>
      <c r="BW888" s="18">
        <f>[1]monsters!$R888</f>
        <v>0</v>
      </c>
      <c r="BX888" s="18">
        <f>[1]monsters!$S888</f>
        <v>0</v>
      </c>
      <c r="BY888" s="18">
        <f>[1]monsters!$K888</f>
        <v>0</v>
      </c>
      <c r="BZ888" s="5">
        <f>[1]monsters!$D888</f>
        <v>0</v>
      </c>
      <c r="CA888" s="5" t="e">
        <f t="shared" si="534"/>
        <v>#N/A</v>
      </c>
      <c r="CB888" s="5" t="e">
        <f t="shared" si="535"/>
        <v>#N/A</v>
      </c>
      <c r="CC888" s="5" t="e">
        <f t="shared" si="536"/>
        <v>#N/A</v>
      </c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R888" s="3" t="b">
        <f t="shared" si="543"/>
        <v>1</v>
      </c>
      <c r="CS888" s="3" t="b">
        <f t="shared" si="544"/>
        <v>1</v>
      </c>
      <c r="CT888" s="3" t="b">
        <f t="shared" si="545"/>
        <v>1</v>
      </c>
      <c r="CU888" s="3" t="b">
        <f t="shared" si="546"/>
        <v>1</v>
      </c>
      <c r="CV888" s="3" t="b">
        <f t="shared" si="547"/>
        <v>1</v>
      </c>
      <c r="CW888" s="3" t="b">
        <f t="shared" si="548"/>
        <v>1</v>
      </c>
      <c r="CX888" s="9" t="str">
        <f t="shared" si="549"/>
        <v>5202133</v>
      </c>
      <c r="CY888" s="9" t="str">
        <f t="shared" si="550"/>
        <v>5201133</v>
      </c>
      <c r="CZ888" s="9" t="str">
        <f t="shared" si="551"/>
        <v>5302134</v>
      </c>
      <c r="DA888" s="9" t="str">
        <f t="shared" si="552"/>
        <v>5501134</v>
      </c>
      <c r="DB888" s="9" t="str">
        <f t="shared" si="553"/>
        <v>5400135</v>
      </c>
      <c r="DC888" s="9" t="str">
        <f t="shared" si="554"/>
        <v>5500132</v>
      </c>
      <c r="DD888" s="9">
        <v>13</v>
      </c>
      <c r="DE888" s="9">
        <v>13</v>
      </c>
      <c r="DF888" s="9">
        <v>13</v>
      </c>
      <c r="DG888" s="9">
        <v>13</v>
      </c>
      <c r="DH888" s="9">
        <v>13</v>
      </c>
      <c r="DI888" s="9">
        <v>13</v>
      </c>
      <c r="DJ888" s="9">
        <v>5</v>
      </c>
      <c r="DK888" s="9">
        <v>5</v>
      </c>
      <c r="DL888" s="9">
        <v>5</v>
      </c>
      <c r="DM888" s="9">
        <v>5</v>
      </c>
      <c r="DN888" s="9">
        <v>5</v>
      </c>
      <c r="DO888" s="9">
        <v>5</v>
      </c>
      <c r="DP888" s="25" t="s">
        <v>208</v>
      </c>
      <c r="DQ888" s="25" t="s">
        <v>205</v>
      </c>
      <c r="DR888" s="25" t="s">
        <v>218</v>
      </c>
      <c r="DS888" s="25" t="s">
        <v>214</v>
      </c>
      <c r="DT888" s="25" t="s">
        <v>210</v>
      </c>
      <c r="DU888" s="25" t="s">
        <v>109</v>
      </c>
      <c r="DV888" s="25">
        <f t="shared" si="555"/>
        <v>1</v>
      </c>
      <c r="DW888" s="25">
        <f t="shared" si="556"/>
        <v>1</v>
      </c>
      <c r="DX888" s="25">
        <f t="shared" si="557"/>
        <v>1</v>
      </c>
      <c r="DY888" s="25">
        <f t="shared" si="558"/>
        <v>2</v>
      </c>
      <c r="DZ888" s="25">
        <f t="shared" si="559"/>
        <v>2</v>
      </c>
      <c r="EA888" s="25">
        <f t="shared" si="560"/>
        <v>2</v>
      </c>
      <c r="EB888" s="29"/>
    </row>
    <row r="889" spans="29:132" ht="13.5" customHeight="1">
      <c r="AC889" s="9" t="str">
        <f t="shared" si="537"/>
        <v/>
      </c>
      <c r="AD889" s="9" t="str">
        <f t="shared" si="538"/>
        <v/>
      </c>
      <c r="AE889" s="9" t="str">
        <f t="shared" si="539"/>
        <v/>
      </c>
      <c r="AF889" s="9" t="str">
        <f t="shared" si="540"/>
        <v/>
      </c>
      <c r="AG889" s="9" t="str">
        <f t="shared" si="541"/>
        <v/>
      </c>
      <c r="AH889" s="9" t="str">
        <f t="shared" si="542"/>
        <v/>
      </c>
      <c r="BR889" s="5">
        <v>5101083</v>
      </c>
      <c r="BS889" s="18">
        <f>[1]monsters!$N889</f>
        <v>0</v>
      </c>
      <c r="BT889" s="18">
        <f>[1]monsters!$O889</f>
        <v>0</v>
      </c>
      <c r="BU889" s="18">
        <f>[1]monsters!$P889</f>
        <v>0</v>
      </c>
      <c r="BV889" s="18">
        <f>[1]monsters!$Q889</f>
        <v>0</v>
      </c>
      <c r="BW889" s="18">
        <f>[1]monsters!$R889</f>
        <v>0</v>
      </c>
      <c r="BX889" s="18">
        <f>[1]monsters!$S889</f>
        <v>0</v>
      </c>
      <c r="BY889" s="18">
        <f>[1]monsters!$K889</f>
        <v>0</v>
      </c>
      <c r="BZ889" s="5">
        <f>[1]monsters!$D889</f>
        <v>0</v>
      </c>
      <c r="CA889" s="5" t="e">
        <f t="shared" si="534"/>
        <v>#N/A</v>
      </c>
      <c r="CB889" s="5" t="e">
        <f t="shared" si="535"/>
        <v>#N/A</v>
      </c>
      <c r="CC889" s="5" t="e">
        <f t="shared" si="536"/>
        <v>#N/A</v>
      </c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R889" s="3" t="b">
        <f t="shared" si="543"/>
        <v>1</v>
      </c>
      <c r="CS889" s="3" t="b">
        <f t="shared" si="544"/>
        <v>1</v>
      </c>
      <c r="CT889" s="3" t="b">
        <f t="shared" si="545"/>
        <v>1</v>
      </c>
      <c r="CU889" s="3" t="b">
        <f t="shared" si="546"/>
        <v>1</v>
      </c>
      <c r="CV889" s="3" t="b">
        <f t="shared" si="547"/>
        <v>1</v>
      </c>
      <c r="CW889" s="3" t="b">
        <f t="shared" si="548"/>
        <v>1</v>
      </c>
      <c r="CX889" s="9" t="str">
        <f t="shared" si="549"/>
        <v>5201133</v>
      </c>
      <c r="CY889" s="9" t="str">
        <f t="shared" si="550"/>
        <v>5202135</v>
      </c>
      <c r="CZ889" s="9" t="str">
        <f t="shared" si="551"/>
        <v>5200131</v>
      </c>
      <c r="DA889" s="9" t="str">
        <f t="shared" si="552"/>
        <v>5501134</v>
      </c>
      <c r="DB889" s="9" t="str">
        <f t="shared" si="553"/>
        <v>5402132</v>
      </c>
      <c r="DC889" s="9" t="str">
        <f t="shared" si="554"/>
        <v>5400135</v>
      </c>
      <c r="DD889" s="9">
        <v>13</v>
      </c>
      <c r="DE889" s="9">
        <v>13</v>
      </c>
      <c r="DF889" s="9">
        <v>13</v>
      </c>
      <c r="DG889" s="9">
        <v>13</v>
      </c>
      <c r="DH889" s="9">
        <v>13</v>
      </c>
      <c r="DI889" s="9">
        <v>13</v>
      </c>
      <c r="DJ889" s="9">
        <v>5</v>
      </c>
      <c r="DK889" s="9">
        <v>5</v>
      </c>
      <c r="DL889" s="9">
        <v>5</v>
      </c>
      <c r="DM889" s="9">
        <v>5</v>
      </c>
      <c r="DN889" s="9">
        <v>5</v>
      </c>
      <c r="DO889" s="9">
        <v>5</v>
      </c>
      <c r="DP889" s="25" t="s">
        <v>205</v>
      </c>
      <c r="DQ889" s="25" t="s">
        <v>213</v>
      </c>
      <c r="DR889" s="25" t="s">
        <v>194</v>
      </c>
      <c r="DS889" s="25" t="s">
        <v>214</v>
      </c>
      <c r="DT889" s="25" t="s">
        <v>203</v>
      </c>
      <c r="DU889" s="25" t="s">
        <v>210</v>
      </c>
      <c r="DV889" s="25">
        <f t="shared" si="555"/>
        <v>1</v>
      </c>
      <c r="DW889" s="25">
        <f t="shared" si="556"/>
        <v>1</v>
      </c>
      <c r="DX889" s="25">
        <f t="shared" si="557"/>
        <v>1</v>
      </c>
      <c r="DY889" s="25">
        <f t="shared" si="558"/>
        <v>2</v>
      </c>
      <c r="DZ889" s="25">
        <f t="shared" si="559"/>
        <v>2</v>
      </c>
      <c r="EA889" s="25">
        <f t="shared" si="560"/>
        <v>2</v>
      </c>
      <c r="EB889" s="29"/>
    </row>
    <row r="890" spans="29:132" ht="13.5" customHeight="1">
      <c r="AC890" s="9" t="str">
        <f t="shared" si="537"/>
        <v/>
      </c>
      <c r="AD890" s="9" t="str">
        <f t="shared" si="538"/>
        <v/>
      </c>
      <c r="AE890" s="9" t="str">
        <f t="shared" si="539"/>
        <v/>
      </c>
      <c r="AF890" s="9" t="str">
        <f t="shared" si="540"/>
        <v/>
      </c>
      <c r="AG890" s="9" t="str">
        <f t="shared" si="541"/>
        <v/>
      </c>
      <c r="AH890" s="9" t="str">
        <f t="shared" si="542"/>
        <v/>
      </c>
      <c r="BR890" s="5">
        <v>5102083</v>
      </c>
      <c r="BS890" s="18">
        <f>[1]monsters!$N890</f>
        <v>0</v>
      </c>
      <c r="BT890" s="18">
        <f>[1]monsters!$O890</f>
        <v>0</v>
      </c>
      <c r="BU890" s="18">
        <f>[1]monsters!$P890</f>
        <v>0</v>
      </c>
      <c r="BV890" s="18">
        <f>[1]monsters!$Q890</f>
        <v>0</v>
      </c>
      <c r="BW890" s="18">
        <f>[1]monsters!$R890</f>
        <v>0</v>
      </c>
      <c r="BX890" s="18">
        <f>[1]monsters!$S890</f>
        <v>0</v>
      </c>
      <c r="BY890" s="18">
        <f>[1]monsters!$K890</f>
        <v>0</v>
      </c>
      <c r="BZ890" s="5">
        <f>[1]monsters!$D890</f>
        <v>0</v>
      </c>
      <c r="CA890" s="5" t="e">
        <f t="shared" si="534"/>
        <v>#N/A</v>
      </c>
      <c r="CB890" s="5" t="e">
        <f t="shared" si="535"/>
        <v>#N/A</v>
      </c>
      <c r="CC890" s="5" t="e">
        <f t="shared" si="536"/>
        <v>#N/A</v>
      </c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R890" s="3" t="b">
        <f t="shared" si="543"/>
        <v>1</v>
      </c>
      <c r="CS890" s="3" t="b">
        <f t="shared" si="544"/>
        <v>1</v>
      </c>
      <c r="CT890" s="3" t="b">
        <f t="shared" si="545"/>
        <v>1</v>
      </c>
      <c r="CU890" s="3" t="b">
        <f t="shared" si="546"/>
        <v>1</v>
      </c>
      <c r="CV890" s="3" t="b">
        <f t="shared" si="547"/>
        <v>1</v>
      </c>
      <c r="CW890" s="3" t="b">
        <f t="shared" si="548"/>
        <v>1</v>
      </c>
      <c r="CX890" s="9" t="str">
        <f t="shared" si="549"/>
        <v>5300135</v>
      </c>
      <c r="CY890" s="9" t="str">
        <f t="shared" si="550"/>
        <v>5202135</v>
      </c>
      <c r="CZ890" s="9" t="str">
        <f t="shared" si="551"/>
        <v>5202133</v>
      </c>
      <c r="DA890" s="9" t="str">
        <f t="shared" si="552"/>
        <v>5401133</v>
      </c>
      <c r="DB890" s="9" t="str">
        <f t="shared" si="553"/>
        <v>5400135</v>
      </c>
      <c r="DC890" s="9" t="str">
        <f t="shared" si="554"/>
        <v>5400135</v>
      </c>
      <c r="DD890" s="9">
        <v>13</v>
      </c>
      <c r="DE890" s="9">
        <v>13</v>
      </c>
      <c r="DF890" s="9">
        <v>13</v>
      </c>
      <c r="DG890" s="9">
        <v>13</v>
      </c>
      <c r="DH890" s="9">
        <v>13</v>
      </c>
      <c r="DI890" s="9">
        <v>13</v>
      </c>
      <c r="DJ890" s="9">
        <v>5</v>
      </c>
      <c r="DK890" s="9">
        <v>5</v>
      </c>
      <c r="DL890" s="9">
        <v>5</v>
      </c>
      <c r="DM890" s="9">
        <v>5</v>
      </c>
      <c r="DN890" s="9">
        <v>5</v>
      </c>
      <c r="DO890" s="9">
        <v>5</v>
      </c>
      <c r="DP890" s="25" t="s">
        <v>212</v>
      </c>
      <c r="DQ890" s="25" t="s">
        <v>213</v>
      </c>
      <c r="DR890" s="25" t="s">
        <v>208</v>
      </c>
      <c r="DS890" s="25" t="s">
        <v>211</v>
      </c>
      <c r="DT890" s="25" t="s">
        <v>210</v>
      </c>
      <c r="DU890" s="25" t="s">
        <v>210</v>
      </c>
      <c r="DV890" s="25">
        <f t="shared" si="555"/>
        <v>1</v>
      </c>
      <c r="DW890" s="25">
        <f t="shared" si="556"/>
        <v>1</v>
      </c>
      <c r="DX890" s="25">
        <f t="shared" si="557"/>
        <v>1</v>
      </c>
      <c r="DY890" s="25">
        <f t="shared" si="558"/>
        <v>2</v>
      </c>
      <c r="DZ890" s="25">
        <f t="shared" si="559"/>
        <v>2</v>
      </c>
      <c r="EA890" s="25">
        <f t="shared" si="560"/>
        <v>2</v>
      </c>
      <c r="EB890" s="29"/>
    </row>
    <row r="891" spans="29:132" ht="13.5" customHeight="1">
      <c r="AC891" s="9" t="str">
        <f t="shared" si="537"/>
        <v/>
      </c>
      <c r="AD891" s="9" t="str">
        <f t="shared" si="538"/>
        <v/>
      </c>
      <c r="AE891" s="9" t="str">
        <f t="shared" si="539"/>
        <v/>
      </c>
      <c r="AF891" s="9" t="str">
        <f t="shared" si="540"/>
        <v/>
      </c>
      <c r="AG891" s="9" t="str">
        <f t="shared" si="541"/>
        <v/>
      </c>
      <c r="AH891" s="9" t="str">
        <f t="shared" si="542"/>
        <v/>
      </c>
      <c r="BR891" s="5">
        <v>5206084</v>
      </c>
      <c r="BS891" s="18">
        <f>[1]monsters!$N891</f>
        <v>0</v>
      </c>
      <c r="BT891" s="18">
        <f>[1]monsters!$O891</f>
        <v>0</v>
      </c>
      <c r="BU891" s="18">
        <f>[1]monsters!$P891</f>
        <v>0</v>
      </c>
      <c r="BV891" s="18">
        <f>[1]monsters!$Q891</f>
        <v>0</v>
      </c>
      <c r="BW891" s="18">
        <f>[1]monsters!$R891</f>
        <v>0</v>
      </c>
      <c r="BX891" s="18">
        <f>[1]monsters!$S891</f>
        <v>0</v>
      </c>
      <c r="BY891" s="18">
        <f>[1]monsters!$K891</f>
        <v>0</v>
      </c>
      <c r="BZ891" s="5">
        <f>[1]monsters!$D891</f>
        <v>0</v>
      </c>
      <c r="CA891" s="5" t="e">
        <f t="shared" si="534"/>
        <v>#N/A</v>
      </c>
      <c r="CB891" s="5" t="e">
        <f t="shared" si="535"/>
        <v>#N/A</v>
      </c>
      <c r="CC891" s="5" t="e">
        <f t="shared" si="536"/>
        <v>#N/A</v>
      </c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R891" s="3" t="b">
        <f t="shared" si="543"/>
        <v>1</v>
      </c>
      <c r="CS891" s="3" t="b">
        <f t="shared" si="544"/>
        <v>1</v>
      </c>
      <c r="CT891" s="3" t="b">
        <f t="shared" si="545"/>
        <v>1</v>
      </c>
      <c r="CU891" s="3" t="b">
        <f t="shared" si="546"/>
        <v>1</v>
      </c>
      <c r="CV891" s="3" t="b">
        <f t="shared" si="547"/>
        <v>1</v>
      </c>
      <c r="CW891" s="3" t="b">
        <f t="shared" si="548"/>
        <v>1</v>
      </c>
      <c r="CX891" s="9" t="str">
        <f t="shared" si="549"/>
        <v>5202132</v>
      </c>
      <c r="CY891" s="9" t="str">
        <f t="shared" si="550"/>
        <v>5202132</v>
      </c>
      <c r="CZ891" s="9" t="str">
        <f t="shared" si="551"/>
        <v>5301132</v>
      </c>
      <c r="DA891" s="9" t="str">
        <f t="shared" si="552"/>
        <v>5502132</v>
      </c>
      <c r="DB891" s="9" t="str">
        <f t="shared" si="553"/>
        <v>5500131</v>
      </c>
      <c r="DC891" s="9" t="str">
        <f t="shared" si="554"/>
        <v>5502131</v>
      </c>
      <c r="DD891" s="9">
        <v>13</v>
      </c>
      <c r="DE891" s="9">
        <v>13</v>
      </c>
      <c r="DF891" s="9">
        <v>13</v>
      </c>
      <c r="DG891" s="9">
        <v>13</v>
      </c>
      <c r="DH891" s="9">
        <v>13</v>
      </c>
      <c r="DI891" s="9">
        <v>13</v>
      </c>
      <c r="DJ891" s="9">
        <v>5</v>
      </c>
      <c r="DK891" s="9">
        <v>5</v>
      </c>
      <c r="DL891" s="9">
        <v>5</v>
      </c>
      <c r="DM891" s="9">
        <v>5</v>
      </c>
      <c r="DN891" s="9">
        <v>5</v>
      </c>
      <c r="DO891" s="9">
        <v>5</v>
      </c>
      <c r="DP891" s="25" t="s">
        <v>200</v>
      </c>
      <c r="DQ891" s="25" t="s">
        <v>200</v>
      </c>
      <c r="DR891" s="25" t="s">
        <v>201</v>
      </c>
      <c r="DS891" s="25" t="s">
        <v>204</v>
      </c>
      <c r="DT891" s="25" t="s">
        <v>197</v>
      </c>
      <c r="DU891" s="25" t="s">
        <v>119</v>
      </c>
      <c r="DV891" s="25">
        <f t="shared" si="555"/>
        <v>1</v>
      </c>
      <c r="DW891" s="25">
        <f t="shared" si="556"/>
        <v>1</v>
      </c>
      <c r="DX891" s="25">
        <f t="shared" si="557"/>
        <v>1</v>
      </c>
      <c r="DY891" s="25">
        <f t="shared" si="558"/>
        <v>2</v>
      </c>
      <c r="DZ891" s="25">
        <f t="shared" si="559"/>
        <v>2</v>
      </c>
      <c r="EA891" s="25">
        <f t="shared" si="560"/>
        <v>2</v>
      </c>
      <c r="EB891" s="38"/>
    </row>
    <row r="892" spans="29:132" ht="13.5" customHeight="1">
      <c r="AC892" s="9" t="str">
        <f t="shared" si="537"/>
        <v/>
      </c>
      <c r="AD892" s="9" t="str">
        <f t="shared" si="538"/>
        <v/>
      </c>
      <c r="AE892" s="9" t="str">
        <f t="shared" si="539"/>
        <v/>
      </c>
      <c r="AF892" s="9" t="str">
        <f t="shared" si="540"/>
        <v/>
      </c>
      <c r="AG892" s="9" t="str">
        <f t="shared" si="541"/>
        <v/>
      </c>
      <c r="AH892" s="9" t="str">
        <f t="shared" si="542"/>
        <v/>
      </c>
      <c r="BR892" s="5">
        <v>5406084</v>
      </c>
      <c r="BS892" s="18">
        <f>[1]monsters!$N892</f>
        <v>0</v>
      </c>
      <c r="BT892" s="18">
        <f>[1]monsters!$O892</f>
        <v>0</v>
      </c>
      <c r="BU892" s="18">
        <f>[1]monsters!$P892</f>
        <v>0</v>
      </c>
      <c r="BV892" s="18">
        <f>[1]monsters!$Q892</f>
        <v>0</v>
      </c>
      <c r="BW892" s="18">
        <f>[1]monsters!$R892</f>
        <v>0</v>
      </c>
      <c r="BX892" s="18">
        <f>[1]monsters!$S892</f>
        <v>0</v>
      </c>
      <c r="BY892" s="18">
        <f>[1]monsters!$K892</f>
        <v>0</v>
      </c>
      <c r="BZ892" s="5">
        <f>[1]monsters!$D892</f>
        <v>0</v>
      </c>
      <c r="CA892" s="5" t="e">
        <f t="shared" si="534"/>
        <v>#N/A</v>
      </c>
      <c r="CB892" s="5" t="e">
        <f t="shared" si="535"/>
        <v>#N/A</v>
      </c>
      <c r="CC892" s="5" t="e">
        <f t="shared" si="536"/>
        <v>#N/A</v>
      </c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R892" s="3" t="b">
        <f t="shared" si="543"/>
        <v>1</v>
      </c>
      <c r="CS892" s="3" t="b">
        <f t="shared" si="544"/>
        <v>1</v>
      </c>
      <c r="CT892" s="3" t="b">
        <f t="shared" si="545"/>
        <v>1</v>
      </c>
      <c r="CU892" s="3" t="b">
        <f t="shared" si="546"/>
        <v>1</v>
      </c>
      <c r="CV892" s="3" t="b">
        <f t="shared" si="547"/>
        <v>1</v>
      </c>
      <c r="CW892" s="3" t="b">
        <f t="shared" si="548"/>
        <v>1</v>
      </c>
      <c r="CX892" s="9" t="str">
        <f t="shared" si="549"/>
        <v>5202133</v>
      </c>
      <c r="CY892" s="9" t="str">
        <f t="shared" si="550"/>
        <v>5201133</v>
      </c>
      <c r="CZ892" s="9" t="str">
        <f t="shared" si="551"/>
        <v>5302134</v>
      </c>
      <c r="DA892" s="9" t="str">
        <f t="shared" si="552"/>
        <v>5400135</v>
      </c>
      <c r="DB892" s="9" t="str">
        <f t="shared" si="553"/>
        <v>5601131</v>
      </c>
      <c r="DC892" s="9" t="str">
        <f t="shared" si="554"/>
        <v>5501134</v>
      </c>
      <c r="DD892" s="9">
        <v>13</v>
      </c>
      <c r="DE892" s="9">
        <v>13</v>
      </c>
      <c r="DF892" s="9">
        <v>13</v>
      </c>
      <c r="DG892" s="9">
        <v>13</v>
      </c>
      <c r="DH892" s="9">
        <v>13</v>
      </c>
      <c r="DI892" s="9">
        <v>13</v>
      </c>
      <c r="DJ892" s="9">
        <v>5</v>
      </c>
      <c r="DK892" s="9">
        <v>5</v>
      </c>
      <c r="DL892" s="9">
        <v>5</v>
      </c>
      <c r="DM892" s="9">
        <v>5</v>
      </c>
      <c r="DN892" s="9">
        <v>5</v>
      </c>
      <c r="DO892" s="9">
        <v>5</v>
      </c>
      <c r="DP892" s="25" t="s">
        <v>208</v>
      </c>
      <c r="DQ892" s="25" t="s">
        <v>205</v>
      </c>
      <c r="DR892" s="25" t="s">
        <v>218</v>
      </c>
      <c r="DS892" s="25" t="s">
        <v>210</v>
      </c>
      <c r="DT892" s="25" t="s">
        <v>198</v>
      </c>
      <c r="DU892" s="25" t="s">
        <v>214</v>
      </c>
      <c r="DV892" s="25">
        <f t="shared" si="555"/>
        <v>1</v>
      </c>
      <c r="DW892" s="25">
        <f t="shared" si="556"/>
        <v>1</v>
      </c>
      <c r="DX892" s="25">
        <f t="shared" si="557"/>
        <v>1</v>
      </c>
      <c r="DY892" s="25">
        <f t="shared" si="558"/>
        <v>2</v>
      </c>
      <c r="DZ892" s="25">
        <f t="shared" si="559"/>
        <v>2</v>
      </c>
      <c r="EA892" s="25">
        <f t="shared" si="560"/>
        <v>2</v>
      </c>
      <c r="EB892" s="38"/>
    </row>
    <row r="893" spans="29:132" ht="13.5" customHeight="1">
      <c r="AC893" s="9" t="str">
        <f t="shared" si="537"/>
        <v/>
      </c>
      <c r="AD893" s="9" t="str">
        <f t="shared" si="538"/>
        <v/>
      </c>
      <c r="AE893" s="9" t="str">
        <f t="shared" si="539"/>
        <v/>
      </c>
      <c r="AF893" s="9" t="str">
        <f t="shared" si="540"/>
        <v/>
      </c>
      <c r="AG893" s="9" t="str">
        <f t="shared" si="541"/>
        <v/>
      </c>
      <c r="AH893" s="9" t="str">
        <f t="shared" si="542"/>
        <v/>
      </c>
      <c r="BR893" s="5">
        <v>5205084</v>
      </c>
      <c r="BS893" s="18">
        <f>[1]monsters!$N893</f>
        <v>0</v>
      </c>
      <c r="BT893" s="18">
        <f>[1]monsters!$O893</f>
        <v>0</v>
      </c>
      <c r="BU893" s="18">
        <f>[1]monsters!$P893</f>
        <v>0</v>
      </c>
      <c r="BV893" s="18">
        <f>[1]monsters!$Q893</f>
        <v>0</v>
      </c>
      <c r="BW893" s="18">
        <f>[1]monsters!$R893</f>
        <v>0</v>
      </c>
      <c r="BX893" s="18">
        <f>[1]monsters!$S893</f>
        <v>0</v>
      </c>
      <c r="BY893" s="18">
        <f>[1]monsters!$K893</f>
        <v>0</v>
      </c>
      <c r="BZ893" s="5">
        <f>[1]monsters!$D893</f>
        <v>0</v>
      </c>
      <c r="CA893" s="5" t="e">
        <f t="shared" si="534"/>
        <v>#N/A</v>
      </c>
      <c r="CB893" s="5" t="e">
        <f t="shared" si="535"/>
        <v>#N/A</v>
      </c>
      <c r="CC893" s="5" t="e">
        <f t="shared" si="536"/>
        <v>#N/A</v>
      </c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R893" s="3" t="b">
        <f t="shared" si="543"/>
        <v>1</v>
      </c>
      <c r="CS893" s="3" t="b">
        <f t="shared" si="544"/>
        <v>1</v>
      </c>
      <c r="CT893" s="3" t="b">
        <f t="shared" si="545"/>
        <v>1</v>
      </c>
      <c r="CU893" s="3" t="b">
        <f t="shared" si="546"/>
        <v>1</v>
      </c>
      <c r="CV893" s="3" t="b">
        <f t="shared" si="547"/>
        <v>1</v>
      </c>
      <c r="CW893" s="3" t="b">
        <f t="shared" si="548"/>
        <v>1</v>
      </c>
      <c r="CX893" s="9" t="str">
        <f t="shared" si="549"/>
        <v>5200133</v>
      </c>
      <c r="CY893" s="9" t="str">
        <f t="shared" si="550"/>
        <v>5202135</v>
      </c>
      <c r="CZ893" s="9" t="str">
        <f t="shared" si="551"/>
        <v>5301133</v>
      </c>
      <c r="DA893" s="9" t="str">
        <f t="shared" si="552"/>
        <v>5401133</v>
      </c>
      <c r="DB893" s="9" t="str">
        <f t="shared" si="553"/>
        <v>5501135</v>
      </c>
      <c r="DC893" s="9" t="str">
        <f t="shared" si="554"/>
        <v>5501135</v>
      </c>
      <c r="DD893" s="9">
        <v>13</v>
      </c>
      <c r="DE893" s="9">
        <v>13</v>
      </c>
      <c r="DF893" s="9">
        <v>13</v>
      </c>
      <c r="DG893" s="9">
        <v>13</v>
      </c>
      <c r="DH893" s="9">
        <v>13</v>
      </c>
      <c r="DI893" s="9">
        <v>13</v>
      </c>
      <c r="DJ893" s="9">
        <v>5</v>
      </c>
      <c r="DK893" s="9">
        <v>5</v>
      </c>
      <c r="DL893" s="9">
        <v>5</v>
      </c>
      <c r="DM893" s="9">
        <v>5</v>
      </c>
      <c r="DN893" s="9">
        <v>5</v>
      </c>
      <c r="DO893" s="9">
        <v>5</v>
      </c>
      <c r="DP893" s="25" t="s">
        <v>113</v>
      </c>
      <c r="DQ893" s="25" t="s">
        <v>213</v>
      </c>
      <c r="DR893" s="25" t="s">
        <v>206</v>
      </c>
      <c r="DS893" s="25" t="s">
        <v>211</v>
      </c>
      <c r="DT893" s="25" t="s">
        <v>209</v>
      </c>
      <c r="DU893" s="25" t="s">
        <v>209</v>
      </c>
      <c r="DV893" s="25">
        <f t="shared" si="555"/>
        <v>1</v>
      </c>
      <c r="DW893" s="25">
        <f t="shared" si="556"/>
        <v>1</v>
      </c>
      <c r="DX893" s="25">
        <f t="shared" si="557"/>
        <v>1</v>
      </c>
      <c r="DY893" s="25">
        <f t="shared" si="558"/>
        <v>2</v>
      </c>
      <c r="DZ893" s="25">
        <f t="shared" si="559"/>
        <v>2</v>
      </c>
      <c r="EA893" s="25">
        <f t="shared" si="560"/>
        <v>2</v>
      </c>
      <c r="EB893" s="38"/>
    </row>
    <row r="894" spans="29:132" ht="13.5" customHeight="1">
      <c r="AC894" s="9" t="str">
        <f t="shared" si="537"/>
        <v/>
      </c>
      <c r="AD894" s="9" t="str">
        <f t="shared" si="538"/>
        <v/>
      </c>
      <c r="AE894" s="9" t="str">
        <f t="shared" si="539"/>
        <v/>
      </c>
      <c r="AF894" s="9" t="str">
        <f t="shared" si="540"/>
        <v/>
      </c>
      <c r="AG894" s="9" t="str">
        <f t="shared" si="541"/>
        <v/>
      </c>
      <c r="AH894" s="9" t="str">
        <f t="shared" si="542"/>
        <v/>
      </c>
      <c r="BR894" s="5">
        <v>5405084</v>
      </c>
      <c r="BS894" s="18">
        <f>[1]monsters!$N894</f>
        <v>0</v>
      </c>
      <c r="BT894" s="18">
        <f>[1]monsters!$O894</f>
        <v>0</v>
      </c>
      <c r="BU894" s="18">
        <f>[1]monsters!$P894</f>
        <v>0</v>
      </c>
      <c r="BV894" s="18">
        <f>[1]monsters!$Q894</f>
        <v>0</v>
      </c>
      <c r="BW894" s="18">
        <f>[1]monsters!$R894</f>
        <v>0</v>
      </c>
      <c r="BX894" s="18">
        <f>[1]monsters!$S894</f>
        <v>0</v>
      </c>
      <c r="BY894" s="18">
        <f>[1]monsters!$K894</f>
        <v>0</v>
      </c>
      <c r="BZ894" s="5">
        <f>[1]monsters!$D894</f>
        <v>0</v>
      </c>
      <c r="CA894" s="5" t="e">
        <f t="shared" si="534"/>
        <v>#N/A</v>
      </c>
      <c r="CB894" s="5" t="e">
        <f t="shared" si="535"/>
        <v>#N/A</v>
      </c>
      <c r="CC894" s="5" t="e">
        <f t="shared" si="536"/>
        <v>#N/A</v>
      </c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R894" s="3" t="b">
        <f t="shared" si="543"/>
        <v>1</v>
      </c>
      <c r="CS894" s="3" t="b">
        <f t="shared" si="544"/>
        <v>1</v>
      </c>
      <c r="CT894" s="3" t="b">
        <f t="shared" si="545"/>
        <v>1</v>
      </c>
      <c r="CU894" s="3" t="b">
        <f t="shared" si="546"/>
        <v>1</v>
      </c>
      <c r="CV894" s="3" t="b">
        <f t="shared" si="547"/>
        <v>1</v>
      </c>
      <c r="CW894" s="3" t="b">
        <f t="shared" si="548"/>
        <v>1</v>
      </c>
      <c r="CX894" s="9" t="str">
        <f t="shared" si="549"/>
        <v>5301131</v>
      </c>
      <c r="CY894" s="9" t="str">
        <f t="shared" si="550"/>
        <v>5301132</v>
      </c>
      <c r="CZ894" s="9" t="str">
        <f t="shared" si="551"/>
        <v>5301133</v>
      </c>
      <c r="DA894" s="9" t="str">
        <f t="shared" si="552"/>
        <v>5500131</v>
      </c>
      <c r="DB894" s="9" t="str">
        <f t="shared" si="553"/>
        <v>5500132</v>
      </c>
      <c r="DC894" s="9" t="str">
        <f t="shared" si="554"/>
        <v>5500133</v>
      </c>
      <c r="DD894" s="9">
        <v>13</v>
      </c>
      <c r="DE894" s="9">
        <v>13</v>
      </c>
      <c r="DF894" s="9">
        <v>13</v>
      </c>
      <c r="DG894" s="9">
        <v>13</v>
      </c>
      <c r="DH894" s="9">
        <v>13</v>
      </c>
      <c r="DI894" s="9">
        <v>13</v>
      </c>
      <c r="DJ894" s="9">
        <v>5</v>
      </c>
      <c r="DK894" s="9">
        <v>5</v>
      </c>
      <c r="DL894" s="9">
        <v>5</v>
      </c>
      <c r="DM894" s="9">
        <v>5</v>
      </c>
      <c r="DN894" s="9">
        <v>5</v>
      </c>
      <c r="DO894" s="9">
        <v>5</v>
      </c>
      <c r="DP894" s="3" t="s">
        <v>107</v>
      </c>
      <c r="DQ894" s="3" t="s">
        <v>201</v>
      </c>
      <c r="DR894" s="3" t="s">
        <v>206</v>
      </c>
      <c r="DS894" s="3" t="s">
        <v>197</v>
      </c>
      <c r="DT894" s="3" t="s">
        <v>109</v>
      </c>
      <c r="DU894" s="3" t="s">
        <v>207</v>
      </c>
      <c r="DV894" s="25">
        <f t="shared" si="555"/>
        <v>1</v>
      </c>
      <c r="DW894" s="25">
        <f t="shared" si="556"/>
        <v>1</v>
      </c>
      <c r="DX894" s="25">
        <f t="shared" si="557"/>
        <v>1</v>
      </c>
      <c r="DY894" s="25">
        <f t="shared" si="558"/>
        <v>2</v>
      </c>
      <c r="DZ894" s="25">
        <f t="shared" si="559"/>
        <v>2</v>
      </c>
      <c r="EA894" s="25">
        <f t="shared" si="560"/>
        <v>2</v>
      </c>
      <c r="EB894" s="49"/>
    </row>
    <row r="895" spans="29:132" ht="13.5" customHeight="1">
      <c r="AC895" s="9" t="str">
        <f t="shared" si="537"/>
        <v/>
      </c>
      <c r="AD895" s="9" t="str">
        <f t="shared" si="538"/>
        <v/>
      </c>
      <c r="AE895" s="9" t="str">
        <f t="shared" si="539"/>
        <v/>
      </c>
      <c r="AF895" s="9" t="str">
        <f t="shared" si="540"/>
        <v/>
      </c>
      <c r="AG895" s="9" t="str">
        <f t="shared" si="541"/>
        <v/>
      </c>
      <c r="AH895" s="9" t="str">
        <f t="shared" si="542"/>
        <v/>
      </c>
      <c r="BR895" s="5">
        <v>5203084</v>
      </c>
      <c r="BS895" s="18">
        <f>[1]monsters!$N895</f>
        <v>0</v>
      </c>
      <c r="BT895" s="18">
        <f>[1]monsters!$O895</f>
        <v>0</v>
      </c>
      <c r="BU895" s="18">
        <f>[1]monsters!$P895</f>
        <v>0</v>
      </c>
      <c r="BV895" s="18">
        <f>[1]monsters!$Q895</f>
        <v>0</v>
      </c>
      <c r="BW895" s="18">
        <f>[1]monsters!$R895</f>
        <v>0</v>
      </c>
      <c r="BX895" s="18">
        <f>[1]monsters!$S895</f>
        <v>0</v>
      </c>
      <c r="BY895" s="18">
        <f>[1]monsters!$K895</f>
        <v>0</v>
      </c>
      <c r="BZ895" s="5">
        <f>[1]monsters!$D895</f>
        <v>0</v>
      </c>
      <c r="CA895" s="5" t="e">
        <f t="shared" si="534"/>
        <v>#N/A</v>
      </c>
      <c r="CB895" s="5" t="e">
        <f t="shared" si="535"/>
        <v>#N/A</v>
      </c>
      <c r="CC895" s="5" t="e">
        <f t="shared" si="536"/>
        <v>#N/A</v>
      </c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R895" s="3" t="b">
        <f t="shared" si="543"/>
        <v>1</v>
      </c>
      <c r="CS895" s="3" t="b">
        <f t="shared" si="544"/>
        <v>1</v>
      </c>
      <c r="CT895" s="3" t="b">
        <f t="shared" si="545"/>
        <v>1</v>
      </c>
      <c r="CU895" s="3" t="b">
        <f t="shared" si="546"/>
        <v>1</v>
      </c>
      <c r="CV895" s="3" t="b">
        <f t="shared" si="547"/>
        <v>1</v>
      </c>
      <c r="CW895" s="3" t="b">
        <f t="shared" si="548"/>
        <v>1</v>
      </c>
      <c r="CX895" s="9" t="str">
        <f t="shared" si="549"/>
        <v>5200132</v>
      </c>
      <c r="CY895" s="9" t="str">
        <f t="shared" si="550"/>
        <v>5200133</v>
      </c>
      <c r="CZ895" s="9" t="str">
        <f t="shared" si="551"/>
        <v>5200132</v>
      </c>
      <c r="DA895" s="9" t="str">
        <f t="shared" si="552"/>
        <v>5400135</v>
      </c>
      <c r="DB895" s="9" t="str">
        <f t="shared" si="553"/>
        <v>5500132</v>
      </c>
      <c r="DC895" s="9" t="str">
        <f t="shared" si="554"/>
        <v>5500133</v>
      </c>
      <c r="DD895" s="9">
        <v>13</v>
      </c>
      <c r="DE895" s="9">
        <v>13</v>
      </c>
      <c r="DF895" s="9">
        <v>13</v>
      </c>
      <c r="DG895" s="9">
        <v>13</v>
      </c>
      <c r="DH895" s="9">
        <v>13</v>
      </c>
      <c r="DI895" s="9">
        <v>13</v>
      </c>
      <c r="DJ895" s="9">
        <v>5</v>
      </c>
      <c r="DK895" s="9">
        <v>5</v>
      </c>
      <c r="DL895" s="9">
        <v>5</v>
      </c>
      <c r="DM895" s="9">
        <v>5</v>
      </c>
      <c r="DN895" s="9">
        <v>5</v>
      </c>
      <c r="DO895" s="9">
        <v>5</v>
      </c>
      <c r="DP895" s="3" t="s">
        <v>199</v>
      </c>
      <c r="DQ895" s="3" t="s">
        <v>113</v>
      </c>
      <c r="DR895" s="3" t="s">
        <v>199</v>
      </c>
      <c r="DS895" s="25" t="s">
        <v>210</v>
      </c>
      <c r="DT895" s="25" t="s">
        <v>109</v>
      </c>
      <c r="DU895" s="25" t="s">
        <v>207</v>
      </c>
      <c r="DV895" s="25">
        <f t="shared" si="555"/>
        <v>1</v>
      </c>
      <c r="DW895" s="25">
        <f t="shared" si="556"/>
        <v>1</v>
      </c>
      <c r="DX895" s="25">
        <f t="shared" si="557"/>
        <v>1</v>
      </c>
      <c r="DY895" s="25">
        <f t="shared" si="558"/>
        <v>2</v>
      </c>
      <c r="DZ895" s="25">
        <f t="shared" si="559"/>
        <v>2</v>
      </c>
      <c r="EA895" s="25">
        <f t="shared" si="560"/>
        <v>2</v>
      </c>
      <c r="EB895" s="38"/>
    </row>
    <row r="896" spans="29:132" ht="13.5" customHeight="1">
      <c r="AC896" s="9" t="str">
        <f t="shared" si="537"/>
        <v/>
      </c>
      <c r="AD896" s="9" t="str">
        <f t="shared" si="538"/>
        <v/>
      </c>
      <c r="AE896" s="9" t="str">
        <f t="shared" si="539"/>
        <v/>
      </c>
      <c r="AF896" s="9" t="str">
        <f t="shared" si="540"/>
        <v/>
      </c>
      <c r="AG896" s="9" t="str">
        <f t="shared" si="541"/>
        <v/>
      </c>
      <c r="AH896" s="9" t="str">
        <f t="shared" si="542"/>
        <v/>
      </c>
      <c r="BR896" s="5">
        <v>5403084</v>
      </c>
      <c r="BS896" s="18">
        <f>[1]monsters!$N896</f>
        <v>0</v>
      </c>
      <c r="BT896" s="18">
        <f>[1]monsters!$O896</f>
        <v>0</v>
      </c>
      <c r="BU896" s="18">
        <f>[1]monsters!$P896</f>
        <v>0</v>
      </c>
      <c r="BV896" s="18">
        <f>[1]monsters!$Q896</f>
        <v>0</v>
      </c>
      <c r="BW896" s="18">
        <f>[1]monsters!$R896</f>
        <v>0</v>
      </c>
      <c r="BX896" s="18">
        <f>[1]monsters!$S896</f>
        <v>0</v>
      </c>
      <c r="BY896" s="18">
        <f>[1]monsters!$K896</f>
        <v>0</v>
      </c>
      <c r="BZ896" s="5">
        <f>[1]monsters!$D896</f>
        <v>0</v>
      </c>
      <c r="CA896" s="5" t="e">
        <f t="shared" si="534"/>
        <v>#N/A</v>
      </c>
      <c r="CB896" s="5" t="e">
        <f t="shared" si="535"/>
        <v>#N/A</v>
      </c>
      <c r="CC896" s="5" t="e">
        <f t="shared" si="536"/>
        <v>#N/A</v>
      </c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R896" s="3" t="b">
        <f t="shared" si="543"/>
        <v>1</v>
      </c>
      <c r="CS896" s="3" t="b">
        <f t="shared" si="544"/>
        <v>1</v>
      </c>
      <c r="CT896" s="3" t="b">
        <f t="shared" si="545"/>
        <v>1</v>
      </c>
      <c r="CU896" s="3" t="b">
        <f t="shared" si="546"/>
        <v>1</v>
      </c>
      <c r="CV896" s="3" t="b">
        <f t="shared" si="547"/>
        <v>1</v>
      </c>
      <c r="CW896" s="3" t="b">
        <f t="shared" si="548"/>
        <v>1</v>
      </c>
      <c r="CX896" s="9" t="str">
        <f t="shared" si="549"/>
        <v>5201131</v>
      </c>
      <c r="CY896" s="9" t="str">
        <f t="shared" si="550"/>
        <v>5201132</v>
      </c>
      <c r="CZ896" s="9" t="str">
        <f t="shared" si="551"/>
        <v>5202131</v>
      </c>
      <c r="DA896" s="9" t="str">
        <f t="shared" si="552"/>
        <v>5401131</v>
      </c>
      <c r="DB896" s="9" t="str">
        <f t="shared" si="553"/>
        <v>5501135</v>
      </c>
      <c r="DC896" s="9" t="str">
        <f t="shared" si="554"/>
        <v>5400135</v>
      </c>
      <c r="DD896" s="9">
        <v>13</v>
      </c>
      <c r="DE896" s="9">
        <v>13</v>
      </c>
      <c r="DF896" s="9">
        <v>13</v>
      </c>
      <c r="DG896" s="9">
        <v>13</v>
      </c>
      <c r="DH896" s="9">
        <v>13</v>
      </c>
      <c r="DI896" s="9">
        <v>13</v>
      </c>
      <c r="DJ896" s="9">
        <v>5</v>
      </c>
      <c r="DK896" s="9">
        <v>5</v>
      </c>
      <c r="DL896" s="9">
        <v>5</v>
      </c>
      <c r="DM896" s="9">
        <v>5</v>
      </c>
      <c r="DN896" s="9">
        <v>5</v>
      </c>
      <c r="DO896" s="9">
        <v>5</v>
      </c>
      <c r="DP896" s="3" t="s">
        <v>195</v>
      </c>
      <c r="DQ896" s="3" t="s">
        <v>114</v>
      </c>
      <c r="DR896" s="3" t="s">
        <v>111</v>
      </c>
      <c r="DS896" s="3" t="s">
        <v>117</v>
      </c>
      <c r="DT896" s="3" t="s">
        <v>209</v>
      </c>
      <c r="DU896" s="3" t="s">
        <v>210</v>
      </c>
      <c r="DV896" s="25">
        <f t="shared" si="555"/>
        <v>1</v>
      </c>
      <c r="DW896" s="25">
        <f t="shared" si="556"/>
        <v>1</v>
      </c>
      <c r="DX896" s="25">
        <f t="shared" si="557"/>
        <v>1</v>
      </c>
      <c r="DY896" s="25">
        <f t="shared" si="558"/>
        <v>2</v>
      </c>
      <c r="DZ896" s="25">
        <f t="shared" si="559"/>
        <v>2</v>
      </c>
      <c r="EA896" s="25">
        <f t="shared" si="560"/>
        <v>2</v>
      </c>
      <c r="EB896" s="38"/>
    </row>
    <row r="897" spans="29:132" ht="13.5" customHeight="1">
      <c r="AC897" s="9" t="str">
        <f t="shared" si="537"/>
        <v/>
      </c>
      <c r="AD897" s="9" t="str">
        <f t="shared" si="538"/>
        <v/>
      </c>
      <c r="AE897" s="9" t="str">
        <f t="shared" si="539"/>
        <v/>
      </c>
      <c r="AF897" s="9" t="str">
        <f t="shared" si="540"/>
        <v/>
      </c>
      <c r="AG897" s="9" t="str">
        <f t="shared" si="541"/>
        <v/>
      </c>
      <c r="AH897" s="9" t="str">
        <f t="shared" si="542"/>
        <v/>
      </c>
      <c r="BR897" s="5">
        <v>5204084</v>
      </c>
      <c r="BS897" s="18">
        <f>[1]monsters!$N897</f>
        <v>0</v>
      </c>
      <c r="BT897" s="18">
        <f>[1]monsters!$O897</f>
        <v>0</v>
      </c>
      <c r="BU897" s="18">
        <f>[1]monsters!$P897</f>
        <v>0</v>
      </c>
      <c r="BV897" s="18">
        <f>[1]monsters!$Q897</f>
        <v>0</v>
      </c>
      <c r="BW897" s="18">
        <f>[1]monsters!$R897</f>
        <v>0</v>
      </c>
      <c r="BX897" s="18">
        <f>[1]monsters!$S897</f>
        <v>0</v>
      </c>
      <c r="BY897" s="18">
        <f>[1]monsters!$K897</f>
        <v>0</v>
      </c>
      <c r="BZ897" s="5">
        <f>[1]monsters!$D897</f>
        <v>0</v>
      </c>
      <c r="CA897" s="5" t="e">
        <f t="shared" si="534"/>
        <v>#N/A</v>
      </c>
      <c r="CB897" s="5" t="e">
        <f t="shared" si="535"/>
        <v>#N/A</v>
      </c>
      <c r="CC897" s="5" t="e">
        <f t="shared" si="536"/>
        <v>#N/A</v>
      </c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R897" s="3" t="b">
        <f t="shared" si="543"/>
        <v>1</v>
      </c>
      <c r="CS897" s="3" t="b">
        <f t="shared" si="544"/>
        <v>1</v>
      </c>
      <c r="CT897" s="3" t="b">
        <f t="shared" si="545"/>
        <v>1</v>
      </c>
      <c r="CU897" s="3" t="b">
        <f t="shared" si="546"/>
        <v>1</v>
      </c>
      <c r="CV897" s="3" t="b">
        <f t="shared" si="547"/>
        <v>1</v>
      </c>
      <c r="CW897" s="3" t="b">
        <f t="shared" si="548"/>
        <v>1</v>
      </c>
      <c r="CX897" s="9" t="str">
        <f t="shared" si="549"/>
        <v>5302135</v>
      </c>
      <c r="CY897" s="9" t="str">
        <f t="shared" si="550"/>
        <v>5201132</v>
      </c>
      <c r="CZ897" s="9" t="str">
        <f t="shared" si="551"/>
        <v>5301131</v>
      </c>
      <c r="DA897" s="9" t="str">
        <f t="shared" si="552"/>
        <v>5501134</v>
      </c>
      <c r="DB897" s="9" t="str">
        <f t="shared" si="553"/>
        <v>5500133</v>
      </c>
      <c r="DC897" s="9" t="str">
        <f t="shared" si="554"/>
        <v>5501134</v>
      </c>
      <c r="DD897" s="9">
        <v>13</v>
      </c>
      <c r="DE897" s="9">
        <v>13</v>
      </c>
      <c r="DF897" s="9">
        <v>13</v>
      </c>
      <c r="DG897" s="9">
        <v>13</v>
      </c>
      <c r="DH897" s="9">
        <v>13</v>
      </c>
      <c r="DI897" s="9">
        <v>13</v>
      </c>
      <c r="DJ897" s="9">
        <v>5</v>
      </c>
      <c r="DK897" s="9">
        <v>5</v>
      </c>
      <c r="DL897" s="9">
        <v>5</v>
      </c>
      <c r="DM897" s="9">
        <v>5</v>
      </c>
      <c r="DN897" s="9">
        <v>5</v>
      </c>
      <c r="DO897" s="9">
        <v>5</v>
      </c>
      <c r="DP897" s="3" t="s">
        <v>221</v>
      </c>
      <c r="DQ897" s="3" t="s">
        <v>114</v>
      </c>
      <c r="DR897" s="3" t="s">
        <v>107</v>
      </c>
      <c r="DS897" s="3" t="s">
        <v>214</v>
      </c>
      <c r="DT897" s="3" t="s">
        <v>207</v>
      </c>
      <c r="DU897" s="3" t="s">
        <v>214</v>
      </c>
      <c r="DV897" s="25">
        <f t="shared" si="555"/>
        <v>1</v>
      </c>
      <c r="DW897" s="25">
        <f t="shared" si="556"/>
        <v>1</v>
      </c>
      <c r="DX897" s="25">
        <f t="shared" si="557"/>
        <v>1</v>
      </c>
      <c r="DY897" s="25">
        <f t="shared" si="558"/>
        <v>2</v>
      </c>
      <c r="DZ897" s="25">
        <f t="shared" si="559"/>
        <v>2</v>
      </c>
      <c r="EA897" s="25">
        <f t="shared" si="560"/>
        <v>2</v>
      </c>
      <c r="EB897" s="38"/>
    </row>
    <row r="898" spans="29:132" ht="13.5" customHeight="1">
      <c r="AC898" s="9" t="str">
        <f t="shared" si="537"/>
        <v/>
      </c>
      <c r="AD898" s="9" t="str">
        <f t="shared" si="538"/>
        <v/>
      </c>
      <c r="AE898" s="9" t="str">
        <f t="shared" si="539"/>
        <v/>
      </c>
      <c r="AF898" s="9" t="str">
        <f t="shared" si="540"/>
        <v/>
      </c>
      <c r="AG898" s="9" t="str">
        <f t="shared" si="541"/>
        <v/>
      </c>
      <c r="AH898" s="9" t="str">
        <f t="shared" si="542"/>
        <v/>
      </c>
      <c r="BR898" s="5">
        <v>5404084</v>
      </c>
      <c r="BS898" s="18">
        <f>[1]monsters!$N898</f>
        <v>0</v>
      </c>
      <c r="BT898" s="18">
        <f>[1]monsters!$O898</f>
        <v>0</v>
      </c>
      <c r="BU898" s="18">
        <f>[1]monsters!$P898</f>
        <v>0</v>
      </c>
      <c r="BV898" s="18">
        <f>[1]monsters!$Q898</f>
        <v>0</v>
      </c>
      <c r="BW898" s="18">
        <f>[1]monsters!$R898</f>
        <v>0</v>
      </c>
      <c r="BX898" s="18">
        <f>[1]monsters!$S898</f>
        <v>0</v>
      </c>
      <c r="BY898" s="18">
        <f>[1]monsters!$K898</f>
        <v>0</v>
      </c>
      <c r="BZ898" s="5">
        <f>[1]monsters!$D898</f>
        <v>0</v>
      </c>
      <c r="CA898" s="5" t="e">
        <f t="shared" si="534"/>
        <v>#N/A</v>
      </c>
      <c r="CB898" s="5" t="e">
        <f t="shared" si="535"/>
        <v>#N/A</v>
      </c>
      <c r="CC898" s="5" t="e">
        <f t="shared" si="536"/>
        <v>#N/A</v>
      </c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R898" s="3" t="b">
        <f t="shared" si="543"/>
        <v>1</v>
      </c>
      <c r="CS898" s="3" t="b">
        <f t="shared" si="544"/>
        <v>1</v>
      </c>
      <c r="CT898" s="3" t="b">
        <f t="shared" si="545"/>
        <v>1</v>
      </c>
      <c r="CU898" s="3" t="b">
        <f t="shared" si="546"/>
        <v>1</v>
      </c>
      <c r="CV898" s="3" t="b">
        <f t="shared" si="547"/>
        <v>1</v>
      </c>
      <c r="CW898" s="3" t="b">
        <f t="shared" si="548"/>
        <v>1</v>
      </c>
      <c r="CX898" s="9" t="str">
        <f t="shared" si="549"/>
        <v>5201131</v>
      </c>
      <c r="CY898" s="9" t="str">
        <f t="shared" si="550"/>
        <v>5201132</v>
      </c>
      <c r="CZ898" s="9" t="str">
        <f t="shared" si="551"/>
        <v>5200132</v>
      </c>
      <c r="DA898" s="9" t="str">
        <f t="shared" si="552"/>
        <v>5502132</v>
      </c>
      <c r="DB898" s="9" t="str">
        <f t="shared" si="553"/>
        <v>5500133</v>
      </c>
      <c r="DC898" s="9" t="str">
        <f t="shared" si="554"/>
        <v>5501134</v>
      </c>
      <c r="DD898" s="9">
        <v>13</v>
      </c>
      <c r="DE898" s="9">
        <v>13</v>
      </c>
      <c r="DF898" s="9">
        <v>13</v>
      </c>
      <c r="DG898" s="9">
        <v>13</v>
      </c>
      <c r="DH898" s="9">
        <v>13</v>
      </c>
      <c r="DI898" s="9">
        <v>13</v>
      </c>
      <c r="DJ898" s="9">
        <v>5</v>
      </c>
      <c r="DK898" s="9">
        <v>5</v>
      </c>
      <c r="DL898" s="9">
        <v>5</v>
      </c>
      <c r="DM898" s="9">
        <v>5</v>
      </c>
      <c r="DN898" s="9">
        <v>5</v>
      </c>
      <c r="DO898" s="9">
        <v>5</v>
      </c>
      <c r="DP898" s="3" t="s">
        <v>195</v>
      </c>
      <c r="DQ898" s="3" t="s">
        <v>114</v>
      </c>
      <c r="DR898" s="3" t="s">
        <v>199</v>
      </c>
      <c r="DS898" s="3" t="s">
        <v>204</v>
      </c>
      <c r="DT898" s="3" t="s">
        <v>207</v>
      </c>
      <c r="DU898" s="3" t="s">
        <v>214</v>
      </c>
      <c r="DV898" s="25">
        <f t="shared" si="555"/>
        <v>1</v>
      </c>
      <c r="DW898" s="25">
        <f t="shared" si="556"/>
        <v>1</v>
      </c>
      <c r="DX898" s="25">
        <f t="shared" si="557"/>
        <v>1</v>
      </c>
      <c r="DY898" s="25">
        <f t="shared" si="558"/>
        <v>2</v>
      </c>
      <c r="DZ898" s="25">
        <f t="shared" si="559"/>
        <v>2</v>
      </c>
      <c r="EA898" s="25">
        <f t="shared" si="560"/>
        <v>2</v>
      </c>
      <c r="EB898" s="49"/>
    </row>
    <row r="899" spans="29:132" ht="13.5" customHeight="1">
      <c r="AC899" s="9" t="str">
        <f t="shared" si="537"/>
        <v/>
      </c>
      <c r="AD899" s="9" t="str">
        <f t="shared" si="538"/>
        <v/>
      </c>
      <c r="AE899" s="9" t="str">
        <f t="shared" si="539"/>
        <v/>
      </c>
      <c r="AF899" s="9" t="str">
        <f t="shared" si="540"/>
        <v/>
      </c>
      <c r="AG899" s="9" t="str">
        <f t="shared" si="541"/>
        <v/>
      </c>
      <c r="AH899" s="9" t="str">
        <f t="shared" si="542"/>
        <v/>
      </c>
      <c r="BR899" s="5">
        <v>5303084</v>
      </c>
      <c r="BS899" s="18">
        <f>[1]monsters!$N899</f>
        <v>0</v>
      </c>
      <c r="BT899" s="18">
        <f>[1]monsters!$O899</f>
        <v>0</v>
      </c>
      <c r="BU899" s="18">
        <f>[1]monsters!$P899</f>
        <v>0</v>
      </c>
      <c r="BV899" s="18">
        <f>[1]monsters!$Q899</f>
        <v>0</v>
      </c>
      <c r="BW899" s="18">
        <f>[1]monsters!$R899</f>
        <v>0</v>
      </c>
      <c r="BX899" s="18">
        <f>[1]monsters!$S899</f>
        <v>0</v>
      </c>
      <c r="BY899" s="18">
        <f>[1]monsters!$K899</f>
        <v>0</v>
      </c>
      <c r="BZ899" s="5">
        <f>[1]monsters!$D899</f>
        <v>0</v>
      </c>
      <c r="CA899" s="5" t="e">
        <f t="shared" si="534"/>
        <v>#N/A</v>
      </c>
      <c r="CB899" s="5" t="e">
        <f t="shared" si="535"/>
        <v>#N/A</v>
      </c>
      <c r="CC899" s="5" t="e">
        <f t="shared" si="536"/>
        <v>#N/A</v>
      </c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R899" s="3" t="b">
        <f t="shared" si="543"/>
        <v>1</v>
      </c>
      <c r="CS899" s="3" t="b">
        <f t="shared" si="544"/>
        <v>1</v>
      </c>
      <c r="CT899" s="3" t="b">
        <f t="shared" si="545"/>
        <v>1</v>
      </c>
      <c r="CU899" s="3" t="b">
        <f t="shared" si="546"/>
        <v>1</v>
      </c>
      <c r="CV899" s="3" t="b">
        <f t="shared" si="547"/>
        <v>1</v>
      </c>
      <c r="CW899" s="3" t="b">
        <f t="shared" si="548"/>
        <v>1</v>
      </c>
      <c r="CX899" s="9" t="str">
        <f t="shared" si="549"/>
        <v>5202133</v>
      </c>
      <c r="CY899" s="9" t="str">
        <f t="shared" si="550"/>
        <v>5202132</v>
      </c>
      <c r="CZ899" s="9" t="str">
        <f t="shared" si="551"/>
        <v>5202133</v>
      </c>
      <c r="DA899" s="9" t="str">
        <f t="shared" si="552"/>
        <v>5501135</v>
      </c>
      <c r="DB899" s="9" t="str">
        <f t="shared" si="553"/>
        <v>5500132</v>
      </c>
      <c r="DC899" s="9" t="str">
        <f t="shared" si="554"/>
        <v>5500133</v>
      </c>
      <c r="DD899" s="9">
        <v>13</v>
      </c>
      <c r="DE899" s="9">
        <v>13</v>
      </c>
      <c r="DF899" s="9">
        <v>13</v>
      </c>
      <c r="DG899" s="9">
        <v>13</v>
      </c>
      <c r="DH899" s="9">
        <v>13</v>
      </c>
      <c r="DI899" s="9">
        <v>13</v>
      </c>
      <c r="DJ899" s="9">
        <v>5</v>
      </c>
      <c r="DK899" s="9">
        <v>5</v>
      </c>
      <c r="DL899" s="9">
        <v>5</v>
      </c>
      <c r="DM899" s="9">
        <v>5</v>
      </c>
      <c r="DN899" s="9">
        <v>5</v>
      </c>
      <c r="DO899" s="9">
        <v>5</v>
      </c>
      <c r="DP899" s="25" t="s">
        <v>208</v>
      </c>
      <c r="DQ899" s="25" t="s">
        <v>200</v>
      </c>
      <c r="DR899" s="25" t="s">
        <v>208</v>
      </c>
      <c r="DS899" s="25" t="s">
        <v>209</v>
      </c>
      <c r="DT899" s="25" t="s">
        <v>109</v>
      </c>
      <c r="DU899" s="25" t="s">
        <v>207</v>
      </c>
      <c r="DV899" s="25">
        <f t="shared" si="555"/>
        <v>1</v>
      </c>
      <c r="DW899" s="25">
        <f t="shared" si="556"/>
        <v>1</v>
      </c>
      <c r="DX899" s="25">
        <f t="shared" si="557"/>
        <v>1</v>
      </c>
      <c r="DY899" s="25">
        <f t="shared" si="558"/>
        <v>2</v>
      </c>
      <c r="DZ899" s="25">
        <f t="shared" si="559"/>
        <v>2</v>
      </c>
      <c r="EA899" s="25">
        <f t="shared" si="560"/>
        <v>2</v>
      </c>
      <c r="EB899" s="38"/>
    </row>
    <row r="900" spans="29:132" ht="13.5" customHeight="1">
      <c r="AC900" s="9" t="str">
        <f t="shared" si="537"/>
        <v/>
      </c>
      <c r="AD900" s="9" t="str">
        <f t="shared" si="538"/>
        <v/>
      </c>
      <c r="AE900" s="9" t="str">
        <f t="shared" si="539"/>
        <v/>
      </c>
      <c r="AF900" s="9" t="str">
        <f t="shared" si="540"/>
        <v/>
      </c>
      <c r="AG900" s="9" t="str">
        <f t="shared" si="541"/>
        <v/>
      </c>
      <c r="AH900" s="9" t="str">
        <f t="shared" si="542"/>
        <v/>
      </c>
      <c r="BR900" s="5">
        <v>5304084</v>
      </c>
      <c r="BS900" s="18">
        <f>[1]monsters!$N900</f>
        <v>0</v>
      </c>
      <c r="BT900" s="18">
        <f>[1]monsters!$O900</f>
        <v>0</v>
      </c>
      <c r="BU900" s="18">
        <f>[1]monsters!$P900</f>
        <v>0</v>
      </c>
      <c r="BV900" s="18">
        <f>[1]monsters!$Q900</f>
        <v>0</v>
      </c>
      <c r="BW900" s="18">
        <f>[1]monsters!$R900</f>
        <v>0</v>
      </c>
      <c r="BX900" s="18">
        <f>[1]monsters!$S900</f>
        <v>0</v>
      </c>
      <c r="BY900" s="18">
        <f>[1]monsters!$K900</f>
        <v>0</v>
      </c>
      <c r="BZ900" s="5">
        <f>[1]monsters!$D900</f>
        <v>0</v>
      </c>
      <c r="CA900" s="5" t="e">
        <f t="shared" si="534"/>
        <v>#N/A</v>
      </c>
      <c r="CB900" s="5" t="e">
        <f t="shared" si="535"/>
        <v>#N/A</v>
      </c>
      <c r="CC900" s="5" t="e">
        <f t="shared" si="536"/>
        <v>#N/A</v>
      </c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R900" s="3" t="b">
        <f t="shared" si="543"/>
        <v>1</v>
      </c>
      <c r="CS900" s="3" t="b">
        <f t="shared" si="544"/>
        <v>1</v>
      </c>
      <c r="CT900" s="3" t="b">
        <f t="shared" si="545"/>
        <v>1</v>
      </c>
      <c r="CU900" s="3" t="b">
        <f t="shared" si="546"/>
        <v>1</v>
      </c>
      <c r="CV900" s="3" t="b">
        <f t="shared" si="547"/>
        <v>1</v>
      </c>
      <c r="CW900" s="3" t="b">
        <f t="shared" si="548"/>
        <v>1</v>
      </c>
      <c r="CX900" s="9" t="str">
        <f t="shared" si="549"/>
        <v>5301131</v>
      </c>
      <c r="CY900" s="9" t="str">
        <f t="shared" si="550"/>
        <v>5301132</v>
      </c>
      <c r="CZ900" s="9" t="str">
        <f t="shared" si="551"/>
        <v>5301133</v>
      </c>
      <c r="DA900" s="9" t="str">
        <f t="shared" si="552"/>
        <v>5501134</v>
      </c>
      <c r="DB900" s="9" t="str">
        <f t="shared" si="553"/>
        <v>5501135</v>
      </c>
      <c r="DC900" s="9" t="str">
        <f t="shared" si="554"/>
        <v>5502133</v>
      </c>
      <c r="DD900" s="9">
        <v>13</v>
      </c>
      <c r="DE900" s="9">
        <v>13</v>
      </c>
      <c r="DF900" s="9">
        <v>13</v>
      </c>
      <c r="DG900" s="9">
        <v>13</v>
      </c>
      <c r="DH900" s="9">
        <v>13</v>
      </c>
      <c r="DI900" s="9">
        <v>13</v>
      </c>
      <c r="DJ900" s="9">
        <v>5</v>
      </c>
      <c r="DK900" s="9">
        <v>5</v>
      </c>
      <c r="DL900" s="9">
        <v>5</v>
      </c>
      <c r="DM900" s="9">
        <v>5</v>
      </c>
      <c r="DN900" s="9">
        <v>5</v>
      </c>
      <c r="DO900" s="9">
        <v>5</v>
      </c>
      <c r="DP900" s="26" t="s">
        <v>107</v>
      </c>
      <c r="DQ900" s="26" t="s">
        <v>201</v>
      </c>
      <c r="DR900" s="26" t="s">
        <v>206</v>
      </c>
      <c r="DS900" s="26" t="s">
        <v>214</v>
      </c>
      <c r="DT900" s="26" t="s">
        <v>209</v>
      </c>
      <c r="DU900" s="26" t="s">
        <v>215</v>
      </c>
      <c r="DV900" s="25">
        <f t="shared" si="555"/>
        <v>1</v>
      </c>
      <c r="DW900" s="25">
        <f t="shared" si="556"/>
        <v>1</v>
      </c>
      <c r="DX900" s="25">
        <f t="shared" si="557"/>
        <v>1</v>
      </c>
      <c r="DY900" s="25">
        <f t="shared" si="558"/>
        <v>2</v>
      </c>
      <c r="DZ900" s="25">
        <f t="shared" si="559"/>
        <v>2</v>
      </c>
      <c r="EA900" s="25">
        <f t="shared" si="560"/>
        <v>2</v>
      </c>
      <c r="EB900" s="38"/>
    </row>
    <row r="901" spans="29:132" ht="13.5" customHeight="1">
      <c r="AC901" s="9" t="str">
        <f t="shared" si="537"/>
        <v/>
      </c>
      <c r="AD901" s="9" t="str">
        <f t="shared" si="538"/>
        <v/>
      </c>
      <c r="AE901" s="9" t="str">
        <f t="shared" si="539"/>
        <v/>
      </c>
      <c r="AF901" s="9" t="str">
        <f t="shared" si="540"/>
        <v/>
      </c>
      <c r="AG901" s="9" t="str">
        <f t="shared" si="541"/>
        <v/>
      </c>
      <c r="AH901" s="9" t="str">
        <f t="shared" si="542"/>
        <v/>
      </c>
      <c r="BR901" s="5">
        <v>5503084</v>
      </c>
      <c r="BS901" s="18">
        <f>[1]monsters!$N901</f>
        <v>0</v>
      </c>
      <c r="BT901" s="18">
        <f>[1]monsters!$O901</f>
        <v>0</v>
      </c>
      <c r="BU901" s="18">
        <f>[1]monsters!$P901</f>
        <v>0</v>
      </c>
      <c r="BV901" s="18">
        <f>[1]monsters!$Q901</f>
        <v>0</v>
      </c>
      <c r="BW901" s="18">
        <f>[1]monsters!$R901</f>
        <v>0</v>
      </c>
      <c r="BX901" s="18">
        <f>[1]monsters!$S901</f>
        <v>0</v>
      </c>
      <c r="BY901" s="18">
        <f>[1]monsters!$K901</f>
        <v>0</v>
      </c>
      <c r="BZ901" s="5">
        <f>[1]monsters!$D901</f>
        <v>0</v>
      </c>
      <c r="CA901" s="5" t="e">
        <f t="shared" ref="CA901:CA964" si="561">INDEX($CH$5:$CH$10,MATCH($BZ901,$CG$5:$CG$10))</f>
        <v>#N/A</v>
      </c>
      <c r="CB901" s="5" t="e">
        <f t="shared" ref="CB901:CB964" si="562">(BU901/33/(1-CA901)/(1-0)+BS901*(1+0.5*0.1)*0.9)</f>
        <v>#N/A</v>
      </c>
      <c r="CC901" s="5" t="e">
        <f t="shared" ref="CC901:CC964" si="563">(BU901/33/(1-CA901)/(1-0)+BS901*(1+0.5*0.1)*0.9)*0.1</f>
        <v>#N/A</v>
      </c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R901" s="3" t="b">
        <f t="shared" si="543"/>
        <v>1</v>
      </c>
      <c r="CS901" s="3" t="b">
        <f t="shared" si="544"/>
        <v>1</v>
      </c>
      <c r="CT901" s="3" t="b">
        <f t="shared" si="545"/>
        <v>1</v>
      </c>
      <c r="CU901" s="3" t="b">
        <f t="shared" si="546"/>
        <v>1</v>
      </c>
      <c r="CV901" s="3" t="b">
        <f t="shared" si="547"/>
        <v>1</v>
      </c>
      <c r="CW901" s="3" t="b">
        <f t="shared" si="548"/>
        <v>1</v>
      </c>
      <c r="CX901" s="9" t="str">
        <f t="shared" si="549"/>
        <v>5200132</v>
      </c>
      <c r="CY901" s="9" t="str">
        <f t="shared" si="550"/>
        <v>5200133</v>
      </c>
      <c r="CZ901" s="9" t="str">
        <f t="shared" si="551"/>
        <v>5202132</v>
      </c>
      <c r="DA901" s="9" t="str">
        <f t="shared" si="552"/>
        <v>5402132</v>
      </c>
      <c r="DB901" s="9" t="str">
        <f t="shared" si="553"/>
        <v>5500133</v>
      </c>
      <c r="DC901" s="9" t="str">
        <f t="shared" si="554"/>
        <v>5501134</v>
      </c>
      <c r="DD901" s="9">
        <v>13</v>
      </c>
      <c r="DE901" s="9">
        <v>13</v>
      </c>
      <c r="DF901" s="9">
        <v>13</v>
      </c>
      <c r="DG901" s="9">
        <v>13</v>
      </c>
      <c r="DH901" s="9">
        <v>13</v>
      </c>
      <c r="DI901" s="9">
        <v>13</v>
      </c>
      <c r="DJ901" s="9">
        <v>5</v>
      </c>
      <c r="DK901" s="9">
        <v>5</v>
      </c>
      <c r="DL901" s="9">
        <v>5</v>
      </c>
      <c r="DM901" s="9">
        <v>5</v>
      </c>
      <c r="DN901" s="9">
        <v>5</v>
      </c>
      <c r="DO901" s="9">
        <v>5</v>
      </c>
      <c r="DP901" s="25" t="s">
        <v>199</v>
      </c>
      <c r="DQ901" s="25" t="s">
        <v>113</v>
      </c>
      <c r="DR901" s="26" t="s">
        <v>200</v>
      </c>
      <c r="DS901" s="26" t="s">
        <v>203</v>
      </c>
      <c r="DT901" s="26" t="s">
        <v>207</v>
      </c>
      <c r="DU901" s="26" t="s">
        <v>214</v>
      </c>
      <c r="DV901" s="25">
        <f t="shared" si="555"/>
        <v>1</v>
      </c>
      <c r="DW901" s="25">
        <f t="shared" si="556"/>
        <v>1</v>
      </c>
      <c r="DX901" s="25">
        <f t="shared" si="557"/>
        <v>1</v>
      </c>
      <c r="DY901" s="25">
        <f t="shared" si="558"/>
        <v>2</v>
      </c>
      <c r="DZ901" s="25">
        <f t="shared" si="559"/>
        <v>2</v>
      </c>
      <c r="EA901" s="25">
        <f t="shared" si="560"/>
        <v>2</v>
      </c>
      <c r="EB901" s="49"/>
    </row>
    <row r="902" spans="29:132" ht="13.5" customHeight="1">
      <c r="AC902" s="9" t="str">
        <f t="shared" si="537"/>
        <v/>
      </c>
      <c r="AD902" s="9" t="str">
        <f t="shared" si="538"/>
        <v/>
      </c>
      <c r="AE902" s="9" t="str">
        <f t="shared" si="539"/>
        <v/>
      </c>
      <c r="AF902" s="9" t="str">
        <f t="shared" si="540"/>
        <v/>
      </c>
      <c r="AG902" s="9" t="str">
        <f t="shared" si="541"/>
        <v/>
      </c>
      <c r="AH902" s="9" t="str">
        <f t="shared" si="542"/>
        <v/>
      </c>
      <c r="BR902" s="5">
        <v>5504084</v>
      </c>
      <c r="BS902" s="18">
        <f>[1]monsters!$N902</f>
        <v>0</v>
      </c>
      <c r="BT902" s="18">
        <f>[1]monsters!$O902</f>
        <v>0</v>
      </c>
      <c r="BU902" s="18">
        <f>[1]monsters!$P902</f>
        <v>0</v>
      </c>
      <c r="BV902" s="18">
        <f>[1]monsters!$Q902</f>
        <v>0</v>
      </c>
      <c r="BW902" s="18">
        <f>[1]monsters!$R902</f>
        <v>0</v>
      </c>
      <c r="BX902" s="18">
        <f>[1]monsters!$S902</f>
        <v>0</v>
      </c>
      <c r="BY902" s="18">
        <f>[1]monsters!$K902</f>
        <v>0</v>
      </c>
      <c r="BZ902" s="5">
        <f>[1]monsters!$D902</f>
        <v>0</v>
      </c>
      <c r="CA902" s="5" t="e">
        <f t="shared" si="561"/>
        <v>#N/A</v>
      </c>
      <c r="CB902" s="5" t="e">
        <f t="shared" si="562"/>
        <v>#N/A</v>
      </c>
      <c r="CC902" s="5" t="e">
        <f t="shared" si="563"/>
        <v>#N/A</v>
      </c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R902" s="3" t="b">
        <f t="shared" si="543"/>
        <v>1</v>
      </c>
      <c r="CS902" s="3" t="b">
        <f t="shared" si="544"/>
        <v>1</v>
      </c>
      <c r="CT902" s="3" t="b">
        <f t="shared" si="545"/>
        <v>1</v>
      </c>
      <c r="CU902" s="3" t="b">
        <f t="shared" si="546"/>
        <v>1</v>
      </c>
      <c r="CV902" s="3" t="b">
        <f t="shared" si="547"/>
        <v>1</v>
      </c>
      <c r="CW902" s="3" t="b">
        <f t="shared" si="548"/>
        <v>1</v>
      </c>
      <c r="CX902" s="9" t="str">
        <f t="shared" si="549"/>
        <v>5300135</v>
      </c>
      <c r="CY902" s="9" t="str">
        <f t="shared" si="550"/>
        <v>5201132</v>
      </c>
      <c r="CZ902" s="9" t="str">
        <f t="shared" si="551"/>
        <v>5301131</v>
      </c>
      <c r="DA902" s="9" t="str">
        <f t="shared" si="552"/>
        <v>5400135</v>
      </c>
      <c r="DB902" s="9" t="str">
        <f t="shared" si="553"/>
        <v>5400135</v>
      </c>
      <c r="DC902" s="9" t="str">
        <f t="shared" si="554"/>
        <v>5400135</v>
      </c>
      <c r="DD902" s="9">
        <v>13</v>
      </c>
      <c r="DE902" s="9">
        <v>13</v>
      </c>
      <c r="DF902" s="9">
        <v>13</v>
      </c>
      <c r="DG902" s="9">
        <v>13</v>
      </c>
      <c r="DH902" s="9">
        <v>13</v>
      </c>
      <c r="DI902" s="9">
        <v>13</v>
      </c>
      <c r="DJ902" s="9">
        <v>5</v>
      </c>
      <c r="DK902" s="9">
        <v>5</v>
      </c>
      <c r="DL902" s="9">
        <v>5</v>
      </c>
      <c r="DM902" s="9">
        <v>5</v>
      </c>
      <c r="DN902" s="9">
        <v>5</v>
      </c>
      <c r="DO902" s="9">
        <v>5</v>
      </c>
      <c r="DP902" s="25" t="s">
        <v>212</v>
      </c>
      <c r="DQ902" s="25" t="s">
        <v>114</v>
      </c>
      <c r="DR902" s="25" t="s">
        <v>107</v>
      </c>
      <c r="DS902" s="26" t="s">
        <v>210</v>
      </c>
      <c r="DT902" s="26" t="s">
        <v>210</v>
      </c>
      <c r="DU902" s="26" t="s">
        <v>210</v>
      </c>
      <c r="DV902" s="25">
        <f t="shared" si="555"/>
        <v>1</v>
      </c>
      <c r="DW902" s="25">
        <f t="shared" si="556"/>
        <v>1</v>
      </c>
      <c r="DX902" s="25">
        <f t="shared" si="557"/>
        <v>1</v>
      </c>
      <c r="DY902" s="25">
        <f t="shared" si="558"/>
        <v>2</v>
      </c>
      <c r="DZ902" s="25">
        <f t="shared" si="559"/>
        <v>2</v>
      </c>
      <c r="EA902" s="25">
        <f t="shared" si="560"/>
        <v>2</v>
      </c>
      <c r="EB902" s="38"/>
    </row>
    <row r="903" spans="29:132" ht="13.5" customHeight="1">
      <c r="AC903" s="9" t="str">
        <f t="shared" si="537"/>
        <v/>
      </c>
      <c r="AD903" s="9" t="str">
        <f t="shared" si="538"/>
        <v/>
      </c>
      <c r="AE903" s="9" t="str">
        <f t="shared" si="539"/>
        <v/>
      </c>
      <c r="AF903" s="9" t="str">
        <f t="shared" si="540"/>
        <v/>
      </c>
      <c r="AG903" s="9" t="str">
        <f t="shared" si="541"/>
        <v/>
      </c>
      <c r="AH903" s="9" t="str">
        <f t="shared" si="542"/>
        <v/>
      </c>
      <c r="BR903" s="5">
        <v>5101084</v>
      </c>
      <c r="BS903" s="18">
        <f>[1]monsters!$N903</f>
        <v>0</v>
      </c>
      <c r="BT903" s="18">
        <f>[1]monsters!$O903</f>
        <v>0</v>
      </c>
      <c r="BU903" s="18">
        <f>[1]monsters!$P903</f>
        <v>0</v>
      </c>
      <c r="BV903" s="18">
        <f>[1]monsters!$Q903</f>
        <v>0</v>
      </c>
      <c r="BW903" s="18">
        <f>[1]monsters!$R903</f>
        <v>0</v>
      </c>
      <c r="BX903" s="18">
        <f>[1]monsters!$S903</f>
        <v>0</v>
      </c>
      <c r="BY903" s="18">
        <f>[1]monsters!$K903</f>
        <v>0</v>
      </c>
      <c r="BZ903" s="5">
        <f>[1]monsters!$D903</f>
        <v>0</v>
      </c>
      <c r="CA903" s="5" t="e">
        <f t="shared" si="561"/>
        <v>#N/A</v>
      </c>
      <c r="CB903" s="5" t="e">
        <f t="shared" si="562"/>
        <v>#N/A</v>
      </c>
      <c r="CC903" s="5" t="e">
        <f t="shared" si="563"/>
        <v>#N/A</v>
      </c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R903" s="3" t="b">
        <f t="shared" si="543"/>
        <v>1</v>
      </c>
      <c r="CS903" s="3" t="b">
        <f t="shared" si="544"/>
        <v>1</v>
      </c>
      <c r="CT903" s="3" t="b">
        <f t="shared" si="545"/>
        <v>1</v>
      </c>
      <c r="CU903" s="3" t="b">
        <f t="shared" si="546"/>
        <v>1</v>
      </c>
      <c r="CV903" s="3" t="b">
        <f t="shared" si="547"/>
        <v>1</v>
      </c>
      <c r="CW903" s="3" t="b">
        <f t="shared" si="548"/>
        <v>1</v>
      </c>
      <c r="CX903" s="9" t="str">
        <f t="shared" si="549"/>
        <v>5201131</v>
      </c>
      <c r="CY903" s="9" t="str">
        <f t="shared" si="550"/>
        <v>5200133</v>
      </c>
      <c r="CZ903" s="9" t="str">
        <f t="shared" si="551"/>
        <v>5202131</v>
      </c>
      <c r="DA903" s="9" t="str">
        <f t="shared" si="552"/>
        <v>5502132</v>
      </c>
      <c r="DB903" s="9" t="str">
        <f t="shared" si="553"/>
        <v>5500131</v>
      </c>
      <c r="DC903" s="9" t="str">
        <f t="shared" si="554"/>
        <v>5601132</v>
      </c>
      <c r="DD903" s="9">
        <v>13</v>
      </c>
      <c r="DE903" s="9">
        <v>13</v>
      </c>
      <c r="DF903" s="9">
        <v>13</v>
      </c>
      <c r="DG903" s="9">
        <v>13</v>
      </c>
      <c r="DH903" s="9">
        <v>13</v>
      </c>
      <c r="DI903" s="9">
        <v>13</v>
      </c>
      <c r="DJ903" s="9">
        <v>5</v>
      </c>
      <c r="DK903" s="9">
        <v>5</v>
      </c>
      <c r="DL903" s="9">
        <v>5</v>
      </c>
      <c r="DM903" s="9">
        <v>5</v>
      </c>
      <c r="DN903" s="9">
        <v>5</v>
      </c>
      <c r="DO903" s="9">
        <v>5</v>
      </c>
      <c r="DP903" s="25" t="s">
        <v>195</v>
      </c>
      <c r="DQ903" s="25" t="s">
        <v>113</v>
      </c>
      <c r="DR903" s="26" t="s">
        <v>111</v>
      </c>
      <c r="DS903" s="28" t="s">
        <v>204</v>
      </c>
      <c r="DT903" s="26" t="s">
        <v>197</v>
      </c>
      <c r="DU903" s="26" t="s">
        <v>124</v>
      </c>
      <c r="DV903" s="25">
        <f t="shared" si="555"/>
        <v>1</v>
      </c>
      <c r="DW903" s="25">
        <f t="shared" si="556"/>
        <v>1</v>
      </c>
      <c r="DX903" s="25">
        <f t="shared" si="557"/>
        <v>1</v>
      </c>
      <c r="DY903" s="25">
        <f t="shared" si="558"/>
        <v>2</v>
      </c>
      <c r="DZ903" s="25">
        <f t="shared" si="559"/>
        <v>2</v>
      </c>
      <c r="EA903" s="25">
        <f t="shared" si="560"/>
        <v>2</v>
      </c>
      <c r="EB903" s="38"/>
    </row>
    <row r="904" spans="29:132" ht="13.5" customHeight="1">
      <c r="AC904" s="9" t="str">
        <f t="shared" si="537"/>
        <v/>
      </c>
      <c r="AD904" s="9" t="str">
        <f t="shared" si="538"/>
        <v/>
      </c>
      <c r="AE904" s="9" t="str">
        <f t="shared" si="539"/>
        <v/>
      </c>
      <c r="AF904" s="9" t="str">
        <f t="shared" si="540"/>
        <v/>
      </c>
      <c r="AG904" s="9" t="str">
        <f t="shared" si="541"/>
        <v/>
      </c>
      <c r="AH904" s="9" t="str">
        <f t="shared" si="542"/>
        <v/>
      </c>
      <c r="BR904" s="5">
        <v>5102084</v>
      </c>
      <c r="BS904" s="18">
        <f>[1]monsters!$N904</f>
        <v>0</v>
      </c>
      <c r="BT904" s="18">
        <f>[1]monsters!$O904</f>
        <v>0</v>
      </c>
      <c r="BU904" s="18">
        <f>[1]monsters!$P904</f>
        <v>0</v>
      </c>
      <c r="BV904" s="18">
        <f>[1]monsters!$Q904</f>
        <v>0</v>
      </c>
      <c r="BW904" s="18">
        <f>[1]monsters!$R904</f>
        <v>0</v>
      </c>
      <c r="BX904" s="18">
        <f>[1]monsters!$S904</f>
        <v>0</v>
      </c>
      <c r="BY904" s="18">
        <f>[1]monsters!$K904</f>
        <v>0</v>
      </c>
      <c r="BZ904" s="5">
        <f>[1]monsters!$D904</f>
        <v>0</v>
      </c>
      <c r="CA904" s="5" t="e">
        <f t="shared" si="561"/>
        <v>#N/A</v>
      </c>
      <c r="CB904" s="5" t="e">
        <f t="shared" si="562"/>
        <v>#N/A</v>
      </c>
      <c r="CC904" s="5" t="e">
        <f t="shared" si="563"/>
        <v>#N/A</v>
      </c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R904" s="3" t="b">
        <f t="shared" si="543"/>
        <v>1</v>
      </c>
      <c r="CS904" s="3" t="b">
        <f t="shared" si="544"/>
        <v>1</v>
      </c>
      <c r="CT904" s="3" t="b">
        <f t="shared" si="545"/>
        <v>1</v>
      </c>
      <c r="CU904" s="3" t="b">
        <f t="shared" si="546"/>
        <v>1</v>
      </c>
      <c r="CV904" s="3" t="b">
        <f t="shared" si="547"/>
        <v>1</v>
      </c>
      <c r="CW904" s="3" t="b">
        <f t="shared" si="548"/>
        <v>1</v>
      </c>
      <c r="CX904" s="9" t="str">
        <f t="shared" si="549"/>
        <v>5200132</v>
      </c>
      <c r="CY904" s="9" t="str">
        <f t="shared" si="550"/>
        <v>5200133</v>
      </c>
      <c r="CZ904" s="9" t="str">
        <f t="shared" si="551"/>
        <v>5200132</v>
      </c>
      <c r="DA904" s="9" t="str">
        <f t="shared" si="552"/>
        <v>5501134</v>
      </c>
      <c r="DB904" s="9" t="str">
        <f t="shared" si="553"/>
        <v>5500133</v>
      </c>
      <c r="DC904" s="9" t="str">
        <f t="shared" si="554"/>
        <v>5501134</v>
      </c>
      <c r="DD904" s="9">
        <v>13</v>
      </c>
      <c r="DE904" s="9">
        <v>13</v>
      </c>
      <c r="DF904" s="9">
        <v>13</v>
      </c>
      <c r="DG904" s="9">
        <v>13</v>
      </c>
      <c r="DH904" s="9">
        <v>13</v>
      </c>
      <c r="DI904" s="9">
        <v>13</v>
      </c>
      <c r="DJ904" s="9">
        <v>5</v>
      </c>
      <c r="DK904" s="9">
        <v>5</v>
      </c>
      <c r="DL904" s="9">
        <v>5</v>
      </c>
      <c r="DM904" s="9">
        <v>5</v>
      </c>
      <c r="DN904" s="9">
        <v>5</v>
      </c>
      <c r="DO904" s="9">
        <v>5</v>
      </c>
      <c r="DP904" s="25" t="s">
        <v>199</v>
      </c>
      <c r="DQ904" s="25" t="s">
        <v>113</v>
      </c>
      <c r="DR904" s="25" t="s">
        <v>199</v>
      </c>
      <c r="DS904" s="26" t="s">
        <v>214</v>
      </c>
      <c r="DT904" s="26" t="s">
        <v>207</v>
      </c>
      <c r="DU904" s="26" t="s">
        <v>214</v>
      </c>
      <c r="DV904" s="25">
        <f t="shared" si="555"/>
        <v>1</v>
      </c>
      <c r="DW904" s="25">
        <f t="shared" si="556"/>
        <v>1</v>
      </c>
      <c r="DX904" s="25">
        <f t="shared" si="557"/>
        <v>1</v>
      </c>
      <c r="DY904" s="25">
        <f t="shared" si="558"/>
        <v>2</v>
      </c>
      <c r="DZ904" s="25">
        <f t="shared" si="559"/>
        <v>2</v>
      </c>
      <c r="EA904" s="25">
        <f t="shared" si="560"/>
        <v>2</v>
      </c>
      <c r="EB904" s="38"/>
    </row>
    <row r="905" spans="29:132" ht="13.5" customHeight="1">
      <c r="AC905" s="9" t="str">
        <f t="shared" si="537"/>
        <v/>
      </c>
      <c r="AD905" s="9" t="str">
        <f t="shared" si="538"/>
        <v/>
      </c>
      <c r="AE905" s="9" t="str">
        <f t="shared" si="539"/>
        <v/>
      </c>
      <c r="AF905" s="9" t="str">
        <f t="shared" si="540"/>
        <v/>
      </c>
      <c r="AG905" s="9" t="str">
        <f t="shared" si="541"/>
        <v/>
      </c>
      <c r="AH905" s="9" t="str">
        <f t="shared" si="542"/>
        <v/>
      </c>
      <c r="BR905" s="5">
        <v>5206085</v>
      </c>
      <c r="BS905" s="18">
        <f>[1]monsters!$N905</f>
        <v>0</v>
      </c>
      <c r="BT905" s="18">
        <f>[1]monsters!$O905</f>
        <v>0</v>
      </c>
      <c r="BU905" s="18">
        <f>[1]monsters!$P905</f>
        <v>0</v>
      </c>
      <c r="BV905" s="18">
        <f>[1]monsters!$Q905</f>
        <v>0</v>
      </c>
      <c r="BW905" s="18">
        <f>[1]monsters!$R905</f>
        <v>0</v>
      </c>
      <c r="BX905" s="18">
        <f>[1]monsters!$S905</f>
        <v>0</v>
      </c>
      <c r="BY905" s="18">
        <f>[1]monsters!$K905</f>
        <v>0</v>
      </c>
      <c r="BZ905" s="5">
        <f>[1]monsters!$D905</f>
        <v>0</v>
      </c>
      <c r="CA905" s="5" t="e">
        <f t="shared" si="561"/>
        <v>#N/A</v>
      </c>
      <c r="CB905" s="5" t="e">
        <f t="shared" si="562"/>
        <v>#N/A</v>
      </c>
      <c r="CC905" s="5" t="e">
        <f t="shared" si="563"/>
        <v>#N/A</v>
      </c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R905" s="3" t="b">
        <f t="shared" si="543"/>
        <v>1</v>
      </c>
      <c r="CS905" s="3" t="b">
        <f t="shared" si="544"/>
        <v>1</v>
      </c>
      <c r="CT905" s="3" t="b">
        <f t="shared" si="545"/>
        <v>1</v>
      </c>
      <c r="CU905" s="3" t="b">
        <f t="shared" si="546"/>
        <v>1</v>
      </c>
      <c r="CV905" s="3" t="b">
        <f t="shared" si="547"/>
        <v>1</v>
      </c>
      <c r="CW905" s="3" t="b">
        <f t="shared" si="548"/>
        <v>1</v>
      </c>
      <c r="CX905" s="9" t="str">
        <f t="shared" si="549"/>
        <v>5202132</v>
      </c>
      <c r="CY905" s="9" t="str">
        <f t="shared" si="550"/>
        <v>5201132</v>
      </c>
      <c r="CZ905" s="9" t="str">
        <f t="shared" si="551"/>
        <v>5301131</v>
      </c>
      <c r="DA905" s="9" t="str">
        <f t="shared" si="552"/>
        <v>5400135</v>
      </c>
      <c r="DB905" s="9" t="str">
        <f t="shared" si="553"/>
        <v>5500132</v>
      </c>
      <c r="DC905" s="9" t="str">
        <f t="shared" si="554"/>
        <v>5500133</v>
      </c>
      <c r="DD905" s="9">
        <v>13</v>
      </c>
      <c r="DE905" s="9">
        <v>13</v>
      </c>
      <c r="DF905" s="9">
        <v>13</v>
      </c>
      <c r="DG905" s="9">
        <v>13</v>
      </c>
      <c r="DH905" s="9">
        <v>13</v>
      </c>
      <c r="DI905" s="9">
        <v>13</v>
      </c>
      <c r="DJ905" s="9">
        <v>5</v>
      </c>
      <c r="DK905" s="9">
        <v>5</v>
      </c>
      <c r="DL905" s="9">
        <v>5</v>
      </c>
      <c r="DM905" s="9">
        <v>5</v>
      </c>
      <c r="DN905" s="9">
        <v>5</v>
      </c>
      <c r="DO905" s="9">
        <v>5</v>
      </c>
      <c r="DP905" s="25" t="s">
        <v>200</v>
      </c>
      <c r="DQ905" s="25" t="s">
        <v>114</v>
      </c>
      <c r="DR905" s="25" t="s">
        <v>107</v>
      </c>
      <c r="DS905" s="25" t="s">
        <v>210</v>
      </c>
      <c r="DT905" s="25" t="s">
        <v>109</v>
      </c>
      <c r="DU905" s="25" t="s">
        <v>207</v>
      </c>
      <c r="DV905" s="25">
        <f t="shared" si="555"/>
        <v>1</v>
      </c>
      <c r="DW905" s="25">
        <f t="shared" si="556"/>
        <v>1</v>
      </c>
      <c r="DX905" s="25">
        <f t="shared" si="557"/>
        <v>1</v>
      </c>
      <c r="DY905" s="25">
        <f t="shared" si="558"/>
        <v>2</v>
      </c>
      <c r="DZ905" s="25">
        <f t="shared" si="559"/>
        <v>2</v>
      </c>
      <c r="EA905" s="25">
        <f t="shared" si="560"/>
        <v>2</v>
      </c>
      <c r="EB905" s="50"/>
    </row>
    <row r="906" spans="29:132" ht="13.5" customHeight="1">
      <c r="AC906" s="9" t="str">
        <f t="shared" si="537"/>
        <v/>
      </c>
      <c r="AD906" s="9" t="str">
        <f t="shared" si="538"/>
        <v/>
      </c>
      <c r="AE906" s="9" t="str">
        <f t="shared" si="539"/>
        <v/>
      </c>
      <c r="AF906" s="9" t="str">
        <f t="shared" si="540"/>
        <v/>
      </c>
      <c r="AG906" s="9" t="str">
        <f t="shared" si="541"/>
        <v/>
      </c>
      <c r="AH906" s="9" t="str">
        <f t="shared" si="542"/>
        <v/>
      </c>
      <c r="BR906" s="5">
        <v>5406085</v>
      </c>
      <c r="BS906" s="18">
        <f>[1]monsters!$N906</f>
        <v>0</v>
      </c>
      <c r="BT906" s="18">
        <f>[1]monsters!$O906</f>
        <v>0</v>
      </c>
      <c r="BU906" s="18">
        <f>[1]monsters!$P906</f>
        <v>0</v>
      </c>
      <c r="BV906" s="18">
        <f>[1]monsters!$Q906</f>
        <v>0</v>
      </c>
      <c r="BW906" s="18">
        <f>[1]monsters!$R906</f>
        <v>0</v>
      </c>
      <c r="BX906" s="18">
        <f>[1]monsters!$S906</f>
        <v>0</v>
      </c>
      <c r="BY906" s="18">
        <f>[1]monsters!$K906</f>
        <v>0</v>
      </c>
      <c r="BZ906" s="5">
        <f>[1]monsters!$D906</f>
        <v>0</v>
      </c>
      <c r="CA906" s="5" t="e">
        <f t="shared" si="561"/>
        <v>#N/A</v>
      </c>
      <c r="CB906" s="5" t="e">
        <f t="shared" si="562"/>
        <v>#N/A</v>
      </c>
      <c r="CC906" s="5" t="e">
        <f t="shared" si="563"/>
        <v>#N/A</v>
      </c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R906" s="3" t="b">
        <f t="shared" si="543"/>
        <v>1</v>
      </c>
      <c r="CS906" s="3" t="b">
        <f t="shared" si="544"/>
        <v>1</v>
      </c>
      <c r="CT906" s="3" t="b">
        <f t="shared" si="545"/>
        <v>1</v>
      </c>
      <c r="CU906" s="3" t="b">
        <f t="shared" si="546"/>
        <v>1</v>
      </c>
      <c r="CV906" s="3" t="b">
        <f t="shared" si="547"/>
        <v>1</v>
      </c>
      <c r="CW906" s="3" t="b">
        <f t="shared" si="548"/>
        <v>1</v>
      </c>
      <c r="CX906" s="9" t="str">
        <f t="shared" si="549"/>
        <v>5301131</v>
      </c>
      <c r="CY906" s="9" t="str">
        <f t="shared" si="550"/>
        <v>5301132</v>
      </c>
      <c r="CZ906" s="9" t="str">
        <f t="shared" si="551"/>
        <v>5301133</v>
      </c>
      <c r="DA906" s="9" t="str">
        <f t="shared" si="552"/>
        <v>5500132</v>
      </c>
      <c r="DB906" s="9" t="str">
        <f t="shared" si="553"/>
        <v>5500131</v>
      </c>
      <c r="DC906" s="9" t="str">
        <f t="shared" si="554"/>
        <v>5500132</v>
      </c>
      <c r="DD906" s="9">
        <v>13</v>
      </c>
      <c r="DE906" s="9">
        <v>13</v>
      </c>
      <c r="DF906" s="9">
        <v>13</v>
      </c>
      <c r="DG906" s="9">
        <v>13</v>
      </c>
      <c r="DH906" s="9">
        <v>13</v>
      </c>
      <c r="DI906" s="9">
        <v>13</v>
      </c>
      <c r="DJ906" s="9">
        <v>5</v>
      </c>
      <c r="DK906" s="9">
        <v>5</v>
      </c>
      <c r="DL906" s="9">
        <v>5</v>
      </c>
      <c r="DM906" s="9">
        <v>5</v>
      </c>
      <c r="DN906" s="9">
        <v>5</v>
      </c>
      <c r="DO906" s="9">
        <v>5</v>
      </c>
      <c r="DP906" s="26" t="s">
        <v>107</v>
      </c>
      <c r="DQ906" s="26" t="s">
        <v>201</v>
      </c>
      <c r="DR906" s="26" t="s">
        <v>206</v>
      </c>
      <c r="DS906" s="26" t="s">
        <v>109</v>
      </c>
      <c r="DT906" s="26" t="s">
        <v>197</v>
      </c>
      <c r="DU906" s="26" t="s">
        <v>109</v>
      </c>
      <c r="DV906" s="25">
        <f t="shared" si="555"/>
        <v>1</v>
      </c>
      <c r="DW906" s="25">
        <f t="shared" si="556"/>
        <v>1</v>
      </c>
      <c r="DX906" s="25">
        <f t="shared" si="557"/>
        <v>1</v>
      </c>
      <c r="DY906" s="25">
        <f t="shared" si="558"/>
        <v>2</v>
      </c>
      <c r="DZ906" s="25">
        <f t="shared" si="559"/>
        <v>2</v>
      </c>
      <c r="EA906" s="25">
        <f t="shared" si="560"/>
        <v>2</v>
      </c>
      <c r="EB906" s="50"/>
    </row>
    <row r="907" spans="29:132" ht="13.5" customHeight="1">
      <c r="AC907" s="9" t="str">
        <f t="shared" si="537"/>
        <v/>
      </c>
      <c r="AD907" s="9" t="str">
        <f t="shared" si="538"/>
        <v/>
      </c>
      <c r="AE907" s="9" t="str">
        <f t="shared" si="539"/>
        <v/>
      </c>
      <c r="AF907" s="9" t="str">
        <f t="shared" si="540"/>
        <v/>
      </c>
      <c r="AG907" s="9" t="str">
        <f t="shared" si="541"/>
        <v/>
      </c>
      <c r="AH907" s="9" t="str">
        <f t="shared" si="542"/>
        <v/>
      </c>
      <c r="BR907" s="5">
        <v>5205085</v>
      </c>
      <c r="BS907" s="18">
        <f>[1]monsters!$N907</f>
        <v>0</v>
      </c>
      <c r="BT907" s="18">
        <f>[1]monsters!$O907</f>
        <v>0</v>
      </c>
      <c r="BU907" s="18">
        <f>[1]monsters!$P907</f>
        <v>0</v>
      </c>
      <c r="BV907" s="18">
        <f>[1]monsters!$Q907</f>
        <v>0</v>
      </c>
      <c r="BW907" s="18">
        <f>[1]monsters!$R907</f>
        <v>0</v>
      </c>
      <c r="BX907" s="18">
        <f>[1]monsters!$S907</f>
        <v>0</v>
      </c>
      <c r="BY907" s="18">
        <f>[1]monsters!$K907</f>
        <v>0</v>
      </c>
      <c r="BZ907" s="5">
        <f>[1]monsters!$D907</f>
        <v>0</v>
      </c>
      <c r="CA907" s="5" t="e">
        <f t="shared" si="561"/>
        <v>#N/A</v>
      </c>
      <c r="CB907" s="5" t="e">
        <f t="shared" si="562"/>
        <v>#N/A</v>
      </c>
      <c r="CC907" s="5" t="e">
        <f t="shared" si="563"/>
        <v>#N/A</v>
      </c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R907" s="3" t="b">
        <f t="shared" si="543"/>
        <v>1</v>
      </c>
      <c r="CS907" s="3" t="b">
        <f t="shared" si="544"/>
        <v>1</v>
      </c>
      <c r="CT907" s="3" t="b">
        <f t="shared" si="545"/>
        <v>1</v>
      </c>
      <c r="CU907" s="3" t="b">
        <f t="shared" si="546"/>
        <v>1</v>
      </c>
      <c r="CV907" s="3" t="b">
        <f t="shared" si="547"/>
        <v>1</v>
      </c>
      <c r="CW907" s="3" t="b">
        <f t="shared" si="548"/>
        <v>1</v>
      </c>
      <c r="CX907" s="9" t="str">
        <f t="shared" si="549"/>
        <v>5201132</v>
      </c>
      <c r="CY907" s="9" t="str">
        <f t="shared" si="550"/>
        <v>5201132</v>
      </c>
      <c r="CZ907" s="9" t="str">
        <f t="shared" si="551"/>
        <v>5201132</v>
      </c>
      <c r="DA907" s="9" t="str">
        <f t="shared" si="552"/>
        <v>5400135</v>
      </c>
      <c r="DB907" s="9" t="str">
        <f t="shared" si="553"/>
        <v>5400135</v>
      </c>
      <c r="DC907" s="9" t="str">
        <f t="shared" si="554"/>
        <v>5501135</v>
      </c>
      <c r="DD907" s="9">
        <v>13</v>
      </c>
      <c r="DE907" s="9">
        <v>13</v>
      </c>
      <c r="DF907" s="9">
        <v>13</v>
      </c>
      <c r="DG907" s="9">
        <v>13</v>
      </c>
      <c r="DH907" s="9">
        <v>13</v>
      </c>
      <c r="DI907" s="9">
        <v>13</v>
      </c>
      <c r="DJ907" s="9">
        <v>5</v>
      </c>
      <c r="DK907" s="9">
        <v>5</v>
      </c>
      <c r="DL907" s="9">
        <v>5</v>
      </c>
      <c r="DM907" s="9">
        <v>5</v>
      </c>
      <c r="DN907" s="9">
        <v>5</v>
      </c>
      <c r="DO907" s="9">
        <v>5</v>
      </c>
      <c r="DP907" s="25" t="s">
        <v>114</v>
      </c>
      <c r="DQ907" s="25" t="s">
        <v>114</v>
      </c>
      <c r="DR907" s="25" t="s">
        <v>114</v>
      </c>
      <c r="DS907" s="25" t="s">
        <v>210</v>
      </c>
      <c r="DT907" s="25" t="s">
        <v>210</v>
      </c>
      <c r="DU907" s="25" t="s">
        <v>209</v>
      </c>
      <c r="DV907" s="25">
        <f t="shared" si="555"/>
        <v>1</v>
      </c>
      <c r="DW907" s="25">
        <f t="shared" si="556"/>
        <v>1</v>
      </c>
      <c r="DX907" s="25">
        <f t="shared" si="557"/>
        <v>1</v>
      </c>
      <c r="DY907" s="25">
        <f t="shared" si="558"/>
        <v>2</v>
      </c>
      <c r="DZ907" s="25">
        <f t="shared" si="559"/>
        <v>2</v>
      </c>
      <c r="EA907" s="25">
        <f t="shared" si="560"/>
        <v>2</v>
      </c>
      <c r="EB907" s="50"/>
    </row>
    <row r="908" spans="29:132" ht="13.5" customHeight="1">
      <c r="AC908" s="9" t="str">
        <f t="shared" si="537"/>
        <v/>
      </c>
      <c r="AD908" s="9" t="str">
        <f t="shared" si="538"/>
        <v/>
      </c>
      <c r="AE908" s="9" t="str">
        <f t="shared" si="539"/>
        <v/>
      </c>
      <c r="AF908" s="9" t="str">
        <f t="shared" si="540"/>
        <v/>
      </c>
      <c r="AG908" s="9" t="str">
        <f t="shared" si="541"/>
        <v/>
      </c>
      <c r="AH908" s="9" t="str">
        <f t="shared" si="542"/>
        <v/>
      </c>
      <c r="BR908" s="5">
        <v>5405085</v>
      </c>
      <c r="BS908" s="18">
        <f>[1]monsters!$N908</f>
        <v>0</v>
      </c>
      <c r="BT908" s="18">
        <f>[1]monsters!$O908</f>
        <v>0</v>
      </c>
      <c r="BU908" s="18">
        <f>[1]monsters!$P908</f>
        <v>0</v>
      </c>
      <c r="BV908" s="18">
        <f>[1]monsters!$Q908</f>
        <v>0</v>
      </c>
      <c r="BW908" s="18">
        <f>[1]monsters!$R908</f>
        <v>0</v>
      </c>
      <c r="BX908" s="18">
        <f>[1]monsters!$S908</f>
        <v>0</v>
      </c>
      <c r="BY908" s="18">
        <f>[1]monsters!$K908</f>
        <v>0</v>
      </c>
      <c r="BZ908" s="5">
        <f>[1]monsters!$D908</f>
        <v>0</v>
      </c>
      <c r="CA908" s="5" t="e">
        <f t="shared" si="561"/>
        <v>#N/A</v>
      </c>
      <c r="CB908" s="5" t="e">
        <f t="shared" si="562"/>
        <v>#N/A</v>
      </c>
      <c r="CC908" s="5" t="e">
        <f t="shared" si="563"/>
        <v>#N/A</v>
      </c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R908" s="3" t="b">
        <f t="shared" si="543"/>
        <v>1</v>
      </c>
      <c r="CS908" s="3" t="b">
        <f t="shared" si="544"/>
        <v>1</v>
      </c>
      <c r="CT908" s="3" t="b">
        <f t="shared" si="545"/>
        <v>1</v>
      </c>
      <c r="CU908" s="3" t="b">
        <f t="shared" si="546"/>
        <v>1</v>
      </c>
      <c r="CV908" s="3" t="b">
        <f t="shared" si="547"/>
        <v>1</v>
      </c>
      <c r="CW908" s="3" t="b">
        <f t="shared" si="548"/>
        <v>1</v>
      </c>
      <c r="CX908" s="9" t="str">
        <f t="shared" si="549"/>
        <v>5600134</v>
      </c>
      <c r="CY908" s="9" t="str">
        <f t="shared" si="550"/>
        <v>5202132</v>
      </c>
      <c r="CZ908" s="9" t="str">
        <f t="shared" si="551"/>
        <v>5302134</v>
      </c>
      <c r="DA908" s="9" t="str">
        <f t="shared" si="552"/>
        <v>5501134</v>
      </c>
      <c r="DB908" s="9" t="str">
        <f t="shared" si="553"/>
        <v>5500133</v>
      </c>
      <c r="DC908" s="9" t="str">
        <f t="shared" si="554"/>
        <v>5501134</v>
      </c>
      <c r="DD908" s="9">
        <v>13</v>
      </c>
      <c r="DE908" s="9">
        <v>13</v>
      </c>
      <c r="DF908" s="9">
        <v>13</v>
      </c>
      <c r="DG908" s="9">
        <v>13</v>
      </c>
      <c r="DH908" s="9">
        <v>13</v>
      </c>
      <c r="DI908" s="9">
        <v>13</v>
      </c>
      <c r="DJ908" s="9">
        <v>5</v>
      </c>
      <c r="DK908" s="9">
        <v>5</v>
      </c>
      <c r="DL908" s="9">
        <v>5</v>
      </c>
      <c r="DM908" s="9">
        <v>5</v>
      </c>
      <c r="DN908" s="9">
        <v>5</v>
      </c>
      <c r="DO908" s="9">
        <v>5</v>
      </c>
      <c r="DP908" s="27" t="s">
        <v>219</v>
      </c>
      <c r="DQ908" s="25" t="s">
        <v>200</v>
      </c>
      <c r="DR908" s="27" t="s">
        <v>218</v>
      </c>
      <c r="DS908" s="25" t="s">
        <v>214</v>
      </c>
      <c r="DT908" s="25" t="s">
        <v>207</v>
      </c>
      <c r="DU908" s="25" t="s">
        <v>214</v>
      </c>
      <c r="DV908" s="25">
        <f t="shared" si="555"/>
        <v>1</v>
      </c>
      <c r="DW908" s="25">
        <f t="shared" si="556"/>
        <v>1</v>
      </c>
      <c r="DX908" s="25">
        <f t="shared" si="557"/>
        <v>1</v>
      </c>
      <c r="DY908" s="25">
        <f t="shared" si="558"/>
        <v>2</v>
      </c>
      <c r="DZ908" s="25">
        <f t="shared" si="559"/>
        <v>2</v>
      </c>
      <c r="EA908" s="25">
        <f t="shared" si="560"/>
        <v>2</v>
      </c>
      <c r="EB908" s="51"/>
    </row>
    <row r="909" spans="29:132" ht="13.5" customHeight="1">
      <c r="AC909" s="9" t="str">
        <f t="shared" si="537"/>
        <v/>
      </c>
      <c r="AD909" s="9" t="str">
        <f t="shared" si="538"/>
        <v/>
      </c>
      <c r="AE909" s="9" t="str">
        <f t="shared" si="539"/>
        <v/>
      </c>
      <c r="AF909" s="9" t="str">
        <f t="shared" si="540"/>
        <v/>
      </c>
      <c r="AG909" s="9" t="str">
        <f t="shared" si="541"/>
        <v/>
      </c>
      <c r="AH909" s="9" t="str">
        <f t="shared" si="542"/>
        <v/>
      </c>
      <c r="BR909" s="5">
        <v>5203085</v>
      </c>
      <c r="BS909" s="18">
        <f>[1]monsters!$N909</f>
        <v>0</v>
      </c>
      <c r="BT909" s="18">
        <f>[1]monsters!$O909</f>
        <v>0</v>
      </c>
      <c r="BU909" s="18">
        <f>[1]monsters!$P909</f>
        <v>0</v>
      </c>
      <c r="BV909" s="18">
        <f>[1]monsters!$Q909</f>
        <v>0</v>
      </c>
      <c r="BW909" s="18">
        <f>[1]monsters!$R909</f>
        <v>0</v>
      </c>
      <c r="BX909" s="18">
        <f>[1]monsters!$S909</f>
        <v>0</v>
      </c>
      <c r="BY909" s="18">
        <f>[1]monsters!$K909</f>
        <v>0</v>
      </c>
      <c r="BZ909" s="5">
        <f>[1]monsters!$D909</f>
        <v>0</v>
      </c>
      <c r="CA909" s="5" t="e">
        <f t="shared" si="561"/>
        <v>#N/A</v>
      </c>
      <c r="CB909" s="5" t="e">
        <f t="shared" si="562"/>
        <v>#N/A</v>
      </c>
      <c r="CC909" s="5" t="e">
        <f t="shared" si="563"/>
        <v>#N/A</v>
      </c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R909" s="3" t="b">
        <f t="shared" si="543"/>
        <v>1</v>
      </c>
      <c r="CS909" s="3" t="b">
        <f t="shared" si="544"/>
        <v>1</v>
      </c>
      <c r="CT909" s="3" t="b">
        <f t="shared" si="545"/>
        <v>1</v>
      </c>
      <c r="CU909" s="3" t="b">
        <f t="shared" si="546"/>
        <v>1</v>
      </c>
      <c r="CV909" s="3" t="b">
        <f t="shared" si="547"/>
        <v>1</v>
      </c>
      <c r="CW909" s="3" t="b">
        <f t="shared" si="548"/>
        <v>1</v>
      </c>
      <c r="CX909" s="9" t="str">
        <f t="shared" si="549"/>
        <v>5200132</v>
      </c>
      <c r="CY909" s="9" t="str">
        <f t="shared" si="550"/>
        <v>5200133</v>
      </c>
      <c r="CZ909" s="9" t="str">
        <f t="shared" si="551"/>
        <v>5200132</v>
      </c>
      <c r="DA909" s="9" t="str">
        <f t="shared" si="552"/>
        <v>5500132</v>
      </c>
      <c r="DB909" s="9" t="str">
        <f t="shared" si="553"/>
        <v>5402132</v>
      </c>
      <c r="DC909" s="9" t="str">
        <f t="shared" si="554"/>
        <v>5500132</v>
      </c>
      <c r="DD909" s="9">
        <v>13</v>
      </c>
      <c r="DE909" s="9">
        <v>13</v>
      </c>
      <c r="DF909" s="9">
        <v>13</v>
      </c>
      <c r="DG909" s="9">
        <v>13</v>
      </c>
      <c r="DH909" s="9">
        <v>13</v>
      </c>
      <c r="DI909" s="9">
        <v>13</v>
      </c>
      <c r="DJ909" s="9">
        <v>5</v>
      </c>
      <c r="DK909" s="9">
        <v>5</v>
      </c>
      <c r="DL909" s="9">
        <v>5</v>
      </c>
      <c r="DM909" s="9">
        <v>5</v>
      </c>
      <c r="DN909" s="9">
        <v>5</v>
      </c>
      <c r="DO909" s="9">
        <v>5</v>
      </c>
      <c r="DP909" s="26" t="s">
        <v>199</v>
      </c>
      <c r="DQ909" s="26" t="s">
        <v>113</v>
      </c>
      <c r="DR909" s="26" t="s">
        <v>199</v>
      </c>
      <c r="DS909" s="26" t="s">
        <v>109</v>
      </c>
      <c r="DT909" s="26" t="s">
        <v>203</v>
      </c>
      <c r="DU909" s="26" t="s">
        <v>109</v>
      </c>
      <c r="DV909" s="25">
        <f t="shared" si="555"/>
        <v>1</v>
      </c>
      <c r="DW909" s="25">
        <f t="shared" si="556"/>
        <v>1</v>
      </c>
      <c r="DX909" s="25">
        <f t="shared" si="557"/>
        <v>1</v>
      </c>
      <c r="DY909" s="25">
        <f t="shared" si="558"/>
        <v>2</v>
      </c>
      <c r="DZ909" s="25">
        <f t="shared" si="559"/>
        <v>2</v>
      </c>
      <c r="EA909" s="25">
        <f t="shared" si="560"/>
        <v>2</v>
      </c>
      <c r="EB909" s="50"/>
    </row>
    <row r="910" spans="29:132" ht="13.5" customHeight="1">
      <c r="AC910" s="9" t="str">
        <f t="shared" si="537"/>
        <v/>
      </c>
      <c r="AD910" s="9" t="str">
        <f t="shared" si="538"/>
        <v/>
      </c>
      <c r="AE910" s="9" t="str">
        <f t="shared" si="539"/>
        <v/>
      </c>
      <c r="AF910" s="9" t="str">
        <f t="shared" si="540"/>
        <v/>
      </c>
      <c r="AG910" s="9" t="str">
        <f t="shared" si="541"/>
        <v/>
      </c>
      <c r="AH910" s="9" t="str">
        <f t="shared" si="542"/>
        <v/>
      </c>
      <c r="BR910" s="5">
        <v>5403085</v>
      </c>
      <c r="BS910" s="18">
        <f>[1]monsters!$N910</f>
        <v>0</v>
      </c>
      <c r="BT910" s="18">
        <f>[1]monsters!$O910</f>
        <v>0</v>
      </c>
      <c r="BU910" s="18">
        <f>[1]monsters!$P910</f>
        <v>0</v>
      </c>
      <c r="BV910" s="18">
        <f>[1]monsters!$Q910</f>
        <v>0</v>
      </c>
      <c r="BW910" s="18">
        <f>[1]monsters!$R910</f>
        <v>0</v>
      </c>
      <c r="BX910" s="18">
        <f>[1]monsters!$S910</f>
        <v>0</v>
      </c>
      <c r="BY910" s="18">
        <f>[1]monsters!$K910</f>
        <v>0</v>
      </c>
      <c r="BZ910" s="5">
        <f>[1]monsters!$D910</f>
        <v>0</v>
      </c>
      <c r="CA910" s="5" t="e">
        <f t="shared" si="561"/>
        <v>#N/A</v>
      </c>
      <c r="CB910" s="5" t="e">
        <f t="shared" si="562"/>
        <v>#N/A</v>
      </c>
      <c r="CC910" s="5" t="e">
        <f t="shared" si="563"/>
        <v>#N/A</v>
      </c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R910" s="3" t="b">
        <f t="shared" si="543"/>
        <v>1</v>
      </c>
      <c r="CS910" s="3" t="b">
        <f t="shared" si="544"/>
        <v>1</v>
      </c>
      <c r="CT910" s="3" t="b">
        <f t="shared" si="545"/>
        <v>1</v>
      </c>
      <c r="CU910" s="3" t="b">
        <f t="shared" si="546"/>
        <v>1</v>
      </c>
      <c r="CV910" s="3" t="b">
        <f t="shared" si="547"/>
        <v>1</v>
      </c>
      <c r="CW910" s="3" t="b">
        <f t="shared" si="548"/>
        <v>1</v>
      </c>
      <c r="CX910" s="9" t="str">
        <f t="shared" si="549"/>
        <v>5302135</v>
      </c>
      <c r="CY910" s="9" t="str">
        <f t="shared" si="550"/>
        <v>5202135</v>
      </c>
      <c r="CZ910" s="9" t="str">
        <f t="shared" si="551"/>
        <v>5301132</v>
      </c>
      <c r="DA910" s="9" t="str">
        <f t="shared" si="552"/>
        <v>5500132</v>
      </c>
      <c r="DB910" s="9" t="str">
        <f t="shared" si="553"/>
        <v>5501135</v>
      </c>
      <c r="DC910" s="9" t="str">
        <f t="shared" si="554"/>
        <v>5400135</v>
      </c>
      <c r="DD910" s="9">
        <v>13</v>
      </c>
      <c r="DE910" s="9">
        <v>13</v>
      </c>
      <c r="DF910" s="9">
        <v>13</v>
      </c>
      <c r="DG910" s="9">
        <v>13</v>
      </c>
      <c r="DH910" s="9">
        <v>13</v>
      </c>
      <c r="DI910" s="9">
        <v>13</v>
      </c>
      <c r="DJ910" s="9">
        <v>5</v>
      </c>
      <c r="DK910" s="9">
        <v>5</v>
      </c>
      <c r="DL910" s="9">
        <v>5</v>
      </c>
      <c r="DM910" s="9">
        <v>5</v>
      </c>
      <c r="DN910" s="9">
        <v>5</v>
      </c>
      <c r="DO910" s="9">
        <v>5</v>
      </c>
      <c r="DP910" s="25" t="s">
        <v>221</v>
      </c>
      <c r="DQ910" s="25" t="s">
        <v>213</v>
      </c>
      <c r="DR910" s="26" t="s">
        <v>201</v>
      </c>
      <c r="DS910" s="26" t="s">
        <v>109</v>
      </c>
      <c r="DT910" s="25" t="s">
        <v>209</v>
      </c>
      <c r="DU910" s="25" t="s">
        <v>210</v>
      </c>
      <c r="DV910" s="25">
        <f t="shared" si="555"/>
        <v>1</v>
      </c>
      <c r="DW910" s="25">
        <f t="shared" si="556"/>
        <v>1</v>
      </c>
      <c r="DX910" s="25">
        <f t="shared" si="557"/>
        <v>1</v>
      </c>
      <c r="DY910" s="25">
        <f t="shared" si="558"/>
        <v>2</v>
      </c>
      <c r="DZ910" s="25">
        <f t="shared" si="559"/>
        <v>2</v>
      </c>
      <c r="EA910" s="25">
        <f t="shared" si="560"/>
        <v>2</v>
      </c>
      <c r="EB910" s="50"/>
    </row>
    <row r="911" spans="29:132" ht="13.5" customHeight="1">
      <c r="AC911" s="9" t="str">
        <f t="shared" si="537"/>
        <v/>
      </c>
      <c r="AD911" s="9" t="str">
        <f t="shared" si="538"/>
        <v/>
      </c>
      <c r="AE911" s="9" t="str">
        <f t="shared" si="539"/>
        <v/>
      </c>
      <c r="AF911" s="9" t="str">
        <f t="shared" si="540"/>
        <v/>
      </c>
      <c r="AG911" s="9" t="str">
        <f t="shared" si="541"/>
        <v/>
      </c>
      <c r="AH911" s="9" t="str">
        <f t="shared" si="542"/>
        <v/>
      </c>
      <c r="BR911" s="5">
        <v>5204085</v>
      </c>
      <c r="BS911" s="18">
        <f>[1]monsters!$N911</f>
        <v>0</v>
      </c>
      <c r="BT911" s="18">
        <f>[1]monsters!$O911</f>
        <v>0</v>
      </c>
      <c r="BU911" s="18">
        <f>[1]monsters!$P911</f>
        <v>0</v>
      </c>
      <c r="BV911" s="18">
        <f>[1]monsters!$Q911</f>
        <v>0</v>
      </c>
      <c r="BW911" s="18">
        <f>[1]monsters!$R911</f>
        <v>0</v>
      </c>
      <c r="BX911" s="18">
        <f>[1]monsters!$S911</f>
        <v>0</v>
      </c>
      <c r="BY911" s="18">
        <f>[1]monsters!$K911</f>
        <v>0</v>
      </c>
      <c r="BZ911" s="5">
        <f>[1]monsters!$D911</f>
        <v>0</v>
      </c>
      <c r="CA911" s="5" t="e">
        <f t="shared" si="561"/>
        <v>#N/A</v>
      </c>
      <c r="CB911" s="5" t="e">
        <f t="shared" si="562"/>
        <v>#N/A</v>
      </c>
      <c r="CC911" s="5" t="e">
        <f t="shared" si="563"/>
        <v>#N/A</v>
      </c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R911" s="3" t="b">
        <f t="shared" si="543"/>
        <v>1</v>
      </c>
      <c r="CS911" s="3" t="b">
        <f t="shared" si="544"/>
        <v>1</v>
      </c>
      <c r="CT911" s="3" t="b">
        <f t="shared" si="545"/>
        <v>1</v>
      </c>
      <c r="CU911" s="3" t="b">
        <f t="shared" si="546"/>
        <v>1</v>
      </c>
      <c r="CV911" s="3" t="b">
        <f t="shared" si="547"/>
        <v>1</v>
      </c>
      <c r="CW911" s="3" t="b">
        <f t="shared" si="548"/>
        <v>1</v>
      </c>
      <c r="CX911" s="9" t="str">
        <f t="shared" si="549"/>
        <v>5202133</v>
      </c>
      <c r="CY911" s="9" t="str">
        <f t="shared" si="550"/>
        <v>5202132</v>
      </c>
      <c r="CZ911" s="9" t="str">
        <f t="shared" si="551"/>
        <v>5201134</v>
      </c>
      <c r="DA911" s="9" t="str">
        <f t="shared" si="552"/>
        <v>5501134</v>
      </c>
      <c r="DB911" s="9" t="str">
        <f t="shared" si="553"/>
        <v>5500133</v>
      </c>
      <c r="DC911" s="9" t="str">
        <f t="shared" si="554"/>
        <v>5501134</v>
      </c>
      <c r="DD911" s="9">
        <v>13</v>
      </c>
      <c r="DE911" s="9">
        <v>13</v>
      </c>
      <c r="DF911" s="9">
        <v>13</v>
      </c>
      <c r="DG911" s="9">
        <v>13</v>
      </c>
      <c r="DH911" s="9">
        <v>13</v>
      </c>
      <c r="DI911" s="9">
        <v>13</v>
      </c>
      <c r="DJ911" s="9">
        <v>5</v>
      </c>
      <c r="DK911" s="9">
        <v>5</v>
      </c>
      <c r="DL911" s="9">
        <v>5</v>
      </c>
      <c r="DM911" s="9">
        <v>5</v>
      </c>
      <c r="DN911" s="9">
        <v>5</v>
      </c>
      <c r="DO911" s="9">
        <v>5</v>
      </c>
      <c r="DP911" s="25" t="s">
        <v>208</v>
      </c>
      <c r="DQ911" s="25" t="s">
        <v>200</v>
      </c>
      <c r="DR911" s="26" t="s">
        <v>217</v>
      </c>
      <c r="DS911" s="26" t="s">
        <v>214</v>
      </c>
      <c r="DT911" s="26" t="s">
        <v>207</v>
      </c>
      <c r="DU911" s="26" t="s">
        <v>214</v>
      </c>
      <c r="DV911" s="25">
        <f t="shared" si="555"/>
        <v>1</v>
      </c>
      <c r="DW911" s="25">
        <f t="shared" si="556"/>
        <v>1</v>
      </c>
      <c r="DX911" s="25">
        <f t="shared" si="557"/>
        <v>1</v>
      </c>
      <c r="DY911" s="25">
        <f t="shared" si="558"/>
        <v>2</v>
      </c>
      <c r="DZ911" s="25">
        <f t="shared" si="559"/>
        <v>2</v>
      </c>
      <c r="EA911" s="25">
        <f t="shared" si="560"/>
        <v>2</v>
      </c>
      <c r="EB911" s="50"/>
    </row>
    <row r="912" spans="29:132" ht="13.5" customHeight="1">
      <c r="AC912" s="9" t="str">
        <f t="shared" si="537"/>
        <v/>
      </c>
      <c r="AD912" s="9" t="str">
        <f t="shared" si="538"/>
        <v/>
      </c>
      <c r="AE912" s="9" t="str">
        <f t="shared" si="539"/>
        <v/>
      </c>
      <c r="AF912" s="9" t="str">
        <f t="shared" si="540"/>
        <v/>
      </c>
      <c r="AG912" s="9" t="str">
        <f t="shared" si="541"/>
        <v/>
      </c>
      <c r="AH912" s="9" t="str">
        <f t="shared" si="542"/>
        <v/>
      </c>
      <c r="BR912" s="5">
        <v>5404085</v>
      </c>
      <c r="BS912" s="18">
        <f>[1]monsters!$N912</f>
        <v>0</v>
      </c>
      <c r="BT912" s="18">
        <f>[1]monsters!$O912</f>
        <v>0</v>
      </c>
      <c r="BU912" s="18">
        <f>[1]monsters!$P912</f>
        <v>0</v>
      </c>
      <c r="BV912" s="18">
        <f>[1]monsters!$Q912</f>
        <v>0</v>
      </c>
      <c r="BW912" s="18">
        <f>[1]monsters!$R912</f>
        <v>0</v>
      </c>
      <c r="BX912" s="18">
        <f>[1]monsters!$S912</f>
        <v>0</v>
      </c>
      <c r="BY912" s="18">
        <f>[1]monsters!$K912</f>
        <v>0</v>
      </c>
      <c r="BZ912" s="5">
        <f>[1]monsters!$D912</f>
        <v>0</v>
      </c>
      <c r="CA912" s="5" t="e">
        <f t="shared" si="561"/>
        <v>#N/A</v>
      </c>
      <c r="CB912" s="5" t="e">
        <f t="shared" si="562"/>
        <v>#N/A</v>
      </c>
      <c r="CC912" s="5" t="e">
        <f t="shared" si="563"/>
        <v>#N/A</v>
      </c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R912" s="3" t="b">
        <f t="shared" si="543"/>
        <v>1</v>
      </c>
      <c r="CS912" s="3" t="b">
        <f t="shared" si="544"/>
        <v>1</v>
      </c>
      <c r="CT912" s="3" t="b">
        <f t="shared" si="545"/>
        <v>1</v>
      </c>
      <c r="CU912" s="3" t="b">
        <f t="shared" si="546"/>
        <v>1</v>
      </c>
      <c r="CV912" s="3" t="b">
        <f t="shared" si="547"/>
        <v>1</v>
      </c>
      <c r="CW912" s="3" t="b">
        <f t="shared" si="548"/>
        <v>1</v>
      </c>
      <c r="CX912" s="9" t="str">
        <f t="shared" si="549"/>
        <v>5202133</v>
      </c>
      <c r="CY912" s="9" t="str">
        <f t="shared" si="550"/>
        <v>5202133</v>
      </c>
      <c r="CZ912" s="9" t="str">
        <f t="shared" si="551"/>
        <v>5301133</v>
      </c>
      <c r="DA912" s="9" t="str">
        <f t="shared" si="552"/>
        <v>5601133</v>
      </c>
      <c r="DB912" s="9" t="str">
        <f t="shared" si="553"/>
        <v>5500133</v>
      </c>
      <c r="DC912" s="9" t="str">
        <f t="shared" si="554"/>
        <v>5500133</v>
      </c>
      <c r="DD912" s="9">
        <v>13</v>
      </c>
      <c r="DE912" s="9">
        <v>13</v>
      </c>
      <c r="DF912" s="9">
        <v>13</v>
      </c>
      <c r="DG912" s="9">
        <v>13</v>
      </c>
      <c r="DH912" s="9">
        <v>13</v>
      </c>
      <c r="DI912" s="9">
        <v>13</v>
      </c>
      <c r="DJ912" s="9">
        <v>5</v>
      </c>
      <c r="DK912" s="9">
        <v>5</v>
      </c>
      <c r="DL912" s="9">
        <v>5</v>
      </c>
      <c r="DM912" s="9">
        <v>5</v>
      </c>
      <c r="DN912" s="9">
        <v>5</v>
      </c>
      <c r="DO912" s="9">
        <v>5</v>
      </c>
      <c r="DP912" s="25" t="s">
        <v>208</v>
      </c>
      <c r="DQ912" s="25" t="s">
        <v>208</v>
      </c>
      <c r="DR912" s="25" t="s">
        <v>206</v>
      </c>
      <c r="DS912" s="25" t="s">
        <v>216</v>
      </c>
      <c r="DT912" s="26" t="s">
        <v>207</v>
      </c>
      <c r="DU912" s="26" t="s">
        <v>207</v>
      </c>
      <c r="DV912" s="25">
        <f t="shared" si="555"/>
        <v>1</v>
      </c>
      <c r="DW912" s="25">
        <f t="shared" si="556"/>
        <v>1</v>
      </c>
      <c r="DX912" s="25">
        <f t="shared" si="557"/>
        <v>1</v>
      </c>
      <c r="DY912" s="25">
        <f t="shared" si="558"/>
        <v>2</v>
      </c>
      <c r="DZ912" s="25">
        <f t="shared" si="559"/>
        <v>2</v>
      </c>
      <c r="EA912" s="25">
        <f t="shared" si="560"/>
        <v>2</v>
      </c>
      <c r="EB912" s="51"/>
    </row>
    <row r="913" spans="29:132" ht="13.5" customHeight="1">
      <c r="AC913" s="9" t="str">
        <f t="shared" si="537"/>
        <v/>
      </c>
      <c r="AD913" s="9" t="str">
        <f t="shared" si="538"/>
        <v/>
      </c>
      <c r="AE913" s="9" t="str">
        <f t="shared" si="539"/>
        <v/>
      </c>
      <c r="AF913" s="9" t="str">
        <f t="shared" si="540"/>
        <v/>
      </c>
      <c r="AG913" s="9" t="str">
        <f t="shared" si="541"/>
        <v/>
      </c>
      <c r="AH913" s="9" t="str">
        <f t="shared" si="542"/>
        <v/>
      </c>
      <c r="BR913" s="5">
        <v>5303085</v>
      </c>
      <c r="BS913" s="18">
        <f>[1]monsters!$N913</f>
        <v>0</v>
      </c>
      <c r="BT913" s="18">
        <f>[1]monsters!$O913</f>
        <v>0</v>
      </c>
      <c r="BU913" s="18">
        <f>[1]monsters!$P913</f>
        <v>0</v>
      </c>
      <c r="BV913" s="18">
        <f>[1]monsters!$Q913</f>
        <v>0</v>
      </c>
      <c r="BW913" s="18">
        <f>[1]monsters!$R913</f>
        <v>0</v>
      </c>
      <c r="BX913" s="18">
        <f>[1]monsters!$S913</f>
        <v>0</v>
      </c>
      <c r="BY913" s="18">
        <f>[1]monsters!$K913</f>
        <v>0</v>
      </c>
      <c r="BZ913" s="5">
        <f>[1]monsters!$D913</f>
        <v>0</v>
      </c>
      <c r="CA913" s="5" t="e">
        <f t="shared" si="561"/>
        <v>#N/A</v>
      </c>
      <c r="CB913" s="5" t="e">
        <f t="shared" si="562"/>
        <v>#N/A</v>
      </c>
      <c r="CC913" s="5" t="e">
        <f t="shared" si="563"/>
        <v>#N/A</v>
      </c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R913" s="3" t="b">
        <f t="shared" si="543"/>
        <v>1</v>
      </c>
      <c r="CS913" s="3" t="b">
        <f t="shared" si="544"/>
        <v>1</v>
      </c>
      <c r="CT913" s="3" t="b">
        <f t="shared" si="545"/>
        <v>1</v>
      </c>
      <c r="CU913" s="3" t="b">
        <f t="shared" si="546"/>
        <v>1</v>
      </c>
      <c r="CV913" s="3" t="b">
        <f t="shared" si="547"/>
        <v>1</v>
      </c>
      <c r="CW913" s="3" t="b">
        <f t="shared" si="548"/>
        <v>1</v>
      </c>
      <c r="CX913" s="9" t="str">
        <f t="shared" si="549"/>
        <v>5201133</v>
      </c>
      <c r="CY913" s="9" t="str">
        <f t="shared" si="550"/>
        <v>5202135</v>
      </c>
      <c r="CZ913" s="9" t="str">
        <f t="shared" si="551"/>
        <v>5200132</v>
      </c>
      <c r="DA913" s="9" t="str">
        <f t="shared" si="552"/>
        <v>5402133</v>
      </c>
      <c r="DB913" s="9" t="str">
        <f t="shared" si="553"/>
        <v>5502132</v>
      </c>
      <c r="DC913" s="9" t="str">
        <f t="shared" si="554"/>
        <v>5402133</v>
      </c>
      <c r="DD913" s="9">
        <v>13</v>
      </c>
      <c r="DE913" s="9">
        <v>13</v>
      </c>
      <c r="DF913" s="9">
        <v>13</v>
      </c>
      <c r="DG913" s="9">
        <v>13</v>
      </c>
      <c r="DH913" s="9">
        <v>13</v>
      </c>
      <c r="DI913" s="9">
        <v>13</v>
      </c>
      <c r="DJ913" s="9">
        <v>5</v>
      </c>
      <c r="DK913" s="9">
        <v>5</v>
      </c>
      <c r="DL913" s="9">
        <v>5</v>
      </c>
      <c r="DM913" s="9">
        <v>5</v>
      </c>
      <c r="DN913" s="9">
        <v>5</v>
      </c>
      <c r="DO913" s="9">
        <v>5</v>
      </c>
      <c r="DP913" s="25" t="s">
        <v>205</v>
      </c>
      <c r="DQ913" s="25" t="s">
        <v>213</v>
      </c>
      <c r="DR913" s="25" t="s">
        <v>199</v>
      </c>
      <c r="DS913" s="26" t="s">
        <v>118</v>
      </c>
      <c r="DT913" s="26" t="s">
        <v>204</v>
      </c>
      <c r="DU913" s="26" t="s">
        <v>118</v>
      </c>
      <c r="DV913" s="25">
        <f t="shared" si="555"/>
        <v>1</v>
      </c>
      <c r="DW913" s="25">
        <f t="shared" si="556"/>
        <v>1</v>
      </c>
      <c r="DX913" s="25">
        <f t="shared" si="557"/>
        <v>1</v>
      </c>
      <c r="DY913" s="25">
        <f t="shared" si="558"/>
        <v>2</v>
      </c>
      <c r="DZ913" s="25">
        <f t="shared" si="559"/>
        <v>2</v>
      </c>
      <c r="EA913" s="25">
        <f t="shared" si="560"/>
        <v>2</v>
      </c>
      <c r="EB913" s="50"/>
    </row>
    <row r="914" spans="29:132" ht="13.5" customHeight="1">
      <c r="AC914" s="9" t="str">
        <f t="shared" si="537"/>
        <v/>
      </c>
      <c r="AD914" s="9" t="str">
        <f t="shared" si="538"/>
        <v/>
      </c>
      <c r="AE914" s="9" t="str">
        <f t="shared" si="539"/>
        <v/>
      </c>
      <c r="AF914" s="9" t="str">
        <f t="shared" si="540"/>
        <v/>
      </c>
      <c r="AG914" s="9" t="str">
        <f t="shared" si="541"/>
        <v/>
      </c>
      <c r="AH914" s="9" t="str">
        <f t="shared" si="542"/>
        <v/>
      </c>
      <c r="BR914" s="5">
        <v>5304085</v>
      </c>
      <c r="BS914" s="18">
        <f>[1]monsters!$N914</f>
        <v>0</v>
      </c>
      <c r="BT914" s="18">
        <f>[1]monsters!$O914</f>
        <v>0</v>
      </c>
      <c r="BU914" s="18">
        <f>[1]monsters!$P914</f>
        <v>0</v>
      </c>
      <c r="BV914" s="18">
        <f>[1]monsters!$Q914</f>
        <v>0</v>
      </c>
      <c r="BW914" s="18">
        <f>[1]monsters!$R914</f>
        <v>0</v>
      </c>
      <c r="BX914" s="18">
        <f>[1]monsters!$S914</f>
        <v>0</v>
      </c>
      <c r="BY914" s="18">
        <f>[1]monsters!$K914</f>
        <v>0</v>
      </c>
      <c r="BZ914" s="5">
        <f>[1]monsters!$D914</f>
        <v>0</v>
      </c>
      <c r="CA914" s="5" t="e">
        <f t="shared" si="561"/>
        <v>#N/A</v>
      </c>
      <c r="CB914" s="5" t="e">
        <f t="shared" si="562"/>
        <v>#N/A</v>
      </c>
      <c r="CC914" s="5" t="e">
        <f t="shared" si="563"/>
        <v>#N/A</v>
      </c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R914" s="3" t="b">
        <f t="shared" si="543"/>
        <v>1</v>
      </c>
      <c r="CS914" s="3" t="b">
        <f t="shared" si="544"/>
        <v>1</v>
      </c>
      <c r="CT914" s="3" t="b">
        <f t="shared" si="545"/>
        <v>1</v>
      </c>
      <c r="CU914" s="3" t="b">
        <f t="shared" si="546"/>
        <v>1</v>
      </c>
      <c r="CV914" s="3" t="b">
        <f t="shared" si="547"/>
        <v>1</v>
      </c>
      <c r="CW914" s="3" t="b">
        <f t="shared" si="548"/>
        <v>1</v>
      </c>
      <c r="CX914" s="9" t="str">
        <f t="shared" si="549"/>
        <v>5300135</v>
      </c>
      <c r="CY914" s="9" t="str">
        <f t="shared" si="550"/>
        <v>5202135</v>
      </c>
      <c r="CZ914" s="9" t="str">
        <f t="shared" si="551"/>
        <v>5202135</v>
      </c>
      <c r="DA914" s="9" t="str">
        <f t="shared" si="552"/>
        <v>5502132</v>
      </c>
      <c r="DB914" s="9" t="str">
        <f t="shared" si="553"/>
        <v>5500132</v>
      </c>
      <c r="DC914" s="9" t="str">
        <f t="shared" si="554"/>
        <v>5502133</v>
      </c>
      <c r="DD914" s="9">
        <v>13</v>
      </c>
      <c r="DE914" s="9">
        <v>13</v>
      </c>
      <c r="DF914" s="9">
        <v>13</v>
      </c>
      <c r="DG914" s="9">
        <v>13</v>
      </c>
      <c r="DH914" s="9">
        <v>13</v>
      </c>
      <c r="DI914" s="9">
        <v>13</v>
      </c>
      <c r="DJ914" s="9">
        <v>5</v>
      </c>
      <c r="DK914" s="9">
        <v>5</v>
      </c>
      <c r="DL914" s="9">
        <v>5</v>
      </c>
      <c r="DM914" s="9">
        <v>5</v>
      </c>
      <c r="DN914" s="9">
        <v>5</v>
      </c>
      <c r="DO914" s="9">
        <v>5</v>
      </c>
      <c r="DP914" s="25" t="s">
        <v>212</v>
      </c>
      <c r="DQ914" s="25" t="s">
        <v>213</v>
      </c>
      <c r="DR914" s="25" t="s">
        <v>213</v>
      </c>
      <c r="DS914" s="26" t="s">
        <v>204</v>
      </c>
      <c r="DT914" s="26" t="s">
        <v>109</v>
      </c>
      <c r="DU914" s="26" t="s">
        <v>215</v>
      </c>
      <c r="DV914" s="25">
        <f t="shared" si="555"/>
        <v>1</v>
      </c>
      <c r="DW914" s="25">
        <f t="shared" si="556"/>
        <v>1</v>
      </c>
      <c r="DX914" s="25">
        <f t="shared" si="557"/>
        <v>1</v>
      </c>
      <c r="DY914" s="25">
        <f t="shared" si="558"/>
        <v>2</v>
      </c>
      <c r="DZ914" s="25">
        <f t="shared" si="559"/>
        <v>2</v>
      </c>
      <c r="EA914" s="25">
        <f t="shared" si="560"/>
        <v>2</v>
      </c>
      <c r="EB914" s="50"/>
    </row>
    <row r="915" spans="29:132" ht="13.5" customHeight="1">
      <c r="AC915" s="9" t="str">
        <f t="shared" si="537"/>
        <v/>
      </c>
      <c r="AD915" s="9" t="str">
        <f t="shared" si="538"/>
        <v/>
      </c>
      <c r="AE915" s="9" t="str">
        <f t="shared" si="539"/>
        <v/>
      </c>
      <c r="AF915" s="9" t="str">
        <f t="shared" si="540"/>
        <v/>
      </c>
      <c r="AG915" s="9" t="str">
        <f t="shared" si="541"/>
        <v/>
      </c>
      <c r="AH915" s="9" t="str">
        <f t="shared" si="542"/>
        <v/>
      </c>
      <c r="BR915" s="5">
        <v>5503085</v>
      </c>
      <c r="BS915" s="18">
        <f>[1]monsters!$N915</f>
        <v>0</v>
      </c>
      <c r="BT915" s="18">
        <f>[1]monsters!$O915</f>
        <v>0</v>
      </c>
      <c r="BU915" s="18">
        <f>[1]monsters!$P915</f>
        <v>0</v>
      </c>
      <c r="BV915" s="18">
        <f>[1]monsters!$Q915</f>
        <v>0</v>
      </c>
      <c r="BW915" s="18">
        <f>[1]monsters!$R915</f>
        <v>0</v>
      </c>
      <c r="BX915" s="18">
        <f>[1]monsters!$S915</f>
        <v>0</v>
      </c>
      <c r="BY915" s="18">
        <f>[1]monsters!$K915</f>
        <v>0</v>
      </c>
      <c r="BZ915" s="5">
        <f>[1]monsters!$D915</f>
        <v>0</v>
      </c>
      <c r="CA915" s="5" t="e">
        <f t="shared" si="561"/>
        <v>#N/A</v>
      </c>
      <c r="CB915" s="5" t="e">
        <f t="shared" si="562"/>
        <v>#N/A</v>
      </c>
      <c r="CC915" s="5" t="e">
        <f t="shared" si="563"/>
        <v>#N/A</v>
      </c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R915" s="3" t="b">
        <f t="shared" si="543"/>
        <v>1</v>
      </c>
      <c r="CS915" s="3" t="b">
        <f t="shared" si="544"/>
        <v>1</v>
      </c>
      <c r="CT915" s="3" t="b">
        <f t="shared" si="545"/>
        <v>1</v>
      </c>
      <c r="CU915" s="3" t="b">
        <f t="shared" si="546"/>
        <v>1</v>
      </c>
      <c r="CV915" s="3" t="b">
        <f t="shared" si="547"/>
        <v>1</v>
      </c>
      <c r="CW915" s="3" t="b">
        <f t="shared" si="548"/>
        <v>1</v>
      </c>
      <c r="CX915" s="9" t="str">
        <f t="shared" si="549"/>
        <v>5200132</v>
      </c>
      <c r="CY915" s="9" t="str">
        <f t="shared" si="550"/>
        <v>5200133</v>
      </c>
      <c r="CZ915" s="9" t="str">
        <f t="shared" si="551"/>
        <v>5200132</v>
      </c>
      <c r="DA915" s="9" t="str">
        <f t="shared" si="552"/>
        <v>5401131</v>
      </c>
      <c r="DB915" s="9" t="str">
        <f t="shared" si="553"/>
        <v>5501135</v>
      </c>
      <c r="DC915" s="9" t="str">
        <f t="shared" si="554"/>
        <v>5400135</v>
      </c>
      <c r="DD915" s="9">
        <v>13</v>
      </c>
      <c r="DE915" s="9">
        <v>13</v>
      </c>
      <c r="DF915" s="9">
        <v>13</v>
      </c>
      <c r="DG915" s="9">
        <v>13</v>
      </c>
      <c r="DH915" s="9">
        <v>13</v>
      </c>
      <c r="DI915" s="9">
        <v>13</v>
      </c>
      <c r="DJ915" s="9">
        <v>5</v>
      </c>
      <c r="DK915" s="9">
        <v>5</v>
      </c>
      <c r="DL915" s="9">
        <v>5</v>
      </c>
      <c r="DM915" s="9">
        <v>5</v>
      </c>
      <c r="DN915" s="9">
        <v>5</v>
      </c>
      <c r="DO915" s="9">
        <v>5</v>
      </c>
      <c r="DP915" s="25" t="s">
        <v>199</v>
      </c>
      <c r="DQ915" s="25" t="s">
        <v>113</v>
      </c>
      <c r="DR915" s="25" t="s">
        <v>199</v>
      </c>
      <c r="DS915" s="26" t="s">
        <v>117</v>
      </c>
      <c r="DT915" s="26" t="s">
        <v>209</v>
      </c>
      <c r="DU915" s="26" t="s">
        <v>210</v>
      </c>
      <c r="DV915" s="25">
        <f t="shared" si="555"/>
        <v>1</v>
      </c>
      <c r="DW915" s="25">
        <f t="shared" si="556"/>
        <v>1</v>
      </c>
      <c r="DX915" s="25">
        <f t="shared" si="557"/>
        <v>1</v>
      </c>
      <c r="DY915" s="25">
        <f t="shared" si="558"/>
        <v>2</v>
      </c>
      <c r="DZ915" s="25">
        <f t="shared" si="559"/>
        <v>2</v>
      </c>
      <c r="EA915" s="25">
        <f t="shared" si="560"/>
        <v>2</v>
      </c>
      <c r="EB915" s="51"/>
    </row>
    <row r="916" spans="29:132" ht="13.5" customHeight="1">
      <c r="AC916" s="9" t="str">
        <f t="shared" si="537"/>
        <v/>
      </c>
      <c r="AD916" s="9" t="str">
        <f t="shared" si="538"/>
        <v/>
      </c>
      <c r="AE916" s="9" t="str">
        <f t="shared" si="539"/>
        <v/>
      </c>
      <c r="AF916" s="9" t="str">
        <f t="shared" si="540"/>
        <v/>
      </c>
      <c r="AG916" s="9" t="str">
        <f t="shared" si="541"/>
        <v/>
      </c>
      <c r="AH916" s="9" t="str">
        <f t="shared" si="542"/>
        <v/>
      </c>
      <c r="BR916" s="5">
        <v>5504085</v>
      </c>
      <c r="BS916" s="18">
        <f>[1]monsters!$N916</f>
        <v>0</v>
      </c>
      <c r="BT916" s="18">
        <f>[1]monsters!$O916</f>
        <v>0</v>
      </c>
      <c r="BU916" s="18">
        <f>[1]monsters!$P916</f>
        <v>0</v>
      </c>
      <c r="BV916" s="18">
        <f>[1]monsters!$Q916</f>
        <v>0</v>
      </c>
      <c r="BW916" s="18">
        <f>[1]monsters!$R916</f>
        <v>0</v>
      </c>
      <c r="BX916" s="18">
        <f>[1]monsters!$S916</f>
        <v>0</v>
      </c>
      <c r="BY916" s="18">
        <f>[1]monsters!$K916</f>
        <v>0</v>
      </c>
      <c r="BZ916" s="5">
        <f>[1]monsters!$D916</f>
        <v>0</v>
      </c>
      <c r="CA916" s="5" t="e">
        <f t="shared" si="561"/>
        <v>#N/A</v>
      </c>
      <c r="CB916" s="5" t="e">
        <f t="shared" si="562"/>
        <v>#N/A</v>
      </c>
      <c r="CC916" s="5" t="e">
        <f t="shared" si="563"/>
        <v>#N/A</v>
      </c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R916" s="3" t="b">
        <f t="shared" si="543"/>
        <v>1</v>
      </c>
      <c r="CS916" s="3" t="b">
        <f t="shared" si="544"/>
        <v>1</v>
      </c>
      <c r="CT916" s="3" t="b">
        <f t="shared" si="545"/>
        <v>1</v>
      </c>
      <c r="CU916" s="3" t="b">
        <f t="shared" si="546"/>
        <v>1</v>
      </c>
      <c r="CV916" s="3" t="b">
        <f t="shared" si="547"/>
        <v>1</v>
      </c>
      <c r="CW916" s="3" t="b">
        <f t="shared" si="548"/>
        <v>1</v>
      </c>
      <c r="CX916" s="9" t="str">
        <f t="shared" si="549"/>
        <v>5202131</v>
      </c>
      <c r="CY916" s="9" t="str">
        <f t="shared" si="550"/>
        <v>5202132</v>
      </c>
      <c r="CZ916" s="9" t="str">
        <f t="shared" si="551"/>
        <v>5301132</v>
      </c>
      <c r="DA916" s="9" t="str">
        <f t="shared" si="552"/>
        <v>5502131</v>
      </c>
      <c r="DB916" s="9" t="str">
        <f t="shared" si="553"/>
        <v>5500131</v>
      </c>
      <c r="DC916" s="9" t="str">
        <f t="shared" si="554"/>
        <v>5502131</v>
      </c>
      <c r="DD916" s="9">
        <v>13</v>
      </c>
      <c r="DE916" s="9">
        <v>13</v>
      </c>
      <c r="DF916" s="9">
        <v>13</v>
      </c>
      <c r="DG916" s="9">
        <v>13</v>
      </c>
      <c r="DH916" s="9">
        <v>13</v>
      </c>
      <c r="DI916" s="9">
        <v>13</v>
      </c>
      <c r="DJ916" s="9">
        <v>5</v>
      </c>
      <c r="DK916" s="9">
        <v>5</v>
      </c>
      <c r="DL916" s="9">
        <v>5</v>
      </c>
      <c r="DM916" s="9">
        <v>5</v>
      </c>
      <c r="DN916" s="9">
        <v>5</v>
      </c>
      <c r="DO916" s="9">
        <v>5</v>
      </c>
      <c r="DP916" s="25" t="s">
        <v>111</v>
      </c>
      <c r="DQ916" s="25" t="s">
        <v>200</v>
      </c>
      <c r="DR916" s="25" t="s">
        <v>201</v>
      </c>
      <c r="DS916" s="26" t="s">
        <v>119</v>
      </c>
      <c r="DT916" s="26" t="s">
        <v>197</v>
      </c>
      <c r="DU916" s="26" t="s">
        <v>119</v>
      </c>
      <c r="DV916" s="25">
        <f t="shared" si="555"/>
        <v>1</v>
      </c>
      <c r="DW916" s="25">
        <f t="shared" si="556"/>
        <v>1</v>
      </c>
      <c r="DX916" s="25">
        <f t="shared" si="557"/>
        <v>1</v>
      </c>
      <c r="DY916" s="25">
        <f t="shared" si="558"/>
        <v>2</v>
      </c>
      <c r="DZ916" s="25">
        <f t="shared" si="559"/>
        <v>2</v>
      </c>
      <c r="EA916" s="25">
        <f t="shared" si="560"/>
        <v>2</v>
      </c>
      <c r="EB916" s="50"/>
    </row>
    <row r="917" spans="29:132" ht="13.5" customHeight="1">
      <c r="AC917" s="9" t="str">
        <f t="shared" si="537"/>
        <v/>
      </c>
      <c r="AD917" s="9" t="str">
        <f t="shared" si="538"/>
        <v/>
      </c>
      <c r="AE917" s="9" t="str">
        <f t="shared" si="539"/>
        <v/>
      </c>
      <c r="AF917" s="9" t="str">
        <f t="shared" si="540"/>
        <v/>
      </c>
      <c r="AG917" s="9" t="str">
        <f t="shared" si="541"/>
        <v/>
      </c>
      <c r="AH917" s="9" t="str">
        <f t="shared" si="542"/>
        <v/>
      </c>
      <c r="BR917" s="5">
        <v>5101085</v>
      </c>
      <c r="BS917" s="18">
        <f>[1]monsters!$N917</f>
        <v>0</v>
      </c>
      <c r="BT917" s="18">
        <f>[1]monsters!$O917</f>
        <v>0</v>
      </c>
      <c r="BU917" s="18">
        <f>[1]monsters!$P917</f>
        <v>0</v>
      </c>
      <c r="BV917" s="18">
        <f>[1]monsters!$Q917</f>
        <v>0</v>
      </c>
      <c r="BW917" s="18">
        <f>[1]monsters!$R917</f>
        <v>0</v>
      </c>
      <c r="BX917" s="18">
        <f>[1]monsters!$S917</f>
        <v>0</v>
      </c>
      <c r="BY917" s="18">
        <f>[1]monsters!$K917</f>
        <v>0</v>
      </c>
      <c r="BZ917" s="5">
        <f>[1]monsters!$D917</f>
        <v>0</v>
      </c>
      <c r="CA917" s="5" t="e">
        <f t="shared" si="561"/>
        <v>#N/A</v>
      </c>
      <c r="CB917" s="5" t="e">
        <f t="shared" si="562"/>
        <v>#N/A</v>
      </c>
      <c r="CC917" s="5" t="e">
        <f t="shared" si="563"/>
        <v>#N/A</v>
      </c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R917" s="3" t="b">
        <f t="shared" si="543"/>
        <v>1</v>
      </c>
      <c r="CS917" s="3" t="b">
        <f t="shared" si="544"/>
        <v>1</v>
      </c>
      <c r="CT917" s="3" t="b">
        <f t="shared" si="545"/>
        <v>1</v>
      </c>
      <c r="CU917" s="3" t="b">
        <f t="shared" si="546"/>
        <v>1</v>
      </c>
      <c r="CV917" s="3" t="b">
        <f t="shared" si="547"/>
        <v>1</v>
      </c>
      <c r="CW917" s="3" t="b">
        <f t="shared" si="548"/>
        <v>1</v>
      </c>
      <c r="CX917" s="9" t="str">
        <f t="shared" si="549"/>
        <v>5201131</v>
      </c>
      <c r="CY917" s="9" t="str">
        <f t="shared" si="550"/>
        <v>5201131</v>
      </c>
      <c r="CZ917" s="9" t="str">
        <f t="shared" si="551"/>
        <v>5201131</v>
      </c>
      <c r="DA917" s="9" t="str">
        <f t="shared" si="552"/>
        <v>5401131</v>
      </c>
      <c r="DB917" s="9" t="str">
        <f t="shared" si="553"/>
        <v>5401131</v>
      </c>
      <c r="DC917" s="9" t="str">
        <f t="shared" si="554"/>
        <v>5401131</v>
      </c>
      <c r="DD917" s="9">
        <v>13</v>
      </c>
      <c r="DE917" s="9">
        <v>13</v>
      </c>
      <c r="DF917" s="9">
        <v>13</v>
      </c>
      <c r="DG917" s="9">
        <v>13</v>
      </c>
      <c r="DH917" s="9">
        <v>13</v>
      </c>
      <c r="DI917" s="9">
        <v>13</v>
      </c>
      <c r="DJ917" s="9">
        <v>5</v>
      </c>
      <c r="DK917" s="9">
        <v>5</v>
      </c>
      <c r="DL917" s="9">
        <v>5</v>
      </c>
      <c r="DM917" s="9">
        <v>5</v>
      </c>
      <c r="DN917" s="9">
        <v>5</v>
      </c>
      <c r="DO917" s="9">
        <v>5</v>
      </c>
      <c r="DP917" s="25" t="s">
        <v>195</v>
      </c>
      <c r="DQ917" s="25" t="s">
        <v>195</v>
      </c>
      <c r="DR917" s="25" t="s">
        <v>195</v>
      </c>
      <c r="DS917" s="27" t="s">
        <v>117</v>
      </c>
      <c r="DT917" s="27" t="s">
        <v>117</v>
      </c>
      <c r="DU917" s="27" t="s">
        <v>117</v>
      </c>
      <c r="DV917" s="25">
        <f t="shared" si="555"/>
        <v>1</v>
      </c>
      <c r="DW917" s="25">
        <f t="shared" si="556"/>
        <v>1</v>
      </c>
      <c r="DX917" s="25">
        <f t="shared" si="557"/>
        <v>1</v>
      </c>
      <c r="DY917" s="25">
        <f t="shared" si="558"/>
        <v>2</v>
      </c>
      <c r="DZ917" s="25">
        <f t="shared" si="559"/>
        <v>2</v>
      </c>
      <c r="EA917" s="25">
        <f t="shared" si="560"/>
        <v>2</v>
      </c>
      <c r="EB917" s="50"/>
    </row>
    <row r="918" spans="29:132" ht="13.5" customHeight="1">
      <c r="AC918" s="9" t="str">
        <f t="shared" si="537"/>
        <v/>
      </c>
      <c r="AD918" s="9" t="str">
        <f t="shared" si="538"/>
        <v/>
      </c>
      <c r="AE918" s="9" t="str">
        <f t="shared" si="539"/>
        <v/>
      </c>
      <c r="AF918" s="9" t="str">
        <f t="shared" si="540"/>
        <v/>
      </c>
      <c r="AG918" s="9" t="str">
        <f t="shared" si="541"/>
        <v/>
      </c>
      <c r="AH918" s="9" t="str">
        <f t="shared" si="542"/>
        <v/>
      </c>
      <c r="BR918" s="5">
        <v>5102085</v>
      </c>
      <c r="BS918" s="18">
        <f>[1]monsters!$N918</f>
        <v>0</v>
      </c>
      <c r="BT918" s="18">
        <f>[1]monsters!$O918</f>
        <v>0</v>
      </c>
      <c r="BU918" s="18">
        <f>[1]monsters!$P918</f>
        <v>0</v>
      </c>
      <c r="BV918" s="18">
        <f>[1]monsters!$Q918</f>
        <v>0</v>
      </c>
      <c r="BW918" s="18">
        <f>[1]monsters!$R918</f>
        <v>0</v>
      </c>
      <c r="BX918" s="18">
        <f>[1]monsters!$S918</f>
        <v>0</v>
      </c>
      <c r="BY918" s="18">
        <f>[1]monsters!$K918</f>
        <v>0</v>
      </c>
      <c r="BZ918" s="5">
        <f>[1]monsters!$D918</f>
        <v>0</v>
      </c>
      <c r="CA918" s="5" t="e">
        <f t="shared" si="561"/>
        <v>#N/A</v>
      </c>
      <c r="CB918" s="5" t="e">
        <f t="shared" si="562"/>
        <v>#N/A</v>
      </c>
      <c r="CC918" s="5" t="e">
        <f t="shared" si="563"/>
        <v>#N/A</v>
      </c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R918" s="3" t="b">
        <f t="shared" si="543"/>
        <v>1</v>
      </c>
      <c r="CS918" s="3" t="b">
        <f t="shared" si="544"/>
        <v>1</v>
      </c>
      <c r="CT918" s="3" t="b">
        <f t="shared" si="545"/>
        <v>1</v>
      </c>
      <c r="CU918" s="3" t="b">
        <f t="shared" si="546"/>
        <v>1</v>
      </c>
      <c r="CV918" s="3" t="b">
        <f t="shared" si="547"/>
        <v>1</v>
      </c>
      <c r="CW918" s="3" t="b">
        <f t="shared" si="548"/>
        <v>1</v>
      </c>
      <c r="CX918" s="9" t="str">
        <f t="shared" si="549"/>
        <v>5201132</v>
      </c>
      <c r="CY918" s="9" t="str">
        <f t="shared" si="550"/>
        <v>5201132</v>
      </c>
      <c r="CZ918" s="9" t="str">
        <f t="shared" si="551"/>
        <v>5200132</v>
      </c>
      <c r="DA918" s="9" t="str">
        <f t="shared" si="552"/>
        <v>5402132</v>
      </c>
      <c r="DB918" s="9" t="str">
        <f t="shared" si="553"/>
        <v>5601132</v>
      </c>
      <c r="DC918" s="9" t="str">
        <f t="shared" si="554"/>
        <v>5402132</v>
      </c>
      <c r="DD918" s="9">
        <v>13</v>
      </c>
      <c r="DE918" s="9">
        <v>13</v>
      </c>
      <c r="DF918" s="9">
        <v>13</v>
      </c>
      <c r="DG918" s="9">
        <v>13</v>
      </c>
      <c r="DH918" s="9">
        <v>13</v>
      </c>
      <c r="DI918" s="9">
        <v>13</v>
      </c>
      <c r="DJ918" s="9">
        <v>5</v>
      </c>
      <c r="DK918" s="9">
        <v>5</v>
      </c>
      <c r="DL918" s="9">
        <v>5</v>
      </c>
      <c r="DM918" s="9">
        <v>5</v>
      </c>
      <c r="DN918" s="9">
        <v>5</v>
      </c>
      <c r="DO918" s="9">
        <v>5</v>
      </c>
      <c r="DP918" s="25" t="s">
        <v>114</v>
      </c>
      <c r="DQ918" s="25" t="s">
        <v>114</v>
      </c>
      <c r="DR918" s="26" t="s">
        <v>199</v>
      </c>
      <c r="DS918" s="26" t="s">
        <v>203</v>
      </c>
      <c r="DT918" s="25" t="s">
        <v>124</v>
      </c>
      <c r="DU918" s="25" t="s">
        <v>203</v>
      </c>
      <c r="DV918" s="25">
        <f t="shared" si="555"/>
        <v>1</v>
      </c>
      <c r="DW918" s="25">
        <f t="shared" si="556"/>
        <v>1</v>
      </c>
      <c r="DX918" s="25">
        <f t="shared" si="557"/>
        <v>1</v>
      </c>
      <c r="DY918" s="25">
        <f t="shared" si="558"/>
        <v>2</v>
      </c>
      <c r="DZ918" s="25">
        <f t="shared" si="559"/>
        <v>2</v>
      </c>
      <c r="EA918" s="25">
        <f t="shared" si="560"/>
        <v>2</v>
      </c>
      <c r="EB918" s="50"/>
    </row>
    <row r="919" spans="29:132" ht="13.5" customHeight="1">
      <c r="AC919" s="9" t="str">
        <f t="shared" si="537"/>
        <v/>
      </c>
      <c r="AD919" s="9" t="str">
        <f t="shared" si="538"/>
        <v/>
      </c>
      <c r="AE919" s="9" t="str">
        <f t="shared" si="539"/>
        <v/>
      </c>
      <c r="AF919" s="9" t="str">
        <f t="shared" si="540"/>
        <v/>
      </c>
      <c r="AG919" s="9" t="str">
        <f t="shared" si="541"/>
        <v/>
      </c>
      <c r="AH919" s="9" t="str">
        <f t="shared" si="542"/>
        <v/>
      </c>
      <c r="BR919" s="5">
        <v>5206091</v>
      </c>
      <c r="BS919" s="18">
        <f>[1]monsters!$N919</f>
        <v>0</v>
      </c>
      <c r="BT919" s="18">
        <f>[1]monsters!$O919</f>
        <v>0</v>
      </c>
      <c r="BU919" s="18">
        <f>[1]monsters!$P919</f>
        <v>0</v>
      </c>
      <c r="BV919" s="18">
        <f>[1]monsters!$Q919</f>
        <v>0</v>
      </c>
      <c r="BW919" s="18">
        <f>[1]monsters!$R919</f>
        <v>0</v>
      </c>
      <c r="BX919" s="18">
        <f>[1]monsters!$S919</f>
        <v>0</v>
      </c>
      <c r="BY919" s="18">
        <f>[1]monsters!$K919</f>
        <v>0</v>
      </c>
      <c r="BZ919" s="5">
        <f>[1]monsters!$D919</f>
        <v>0</v>
      </c>
      <c r="CA919" s="5" t="e">
        <f t="shared" si="561"/>
        <v>#N/A</v>
      </c>
      <c r="CB919" s="5" t="e">
        <f t="shared" si="562"/>
        <v>#N/A</v>
      </c>
      <c r="CC919" s="5" t="e">
        <f t="shared" si="563"/>
        <v>#N/A</v>
      </c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R919" s="3" t="b">
        <f t="shared" si="543"/>
        <v>1</v>
      </c>
      <c r="CS919" s="3" t="b">
        <f t="shared" si="544"/>
        <v>1</v>
      </c>
      <c r="CT919" s="3" t="b">
        <f t="shared" si="545"/>
        <v>1</v>
      </c>
      <c r="CU919" s="3" t="b">
        <f t="shared" si="546"/>
        <v>1</v>
      </c>
      <c r="CV919" s="3" t="b">
        <f t="shared" si="547"/>
        <v>1</v>
      </c>
      <c r="CW919" s="3" t="b">
        <f t="shared" si="548"/>
        <v>1</v>
      </c>
      <c r="CX919" s="9" t="str">
        <f t="shared" si="549"/>
        <v>5200132</v>
      </c>
      <c r="CY919" s="9" t="str">
        <f t="shared" si="550"/>
        <v>5200133</v>
      </c>
      <c r="CZ919" s="9" t="str">
        <f t="shared" si="551"/>
        <v>5200132</v>
      </c>
      <c r="DA919" s="9" t="str">
        <f t="shared" si="552"/>
        <v>5502132</v>
      </c>
      <c r="DB919" s="9" t="str">
        <f t="shared" si="553"/>
        <v>5500132</v>
      </c>
      <c r="DC919" s="9" t="str">
        <f t="shared" si="554"/>
        <v>5502133</v>
      </c>
      <c r="DD919" s="9">
        <v>13</v>
      </c>
      <c r="DE919" s="9">
        <v>13</v>
      </c>
      <c r="DF919" s="9">
        <v>13</v>
      </c>
      <c r="DG919" s="9">
        <v>13</v>
      </c>
      <c r="DH919" s="9">
        <v>13</v>
      </c>
      <c r="DI919" s="9">
        <v>13</v>
      </c>
      <c r="DJ919" s="9">
        <v>5</v>
      </c>
      <c r="DK919" s="9">
        <v>5</v>
      </c>
      <c r="DL919" s="9">
        <v>5</v>
      </c>
      <c r="DM919" s="9">
        <v>5</v>
      </c>
      <c r="DN919" s="9">
        <v>5</v>
      </c>
      <c r="DO919" s="9">
        <v>5</v>
      </c>
      <c r="DP919" s="25" t="s">
        <v>199</v>
      </c>
      <c r="DQ919" s="25" t="s">
        <v>113</v>
      </c>
      <c r="DR919" s="25" t="s">
        <v>199</v>
      </c>
      <c r="DS919" s="28" t="s">
        <v>204</v>
      </c>
      <c r="DT919" s="28" t="s">
        <v>109</v>
      </c>
      <c r="DU919" s="28" t="s">
        <v>215</v>
      </c>
      <c r="DV919" s="25">
        <f t="shared" si="555"/>
        <v>1</v>
      </c>
      <c r="DW919" s="25">
        <f t="shared" si="556"/>
        <v>1</v>
      </c>
      <c r="DX919" s="25">
        <f t="shared" si="557"/>
        <v>1</v>
      </c>
      <c r="DY919" s="25">
        <f t="shared" si="558"/>
        <v>2</v>
      </c>
      <c r="DZ919" s="25">
        <f t="shared" si="559"/>
        <v>2</v>
      </c>
      <c r="EA919" s="25">
        <f t="shared" si="560"/>
        <v>2</v>
      </c>
    </row>
    <row r="920" spans="29:132" ht="13.5" customHeight="1">
      <c r="AC920" s="9" t="str">
        <f t="shared" si="537"/>
        <v/>
      </c>
      <c r="AD920" s="9" t="str">
        <f t="shared" si="538"/>
        <v/>
      </c>
      <c r="AE920" s="9" t="str">
        <f t="shared" si="539"/>
        <v/>
      </c>
      <c r="AF920" s="9" t="str">
        <f t="shared" si="540"/>
        <v/>
      </c>
      <c r="AG920" s="9" t="str">
        <f t="shared" si="541"/>
        <v/>
      </c>
      <c r="AH920" s="9" t="str">
        <f t="shared" si="542"/>
        <v/>
      </c>
      <c r="BR920" s="5">
        <v>5406091</v>
      </c>
      <c r="BS920" s="18">
        <f>[1]monsters!$N920</f>
        <v>0</v>
      </c>
      <c r="BT920" s="18">
        <f>[1]monsters!$O920</f>
        <v>0</v>
      </c>
      <c r="BU920" s="18">
        <f>[1]monsters!$P920</f>
        <v>0</v>
      </c>
      <c r="BV920" s="18">
        <f>[1]monsters!$Q920</f>
        <v>0</v>
      </c>
      <c r="BW920" s="18">
        <f>[1]monsters!$R920</f>
        <v>0</v>
      </c>
      <c r="BX920" s="18">
        <f>[1]monsters!$S920</f>
        <v>0</v>
      </c>
      <c r="BY920" s="18">
        <f>[1]monsters!$K920</f>
        <v>0</v>
      </c>
      <c r="BZ920" s="5">
        <f>[1]monsters!$D920</f>
        <v>0</v>
      </c>
      <c r="CA920" s="5" t="e">
        <f t="shared" si="561"/>
        <v>#N/A</v>
      </c>
      <c r="CB920" s="5" t="e">
        <f t="shared" si="562"/>
        <v>#N/A</v>
      </c>
      <c r="CC920" s="5" t="e">
        <f t="shared" si="563"/>
        <v>#N/A</v>
      </c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R920" s="3" t="b">
        <f t="shared" si="543"/>
        <v>1</v>
      </c>
      <c r="CS920" s="3" t="b">
        <f t="shared" si="544"/>
        <v>1</v>
      </c>
      <c r="CT920" s="3" t="b">
        <f t="shared" si="545"/>
        <v>1</v>
      </c>
      <c r="CU920" s="3" t="b">
        <f t="shared" si="546"/>
        <v>1</v>
      </c>
      <c r="CV920" s="3" t="b">
        <f t="shared" si="547"/>
        <v>1</v>
      </c>
      <c r="CW920" s="3" t="b">
        <f t="shared" si="548"/>
        <v>1</v>
      </c>
      <c r="CX920" s="9" t="str">
        <f t="shared" si="549"/>
        <v>5202133</v>
      </c>
      <c r="CY920" s="9" t="str">
        <f t="shared" si="550"/>
        <v>5202132</v>
      </c>
      <c r="CZ920" s="9" t="str">
        <f t="shared" si="551"/>
        <v>5202133</v>
      </c>
      <c r="DA920" s="9" t="str">
        <f t="shared" si="552"/>
        <v>5401133</v>
      </c>
      <c r="DB920" s="9" t="str">
        <f t="shared" si="553"/>
        <v>5400135</v>
      </c>
      <c r="DC920" s="9" t="str">
        <f t="shared" si="554"/>
        <v>5400135</v>
      </c>
      <c r="DD920" s="9">
        <v>13</v>
      </c>
      <c r="DE920" s="9">
        <v>13</v>
      </c>
      <c r="DF920" s="9">
        <v>13</v>
      </c>
      <c r="DG920" s="9">
        <v>13</v>
      </c>
      <c r="DH920" s="9">
        <v>13</v>
      </c>
      <c r="DI920" s="9">
        <v>13</v>
      </c>
      <c r="DJ920" s="9">
        <v>5</v>
      </c>
      <c r="DK920" s="9">
        <v>5</v>
      </c>
      <c r="DL920" s="9">
        <v>5</v>
      </c>
      <c r="DM920" s="9">
        <v>5</v>
      </c>
      <c r="DN920" s="9">
        <v>5</v>
      </c>
      <c r="DO920" s="9">
        <v>5</v>
      </c>
      <c r="DP920" s="25" t="s">
        <v>208</v>
      </c>
      <c r="DQ920" s="25" t="s">
        <v>200</v>
      </c>
      <c r="DR920" s="26" t="s">
        <v>208</v>
      </c>
      <c r="DS920" s="26" t="s">
        <v>211</v>
      </c>
      <c r="DT920" s="25" t="s">
        <v>210</v>
      </c>
      <c r="DU920" s="25" t="s">
        <v>210</v>
      </c>
      <c r="DV920" s="25">
        <f t="shared" si="555"/>
        <v>1</v>
      </c>
      <c r="DW920" s="25">
        <f t="shared" si="556"/>
        <v>1</v>
      </c>
      <c r="DX920" s="25">
        <f t="shared" si="557"/>
        <v>1</v>
      </c>
      <c r="DY920" s="25">
        <f t="shared" si="558"/>
        <v>2</v>
      </c>
      <c r="DZ920" s="25">
        <f t="shared" si="559"/>
        <v>2</v>
      </c>
      <c r="EA920" s="25">
        <f t="shared" si="560"/>
        <v>2</v>
      </c>
    </row>
    <row r="921" spans="29:132" ht="13.5" customHeight="1">
      <c r="AC921" s="9" t="str">
        <f t="shared" si="537"/>
        <v/>
      </c>
      <c r="AD921" s="9" t="str">
        <f t="shared" si="538"/>
        <v/>
      </c>
      <c r="AE921" s="9" t="str">
        <f t="shared" si="539"/>
        <v/>
      </c>
      <c r="AF921" s="9" t="str">
        <f t="shared" si="540"/>
        <v/>
      </c>
      <c r="AG921" s="9" t="str">
        <f t="shared" si="541"/>
        <v/>
      </c>
      <c r="AH921" s="9" t="str">
        <f t="shared" si="542"/>
        <v/>
      </c>
      <c r="BR921" s="5">
        <v>5205091</v>
      </c>
      <c r="BS921" s="18">
        <f>[1]monsters!$N921</f>
        <v>0</v>
      </c>
      <c r="BT921" s="18">
        <f>[1]monsters!$O921</f>
        <v>0</v>
      </c>
      <c r="BU921" s="18">
        <f>[1]monsters!$P921</f>
        <v>0</v>
      </c>
      <c r="BV921" s="18">
        <f>[1]monsters!$Q921</f>
        <v>0</v>
      </c>
      <c r="BW921" s="18">
        <f>[1]monsters!$R921</f>
        <v>0</v>
      </c>
      <c r="BX921" s="18">
        <f>[1]monsters!$S921</f>
        <v>0</v>
      </c>
      <c r="BY921" s="18">
        <f>[1]monsters!$K921</f>
        <v>0</v>
      </c>
      <c r="BZ921" s="5">
        <f>[1]monsters!$D921</f>
        <v>0</v>
      </c>
      <c r="CA921" s="5" t="e">
        <f t="shared" si="561"/>
        <v>#N/A</v>
      </c>
      <c r="CB921" s="5" t="e">
        <f t="shared" si="562"/>
        <v>#N/A</v>
      </c>
      <c r="CC921" s="5" t="e">
        <f t="shared" si="563"/>
        <v>#N/A</v>
      </c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R921" s="3" t="b">
        <f t="shared" si="543"/>
        <v>1</v>
      </c>
      <c r="CS921" s="3" t="b">
        <f t="shared" si="544"/>
        <v>1</v>
      </c>
      <c r="CT921" s="3" t="b">
        <f t="shared" si="545"/>
        <v>1</v>
      </c>
      <c r="CU921" s="3" t="b">
        <f t="shared" si="546"/>
        <v>1</v>
      </c>
      <c r="CV921" s="3" t="b">
        <f t="shared" si="547"/>
        <v>1</v>
      </c>
      <c r="CW921" s="3" t="b">
        <f t="shared" si="548"/>
        <v>1</v>
      </c>
      <c r="CX921" s="9" t="str">
        <f t="shared" si="549"/>
        <v>5201131</v>
      </c>
      <c r="CY921" s="9" t="str">
        <f t="shared" si="550"/>
        <v>5201132</v>
      </c>
      <c r="CZ921" s="9" t="str">
        <f t="shared" si="551"/>
        <v>5201134</v>
      </c>
      <c r="DA921" s="9" t="str">
        <f t="shared" si="552"/>
        <v>5501134</v>
      </c>
      <c r="DB921" s="9" t="str">
        <f t="shared" si="553"/>
        <v>5500133</v>
      </c>
      <c r="DC921" s="9" t="str">
        <f t="shared" si="554"/>
        <v>5602134</v>
      </c>
      <c r="DD921" s="9">
        <v>13</v>
      </c>
      <c r="DE921" s="9">
        <v>13</v>
      </c>
      <c r="DF921" s="9">
        <v>13</v>
      </c>
      <c r="DG921" s="9">
        <v>13</v>
      </c>
      <c r="DH921" s="9">
        <v>13</v>
      </c>
      <c r="DI921" s="9">
        <v>13</v>
      </c>
      <c r="DJ921" s="9">
        <v>5</v>
      </c>
      <c r="DK921" s="9">
        <v>5</v>
      </c>
      <c r="DL921" s="9">
        <v>5</v>
      </c>
      <c r="DM921" s="9">
        <v>5</v>
      </c>
      <c r="DN921" s="9">
        <v>5</v>
      </c>
      <c r="DO921" s="9">
        <v>5</v>
      </c>
      <c r="DP921" s="25" t="s">
        <v>195</v>
      </c>
      <c r="DQ921" s="25" t="s">
        <v>114</v>
      </c>
      <c r="DR921" s="26" t="s">
        <v>217</v>
      </c>
      <c r="DS921" s="26" t="s">
        <v>214</v>
      </c>
      <c r="DT921" s="26" t="s">
        <v>207</v>
      </c>
      <c r="DU921" s="26" t="s">
        <v>220</v>
      </c>
      <c r="DV921" s="25">
        <f t="shared" si="555"/>
        <v>1</v>
      </c>
      <c r="DW921" s="25">
        <f t="shared" si="556"/>
        <v>1</v>
      </c>
      <c r="DX921" s="25">
        <f t="shared" si="557"/>
        <v>1</v>
      </c>
      <c r="DY921" s="25">
        <f t="shared" si="558"/>
        <v>2</v>
      </c>
      <c r="DZ921" s="25">
        <f t="shared" si="559"/>
        <v>2</v>
      </c>
      <c r="EA921" s="25">
        <f t="shared" si="560"/>
        <v>2</v>
      </c>
    </row>
    <row r="922" spans="29:132" ht="13.5" customHeight="1">
      <c r="AC922" s="9" t="str">
        <f t="shared" si="537"/>
        <v/>
      </c>
      <c r="AD922" s="9" t="str">
        <f t="shared" si="538"/>
        <v/>
      </c>
      <c r="AE922" s="9" t="str">
        <f t="shared" si="539"/>
        <v/>
      </c>
      <c r="AF922" s="9" t="str">
        <f t="shared" si="540"/>
        <v/>
      </c>
      <c r="AG922" s="9" t="str">
        <f t="shared" si="541"/>
        <v/>
      </c>
      <c r="AH922" s="9" t="str">
        <f t="shared" si="542"/>
        <v/>
      </c>
      <c r="BR922" s="5">
        <v>5405091</v>
      </c>
      <c r="BS922" s="18">
        <f>[1]monsters!$N922</f>
        <v>0</v>
      </c>
      <c r="BT922" s="18">
        <f>[1]monsters!$O922</f>
        <v>0</v>
      </c>
      <c r="BU922" s="18">
        <f>[1]monsters!$P922</f>
        <v>0</v>
      </c>
      <c r="BV922" s="18">
        <f>[1]monsters!$Q922</f>
        <v>0</v>
      </c>
      <c r="BW922" s="18">
        <f>[1]monsters!$R922</f>
        <v>0</v>
      </c>
      <c r="BX922" s="18">
        <f>[1]monsters!$S922</f>
        <v>0</v>
      </c>
      <c r="BY922" s="18">
        <f>[1]monsters!$K922</f>
        <v>0</v>
      </c>
      <c r="BZ922" s="5">
        <f>[1]monsters!$D922</f>
        <v>0</v>
      </c>
      <c r="CA922" s="5" t="e">
        <f t="shared" si="561"/>
        <v>#N/A</v>
      </c>
      <c r="CB922" s="5" t="e">
        <f t="shared" si="562"/>
        <v>#N/A</v>
      </c>
      <c r="CC922" s="5" t="e">
        <f t="shared" si="563"/>
        <v>#N/A</v>
      </c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R922" s="3" t="b">
        <f t="shared" si="543"/>
        <v>1</v>
      </c>
      <c r="CS922" s="3" t="b">
        <f t="shared" si="544"/>
        <v>1</v>
      </c>
      <c r="CT922" s="3" t="b">
        <f t="shared" si="545"/>
        <v>1</v>
      </c>
      <c r="CU922" s="3" t="b">
        <f t="shared" si="546"/>
        <v>1</v>
      </c>
      <c r="CV922" s="3" t="b">
        <f t="shared" si="547"/>
        <v>1</v>
      </c>
      <c r="CW922" s="3" t="b">
        <f t="shared" si="548"/>
        <v>1</v>
      </c>
      <c r="CX922" s="9" t="str">
        <f t="shared" si="549"/>
        <v>5200132</v>
      </c>
      <c r="CY922" s="9" t="str">
        <f t="shared" si="550"/>
        <v>5301131</v>
      </c>
      <c r="CZ922" s="9" t="str">
        <f t="shared" si="551"/>
        <v>5202133</v>
      </c>
      <c r="DA922" s="9" t="str">
        <f t="shared" si="552"/>
        <v>5402131</v>
      </c>
      <c r="DB922" s="9" t="str">
        <f t="shared" si="553"/>
        <v>5400135</v>
      </c>
      <c r="DC922" s="9" t="str">
        <f t="shared" si="554"/>
        <v>5500131</v>
      </c>
      <c r="DD922" s="9">
        <v>13</v>
      </c>
      <c r="DE922" s="9">
        <v>13</v>
      </c>
      <c r="DF922" s="9">
        <v>13</v>
      </c>
      <c r="DG922" s="9">
        <v>13</v>
      </c>
      <c r="DH922" s="9">
        <v>13</v>
      </c>
      <c r="DI922" s="9">
        <v>13</v>
      </c>
      <c r="DJ922" s="9">
        <v>5</v>
      </c>
      <c r="DK922" s="9">
        <v>5</v>
      </c>
      <c r="DL922" s="9">
        <v>5</v>
      </c>
      <c r="DM922" s="9">
        <v>5</v>
      </c>
      <c r="DN922" s="9">
        <v>5</v>
      </c>
      <c r="DO922" s="9">
        <v>5</v>
      </c>
      <c r="DP922" s="25" t="s">
        <v>199</v>
      </c>
      <c r="DQ922" s="26" t="s">
        <v>107</v>
      </c>
      <c r="DR922" s="25" t="s">
        <v>208</v>
      </c>
      <c r="DS922" s="26" t="s">
        <v>196</v>
      </c>
      <c r="DT922" s="26" t="s">
        <v>210</v>
      </c>
      <c r="DU922" s="28" t="s">
        <v>197</v>
      </c>
      <c r="DV922" s="25">
        <f t="shared" si="555"/>
        <v>1</v>
      </c>
      <c r="DW922" s="25">
        <f t="shared" si="556"/>
        <v>1</v>
      </c>
      <c r="DX922" s="25">
        <f t="shared" si="557"/>
        <v>1</v>
      </c>
      <c r="DY922" s="25">
        <f t="shared" si="558"/>
        <v>2</v>
      </c>
      <c r="DZ922" s="25">
        <f t="shared" si="559"/>
        <v>2</v>
      </c>
      <c r="EA922" s="25">
        <f t="shared" si="560"/>
        <v>2</v>
      </c>
    </row>
    <row r="923" spans="29:132" ht="13.5" customHeight="1">
      <c r="AC923" s="9" t="str">
        <f t="shared" si="537"/>
        <v/>
      </c>
      <c r="AD923" s="9" t="str">
        <f t="shared" si="538"/>
        <v/>
      </c>
      <c r="AE923" s="9" t="str">
        <f t="shared" si="539"/>
        <v/>
      </c>
      <c r="AF923" s="9" t="str">
        <f t="shared" si="540"/>
        <v/>
      </c>
      <c r="AG923" s="9" t="str">
        <f t="shared" si="541"/>
        <v/>
      </c>
      <c r="AH923" s="9" t="str">
        <f t="shared" si="542"/>
        <v/>
      </c>
      <c r="BR923" s="5">
        <v>5203091</v>
      </c>
      <c r="BS923" s="18">
        <f>[1]monsters!$N923</f>
        <v>0</v>
      </c>
      <c r="BT923" s="18">
        <f>[1]monsters!$O923</f>
        <v>0</v>
      </c>
      <c r="BU923" s="18">
        <f>[1]monsters!$P923</f>
        <v>0</v>
      </c>
      <c r="BV923" s="18">
        <f>[1]monsters!$Q923</f>
        <v>0</v>
      </c>
      <c r="BW923" s="18">
        <f>[1]monsters!$R923</f>
        <v>0</v>
      </c>
      <c r="BX923" s="18">
        <f>[1]monsters!$S923</f>
        <v>0</v>
      </c>
      <c r="BY923" s="18">
        <f>[1]monsters!$K923</f>
        <v>0</v>
      </c>
      <c r="BZ923" s="5">
        <f>[1]monsters!$D923</f>
        <v>0</v>
      </c>
      <c r="CA923" s="5" t="e">
        <f t="shared" si="561"/>
        <v>#N/A</v>
      </c>
      <c r="CB923" s="5" t="e">
        <f t="shared" si="562"/>
        <v>#N/A</v>
      </c>
      <c r="CC923" s="5" t="e">
        <f t="shared" si="563"/>
        <v>#N/A</v>
      </c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R923" s="3" t="b">
        <f t="shared" si="543"/>
        <v>1</v>
      </c>
      <c r="CS923" s="3" t="b">
        <f t="shared" si="544"/>
        <v>1</v>
      </c>
      <c r="CT923" s="3" t="b">
        <f t="shared" si="545"/>
        <v>1</v>
      </c>
      <c r="CU923" s="3" t="b">
        <f t="shared" si="546"/>
        <v>1</v>
      </c>
      <c r="CV923" s="3" t="b">
        <f t="shared" si="547"/>
        <v>1</v>
      </c>
      <c r="CW923" s="3" t="b">
        <f t="shared" si="548"/>
        <v>1</v>
      </c>
      <c r="CX923" s="9" t="str">
        <f t="shared" si="549"/>
        <v>5201133</v>
      </c>
      <c r="CY923" s="9" t="str">
        <f t="shared" si="550"/>
        <v>5202135</v>
      </c>
      <c r="CZ923" s="9" t="str">
        <f t="shared" si="551"/>
        <v>5200132</v>
      </c>
      <c r="DA923" s="9" t="str">
        <f t="shared" si="552"/>
        <v>5402133</v>
      </c>
      <c r="DB923" s="9" t="str">
        <f t="shared" si="553"/>
        <v>5400135</v>
      </c>
      <c r="DC923" s="9" t="str">
        <f t="shared" si="554"/>
        <v>5402133</v>
      </c>
      <c r="DD923" s="9">
        <v>13</v>
      </c>
      <c r="DE923" s="9">
        <v>13</v>
      </c>
      <c r="DF923" s="9">
        <v>13</v>
      </c>
      <c r="DG923" s="9">
        <v>13</v>
      </c>
      <c r="DH923" s="9">
        <v>13</v>
      </c>
      <c r="DI923" s="9">
        <v>13</v>
      </c>
      <c r="DJ923" s="9">
        <v>5</v>
      </c>
      <c r="DK923" s="9">
        <v>5</v>
      </c>
      <c r="DL923" s="9">
        <v>5</v>
      </c>
      <c r="DM923" s="9">
        <v>5</v>
      </c>
      <c r="DN923" s="9">
        <v>5</v>
      </c>
      <c r="DO923" s="9">
        <v>5</v>
      </c>
      <c r="DP923" s="25" t="s">
        <v>205</v>
      </c>
      <c r="DQ923" s="25" t="s">
        <v>213</v>
      </c>
      <c r="DR923" s="25" t="s">
        <v>199</v>
      </c>
      <c r="DS923" s="26" t="s">
        <v>118</v>
      </c>
      <c r="DT923" s="26" t="s">
        <v>210</v>
      </c>
      <c r="DU923" s="26" t="s">
        <v>118</v>
      </c>
      <c r="DV923" s="25">
        <f t="shared" si="555"/>
        <v>1</v>
      </c>
      <c r="DW923" s="25">
        <f t="shared" si="556"/>
        <v>1</v>
      </c>
      <c r="DX923" s="25">
        <f t="shared" si="557"/>
        <v>1</v>
      </c>
      <c r="DY923" s="25">
        <f t="shared" si="558"/>
        <v>2</v>
      </c>
      <c r="DZ923" s="25">
        <f t="shared" si="559"/>
        <v>2</v>
      </c>
      <c r="EA923" s="25">
        <f t="shared" si="560"/>
        <v>2</v>
      </c>
    </row>
    <row r="924" spans="29:132" ht="13.5" customHeight="1">
      <c r="AC924" s="9" t="str">
        <f t="shared" ref="AC924:AC987" si="564">IF(AI924&gt;0,FLOOR((POWER((AI924/IF(AND(W924&gt;=2,W924&lt;4),1.1,IF(AND(W924&gt;=4,W924&lt;6),1.2,IF(W924&gt;=6,1.4,1)))/$Z$1),0.5)/INDEX($BD$4:$BQ$4,MATCH(W924,$BD$3:$BQ$3,0))-1)*10,1),"")</f>
        <v/>
      </c>
      <c r="AD924" s="9" t="str">
        <f t="shared" ref="AD924:AD987" si="565">IF(AJ924&gt;0,FLOOR((POWER((AJ924/IF(AND(X924&gt;=2,X924&lt;4),1.1,IF(AND(X924&gt;=4,X924&lt;6),1.15,IF(X924&gt;=6,1.2,1)))/$Z$1),0.5)/INDEX($BD$4:$BQ$4,MATCH(X924,$BD$3:$BQ$3,0))-1)*10,1),"")</f>
        <v/>
      </c>
      <c r="AE924" s="9" t="str">
        <f t="shared" ref="AE924:AE987" si="566">IF(AK924&gt;0,FLOOR((POWER((AK924/IF(AND(Y924&gt;=2,Y924&lt;4),1.1,IF(AND(Y924&gt;=4,Y924&lt;6),1.15,IF(Y924&gt;=6,1.2,1)))/$Z$1),0.5)/INDEX($BD$4:$BQ$4,MATCH(Y924,$BD$3:$BQ$3,0))-1)*10,1),"")</f>
        <v/>
      </c>
      <c r="AF924" s="9" t="str">
        <f t="shared" ref="AF924:AF987" si="567">IF(AL924&gt;0,FLOOR((POWER((AL924/IF(AND(Z924&gt;=2,Z924&lt;4),1.1,IF(AND(Z924&gt;=4,Z924&lt;6),1.15,IF(Z924&gt;=6,1.2,1)))/$Z$1),0.5)/INDEX($BD$4:$BQ$4,MATCH(Z924,$BD$3:$BQ$3,0))-1)*10,1),"")</f>
        <v/>
      </c>
      <c r="AG924" s="9" t="str">
        <f t="shared" ref="AG924:AG987" si="568">IF(AM924&gt;0,FLOOR((POWER((AM924/IF(AND(AA924&gt;=2,AA924&lt;4),1.1,IF(AND(AA924&gt;=4,AA924&lt;6),1.15,IF(AA924&gt;=6,1.2,1)))/$Z$1),0.5)/INDEX($BD$4:$BQ$4,MATCH(AA924,$BD$3:$BQ$3,0))-1)*10,1),"")</f>
        <v/>
      </c>
      <c r="AH924" s="9" t="str">
        <f t="shared" ref="AH924:AH987" si="569">IF(AN924&gt;0,FLOOR((POWER((AN924/IF(AND(AB924&gt;=2,AB924&lt;4),1.1,IF(AND(AB924&gt;=4,AB924&lt;6),1.15,IF(AB924&gt;=6,1.2,1)))/$Z$1),0.5)/INDEX($BD$4:$BQ$4,MATCH(AB924,$BD$3:$BQ$3,0))-1)*10,1),"")</f>
        <v/>
      </c>
      <c r="BR924" s="5">
        <v>5403091</v>
      </c>
      <c r="BS924" s="18">
        <f>[1]monsters!$N924</f>
        <v>0</v>
      </c>
      <c r="BT924" s="18">
        <f>[1]monsters!$O924</f>
        <v>0</v>
      </c>
      <c r="BU924" s="18">
        <f>[1]monsters!$P924</f>
        <v>0</v>
      </c>
      <c r="BV924" s="18">
        <f>[1]monsters!$Q924</f>
        <v>0</v>
      </c>
      <c r="BW924" s="18">
        <f>[1]monsters!$R924</f>
        <v>0</v>
      </c>
      <c r="BX924" s="18">
        <f>[1]monsters!$S924</f>
        <v>0</v>
      </c>
      <c r="BY924" s="18">
        <f>[1]monsters!$K924</f>
        <v>0</v>
      </c>
      <c r="BZ924" s="5">
        <f>[1]monsters!$D924</f>
        <v>0</v>
      </c>
      <c r="CA924" s="5" t="e">
        <f t="shared" si="561"/>
        <v>#N/A</v>
      </c>
      <c r="CB924" s="5" t="e">
        <f t="shared" si="562"/>
        <v>#N/A</v>
      </c>
      <c r="CC924" s="5" t="e">
        <f t="shared" si="563"/>
        <v>#N/A</v>
      </c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R924" s="3" t="b">
        <f t="shared" ref="CR924:CR987" si="570">IF(ISERROR(MATCH(INT(CX924),$EC$4:$EC$426,0))=FALSE,TRUE)</f>
        <v>1</v>
      </c>
      <c r="CS924" s="3" t="b">
        <f t="shared" ref="CS924:CS987" si="571">IF(ISERROR(MATCH(INT(CY924),$EC$4:$EC$426,0))=FALSE,TRUE)</f>
        <v>1</v>
      </c>
      <c r="CT924" s="3" t="b">
        <f t="shared" ref="CT924:CT987" si="572">IF(ISERROR(MATCH(INT(CZ924),$EC$4:$EC$426,0))=FALSE,TRUE)</f>
        <v>1</v>
      </c>
      <c r="CU924" s="3" t="b">
        <f t="shared" ref="CU924:CU987" si="573">IF(ISERROR(MATCH(INT(DA924),$EC$4:$EC$426,0))=FALSE,TRUE)</f>
        <v>1</v>
      </c>
      <c r="CV924" s="3" t="b">
        <f t="shared" ref="CV924:CV987" si="574">IF(ISERROR(MATCH(INT(DB924),$EC$4:$EC$426,0))=FALSE,TRUE)</f>
        <v>1</v>
      </c>
      <c r="CW924" s="3" t="b">
        <f t="shared" ref="CW924:CW987" si="575">IF(ISERROR(MATCH(INT(DC924),$EC$4:$EC$426,0))=FALSE,TRUE)</f>
        <v>1</v>
      </c>
      <c r="CX924" s="9" t="str">
        <f t="shared" ref="CX924:CX987" si="576">REPLACE(REPLACE(INDEX($EC$4:$EC$426,MATCH(DP924,$ED$4:$ED$426,0)),IF(DD924&gt;9,5,6),IF(DD924&gt;9,2,1),DD924),1,1,DJ924)</f>
        <v>5201131</v>
      </c>
      <c r="CY924" s="9" t="str">
        <f t="shared" ref="CY924:CY987" si="577">REPLACE(REPLACE(INDEX($EC$4:$EC$426,MATCH(DQ924,$ED$4:$ED$426,0)),IF(DE924&gt;9,5,6),IF(DE924&gt;9,2,1),DE924),1,1,DK924)</f>
        <v>5201132</v>
      </c>
      <c r="CZ924" s="9" t="str">
        <f t="shared" ref="CZ924:CZ987" si="578">REPLACE(REPLACE(INDEX($EC$4:$EC$426,MATCH(DR924,$ED$4:$ED$426,0)),IF(DF924&gt;9,5,6),IF(DF924&gt;9,2,1),DF924),1,1,DL924)</f>
        <v>5200131</v>
      </c>
      <c r="DA924" s="9" t="str">
        <f t="shared" ref="DA924:DA987" si="579">REPLACE(REPLACE(INDEX($EC$4:$EC$426,MATCH(DS924,$ED$4:$ED$426,0)),IF(DG924&gt;9,5,6),IF(DG924&gt;9,2,1),DG924),1,1,DM924)</f>
        <v>5502131</v>
      </c>
      <c r="DB924" s="9" t="str">
        <f t="shared" ref="DB924:DB987" si="580">REPLACE(REPLACE(INDEX($EC$4:$EC$426,MATCH(DT924,$ED$4:$ED$426,0)),IF(DH924&gt;9,5,6),IF(DH924&gt;9,2,1),DH924),1,1,DN924)</f>
        <v>5601131</v>
      </c>
      <c r="DC924" s="9" t="str">
        <f t="shared" ref="DC924:DC987" si="581">REPLACE(REPLACE(INDEX($EC$4:$EC$426,MATCH(DU924,$ED$4:$ED$426,0)),IF(DI924&gt;9,5,6),IF(DI924&gt;9,2,1),DI924),1,1,DO924)</f>
        <v>5502131</v>
      </c>
      <c r="DD924" s="9">
        <v>13</v>
      </c>
      <c r="DE924" s="9">
        <v>13</v>
      </c>
      <c r="DF924" s="9">
        <v>13</v>
      </c>
      <c r="DG924" s="9">
        <v>13</v>
      </c>
      <c r="DH924" s="9">
        <v>13</v>
      </c>
      <c r="DI924" s="9">
        <v>13</v>
      </c>
      <c r="DJ924" s="9">
        <v>5</v>
      </c>
      <c r="DK924" s="9">
        <v>5</v>
      </c>
      <c r="DL924" s="9">
        <v>5</v>
      </c>
      <c r="DM924" s="9">
        <v>5</v>
      </c>
      <c r="DN924" s="9">
        <v>5</v>
      </c>
      <c r="DO924" s="9">
        <v>5</v>
      </c>
      <c r="DP924" s="25" t="s">
        <v>195</v>
      </c>
      <c r="DQ924" s="25" t="s">
        <v>114</v>
      </c>
      <c r="DR924" s="25" t="s">
        <v>194</v>
      </c>
      <c r="DS924" s="25" t="s">
        <v>119</v>
      </c>
      <c r="DT924" s="25" t="s">
        <v>198</v>
      </c>
      <c r="DU924" s="25" t="s">
        <v>119</v>
      </c>
      <c r="DV924" s="25">
        <f t="shared" ref="DV924:DV987" si="582">INDEX($EE$4:$EE$426,MATCH(DP924,$ED$4:$ED$426,0))</f>
        <v>1</v>
      </c>
      <c r="DW924" s="25">
        <f t="shared" ref="DW924:DW987" si="583">INDEX($EE$4:$EE$426,MATCH(DQ924,$ED$4:$ED$426,0))</f>
        <v>1</v>
      </c>
      <c r="DX924" s="25">
        <f t="shared" ref="DX924:DX987" si="584">INDEX($EE$4:$EE$426,MATCH(DR924,$ED$4:$ED$426,0))</f>
        <v>1</v>
      </c>
      <c r="DY924" s="25">
        <f t="shared" ref="DY924:DY987" si="585">INDEX($EE$4:$EE$426,MATCH(DS924,$ED$4:$ED$426,0))</f>
        <v>2</v>
      </c>
      <c r="DZ924" s="25">
        <f t="shared" ref="DZ924:DZ987" si="586">INDEX($EE$4:$EE$426,MATCH(DT924,$ED$4:$ED$426,0))</f>
        <v>2</v>
      </c>
      <c r="EA924" s="25">
        <f t="shared" ref="EA924:EA987" si="587">INDEX($EE$4:$EE$426,MATCH(DU924,$ED$4:$ED$426,0))</f>
        <v>2</v>
      </c>
    </row>
    <row r="925" spans="29:132" ht="13.5" customHeight="1">
      <c r="AC925" s="9" t="str">
        <f t="shared" si="564"/>
        <v/>
      </c>
      <c r="AD925" s="9" t="str">
        <f t="shared" si="565"/>
        <v/>
      </c>
      <c r="AE925" s="9" t="str">
        <f t="shared" si="566"/>
        <v/>
      </c>
      <c r="AF925" s="9" t="str">
        <f t="shared" si="567"/>
        <v/>
      </c>
      <c r="AG925" s="9" t="str">
        <f t="shared" si="568"/>
        <v/>
      </c>
      <c r="AH925" s="9" t="str">
        <f t="shared" si="569"/>
        <v/>
      </c>
      <c r="BR925" s="5">
        <v>5204091</v>
      </c>
      <c r="BS925" s="18">
        <f>[1]monsters!$N925</f>
        <v>0</v>
      </c>
      <c r="BT925" s="18">
        <f>[1]monsters!$O925</f>
        <v>0</v>
      </c>
      <c r="BU925" s="18">
        <f>[1]monsters!$P925</f>
        <v>0</v>
      </c>
      <c r="BV925" s="18">
        <f>[1]monsters!$Q925</f>
        <v>0</v>
      </c>
      <c r="BW925" s="18">
        <f>[1]monsters!$R925</f>
        <v>0</v>
      </c>
      <c r="BX925" s="18">
        <f>[1]monsters!$S925</f>
        <v>0</v>
      </c>
      <c r="BY925" s="18">
        <f>[1]monsters!$K925</f>
        <v>0</v>
      </c>
      <c r="BZ925" s="5">
        <f>[1]monsters!$D925</f>
        <v>0</v>
      </c>
      <c r="CA925" s="5" t="e">
        <f t="shared" si="561"/>
        <v>#N/A</v>
      </c>
      <c r="CB925" s="5" t="e">
        <f t="shared" si="562"/>
        <v>#N/A</v>
      </c>
      <c r="CC925" s="5" t="e">
        <f t="shared" si="563"/>
        <v>#N/A</v>
      </c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R925" s="3" t="b">
        <f t="shared" si="570"/>
        <v>1</v>
      </c>
      <c r="CS925" s="3" t="b">
        <f t="shared" si="571"/>
        <v>1</v>
      </c>
      <c r="CT925" s="3" t="b">
        <f t="shared" si="572"/>
        <v>1</v>
      </c>
      <c r="CU925" s="3" t="b">
        <f t="shared" si="573"/>
        <v>1</v>
      </c>
      <c r="CV925" s="3" t="b">
        <f t="shared" si="574"/>
        <v>1</v>
      </c>
      <c r="CW925" s="3" t="b">
        <f t="shared" si="575"/>
        <v>1</v>
      </c>
      <c r="CX925" s="9" t="str">
        <f t="shared" si="576"/>
        <v>5200132</v>
      </c>
      <c r="CY925" s="9" t="str">
        <f t="shared" si="577"/>
        <v>5200133</v>
      </c>
      <c r="CZ925" s="9" t="str">
        <f t="shared" si="578"/>
        <v>5200132</v>
      </c>
      <c r="DA925" s="9" t="str">
        <f t="shared" si="579"/>
        <v>5502132</v>
      </c>
      <c r="DB925" s="9" t="str">
        <f t="shared" si="580"/>
        <v>5500132</v>
      </c>
      <c r="DC925" s="9" t="str">
        <f t="shared" si="581"/>
        <v>5502133</v>
      </c>
      <c r="DD925" s="9">
        <v>13</v>
      </c>
      <c r="DE925" s="9">
        <v>13</v>
      </c>
      <c r="DF925" s="9">
        <v>13</v>
      </c>
      <c r="DG925" s="9">
        <v>13</v>
      </c>
      <c r="DH925" s="9">
        <v>13</v>
      </c>
      <c r="DI925" s="9">
        <v>13</v>
      </c>
      <c r="DJ925" s="9">
        <v>5</v>
      </c>
      <c r="DK925" s="9">
        <v>5</v>
      </c>
      <c r="DL925" s="9">
        <v>5</v>
      </c>
      <c r="DM925" s="9">
        <v>5</v>
      </c>
      <c r="DN925" s="9">
        <v>5</v>
      </c>
      <c r="DO925" s="9">
        <v>5</v>
      </c>
      <c r="DP925" s="25" t="s">
        <v>199</v>
      </c>
      <c r="DQ925" s="25" t="s">
        <v>113</v>
      </c>
      <c r="DR925" s="25" t="s">
        <v>199</v>
      </c>
      <c r="DS925" s="25" t="s">
        <v>204</v>
      </c>
      <c r="DT925" s="25" t="s">
        <v>109</v>
      </c>
      <c r="DU925" s="25" t="s">
        <v>215</v>
      </c>
      <c r="DV925" s="25">
        <f t="shared" si="582"/>
        <v>1</v>
      </c>
      <c r="DW925" s="25">
        <f t="shared" si="583"/>
        <v>1</v>
      </c>
      <c r="DX925" s="25">
        <f t="shared" si="584"/>
        <v>1</v>
      </c>
      <c r="DY925" s="25">
        <f t="shared" si="585"/>
        <v>2</v>
      </c>
      <c r="DZ925" s="25">
        <f t="shared" si="586"/>
        <v>2</v>
      </c>
      <c r="EA925" s="25">
        <f t="shared" si="587"/>
        <v>2</v>
      </c>
    </row>
    <row r="926" spans="29:132" ht="13.5" customHeight="1">
      <c r="AC926" s="9" t="str">
        <f t="shared" si="564"/>
        <v/>
      </c>
      <c r="AD926" s="9" t="str">
        <f t="shared" si="565"/>
        <v/>
      </c>
      <c r="AE926" s="9" t="str">
        <f t="shared" si="566"/>
        <v/>
      </c>
      <c r="AF926" s="9" t="str">
        <f t="shared" si="567"/>
        <v/>
      </c>
      <c r="AG926" s="9" t="str">
        <f t="shared" si="568"/>
        <v/>
      </c>
      <c r="AH926" s="9" t="str">
        <f t="shared" si="569"/>
        <v/>
      </c>
      <c r="BR926" s="5">
        <v>5404091</v>
      </c>
      <c r="BS926" s="18">
        <f>[1]monsters!$N926</f>
        <v>0</v>
      </c>
      <c r="BT926" s="18">
        <f>[1]monsters!$O926</f>
        <v>0</v>
      </c>
      <c r="BU926" s="18">
        <f>[1]monsters!$P926</f>
        <v>0</v>
      </c>
      <c r="BV926" s="18">
        <f>[1]monsters!$Q926</f>
        <v>0</v>
      </c>
      <c r="BW926" s="18">
        <f>[1]monsters!$R926</f>
        <v>0</v>
      </c>
      <c r="BX926" s="18">
        <f>[1]monsters!$S926</f>
        <v>0</v>
      </c>
      <c r="BY926" s="18">
        <f>[1]monsters!$K926</f>
        <v>0</v>
      </c>
      <c r="BZ926" s="5">
        <f>[1]monsters!$D926</f>
        <v>0</v>
      </c>
      <c r="CA926" s="5" t="e">
        <f t="shared" si="561"/>
        <v>#N/A</v>
      </c>
      <c r="CB926" s="5" t="e">
        <f t="shared" si="562"/>
        <v>#N/A</v>
      </c>
      <c r="CC926" s="5" t="e">
        <f t="shared" si="563"/>
        <v>#N/A</v>
      </c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R926" s="3" t="b">
        <f t="shared" si="570"/>
        <v>1</v>
      </c>
      <c r="CS926" s="3" t="b">
        <f t="shared" si="571"/>
        <v>1</v>
      </c>
      <c r="CT926" s="3" t="b">
        <f t="shared" si="572"/>
        <v>1</v>
      </c>
      <c r="CU926" s="3" t="b">
        <f t="shared" si="573"/>
        <v>1</v>
      </c>
      <c r="CV926" s="3" t="b">
        <f t="shared" si="574"/>
        <v>1</v>
      </c>
      <c r="CW926" s="3" t="b">
        <f t="shared" si="575"/>
        <v>1</v>
      </c>
      <c r="CX926" s="9" t="str">
        <f t="shared" si="576"/>
        <v>5202133</v>
      </c>
      <c r="CY926" s="9" t="str">
        <f t="shared" si="577"/>
        <v>5202132</v>
      </c>
      <c r="CZ926" s="9" t="str">
        <f t="shared" si="578"/>
        <v>5202133</v>
      </c>
      <c r="DA926" s="9" t="str">
        <f t="shared" si="579"/>
        <v>5401133</v>
      </c>
      <c r="DB926" s="9" t="str">
        <f t="shared" si="580"/>
        <v>5402132</v>
      </c>
      <c r="DC926" s="9" t="str">
        <f t="shared" si="581"/>
        <v>5401133</v>
      </c>
      <c r="DD926" s="9">
        <v>13</v>
      </c>
      <c r="DE926" s="9">
        <v>13</v>
      </c>
      <c r="DF926" s="9">
        <v>13</v>
      </c>
      <c r="DG926" s="9">
        <v>13</v>
      </c>
      <c r="DH926" s="9">
        <v>13</v>
      </c>
      <c r="DI926" s="9">
        <v>13</v>
      </c>
      <c r="DJ926" s="9">
        <v>5</v>
      </c>
      <c r="DK926" s="9">
        <v>5</v>
      </c>
      <c r="DL926" s="9">
        <v>5</v>
      </c>
      <c r="DM926" s="9">
        <v>5</v>
      </c>
      <c r="DN926" s="9">
        <v>5</v>
      </c>
      <c r="DO926" s="9">
        <v>5</v>
      </c>
      <c r="DP926" s="25" t="s">
        <v>208</v>
      </c>
      <c r="DQ926" s="25" t="s">
        <v>200</v>
      </c>
      <c r="DR926" s="25" t="s">
        <v>208</v>
      </c>
      <c r="DS926" s="25" t="s">
        <v>211</v>
      </c>
      <c r="DT926" s="25" t="s">
        <v>203</v>
      </c>
      <c r="DU926" s="25" t="s">
        <v>211</v>
      </c>
      <c r="DV926" s="25">
        <f t="shared" si="582"/>
        <v>1</v>
      </c>
      <c r="DW926" s="25">
        <f t="shared" si="583"/>
        <v>1</v>
      </c>
      <c r="DX926" s="25">
        <f t="shared" si="584"/>
        <v>1</v>
      </c>
      <c r="DY926" s="25">
        <f t="shared" si="585"/>
        <v>2</v>
      </c>
      <c r="DZ926" s="25">
        <f t="shared" si="586"/>
        <v>2</v>
      </c>
      <c r="EA926" s="25">
        <f t="shared" si="587"/>
        <v>2</v>
      </c>
    </row>
    <row r="927" spans="29:132" ht="13.5" customHeight="1">
      <c r="AC927" s="9" t="str">
        <f t="shared" si="564"/>
        <v/>
      </c>
      <c r="AD927" s="9" t="str">
        <f t="shared" si="565"/>
        <v/>
      </c>
      <c r="AE927" s="9" t="str">
        <f t="shared" si="566"/>
        <v/>
      </c>
      <c r="AF927" s="9" t="str">
        <f t="shared" si="567"/>
        <v/>
      </c>
      <c r="AG927" s="9" t="str">
        <f t="shared" si="568"/>
        <v/>
      </c>
      <c r="AH927" s="9" t="str">
        <f t="shared" si="569"/>
        <v/>
      </c>
      <c r="BR927" s="5">
        <v>5303091</v>
      </c>
      <c r="BS927" s="18">
        <f>[1]monsters!$N927</f>
        <v>0</v>
      </c>
      <c r="BT927" s="18">
        <f>[1]monsters!$O927</f>
        <v>0</v>
      </c>
      <c r="BU927" s="18">
        <f>[1]monsters!$P927</f>
        <v>0</v>
      </c>
      <c r="BV927" s="18">
        <f>[1]monsters!$Q927</f>
        <v>0</v>
      </c>
      <c r="BW927" s="18">
        <f>[1]monsters!$R927</f>
        <v>0</v>
      </c>
      <c r="BX927" s="18">
        <f>[1]monsters!$S927</f>
        <v>0</v>
      </c>
      <c r="BY927" s="18">
        <f>[1]monsters!$K927</f>
        <v>0</v>
      </c>
      <c r="BZ927" s="5">
        <f>[1]monsters!$D927</f>
        <v>0</v>
      </c>
      <c r="CA927" s="5" t="e">
        <f t="shared" si="561"/>
        <v>#N/A</v>
      </c>
      <c r="CB927" s="5" t="e">
        <f t="shared" si="562"/>
        <v>#N/A</v>
      </c>
      <c r="CC927" s="5" t="e">
        <f t="shared" si="563"/>
        <v>#N/A</v>
      </c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R927" s="3" t="b">
        <f t="shared" si="570"/>
        <v>1</v>
      </c>
      <c r="CS927" s="3" t="b">
        <f t="shared" si="571"/>
        <v>1</v>
      </c>
      <c r="CT927" s="3" t="b">
        <f t="shared" si="572"/>
        <v>1</v>
      </c>
      <c r="CU927" s="3" t="b">
        <f t="shared" si="573"/>
        <v>1</v>
      </c>
      <c r="CV927" s="3" t="b">
        <f t="shared" si="574"/>
        <v>1</v>
      </c>
      <c r="CW927" s="3" t="b">
        <f t="shared" si="575"/>
        <v>1</v>
      </c>
      <c r="CX927" s="9" t="str">
        <f t="shared" si="576"/>
        <v>5202133</v>
      </c>
      <c r="CY927" s="9" t="str">
        <f t="shared" si="577"/>
        <v>5202133</v>
      </c>
      <c r="CZ927" s="9" t="str">
        <f t="shared" si="578"/>
        <v>5202133</v>
      </c>
      <c r="DA927" s="9" t="str">
        <f t="shared" si="579"/>
        <v>5500132</v>
      </c>
      <c r="DB927" s="9" t="str">
        <f t="shared" si="580"/>
        <v>5500132</v>
      </c>
      <c r="DC927" s="9" t="str">
        <f t="shared" si="581"/>
        <v>5500132</v>
      </c>
      <c r="DD927" s="9">
        <v>13</v>
      </c>
      <c r="DE927" s="9">
        <v>13</v>
      </c>
      <c r="DF927" s="9">
        <v>13</v>
      </c>
      <c r="DG927" s="9">
        <v>13</v>
      </c>
      <c r="DH927" s="9">
        <v>13</v>
      </c>
      <c r="DI927" s="9">
        <v>13</v>
      </c>
      <c r="DJ927" s="9">
        <v>5</v>
      </c>
      <c r="DK927" s="9">
        <v>5</v>
      </c>
      <c r="DL927" s="9">
        <v>5</v>
      </c>
      <c r="DM927" s="9">
        <v>5</v>
      </c>
      <c r="DN927" s="9">
        <v>5</v>
      </c>
      <c r="DO927" s="9">
        <v>5</v>
      </c>
      <c r="DP927" s="25" t="s">
        <v>208</v>
      </c>
      <c r="DQ927" s="25" t="s">
        <v>208</v>
      </c>
      <c r="DR927" s="25" t="s">
        <v>208</v>
      </c>
      <c r="DS927" s="25" t="s">
        <v>109</v>
      </c>
      <c r="DT927" s="25" t="s">
        <v>109</v>
      </c>
      <c r="DU927" s="25" t="s">
        <v>109</v>
      </c>
      <c r="DV927" s="25">
        <f t="shared" si="582"/>
        <v>1</v>
      </c>
      <c r="DW927" s="25">
        <f t="shared" si="583"/>
        <v>1</v>
      </c>
      <c r="DX927" s="25">
        <f t="shared" si="584"/>
        <v>1</v>
      </c>
      <c r="DY927" s="25">
        <f t="shared" si="585"/>
        <v>2</v>
      </c>
      <c r="DZ927" s="25">
        <f t="shared" si="586"/>
        <v>2</v>
      </c>
      <c r="EA927" s="25">
        <f t="shared" si="587"/>
        <v>2</v>
      </c>
    </row>
    <row r="928" spans="29:132" ht="13.5" customHeight="1">
      <c r="AC928" s="9" t="str">
        <f t="shared" si="564"/>
        <v/>
      </c>
      <c r="AD928" s="9" t="str">
        <f t="shared" si="565"/>
        <v/>
      </c>
      <c r="AE928" s="9" t="str">
        <f t="shared" si="566"/>
        <v/>
      </c>
      <c r="AF928" s="9" t="str">
        <f t="shared" si="567"/>
        <v/>
      </c>
      <c r="AG928" s="9" t="str">
        <f t="shared" si="568"/>
        <v/>
      </c>
      <c r="AH928" s="9" t="str">
        <f t="shared" si="569"/>
        <v/>
      </c>
      <c r="BR928" s="5">
        <v>5304091</v>
      </c>
      <c r="BS928" s="18">
        <f>[1]monsters!$N928</f>
        <v>0</v>
      </c>
      <c r="BT928" s="18">
        <f>[1]monsters!$O928</f>
        <v>0</v>
      </c>
      <c r="BU928" s="18">
        <f>[1]monsters!$P928</f>
        <v>0</v>
      </c>
      <c r="BV928" s="18">
        <f>[1]monsters!$Q928</f>
        <v>0</v>
      </c>
      <c r="BW928" s="18">
        <f>[1]monsters!$R928</f>
        <v>0</v>
      </c>
      <c r="BX928" s="18">
        <f>[1]monsters!$S928</f>
        <v>0</v>
      </c>
      <c r="BY928" s="18">
        <f>[1]monsters!$K928</f>
        <v>0</v>
      </c>
      <c r="BZ928" s="5">
        <f>[1]monsters!$D928</f>
        <v>0</v>
      </c>
      <c r="CA928" s="5" t="e">
        <f t="shared" si="561"/>
        <v>#N/A</v>
      </c>
      <c r="CB928" s="5" t="e">
        <f t="shared" si="562"/>
        <v>#N/A</v>
      </c>
      <c r="CC928" s="5" t="e">
        <f t="shared" si="563"/>
        <v>#N/A</v>
      </c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R928" s="3" t="b">
        <f t="shared" si="570"/>
        <v>1</v>
      </c>
      <c r="CS928" s="3" t="b">
        <f t="shared" si="571"/>
        <v>1</v>
      </c>
      <c r="CT928" s="3" t="b">
        <f t="shared" si="572"/>
        <v>1</v>
      </c>
      <c r="CU928" s="3" t="b">
        <f t="shared" si="573"/>
        <v>1</v>
      </c>
      <c r="CV928" s="3" t="b">
        <f t="shared" si="574"/>
        <v>1</v>
      </c>
      <c r="CW928" s="3" t="b">
        <f t="shared" si="575"/>
        <v>1</v>
      </c>
      <c r="CX928" s="9" t="str">
        <f t="shared" si="576"/>
        <v>5202131</v>
      </c>
      <c r="CY928" s="9" t="str">
        <f t="shared" si="577"/>
        <v>5202132</v>
      </c>
      <c r="CZ928" s="9" t="str">
        <f t="shared" si="578"/>
        <v>5200131</v>
      </c>
      <c r="DA928" s="9" t="str">
        <f t="shared" si="579"/>
        <v>5501135</v>
      </c>
      <c r="DB928" s="9" t="str">
        <f t="shared" si="580"/>
        <v>5602134</v>
      </c>
      <c r="DC928" s="9" t="str">
        <f t="shared" si="581"/>
        <v>5501134</v>
      </c>
      <c r="DD928" s="9">
        <v>13</v>
      </c>
      <c r="DE928" s="9">
        <v>13</v>
      </c>
      <c r="DF928" s="9">
        <v>13</v>
      </c>
      <c r="DG928" s="9">
        <v>13</v>
      </c>
      <c r="DH928" s="9">
        <v>13</v>
      </c>
      <c r="DI928" s="9">
        <v>13</v>
      </c>
      <c r="DJ928" s="9">
        <v>5</v>
      </c>
      <c r="DK928" s="9">
        <v>5</v>
      </c>
      <c r="DL928" s="9">
        <v>5</v>
      </c>
      <c r="DM928" s="9">
        <v>5</v>
      </c>
      <c r="DN928" s="9">
        <v>5</v>
      </c>
      <c r="DO928" s="9">
        <v>5</v>
      </c>
      <c r="DP928" s="25" t="s">
        <v>111</v>
      </c>
      <c r="DQ928" s="25" t="s">
        <v>200</v>
      </c>
      <c r="DR928" s="25" t="s">
        <v>194</v>
      </c>
      <c r="DS928" s="25" t="s">
        <v>209</v>
      </c>
      <c r="DT928" s="25" t="s">
        <v>220</v>
      </c>
      <c r="DU928" s="25" t="s">
        <v>214</v>
      </c>
      <c r="DV928" s="25">
        <f t="shared" si="582"/>
        <v>1</v>
      </c>
      <c r="DW928" s="25">
        <f t="shared" si="583"/>
        <v>1</v>
      </c>
      <c r="DX928" s="25">
        <f t="shared" si="584"/>
        <v>1</v>
      </c>
      <c r="DY928" s="25">
        <f t="shared" si="585"/>
        <v>2</v>
      </c>
      <c r="DZ928" s="25">
        <f t="shared" si="586"/>
        <v>2</v>
      </c>
      <c r="EA928" s="25">
        <f t="shared" si="587"/>
        <v>2</v>
      </c>
    </row>
    <row r="929" spans="29:131" ht="13.5" customHeight="1">
      <c r="AC929" s="9" t="str">
        <f t="shared" si="564"/>
        <v/>
      </c>
      <c r="AD929" s="9" t="str">
        <f t="shared" si="565"/>
        <v/>
      </c>
      <c r="AE929" s="9" t="str">
        <f t="shared" si="566"/>
        <v/>
      </c>
      <c r="AF929" s="9" t="str">
        <f t="shared" si="567"/>
        <v/>
      </c>
      <c r="AG929" s="9" t="str">
        <f t="shared" si="568"/>
        <v/>
      </c>
      <c r="AH929" s="9" t="str">
        <f t="shared" si="569"/>
        <v/>
      </c>
      <c r="BR929" s="5">
        <v>5503091</v>
      </c>
      <c r="BS929" s="18">
        <f>[1]monsters!$N929</f>
        <v>0</v>
      </c>
      <c r="BT929" s="18">
        <f>[1]monsters!$O929</f>
        <v>0</v>
      </c>
      <c r="BU929" s="18">
        <f>[1]monsters!$P929</f>
        <v>0</v>
      </c>
      <c r="BV929" s="18">
        <f>[1]monsters!$Q929</f>
        <v>0</v>
      </c>
      <c r="BW929" s="18">
        <f>[1]monsters!$R929</f>
        <v>0</v>
      </c>
      <c r="BX929" s="18">
        <f>[1]monsters!$S929</f>
        <v>0</v>
      </c>
      <c r="BY929" s="18">
        <f>[1]monsters!$K929</f>
        <v>0</v>
      </c>
      <c r="BZ929" s="5">
        <f>[1]monsters!$D929</f>
        <v>0</v>
      </c>
      <c r="CA929" s="5" t="e">
        <f t="shared" si="561"/>
        <v>#N/A</v>
      </c>
      <c r="CB929" s="5" t="e">
        <f t="shared" si="562"/>
        <v>#N/A</v>
      </c>
      <c r="CC929" s="5" t="e">
        <f t="shared" si="563"/>
        <v>#N/A</v>
      </c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R929" s="3" t="b">
        <f t="shared" si="570"/>
        <v>1</v>
      </c>
      <c r="CS929" s="3" t="b">
        <f t="shared" si="571"/>
        <v>1</v>
      </c>
      <c r="CT929" s="3" t="b">
        <f t="shared" si="572"/>
        <v>1</v>
      </c>
      <c r="CU929" s="3" t="b">
        <f t="shared" si="573"/>
        <v>1</v>
      </c>
      <c r="CV929" s="3" t="b">
        <f t="shared" si="574"/>
        <v>1</v>
      </c>
      <c r="CW929" s="3" t="b">
        <f t="shared" si="575"/>
        <v>1</v>
      </c>
      <c r="CX929" s="9" t="str">
        <f t="shared" si="576"/>
        <v>5202132</v>
      </c>
      <c r="CY929" s="9" t="str">
        <f t="shared" si="577"/>
        <v>5201132</v>
      </c>
      <c r="CZ929" s="9" t="str">
        <f t="shared" si="578"/>
        <v>5301131</v>
      </c>
      <c r="DA929" s="9" t="str">
        <f t="shared" si="579"/>
        <v>5501134</v>
      </c>
      <c r="DB929" s="9" t="str">
        <f t="shared" si="580"/>
        <v>5500133</v>
      </c>
      <c r="DC929" s="9" t="str">
        <f t="shared" si="581"/>
        <v>5501134</v>
      </c>
      <c r="DD929" s="9">
        <v>13</v>
      </c>
      <c r="DE929" s="9">
        <v>13</v>
      </c>
      <c r="DF929" s="9">
        <v>13</v>
      </c>
      <c r="DG929" s="9">
        <v>13</v>
      </c>
      <c r="DH929" s="9">
        <v>13</v>
      </c>
      <c r="DI929" s="9">
        <v>13</v>
      </c>
      <c r="DJ929" s="9">
        <v>5</v>
      </c>
      <c r="DK929" s="9">
        <v>5</v>
      </c>
      <c r="DL929" s="9">
        <v>5</v>
      </c>
      <c r="DM929" s="9">
        <v>5</v>
      </c>
      <c r="DN929" s="9">
        <v>5</v>
      </c>
      <c r="DO929" s="9">
        <v>5</v>
      </c>
      <c r="DP929" s="25" t="s">
        <v>200</v>
      </c>
      <c r="DQ929" s="25" t="s">
        <v>114</v>
      </c>
      <c r="DR929" s="25" t="s">
        <v>107</v>
      </c>
      <c r="DS929" s="25" t="s">
        <v>214</v>
      </c>
      <c r="DT929" s="25" t="s">
        <v>207</v>
      </c>
      <c r="DU929" s="25" t="s">
        <v>214</v>
      </c>
      <c r="DV929" s="25">
        <f t="shared" si="582"/>
        <v>1</v>
      </c>
      <c r="DW929" s="25">
        <f t="shared" si="583"/>
        <v>1</v>
      </c>
      <c r="DX929" s="25">
        <f t="shared" si="584"/>
        <v>1</v>
      </c>
      <c r="DY929" s="25">
        <f t="shared" si="585"/>
        <v>2</v>
      </c>
      <c r="DZ929" s="25">
        <f t="shared" si="586"/>
        <v>2</v>
      </c>
      <c r="EA929" s="25">
        <f t="shared" si="587"/>
        <v>2</v>
      </c>
    </row>
    <row r="930" spans="29:131" ht="13.5" customHeight="1">
      <c r="AC930" s="9" t="str">
        <f t="shared" si="564"/>
        <v/>
      </c>
      <c r="AD930" s="9" t="str">
        <f t="shared" si="565"/>
        <v/>
      </c>
      <c r="AE930" s="9" t="str">
        <f t="shared" si="566"/>
        <v/>
      </c>
      <c r="AF930" s="9" t="str">
        <f t="shared" si="567"/>
        <v/>
      </c>
      <c r="AG930" s="9" t="str">
        <f t="shared" si="568"/>
        <v/>
      </c>
      <c r="AH930" s="9" t="str">
        <f t="shared" si="569"/>
        <v/>
      </c>
      <c r="BR930" s="5">
        <v>5504091</v>
      </c>
      <c r="BS930" s="18">
        <f>[1]monsters!$N930</f>
        <v>0</v>
      </c>
      <c r="BT930" s="18">
        <f>[1]monsters!$O930</f>
        <v>0</v>
      </c>
      <c r="BU930" s="18">
        <f>[1]monsters!$P930</f>
        <v>0</v>
      </c>
      <c r="BV930" s="18">
        <f>[1]monsters!$Q930</f>
        <v>0</v>
      </c>
      <c r="BW930" s="18">
        <f>[1]monsters!$R930</f>
        <v>0</v>
      </c>
      <c r="BX930" s="18">
        <f>[1]monsters!$S930</f>
        <v>0</v>
      </c>
      <c r="BY930" s="18">
        <f>[1]monsters!$K930</f>
        <v>0</v>
      </c>
      <c r="BZ930" s="5">
        <f>[1]monsters!$D930</f>
        <v>0</v>
      </c>
      <c r="CA930" s="5" t="e">
        <f t="shared" si="561"/>
        <v>#N/A</v>
      </c>
      <c r="CB930" s="5" t="e">
        <f t="shared" si="562"/>
        <v>#N/A</v>
      </c>
      <c r="CC930" s="5" t="e">
        <f t="shared" si="563"/>
        <v>#N/A</v>
      </c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R930" s="3" t="b">
        <f t="shared" si="570"/>
        <v>1</v>
      </c>
      <c r="CS930" s="3" t="b">
        <f t="shared" si="571"/>
        <v>1</v>
      </c>
      <c r="CT930" s="3" t="b">
        <f t="shared" si="572"/>
        <v>1</v>
      </c>
      <c r="CU930" s="3" t="b">
        <f t="shared" si="573"/>
        <v>1</v>
      </c>
      <c r="CV930" s="3" t="b">
        <f t="shared" si="574"/>
        <v>1</v>
      </c>
      <c r="CW930" s="3" t="b">
        <f t="shared" si="575"/>
        <v>1</v>
      </c>
      <c r="CX930" s="9" t="str">
        <f t="shared" si="576"/>
        <v>5201134</v>
      </c>
      <c r="CY930" s="9" t="str">
        <f t="shared" si="577"/>
        <v>5301131</v>
      </c>
      <c r="CZ930" s="9" t="str">
        <f t="shared" si="578"/>
        <v>5201134</v>
      </c>
      <c r="DA930" s="9" t="str">
        <f t="shared" si="579"/>
        <v>5501134</v>
      </c>
      <c r="DB930" s="9" t="str">
        <f t="shared" si="580"/>
        <v>5500133</v>
      </c>
      <c r="DC930" s="9" t="str">
        <f t="shared" si="581"/>
        <v>5501134</v>
      </c>
      <c r="DD930" s="9">
        <v>13</v>
      </c>
      <c r="DE930" s="9">
        <v>13</v>
      </c>
      <c r="DF930" s="9">
        <v>13</v>
      </c>
      <c r="DG930" s="9">
        <v>13</v>
      </c>
      <c r="DH930" s="9">
        <v>13</v>
      </c>
      <c r="DI930" s="9">
        <v>13</v>
      </c>
      <c r="DJ930" s="9">
        <v>5</v>
      </c>
      <c r="DK930" s="9">
        <v>5</v>
      </c>
      <c r="DL930" s="9">
        <v>5</v>
      </c>
      <c r="DM930" s="9">
        <v>5</v>
      </c>
      <c r="DN930" s="9">
        <v>5</v>
      </c>
      <c r="DO930" s="9">
        <v>5</v>
      </c>
      <c r="DP930" s="27" t="s">
        <v>217</v>
      </c>
      <c r="DQ930" s="27" t="s">
        <v>107</v>
      </c>
      <c r="DR930" s="27" t="s">
        <v>217</v>
      </c>
      <c r="DS930" s="27" t="s">
        <v>214</v>
      </c>
      <c r="DT930" s="27" t="s">
        <v>207</v>
      </c>
      <c r="DU930" s="27" t="s">
        <v>214</v>
      </c>
      <c r="DV930" s="25">
        <f t="shared" si="582"/>
        <v>1</v>
      </c>
      <c r="DW930" s="25">
        <f t="shared" si="583"/>
        <v>1</v>
      </c>
      <c r="DX930" s="25">
        <f t="shared" si="584"/>
        <v>1</v>
      </c>
      <c r="DY930" s="25">
        <f t="shared" si="585"/>
        <v>2</v>
      </c>
      <c r="DZ930" s="25">
        <f t="shared" si="586"/>
        <v>2</v>
      </c>
      <c r="EA930" s="25">
        <f t="shared" si="587"/>
        <v>2</v>
      </c>
    </row>
    <row r="931" spans="29:131" ht="13.5" customHeight="1">
      <c r="AC931" s="9" t="str">
        <f t="shared" si="564"/>
        <v/>
      </c>
      <c r="AD931" s="9" t="str">
        <f t="shared" si="565"/>
        <v/>
      </c>
      <c r="AE931" s="9" t="str">
        <f t="shared" si="566"/>
        <v/>
      </c>
      <c r="AF931" s="9" t="str">
        <f t="shared" si="567"/>
        <v/>
      </c>
      <c r="AG931" s="9" t="str">
        <f t="shared" si="568"/>
        <v/>
      </c>
      <c r="AH931" s="9" t="str">
        <f t="shared" si="569"/>
        <v/>
      </c>
      <c r="BR931" s="5">
        <v>5101091</v>
      </c>
      <c r="BS931" s="18">
        <f>[1]monsters!$N931</f>
        <v>0</v>
      </c>
      <c r="BT931" s="18">
        <f>[1]monsters!$O931</f>
        <v>0</v>
      </c>
      <c r="BU931" s="18">
        <f>[1]monsters!$P931</f>
        <v>0</v>
      </c>
      <c r="BV931" s="18">
        <f>[1]monsters!$Q931</f>
        <v>0</v>
      </c>
      <c r="BW931" s="18">
        <f>[1]monsters!$R931</f>
        <v>0</v>
      </c>
      <c r="BX931" s="18">
        <f>[1]monsters!$S931</f>
        <v>0</v>
      </c>
      <c r="BY931" s="18">
        <f>[1]monsters!$K931</f>
        <v>0</v>
      </c>
      <c r="BZ931" s="5">
        <f>[1]monsters!$D931</f>
        <v>0</v>
      </c>
      <c r="CA931" s="5" t="e">
        <f t="shared" si="561"/>
        <v>#N/A</v>
      </c>
      <c r="CB931" s="5" t="e">
        <f t="shared" si="562"/>
        <v>#N/A</v>
      </c>
      <c r="CC931" s="5" t="e">
        <f t="shared" si="563"/>
        <v>#N/A</v>
      </c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R931" s="3" t="b">
        <f t="shared" si="570"/>
        <v>1</v>
      </c>
      <c r="CS931" s="3" t="b">
        <f t="shared" si="571"/>
        <v>1</v>
      </c>
      <c r="CT931" s="3" t="b">
        <f t="shared" si="572"/>
        <v>1</v>
      </c>
      <c r="CU931" s="3" t="b">
        <f t="shared" si="573"/>
        <v>1</v>
      </c>
      <c r="CV931" s="3" t="b">
        <f t="shared" si="574"/>
        <v>1</v>
      </c>
      <c r="CW931" s="3" t="b">
        <f t="shared" si="575"/>
        <v>1</v>
      </c>
      <c r="CX931" s="9" t="str">
        <f t="shared" si="576"/>
        <v>5302135</v>
      </c>
      <c r="CY931" s="9" t="str">
        <f t="shared" si="577"/>
        <v>5202135</v>
      </c>
      <c r="CZ931" s="9" t="str">
        <f t="shared" si="578"/>
        <v>5202135</v>
      </c>
      <c r="DA931" s="9" t="str">
        <f t="shared" si="579"/>
        <v>5401133</v>
      </c>
      <c r="DB931" s="9" t="str">
        <f t="shared" si="580"/>
        <v>5402132</v>
      </c>
      <c r="DC931" s="9" t="str">
        <f t="shared" si="581"/>
        <v>5401133</v>
      </c>
      <c r="DD931" s="9">
        <v>13</v>
      </c>
      <c r="DE931" s="9">
        <v>13</v>
      </c>
      <c r="DF931" s="9">
        <v>13</v>
      </c>
      <c r="DG931" s="9">
        <v>13</v>
      </c>
      <c r="DH931" s="9">
        <v>13</v>
      </c>
      <c r="DI931" s="9">
        <v>13</v>
      </c>
      <c r="DJ931" s="9">
        <v>5</v>
      </c>
      <c r="DK931" s="9">
        <v>5</v>
      </c>
      <c r="DL931" s="9">
        <v>5</v>
      </c>
      <c r="DM931" s="9">
        <v>5</v>
      </c>
      <c r="DN931" s="9">
        <v>5</v>
      </c>
      <c r="DO931" s="9">
        <v>5</v>
      </c>
      <c r="DP931" s="25" t="s">
        <v>221</v>
      </c>
      <c r="DQ931" s="25" t="s">
        <v>213</v>
      </c>
      <c r="DR931" s="25" t="s">
        <v>213</v>
      </c>
      <c r="DS931" s="25" t="s">
        <v>211</v>
      </c>
      <c r="DT931" s="25" t="s">
        <v>203</v>
      </c>
      <c r="DU931" s="25" t="s">
        <v>211</v>
      </c>
      <c r="DV931" s="25">
        <f t="shared" si="582"/>
        <v>1</v>
      </c>
      <c r="DW931" s="25">
        <f t="shared" si="583"/>
        <v>1</v>
      </c>
      <c r="DX931" s="25">
        <f t="shared" si="584"/>
        <v>1</v>
      </c>
      <c r="DY931" s="25">
        <f t="shared" si="585"/>
        <v>2</v>
      </c>
      <c r="DZ931" s="25">
        <f t="shared" si="586"/>
        <v>2</v>
      </c>
      <c r="EA931" s="25">
        <f t="shared" si="587"/>
        <v>2</v>
      </c>
    </row>
    <row r="932" spans="29:131" ht="13.5" customHeight="1">
      <c r="AC932" s="9" t="str">
        <f t="shared" si="564"/>
        <v/>
      </c>
      <c r="AD932" s="9" t="str">
        <f t="shared" si="565"/>
        <v/>
      </c>
      <c r="AE932" s="9" t="str">
        <f t="shared" si="566"/>
        <v/>
      </c>
      <c r="AF932" s="9" t="str">
        <f t="shared" si="567"/>
        <v/>
      </c>
      <c r="AG932" s="9" t="str">
        <f t="shared" si="568"/>
        <v/>
      </c>
      <c r="AH932" s="9" t="str">
        <f t="shared" si="569"/>
        <v/>
      </c>
      <c r="BR932" s="5">
        <v>5102091</v>
      </c>
      <c r="BS932" s="18">
        <f>[1]monsters!$N932</f>
        <v>0</v>
      </c>
      <c r="BT932" s="18">
        <f>[1]monsters!$O932</f>
        <v>0</v>
      </c>
      <c r="BU932" s="18">
        <f>[1]monsters!$P932</f>
        <v>0</v>
      </c>
      <c r="BV932" s="18">
        <f>[1]monsters!$Q932</f>
        <v>0</v>
      </c>
      <c r="BW932" s="18">
        <f>[1]monsters!$R932</f>
        <v>0</v>
      </c>
      <c r="BX932" s="18">
        <f>[1]monsters!$S932</f>
        <v>0</v>
      </c>
      <c r="BY932" s="18">
        <f>[1]monsters!$K932</f>
        <v>0</v>
      </c>
      <c r="BZ932" s="5">
        <f>[1]monsters!$D932</f>
        <v>0</v>
      </c>
      <c r="CA932" s="5" t="e">
        <f t="shared" si="561"/>
        <v>#N/A</v>
      </c>
      <c r="CB932" s="5" t="e">
        <f t="shared" si="562"/>
        <v>#N/A</v>
      </c>
      <c r="CC932" s="5" t="e">
        <f t="shared" si="563"/>
        <v>#N/A</v>
      </c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R932" s="3" t="b">
        <f t="shared" si="570"/>
        <v>1</v>
      </c>
      <c r="CS932" s="3" t="b">
        <f t="shared" si="571"/>
        <v>1</v>
      </c>
      <c r="CT932" s="3" t="b">
        <f t="shared" si="572"/>
        <v>1</v>
      </c>
      <c r="CU932" s="3" t="b">
        <f t="shared" si="573"/>
        <v>1</v>
      </c>
      <c r="CV932" s="3" t="b">
        <f t="shared" si="574"/>
        <v>1</v>
      </c>
      <c r="CW932" s="3" t="b">
        <f t="shared" si="575"/>
        <v>1</v>
      </c>
      <c r="CX932" s="9" t="str">
        <f t="shared" si="576"/>
        <v>5202133</v>
      </c>
      <c r="CY932" s="9" t="str">
        <f t="shared" si="577"/>
        <v>5202133</v>
      </c>
      <c r="CZ932" s="9" t="str">
        <f t="shared" si="578"/>
        <v>5202133</v>
      </c>
      <c r="DA932" s="9" t="str">
        <f t="shared" si="579"/>
        <v>5400135</v>
      </c>
      <c r="DB932" s="9" t="str">
        <f t="shared" si="580"/>
        <v>5501135</v>
      </c>
      <c r="DC932" s="9" t="str">
        <f t="shared" si="581"/>
        <v>5400135</v>
      </c>
      <c r="DD932" s="9">
        <v>13</v>
      </c>
      <c r="DE932" s="9">
        <v>13</v>
      </c>
      <c r="DF932" s="9">
        <v>13</v>
      </c>
      <c r="DG932" s="9">
        <v>13</v>
      </c>
      <c r="DH932" s="9">
        <v>13</v>
      </c>
      <c r="DI932" s="9">
        <v>13</v>
      </c>
      <c r="DJ932" s="9">
        <v>5</v>
      </c>
      <c r="DK932" s="9">
        <v>5</v>
      </c>
      <c r="DL932" s="9">
        <v>5</v>
      </c>
      <c r="DM932" s="9">
        <v>5</v>
      </c>
      <c r="DN932" s="9">
        <v>5</v>
      </c>
      <c r="DO932" s="9">
        <v>5</v>
      </c>
      <c r="DP932" s="25" t="s">
        <v>208</v>
      </c>
      <c r="DQ932" s="25" t="s">
        <v>208</v>
      </c>
      <c r="DR932" s="25" t="s">
        <v>208</v>
      </c>
      <c r="DS932" s="25" t="s">
        <v>210</v>
      </c>
      <c r="DT932" s="25" t="s">
        <v>209</v>
      </c>
      <c r="DU932" s="25" t="s">
        <v>210</v>
      </c>
      <c r="DV932" s="25">
        <f t="shared" si="582"/>
        <v>1</v>
      </c>
      <c r="DW932" s="25">
        <f t="shared" si="583"/>
        <v>1</v>
      </c>
      <c r="DX932" s="25">
        <f t="shared" si="584"/>
        <v>1</v>
      </c>
      <c r="DY932" s="25">
        <f t="shared" si="585"/>
        <v>2</v>
      </c>
      <c r="DZ932" s="25">
        <f t="shared" si="586"/>
        <v>2</v>
      </c>
      <c r="EA932" s="25">
        <f t="shared" si="587"/>
        <v>2</v>
      </c>
    </row>
    <row r="933" spans="29:131" ht="13.5" customHeight="1">
      <c r="AC933" s="9" t="str">
        <f t="shared" si="564"/>
        <v/>
      </c>
      <c r="AD933" s="9" t="str">
        <f t="shared" si="565"/>
        <v/>
      </c>
      <c r="AE933" s="9" t="str">
        <f t="shared" si="566"/>
        <v/>
      </c>
      <c r="AF933" s="9" t="str">
        <f t="shared" si="567"/>
        <v/>
      </c>
      <c r="AG933" s="9" t="str">
        <f t="shared" si="568"/>
        <v/>
      </c>
      <c r="AH933" s="9" t="str">
        <f t="shared" si="569"/>
        <v/>
      </c>
      <c r="BR933" s="5">
        <v>5206092</v>
      </c>
      <c r="BS933" s="18">
        <f>[1]monsters!$N933</f>
        <v>0</v>
      </c>
      <c r="BT933" s="18">
        <f>[1]monsters!$O933</f>
        <v>0</v>
      </c>
      <c r="BU933" s="18">
        <f>[1]monsters!$P933</f>
        <v>0</v>
      </c>
      <c r="BV933" s="18">
        <f>[1]monsters!$Q933</f>
        <v>0</v>
      </c>
      <c r="BW933" s="18">
        <f>[1]monsters!$R933</f>
        <v>0</v>
      </c>
      <c r="BX933" s="18">
        <f>[1]monsters!$S933</f>
        <v>0</v>
      </c>
      <c r="BY933" s="18">
        <f>[1]monsters!$K933</f>
        <v>0</v>
      </c>
      <c r="BZ933" s="5">
        <f>[1]monsters!$D933</f>
        <v>0</v>
      </c>
      <c r="CA933" s="5" t="e">
        <f t="shared" si="561"/>
        <v>#N/A</v>
      </c>
      <c r="CB933" s="5" t="e">
        <f t="shared" si="562"/>
        <v>#N/A</v>
      </c>
      <c r="CC933" s="5" t="e">
        <f t="shared" si="563"/>
        <v>#N/A</v>
      </c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R933" s="3" t="b">
        <f t="shared" si="570"/>
        <v>1</v>
      </c>
      <c r="CS933" s="3" t="b">
        <f t="shared" si="571"/>
        <v>1</v>
      </c>
      <c r="CT933" s="3" t="b">
        <f t="shared" si="572"/>
        <v>1</v>
      </c>
      <c r="CU933" s="3" t="b">
        <f t="shared" si="573"/>
        <v>1</v>
      </c>
      <c r="CV933" s="3" t="b">
        <f t="shared" si="574"/>
        <v>1</v>
      </c>
      <c r="CW933" s="3" t="b">
        <f t="shared" si="575"/>
        <v>1</v>
      </c>
      <c r="CX933" s="9" t="str">
        <f t="shared" si="576"/>
        <v>5201131</v>
      </c>
      <c r="CY933" s="9" t="str">
        <f t="shared" si="577"/>
        <v>5201132</v>
      </c>
      <c r="CZ933" s="9" t="str">
        <f t="shared" si="578"/>
        <v>5200131</v>
      </c>
      <c r="DA933" s="9" t="str">
        <f t="shared" si="579"/>
        <v>5601131</v>
      </c>
      <c r="DB933" s="9" t="str">
        <f t="shared" si="580"/>
        <v>5500133</v>
      </c>
      <c r="DC933" s="9" t="str">
        <f t="shared" si="581"/>
        <v>5501134</v>
      </c>
      <c r="DD933" s="9">
        <v>13</v>
      </c>
      <c r="DE933" s="9">
        <v>13</v>
      </c>
      <c r="DF933" s="9">
        <v>13</v>
      </c>
      <c r="DG933" s="9">
        <v>13</v>
      </c>
      <c r="DH933" s="9">
        <v>13</v>
      </c>
      <c r="DI933" s="9">
        <v>13</v>
      </c>
      <c r="DJ933" s="9">
        <v>5</v>
      </c>
      <c r="DK933" s="9">
        <v>5</v>
      </c>
      <c r="DL933" s="9">
        <v>5</v>
      </c>
      <c r="DM933" s="9">
        <v>5</v>
      </c>
      <c r="DN933" s="9">
        <v>5</v>
      </c>
      <c r="DO933" s="9">
        <v>5</v>
      </c>
      <c r="DP933" s="25" t="s">
        <v>195</v>
      </c>
      <c r="DQ933" s="25" t="s">
        <v>114</v>
      </c>
      <c r="DR933" s="25" t="s">
        <v>194</v>
      </c>
      <c r="DS933" s="25" t="s">
        <v>198</v>
      </c>
      <c r="DT933" s="25" t="s">
        <v>207</v>
      </c>
      <c r="DU933" s="25" t="s">
        <v>214</v>
      </c>
      <c r="DV933" s="25">
        <f t="shared" si="582"/>
        <v>1</v>
      </c>
      <c r="DW933" s="25">
        <f t="shared" si="583"/>
        <v>1</v>
      </c>
      <c r="DX933" s="25">
        <f t="shared" si="584"/>
        <v>1</v>
      </c>
      <c r="DY933" s="25">
        <f t="shared" si="585"/>
        <v>2</v>
      </c>
      <c r="DZ933" s="25">
        <f t="shared" si="586"/>
        <v>2</v>
      </c>
      <c r="EA933" s="25">
        <f t="shared" si="587"/>
        <v>2</v>
      </c>
    </row>
    <row r="934" spans="29:131" ht="13.5" customHeight="1">
      <c r="AC934" s="9" t="str">
        <f t="shared" si="564"/>
        <v/>
      </c>
      <c r="AD934" s="9" t="str">
        <f t="shared" si="565"/>
        <v/>
      </c>
      <c r="AE934" s="9" t="str">
        <f t="shared" si="566"/>
        <v/>
      </c>
      <c r="AF934" s="9" t="str">
        <f t="shared" si="567"/>
        <v/>
      </c>
      <c r="AG934" s="9" t="str">
        <f t="shared" si="568"/>
        <v/>
      </c>
      <c r="AH934" s="9" t="str">
        <f t="shared" si="569"/>
        <v/>
      </c>
      <c r="BR934" s="5">
        <v>5406092</v>
      </c>
      <c r="BS934" s="18">
        <f>[1]monsters!$N934</f>
        <v>0</v>
      </c>
      <c r="BT934" s="18">
        <f>[1]monsters!$O934</f>
        <v>0</v>
      </c>
      <c r="BU934" s="18">
        <f>[1]monsters!$P934</f>
        <v>0</v>
      </c>
      <c r="BV934" s="18">
        <f>[1]monsters!$Q934</f>
        <v>0</v>
      </c>
      <c r="BW934" s="18">
        <f>[1]monsters!$R934</f>
        <v>0</v>
      </c>
      <c r="BX934" s="18">
        <f>[1]monsters!$S934</f>
        <v>0</v>
      </c>
      <c r="BY934" s="18">
        <f>[1]monsters!$K934</f>
        <v>0</v>
      </c>
      <c r="BZ934" s="5">
        <f>[1]monsters!$D934</f>
        <v>0</v>
      </c>
      <c r="CA934" s="5" t="e">
        <f t="shared" si="561"/>
        <v>#N/A</v>
      </c>
      <c r="CB934" s="5" t="e">
        <f t="shared" si="562"/>
        <v>#N/A</v>
      </c>
      <c r="CC934" s="5" t="e">
        <f t="shared" si="563"/>
        <v>#N/A</v>
      </c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R934" s="3" t="b">
        <f t="shared" si="570"/>
        <v>1</v>
      </c>
      <c r="CS934" s="3" t="b">
        <f t="shared" si="571"/>
        <v>1</v>
      </c>
      <c r="CT934" s="3" t="b">
        <f t="shared" si="572"/>
        <v>1</v>
      </c>
      <c r="CU934" s="3" t="b">
        <f t="shared" si="573"/>
        <v>1</v>
      </c>
      <c r="CV934" s="3" t="b">
        <f t="shared" si="574"/>
        <v>1</v>
      </c>
      <c r="CW934" s="3" t="b">
        <f t="shared" si="575"/>
        <v>1</v>
      </c>
      <c r="CX934" s="9" t="str">
        <f t="shared" si="576"/>
        <v>5300135</v>
      </c>
      <c r="CY934" s="9" t="str">
        <f t="shared" si="577"/>
        <v>5202135</v>
      </c>
      <c r="CZ934" s="9" t="str">
        <f t="shared" si="578"/>
        <v>5202135</v>
      </c>
      <c r="DA934" s="9" t="str">
        <f t="shared" si="579"/>
        <v>5400135</v>
      </c>
      <c r="DB934" s="9" t="str">
        <f t="shared" si="580"/>
        <v>5400135</v>
      </c>
      <c r="DC934" s="9" t="str">
        <f t="shared" si="581"/>
        <v>5400135</v>
      </c>
      <c r="DD934" s="9">
        <v>13</v>
      </c>
      <c r="DE934" s="9">
        <v>13</v>
      </c>
      <c r="DF934" s="9">
        <v>13</v>
      </c>
      <c r="DG934" s="9">
        <v>13</v>
      </c>
      <c r="DH934" s="9">
        <v>13</v>
      </c>
      <c r="DI934" s="9">
        <v>13</v>
      </c>
      <c r="DJ934" s="9">
        <v>5</v>
      </c>
      <c r="DK934" s="9">
        <v>5</v>
      </c>
      <c r="DL934" s="9">
        <v>5</v>
      </c>
      <c r="DM934" s="9">
        <v>5</v>
      </c>
      <c r="DN934" s="9">
        <v>5</v>
      </c>
      <c r="DO934" s="9">
        <v>5</v>
      </c>
      <c r="DP934" s="25" t="s">
        <v>212</v>
      </c>
      <c r="DQ934" s="25" t="s">
        <v>213</v>
      </c>
      <c r="DR934" s="25" t="s">
        <v>213</v>
      </c>
      <c r="DS934" s="25" t="s">
        <v>210</v>
      </c>
      <c r="DT934" s="25" t="s">
        <v>210</v>
      </c>
      <c r="DU934" s="25" t="s">
        <v>210</v>
      </c>
      <c r="DV934" s="25">
        <f t="shared" si="582"/>
        <v>1</v>
      </c>
      <c r="DW934" s="25">
        <f t="shared" si="583"/>
        <v>1</v>
      </c>
      <c r="DX934" s="25">
        <f t="shared" si="584"/>
        <v>1</v>
      </c>
      <c r="DY934" s="25">
        <f t="shared" si="585"/>
        <v>2</v>
      </c>
      <c r="DZ934" s="25">
        <f t="shared" si="586"/>
        <v>2</v>
      </c>
      <c r="EA934" s="25">
        <f t="shared" si="587"/>
        <v>2</v>
      </c>
    </row>
    <row r="935" spans="29:131" ht="13.5" customHeight="1">
      <c r="AC935" s="9" t="str">
        <f t="shared" si="564"/>
        <v/>
      </c>
      <c r="AD935" s="9" t="str">
        <f t="shared" si="565"/>
        <v/>
      </c>
      <c r="AE935" s="9" t="str">
        <f t="shared" si="566"/>
        <v/>
      </c>
      <c r="AF935" s="9" t="str">
        <f t="shared" si="567"/>
        <v/>
      </c>
      <c r="AG935" s="9" t="str">
        <f t="shared" si="568"/>
        <v/>
      </c>
      <c r="AH935" s="9" t="str">
        <f t="shared" si="569"/>
        <v/>
      </c>
      <c r="BR935" s="5">
        <v>5205092</v>
      </c>
      <c r="BS935" s="18">
        <f>[1]monsters!$N935</f>
        <v>0</v>
      </c>
      <c r="BT935" s="18">
        <f>[1]monsters!$O935</f>
        <v>0</v>
      </c>
      <c r="BU935" s="18">
        <f>[1]monsters!$P935</f>
        <v>0</v>
      </c>
      <c r="BV935" s="18">
        <f>[1]monsters!$Q935</f>
        <v>0</v>
      </c>
      <c r="BW935" s="18">
        <f>[1]monsters!$R935</f>
        <v>0</v>
      </c>
      <c r="BX935" s="18">
        <f>[1]monsters!$S935</f>
        <v>0</v>
      </c>
      <c r="BY935" s="18">
        <f>[1]monsters!$K935</f>
        <v>0</v>
      </c>
      <c r="BZ935" s="5">
        <f>[1]monsters!$D935</f>
        <v>0</v>
      </c>
      <c r="CA935" s="5" t="e">
        <f t="shared" si="561"/>
        <v>#N/A</v>
      </c>
      <c r="CB935" s="5" t="e">
        <f t="shared" si="562"/>
        <v>#N/A</v>
      </c>
      <c r="CC935" s="5" t="e">
        <f t="shared" si="563"/>
        <v>#N/A</v>
      </c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R935" s="3" t="b">
        <f t="shared" si="570"/>
        <v>1</v>
      </c>
      <c r="CS935" s="3" t="b">
        <f t="shared" si="571"/>
        <v>1</v>
      </c>
      <c r="CT935" s="3" t="b">
        <f t="shared" si="572"/>
        <v>1</v>
      </c>
      <c r="CU935" s="3" t="b">
        <f t="shared" si="573"/>
        <v>1</v>
      </c>
      <c r="CV935" s="3" t="b">
        <f t="shared" si="574"/>
        <v>1</v>
      </c>
      <c r="CW935" s="3" t="b">
        <f t="shared" si="575"/>
        <v>1</v>
      </c>
      <c r="CX935" s="9" t="str">
        <f t="shared" si="576"/>
        <v>5301131</v>
      </c>
      <c r="CY935" s="9" t="str">
        <f t="shared" si="577"/>
        <v>5301132</v>
      </c>
      <c r="CZ935" s="9" t="str">
        <f t="shared" si="578"/>
        <v>5301132</v>
      </c>
      <c r="DA935" s="9" t="str">
        <f t="shared" si="579"/>
        <v>5500132</v>
      </c>
      <c r="DB935" s="9" t="str">
        <f t="shared" si="580"/>
        <v>5400135</v>
      </c>
      <c r="DC935" s="9" t="str">
        <f t="shared" si="581"/>
        <v>5502133</v>
      </c>
      <c r="DD935" s="9">
        <v>13</v>
      </c>
      <c r="DE935" s="9">
        <v>13</v>
      </c>
      <c r="DF935" s="9">
        <v>13</v>
      </c>
      <c r="DG935" s="9">
        <v>13</v>
      </c>
      <c r="DH935" s="9">
        <v>13</v>
      </c>
      <c r="DI935" s="9">
        <v>13</v>
      </c>
      <c r="DJ935" s="9">
        <v>5</v>
      </c>
      <c r="DK935" s="9">
        <v>5</v>
      </c>
      <c r="DL935" s="9">
        <v>5</v>
      </c>
      <c r="DM935" s="9">
        <v>5</v>
      </c>
      <c r="DN935" s="9">
        <v>5</v>
      </c>
      <c r="DO935" s="9">
        <v>5</v>
      </c>
      <c r="DP935" s="25" t="s">
        <v>107</v>
      </c>
      <c r="DQ935" s="25" t="s">
        <v>201</v>
      </c>
      <c r="DR935" s="25" t="s">
        <v>201</v>
      </c>
      <c r="DS935" s="25" t="s">
        <v>109</v>
      </c>
      <c r="DT935" s="25" t="s">
        <v>210</v>
      </c>
      <c r="DU935" s="25" t="s">
        <v>215</v>
      </c>
      <c r="DV935" s="25">
        <f t="shared" si="582"/>
        <v>1</v>
      </c>
      <c r="DW935" s="25">
        <f t="shared" si="583"/>
        <v>1</v>
      </c>
      <c r="DX935" s="25">
        <f t="shared" si="584"/>
        <v>1</v>
      </c>
      <c r="DY935" s="25">
        <f t="shared" si="585"/>
        <v>2</v>
      </c>
      <c r="DZ935" s="25">
        <f t="shared" si="586"/>
        <v>2</v>
      </c>
      <c r="EA935" s="25">
        <f t="shared" si="587"/>
        <v>2</v>
      </c>
    </row>
    <row r="936" spans="29:131" ht="13.5" customHeight="1">
      <c r="AC936" s="9" t="str">
        <f t="shared" si="564"/>
        <v/>
      </c>
      <c r="AD936" s="9" t="str">
        <f t="shared" si="565"/>
        <v/>
      </c>
      <c r="AE936" s="9" t="str">
        <f t="shared" si="566"/>
        <v/>
      </c>
      <c r="AF936" s="9" t="str">
        <f t="shared" si="567"/>
        <v/>
      </c>
      <c r="AG936" s="9" t="str">
        <f t="shared" si="568"/>
        <v/>
      </c>
      <c r="AH936" s="9" t="str">
        <f t="shared" si="569"/>
        <v/>
      </c>
      <c r="BR936" s="5">
        <v>5405092</v>
      </c>
      <c r="BS936" s="18">
        <f>[1]monsters!$N936</f>
        <v>0</v>
      </c>
      <c r="BT936" s="18">
        <f>[1]monsters!$O936</f>
        <v>0</v>
      </c>
      <c r="BU936" s="18">
        <f>[1]monsters!$P936</f>
        <v>0</v>
      </c>
      <c r="BV936" s="18">
        <f>[1]monsters!$Q936</f>
        <v>0</v>
      </c>
      <c r="BW936" s="18">
        <f>[1]monsters!$R936</f>
        <v>0</v>
      </c>
      <c r="BX936" s="18">
        <f>[1]monsters!$S936</f>
        <v>0</v>
      </c>
      <c r="BY936" s="18">
        <f>[1]monsters!$K936</f>
        <v>0</v>
      </c>
      <c r="BZ936" s="5">
        <f>[1]monsters!$D936</f>
        <v>0</v>
      </c>
      <c r="CA936" s="5" t="e">
        <f t="shared" si="561"/>
        <v>#N/A</v>
      </c>
      <c r="CB936" s="5" t="e">
        <f t="shared" si="562"/>
        <v>#N/A</v>
      </c>
      <c r="CC936" s="5" t="e">
        <f t="shared" si="563"/>
        <v>#N/A</v>
      </c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R936" s="3" t="b">
        <f t="shared" si="570"/>
        <v>1</v>
      </c>
      <c r="CS936" s="3" t="b">
        <f t="shared" si="571"/>
        <v>1</v>
      </c>
      <c r="CT936" s="3" t="b">
        <f t="shared" si="572"/>
        <v>1</v>
      </c>
      <c r="CU936" s="3" t="b">
        <f t="shared" si="573"/>
        <v>1</v>
      </c>
      <c r="CV936" s="3" t="b">
        <f t="shared" si="574"/>
        <v>1</v>
      </c>
      <c r="CW936" s="3" t="b">
        <f t="shared" si="575"/>
        <v>1</v>
      </c>
      <c r="CX936" s="9" t="str">
        <f t="shared" si="576"/>
        <v>5201133</v>
      </c>
      <c r="CY936" s="9" t="str">
        <f t="shared" si="577"/>
        <v>5200133</v>
      </c>
      <c r="CZ936" s="9" t="str">
        <f t="shared" si="578"/>
        <v>5301132</v>
      </c>
      <c r="DA936" s="9" t="str">
        <f t="shared" si="579"/>
        <v>5501134</v>
      </c>
      <c r="DB936" s="9" t="str">
        <f t="shared" si="580"/>
        <v>5500133</v>
      </c>
      <c r="DC936" s="9" t="str">
        <f t="shared" si="581"/>
        <v>5501134</v>
      </c>
      <c r="DD936" s="9">
        <v>13</v>
      </c>
      <c r="DE936" s="9">
        <v>13</v>
      </c>
      <c r="DF936" s="9">
        <v>13</v>
      </c>
      <c r="DG936" s="9">
        <v>13</v>
      </c>
      <c r="DH936" s="9">
        <v>13</v>
      </c>
      <c r="DI936" s="9">
        <v>13</v>
      </c>
      <c r="DJ936" s="9">
        <v>5</v>
      </c>
      <c r="DK936" s="9">
        <v>5</v>
      </c>
      <c r="DL936" s="9">
        <v>5</v>
      </c>
      <c r="DM936" s="9">
        <v>5</v>
      </c>
      <c r="DN936" s="9">
        <v>5</v>
      </c>
      <c r="DO936" s="9">
        <v>5</v>
      </c>
      <c r="DP936" s="25" t="s">
        <v>205</v>
      </c>
      <c r="DQ936" s="25" t="s">
        <v>113</v>
      </c>
      <c r="DR936" s="25" t="s">
        <v>201</v>
      </c>
      <c r="DS936" s="25" t="s">
        <v>214</v>
      </c>
      <c r="DT936" s="25" t="s">
        <v>207</v>
      </c>
      <c r="DU936" s="25" t="s">
        <v>214</v>
      </c>
      <c r="DV936" s="25">
        <f t="shared" si="582"/>
        <v>1</v>
      </c>
      <c r="DW936" s="25">
        <f t="shared" si="583"/>
        <v>1</v>
      </c>
      <c r="DX936" s="25">
        <f t="shared" si="584"/>
        <v>1</v>
      </c>
      <c r="DY936" s="25">
        <f t="shared" si="585"/>
        <v>2</v>
      </c>
      <c r="DZ936" s="25">
        <f t="shared" si="586"/>
        <v>2</v>
      </c>
      <c r="EA936" s="25">
        <f t="shared" si="587"/>
        <v>2</v>
      </c>
    </row>
    <row r="937" spans="29:131" ht="13.5" customHeight="1">
      <c r="AC937" s="9" t="str">
        <f t="shared" si="564"/>
        <v/>
      </c>
      <c r="AD937" s="9" t="str">
        <f t="shared" si="565"/>
        <v/>
      </c>
      <c r="AE937" s="9" t="str">
        <f t="shared" si="566"/>
        <v/>
      </c>
      <c r="AF937" s="9" t="str">
        <f t="shared" si="567"/>
        <v/>
      </c>
      <c r="AG937" s="9" t="str">
        <f t="shared" si="568"/>
        <v/>
      </c>
      <c r="AH937" s="9" t="str">
        <f t="shared" si="569"/>
        <v/>
      </c>
      <c r="BR937" s="5">
        <v>5203092</v>
      </c>
      <c r="BS937" s="18">
        <f>[1]monsters!$N937</f>
        <v>0</v>
      </c>
      <c r="BT937" s="18">
        <f>[1]monsters!$O937</f>
        <v>0</v>
      </c>
      <c r="BU937" s="18">
        <f>[1]monsters!$P937</f>
        <v>0</v>
      </c>
      <c r="BV937" s="18">
        <f>[1]monsters!$Q937</f>
        <v>0</v>
      </c>
      <c r="BW937" s="18">
        <f>[1]monsters!$R937</f>
        <v>0</v>
      </c>
      <c r="BX937" s="18">
        <f>[1]monsters!$S937</f>
        <v>0</v>
      </c>
      <c r="BY937" s="18">
        <f>[1]monsters!$K937</f>
        <v>0</v>
      </c>
      <c r="BZ937" s="5">
        <f>[1]monsters!$D937</f>
        <v>0</v>
      </c>
      <c r="CA937" s="5" t="e">
        <f t="shared" si="561"/>
        <v>#N/A</v>
      </c>
      <c r="CB937" s="5" t="e">
        <f t="shared" si="562"/>
        <v>#N/A</v>
      </c>
      <c r="CC937" s="5" t="e">
        <f t="shared" si="563"/>
        <v>#N/A</v>
      </c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R937" s="3" t="b">
        <f t="shared" si="570"/>
        <v>1</v>
      </c>
      <c r="CS937" s="3" t="b">
        <f t="shared" si="571"/>
        <v>1</v>
      </c>
      <c r="CT937" s="3" t="b">
        <f t="shared" si="572"/>
        <v>1</v>
      </c>
      <c r="CU937" s="3" t="b">
        <f t="shared" si="573"/>
        <v>1</v>
      </c>
      <c r="CV937" s="3" t="b">
        <f t="shared" si="574"/>
        <v>1</v>
      </c>
      <c r="CW937" s="3" t="b">
        <f t="shared" si="575"/>
        <v>1</v>
      </c>
      <c r="CX937" s="9" t="str">
        <f t="shared" si="576"/>
        <v>5200133</v>
      </c>
      <c r="CY937" s="9" t="str">
        <f t="shared" si="577"/>
        <v>5200133</v>
      </c>
      <c r="CZ937" s="9" t="str">
        <f t="shared" si="578"/>
        <v>5200133</v>
      </c>
      <c r="DA937" s="9" t="str">
        <f t="shared" si="579"/>
        <v>5401133</v>
      </c>
      <c r="DB937" s="9" t="str">
        <f t="shared" si="580"/>
        <v>5401133</v>
      </c>
      <c r="DC937" s="9" t="str">
        <f t="shared" si="581"/>
        <v>5401133</v>
      </c>
      <c r="DD937" s="9">
        <v>13</v>
      </c>
      <c r="DE937" s="9">
        <v>13</v>
      </c>
      <c r="DF937" s="9">
        <v>13</v>
      </c>
      <c r="DG937" s="9">
        <v>13</v>
      </c>
      <c r="DH937" s="9">
        <v>13</v>
      </c>
      <c r="DI937" s="9">
        <v>13</v>
      </c>
      <c r="DJ937" s="9">
        <v>5</v>
      </c>
      <c r="DK937" s="9">
        <v>5</v>
      </c>
      <c r="DL937" s="9">
        <v>5</v>
      </c>
      <c r="DM937" s="9">
        <v>5</v>
      </c>
      <c r="DN937" s="9">
        <v>5</v>
      </c>
      <c r="DO937" s="9">
        <v>5</v>
      </c>
      <c r="DP937" s="25" t="s">
        <v>113</v>
      </c>
      <c r="DQ937" s="25" t="s">
        <v>113</v>
      </c>
      <c r="DR937" s="25" t="s">
        <v>113</v>
      </c>
      <c r="DS937" s="25" t="s">
        <v>211</v>
      </c>
      <c r="DT937" s="25" t="s">
        <v>211</v>
      </c>
      <c r="DU937" s="25" t="s">
        <v>211</v>
      </c>
      <c r="DV937" s="25">
        <f t="shared" si="582"/>
        <v>1</v>
      </c>
      <c r="DW937" s="25">
        <f t="shared" si="583"/>
        <v>1</v>
      </c>
      <c r="DX937" s="25">
        <f t="shared" si="584"/>
        <v>1</v>
      </c>
      <c r="DY937" s="25">
        <f t="shared" si="585"/>
        <v>2</v>
      </c>
      <c r="DZ937" s="25">
        <f t="shared" si="586"/>
        <v>2</v>
      </c>
      <c r="EA937" s="25">
        <f t="shared" si="587"/>
        <v>2</v>
      </c>
    </row>
    <row r="938" spans="29:131" ht="13.5" customHeight="1">
      <c r="AC938" s="9" t="str">
        <f t="shared" si="564"/>
        <v/>
      </c>
      <c r="AD938" s="9" t="str">
        <f t="shared" si="565"/>
        <v/>
      </c>
      <c r="AE938" s="9" t="str">
        <f t="shared" si="566"/>
        <v/>
      </c>
      <c r="AF938" s="9" t="str">
        <f t="shared" si="567"/>
        <v/>
      </c>
      <c r="AG938" s="9" t="str">
        <f t="shared" si="568"/>
        <v/>
      </c>
      <c r="AH938" s="9" t="str">
        <f t="shared" si="569"/>
        <v/>
      </c>
      <c r="BR938" s="5">
        <v>5403092</v>
      </c>
      <c r="BS938" s="18">
        <f>[1]monsters!$N938</f>
        <v>0</v>
      </c>
      <c r="BT938" s="18">
        <f>[1]monsters!$O938</f>
        <v>0</v>
      </c>
      <c r="BU938" s="18">
        <f>[1]monsters!$P938</f>
        <v>0</v>
      </c>
      <c r="BV938" s="18">
        <f>[1]monsters!$Q938</f>
        <v>0</v>
      </c>
      <c r="BW938" s="18">
        <f>[1]monsters!$R938</f>
        <v>0</v>
      </c>
      <c r="BX938" s="18">
        <f>[1]monsters!$S938</f>
        <v>0</v>
      </c>
      <c r="BY938" s="18">
        <f>[1]monsters!$K938</f>
        <v>0</v>
      </c>
      <c r="BZ938" s="5">
        <f>[1]monsters!$D938</f>
        <v>0</v>
      </c>
      <c r="CA938" s="5" t="e">
        <f t="shared" si="561"/>
        <v>#N/A</v>
      </c>
      <c r="CB938" s="5" t="e">
        <f t="shared" si="562"/>
        <v>#N/A</v>
      </c>
      <c r="CC938" s="5" t="e">
        <f t="shared" si="563"/>
        <v>#N/A</v>
      </c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R938" s="3" t="b">
        <f t="shared" si="570"/>
        <v>1</v>
      </c>
      <c r="CS938" s="3" t="b">
        <f t="shared" si="571"/>
        <v>1</v>
      </c>
      <c r="CT938" s="3" t="b">
        <f t="shared" si="572"/>
        <v>1</v>
      </c>
      <c r="CU938" s="3" t="b">
        <f t="shared" si="573"/>
        <v>1</v>
      </c>
      <c r="CV938" s="3" t="b">
        <f t="shared" si="574"/>
        <v>1</v>
      </c>
      <c r="CW938" s="3" t="b">
        <f t="shared" si="575"/>
        <v>1</v>
      </c>
      <c r="CX938" s="9" t="str">
        <f t="shared" si="576"/>
        <v>5201131</v>
      </c>
      <c r="CY938" s="9" t="str">
        <f t="shared" si="577"/>
        <v>5201132</v>
      </c>
      <c r="CZ938" s="9" t="str">
        <f t="shared" si="578"/>
        <v>5202131</v>
      </c>
      <c r="DA938" s="9" t="str">
        <f t="shared" si="579"/>
        <v>5502131</v>
      </c>
      <c r="DB938" s="9" t="str">
        <f t="shared" si="580"/>
        <v>5500131</v>
      </c>
      <c r="DC938" s="9" t="str">
        <f t="shared" si="581"/>
        <v>5502131</v>
      </c>
      <c r="DD938" s="9">
        <v>13</v>
      </c>
      <c r="DE938" s="9">
        <v>13</v>
      </c>
      <c r="DF938" s="9">
        <v>13</v>
      </c>
      <c r="DG938" s="9">
        <v>13</v>
      </c>
      <c r="DH938" s="9">
        <v>13</v>
      </c>
      <c r="DI938" s="9">
        <v>13</v>
      </c>
      <c r="DJ938" s="9">
        <v>5</v>
      </c>
      <c r="DK938" s="9">
        <v>5</v>
      </c>
      <c r="DL938" s="9">
        <v>5</v>
      </c>
      <c r="DM938" s="9">
        <v>5</v>
      </c>
      <c r="DN938" s="9">
        <v>5</v>
      </c>
      <c r="DO938" s="9">
        <v>5</v>
      </c>
      <c r="DP938" s="25" t="s">
        <v>195</v>
      </c>
      <c r="DQ938" s="25" t="s">
        <v>114</v>
      </c>
      <c r="DR938" s="25" t="s">
        <v>111</v>
      </c>
      <c r="DS938" s="25" t="s">
        <v>119</v>
      </c>
      <c r="DT938" s="25" t="s">
        <v>197</v>
      </c>
      <c r="DU938" s="25" t="s">
        <v>119</v>
      </c>
      <c r="DV938" s="25">
        <f t="shared" si="582"/>
        <v>1</v>
      </c>
      <c r="DW938" s="25">
        <f t="shared" si="583"/>
        <v>1</v>
      </c>
      <c r="DX938" s="25">
        <f t="shared" si="584"/>
        <v>1</v>
      </c>
      <c r="DY938" s="25">
        <f t="shared" si="585"/>
        <v>2</v>
      </c>
      <c r="DZ938" s="25">
        <f t="shared" si="586"/>
        <v>2</v>
      </c>
      <c r="EA938" s="25">
        <f t="shared" si="587"/>
        <v>2</v>
      </c>
    </row>
    <row r="939" spans="29:131" ht="13.5" customHeight="1">
      <c r="AC939" s="9" t="str">
        <f t="shared" si="564"/>
        <v/>
      </c>
      <c r="AD939" s="9" t="str">
        <f t="shared" si="565"/>
        <v/>
      </c>
      <c r="AE939" s="9" t="str">
        <f t="shared" si="566"/>
        <v/>
      </c>
      <c r="AF939" s="9" t="str">
        <f t="shared" si="567"/>
        <v/>
      </c>
      <c r="AG939" s="9" t="str">
        <f t="shared" si="568"/>
        <v/>
      </c>
      <c r="AH939" s="9" t="str">
        <f t="shared" si="569"/>
        <v/>
      </c>
      <c r="BR939" s="5">
        <v>5204092</v>
      </c>
      <c r="BS939" s="18">
        <f>[1]monsters!$N939</f>
        <v>0</v>
      </c>
      <c r="BT939" s="18">
        <f>[1]monsters!$O939</f>
        <v>0</v>
      </c>
      <c r="BU939" s="18">
        <f>[1]monsters!$P939</f>
        <v>0</v>
      </c>
      <c r="BV939" s="18">
        <f>[1]monsters!$Q939</f>
        <v>0</v>
      </c>
      <c r="BW939" s="18">
        <f>[1]monsters!$R939</f>
        <v>0</v>
      </c>
      <c r="BX939" s="18">
        <f>[1]monsters!$S939</f>
        <v>0</v>
      </c>
      <c r="BY939" s="18">
        <f>[1]monsters!$K939</f>
        <v>0</v>
      </c>
      <c r="BZ939" s="5">
        <f>[1]monsters!$D939</f>
        <v>0</v>
      </c>
      <c r="CA939" s="5" t="e">
        <f t="shared" si="561"/>
        <v>#N/A</v>
      </c>
      <c r="CB939" s="5" t="e">
        <f t="shared" si="562"/>
        <v>#N/A</v>
      </c>
      <c r="CC939" s="5" t="e">
        <f t="shared" si="563"/>
        <v>#N/A</v>
      </c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R939" s="3" t="b">
        <f t="shared" si="570"/>
        <v>1</v>
      </c>
      <c r="CS939" s="3" t="b">
        <f t="shared" si="571"/>
        <v>1</v>
      </c>
      <c r="CT939" s="3" t="b">
        <f t="shared" si="572"/>
        <v>1</v>
      </c>
      <c r="CU939" s="3" t="b">
        <f t="shared" si="573"/>
        <v>1</v>
      </c>
      <c r="CV939" s="3" t="b">
        <f t="shared" si="574"/>
        <v>1</v>
      </c>
      <c r="CW939" s="3" t="b">
        <f t="shared" si="575"/>
        <v>1</v>
      </c>
      <c r="CX939" s="9" t="str">
        <f t="shared" si="576"/>
        <v>5202133</v>
      </c>
      <c r="CY939" s="9" t="str">
        <f t="shared" si="577"/>
        <v>5201133</v>
      </c>
      <c r="CZ939" s="9" t="str">
        <f t="shared" si="578"/>
        <v>5302134</v>
      </c>
      <c r="DA939" s="9" t="str">
        <f t="shared" si="579"/>
        <v>5501134</v>
      </c>
      <c r="DB939" s="9" t="str">
        <f t="shared" si="580"/>
        <v>5501135</v>
      </c>
      <c r="DC939" s="9" t="str">
        <f t="shared" si="581"/>
        <v>5500132</v>
      </c>
      <c r="DD939" s="9">
        <v>13</v>
      </c>
      <c r="DE939" s="9">
        <v>13</v>
      </c>
      <c r="DF939" s="9">
        <v>13</v>
      </c>
      <c r="DG939" s="9">
        <v>13</v>
      </c>
      <c r="DH939" s="9">
        <v>13</v>
      </c>
      <c r="DI939" s="9">
        <v>13</v>
      </c>
      <c r="DJ939" s="9">
        <v>5</v>
      </c>
      <c r="DK939" s="9">
        <v>5</v>
      </c>
      <c r="DL939" s="9">
        <v>5</v>
      </c>
      <c r="DM939" s="9">
        <v>5</v>
      </c>
      <c r="DN939" s="9">
        <v>5</v>
      </c>
      <c r="DO939" s="9">
        <v>5</v>
      </c>
      <c r="DP939" s="25" t="s">
        <v>208</v>
      </c>
      <c r="DQ939" s="25" t="s">
        <v>205</v>
      </c>
      <c r="DR939" s="25" t="s">
        <v>218</v>
      </c>
      <c r="DS939" s="25" t="s">
        <v>214</v>
      </c>
      <c r="DT939" s="25" t="s">
        <v>209</v>
      </c>
      <c r="DU939" s="25" t="s">
        <v>109</v>
      </c>
      <c r="DV939" s="25">
        <f t="shared" si="582"/>
        <v>1</v>
      </c>
      <c r="DW939" s="25">
        <f t="shared" si="583"/>
        <v>1</v>
      </c>
      <c r="DX939" s="25">
        <f t="shared" si="584"/>
        <v>1</v>
      </c>
      <c r="DY939" s="25">
        <f t="shared" si="585"/>
        <v>2</v>
      </c>
      <c r="DZ939" s="25">
        <f t="shared" si="586"/>
        <v>2</v>
      </c>
      <c r="EA939" s="25">
        <f t="shared" si="587"/>
        <v>2</v>
      </c>
    </row>
    <row r="940" spans="29:131" ht="13.5" customHeight="1">
      <c r="AC940" s="9" t="str">
        <f t="shared" si="564"/>
        <v/>
      </c>
      <c r="AD940" s="9" t="str">
        <f t="shared" si="565"/>
        <v/>
      </c>
      <c r="AE940" s="9" t="str">
        <f t="shared" si="566"/>
        <v/>
      </c>
      <c r="AF940" s="9" t="str">
        <f t="shared" si="567"/>
        <v/>
      </c>
      <c r="AG940" s="9" t="str">
        <f t="shared" si="568"/>
        <v/>
      </c>
      <c r="AH940" s="9" t="str">
        <f t="shared" si="569"/>
        <v/>
      </c>
      <c r="BR940" s="5">
        <v>5404092</v>
      </c>
      <c r="BS940" s="18">
        <f>[1]monsters!$N940</f>
        <v>0</v>
      </c>
      <c r="BT940" s="18">
        <f>[1]monsters!$O940</f>
        <v>0</v>
      </c>
      <c r="BU940" s="18">
        <f>[1]monsters!$P940</f>
        <v>0</v>
      </c>
      <c r="BV940" s="18">
        <f>[1]monsters!$Q940</f>
        <v>0</v>
      </c>
      <c r="BW940" s="18">
        <f>[1]monsters!$R940</f>
        <v>0</v>
      </c>
      <c r="BX940" s="18">
        <f>[1]monsters!$S940</f>
        <v>0</v>
      </c>
      <c r="BY940" s="18">
        <f>[1]monsters!$K940</f>
        <v>0</v>
      </c>
      <c r="BZ940" s="5">
        <f>[1]monsters!$D940</f>
        <v>0</v>
      </c>
      <c r="CA940" s="5" t="e">
        <f t="shared" si="561"/>
        <v>#N/A</v>
      </c>
      <c r="CB940" s="5" t="e">
        <f t="shared" si="562"/>
        <v>#N/A</v>
      </c>
      <c r="CC940" s="5" t="e">
        <f t="shared" si="563"/>
        <v>#N/A</v>
      </c>
      <c r="CN940" s="5"/>
      <c r="CO940" s="5"/>
      <c r="CP940" s="5"/>
      <c r="CR940" s="3" t="b">
        <f t="shared" si="570"/>
        <v>1</v>
      </c>
      <c r="CS940" s="3" t="b">
        <f t="shared" si="571"/>
        <v>1</v>
      </c>
      <c r="CT940" s="3" t="b">
        <f t="shared" si="572"/>
        <v>1</v>
      </c>
      <c r="CU940" s="3" t="b">
        <f t="shared" si="573"/>
        <v>1</v>
      </c>
      <c r="CV940" s="3" t="b">
        <f t="shared" si="574"/>
        <v>1</v>
      </c>
      <c r="CW940" s="3" t="b">
        <f t="shared" si="575"/>
        <v>1</v>
      </c>
      <c r="CX940" s="9" t="str">
        <f t="shared" si="576"/>
        <v>5201133</v>
      </c>
      <c r="CY940" s="9" t="str">
        <f t="shared" si="577"/>
        <v>5202135</v>
      </c>
      <c r="CZ940" s="9" t="str">
        <f t="shared" si="578"/>
        <v>5200131</v>
      </c>
      <c r="DA940" s="9" t="str">
        <f t="shared" si="579"/>
        <v>5501134</v>
      </c>
      <c r="DB940" s="9" t="str">
        <f t="shared" si="580"/>
        <v>5402132</v>
      </c>
      <c r="DC940" s="9" t="str">
        <f t="shared" si="581"/>
        <v>5501135</v>
      </c>
      <c r="DD940" s="9">
        <v>13</v>
      </c>
      <c r="DE940" s="9">
        <v>13</v>
      </c>
      <c r="DF940" s="9">
        <v>13</v>
      </c>
      <c r="DG940" s="9">
        <v>13</v>
      </c>
      <c r="DH940" s="9">
        <v>13</v>
      </c>
      <c r="DI940" s="9">
        <v>13</v>
      </c>
      <c r="DJ940" s="9">
        <v>5</v>
      </c>
      <c r="DK940" s="9">
        <v>5</v>
      </c>
      <c r="DL940" s="9">
        <v>5</v>
      </c>
      <c r="DM940" s="9">
        <v>5</v>
      </c>
      <c r="DN940" s="9">
        <v>5</v>
      </c>
      <c r="DO940" s="9">
        <v>5</v>
      </c>
      <c r="DP940" s="25" t="s">
        <v>205</v>
      </c>
      <c r="DQ940" s="25" t="s">
        <v>213</v>
      </c>
      <c r="DR940" s="25" t="s">
        <v>194</v>
      </c>
      <c r="DS940" s="25" t="s">
        <v>214</v>
      </c>
      <c r="DT940" s="25" t="s">
        <v>203</v>
      </c>
      <c r="DU940" s="25" t="s">
        <v>209</v>
      </c>
      <c r="DV940" s="25">
        <f t="shared" si="582"/>
        <v>1</v>
      </c>
      <c r="DW940" s="25">
        <f t="shared" si="583"/>
        <v>1</v>
      </c>
      <c r="DX940" s="25">
        <f t="shared" si="584"/>
        <v>1</v>
      </c>
      <c r="DY940" s="25">
        <f t="shared" si="585"/>
        <v>2</v>
      </c>
      <c r="DZ940" s="25">
        <f t="shared" si="586"/>
        <v>2</v>
      </c>
      <c r="EA940" s="25">
        <f t="shared" si="587"/>
        <v>2</v>
      </c>
    </row>
    <row r="941" spans="29:131" ht="13.5" customHeight="1">
      <c r="AC941" s="9" t="str">
        <f t="shared" si="564"/>
        <v/>
      </c>
      <c r="AD941" s="9" t="str">
        <f t="shared" si="565"/>
        <v/>
      </c>
      <c r="AE941" s="9" t="str">
        <f t="shared" si="566"/>
        <v/>
      </c>
      <c r="AF941" s="9" t="str">
        <f t="shared" si="567"/>
        <v/>
      </c>
      <c r="AG941" s="9" t="str">
        <f t="shared" si="568"/>
        <v/>
      </c>
      <c r="AH941" s="9" t="str">
        <f t="shared" si="569"/>
        <v/>
      </c>
      <c r="BR941" s="5">
        <v>5303092</v>
      </c>
      <c r="BS941" s="18">
        <f>[1]monsters!$N941</f>
        <v>0</v>
      </c>
      <c r="BT941" s="18">
        <f>[1]monsters!$O941</f>
        <v>0</v>
      </c>
      <c r="BU941" s="18">
        <f>[1]monsters!$P941</f>
        <v>0</v>
      </c>
      <c r="BV941" s="18">
        <f>[1]monsters!$Q941</f>
        <v>0</v>
      </c>
      <c r="BW941" s="18">
        <f>[1]monsters!$R941</f>
        <v>0</v>
      </c>
      <c r="BX941" s="18">
        <f>[1]monsters!$S941</f>
        <v>0</v>
      </c>
      <c r="BY941" s="18">
        <f>[1]monsters!$K941</f>
        <v>0</v>
      </c>
      <c r="BZ941" s="5">
        <f>[1]monsters!$D941</f>
        <v>0</v>
      </c>
      <c r="CA941" s="5" t="e">
        <f t="shared" si="561"/>
        <v>#N/A</v>
      </c>
      <c r="CB941" s="5" t="e">
        <f t="shared" si="562"/>
        <v>#N/A</v>
      </c>
      <c r="CC941" s="5" t="e">
        <f t="shared" si="563"/>
        <v>#N/A</v>
      </c>
      <c r="CN941" s="5"/>
      <c r="CO941" s="5"/>
      <c r="CP941" s="5"/>
      <c r="CR941" s="3" t="b">
        <f t="shared" si="570"/>
        <v>1</v>
      </c>
      <c r="CS941" s="3" t="b">
        <f t="shared" si="571"/>
        <v>1</v>
      </c>
      <c r="CT941" s="3" t="b">
        <f t="shared" si="572"/>
        <v>1</v>
      </c>
      <c r="CU941" s="3" t="b">
        <f t="shared" si="573"/>
        <v>1</v>
      </c>
      <c r="CV941" s="3" t="b">
        <f t="shared" si="574"/>
        <v>1</v>
      </c>
      <c r="CW941" s="3" t="b">
        <f t="shared" si="575"/>
        <v>1</v>
      </c>
      <c r="CX941" s="9" t="str">
        <f t="shared" si="576"/>
        <v>5302135</v>
      </c>
      <c r="CY941" s="9" t="str">
        <f t="shared" si="577"/>
        <v>5202135</v>
      </c>
      <c r="CZ941" s="9" t="str">
        <f t="shared" si="578"/>
        <v>5202133</v>
      </c>
      <c r="DA941" s="9" t="str">
        <f t="shared" si="579"/>
        <v>5401133</v>
      </c>
      <c r="DB941" s="9" t="str">
        <f t="shared" si="580"/>
        <v>5400135</v>
      </c>
      <c r="DC941" s="9" t="str">
        <f t="shared" si="581"/>
        <v>5400135</v>
      </c>
      <c r="DD941" s="9">
        <v>13</v>
      </c>
      <c r="DE941" s="9">
        <v>13</v>
      </c>
      <c r="DF941" s="9">
        <v>13</v>
      </c>
      <c r="DG941" s="9">
        <v>13</v>
      </c>
      <c r="DH941" s="9">
        <v>13</v>
      </c>
      <c r="DI941" s="9">
        <v>13</v>
      </c>
      <c r="DJ941" s="9">
        <v>5</v>
      </c>
      <c r="DK941" s="9">
        <v>5</v>
      </c>
      <c r="DL941" s="9">
        <v>5</v>
      </c>
      <c r="DM941" s="9">
        <v>5</v>
      </c>
      <c r="DN941" s="9">
        <v>5</v>
      </c>
      <c r="DO941" s="9">
        <v>5</v>
      </c>
      <c r="DP941" s="25" t="s">
        <v>221</v>
      </c>
      <c r="DQ941" s="25" t="s">
        <v>213</v>
      </c>
      <c r="DR941" s="25" t="s">
        <v>208</v>
      </c>
      <c r="DS941" s="25" t="s">
        <v>211</v>
      </c>
      <c r="DT941" s="25" t="s">
        <v>210</v>
      </c>
      <c r="DU941" s="25" t="s">
        <v>210</v>
      </c>
      <c r="DV941" s="25">
        <f t="shared" si="582"/>
        <v>1</v>
      </c>
      <c r="DW941" s="25">
        <f t="shared" si="583"/>
        <v>1</v>
      </c>
      <c r="DX941" s="25">
        <f t="shared" si="584"/>
        <v>1</v>
      </c>
      <c r="DY941" s="25">
        <f t="shared" si="585"/>
        <v>2</v>
      </c>
      <c r="DZ941" s="25">
        <f t="shared" si="586"/>
        <v>2</v>
      </c>
      <c r="EA941" s="25">
        <f t="shared" si="587"/>
        <v>2</v>
      </c>
    </row>
    <row r="942" spans="29:131" ht="13.5" customHeight="1">
      <c r="AC942" s="9" t="str">
        <f t="shared" si="564"/>
        <v/>
      </c>
      <c r="AD942" s="9" t="str">
        <f t="shared" si="565"/>
        <v/>
      </c>
      <c r="AE942" s="9" t="str">
        <f t="shared" si="566"/>
        <v/>
      </c>
      <c r="AF942" s="9" t="str">
        <f t="shared" si="567"/>
        <v/>
      </c>
      <c r="AG942" s="9" t="str">
        <f t="shared" si="568"/>
        <v/>
      </c>
      <c r="AH942" s="9" t="str">
        <f t="shared" si="569"/>
        <v/>
      </c>
      <c r="BR942" s="5">
        <v>5304092</v>
      </c>
      <c r="BS942" s="18">
        <f>[1]monsters!$N942</f>
        <v>0</v>
      </c>
      <c r="BT942" s="18">
        <f>[1]monsters!$O942</f>
        <v>0</v>
      </c>
      <c r="BU942" s="18">
        <f>[1]monsters!$P942</f>
        <v>0</v>
      </c>
      <c r="BV942" s="18">
        <f>[1]monsters!$Q942</f>
        <v>0</v>
      </c>
      <c r="BW942" s="18">
        <f>[1]monsters!$R942</f>
        <v>0</v>
      </c>
      <c r="BX942" s="18">
        <f>[1]monsters!$S942</f>
        <v>0</v>
      </c>
      <c r="BY942" s="18">
        <f>[1]monsters!$K942</f>
        <v>0</v>
      </c>
      <c r="BZ942" s="5">
        <f>[1]monsters!$D942</f>
        <v>0</v>
      </c>
      <c r="CA942" s="5" t="e">
        <f t="shared" si="561"/>
        <v>#N/A</v>
      </c>
      <c r="CB942" s="5" t="e">
        <f t="shared" si="562"/>
        <v>#N/A</v>
      </c>
      <c r="CC942" s="5" t="e">
        <f t="shared" si="563"/>
        <v>#N/A</v>
      </c>
      <c r="CN942" s="5"/>
      <c r="CO942" s="5"/>
      <c r="CP942" s="5"/>
      <c r="CR942" s="3" t="b">
        <f t="shared" si="570"/>
        <v>1</v>
      </c>
      <c r="CS942" s="3" t="b">
        <f t="shared" si="571"/>
        <v>1</v>
      </c>
      <c r="CT942" s="3" t="b">
        <f t="shared" si="572"/>
        <v>1</v>
      </c>
      <c r="CU942" s="3" t="b">
        <f t="shared" si="573"/>
        <v>1</v>
      </c>
      <c r="CV942" s="3" t="b">
        <f t="shared" si="574"/>
        <v>1</v>
      </c>
      <c r="CW942" s="3" t="b">
        <f t="shared" si="575"/>
        <v>1</v>
      </c>
      <c r="CX942" s="9" t="str">
        <f t="shared" si="576"/>
        <v>5202132</v>
      </c>
      <c r="CY942" s="9" t="str">
        <f t="shared" si="577"/>
        <v>5202132</v>
      </c>
      <c r="CZ942" s="9" t="str">
        <f t="shared" si="578"/>
        <v>5301132</v>
      </c>
      <c r="DA942" s="9" t="str">
        <f t="shared" si="579"/>
        <v>5502132</v>
      </c>
      <c r="DB942" s="9" t="str">
        <f t="shared" si="580"/>
        <v>5500131</v>
      </c>
      <c r="DC942" s="9" t="str">
        <f t="shared" si="581"/>
        <v>5502131</v>
      </c>
      <c r="DD942" s="9">
        <v>13</v>
      </c>
      <c r="DE942" s="9">
        <v>13</v>
      </c>
      <c r="DF942" s="9">
        <v>13</v>
      </c>
      <c r="DG942" s="9">
        <v>13</v>
      </c>
      <c r="DH942" s="9">
        <v>13</v>
      </c>
      <c r="DI942" s="9">
        <v>13</v>
      </c>
      <c r="DJ942" s="9">
        <v>5</v>
      </c>
      <c r="DK942" s="9">
        <v>5</v>
      </c>
      <c r="DL942" s="9">
        <v>5</v>
      </c>
      <c r="DM942" s="9">
        <v>5</v>
      </c>
      <c r="DN942" s="9">
        <v>5</v>
      </c>
      <c r="DO942" s="9">
        <v>5</v>
      </c>
      <c r="DP942" s="25" t="s">
        <v>200</v>
      </c>
      <c r="DQ942" s="25" t="s">
        <v>200</v>
      </c>
      <c r="DR942" s="25" t="s">
        <v>201</v>
      </c>
      <c r="DS942" s="25" t="s">
        <v>204</v>
      </c>
      <c r="DT942" s="25" t="s">
        <v>197</v>
      </c>
      <c r="DU942" s="25" t="s">
        <v>119</v>
      </c>
      <c r="DV942" s="25">
        <f t="shared" si="582"/>
        <v>1</v>
      </c>
      <c r="DW942" s="25">
        <f t="shared" si="583"/>
        <v>1</v>
      </c>
      <c r="DX942" s="25">
        <f t="shared" si="584"/>
        <v>1</v>
      </c>
      <c r="DY942" s="25">
        <f t="shared" si="585"/>
        <v>2</v>
      </c>
      <c r="DZ942" s="25">
        <f t="shared" si="586"/>
        <v>2</v>
      </c>
      <c r="EA942" s="25">
        <f t="shared" si="587"/>
        <v>2</v>
      </c>
    </row>
    <row r="943" spans="29:131" ht="13.5" customHeight="1">
      <c r="AC943" s="9" t="str">
        <f t="shared" si="564"/>
        <v/>
      </c>
      <c r="AD943" s="9" t="str">
        <f t="shared" si="565"/>
        <v/>
      </c>
      <c r="AE943" s="9" t="str">
        <f t="shared" si="566"/>
        <v/>
      </c>
      <c r="AF943" s="9" t="str">
        <f t="shared" si="567"/>
        <v/>
      </c>
      <c r="AG943" s="9" t="str">
        <f t="shared" si="568"/>
        <v/>
      </c>
      <c r="AH943" s="9" t="str">
        <f t="shared" si="569"/>
        <v/>
      </c>
      <c r="BR943" s="5">
        <v>5503092</v>
      </c>
      <c r="BS943" s="18">
        <f>[1]monsters!$N943</f>
        <v>0</v>
      </c>
      <c r="BT943" s="18">
        <f>[1]monsters!$O943</f>
        <v>0</v>
      </c>
      <c r="BU943" s="18">
        <f>[1]monsters!$P943</f>
        <v>0</v>
      </c>
      <c r="BV943" s="18">
        <f>[1]monsters!$Q943</f>
        <v>0</v>
      </c>
      <c r="BW943" s="18">
        <f>[1]monsters!$R943</f>
        <v>0</v>
      </c>
      <c r="BX943" s="18">
        <f>[1]monsters!$S943</f>
        <v>0</v>
      </c>
      <c r="BY943" s="18">
        <f>[1]monsters!$K943</f>
        <v>0</v>
      </c>
      <c r="BZ943" s="5">
        <f>[1]monsters!$D943</f>
        <v>0</v>
      </c>
      <c r="CA943" s="5" t="e">
        <f t="shared" si="561"/>
        <v>#N/A</v>
      </c>
      <c r="CB943" s="5" t="e">
        <f t="shared" si="562"/>
        <v>#N/A</v>
      </c>
      <c r="CC943" s="5" t="e">
        <f t="shared" si="563"/>
        <v>#N/A</v>
      </c>
      <c r="CN943" s="5"/>
      <c r="CO943" s="5"/>
      <c r="CP943" s="5"/>
      <c r="CR943" s="3" t="b">
        <f t="shared" si="570"/>
        <v>1</v>
      </c>
      <c r="CS943" s="3" t="b">
        <f t="shared" si="571"/>
        <v>1</v>
      </c>
      <c r="CT943" s="3" t="b">
        <f t="shared" si="572"/>
        <v>1</v>
      </c>
      <c r="CU943" s="3" t="b">
        <f t="shared" si="573"/>
        <v>1</v>
      </c>
      <c r="CV943" s="3" t="b">
        <f t="shared" si="574"/>
        <v>1</v>
      </c>
      <c r="CW943" s="3" t="b">
        <f t="shared" si="575"/>
        <v>1</v>
      </c>
      <c r="CX943" s="9" t="str">
        <f t="shared" si="576"/>
        <v>5202133</v>
      </c>
      <c r="CY943" s="9" t="str">
        <f t="shared" si="577"/>
        <v>5201133</v>
      </c>
      <c r="CZ943" s="9" t="str">
        <f t="shared" si="578"/>
        <v>5302134</v>
      </c>
      <c r="DA943" s="9" t="str">
        <f t="shared" si="579"/>
        <v>5400135</v>
      </c>
      <c r="DB943" s="9" t="str">
        <f t="shared" si="580"/>
        <v>5601131</v>
      </c>
      <c r="DC943" s="9" t="str">
        <f t="shared" si="581"/>
        <v>5501134</v>
      </c>
      <c r="DD943" s="9">
        <v>13</v>
      </c>
      <c r="DE943" s="9">
        <v>13</v>
      </c>
      <c r="DF943" s="9">
        <v>13</v>
      </c>
      <c r="DG943" s="9">
        <v>13</v>
      </c>
      <c r="DH943" s="9">
        <v>13</v>
      </c>
      <c r="DI943" s="9">
        <v>13</v>
      </c>
      <c r="DJ943" s="9">
        <v>5</v>
      </c>
      <c r="DK943" s="9">
        <v>5</v>
      </c>
      <c r="DL943" s="9">
        <v>5</v>
      </c>
      <c r="DM943" s="9">
        <v>5</v>
      </c>
      <c r="DN943" s="9">
        <v>5</v>
      </c>
      <c r="DO943" s="9">
        <v>5</v>
      </c>
      <c r="DP943" s="25" t="s">
        <v>208</v>
      </c>
      <c r="DQ943" s="25" t="s">
        <v>205</v>
      </c>
      <c r="DR943" s="25" t="s">
        <v>218</v>
      </c>
      <c r="DS943" s="25" t="s">
        <v>210</v>
      </c>
      <c r="DT943" s="25" t="s">
        <v>198</v>
      </c>
      <c r="DU943" s="25" t="s">
        <v>214</v>
      </c>
      <c r="DV943" s="25">
        <f t="shared" si="582"/>
        <v>1</v>
      </c>
      <c r="DW943" s="25">
        <f t="shared" si="583"/>
        <v>1</v>
      </c>
      <c r="DX943" s="25">
        <f t="shared" si="584"/>
        <v>1</v>
      </c>
      <c r="DY943" s="25">
        <f t="shared" si="585"/>
        <v>2</v>
      </c>
      <c r="DZ943" s="25">
        <f t="shared" si="586"/>
        <v>2</v>
      </c>
      <c r="EA943" s="25">
        <f t="shared" si="587"/>
        <v>2</v>
      </c>
    </row>
    <row r="944" spans="29:131" ht="13.5" customHeight="1">
      <c r="AC944" s="9" t="str">
        <f t="shared" si="564"/>
        <v/>
      </c>
      <c r="AD944" s="9" t="str">
        <f t="shared" si="565"/>
        <v/>
      </c>
      <c r="AE944" s="9" t="str">
        <f t="shared" si="566"/>
        <v/>
      </c>
      <c r="AF944" s="9" t="str">
        <f t="shared" si="567"/>
        <v/>
      </c>
      <c r="AG944" s="9" t="str">
        <f t="shared" si="568"/>
        <v/>
      </c>
      <c r="AH944" s="9" t="str">
        <f t="shared" si="569"/>
        <v/>
      </c>
      <c r="BR944" s="5">
        <v>5504092</v>
      </c>
      <c r="BS944" s="18">
        <f>[1]monsters!$N944</f>
        <v>0</v>
      </c>
      <c r="BT944" s="18">
        <f>[1]monsters!$O944</f>
        <v>0</v>
      </c>
      <c r="BU944" s="18">
        <f>[1]monsters!$P944</f>
        <v>0</v>
      </c>
      <c r="BV944" s="18">
        <f>[1]monsters!$Q944</f>
        <v>0</v>
      </c>
      <c r="BW944" s="18">
        <f>[1]monsters!$R944</f>
        <v>0</v>
      </c>
      <c r="BX944" s="18">
        <f>[1]monsters!$S944</f>
        <v>0</v>
      </c>
      <c r="BY944" s="18">
        <f>[1]monsters!$K944</f>
        <v>0</v>
      </c>
      <c r="BZ944" s="5">
        <f>[1]monsters!$D944</f>
        <v>0</v>
      </c>
      <c r="CA944" s="5" t="e">
        <f t="shared" si="561"/>
        <v>#N/A</v>
      </c>
      <c r="CB944" s="5" t="e">
        <f t="shared" si="562"/>
        <v>#N/A</v>
      </c>
      <c r="CC944" s="5" t="e">
        <f t="shared" si="563"/>
        <v>#N/A</v>
      </c>
      <c r="CN944" s="5"/>
      <c r="CO944" s="5"/>
      <c r="CP944" s="5"/>
      <c r="CR944" s="3" t="b">
        <f t="shared" si="570"/>
        <v>1</v>
      </c>
      <c r="CS944" s="3" t="b">
        <f t="shared" si="571"/>
        <v>1</v>
      </c>
      <c r="CT944" s="3" t="b">
        <f t="shared" si="572"/>
        <v>1</v>
      </c>
      <c r="CU944" s="3" t="b">
        <f t="shared" si="573"/>
        <v>1</v>
      </c>
      <c r="CV944" s="3" t="b">
        <f t="shared" si="574"/>
        <v>1</v>
      </c>
      <c r="CW944" s="3" t="b">
        <f t="shared" si="575"/>
        <v>1</v>
      </c>
      <c r="CX944" s="9" t="str">
        <f t="shared" si="576"/>
        <v>5200133</v>
      </c>
      <c r="CY944" s="9" t="str">
        <f t="shared" si="577"/>
        <v>5202135</v>
      </c>
      <c r="CZ944" s="9" t="str">
        <f t="shared" si="578"/>
        <v>5301133</v>
      </c>
      <c r="DA944" s="9" t="str">
        <f t="shared" si="579"/>
        <v>5401133</v>
      </c>
      <c r="DB944" s="9" t="str">
        <f t="shared" si="580"/>
        <v>5400135</v>
      </c>
      <c r="DC944" s="9" t="str">
        <f t="shared" si="581"/>
        <v>5501135</v>
      </c>
      <c r="DD944" s="9">
        <v>13</v>
      </c>
      <c r="DE944" s="9">
        <v>13</v>
      </c>
      <c r="DF944" s="9">
        <v>13</v>
      </c>
      <c r="DG944" s="9">
        <v>13</v>
      </c>
      <c r="DH944" s="9">
        <v>13</v>
      </c>
      <c r="DI944" s="9">
        <v>13</v>
      </c>
      <c r="DJ944" s="9">
        <v>5</v>
      </c>
      <c r="DK944" s="9">
        <v>5</v>
      </c>
      <c r="DL944" s="9">
        <v>5</v>
      </c>
      <c r="DM944" s="9">
        <v>5</v>
      </c>
      <c r="DN944" s="9">
        <v>5</v>
      </c>
      <c r="DO944" s="9">
        <v>5</v>
      </c>
      <c r="DP944" s="25" t="s">
        <v>113</v>
      </c>
      <c r="DQ944" s="25" t="s">
        <v>213</v>
      </c>
      <c r="DR944" s="25" t="s">
        <v>206</v>
      </c>
      <c r="DS944" s="25" t="s">
        <v>211</v>
      </c>
      <c r="DT944" s="25" t="s">
        <v>210</v>
      </c>
      <c r="DU944" s="25" t="s">
        <v>209</v>
      </c>
      <c r="DV944" s="25">
        <f t="shared" si="582"/>
        <v>1</v>
      </c>
      <c r="DW944" s="25">
        <f t="shared" si="583"/>
        <v>1</v>
      </c>
      <c r="DX944" s="25">
        <f t="shared" si="584"/>
        <v>1</v>
      </c>
      <c r="DY944" s="25">
        <f t="shared" si="585"/>
        <v>2</v>
      </c>
      <c r="DZ944" s="25">
        <f t="shared" si="586"/>
        <v>2</v>
      </c>
      <c r="EA944" s="25">
        <f t="shared" si="587"/>
        <v>2</v>
      </c>
    </row>
    <row r="945" spans="29:131" ht="13.5" customHeight="1">
      <c r="AC945" s="9" t="str">
        <f t="shared" si="564"/>
        <v/>
      </c>
      <c r="AD945" s="9" t="str">
        <f t="shared" si="565"/>
        <v/>
      </c>
      <c r="AE945" s="9" t="str">
        <f t="shared" si="566"/>
        <v/>
      </c>
      <c r="AF945" s="9" t="str">
        <f t="shared" si="567"/>
        <v/>
      </c>
      <c r="AG945" s="9" t="str">
        <f t="shared" si="568"/>
        <v/>
      </c>
      <c r="AH945" s="9" t="str">
        <f t="shared" si="569"/>
        <v/>
      </c>
      <c r="BR945" s="5">
        <v>5101092</v>
      </c>
      <c r="BS945" s="18">
        <f>[1]monsters!$N945</f>
        <v>0</v>
      </c>
      <c r="BT945" s="18">
        <f>[1]monsters!$O945</f>
        <v>0</v>
      </c>
      <c r="BU945" s="18">
        <f>[1]monsters!$P945</f>
        <v>0</v>
      </c>
      <c r="BV945" s="18">
        <f>[1]monsters!$Q945</f>
        <v>0</v>
      </c>
      <c r="BW945" s="18">
        <f>[1]monsters!$R945</f>
        <v>0</v>
      </c>
      <c r="BX945" s="18">
        <f>[1]monsters!$S945</f>
        <v>0</v>
      </c>
      <c r="BY945" s="18">
        <f>[1]monsters!$K945</f>
        <v>0</v>
      </c>
      <c r="BZ945" s="5">
        <f>[1]monsters!$D945</f>
        <v>0</v>
      </c>
      <c r="CA945" s="5" t="e">
        <f t="shared" si="561"/>
        <v>#N/A</v>
      </c>
      <c r="CB945" s="5" t="e">
        <f t="shared" si="562"/>
        <v>#N/A</v>
      </c>
      <c r="CC945" s="5" t="e">
        <f t="shared" si="563"/>
        <v>#N/A</v>
      </c>
      <c r="CN945" s="5"/>
      <c r="CO945" s="5"/>
      <c r="CP945" s="5"/>
      <c r="CR945" s="3" t="b">
        <f t="shared" si="570"/>
        <v>1</v>
      </c>
      <c r="CS945" s="3" t="b">
        <f t="shared" si="571"/>
        <v>1</v>
      </c>
      <c r="CT945" s="3" t="b">
        <f t="shared" si="572"/>
        <v>1</v>
      </c>
      <c r="CU945" s="3" t="b">
        <f t="shared" si="573"/>
        <v>1</v>
      </c>
      <c r="CV945" s="3" t="b">
        <f t="shared" si="574"/>
        <v>1</v>
      </c>
      <c r="CW945" s="3" t="b">
        <f t="shared" si="575"/>
        <v>1</v>
      </c>
      <c r="CX945" s="9" t="str">
        <f t="shared" si="576"/>
        <v>5201133</v>
      </c>
      <c r="CY945" s="9" t="str">
        <f t="shared" si="577"/>
        <v>5200133</v>
      </c>
      <c r="CZ945" s="9" t="str">
        <f t="shared" si="578"/>
        <v>5301132</v>
      </c>
      <c r="DA945" s="9" t="str">
        <f t="shared" si="579"/>
        <v>5501134</v>
      </c>
      <c r="DB945" s="9" t="str">
        <f t="shared" si="580"/>
        <v>5500133</v>
      </c>
      <c r="DC945" s="9" t="str">
        <f t="shared" si="581"/>
        <v>5501134</v>
      </c>
      <c r="DD945" s="9">
        <v>13</v>
      </c>
      <c r="DE945" s="9">
        <v>13</v>
      </c>
      <c r="DF945" s="9">
        <v>13</v>
      </c>
      <c r="DG945" s="9">
        <v>13</v>
      </c>
      <c r="DH945" s="9">
        <v>13</v>
      </c>
      <c r="DI945" s="9">
        <v>13</v>
      </c>
      <c r="DJ945" s="9">
        <v>5</v>
      </c>
      <c r="DK945" s="9">
        <v>5</v>
      </c>
      <c r="DL945" s="9">
        <v>5</v>
      </c>
      <c r="DM945" s="9">
        <v>5</v>
      </c>
      <c r="DN945" s="9">
        <v>5</v>
      </c>
      <c r="DO945" s="9">
        <v>5</v>
      </c>
      <c r="DP945" s="25" t="s">
        <v>205</v>
      </c>
      <c r="DQ945" s="25" t="s">
        <v>113</v>
      </c>
      <c r="DR945" s="25" t="s">
        <v>201</v>
      </c>
      <c r="DS945" s="25" t="s">
        <v>214</v>
      </c>
      <c r="DT945" s="25" t="s">
        <v>207</v>
      </c>
      <c r="DU945" s="25" t="s">
        <v>214</v>
      </c>
      <c r="DV945" s="25">
        <f t="shared" si="582"/>
        <v>1</v>
      </c>
      <c r="DW945" s="25">
        <f t="shared" si="583"/>
        <v>1</v>
      </c>
      <c r="DX945" s="25">
        <f t="shared" si="584"/>
        <v>1</v>
      </c>
      <c r="DY945" s="25">
        <f t="shared" si="585"/>
        <v>2</v>
      </c>
      <c r="DZ945" s="25">
        <f t="shared" si="586"/>
        <v>2</v>
      </c>
      <c r="EA945" s="25">
        <f t="shared" si="587"/>
        <v>2</v>
      </c>
    </row>
    <row r="946" spans="29:131" ht="13.5" customHeight="1">
      <c r="AC946" s="9" t="str">
        <f t="shared" si="564"/>
        <v/>
      </c>
      <c r="AD946" s="9" t="str">
        <f t="shared" si="565"/>
        <v/>
      </c>
      <c r="AE946" s="9" t="str">
        <f t="shared" si="566"/>
        <v/>
      </c>
      <c r="AF946" s="9" t="str">
        <f t="shared" si="567"/>
        <v/>
      </c>
      <c r="AG946" s="9" t="str">
        <f t="shared" si="568"/>
        <v/>
      </c>
      <c r="AH946" s="9" t="str">
        <f t="shared" si="569"/>
        <v/>
      </c>
      <c r="BR946" s="5">
        <v>5102092</v>
      </c>
      <c r="BS946" s="18">
        <f>[1]monsters!$N946</f>
        <v>0</v>
      </c>
      <c r="BT946" s="18">
        <f>[1]monsters!$O946</f>
        <v>0</v>
      </c>
      <c r="BU946" s="18">
        <f>[1]monsters!$P946</f>
        <v>0</v>
      </c>
      <c r="BV946" s="18">
        <f>[1]monsters!$Q946</f>
        <v>0</v>
      </c>
      <c r="BW946" s="18">
        <f>[1]monsters!$R946</f>
        <v>0</v>
      </c>
      <c r="BX946" s="18">
        <f>[1]monsters!$S946</f>
        <v>0</v>
      </c>
      <c r="BY946" s="18">
        <f>[1]monsters!$K946</f>
        <v>0</v>
      </c>
      <c r="BZ946" s="5">
        <f>[1]monsters!$D946</f>
        <v>0</v>
      </c>
      <c r="CA946" s="5" t="e">
        <f t="shared" si="561"/>
        <v>#N/A</v>
      </c>
      <c r="CB946" s="5" t="e">
        <f t="shared" si="562"/>
        <v>#N/A</v>
      </c>
      <c r="CC946" s="5" t="e">
        <f t="shared" si="563"/>
        <v>#N/A</v>
      </c>
      <c r="CN946" s="5"/>
      <c r="CO946" s="5"/>
      <c r="CP946" s="5"/>
      <c r="CR946" s="3" t="b">
        <f t="shared" si="570"/>
        <v>1</v>
      </c>
      <c r="CS946" s="3" t="b">
        <f t="shared" si="571"/>
        <v>1</v>
      </c>
      <c r="CT946" s="3" t="b">
        <f t="shared" si="572"/>
        <v>1</v>
      </c>
      <c r="CU946" s="3" t="b">
        <f t="shared" si="573"/>
        <v>1</v>
      </c>
      <c r="CV946" s="3" t="b">
        <f t="shared" si="574"/>
        <v>1</v>
      </c>
      <c r="CW946" s="3" t="b">
        <f t="shared" si="575"/>
        <v>1</v>
      </c>
      <c r="CX946" s="9" t="str">
        <f t="shared" si="576"/>
        <v>5200131</v>
      </c>
      <c r="CY946" s="9" t="str">
        <f t="shared" si="577"/>
        <v>5301132</v>
      </c>
      <c r="CZ946" s="9" t="str">
        <f t="shared" si="578"/>
        <v>5201131</v>
      </c>
      <c r="DA946" s="9" t="str">
        <f t="shared" si="579"/>
        <v>5401131</v>
      </c>
      <c r="DB946" s="9" t="str">
        <f t="shared" si="580"/>
        <v>5501135</v>
      </c>
      <c r="DC946" s="9" t="str">
        <f t="shared" si="581"/>
        <v>5400135</v>
      </c>
      <c r="DD946" s="9">
        <v>13</v>
      </c>
      <c r="DE946" s="9">
        <v>13</v>
      </c>
      <c r="DF946" s="9">
        <v>13</v>
      </c>
      <c r="DG946" s="9">
        <v>13</v>
      </c>
      <c r="DH946" s="9">
        <v>13</v>
      </c>
      <c r="DI946" s="9">
        <v>13</v>
      </c>
      <c r="DJ946" s="9">
        <v>5</v>
      </c>
      <c r="DK946" s="9">
        <v>5</v>
      </c>
      <c r="DL946" s="9">
        <v>5</v>
      </c>
      <c r="DM946" s="9">
        <v>5</v>
      </c>
      <c r="DN946" s="9">
        <v>5</v>
      </c>
      <c r="DO946" s="9">
        <v>5</v>
      </c>
      <c r="DP946" s="25" t="s">
        <v>194</v>
      </c>
      <c r="DQ946" s="25" t="s">
        <v>201</v>
      </c>
      <c r="DR946" s="25" t="s">
        <v>195</v>
      </c>
      <c r="DS946" s="25" t="s">
        <v>117</v>
      </c>
      <c r="DT946" s="25" t="s">
        <v>209</v>
      </c>
      <c r="DU946" s="25" t="s">
        <v>210</v>
      </c>
      <c r="DV946" s="25">
        <f t="shared" si="582"/>
        <v>1</v>
      </c>
      <c r="DW946" s="25">
        <f t="shared" si="583"/>
        <v>1</v>
      </c>
      <c r="DX946" s="25">
        <f t="shared" si="584"/>
        <v>1</v>
      </c>
      <c r="DY946" s="25">
        <f t="shared" si="585"/>
        <v>2</v>
      </c>
      <c r="DZ946" s="25">
        <f t="shared" si="586"/>
        <v>2</v>
      </c>
      <c r="EA946" s="25">
        <f t="shared" si="587"/>
        <v>2</v>
      </c>
    </row>
    <row r="947" spans="29:131" ht="13.5" customHeight="1">
      <c r="AC947" s="9" t="str">
        <f t="shared" si="564"/>
        <v/>
      </c>
      <c r="AD947" s="9" t="str">
        <f t="shared" si="565"/>
        <v/>
      </c>
      <c r="AE947" s="9" t="str">
        <f t="shared" si="566"/>
        <v/>
      </c>
      <c r="AF947" s="9" t="str">
        <f t="shared" si="567"/>
        <v/>
      </c>
      <c r="AG947" s="9" t="str">
        <f t="shared" si="568"/>
        <v/>
      </c>
      <c r="AH947" s="9" t="str">
        <f t="shared" si="569"/>
        <v/>
      </c>
      <c r="BR947" s="5">
        <v>5206093</v>
      </c>
      <c r="BS947" s="18">
        <f>[1]monsters!$N947</f>
        <v>0</v>
      </c>
      <c r="BT947" s="18">
        <f>[1]monsters!$O947</f>
        <v>0</v>
      </c>
      <c r="BU947" s="18">
        <f>[1]monsters!$P947</f>
        <v>0</v>
      </c>
      <c r="BV947" s="18">
        <f>[1]monsters!$Q947</f>
        <v>0</v>
      </c>
      <c r="BW947" s="18">
        <f>[1]monsters!$R947</f>
        <v>0</v>
      </c>
      <c r="BX947" s="18">
        <f>[1]monsters!$S947</f>
        <v>0</v>
      </c>
      <c r="BY947" s="18">
        <f>[1]monsters!$K947</f>
        <v>0</v>
      </c>
      <c r="BZ947" s="5">
        <f>[1]monsters!$D947</f>
        <v>0</v>
      </c>
      <c r="CA947" s="5" t="e">
        <f t="shared" si="561"/>
        <v>#N/A</v>
      </c>
      <c r="CB947" s="5" t="e">
        <f t="shared" si="562"/>
        <v>#N/A</v>
      </c>
      <c r="CC947" s="5" t="e">
        <f t="shared" si="563"/>
        <v>#N/A</v>
      </c>
      <c r="CN947" s="5"/>
      <c r="CO947" s="5"/>
      <c r="CP947" s="5"/>
      <c r="CR947" s="3" t="b">
        <f t="shared" si="570"/>
        <v>1</v>
      </c>
      <c r="CS947" s="3" t="b">
        <f t="shared" si="571"/>
        <v>1</v>
      </c>
      <c r="CT947" s="3" t="b">
        <f t="shared" si="572"/>
        <v>1</v>
      </c>
      <c r="CU947" s="3" t="b">
        <f t="shared" si="573"/>
        <v>1</v>
      </c>
      <c r="CV947" s="3" t="b">
        <f t="shared" si="574"/>
        <v>1</v>
      </c>
      <c r="CW947" s="3" t="b">
        <f t="shared" si="575"/>
        <v>1</v>
      </c>
      <c r="CX947" s="9" t="str">
        <f t="shared" si="576"/>
        <v>5201132</v>
      </c>
      <c r="CY947" s="9" t="str">
        <f t="shared" si="577"/>
        <v>5201132</v>
      </c>
      <c r="CZ947" s="9" t="str">
        <f t="shared" si="578"/>
        <v>5201132</v>
      </c>
      <c r="DA947" s="9" t="str">
        <f t="shared" si="579"/>
        <v>5502132</v>
      </c>
      <c r="DB947" s="9" t="str">
        <f t="shared" si="580"/>
        <v>5502132</v>
      </c>
      <c r="DC947" s="9" t="str">
        <f t="shared" si="581"/>
        <v>5502132</v>
      </c>
      <c r="DD947" s="9">
        <v>13</v>
      </c>
      <c r="DE947" s="9">
        <v>13</v>
      </c>
      <c r="DF947" s="9">
        <v>13</v>
      </c>
      <c r="DG947" s="9">
        <v>13</v>
      </c>
      <c r="DH947" s="9">
        <v>13</v>
      </c>
      <c r="DI947" s="9">
        <v>13</v>
      </c>
      <c r="DJ947" s="9">
        <v>5</v>
      </c>
      <c r="DK947" s="9">
        <v>5</v>
      </c>
      <c r="DL947" s="9">
        <v>5</v>
      </c>
      <c r="DM947" s="9">
        <v>5</v>
      </c>
      <c r="DN947" s="9">
        <v>5</v>
      </c>
      <c r="DO947" s="9">
        <v>5</v>
      </c>
      <c r="DP947" s="25" t="s">
        <v>114</v>
      </c>
      <c r="DQ947" s="25" t="s">
        <v>114</v>
      </c>
      <c r="DR947" s="25" t="s">
        <v>114</v>
      </c>
      <c r="DS947" s="25" t="s">
        <v>204</v>
      </c>
      <c r="DT947" s="25" t="s">
        <v>204</v>
      </c>
      <c r="DU947" s="25" t="s">
        <v>204</v>
      </c>
      <c r="DV947" s="25">
        <f t="shared" si="582"/>
        <v>1</v>
      </c>
      <c r="DW947" s="25">
        <f t="shared" si="583"/>
        <v>1</v>
      </c>
      <c r="DX947" s="25">
        <f t="shared" si="584"/>
        <v>1</v>
      </c>
      <c r="DY947" s="25">
        <f t="shared" si="585"/>
        <v>2</v>
      </c>
      <c r="DZ947" s="25">
        <f t="shared" si="586"/>
        <v>2</v>
      </c>
      <c r="EA947" s="25">
        <f t="shared" si="587"/>
        <v>2</v>
      </c>
    </row>
    <row r="948" spans="29:131" ht="13.5" customHeight="1">
      <c r="AC948" s="9" t="str">
        <f t="shared" si="564"/>
        <v/>
      </c>
      <c r="AD948" s="9" t="str">
        <f t="shared" si="565"/>
        <v/>
      </c>
      <c r="AE948" s="9" t="str">
        <f t="shared" si="566"/>
        <v/>
      </c>
      <c r="AF948" s="9" t="str">
        <f t="shared" si="567"/>
        <v/>
      </c>
      <c r="AG948" s="9" t="str">
        <f t="shared" si="568"/>
        <v/>
      </c>
      <c r="AH948" s="9" t="str">
        <f t="shared" si="569"/>
        <v/>
      </c>
      <c r="BR948" s="5">
        <v>5406093</v>
      </c>
      <c r="BS948" s="18">
        <f>[1]monsters!$N948</f>
        <v>0</v>
      </c>
      <c r="BT948" s="18">
        <f>[1]monsters!$O948</f>
        <v>0</v>
      </c>
      <c r="BU948" s="18">
        <f>[1]monsters!$P948</f>
        <v>0</v>
      </c>
      <c r="BV948" s="18">
        <f>[1]monsters!$Q948</f>
        <v>0</v>
      </c>
      <c r="BW948" s="18">
        <f>[1]monsters!$R948</f>
        <v>0</v>
      </c>
      <c r="BX948" s="18">
        <f>[1]monsters!$S948</f>
        <v>0</v>
      </c>
      <c r="BY948" s="18">
        <f>[1]monsters!$K948</f>
        <v>0</v>
      </c>
      <c r="BZ948" s="5">
        <f>[1]monsters!$D948</f>
        <v>0</v>
      </c>
      <c r="CA948" s="5" t="e">
        <f t="shared" si="561"/>
        <v>#N/A</v>
      </c>
      <c r="CB948" s="5" t="e">
        <f t="shared" si="562"/>
        <v>#N/A</v>
      </c>
      <c r="CC948" s="5" t="e">
        <f t="shared" si="563"/>
        <v>#N/A</v>
      </c>
      <c r="CN948" s="5"/>
      <c r="CO948" s="5"/>
      <c r="CP948" s="5"/>
      <c r="CR948" s="3" t="b">
        <f t="shared" si="570"/>
        <v>1</v>
      </c>
      <c r="CS948" s="3" t="b">
        <f t="shared" si="571"/>
        <v>1</v>
      </c>
      <c r="CT948" s="3" t="b">
        <f t="shared" si="572"/>
        <v>1</v>
      </c>
      <c r="CU948" s="3" t="b">
        <f t="shared" si="573"/>
        <v>1</v>
      </c>
      <c r="CV948" s="3" t="b">
        <f t="shared" si="574"/>
        <v>1</v>
      </c>
      <c r="CW948" s="3" t="b">
        <f t="shared" si="575"/>
        <v>1</v>
      </c>
      <c r="CX948" s="9" t="str">
        <f t="shared" si="576"/>
        <v>5202133</v>
      </c>
      <c r="CY948" s="9" t="str">
        <f t="shared" si="577"/>
        <v>5201133</v>
      </c>
      <c r="CZ948" s="9" t="str">
        <f t="shared" si="578"/>
        <v>5302134</v>
      </c>
      <c r="DA948" s="9" t="str">
        <f t="shared" si="579"/>
        <v>5501134</v>
      </c>
      <c r="DB948" s="9" t="str">
        <f t="shared" si="580"/>
        <v>5501135</v>
      </c>
      <c r="DC948" s="9" t="str">
        <f t="shared" si="581"/>
        <v>5500132</v>
      </c>
      <c r="DD948" s="9">
        <v>13</v>
      </c>
      <c r="DE948" s="9">
        <v>13</v>
      </c>
      <c r="DF948" s="9">
        <v>13</v>
      </c>
      <c r="DG948" s="9">
        <v>13</v>
      </c>
      <c r="DH948" s="9">
        <v>13</v>
      </c>
      <c r="DI948" s="9">
        <v>13</v>
      </c>
      <c r="DJ948" s="9">
        <v>5</v>
      </c>
      <c r="DK948" s="9">
        <v>5</v>
      </c>
      <c r="DL948" s="9">
        <v>5</v>
      </c>
      <c r="DM948" s="9">
        <v>5</v>
      </c>
      <c r="DN948" s="9">
        <v>5</v>
      </c>
      <c r="DO948" s="9">
        <v>5</v>
      </c>
      <c r="DP948" s="25" t="s">
        <v>208</v>
      </c>
      <c r="DQ948" s="25" t="s">
        <v>205</v>
      </c>
      <c r="DR948" s="25" t="s">
        <v>218</v>
      </c>
      <c r="DS948" s="25" t="s">
        <v>214</v>
      </c>
      <c r="DT948" s="25" t="s">
        <v>209</v>
      </c>
      <c r="DU948" s="25" t="s">
        <v>109</v>
      </c>
      <c r="DV948" s="25">
        <f t="shared" si="582"/>
        <v>1</v>
      </c>
      <c r="DW948" s="25">
        <f t="shared" si="583"/>
        <v>1</v>
      </c>
      <c r="DX948" s="25">
        <f t="shared" si="584"/>
        <v>1</v>
      </c>
      <c r="DY948" s="25">
        <f t="shared" si="585"/>
        <v>2</v>
      </c>
      <c r="DZ948" s="25">
        <f t="shared" si="586"/>
        <v>2</v>
      </c>
      <c r="EA948" s="25">
        <f t="shared" si="587"/>
        <v>2</v>
      </c>
    </row>
    <row r="949" spans="29:131" ht="13.5" customHeight="1">
      <c r="AC949" s="9" t="str">
        <f t="shared" si="564"/>
        <v/>
      </c>
      <c r="AD949" s="9" t="str">
        <f t="shared" si="565"/>
        <v/>
      </c>
      <c r="AE949" s="9" t="str">
        <f t="shared" si="566"/>
        <v/>
      </c>
      <c r="AF949" s="9" t="str">
        <f t="shared" si="567"/>
        <v/>
      </c>
      <c r="AG949" s="9" t="str">
        <f t="shared" si="568"/>
        <v/>
      </c>
      <c r="AH949" s="9" t="str">
        <f t="shared" si="569"/>
        <v/>
      </c>
      <c r="BR949" s="5">
        <v>5205093</v>
      </c>
      <c r="BS949" s="18">
        <f>[1]monsters!$N949</f>
        <v>0</v>
      </c>
      <c r="BT949" s="18">
        <f>[1]monsters!$O949</f>
        <v>0</v>
      </c>
      <c r="BU949" s="18">
        <f>[1]monsters!$P949</f>
        <v>0</v>
      </c>
      <c r="BV949" s="18">
        <f>[1]monsters!$Q949</f>
        <v>0</v>
      </c>
      <c r="BW949" s="18">
        <f>[1]monsters!$R949</f>
        <v>0</v>
      </c>
      <c r="BX949" s="18">
        <f>[1]monsters!$S949</f>
        <v>0</v>
      </c>
      <c r="BY949" s="18">
        <f>[1]monsters!$K949</f>
        <v>0</v>
      </c>
      <c r="BZ949" s="5">
        <f>[1]monsters!$D949</f>
        <v>0</v>
      </c>
      <c r="CA949" s="5" t="e">
        <f t="shared" si="561"/>
        <v>#N/A</v>
      </c>
      <c r="CB949" s="5" t="e">
        <f t="shared" si="562"/>
        <v>#N/A</v>
      </c>
      <c r="CC949" s="5" t="e">
        <f t="shared" si="563"/>
        <v>#N/A</v>
      </c>
      <c r="CN949" s="5"/>
      <c r="CO949" s="5"/>
      <c r="CP949" s="5"/>
      <c r="CR949" s="3" t="b">
        <f t="shared" si="570"/>
        <v>1</v>
      </c>
      <c r="CS949" s="3" t="b">
        <f t="shared" si="571"/>
        <v>1</v>
      </c>
      <c r="CT949" s="3" t="b">
        <f t="shared" si="572"/>
        <v>1</v>
      </c>
      <c r="CU949" s="3" t="b">
        <f t="shared" si="573"/>
        <v>1</v>
      </c>
      <c r="CV949" s="3" t="b">
        <f t="shared" si="574"/>
        <v>1</v>
      </c>
      <c r="CW949" s="3" t="b">
        <f t="shared" si="575"/>
        <v>1</v>
      </c>
      <c r="CX949" s="9" t="str">
        <f t="shared" si="576"/>
        <v>5201133</v>
      </c>
      <c r="CY949" s="9" t="str">
        <f t="shared" si="577"/>
        <v>5202135</v>
      </c>
      <c r="CZ949" s="9" t="str">
        <f t="shared" si="578"/>
        <v>5200131</v>
      </c>
      <c r="DA949" s="9" t="str">
        <f t="shared" si="579"/>
        <v>5501134</v>
      </c>
      <c r="DB949" s="9" t="str">
        <f t="shared" si="580"/>
        <v>5402132</v>
      </c>
      <c r="DC949" s="9" t="str">
        <f t="shared" si="581"/>
        <v>5400135</v>
      </c>
      <c r="DD949" s="9">
        <v>13</v>
      </c>
      <c r="DE949" s="9">
        <v>13</v>
      </c>
      <c r="DF949" s="9">
        <v>13</v>
      </c>
      <c r="DG949" s="9">
        <v>13</v>
      </c>
      <c r="DH949" s="9">
        <v>13</v>
      </c>
      <c r="DI949" s="9">
        <v>13</v>
      </c>
      <c r="DJ949" s="9">
        <v>5</v>
      </c>
      <c r="DK949" s="9">
        <v>5</v>
      </c>
      <c r="DL949" s="9">
        <v>5</v>
      </c>
      <c r="DM949" s="9">
        <v>5</v>
      </c>
      <c r="DN949" s="9">
        <v>5</v>
      </c>
      <c r="DO949" s="9">
        <v>5</v>
      </c>
      <c r="DP949" s="25" t="s">
        <v>205</v>
      </c>
      <c r="DQ949" s="25" t="s">
        <v>213</v>
      </c>
      <c r="DR949" s="25" t="s">
        <v>194</v>
      </c>
      <c r="DS949" s="25" t="s">
        <v>214</v>
      </c>
      <c r="DT949" s="25" t="s">
        <v>203</v>
      </c>
      <c r="DU949" s="25" t="s">
        <v>210</v>
      </c>
      <c r="DV949" s="25">
        <f t="shared" si="582"/>
        <v>1</v>
      </c>
      <c r="DW949" s="25">
        <f t="shared" si="583"/>
        <v>1</v>
      </c>
      <c r="DX949" s="25">
        <f t="shared" si="584"/>
        <v>1</v>
      </c>
      <c r="DY949" s="25">
        <f t="shared" si="585"/>
        <v>2</v>
      </c>
      <c r="DZ949" s="25">
        <f t="shared" si="586"/>
        <v>2</v>
      </c>
      <c r="EA949" s="25">
        <f t="shared" si="587"/>
        <v>2</v>
      </c>
    </row>
    <row r="950" spans="29:131" ht="13.5" customHeight="1">
      <c r="AC950" s="9" t="str">
        <f t="shared" si="564"/>
        <v/>
      </c>
      <c r="AD950" s="9" t="str">
        <f t="shared" si="565"/>
        <v/>
      </c>
      <c r="AE950" s="9" t="str">
        <f t="shared" si="566"/>
        <v/>
      </c>
      <c r="AF950" s="9" t="str">
        <f t="shared" si="567"/>
        <v/>
      </c>
      <c r="AG950" s="9" t="str">
        <f t="shared" si="568"/>
        <v/>
      </c>
      <c r="AH950" s="9" t="str">
        <f t="shared" si="569"/>
        <v/>
      </c>
      <c r="BR950" s="5">
        <v>5405093</v>
      </c>
      <c r="BS950" s="18">
        <f>[1]monsters!$N950</f>
        <v>0</v>
      </c>
      <c r="BT950" s="18">
        <f>[1]monsters!$O950</f>
        <v>0</v>
      </c>
      <c r="BU950" s="18">
        <f>[1]monsters!$P950</f>
        <v>0</v>
      </c>
      <c r="BV950" s="18">
        <f>[1]monsters!$Q950</f>
        <v>0</v>
      </c>
      <c r="BW950" s="18">
        <f>[1]monsters!$R950</f>
        <v>0</v>
      </c>
      <c r="BX950" s="18">
        <f>[1]monsters!$S950</f>
        <v>0</v>
      </c>
      <c r="BY950" s="18">
        <f>[1]monsters!$K950</f>
        <v>0</v>
      </c>
      <c r="BZ950" s="5">
        <f>[1]monsters!$D950</f>
        <v>0</v>
      </c>
      <c r="CA950" s="5" t="e">
        <f t="shared" si="561"/>
        <v>#N/A</v>
      </c>
      <c r="CB950" s="5" t="e">
        <f t="shared" si="562"/>
        <v>#N/A</v>
      </c>
      <c r="CC950" s="5" t="e">
        <f t="shared" si="563"/>
        <v>#N/A</v>
      </c>
      <c r="CN950" s="5"/>
      <c r="CO950" s="5"/>
      <c r="CP950" s="5"/>
      <c r="CR950" s="3" t="b">
        <f t="shared" si="570"/>
        <v>1</v>
      </c>
      <c r="CS950" s="3" t="b">
        <f t="shared" si="571"/>
        <v>1</v>
      </c>
      <c r="CT950" s="3" t="b">
        <f t="shared" si="572"/>
        <v>1</v>
      </c>
      <c r="CU950" s="3" t="b">
        <f t="shared" si="573"/>
        <v>1</v>
      </c>
      <c r="CV950" s="3" t="b">
        <f t="shared" si="574"/>
        <v>1</v>
      </c>
      <c r="CW950" s="3" t="b">
        <f t="shared" si="575"/>
        <v>1</v>
      </c>
      <c r="CX950" s="9" t="str">
        <f t="shared" si="576"/>
        <v>5302135</v>
      </c>
      <c r="CY950" s="9" t="str">
        <f t="shared" si="577"/>
        <v>5202135</v>
      </c>
      <c r="CZ950" s="9" t="str">
        <f t="shared" si="578"/>
        <v>5202133</v>
      </c>
      <c r="DA950" s="9" t="str">
        <f t="shared" si="579"/>
        <v>5401133</v>
      </c>
      <c r="DB950" s="9" t="str">
        <f t="shared" si="580"/>
        <v>5400135</v>
      </c>
      <c r="DC950" s="9" t="str">
        <f t="shared" si="581"/>
        <v>5400135</v>
      </c>
      <c r="DD950" s="9">
        <v>13</v>
      </c>
      <c r="DE950" s="9">
        <v>13</v>
      </c>
      <c r="DF950" s="9">
        <v>13</v>
      </c>
      <c r="DG950" s="9">
        <v>13</v>
      </c>
      <c r="DH950" s="9">
        <v>13</v>
      </c>
      <c r="DI950" s="9">
        <v>13</v>
      </c>
      <c r="DJ950" s="9">
        <v>5</v>
      </c>
      <c r="DK950" s="9">
        <v>5</v>
      </c>
      <c r="DL950" s="9">
        <v>5</v>
      </c>
      <c r="DM950" s="9">
        <v>5</v>
      </c>
      <c r="DN950" s="9">
        <v>5</v>
      </c>
      <c r="DO950" s="9">
        <v>5</v>
      </c>
      <c r="DP950" s="25" t="s">
        <v>221</v>
      </c>
      <c r="DQ950" s="25" t="s">
        <v>213</v>
      </c>
      <c r="DR950" s="25" t="s">
        <v>208</v>
      </c>
      <c r="DS950" s="25" t="s">
        <v>211</v>
      </c>
      <c r="DT950" s="25" t="s">
        <v>210</v>
      </c>
      <c r="DU950" s="25" t="s">
        <v>210</v>
      </c>
      <c r="DV950" s="25">
        <f t="shared" si="582"/>
        <v>1</v>
      </c>
      <c r="DW950" s="25">
        <f t="shared" si="583"/>
        <v>1</v>
      </c>
      <c r="DX950" s="25">
        <f t="shared" si="584"/>
        <v>1</v>
      </c>
      <c r="DY950" s="25">
        <f t="shared" si="585"/>
        <v>2</v>
      </c>
      <c r="DZ950" s="25">
        <f t="shared" si="586"/>
        <v>2</v>
      </c>
      <c r="EA950" s="25">
        <f t="shared" si="587"/>
        <v>2</v>
      </c>
    </row>
    <row r="951" spans="29:131" ht="13.5" customHeight="1">
      <c r="AC951" s="9" t="str">
        <f t="shared" si="564"/>
        <v/>
      </c>
      <c r="AD951" s="9" t="str">
        <f t="shared" si="565"/>
        <v/>
      </c>
      <c r="AE951" s="9" t="str">
        <f t="shared" si="566"/>
        <v/>
      </c>
      <c r="AF951" s="9" t="str">
        <f t="shared" si="567"/>
        <v/>
      </c>
      <c r="AG951" s="9" t="str">
        <f t="shared" si="568"/>
        <v/>
      </c>
      <c r="AH951" s="9" t="str">
        <f t="shared" si="569"/>
        <v/>
      </c>
      <c r="BR951" s="5">
        <v>5203093</v>
      </c>
      <c r="BS951" s="18">
        <f>[1]monsters!$N951</f>
        <v>0</v>
      </c>
      <c r="BT951" s="18">
        <f>[1]monsters!$O951</f>
        <v>0</v>
      </c>
      <c r="BU951" s="18">
        <f>[1]monsters!$P951</f>
        <v>0</v>
      </c>
      <c r="BV951" s="18">
        <f>[1]monsters!$Q951</f>
        <v>0</v>
      </c>
      <c r="BW951" s="18">
        <f>[1]monsters!$R951</f>
        <v>0</v>
      </c>
      <c r="BX951" s="18">
        <f>[1]monsters!$S951</f>
        <v>0</v>
      </c>
      <c r="BY951" s="18">
        <f>[1]monsters!$K951</f>
        <v>0</v>
      </c>
      <c r="BZ951" s="5">
        <f>[1]monsters!$D951</f>
        <v>0</v>
      </c>
      <c r="CA951" s="5" t="e">
        <f t="shared" si="561"/>
        <v>#N/A</v>
      </c>
      <c r="CB951" s="5" t="e">
        <f t="shared" si="562"/>
        <v>#N/A</v>
      </c>
      <c r="CC951" s="5" t="e">
        <f t="shared" si="563"/>
        <v>#N/A</v>
      </c>
      <c r="CN951" s="5"/>
      <c r="CO951" s="5"/>
      <c r="CP951" s="5"/>
      <c r="CR951" s="3" t="b">
        <f t="shared" si="570"/>
        <v>1</v>
      </c>
      <c r="CS951" s="3" t="b">
        <f t="shared" si="571"/>
        <v>1</v>
      </c>
      <c r="CT951" s="3" t="b">
        <f t="shared" si="572"/>
        <v>1</v>
      </c>
      <c r="CU951" s="3" t="b">
        <f t="shared" si="573"/>
        <v>1</v>
      </c>
      <c r="CV951" s="3" t="b">
        <f t="shared" si="574"/>
        <v>1</v>
      </c>
      <c r="CW951" s="3" t="b">
        <f t="shared" si="575"/>
        <v>1</v>
      </c>
      <c r="CX951" s="9" t="str">
        <f t="shared" si="576"/>
        <v>5202132</v>
      </c>
      <c r="CY951" s="9" t="str">
        <f t="shared" si="577"/>
        <v>5202132</v>
      </c>
      <c r="CZ951" s="9" t="str">
        <f t="shared" si="578"/>
        <v>5301132</v>
      </c>
      <c r="DA951" s="9" t="str">
        <f t="shared" si="579"/>
        <v>5502132</v>
      </c>
      <c r="DB951" s="9" t="str">
        <f t="shared" si="580"/>
        <v>5500131</v>
      </c>
      <c r="DC951" s="9" t="str">
        <f t="shared" si="581"/>
        <v>5400135</v>
      </c>
      <c r="DD951" s="9">
        <v>13</v>
      </c>
      <c r="DE951" s="9">
        <v>13</v>
      </c>
      <c r="DF951" s="9">
        <v>13</v>
      </c>
      <c r="DG951" s="9">
        <v>13</v>
      </c>
      <c r="DH951" s="9">
        <v>13</v>
      </c>
      <c r="DI951" s="9">
        <v>13</v>
      </c>
      <c r="DJ951" s="9">
        <v>5</v>
      </c>
      <c r="DK951" s="9">
        <v>5</v>
      </c>
      <c r="DL951" s="9">
        <v>5</v>
      </c>
      <c r="DM951" s="9">
        <v>5</v>
      </c>
      <c r="DN951" s="9">
        <v>5</v>
      </c>
      <c r="DO951" s="9">
        <v>5</v>
      </c>
      <c r="DP951" s="25" t="s">
        <v>200</v>
      </c>
      <c r="DQ951" s="25" t="s">
        <v>200</v>
      </c>
      <c r="DR951" s="25" t="s">
        <v>201</v>
      </c>
      <c r="DS951" s="25" t="s">
        <v>204</v>
      </c>
      <c r="DT951" s="25" t="s">
        <v>197</v>
      </c>
      <c r="DU951" s="25" t="s">
        <v>210</v>
      </c>
      <c r="DV951" s="25">
        <f t="shared" si="582"/>
        <v>1</v>
      </c>
      <c r="DW951" s="25">
        <f t="shared" si="583"/>
        <v>1</v>
      </c>
      <c r="DX951" s="25">
        <f t="shared" si="584"/>
        <v>1</v>
      </c>
      <c r="DY951" s="25">
        <f t="shared" si="585"/>
        <v>2</v>
      </c>
      <c r="DZ951" s="25">
        <f t="shared" si="586"/>
        <v>2</v>
      </c>
      <c r="EA951" s="25">
        <f t="shared" si="587"/>
        <v>2</v>
      </c>
    </row>
    <row r="952" spans="29:131" ht="13.5" customHeight="1">
      <c r="AC952" s="9" t="str">
        <f t="shared" si="564"/>
        <v/>
      </c>
      <c r="AD952" s="9" t="str">
        <f t="shared" si="565"/>
        <v/>
      </c>
      <c r="AE952" s="9" t="str">
        <f t="shared" si="566"/>
        <v/>
      </c>
      <c r="AF952" s="9" t="str">
        <f t="shared" si="567"/>
        <v/>
      </c>
      <c r="AG952" s="9" t="str">
        <f t="shared" si="568"/>
        <v/>
      </c>
      <c r="AH952" s="9" t="str">
        <f t="shared" si="569"/>
        <v/>
      </c>
      <c r="BR952" s="5">
        <v>5403093</v>
      </c>
      <c r="BS952" s="18">
        <f>[1]monsters!$N952</f>
        <v>0</v>
      </c>
      <c r="BT952" s="18">
        <f>[1]monsters!$O952</f>
        <v>0</v>
      </c>
      <c r="BU952" s="18">
        <f>[1]monsters!$P952</f>
        <v>0</v>
      </c>
      <c r="BV952" s="18">
        <f>[1]monsters!$Q952</f>
        <v>0</v>
      </c>
      <c r="BW952" s="18">
        <f>[1]monsters!$R952</f>
        <v>0</v>
      </c>
      <c r="BX952" s="18">
        <f>[1]monsters!$S952</f>
        <v>0</v>
      </c>
      <c r="BY952" s="18">
        <f>[1]monsters!$K952</f>
        <v>0</v>
      </c>
      <c r="BZ952" s="5">
        <f>[1]monsters!$D952</f>
        <v>0</v>
      </c>
      <c r="CA952" s="5" t="e">
        <f t="shared" si="561"/>
        <v>#N/A</v>
      </c>
      <c r="CB952" s="5" t="e">
        <f t="shared" si="562"/>
        <v>#N/A</v>
      </c>
      <c r="CC952" s="5" t="e">
        <f t="shared" si="563"/>
        <v>#N/A</v>
      </c>
      <c r="CN952" s="5"/>
      <c r="CO952" s="5"/>
      <c r="CP952" s="5"/>
      <c r="CR952" s="3" t="b">
        <f t="shared" si="570"/>
        <v>1</v>
      </c>
      <c r="CS952" s="3" t="b">
        <f t="shared" si="571"/>
        <v>1</v>
      </c>
      <c r="CT952" s="3" t="b">
        <f t="shared" si="572"/>
        <v>1</v>
      </c>
      <c r="CU952" s="3" t="b">
        <f t="shared" si="573"/>
        <v>1</v>
      </c>
      <c r="CV952" s="3" t="b">
        <f t="shared" si="574"/>
        <v>1</v>
      </c>
      <c r="CW952" s="3" t="b">
        <f t="shared" si="575"/>
        <v>1</v>
      </c>
      <c r="CX952" s="9" t="str">
        <f t="shared" si="576"/>
        <v>5202133</v>
      </c>
      <c r="CY952" s="9" t="str">
        <f t="shared" si="577"/>
        <v>5201133</v>
      </c>
      <c r="CZ952" s="9" t="str">
        <f t="shared" si="578"/>
        <v>5302134</v>
      </c>
      <c r="DA952" s="9" t="str">
        <f t="shared" si="579"/>
        <v>5400135</v>
      </c>
      <c r="DB952" s="9" t="str">
        <f t="shared" si="580"/>
        <v>5601133</v>
      </c>
      <c r="DC952" s="9" t="str">
        <f t="shared" si="581"/>
        <v>5501134</v>
      </c>
      <c r="DD952" s="9">
        <v>13</v>
      </c>
      <c r="DE952" s="9">
        <v>13</v>
      </c>
      <c r="DF952" s="9">
        <v>13</v>
      </c>
      <c r="DG952" s="9">
        <v>13</v>
      </c>
      <c r="DH952" s="9">
        <v>13</v>
      </c>
      <c r="DI952" s="9">
        <v>13</v>
      </c>
      <c r="DJ952" s="9">
        <v>5</v>
      </c>
      <c r="DK952" s="9">
        <v>5</v>
      </c>
      <c r="DL952" s="9">
        <v>5</v>
      </c>
      <c r="DM952" s="9">
        <v>5</v>
      </c>
      <c r="DN952" s="9">
        <v>5</v>
      </c>
      <c r="DO952" s="9">
        <v>5</v>
      </c>
      <c r="DP952" s="25" t="s">
        <v>208</v>
      </c>
      <c r="DQ952" s="25" t="s">
        <v>205</v>
      </c>
      <c r="DR952" s="25" t="s">
        <v>218</v>
      </c>
      <c r="DS952" s="25" t="s">
        <v>210</v>
      </c>
      <c r="DT952" s="25" t="s">
        <v>216</v>
      </c>
      <c r="DU952" s="25" t="s">
        <v>214</v>
      </c>
      <c r="DV952" s="25">
        <f t="shared" si="582"/>
        <v>1</v>
      </c>
      <c r="DW952" s="25">
        <f t="shared" si="583"/>
        <v>1</v>
      </c>
      <c r="DX952" s="25">
        <f t="shared" si="584"/>
        <v>1</v>
      </c>
      <c r="DY952" s="25">
        <f t="shared" si="585"/>
        <v>2</v>
      </c>
      <c r="DZ952" s="25">
        <f t="shared" si="586"/>
        <v>2</v>
      </c>
      <c r="EA952" s="25">
        <f t="shared" si="587"/>
        <v>2</v>
      </c>
    </row>
    <row r="953" spans="29:131" ht="13.5" customHeight="1">
      <c r="AC953" s="9" t="str">
        <f t="shared" si="564"/>
        <v/>
      </c>
      <c r="AD953" s="9" t="str">
        <f t="shared" si="565"/>
        <v/>
      </c>
      <c r="AE953" s="9" t="str">
        <f t="shared" si="566"/>
        <v/>
      </c>
      <c r="AF953" s="9" t="str">
        <f t="shared" si="567"/>
        <v/>
      </c>
      <c r="AG953" s="9" t="str">
        <f t="shared" si="568"/>
        <v/>
      </c>
      <c r="AH953" s="9" t="str">
        <f t="shared" si="569"/>
        <v/>
      </c>
      <c r="BR953" s="5">
        <v>5204093</v>
      </c>
      <c r="BS953" s="18">
        <f>[1]monsters!$N953</f>
        <v>0</v>
      </c>
      <c r="BT953" s="18">
        <f>[1]monsters!$O953</f>
        <v>0</v>
      </c>
      <c r="BU953" s="18">
        <f>[1]monsters!$P953</f>
        <v>0</v>
      </c>
      <c r="BV953" s="18">
        <f>[1]monsters!$Q953</f>
        <v>0</v>
      </c>
      <c r="BW953" s="18">
        <f>[1]monsters!$R953</f>
        <v>0</v>
      </c>
      <c r="BX953" s="18">
        <f>[1]monsters!$S953</f>
        <v>0</v>
      </c>
      <c r="BY953" s="18">
        <f>[1]monsters!$K953</f>
        <v>0</v>
      </c>
      <c r="BZ953" s="5">
        <f>[1]monsters!$D953</f>
        <v>0</v>
      </c>
      <c r="CA953" s="5" t="e">
        <f t="shared" si="561"/>
        <v>#N/A</v>
      </c>
      <c r="CB953" s="5" t="e">
        <f t="shared" si="562"/>
        <v>#N/A</v>
      </c>
      <c r="CC953" s="5" t="e">
        <f t="shared" si="563"/>
        <v>#N/A</v>
      </c>
      <c r="CN953" s="5"/>
      <c r="CO953" s="5"/>
      <c r="CP953" s="5"/>
      <c r="CR953" s="3" t="b">
        <f t="shared" si="570"/>
        <v>1</v>
      </c>
      <c r="CS953" s="3" t="b">
        <f t="shared" si="571"/>
        <v>1</v>
      </c>
      <c r="CT953" s="3" t="b">
        <f t="shared" si="572"/>
        <v>1</v>
      </c>
      <c r="CU953" s="3" t="b">
        <f t="shared" si="573"/>
        <v>1</v>
      </c>
      <c r="CV953" s="3" t="b">
        <f t="shared" si="574"/>
        <v>1</v>
      </c>
      <c r="CW953" s="3" t="b">
        <f t="shared" si="575"/>
        <v>1</v>
      </c>
      <c r="CX953" s="9" t="str">
        <f t="shared" si="576"/>
        <v>5301131</v>
      </c>
      <c r="CY953" s="9" t="str">
        <f t="shared" si="577"/>
        <v>5301132</v>
      </c>
      <c r="CZ953" s="9" t="str">
        <f t="shared" si="578"/>
        <v>5301133</v>
      </c>
      <c r="DA953" s="9" t="str">
        <f t="shared" si="579"/>
        <v>5500131</v>
      </c>
      <c r="DB953" s="9" t="str">
        <f t="shared" si="580"/>
        <v>5500132</v>
      </c>
      <c r="DC953" s="9" t="str">
        <f t="shared" si="581"/>
        <v>5500133</v>
      </c>
      <c r="DD953" s="9">
        <v>13</v>
      </c>
      <c r="DE953" s="9">
        <v>13</v>
      </c>
      <c r="DF953" s="9">
        <v>13</v>
      </c>
      <c r="DG953" s="9">
        <v>13</v>
      </c>
      <c r="DH953" s="9">
        <v>13</v>
      </c>
      <c r="DI953" s="9">
        <v>13</v>
      </c>
      <c r="DJ953" s="9">
        <v>5</v>
      </c>
      <c r="DK953" s="9">
        <v>5</v>
      </c>
      <c r="DL953" s="9">
        <v>5</v>
      </c>
      <c r="DM953" s="9">
        <v>5</v>
      </c>
      <c r="DN953" s="9">
        <v>5</v>
      </c>
      <c r="DO953" s="9">
        <v>5</v>
      </c>
      <c r="DP953" s="3" t="s">
        <v>107</v>
      </c>
      <c r="DQ953" s="3" t="s">
        <v>201</v>
      </c>
      <c r="DR953" s="3" t="s">
        <v>206</v>
      </c>
      <c r="DS953" s="3" t="s">
        <v>197</v>
      </c>
      <c r="DT953" s="3" t="s">
        <v>109</v>
      </c>
      <c r="DU953" s="3" t="s">
        <v>207</v>
      </c>
      <c r="DV953" s="25">
        <f t="shared" si="582"/>
        <v>1</v>
      </c>
      <c r="DW953" s="25">
        <f t="shared" si="583"/>
        <v>1</v>
      </c>
      <c r="DX953" s="25">
        <f t="shared" si="584"/>
        <v>1</v>
      </c>
      <c r="DY953" s="25">
        <f t="shared" si="585"/>
        <v>2</v>
      </c>
      <c r="DZ953" s="25">
        <f t="shared" si="586"/>
        <v>2</v>
      </c>
      <c r="EA953" s="25">
        <f t="shared" si="587"/>
        <v>2</v>
      </c>
    </row>
    <row r="954" spans="29:131" ht="13.5" customHeight="1">
      <c r="AC954" s="9" t="str">
        <f t="shared" si="564"/>
        <v/>
      </c>
      <c r="AD954" s="9" t="str">
        <f t="shared" si="565"/>
        <v/>
      </c>
      <c r="AE954" s="9" t="str">
        <f t="shared" si="566"/>
        <v/>
      </c>
      <c r="AF954" s="9" t="str">
        <f t="shared" si="567"/>
        <v/>
      </c>
      <c r="AG954" s="9" t="str">
        <f t="shared" si="568"/>
        <v/>
      </c>
      <c r="AH954" s="9" t="str">
        <f t="shared" si="569"/>
        <v/>
      </c>
      <c r="BR954" s="5">
        <v>5404093</v>
      </c>
      <c r="BS954" s="18">
        <f>[1]monsters!$N954</f>
        <v>0</v>
      </c>
      <c r="BT954" s="18">
        <f>[1]monsters!$O954</f>
        <v>0</v>
      </c>
      <c r="BU954" s="18">
        <f>[1]monsters!$P954</f>
        <v>0</v>
      </c>
      <c r="BV954" s="18">
        <f>[1]monsters!$Q954</f>
        <v>0</v>
      </c>
      <c r="BW954" s="18">
        <f>[1]monsters!$R954</f>
        <v>0</v>
      </c>
      <c r="BX954" s="18">
        <f>[1]monsters!$S954</f>
        <v>0</v>
      </c>
      <c r="BY954" s="18">
        <f>[1]monsters!$K954</f>
        <v>0</v>
      </c>
      <c r="BZ954" s="5">
        <f>[1]monsters!$D954</f>
        <v>0</v>
      </c>
      <c r="CA954" s="5" t="e">
        <f t="shared" si="561"/>
        <v>#N/A</v>
      </c>
      <c r="CB954" s="5" t="e">
        <f t="shared" si="562"/>
        <v>#N/A</v>
      </c>
      <c r="CC954" s="5" t="e">
        <f t="shared" si="563"/>
        <v>#N/A</v>
      </c>
      <c r="CN954" s="5"/>
      <c r="CO954" s="5"/>
      <c r="CP954" s="5"/>
      <c r="CR954" s="3" t="b">
        <f t="shared" si="570"/>
        <v>1</v>
      </c>
      <c r="CS954" s="3" t="b">
        <f t="shared" si="571"/>
        <v>1</v>
      </c>
      <c r="CT954" s="3" t="b">
        <f t="shared" si="572"/>
        <v>1</v>
      </c>
      <c r="CU954" s="3" t="b">
        <f t="shared" si="573"/>
        <v>1</v>
      </c>
      <c r="CV954" s="3" t="b">
        <f t="shared" si="574"/>
        <v>1</v>
      </c>
      <c r="CW954" s="3" t="b">
        <f t="shared" si="575"/>
        <v>1</v>
      </c>
      <c r="CX954" s="9" t="str">
        <f t="shared" si="576"/>
        <v>5200132</v>
      </c>
      <c r="CY954" s="9" t="str">
        <f t="shared" si="577"/>
        <v>5200133</v>
      </c>
      <c r="CZ954" s="9" t="str">
        <f t="shared" si="578"/>
        <v>5200132</v>
      </c>
      <c r="DA954" s="9" t="str">
        <f t="shared" si="579"/>
        <v>5501135</v>
      </c>
      <c r="DB954" s="9" t="str">
        <f t="shared" si="580"/>
        <v>5401133</v>
      </c>
      <c r="DC954" s="9" t="str">
        <f t="shared" si="581"/>
        <v>5501134</v>
      </c>
      <c r="DD954" s="9">
        <v>13</v>
      </c>
      <c r="DE954" s="9">
        <v>13</v>
      </c>
      <c r="DF954" s="9">
        <v>13</v>
      </c>
      <c r="DG954" s="9">
        <v>13</v>
      </c>
      <c r="DH954" s="9">
        <v>13</v>
      </c>
      <c r="DI954" s="9">
        <v>13</v>
      </c>
      <c r="DJ954" s="9">
        <v>5</v>
      </c>
      <c r="DK954" s="9">
        <v>5</v>
      </c>
      <c r="DL954" s="9">
        <v>5</v>
      </c>
      <c r="DM954" s="9">
        <v>5</v>
      </c>
      <c r="DN954" s="9">
        <v>5</v>
      </c>
      <c r="DO954" s="9">
        <v>5</v>
      </c>
      <c r="DP954" s="3" t="s">
        <v>199</v>
      </c>
      <c r="DQ954" s="3" t="s">
        <v>113</v>
      </c>
      <c r="DR954" s="3" t="s">
        <v>199</v>
      </c>
      <c r="DS954" s="25" t="s">
        <v>209</v>
      </c>
      <c r="DT954" s="25" t="s">
        <v>211</v>
      </c>
      <c r="DU954" s="25" t="s">
        <v>214</v>
      </c>
      <c r="DV954" s="25">
        <f t="shared" si="582"/>
        <v>1</v>
      </c>
      <c r="DW954" s="25">
        <f t="shared" si="583"/>
        <v>1</v>
      </c>
      <c r="DX954" s="25">
        <f t="shared" si="584"/>
        <v>1</v>
      </c>
      <c r="DY954" s="25">
        <f t="shared" si="585"/>
        <v>2</v>
      </c>
      <c r="DZ954" s="25">
        <f t="shared" si="586"/>
        <v>2</v>
      </c>
      <c r="EA954" s="25">
        <f t="shared" si="587"/>
        <v>2</v>
      </c>
    </row>
    <row r="955" spans="29:131" ht="13.5" customHeight="1">
      <c r="AC955" s="9" t="str">
        <f t="shared" si="564"/>
        <v/>
      </c>
      <c r="AD955" s="9" t="str">
        <f t="shared" si="565"/>
        <v/>
      </c>
      <c r="AE955" s="9" t="str">
        <f t="shared" si="566"/>
        <v/>
      </c>
      <c r="AF955" s="9" t="str">
        <f t="shared" si="567"/>
        <v/>
      </c>
      <c r="AG955" s="9" t="str">
        <f t="shared" si="568"/>
        <v/>
      </c>
      <c r="AH955" s="9" t="str">
        <f t="shared" si="569"/>
        <v/>
      </c>
      <c r="BR955" s="5">
        <v>5303093</v>
      </c>
      <c r="BS955" s="18">
        <f>[1]monsters!$N955</f>
        <v>0</v>
      </c>
      <c r="BT955" s="18">
        <f>[1]monsters!$O955</f>
        <v>0</v>
      </c>
      <c r="BU955" s="18">
        <f>[1]monsters!$P955</f>
        <v>0</v>
      </c>
      <c r="BV955" s="18">
        <f>[1]monsters!$Q955</f>
        <v>0</v>
      </c>
      <c r="BW955" s="18">
        <f>[1]monsters!$R955</f>
        <v>0</v>
      </c>
      <c r="BX955" s="18">
        <f>[1]monsters!$S955</f>
        <v>0</v>
      </c>
      <c r="BY955" s="18">
        <f>[1]monsters!$K955</f>
        <v>0</v>
      </c>
      <c r="BZ955" s="5">
        <f>[1]monsters!$D955</f>
        <v>0</v>
      </c>
      <c r="CA955" s="5" t="e">
        <f t="shared" si="561"/>
        <v>#N/A</v>
      </c>
      <c r="CB955" s="5" t="e">
        <f t="shared" si="562"/>
        <v>#N/A</v>
      </c>
      <c r="CC955" s="5" t="e">
        <f t="shared" si="563"/>
        <v>#N/A</v>
      </c>
      <c r="CN955" s="5"/>
      <c r="CO955" s="5"/>
      <c r="CP955" s="5"/>
      <c r="CR955" s="3" t="b">
        <f t="shared" si="570"/>
        <v>1</v>
      </c>
      <c r="CS955" s="3" t="b">
        <f t="shared" si="571"/>
        <v>1</v>
      </c>
      <c r="CT955" s="3" t="b">
        <f t="shared" si="572"/>
        <v>1</v>
      </c>
      <c r="CU955" s="3" t="b">
        <f t="shared" si="573"/>
        <v>1</v>
      </c>
      <c r="CV955" s="3" t="b">
        <f t="shared" si="574"/>
        <v>1</v>
      </c>
      <c r="CW955" s="3" t="b">
        <f t="shared" si="575"/>
        <v>1</v>
      </c>
      <c r="CX955" s="9" t="str">
        <f t="shared" si="576"/>
        <v>5201131</v>
      </c>
      <c r="CY955" s="9" t="str">
        <f t="shared" si="577"/>
        <v>5201132</v>
      </c>
      <c r="CZ955" s="9" t="str">
        <f t="shared" si="578"/>
        <v>5202131</v>
      </c>
      <c r="DA955" s="9" t="str">
        <f t="shared" si="579"/>
        <v>5401131</v>
      </c>
      <c r="DB955" s="9" t="str">
        <f t="shared" si="580"/>
        <v>5501135</v>
      </c>
      <c r="DC955" s="9" t="str">
        <f t="shared" si="581"/>
        <v>5501135</v>
      </c>
      <c r="DD955" s="9">
        <v>13</v>
      </c>
      <c r="DE955" s="9">
        <v>13</v>
      </c>
      <c r="DF955" s="9">
        <v>13</v>
      </c>
      <c r="DG955" s="9">
        <v>13</v>
      </c>
      <c r="DH955" s="9">
        <v>13</v>
      </c>
      <c r="DI955" s="9">
        <v>13</v>
      </c>
      <c r="DJ955" s="9">
        <v>5</v>
      </c>
      <c r="DK955" s="9">
        <v>5</v>
      </c>
      <c r="DL955" s="9">
        <v>5</v>
      </c>
      <c r="DM955" s="9">
        <v>5</v>
      </c>
      <c r="DN955" s="9">
        <v>5</v>
      </c>
      <c r="DO955" s="9">
        <v>5</v>
      </c>
      <c r="DP955" s="3" t="s">
        <v>195</v>
      </c>
      <c r="DQ955" s="3" t="s">
        <v>114</v>
      </c>
      <c r="DR955" s="3" t="s">
        <v>111</v>
      </c>
      <c r="DS955" s="3" t="s">
        <v>117</v>
      </c>
      <c r="DT955" s="3" t="s">
        <v>209</v>
      </c>
      <c r="DU955" s="3" t="s">
        <v>209</v>
      </c>
      <c r="DV955" s="25">
        <f t="shared" si="582"/>
        <v>1</v>
      </c>
      <c r="DW955" s="25">
        <f t="shared" si="583"/>
        <v>1</v>
      </c>
      <c r="DX955" s="25">
        <f t="shared" si="584"/>
        <v>1</v>
      </c>
      <c r="DY955" s="25">
        <f t="shared" si="585"/>
        <v>2</v>
      </c>
      <c r="DZ955" s="25">
        <f t="shared" si="586"/>
        <v>2</v>
      </c>
      <c r="EA955" s="25">
        <f t="shared" si="587"/>
        <v>2</v>
      </c>
    </row>
    <row r="956" spans="29:131" ht="13.5" customHeight="1">
      <c r="AC956" s="9" t="str">
        <f t="shared" si="564"/>
        <v/>
      </c>
      <c r="AD956" s="9" t="str">
        <f t="shared" si="565"/>
        <v/>
      </c>
      <c r="AE956" s="9" t="str">
        <f t="shared" si="566"/>
        <v/>
      </c>
      <c r="AF956" s="9" t="str">
        <f t="shared" si="567"/>
        <v/>
      </c>
      <c r="AG956" s="9" t="str">
        <f t="shared" si="568"/>
        <v/>
      </c>
      <c r="AH956" s="9" t="str">
        <f t="shared" si="569"/>
        <v/>
      </c>
      <c r="BR956" s="5">
        <v>5304093</v>
      </c>
      <c r="BS956" s="18">
        <f>[1]monsters!$N956</f>
        <v>0</v>
      </c>
      <c r="BT956" s="18">
        <f>[1]monsters!$O956</f>
        <v>0</v>
      </c>
      <c r="BU956" s="18">
        <f>[1]monsters!$P956</f>
        <v>0</v>
      </c>
      <c r="BV956" s="18">
        <f>[1]monsters!$Q956</f>
        <v>0</v>
      </c>
      <c r="BW956" s="18">
        <f>[1]monsters!$R956</f>
        <v>0</v>
      </c>
      <c r="BX956" s="18">
        <f>[1]monsters!$S956</f>
        <v>0</v>
      </c>
      <c r="BY956" s="18">
        <f>[1]monsters!$K956</f>
        <v>0</v>
      </c>
      <c r="BZ956" s="5">
        <f>[1]monsters!$D956</f>
        <v>0</v>
      </c>
      <c r="CA956" s="5" t="e">
        <f t="shared" si="561"/>
        <v>#N/A</v>
      </c>
      <c r="CB956" s="5" t="e">
        <f t="shared" si="562"/>
        <v>#N/A</v>
      </c>
      <c r="CC956" s="5" t="e">
        <f t="shared" si="563"/>
        <v>#N/A</v>
      </c>
      <c r="CN956" s="5"/>
      <c r="CO956" s="5"/>
      <c r="CP956" s="5"/>
      <c r="CR956" s="3" t="b">
        <f t="shared" si="570"/>
        <v>1</v>
      </c>
      <c r="CS956" s="3" t="b">
        <f t="shared" si="571"/>
        <v>1</v>
      </c>
      <c r="CT956" s="3" t="b">
        <f t="shared" si="572"/>
        <v>1</v>
      </c>
      <c r="CU956" s="3" t="b">
        <f t="shared" si="573"/>
        <v>1</v>
      </c>
      <c r="CV956" s="3" t="b">
        <f t="shared" si="574"/>
        <v>1</v>
      </c>
      <c r="CW956" s="3" t="b">
        <f t="shared" si="575"/>
        <v>1</v>
      </c>
      <c r="CX956" s="9" t="str">
        <f t="shared" si="576"/>
        <v>5300135</v>
      </c>
      <c r="CY956" s="9" t="str">
        <f t="shared" si="577"/>
        <v>5202135</v>
      </c>
      <c r="CZ956" s="9" t="str">
        <f t="shared" si="578"/>
        <v>5202135</v>
      </c>
      <c r="DA956" s="9" t="str">
        <f t="shared" si="579"/>
        <v>5501134</v>
      </c>
      <c r="DB956" s="9" t="str">
        <f t="shared" si="580"/>
        <v>5500133</v>
      </c>
      <c r="DC956" s="9" t="str">
        <f t="shared" si="581"/>
        <v>5501134</v>
      </c>
      <c r="DD956" s="9">
        <v>13</v>
      </c>
      <c r="DE956" s="9">
        <v>13</v>
      </c>
      <c r="DF956" s="9">
        <v>13</v>
      </c>
      <c r="DG956" s="9">
        <v>13</v>
      </c>
      <c r="DH956" s="9">
        <v>13</v>
      </c>
      <c r="DI956" s="9">
        <v>13</v>
      </c>
      <c r="DJ956" s="9">
        <v>5</v>
      </c>
      <c r="DK956" s="9">
        <v>5</v>
      </c>
      <c r="DL956" s="9">
        <v>5</v>
      </c>
      <c r="DM956" s="9">
        <v>5</v>
      </c>
      <c r="DN956" s="9">
        <v>5</v>
      </c>
      <c r="DO956" s="9">
        <v>5</v>
      </c>
      <c r="DP956" s="3" t="s">
        <v>212</v>
      </c>
      <c r="DQ956" s="3" t="s">
        <v>213</v>
      </c>
      <c r="DR956" s="3" t="s">
        <v>213</v>
      </c>
      <c r="DS956" s="3" t="s">
        <v>214</v>
      </c>
      <c r="DT956" s="3" t="s">
        <v>207</v>
      </c>
      <c r="DU956" s="3" t="s">
        <v>214</v>
      </c>
      <c r="DV956" s="25">
        <f t="shared" si="582"/>
        <v>1</v>
      </c>
      <c r="DW956" s="25">
        <f t="shared" si="583"/>
        <v>1</v>
      </c>
      <c r="DX956" s="25">
        <f t="shared" si="584"/>
        <v>1</v>
      </c>
      <c r="DY956" s="25">
        <f t="shared" si="585"/>
        <v>2</v>
      </c>
      <c r="DZ956" s="25">
        <f t="shared" si="586"/>
        <v>2</v>
      </c>
      <c r="EA956" s="25">
        <f t="shared" si="587"/>
        <v>2</v>
      </c>
    </row>
    <row r="957" spans="29:131" ht="13.5" customHeight="1">
      <c r="AC957" s="9" t="str">
        <f t="shared" si="564"/>
        <v/>
      </c>
      <c r="AD957" s="9" t="str">
        <f t="shared" si="565"/>
        <v/>
      </c>
      <c r="AE957" s="9" t="str">
        <f t="shared" si="566"/>
        <v/>
      </c>
      <c r="AF957" s="9" t="str">
        <f t="shared" si="567"/>
        <v/>
      </c>
      <c r="AG957" s="9" t="str">
        <f t="shared" si="568"/>
        <v/>
      </c>
      <c r="AH957" s="9" t="str">
        <f t="shared" si="569"/>
        <v/>
      </c>
      <c r="BR957" s="5">
        <v>5503093</v>
      </c>
      <c r="BS957" s="18">
        <f>[1]monsters!$N957</f>
        <v>0</v>
      </c>
      <c r="BT957" s="18">
        <f>[1]monsters!$O957</f>
        <v>0</v>
      </c>
      <c r="BU957" s="18">
        <f>[1]monsters!$P957</f>
        <v>0</v>
      </c>
      <c r="BV957" s="18">
        <f>[1]monsters!$Q957</f>
        <v>0</v>
      </c>
      <c r="BW957" s="18">
        <f>[1]monsters!$R957</f>
        <v>0</v>
      </c>
      <c r="BX957" s="18">
        <f>[1]monsters!$S957</f>
        <v>0</v>
      </c>
      <c r="BY957" s="18">
        <f>[1]monsters!$K957</f>
        <v>0</v>
      </c>
      <c r="BZ957" s="5">
        <f>[1]monsters!$D957</f>
        <v>0</v>
      </c>
      <c r="CA957" s="5" t="e">
        <f t="shared" si="561"/>
        <v>#N/A</v>
      </c>
      <c r="CB957" s="5" t="e">
        <f t="shared" si="562"/>
        <v>#N/A</v>
      </c>
      <c r="CC957" s="5" t="e">
        <f t="shared" si="563"/>
        <v>#N/A</v>
      </c>
      <c r="CN957" s="5"/>
      <c r="CO957" s="5"/>
      <c r="CP957" s="5"/>
      <c r="CR957" s="3" t="b">
        <f t="shared" si="570"/>
        <v>1</v>
      </c>
      <c r="CS957" s="3" t="b">
        <f t="shared" si="571"/>
        <v>1</v>
      </c>
      <c r="CT957" s="3" t="b">
        <f t="shared" si="572"/>
        <v>1</v>
      </c>
      <c r="CU957" s="3" t="b">
        <f t="shared" si="573"/>
        <v>1</v>
      </c>
      <c r="CV957" s="3" t="b">
        <f t="shared" si="574"/>
        <v>1</v>
      </c>
      <c r="CW957" s="3" t="b">
        <f t="shared" si="575"/>
        <v>1</v>
      </c>
      <c r="CX957" s="9" t="str">
        <f t="shared" si="576"/>
        <v>5201131</v>
      </c>
      <c r="CY957" s="9" t="str">
        <f t="shared" si="577"/>
        <v>5201131</v>
      </c>
      <c r="CZ957" s="9" t="str">
        <f t="shared" si="578"/>
        <v>5200132</v>
      </c>
      <c r="DA957" s="9" t="str">
        <f t="shared" si="579"/>
        <v>5502132</v>
      </c>
      <c r="DB957" s="9" t="str">
        <f t="shared" si="580"/>
        <v>5501134</v>
      </c>
      <c r="DC957" s="9" t="str">
        <f t="shared" si="581"/>
        <v>5501134</v>
      </c>
      <c r="DD957" s="9">
        <v>13</v>
      </c>
      <c r="DE957" s="9">
        <v>13</v>
      </c>
      <c r="DF957" s="9">
        <v>13</v>
      </c>
      <c r="DG957" s="9">
        <v>13</v>
      </c>
      <c r="DH957" s="9">
        <v>13</v>
      </c>
      <c r="DI957" s="9">
        <v>13</v>
      </c>
      <c r="DJ957" s="9">
        <v>5</v>
      </c>
      <c r="DK957" s="9">
        <v>5</v>
      </c>
      <c r="DL957" s="9">
        <v>5</v>
      </c>
      <c r="DM957" s="9">
        <v>5</v>
      </c>
      <c r="DN957" s="9">
        <v>5</v>
      </c>
      <c r="DO957" s="9">
        <v>5</v>
      </c>
      <c r="DP957" s="3" t="s">
        <v>195</v>
      </c>
      <c r="DQ957" s="3" t="s">
        <v>195</v>
      </c>
      <c r="DR957" s="3" t="s">
        <v>199</v>
      </c>
      <c r="DS957" s="3" t="s">
        <v>204</v>
      </c>
      <c r="DT957" s="3" t="s">
        <v>214</v>
      </c>
      <c r="DU957" s="3" t="s">
        <v>214</v>
      </c>
      <c r="DV957" s="25">
        <f t="shared" si="582"/>
        <v>1</v>
      </c>
      <c r="DW957" s="25">
        <f t="shared" si="583"/>
        <v>1</v>
      </c>
      <c r="DX957" s="25">
        <f t="shared" si="584"/>
        <v>1</v>
      </c>
      <c r="DY957" s="25">
        <f t="shared" si="585"/>
        <v>2</v>
      </c>
      <c r="DZ957" s="25">
        <f t="shared" si="586"/>
        <v>2</v>
      </c>
      <c r="EA957" s="25">
        <f t="shared" si="587"/>
        <v>2</v>
      </c>
    </row>
    <row r="958" spans="29:131" ht="13.5" customHeight="1">
      <c r="AC958" s="9" t="str">
        <f t="shared" si="564"/>
        <v/>
      </c>
      <c r="AD958" s="9" t="str">
        <f t="shared" si="565"/>
        <v/>
      </c>
      <c r="AE958" s="9" t="str">
        <f t="shared" si="566"/>
        <v/>
      </c>
      <c r="AF958" s="9" t="str">
        <f t="shared" si="567"/>
        <v/>
      </c>
      <c r="AG958" s="9" t="str">
        <f t="shared" si="568"/>
        <v/>
      </c>
      <c r="AH958" s="9" t="str">
        <f t="shared" si="569"/>
        <v/>
      </c>
      <c r="BR958" s="5">
        <v>5504093</v>
      </c>
      <c r="BS958" s="18">
        <f>[1]monsters!$N958</f>
        <v>0</v>
      </c>
      <c r="BT958" s="18">
        <f>[1]monsters!$O958</f>
        <v>0</v>
      </c>
      <c r="BU958" s="18">
        <f>[1]monsters!$P958</f>
        <v>0</v>
      </c>
      <c r="BV958" s="18">
        <f>[1]monsters!$Q958</f>
        <v>0</v>
      </c>
      <c r="BW958" s="18">
        <f>[1]monsters!$R958</f>
        <v>0</v>
      </c>
      <c r="BX958" s="18">
        <f>[1]monsters!$S958</f>
        <v>0</v>
      </c>
      <c r="BY958" s="18">
        <f>[1]monsters!$K958</f>
        <v>0</v>
      </c>
      <c r="BZ958" s="5">
        <f>[1]monsters!$D958</f>
        <v>0</v>
      </c>
      <c r="CA958" s="5" t="e">
        <f t="shared" si="561"/>
        <v>#N/A</v>
      </c>
      <c r="CB958" s="5" t="e">
        <f t="shared" si="562"/>
        <v>#N/A</v>
      </c>
      <c r="CC958" s="5" t="e">
        <f t="shared" si="563"/>
        <v>#N/A</v>
      </c>
      <c r="CN958" s="5"/>
      <c r="CO958" s="5"/>
      <c r="CP958" s="5"/>
      <c r="CR958" s="3" t="b">
        <f t="shared" si="570"/>
        <v>1</v>
      </c>
      <c r="CS958" s="3" t="b">
        <f t="shared" si="571"/>
        <v>1</v>
      </c>
      <c r="CT958" s="3" t="b">
        <f t="shared" si="572"/>
        <v>1</v>
      </c>
      <c r="CU958" s="3" t="b">
        <f t="shared" si="573"/>
        <v>1</v>
      </c>
      <c r="CV958" s="3" t="b">
        <f t="shared" si="574"/>
        <v>1</v>
      </c>
      <c r="CW958" s="3" t="b">
        <f t="shared" si="575"/>
        <v>1</v>
      </c>
      <c r="CX958" s="9" t="str">
        <f t="shared" si="576"/>
        <v>5202133</v>
      </c>
      <c r="CY958" s="9" t="str">
        <f t="shared" si="577"/>
        <v>5202132</v>
      </c>
      <c r="CZ958" s="9" t="str">
        <f t="shared" si="578"/>
        <v>5202133</v>
      </c>
      <c r="DA958" s="9" t="str">
        <f t="shared" si="579"/>
        <v>5400135</v>
      </c>
      <c r="DB958" s="9" t="str">
        <f t="shared" si="580"/>
        <v>5401133</v>
      </c>
      <c r="DC958" s="9" t="str">
        <f t="shared" si="581"/>
        <v>5501134</v>
      </c>
      <c r="DD958" s="9">
        <v>13</v>
      </c>
      <c r="DE958" s="9">
        <v>13</v>
      </c>
      <c r="DF958" s="9">
        <v>13</v>
      </c>
      <c r="DG958" s="9">
        <v>13</v>
      </c>
      <c r="DH958" s="9">
        <v>13</v>
      </c>
      <c r="DI958" s="9">
        <v>13</v>
      </c>
      <c r="DJ958" s="9">
        <v>5</v>
      </c>
      <c r="DK958" s="9">
        <v>5</v>
      </c>
      <c r="DL958" s="9">
        <v>5</v>
      </c>
      <c r="DM958" s="9">
        <v>5</v>
      </c>
      <c r="DN958" s="9">
        <v>5</v>
      </c>
      <c r="DO958" s="9">
        <v>5</v>
      </c>
      <c r="DP958" s="25" t="s">
        <v>208</v>
      </c>
      <c r="DQ958" s="25" t="s">
        <v>200</v>
      </c>
      <c r="DR958" s="25" t="s">
        <v>208</v>
      </c>
      <c r="DS958" s="25" t="s">
        <v>210</v>
      </c>
      <c r="DT958" s="25" t="s">
        <v>211</v>
      </c>
      <c r="DU958" s="25" t="s">
        <v>214</v>
      </c>
      <c r="DV958" s="25">
        <f t="shared" si="582"/>
        <v>1</v>
      </c>
      <c r="DW958" s="25">
        <f t="shared" si="583"/>
        <v>1</v>
      </c>
      <c r="DX958" s="25">
        <f t="shared" si="584"/>
        <v>1</v>
      </c>
      <c r="DY958" s="25">
        <f t="shared" si="585"/>
        <v>2</v>
      </c>
      <c r="DZ958" s="25">
        <f t="shared" si="586"/>
        <v>2</v>
      </c>
      <c r="EA958" s="25">
        <f t="shared" si="587"/>
        <v>2</v>
      </c>
    </row>
    <row r="959" spans="29:131" ht="13.5" customHeight="1">
      <c r="AC959" s="9" t="str">
        <f t="shared" si="564"/>
        <v/>
      </c>
      <c r="AD959" s="9" t="str">
        <f t="shared" si="565"/>
        <v/>
      </c>
      <c r="AE959" s="9" t="str">
        <f t="shared" si="566"/>
        <v/>
      </c>
      <c r="AF959" s="9" t="str">
        <f t="shared" si="567"/>
        <v/>
      </c>
      <c r="AG959" s="9" t="str">
        <f t="shared" si="568"/>
        <v/>
      </c>
      <c r="AH959" s="9" t="str">
        <f t="shared" si="569"/>
        <v/>
      </c>
      <c r="BR959" s="5">
        <v>5101093</v>
      </c>
      <c r="BS959" s="18">
        <f>[1]monsters!$N959</f>
        <v>0</v>
      </c>
      <c r="BT959" s="18">
        <f>[1]monsters!$O959</f>
        <v>0</v>
      </c>
      <c r="BU959" s="18">
        <f>[1]monsters!$P959</f>
        <v>0</v>
      </c>
      <c r="BV959" s="18">
        <f>[1]monsters!$Q959</f>
        <v>0</v>
      </c>
      <c r="BW959" s="18">
        <f>[1]monsters!$R959</f>
        <v>0</v>
      </c>
      <c r="BX959" s="18">
        <f>[1]monsters!$S959</f>
        <v>0</v>
      </c>
      <c r="BY959" s="18">
        <f>[1]monsters!$K959</f>
        <v>0</v>
      </c>
      <c r="BZ959" s="5">
        <f>[1]monsters!$D959</f>
        <v>0</v>
      </c>
      <c r="CA959" s="5" t="e">
        <f t="shared" si="561"/>
        <v>#N/A</v>
      </c>
      <c r="CB959" s="5" t="e">
        <f t="shared" si="562"/>
        <v>#N/A</v>
      </c>
      <c r="CC959" s="5" t="e">
        <f t="shared" si="563"/>
        <v>#N/A</v>
      </c>
      <c r="CN959" s="5"/>
      <c r="CO959" s="5"/>
      <c r="CP959" s="5"/>
      <c r="CR959" s="3" t="b">
        <f t="shared" si="570"/>
        <v>1</v>
      </c>
      <c r="CS959" s="3" t="b">
        <f t="shared" si="571"/>
        <v>1</v>
      </c>
      <c r="CT959" s="3" t="b">
        <f t="shared" si="572"/>
        <v>1</v>
      </c>
      <c r="CU959" s="3" t="b">
        <f t="shared" si="573"/>
        <v>1</v>
      </c>
      <c r="CV959" s="3" t="b">
        <f t="shared" si="574"/>
        <v>1</v>
      </c>
      <c r="CW959" s="3" t="b">
        <f t="shared" si="575"/>
        <v>1</v>
      </c>
      <c r="CX959" s="9" t="str">
        <f t="shared" si="576"/>
        <v>5301131</v>
      </c>
      <c r="CY959" s="9" t="str">
        <f t="shared" si="577"/>
        <v>5301132</v>
      </c>
      <c r="CZ959" s="9" t="str">
        <f t="shared" si="578"/>
        <v>5301133</v>
      </c>
      <c r="DA959" s="9" t="str">
        <f t="shared" si="579"/>
        <v>5501134</v>
      </c>
      <c r="DB959" s="9" t="str">
        <f t="shared" si="580"/>
        <v>5400135</v>
      </c>
      <c r="DC959" s="9" t="str">
        <f t="shared" si="581"/>
        <v>5502133</v>
      </c>
      <c r="DD959" s="9">
        <v>13</v>
      </c>
      <c r="DE959" s="9">
        <v>13</v>
      </c>
      <c r="DF959" s="9">
        <v>13</v>
      </c>
      <c r="DG959" s="9">
        <v>13</v>
      </c>
      <c r="DH959" s="9">
        <v>13</v>
      </c>
      <c r="DI959" s="9">
        <v>13</v>
      </c>
      <c r="DJ959" s="9">
        <v>5</v>
      </c>
      <c r="DK959" s="9">
        <v>5</v>
      </c>
      <c r="DL959" s="9">
        <v>5</v>
      </c>
      <c r="DM959" s="9">
        <v>5</v>
      </c>
      <c r="DN959" s="9">
        <v>5</v>
      </c>
      <c r="DO959" s="9">
        <v>5</v>
      </c>
      <c r="DP959" s="26" t="s">
        <v>107</v>
      </c>
      <c r="DQ959" s="26" t="s">
        <v>201</v>
      </c>
      <c r="DR959" s="26" t="s">
        <v>206</v>
      </c>
      <c r="DS959" s="26" t="s">
        <v>214</v>
      </c>
      <c r="DT959" s="26" t="s">
        <v>210</v>
      </c>
      <c r="DU959" s="26" t="s">
        <v>215</v>
      </c>
      <c r="DV959" s="25">
        <f t="shared" si="582"/>
        <v>1</v>
      </c>
      <c r="DW959" s="25">
        <f t="shared" si="583"/>
        <v>1</v>
      </c>
      <c r="DX959" s="25">
        <f t="shared" si="584"/>
        <v>1</v>
      </c>
      <c r="DY959" s="25">
        <f t="shared" si="585"/>
        <v>2</v>
      </c>
      <c r="DZ959" s="25">
        <f t="shared" si="586"/>
        <v>2</v>
      </c>
      <c r="EA959" s="25">
        <f t="shared" si="587"/>
        <v>2</v>
      </c>
    </row>
    <row r="960" spans="29:131" ht="13.5" customHeight="1">
      <c r="AC960" s="9" t="str">
        <f t="shared" si="564"/>
        <v/>
      </c>
      <c r="AD960" s="9" t="str">
        <f t="shared" si="565"/>
        <v/>
      </c>
      <c r="AE960" s="9" t="str">
        <f t="shared" si="566"/>
        <v/>
      </c>
      <c r="AF960" s="9" t="str">
        <f t="shared" si="567"/>
        <v/>
      </c>
      <c r="AG960" s="9" t="str">
        <f t="shared" si="568"/>
        <v/>
      </c>
      <c r="AH960" s="9" t="str">
        <f t="shared" si="569"/>
        <v/>
      </c>
      <c r="BR960" s="5">
        <v>5102093</v>
      </c>
      <c r="BS960" s="18">
        <f>[1]monsters!$N960</f>
        <v>0</v>
      </c>
      <c r="BT960" s="18">
        <f>[1]monsters!$O960</f>
        <v>0</v>
      </c>
      <c r="BU960" s="18">
        <f>[1]monsters!$P960</f>
        <v>0</v>
      </c>
      <c r="BV960" s="18">
        <f>[1]monsters!$Q960</f>
        <v>0</v>
      </c>
      <c r="BW960" s="18">
        <f>[1]monsters!$R960</f>
        <v>0</v>
      </c>
      <c r="BX960" s="18">
        <f>[1]monsters!$S960</f>
        <v>0</v>
      </c>
      <c r="BY960" s="18">
        <f>[1]monsters!$K960</f>
        <v>0</v>
      </c>
      <c r="BZ960" s="5">
        <f>[1]monsters!$D960</f>
        <v>0</v>
      </c>
      <c r="CA960" s="5" t="e">
        <f t="shared" si="561"/>
        <v>#N/A</v>
      </c>
      <c r="CB960" s="5" t="e">
        <f t="shared" si="562"/>
        <v>#N/A</v>
      </c>
      <c r="CC960" s="5" t="e">
        <f t="shared" si="563"/>
        <v>#N/A</v>
      </c>
      <c r="CN960" s="5"/>
      <c r="CO960" s="5"/>
      <c r="CP960" s="5"/>
      <c r="CR960" s="3" t="b">
        <f t="shared" si="570"/>
        <v>1</v>
      </c>
      <c r="CS960" s="3" t="b">
        <f t="shared" si="571"/>
        <v>1</v>
      </c>
      <c r="CT960" s="3" t="b">
        <f t="shared" si="572"/>
        <v>1</v>
      </c>
      <c r="CU960" s="3" t="b">
        <f t="shared" si="573"/>
        <v>1</v>
      </c>
      <c r="CV960" s="3" t="b">
        <f t="shared" si="574"/>
        <v>1</v>
      </c>
      <c r="CW960" s="3" t="b">
        <f t="shared" si="575"/>
        <v>1</v>
      </c>
      <c r="CX960" s="9" t="str">
        <f t="shared" si="576"/>
        <v>5200132</v>
      </c>
      <c r="CY960" s="9" t="str">
        <f t="shared" si="577"/>
        <v>5200133</v>
      </c>
      <c r="CZ960" s="9" t="str">
        <f t="shared" si="578"/>
        <v>5202132</v>
      </c>
      <c r="DA960" s="9" t="str">
        <f t="shared" si="579"/>
        <v>5402132</v>
      </c>
      <c r="DB960" s="9" t="str">
        <f t="shared" si="580"/>
        <v>5500133</v>
      </c>
      <c r="DC960" s="9" t="str">
        <f t="shared" si="581"/>
        <v>5501134</v>
      </c>
      <c r="DD960" s="9">
        <v>13</v>
      </c>
      <c r="DE960" s="9">
        <v>13</v>
      </c>
      <c r="DF960" s="9">
        <v>13</v>
      </c>
      <c r="DG960" s="9">
        <v>13</v>
      </c>
      <c r="DH960" s="9">
        <v>13</v>
      </c>
      <c r="DI960" s="9">
        <v>13</v>
      </c>
      <c r="DJ960" s="9">
        <v>5</v>
      </c>
      <c r="DK960" s="9">
        <v>5</v>
      </c>
      <c r="DL960" s="9">
        <v>5</v>
      </c>
      <c r="DM960" s="9">
        <v>5</v>
      </c>
      <c r="DN960" s="9">
        <v>5</v>
      </c>
      <c r="DO960" s="9">
        <v>5</v>
      </c>
      <c r="DP960" s="25" t="s">
        <v>199</v>
      </c>
      <c r="DQ960" s="25" t="s">
        <v>113</v>
      </c>
      <c r="DR960" s="26" t="s">
        <v>200</v>
      </c>
      <c r="DS960" s="26" t="s">
        <v>203</v>
      </c>
      <c r="DT960" s="26" t="s">
        <v>207</v>
      </c>
      <c r="DU960" s="26" t="s">
        <v>214</v>
      </c>
      <c r="DV960" s="25">
        <f t="shared" si="582"/>
        <v>1</v>
      </c>
      <c r="DW960" s="25">
        <f t="shared" si="583"/>
        <v>1</v>
      </c>
      <c r="DX960" s="25">
        <f t="shared" si="584"/>
        <v>1</v>
      </c>
      <c r="DY960" s="25">
        <f t="shared" si="585"/>
        <v>2</v>
      </c>
      <c r="DZ960" s="25">
        <f t="shared" si="586"/>
        <v>2</v>
      </c>
      <c r="EA960" s="25">
        <f t="shared" si="587"/>
        <v>2</v>
      </c>
    </row>
    <row r="961" spans="29:131" ht="13.5" customHeight="1">
      <c r="AC961" s="9" t="str">
        <f t="shared" si="564"/>
        <v/>
      </c>
      <c r="AD961" s="9" t="str">
        <f t="shared" si="565"/>
        <v/>
      </c>
      <c r="AE961" s="9" t="str">
        <f t="shared" si="566"/>
        <v/>
      </c>
      <c r="AF961" s="9" t="str">
        <f t="shared" si="567"/>
        <v/>
      </c>
      <c r="AG961" s="9" t="str">
        <f t="shared" si="568"/>
        <v/>
      </c>
      <c r="AH961" s="9" t="str">
        <f t="shared" si="569"/>
        <v/>
      </c>
      <c r="BR961" s="5">
        <v>5206094</v>
      </c>
      <c r="BS961" s="18">
        <f>[1]monsters!$N961</f>
        <v>0</v>
      </c>
      <c r="BT961" s="18">
        <f>[1]monsters!$O961</f>
        <v>0</v>
      </c>
      <c r="BU961" s="18">
        <f>[1]monsters!$P961</f>
        <v>0</v>
      </c>
      <c r="BV961" s="18">
        <f>[1]monsters!$Q961</f>
        <v>0</v>
      </c>
      <c r="BW961" s="18">
        <f>[1]monsters!$R961</f>
        <v>0</v>
      </c>
      <c r="BX961" s="18">
        <f>[1]monsters!$S961</f>
        <v>0</v>
      </c>
      <c r="BY961" s="18">
        <f>[1]monsters!$K961</f>
        <v>0</v>
      </c>
      <c r="BZ961" s="5">
        <f>[1]monsters!$D961</f>
        <v>0</v>
      </c>
      <c r="CA961" s="5" t="e">
        <f t="shared" si="561"/>
        <v>#N/A</v>
      </c>
      <c r="CB961" s="5" t="e">
        <f t="shared" si="562"/>
        <v>#N/A</v>
      </c>
      <c r="CC961" s="5" t="e">
        <f t="shared" si="563"/>
        <v>#N/A</v>
      </c>
      <c r="CN961" s="5"/>
      <c r="CO961" s="5"/>
      <c r="CP961" s="5"/>
      <c r="CR961" s="3" t="b">
        <f t="shared" si="570"/>
        <v>1</v>
      </c>
      <c r="CS961" s="3" t="b">
        <f t="shared" si="571"/>
        <v>1</v>
      </c>
      <c r="CT961" s="3" t="b">
        <f t="shared" si="572"/>
        <v>1</v>
      </c>
      <c r="CU961" s="3" t="b">
        <f t="shared" si="573"/>
        <v>1</v>
      </c>
      <c r="CV961" s="3" t="b">
        <f t="shared" si="574"/>
        <v>1</v>
      </c>
      <c r="CW961" s="3" t="b">
        <f t="shared" si="575"/>
        <v>1</v>
      </c>
      <c r="CX961" s="9" t="str">
        <f t="shared" si="576"/>
        <v>5302135</v>
      </c>
      <c r="CY961" s="9" t="str">
        <f t="shared" si="577"/>
        <v>5202135</v>
      </c>
      <c r="CZ961" s="9" t="str">
        <f t="shared" si="578"/>
        <v>5202135</v>
      </c>
      <c r="DA961" s="9" t="str">
        <f t="shared" si="579"/>
        <v>5400135</v>
      </c>
      <c r="DB961" s="9" t="str">
        <f t="shared" si="580"/>
        <v>5501135</v>
      </c>
      <c r="DC961" s="9" t="str">
        <f t="shared" si="581"/>
        <v>5400135</v>
      </c>
      <c r="DD961" s="9">
        <v>13</v>
      </c>
      <c r="DE961" s="9">
        <v>13</v>
      </c>
      <c r="DF961" s="9">
        <v>13</v>
      </c>
      <c r="DG961" s="9">
        <v>13</v>
      </c>
      <c r="DH961" s="9">
        <v>13</v>
      </c>
      <c r="DI961" s="9">
        <v>13</v>
      </c>
      <c r="DJ961" s="9">
        <v>5</v>
      </c>
      <c r="DK961" s="9">
        <v>5</v>
      </c>
      <c r="DL961" s="9">
        <v>5</v>
      </c>
      <c r="DM961" s="9">
        <v>5</v>
      </c>
      <c r="DN961" s="9">
        <v>5</v>
      </c>
      <c r="DO961" s="9">
        <v>5</v>
      </c>
      <c r="DP961" s="25" t="s">
        <v>221</v>
      </c>
      <c r="DQ961" s="25" t="s">
        <v>213</v>
      </c>
      <c r="DR961" s="25" t="s">
        <v>213</v>
      </c>
      <c r="DS961" s="26" t="s">
        <v>210</v>
      </c>
      <c r="DT961" s="26" t="s">
        <v>209</v>
      </c>
      <c r="DU961" s="26" t="s">
        <v>210</v>
      </c>
      <c r="DV961" s="25">
        <f t="shared" si="582"/>
        <v>1</v>
      </c>
      <c r="DW961" s="25">
        <f t="shared" si="583"/>
        <v>1</v>
      </c>
      <c r="DX961" s="25">
        <f t="shared" si="584"/>
        <v>1</v>
      </c>
      <c r="DY961" s="25">
        <f t="shared" si="585"/>
        <v>2</v>
      </c>
      <c r="DZ961" s="25">
        <f t="shared" si="586"/>
        <v>2</v>
      </c>
      <c r="EA961" s="25">
        <f t="shared" si="587"/>
        <v>2</v>
      </c>
    </row>
    <row r="962" spans="29:131" ht="13.5" customHeight="1">
      <c r="AC962" s="9" t="str">
        <f t="shared" si="564"/>
        <v/>
      </c>
      <c r="AD962" s="9" t="str">
        <f t="shared" si="565"/>
        <v/>
      </c>
      <c r="AE962" s="9" t="str">
        <f t="shared" si="566"/>
        <v/>
      </c>
      <c r="AF962" s="9" t="str">
        <f t="shared" si="567"/>
        <v/>
      </c>
      <c r="AG962" s="9" t="str">
        <f t="shared" si="568"/>
        <v/>
      </c>
      <c r="AH962" s="9" t="str">
        <f t="shared" si="569"/>
        <v/>
      </c>
      <c r="BR962" s="5">
        <v>5406094</v>
      </c>
      <c r="BS962" s="18">
        <f>[1]monsters!$N962</f>
        <v>0</v>
      </c>
      <c r="BT962" s="18">
        <f>[1]monsters!$O962</f>
        <v>0</v>
      </c>
      <c r="BU962" s="18">
        <f>[1]monsters!$P962</f>
        <v>0</v>
      </c>
      <c r="BV962" s="18">
        <f>[1]monsters!$Q962</f>
        <v>0</v>
      </c>
      <c r="BW962" s="18">
        <f>[1]monsters!$R962</f>
        <v>0</v>
      </c>
      <c r="BX962" s="18">
        <f>[1]monsters!$S962</f>
        <v>0</v>
      </c>
      <c r="BY962" s="18">
        <f>[1]monsters!$K962</f>
        <v>0</v>
      </c>
      <c r="BZ962" s="5">
        <f>[1]monsters!$D962</f>
        <v>0</v>
      </c>
      <c r="CA962" s="5" t="e">
        <f t="shared" si="561"/>
        <v>#N/A</v>
      </c>
      <c r="CB962" s="5" t="e">
        <f t="shared" si="562"/>
        <v>#N/A</v>
      </c>
      <c r="CC962" s="5" t="e">
        <f t="shared" si="563"/>
        <v>#N/A</v>
      </c>
      <c r="CN962" s="5"/>
      <c r="CO962" s="5"/>
      <c r="CP962" s="5"/>
      <c r="CR962" s="3" t="b">
        <f t="shared" si="570"/>
        <v>1</v>
      </c>
      <c r="CS962" s="3" t="b">
        <f t="shared" si="571"/>
        <v>1</v>
      </c>
      <c r="CT962" s="3" t="b">
        <f t="shared" si="572"/>
        <v>1</v>
      </c>
      <c r="CU962" s="3" t="b">
        <f t="shared" si="573"/>
        <v>1</v>
      </c>
      <c r="CV962" s="3" t="b">
        <f t="shared" si="574"/>
        <v>1</v>
      </c>
      <c r="CW962" s="3" t="b">
        <f t="shared" si="575"/>
        <v>1</v>
      </c>
      <c r="CX962" s="9" t="str">
        <f t="shared" si="576"/>
        <v>5201131</v>
      </c>
      <c r="CY962" s="9" t="str">
        <f t="shared" si="577"/>
        <v>5200132</v>
      </c>
      <c r="CZ962" s="9" t="str">
        <f t="shared" si="578"/>
        <v>5201131</v>
      </c>
      <c r="DA962" s="9" t="str">
        <f t="shared" si="579"/>
        <v>5502132</v>
      </c>
      <c r="DB962" s="9" t="str">
        <f t="shared" si="580"/>
        <v>5500131</v>
      </c>
      <c r="DC962" s="9" t="str">
        <f t="shared" si="581"/>
        <v>5601132</v>
      </c>
      <c r="DD962" s="9">
        <v>13</v>
      </c>
      <c r="DE962" s="9">
        <v>13</v>
      </c>
      <c r="DF962" s="9">
        <v>13</v>
      </c>
      <c r="DG962" s="9">
        <v>13</v>
      </c>
      <c r="DH962" s="9">
        <v>13</v>
      </c>
      <c r="DI962" s="9">
        <v>13</v>
      </c>
      <c r="DJ962" s="9">
        <v>5</v>
      </c>
      <c r="DK962" s="9">
        <v>5</v>
      </c>
      <c r="DL962" s="9">
        <v>5</v>
      </c>
      <c r="DM962" s="9">
        <v>5</v>
      </c>
      <c r="DN962" s="9">
        <v>5</v>
      </c>
      <c r="DO962" s="9">
        <v>5</v>
      </c>
      <c r="DP962" s="25" t="s">
        <v>195</v>
      </c>
      <c r="DQ962" s="25" t="s">
        <v>199</v>
      </c>
      <c r="DR962" s="26" t="s">
        <v>195</v>
      </c>
      <c r="DS962" s="28" t="s">
        <v>204</v>
      </c>
      <c r="DT962" s="26" t="s">
        <v>197</v>
      </c>
      <c r="DU962" s="26" t="s">
        <v>124</v>
      </c>
      <c r="DV962" s="25">
        <f t="shared" si="582"/>
        <v>1</v>
      </c>
      <c r="DW962" s="25">
        <f t="shared" si="583"/>
        <v>1</v>
      </c>
      <c r="DX962" s="25">
        <f t="shared" si="584"/>
        <v>1</v>
      </c>
      <c r="DY962" s="25">
        <f t="shared" si="585"/>
        <v>2</v>
      </c>
      <c r="DZ962" s="25">
        <f t="shared" si="586"/>
        <v>2</v>
      </c>
      <c r="EA962" s="25">
        <f t="shared" si="587"/>
        <v>2</v>
      </c>
    </row>
    <row r="963" spans="29:131" ht="13.5" customHeight="1">
      <c r="AC963" s="9" t="str">
        <f t="shared" si="564"/>
        <v/>
      </c>
      <c r="AD963" s="9" t="str">
        <f t="shared" si="565"/>
        <v/>
      </c>
      <c r="AE963" s="9" t="str">
        <f t="shared" si="566"/>
        <v/>
      </c>
      <c r="AF963" s="9" t="str">
        <f t="shared" si="567"/>
        <v/>
      </c>
      <c r="AG963" s="9" t="str">
        <f t="shared" si="568"/>
        <v/>
      </c>
      <c r="AH963" s="9" t="str">
        <f t="shared" si="569"/>
        <v/>
      </c>
      <c r="BR963" s="5">
        <v>5205094</v>
      </c>
      <c r="BS963" s="18">
        <f>[1]monsters!$N963</f>
        <v>0</v>
      </c>
      <c r="BT963" s="18">
        <f>[1]monsters!$O963</f>
        <v>0</v>
      </c>
      <c r="BU963" s="18">
        <f>[1]monsters!$P963</f>
        <v>0</v>
      </c>
      <c r="BV963" s="18">
        <f>[1]monsters!$Q963</f>
        <v>0</v>
      </c>
      <c r="BW963" s="18">
        <f>[1]monsters!$R963</f>
        <v>0</v>
      </c>
      <c r="BX963" s="18">
        <f>[1]monsters!$S963</f>
        <v>0</v>
      </c>
      <c r="BY963" s="18">
        <f>[1]monsters!$K963</f>
        <v>0</v>
      </c>
      <c r="BZ963" s="5">
        <f>[1]monsters!$D963</f>
        <v>0</v>
      </c>
      <c r="CA963" s="5" t="e">
        <f t="shared" si="561"/>
        <v>#N/A</v>
      </c>
      <c r="CB963" s="5" t="e">
        <f t="shared" si="562"/>
        <v>#N/A</v>
      </c>
      <c r="CC963" s="5" t="e">
        <f t="shared" si="563"/>
        <v>#N/A</v>
      </c>
      <c r="CN963" s="5"/>
      <c r="CO963" s="5"/>
      <c r="CP963" s="5"/>
      <c r="CR963" s="3" t="b">
        <f t="shared" si="570"/>
        <v>1</v>
      </c>
      <c r="CS963" s="3" t="b">
        <f t="shared" si="571"/>
        <v>1</v>
      </c>
      <c r="CT963" s="3" t="b">
        <f t="shared" si="572"/>
        <v>1</v>
      </c>
      <c r="CU963" s="3" t="b">
        <f t="shared" si="573"/>
        <v>1</v>
      </c>
      <c r="CV963" s="3" t="b">
        <f t="shared" si="574"/>
        <v>1</v>
      </c>
      <c r="CW963" s="3" t="b">
        <f t="shared" si="575"/>
        <v>1</v>
      </c>
      <c r="CX963" s="9" t="str">
        <f t="shared" si="576"/>
        <v>5200132</v>
      </c>
      <c r="CY963" s="9" t="str">
        <f t="shared" si="577"/>
        <v>5200133</v>
      </c>
      <c r="CZ963" s="9" t="str">
        <f t="shared" si="578"/>
        <v>5200132</v>
      </c>
      <c r="DA963" s="9" t="str">
        <f t="shared" si="579"/>
        <v>5501134</v>
      </c>
      <c r="DB963" s="9" t="str">
        <f t="shared" si="580"/>
        <v>5500133</v>
      </c>
      <c r="DC963" s="9" t="str">
        <f t="shared" si="581"/>
        <v>5501134</v>
      </c>
      <c r="DD963" s="9">
        <v>13</v>
      </c>
      <c r="DE963" s="9">
        <v>13</v>
      </c>
      <c r="DF963" s="9">
        <v>13</v>
      </c>
      <c r="DG963" s="9">
        <v>13</v>
      </c>
      <c r="DH963" s="9">
        <v>13</v>
      </c>
      <c r="DI963" s="9">
        <v>13</v>
      </c>
      <c r="DJ963" s="9">
        <v>5</v>
      </c>
      <c r="DK963" s="9">
        <v>5</v>
      </c>
      <c r="DL963" s="9">
        <v>5</v>
      </c>
      <c r="DM963" s="9">
        <v>5</v>
      </c>
      <c r="DN963" s="9">
        <v>5</v>
      </c>
      <c r="DO963" s="9">
        <v>5</v>
      </c>
      <c r="DP963" s="25" t="s">
        <v>199</v>
      </c>
      <c r="DQ963" s="25" t="s">
        <v>113</v>
      </c>
      <c r="DR963" s="25" t="s">
        <v>199</v>
      </c>
      <c r="DS963" s="26" t="s">
        <v>214</v>
      </c>
      <c r="DT963" s="26" t="s">
        <v>207</v>
      </c>
      <c r="DU963" s="26" t="s">
        <v>214</v>
      </c>
      <c r="DV963" s="25">
        <f t="shared" si="582"/>
        <v>1</v>
      </c>
      <c r="DW963" s="25">
        <f t="shared" si="583"/>
        <v>1</v>
      </c>
      <c r="DX963" s="25">
        <f t="shared" si="584"/>
        <v>1</v>
      </c>
      <c r="DY963" s="25">
        <f t="shared" si="585"/>
        <v>2</v>
      </c>
      <c r="DZ963" s="25">
        <f t="shared" si="586"/>
        <v>2</v>
      </c>
      <c r="EA963" s="25">
        <f t="shared" si="587"/>
        <v>2</v>
      </c>
    </row>
    <row r="964" spans="29:131" ht="13.5" customHeight="1">
      <c r="AC964" s="9" t="str">
        <f t="shared" si="564"/>
        <v/>
      </c>
      <c r="AD964" s="9" t="str">
        <f t="shared" si="565"/>
        <v/>
      </c>
      <c r="AE964" s="9" t="str">
        <f t="shared" si="566"/>
        <v/>
      </c>
      <c r="AF964" s="9" t="str">
        <f t="shared" si="567"/>
        <v/>
      </c>
      <c r="AG964" s="9" t="str">
        <f t="shared" si="568"/>
        <v/>
      </c>
      <c r="AH964" s="9" t="str">
        <f t="shared" si="569"/>
        <v/>
      </c>
      <c r="BR964" s="5">
        <v>5405094</v>
      </c>
      <c r="BS964" s="18">
        <f>[1]monsters!$N964</f>
        <v>0</v>
      </c>
      <c r="BT964" s="18">
        <f>[1]monsters!$O964</f>
        <v>0</v>
      </c>
      <c r="BU964" s="18">
        <f>[1]monsters!$P964</f>
        <v>0</v>
      </c>
      <c r="BV964" s="18">
        <f>[1]monsters!$Q964</f>
        <v>0</v>
      </c>
      <c r="BW964" s="18">
        <f>[1]monsters!$R964</f>
        <v>0</v>
      </c>
      <c r="BX964" s="18">
        <f>[1]monsters!$S964</f>
        <v>0</v>
      </c>
      <c r="BY964" s="18">
        <f>[1]monsters!$K964</f>
        <v>0</v>
      </c>
      <c r="BZ964" s="5">
        <f>[1]monsters!$D964</f>
        <v>0</v>
      </c>
      <c r="CA964" s="5" t="e">
        <f t="shared" si="561"/>
        <v>#N/A</v>
      </c>
      <c r="CB964" s="5" t="e">
        <f t="shared" si="562"/>
        <v>#N/A</v>
      </c>
      <c r="CC964" s="5" t="e">
        <f t="shared" si="563"/>
        <v>#N/A</v>
      </c>
      <c r="CN964" s="5"/>
      <c r="CO964" s="5"/>
      <c r="CP964" s="5"/>
      <c r="CR964" s="3" t="b">
        <f t="shared" si="570"/>
        <v>1</v>
      </c>
      <c r="CS964" s="3" t="b">
        <f t="shared" si="571"/>
        <v>1</v>
      </c>
      <c r="CT964" s="3" t="b">
        <f t="shared" si="572"/>
        <v>1</v>
      </c>
      <c r="CU964" s="3" t="b">
        <f t="shared" si="573"/>
        <v>1</v>
      </c>
      <c r="CV964" s="3" t="b">
        <f t="shared" si="574"/>
        <v>1</v>
      </c>
      <c r="CW964" s="3" t="b">
        <f t="shared" si="575"/>
        <v>1</v>
      </c>
      <c r="CX964" s="9" t="str">
        <f t="shared" si="576"/>
        <v>5202132</v>
      </c>
      <c r="CY964" s="9" t="str">
        <f t="shared" si="577"/>
        <v>5201132</v>
      </c>
      <c r="CZ964" s="9" t="str">
        <f t="shared" si="578"/>
        <v>5301131</v>
      </c>
      <c r="DA964" s="9" t="str">
        <f t="shared" si="579"/>
        <v>5400135</v>
      </c>
      <c r="DB964" s="9" t="str">
        <f t="shared" si="580"/>
        <v>5401133</v>
      </c>
      <c r="DC964" s="9" t="str">
        <f t="shared" si="581"/>
        <v>5501134</v>
      </c>
      <c r="DD964" s="9">
        <v>13</v>
      </c>
      <c r="DE964" s="9">
        <v>13</v>
      </c>
      <c r="DF964" s="9">
        <v>13</v>
      </c>
      <c r="DG964" s="9">
        <v>13</v>
      </c>
      <c r="DH964" s="9">
        <v>13</v>
      </c>
      <c r="DI964" s="9">
        <v>13</v>
      </c>
      <c r="DJ964" s="9">
        <v>5</v>
      </c>
      <c r="DK964" s="9">
        <v>5</v>
      </c>
      <c r="DL964" s="9">
        <v>5</v>
      </c>
      <c r="DM964" s="9">
        <v>5</v>
      </c>
      <c r="DN964" s="9">
        <v>5</v>
      </c>
      <c r="DO964" s="9">
        <v>5</v>
      </c>
      <c r="DP964" s="25" t="s">
        <v>200</v>
      </c>
      <c r="DQ964" s="25" t="s">
        <v>114</v>
      </c>
      <c r="DR964" s="25" t="s">
        <v>107</v>
      </c>
      <c r="DS964" s="25" t="s">
        <v>210</v>
      </c>
      <c r="DT964" s="25" t="s">
        <v>211</v>
      </c>
      <c r="DU964" s="25" t="s">
        <v>214</v>
      </c>
      <c r="DV964" s="25">
        <f t="shared" si="582"/>
        <v>1</v>
      </c>
      <c r="DW964" s="25">
        <f t="shared" si="583"/>
        <v>1</v>
      </c>
      <c r="DX964" s="25">
        <f t="shared" si="584"/>
        <v>1</v>
      </c>
      <c r="DY964" s="25">
        <f t="shared" si="585"/>
        <v>2</v>
      </c>
      <c r="DZ964" s="25">
        <f t="shared" si="586"/>
        <v>2</v>
      </c>
      <c r="EA964" s="25">
        <f t="shared" si="587"/>
        <v>2</v>
      </c>
    </row>
    <row r="965" spans="29:131" ht="13.5" customHeight="1">
      <c r="AC965" s="9" t="str">
        <f t="shared" si="564"/>
        <v/>
      </c>
      <c r="AD965" s="9" t="str">
        <f t="shared" si="565"/>
        <v/>
      </c>
      <c r="AE965" s="9" t="str">
        <f t="shared" si="566"/>
        <v/>
      </c>
      <c r="AF965" s="9" t="str">
        <f t="shared" si="567"/>
        <v/>
      </c>
      <c r="AG965" s="9" t="str">
        <f t="shared" si="568"/>
        <v/>
      </c>
      <c r="AH965" s="9" t="str">
        <f t="shared" si="569"/>
        <v/>
      </c>
      <c r="BR965" s="5">
        <v>5203094</v>
      </c>
      <c r="BS965" s="18">
        <f>[1]monsters!$N965</f>
        <v>0</v>
      </c>
      <c r="BT965" s="18">
        <f>[1]monsters!$O965</f>
        <v>0</v>
      </c>
      <c r="BU965" s="18">
        <f>[1]monsters!$P965</f>
        <v>0</v>
      </c>
      <c r="BV965" s="18">
        <f>[1]monsters!$Q965</f>
        <v>0</v>
      </c>
      <c r="BW965" s="18">
        <f>[1]monsters!$R965</f>
        <v>0</v>
      </c>
      <c r="BX965" s="18">
        <f>[1]monsters!$S965</f>
        <v>0</v>
      </c>
      <c r="BY965" s="18">
        <f>[1]monsters!$K965</f>
        <v>0</v>
      </c>
      <c r="BZ965" s="5">
        <f>[1]monsters!$D965</f>
        <v>0</v>
      </c>
      <c r="CA965" s="5" t="e">
        <f t="shared" ref="CA965:CA983" si="588">INDEX($CH$5:$CH$10,MATCH($BZ965,$CG$5:$CG$10))</f>
        <v>#N/A</v>
      </c>
      <c r="CB965" s="5" t="e">
        <f t="shared" ref="CB965:CB983" si="589">(BU965/33/(1-CA965)/(1-0)+BS965*(1+0.5*0.1)*0.9)</f>
        <v>#N/A</v>
      </c>
      <c r="CC965" s="5" t="e">
        <f t="shared" ref="CC965:CC983" si="590">(BU965/33/(1-CA965)/(1-0)+BS965*(1+0.5*0.1)*0.9)*0.1</f>
        <v>#N/A</v>
      </c>
      <c r="CN965" s="5"/>
      <c r="CO965" s="5"/>
      <c r="CP965" s="5"/>
      <c r="CR965" s="3" t="b">
        <f t="shared" si="570"/>
        <v>1</v>
      </c>
      <c r="CS965" s="3" t="b">
        <f t="shared" si="571"/>
        <v>1</v>
      </c>
      <c r="CT965" s="3" t="b">
        <f t="shared" si="572"/>
        <v>1</v>
      </c>
      <c r="CU965" s="3" t="b">
        <f t="shared" si="573"/>
        <v>1</v>
      </c>
      <c r="CV965" s="3" t="b">
        <f t="shared" si="574"/>
        <v>1</v>
      </c>
      <c r="CW965" s="3" t="b">
        <f t="shared" si="575"/>
        <v>1</v>
      </c>
      <c r="CX965" s="9" t="str">
        <f t="shared" si="576"/>
        <v>5301131</v>
      </c>
      <c r="CY965" s="9" t="str">
        <f t="shared" si="577"/>
        <v>5301132</v>
      </c>
      <c r="CZ965" s="9" t="str">
        <f t="shared" si="578"/>
        <v>5301133</v>
      </c>
      <c r="DA965" s="9" t="str">
        <f t="shared" si="579"/>
        <v>5500132</v>
      </c>
      <c r="DB965" s="9" t="str">
        <f t="shared" si="580"/>
        <v>5500131</v>
      </c>
      <c r="DC965" s="9" t="str">
        <f t="shared" si="581"/>
        <v>5500132</v>
      </c>
      <c r="DD965" s="9">
        <v>13</v>
      </c>
      <c r="DE965" s="9">
        <v>13</v>
      </c>
      <c r="DF965" s="9">
        <v>13</v>
      </c>
      <c r="DG965" s="9">
        <v>13</v>
      </c>
      <c r="DH965" s="9">
        <v>13</v>
      </c>
      <c r="DI965" s="9">
        <v>13</v>
      </c>
      <c r="DJ965" s="9">
        <v>5</v>
      </c>
      <c r="DK965" s="9">
        <v>5</v>
      </c>
      <c r="DL965" s="9">
        <v>5</v>
      </c>
      <c r="DM965" s="9">
        <v>5</v>
      </c>
      <c r="DN965" s="9">
        <v>5</v>
      </c>
      <c r="DO965" s="9">
        <v>5</v>
      </c>
      <c r="DP965" s="26" t="s">
        <v>107</v>
      </c>
      <c r="DQ965" s="26" t="s">
        <v>201</v>
      </c>
      <c r="DR965" s="26" t="s">
        <v>206</v>
      </c>
      <c r="DS965" s="26" t="s">
        <v>109</v>
      </c>
      <c r="DT965" s="26" t="s">
        <v>197</v>
      </c>
      <c r="DU965" s="26" t="s">
        <v>109</v>
      </c>
      <c r="DV965" s="25">
        <f t="shared" si="582"/>
        <v>1</v>
      </c>
      <c r="DW965" s="25">
        <f t="shared" si="583"/>
        <v>1</v>
      </c>
      <c r="DX965" s="25">
        <f t="shared" si="584"/>
        <v>1</v>
      </c>
      <c r="DY965" s="25">
        <f t="shared" si="585"/>
        <v>2</v>
      </c>
      <c r="DZ965" s="25">
        <f t="shared" si="586"/>
        <v>2</v>
      </c>
      <c r="EA965" s="25">
        <f t="shared" si="587"/>
        <v>2</v>
      </c>
    </row>
    <row r="966" spans="29:131" ht="13.5" customHeight="1">
      <c r="AC966" s="9" t="str">
        <f t="shared" si="564"/>
        <v/>
      </c>
      <c r="AD966" s="9" t="str">
        <f t="shared" si="565"/>
        <v/>
      </c>
      <c r="AE966" s="9" t="str">
        <f t="shared" si="566"/>
        <v/>
      </c>
      <c r="AF966" s="9" t="str">
        <f t="shared" si="567"/>
        <v/>
      </c>
      <c r="AG966" s="9" t="str">
        <f t="shared" si="568"/>
        <v/>
      </c>
      <c r="AH966" s="9" t="str">
        <f t="shared" si="569"/>
        <v/>
      </c>
      <c r="BR966" s="5">
        <v>5403094</v>
      </c>
      <c r="BS966" s="18">
        <f>[1]monsters!$N966</f>
        <v>0</v>
      </c>
      <c r="BT966" s="18">
        <f>[1]monsters!$O966</f>
        <v>0</v>
      </c>
      <c r="BU966" s="18">
        <f>[1]monsters!$P966</f>
        <v>0</v>
      </c>
      <c r="BV966" s="18">
        <f>[1]monsters!$Q966</f>
        <v>0</v>
      </c>
      <c r="BW966" s="18">
        <f>[1]monsters!$R966</f>
        <v>0</v>
      </c>
      <c r="BX966" s="18">
        <f>[1]monsters!$S966</f>
        <v>0</v>
      </c>
      <c r="BY966" s="18">
        <f>[1]monsters!$K966</f>
        <v>0</v>
      </c>
      <c r="BZ966" s="5">
        <f>[1]monsters!$D966</f>
        <v>0</v>
      </c>
      <c r="CA966" s="5" t="e">
        <f t="shared" si="588"/>
        <v>#N/A</v>
      </c>
      <c r="CB966" s="5" t="e">
        <f t="shared" si="589"/>
        <v>#N/A</v>
      </c>
      <c r="CC966" s="5" t="e">
        <f t="shared" si="590"/>
        <v>#N/A</v>
      </c>
      <c r="CN966" s="5"/>
      <c r="CO966" s="5"/>
      <c r="CP966" s="5"/>
      <c r="CR966" s="3" t="b">
        <f t="shared" si="570"/>
        <v>1</v>
      </c>
      <c r="CS966" s="3" t="b">
        <f t="shared" si="571"/>
        <v>1</v>
      </c>
      <c r="CT966" s="3" t="b">
        <f t="shared" si="572"/>
        <v>1</v>
      </c>
      <c r="CU966" s="3" t="b">
        <f t="shared" si="573"/>
        <v>1</v>
      </c>
      <c r="CV966" s="3" t="b">
        <f t="shared" si="574"/>
        <v>1</v>
      </c>
      <c r="CW966" s="3" t="b">
        <f t="shared" si="575"/>
        <v>1</v>
      </c>
      <c r="CX966" s="9" t="str">
        <f t="shared" si="576"/>
        <v>5201132</v>
      </c>
      <c r="CY966" s="9" t="str">
        <f t="shared" si="577"/>
        <v>5200132</v>
      </c>
      <c r="CZ966" s="9" t="str">
        <f t="shared" si="578"/>
        <v>5201132</v>
      </c>
      <c r="DA966" s="9" t="str">
        <f t="shared" si="579"/>
        <v>5400135</v>
      </c>
      <c r="DB966" s="9" t="str">
        <f t="shared" si="580"/>
        <v>5401133</v>
      </c>
      <c r="DC966" s="9" t="str">
        <f t="shared" si="581"/>
        <v>5501134</v>
      </c>
      <c r="DD966" s="9">
        <v>13</v>
      </c>
      <c r="DE966" s="9">
        <v>13</v>
      </c>
      <c r="DF966" s="9">
        <v>13</v>
      </c>
      <c r="DG966" s="9">
        <v>13</v>
      </c>
      <c r="DH966" s="9">
        <v>13</v>
      </c>
      <c r="DI966" s="9">
        <v>13</v>
      </c>
      <c r="DJ966" s="9">
        <v>5</v>
      </c>
      <c r="DK966" s="9">
        <v>5</v>
      </c>
      <c r="DL966" s="9">
        <v>5</v>
      </c>
      <c r="DM966" s="9">
        <v>5</v>
      </c>
      <c r="DN966" s="9">
        <v>5</v>
      </c>
      <c r="DO966" s="9">
        <v>5</v>
      </c>
      <c r="DP966" s="25" t="s">
        <v>114</v>
      </c>
      <c r="DQ966" s="27" t="s">
        <v>199</v>
      </c>
      <c r="DR966" s="25" t="s">
        <v>114</v>
      </c>
      <c r="DS966" s="25" t="s">
        <v>210</v>
      </c>
      <c r="DT966" s="25" t="s">
        <v>211</v>
      </c>
      <c r="DU966" s="25" t="s">
        <v>214</v>
      </c>
      <c r="DV966" s="25">
        <f t="shared" si="582"/>
        <v>1</v>
      </c>
      <c r="DW966" s="25">
        <f t="shared" si="583"/>
        <v>1</v>
      </c>
      <c r="DX966" s="25">
        <f t="shared" si="584"/>
        <v>1</v>
      </c>
      <c r="DY966" s="25">
        <f t="shared" si="585"/>
        <v>2</v>
      </c>
      <c r="DZ966" s="25">
        <f t="shared" si="586"/>
        <v>2</v>
      </c>
      <c r="EA966" s="25">
        <f t="shared" si="587"/>
        <v>2</v>
      </c>
    </row>
    <row r="967" spans="29:131" ht="13.5" customHeight="1">
      <c r="AC967" s="9" t="str">
        <f t="shared" si="564"/>
        <v/>
      </c>
      <c r="AD967" s="9" t="str">
        <f t="shared" si="565"/>
        <v/>
      </c>
      <c r="AE967" s="9" t="str">
        <f t="shared" si="566"/>
        <v/>
      </c>
      <c r="AF967" s="9" t="str">
        <f t="shared" si="567"/>
        <v/>
      </c>
      <c r="AG967" s="9" t="str">
        <f t="shared" si="568"/>
        <v/>
      </c>
      <c r="AH967" s="9" t="str">
        <f t="shared" si="569"/>
        <v/>
      </c>
      <c r="BR967" s="5">
        <v>5204094</v>
      </c>
      <c r="BS967" s="18">
        <f>[1]monsters!$N967</f>
        <v>0</v>
      </c>
      <c r="BT967" s="18">
        <f>[1]monsters!$O967</f>
        <v>0</v>
      </c>
      <c r="BU967" s="18">
        <f>[1]monsters!$P967</f>
        <v>0</v>
      </c>
      <c r="BV967" s="18">
        <f>[1]monsters!$Q967</f>
        <v>0</v>
      </c>
      <c r="BW967" s="18">
        <f>[1]monsters!$R967</f>
        <v>0</v>
      </c>
      <c r="BX967" s="18">
        <f>[1]monsters!$S967</f>
        <v>0</v>
      </c>
      <c r="BY967" s="18">
        <f>[1]monsters!$K967</f>
        <v>0</v>
      </c>
      <c r="BZ967" s="5">
        <f>[1]monsters!$D967</f>
        <v>0</v>
      </c>
      <c r="CA967" s="5" t="e">
        <f t="shared" si="588"/>
        <v>#N/A</v>
      </c>
      <c r="CB967" s="5" t="e">
        <f t="shared" si="589"/>
        <v>#N/A</v>
      </c>
      <c r="CC967" s="5" t="e">
        <f t="shared" si="590"/>
        <v>#N/A</v>
      </c>
      <c r="CN967" s="5"/>
      <c r="CO967" s="5"/>
      <c r="CP967" s="5"/>
      <c r="CR967" s="3" t="b">
        <f t="shared" si="570"/>
        <v>1</v>
      </c>
      <c r="CS967" s="3" t="b">
        <f t="shared" si="571"/>
        <v>1</v>
      </c>
      <c r="CT967" s="3" t="b">
        <f t="shared" si="572"/>
        <v>1</v>
      </c>
      <c r="CU967" s="3" t="b">
        <f t="shared" si="573"/>
        <v>1</v>
      </c>
      <c r="CV967" s="3" t="b">
        <f t="shared" si="574"/>
        <v>1</v>
      </c>
      <c r="CW967" s="3" t="b">
        <f t="shared" si="575"/>
        <v>1</v>
      </c>
      <c r="CX967" s="9" t="str">
        <f t="shared" si="576"/>
        <v>5600134</v>
      </c>
      <c r="CY967" s="9" t="str">
        <f t="shared" si="577"/>
        <v>5202133</v>
      </c>
      <c r="CZ967" s="9" t="str">
        <f t="shared" si="578"/>
        <v>5201134</v>
      </c>
      <c r="DA967" s="9" t="str">
        <f t="shared" si="579"/>
        <v>5501134</v>
      </c>
      <c r="DB967" s="9" t="str">
        <f t="shared" si="580"/>
        <v>5501134</v>
      </c>
      <c r="DC967" s="9" t="str">
        <f t="shared" si="581"/>
        <v>5501134</v>
      </c>
      <c r="DD967" s="9">
        <v>13</v>
      </c>
      <c r="DE967" s="9">
        <v>13</v>
      </c>
      <c r="DF967" s="9">
        <v>13</v>
      </c>
      <c r="DG967" s="9">
        <v>13</v>
      </c>
      <c r="DH967" s="9">
        <v>13</v>
      </c>
      <c r="DI967" s="9">
        <v>13</v>
      </c>
      <c r="DJ967" s="9">
        <v>5</v>
      </c>
      <c r="DK967" s="9">
        <v>5</v>
      </c>
      <c r="DL967" s="9">
        <v>5</v>
      </c>
      <c r="DM967" s="9">
        <v>5</v>
      </c>
      <c r="DN967" s="9">
        <v>5</v>
      </c>
      <c r="DO967" s="9">
        <v>5</v>
      </c>
      <c r="DP967" s="27" t="s">
        <v>219</v>
      </c>
      <c r="DQ967" s="25" t="s">
        <v>208</v>
      </c>
      <c r="DR967" s="25" t="s">
        <v>217</v>
      </c>
      <c r="DS967" s="25" t="s">
        <v>214</v>
      </c>
      <c r="DT967" s="25" t="s">
        <v>214</v>
      </c>
      <c r="DU967" s="25" t="s">
        <v>214</v>
      </c>
      <c r="DV967" s="25">
        <f t="shared" si="582"/>
        <v>1</v>
      </c>
      <c r="DW967" s="25">
        <f t="shared" si="583"/>
        <v>1</v>
      </c>
      <c r="DX967" s="25">
        <f t="shared" si="584"/>
        <v>1</v>
      </c>
      <c r="DY967" s="25">
        <f t="shared" si="585"/>
        <v>2</v>
      </c>
      <c r="DZ967" s="25">
        <f t="shared" si="586"/>
        <v>2</v>
      </c>
      <c r="EA967" s="25">
        <f t="shared" si="587"/>
        <v>2</v>
      </c>
    </row>
    <row r="968" spans="29:131" ht="13.5" customHeight="1">
      <c r="AC968" s="9" t="str">
        <f t="shared" si="564"/>
        <v/>
      </c>
      <c r="AD968" s="9" t="str">
        <f t="shared" si="565"/>
        <v/>
      </c>
      <c r="AE968" s="9" t="str">
        <f t="shared" si="566"/>
        <v/>
      </c>
      <c r="AF968" s="9" t="str">
        <f t="shared" si="567"/>
        <v/>
      </c>
      <c r="AG968" s="9" t="str">
        <f t="shared" si="568"/>
        <v/>
      </c>
      <c r="AH968" s="9" t="str">
        <f t="shared" si="569"/>
        <v/>
      </c>
      <c r="BR968" s="5">
        <v>5404094</v>
      </c>
      <c r="BS968" s="18">
        <f>[1]monsters!$N968</f>
        <v>0</v>
      </c>
      <c r="BT968" s="18">
        <f>[1]monsters!$O968</f>
        <v>0</v>
      </c>
      <c r="BU968" s="18">
        <f>[1]monsters!$P968</f>
        <v>0</v>
      </c>
      <c r="BV968" s="18">
        <f>[1]monsters!$Q968</f>
        <v>0</v>
      </c>
      <c r="BW968" s="18">
        <f>[1]monsters!$R968</f>
        <v>0</v>
      </c>
      <c r="BX968" s="18">
        <f>[1]monsters!$S968</f>
        <v>0</v>
      </c>
      <c r="BY968" s="18">
        <f>[1]monsters!$K968</f>
        <v>0</v>
      </c>
      <c r="BZ968" s="5">
        <f>[1]monsters!$D968</f>
        <v>0</v>
      </c>
      <c r="CA968" s="5" t="e">
        <f t="shared" si="588"/>
        <v>#N/A</v>
      </c>
      <c r="CB968" s="5" t="e">
        <f t="shared" si="589"/>
        <v>#N/A</v>
      </c>
      <c r="CC968" s="5" t="e">
        <f t="shared" si="590"/>
        <v>#N/A</v>
      </c>
      <c r="CN968" s="5"/>
      <c r="CO968" s="5"/>
      <c r="CP968" s="5"/>
      <c r="CR968" s="3" t="b">
        <f t="shared" si="570"/>
        <v>1</v>
      </c>
      <c r="CS968" s="3" t="b">
        <f t="shared" si="571"/>
        <v>1</v>
      </c>
      <c r="CT968" s="3" t="b">
        <f t="shared" si="572"/>
        <v>1</v>
      </c>
      <c r="CU968" s="3" t="b">
        <f t="shared" si="573"/>
        <v>1</v>
      </c>
      <c r="CV968" s="3" t="b">
        <f t="shared" si="574"/>
        <v>1</v>
      </c>
      <c r="CW968" s="3" t="b">
        <f t="shared" si="575"/>
        <v>1</v>
      </c>
      <c r="CX968" s="9" t="str">
        <f t="shared" si="576"/>
        <v>5202135</v>
      </c>
      <c r="CY968" s="9" t="str">
        <f t="shared" si="577"/>
        <v>5200132</v>
      </c>
      <c r="CZ968" s="9" t="str">
        <f t="shared" si="578"/>
        <v>5202132</v>
      </c>
      <c r="DA968" s="9" t="str">
        <f t="shared" si="579"/>
        <v>5400135</v>
      </c>
      <c r="DB968" s="9" t="str">
        <f t="shared" si="580"/>
        <v>5400135</v>
      </c>
      <c r="DC968" s="9" t="str">
        <f t="shared" si="581"/>
        <v>5400135</v>
      </c>
      <c r="DD968" s="9">
        <v>13</v>
      </c>
      <c r="DE968" s="9">
        <v>13</v>
      </c>
      <c r="DF968" s="9">
        <v>13</v>
      </c>
      <c r="DG968" s="9">
        <v>13</v>
      </c>
      <c r="DH968" s="9">
        <v>13</v>
      </c>
      <c r="DI968" s="9">
        <v>13</v>
      </c>
      <c r="DJ968" s="9">
        <v>5</v>
      </c>
      <c r="DK968" s="9">
        <v>5</v>
      </c>
      <c r="DL968" s="9">
        <v>5</v>
      </c>
      <c r="DM968" s="9">
        <v>5</v>
      </c>
      <c r="DN968" s="9">
        <v>5</v>
      </c>
      <c r="DO968" s="9">
        <v>5</v>
      </c>
      <c r="DP968" s="26" t="s">
        <v>213</v>
      </c>
      <c r="DQ968" s="26" t="s">
        <v>199</v>
      </c>
      <c r="DR968" s="26" t="s">
        <v>200</v>
      </c>
      <c r="DS968" s="26" t="s">
        <v>210</v>
      </c>
      <c r="DT968" s="26" t="s">
        <v>210</v>
      </c>
      <c r="DU968" s="26" t="s">
        <v>210</v>
      </c>
      <c r="DV968" s="25">
        <f t="shared" si="582"/>
        <v>1</v>
      </c>
      <c r="DW968" s="25">
        <f t="shared" si="583"/>
        <v>1</v>
      </c>
      <c r="DX968" s="25">
        <f t="shared" si="584"/>
        <v>1</v>
      </c>
      <c r="DY968" s="25">
        <f t="shared" si="585"/>
        <v>2</v>
      </c>
      <c r="DZ968" s="25">
        <f t="shared" si="586"/>
        <v>2</v>
      </c>
      <c r="EA968" s="25">
        <f t="shared" si="587"/>
        <v>2</v>
      </c>
    </row>
    <row r="969" spans="29:131" ht="13.5" customHeight="1">
      <c r="AC969" s="9" t="str">
        <f t="shared" si="564"/>
        <v/>
      </c>
      <c r="AD969" s="9" t="str">
        <f t="shared" si="565"/>
        <v/>
      </c>
      <c r="AE969" s="9" t="str">
        <f t="shared" si="566"/>
        <v/>
      </c>
      <c r="AF969" s="9" t="str">
        <f t="shared" si="567"/>
        <v/>
      </c>
      <c r="AG969" s="9" t="str">
        <f t="shared" si="568"/>
        <v/>
      </c>
      <c r="AH969" s="9" t="str">
        <f t="shared" si="569"/>
        <v/>
      </c>
      <c r="BR969" s="5">
        <v>5303094</v>
      </c>
      <c r="BS969" s="18">
        <f>[1]monsters!$N969</f>
        <v>0</v>
      </c>
      <c r="BT969" s="18">
        <f>[1]monsters!$O969</f>
        <v>0</v>
      </c>
      <c r="BU969" s="18">
        <f>[1]monsters!$P969</f>
        <v>0</v>
      </c>
      <c r="BV969" s="18">
        <f>[1]monsters!$Q969</f>
        <v>0</v>
      </c>
      <c r="BW969" s="18">
        <f>[1]monsters!$R969</f>
        <v>0</v>
      </c>
      <c r="BX969" s="18">
        <f>[1]monsters!$S969</f>
        <v>0</v>
      </c>
      <c r="BY969" s="18">
        <f>[1]monsters!$K969</f>
        <v>0</v>
      </c>
      <c r="BZ969" s="5">
        <f>[1]monsters!$D969</f>
        <v>0</v>
      </c>
      <c r="CA969" s="5" t="e">
        <f t="shared" si="588"/>
        <v>#N/A</v>
      </c>
      <c r="CB969" s="5" t="e">
        <f t="shared" si="589"/>
        <v>#N/A</v>
      </c>
      <c r="CC969" s="5" t="e">
        <f t="shared" si="590"/>
        <v>#N/A</v>
      </c>
      <c r="CN969" s="5"/>
      <c r="CO969" s="5"/>
      <c r="CP969" s="5"/>
      <c r="CR969" s="3" t="b">
        <f t="shared" si="570"/>
        <v>1</v>
      </c>
      <c r="CS969" s="3" t="b">
        <f t="shared" si="571"/>
        <v>1</v>
      </c>
      <c r="CT969" s="3" t="b">
        <f t="shared" si="572"/>
        <v>1</v>
      </c>
      <c r="CU969" s="3" t="b">
        <f t="shared" si="573"/>
        <v>1</v>
      </c>
      <c r="CV969" s="3" t="b">
        <f t="shared" si="574"/>
        <v>1</v>
      </c>
      <c r="CW969" s="3" t="b">
        <f t="shared" si="575"/>
        <v>1</v>
      </c>
      <c r="CX969" s="9" t="str">
        <f t="shared" si="576"/>
        <v>5302135</v>
      </c>
      <c r="CY969" s="9" t="str">
        <f t="shared" si="577"/>
        <v>5202135</v>
      </c>
      <c r="CZ969" s="9" t="str">
        <f t="shared" si="578"/>
        <v>5301132</v>
      </c>
      <c r="DA969" s="9" t="str">
        <f t="shared" si="579"/>
        <v>5500132</v>
      </c>
      <c r="DB969" s="9" t="str">
        <f t="shared" si="580"/>
        <v>5501135</v>
      </c>
      <c r="DC969" s="9" t="str">
        <f t="shared" si="581"/>
        <v>5501135</v>
      </c>
      <c r="DD969" s="9">
        <v>13</v>
      </c>
      <c r="DE969" s="9">
        <v>13</v>
      </c>
      <c r="DF969" s="9">
        <v>13</v>
      </c>
      <c r="DG969" s="9">
        <v>13</v>
      </c>
      <c r="DH969" s="9">
        <v>13</v>
      </c>
      <c r="DI969" s="9">
        <v>13</v>
      </c>
      <c r="DJ969" s="9">
        <v>5</v>
      </c>
      <c r="DK969" s="9">
        <v>5</v>
      </c>
      <c r="DL969" s="9">
        <v>5</v>
      </c>
      <c r="DM969" s="9">
        <v>5</v>
      </c>
      <c r="DN969" s="9">
        <v>5</v>
      </c>
      <c r="DO969" s="9">
        <v>5</v>
      </c>
      <c r="DP969" s="25" t="s">
        <v>221</v>
      </c>
      <c r="DQ969" s="25" t="s">
        <v>213</v>
      </c>
      <c r="DR969" s="26" t="s">
        <v>201</v>
      </c>
      <c r="DS969" s="26" t="s">
        <v>109</v>
      </c>
      <c r="DT969" s="25" t="s">
        <v>209</v>
      </c>
      <c r="DU969" s="25" t="s">
        <v>209</v>
      </c>
      <c r="DV969" s="25">
        <f t="shared" si="582"/>
        <v>1</v>
      </c>
      <c r="DW969" s="25">
        <f t="shared" si="583"/>
        <v>1</v>
      </c>
      <c r="DX969" s="25">
        <f t="shared" si="584"/>
        <v>1</v>
      </c>
      <c r="DY969" s="25">
        <f t="shared" si="585"/>
        <v>2</v>
      </c>
      <c r="DZ969" s="25">
        <f t="shared" si="586"/>
        <v>2</v>
      </c>
      <c r="EA969" s="25">
        <f t="shared" si="587"/>
        <v>2</v>
      </c>
    </row>
    <row r="970" spans="29:131" ht="13.5" customHeight="1">
      <c r="AC970" s="9" t="str">
        <f t="shared" si="564"/>
        <v/>
      </c>
      <c r="AD970" s="9" t="str">
        <f t="shared" si="565"/>
        <v/>
      </c>
      <c r="AE970" s="9" t="str">
        <f t="shared" si="566"/>
        <v/>
      </c>
      <c r="AF970" s="9" t="str">
        <f t="shared" si="567"/>
        <v/>
      </c>
      <c r="AG970" s="9" t="str">
        <f t="shared" si="568"/>
        <v/>
      </c>
      <c r="AH970" s="9" t="str">
        <f t="shared" si="569"/>
        <v/>
      </c>
      <c r="BR970" s="5">
        <v>5304094</v>
      </c>
      <c r="BS970" s="18">
        <f>[1]monsters!$N970</f>
        <v>0</v>
      </c>
      <c r="BT970" s="18">
        <f>[1]monsters!$O970</f>
        <v>0</v>
      </c>
      <c r="BU970" s="18">
        <f>[1]monsters!$P970</f>
        <v>0</v>
      </c>
      <c r="BV970" s="18">
        <f>[1]monsters!$Q970</f>
        <v>0</v>
      </c>
      <c r="BW970" s="18">
        <f>[1]monsters!$R970</f>
        <v>0</v>
      </c>
      <c r="BX970" s="18">
        <f>[1]monsters!$S970</f>
        <v>0</v>
      </c>
      <c r="BY970" s="18">
        <f>[1]monsters!$K970</f>
        <v>0</v>
      </c>
      <c r="BZ970" s="5">
        <f>[1]monsters!$D970</f>
        <v>0</v>
      </c>
      <c r="CA970" s="5" t="e">
        <f t="shared" si="588"/>
        <v>#N/A</v>
      </c>
      <c r="CB970" s="5" t="e">
        <f t="shared" si="589"/>
        <v>#N/A</v>
      </c>
      <c r="CC970" s="5" t="e">
        <f t="shared" si="590"/>
        <v>#N/A</v>
      </c>
      <c r="CN970" s="5"/>
      <c r="CO970" s="5"/>
      <c r="CP970" s="5"/>
      <c r="CR970" s="3" t="b">
        <f t="shared" si="570"/>
        <v>1</v>
      </c>
      <c r="CS970" s="3" t="b">
        <f t="shared" si="571"/>
        <v>1</v>
      </c>
      <c r="CT970" s="3" t="b">
        <f t="shared" si="572"/>
        <v>1</v>
      </c>
      <c r="CU970" s="3" t="b">
        <f t="shared" si="573"/>
        <v>1</v>
      </c>
      <c r="CV970" s="3" t="b">
        <f t="shared" si="574"/>
        <v>1</v>
      </c>
      <c r="CW970" s="3" t="b">
        <f t="shared" si="575"/>
        <v>1</v>
      </c>
      <c r="CX970" s="9" t="str">
        <f t="shared" si="576"/>
        <v>5202133</v>
      </c>
      <c r="CY970" s="9" t="str">
        <f t="shared" si="577"/>
        <v>5202132</v>
      </c>
      <c r="CZ970" s="9" t="str">
        <f t="shared" si="578"/>
        <v>5201134</v>
      </c>
      <c r="DA970" s="9" t="str">
        <f t="shared" si="579"/>
        <v>5501134</v>
      </c>
      <c r="DB970" s="9" t="str">
        <f t="shared" si="580"/>
        <v>5500133</v>
      </c>
      <c r="DC970" s="9" t="str">
        <f t="shared" si="581"/>
        <v>5501134</v>
      </c>
      <c r="DD970" s="9">
        <v>13</v>
      </c>
      <c r="DE970" s="9">
        <v>13</v>
      </c>
      <c r="DF970" s="9">
        <v>13</v>
      </c>
      <c r="DG970" s="9">
        <v>13</v>
      </c>
      <c r="DH970" s="9">
        <v>13</v>
      </c>
      <c r="DI970" s="9">
        <v>13</v>
      </c>
      <c r="DJ970" s="9">
        <v>5</v>
      </c>
      <c r="DK970" s="9">
        <v>5</v>
      </c>
      <c r="DL970" s="9">
        <v>5</v>
      </c>
      <c r="DM970" s="9">
        <v>5</v>
      </c>
      <c r="DN970" s="9">
        <v>5</v>
      </c>
      <c r="DO970" s="9">
        <v>5</v>
      </c>
      <c r="DP970" s="25" t="s">
        <v>208</v>
      </c>
      <c r="DQ970" s="25" t="s">
        <v>200</v>
      </c>
      <c r="DR970" s="26" t="s">
        <v>217</v>
      </c>
      <c r="DS970" s="26" t="s">
        <v>214</v>
      </c>
      <c r="DT970" s="26" t="s">
        <v>207</v>
      </c>
      <c r="DU970" s="26" t="s">
        <v>214</v>
      </c>
      <c r="DV970" s="25">
        <f t="shared" si="582"/>
        <v>1</v>
      </c>
      <c r="DW970" s="25">
        <f t="shared" si="583"/>
        <v>1</v>
      </c>
      <c r="DX970" s="25">
        <f t="shared" si="584"/>
        <v>1</v>
      </c>
      <c r="DY970" s="25">
        <f t="shared" si="585"/>
        <v>2</v>
      </c>
      <c r="DZ970" s="25">
        <f t="shared" si="586"/>
        <v>2</v>
      </c>
      <c r="EA970" s="25">
        <f t="shared" si="587"/>
        <v>2</v>
      </c>
    </row>
    <row r="971" spans="29:131" ht="13.5" customHeight="1">
      <c r="AC971" s="9" t="str">
        <f t="shared" si="564"/>
        <v/>
      </c>
      <c r="AD971" s="9" t="str">
        <f t="shared" si="565"/>
        <v/>
      </c>
      <c r="AE971" s="9" t="str">
        <f t="shared" si="566"/>
        <v/>
      </c>
      <c r="AF971" s="9" t="str">
        <f t="shared" si="567"/>
        <v/>
      </c>
      <c r="AG971" s="9" t="str">
        <f t="shared" si="568"/>
        <v/>
      </c>
      <c r="AH971" s="9" t="str">
        <f t="shared" si="569"/>
        <v/>
      </c>
      <c r="BR971" s="5">
        <v>5503094</v>
      </c>
      <c r="BS971" s="18">
        <f>[1]monsters!$N971</f>
        <v>0</v>
      </c>
      <c r="BT971" s="18">
        <f>[1]monsters!$O971</f>
        <v>0</v>
      </c>
      <c r="BU971" s="18">
        <f>[1]monsters!$P971</f>
        <v>0</v>
      </c>
      <c r="BV971" s="18">
        <f>[1]monsters!$Q971</f>
        <v>0</v>
      </c>
      <c r="BW971" s="18">
        <f>[1]monsters!$R971</f>
        <v>0</v>
      </c>
      <c r="BX971" s="18">
        <f>[1]monsters!$S971</f>
        <v>0</v>
      </c>
      <c r="BY971" s="18">
        <f>[1]monsters!$K971</f>
        <v>0</v>
      </c>
      <c r="BZ971" s="5">
        <f>[1]monsters!$D971</f>
        <v>0</v>
      </c>
      <c r="CA971" s="5" t="e">
        <f t="shared" si="588"/>
        <v>#N/A</v>
      </c>
      <c r="CB971" s="5" t="e">
        <f t="shared" si="589"/>
        <v>#N/A</v>
      </c>
      <c r="CC971" s="5" t="e">
        <f t="shared" si="590"/>
        <v>#N/A</v>
      </c>
      <c r="CN971" s="5"/>
      <c r="CO971" s="5"/>
      <c r="CP971" s="5"/>
      <c r="CR971" s="3" t="b">
        <f t="shared" si="570"/>
        <v>1</v>
      </c>
      <c r="CS971" s="3" t="b">
        <f t="shared" si="571"/>
        <v>1</v>
      </c>
      <c r="CT971" s="3" t="b">
        <f t="shared" si="572"/>
        <v>1</v>
      </c>
      <c r="CU971" s="3" t="b">
        <f t="shared" si="573"/>
        <v>1</v>
      </c>
      <c r="CV971" s="3" t="b">
        <f t="shared" si="574"/>
        <v>1</v>
      </c>
      <c r="CW971" s="3" t="b">
        <f t="shared" si="575"/>
        <v>1</v>
      </c>
      <c r="CX971" s="9" t="str">
        <f t="shared" si="576"/>
        <v>5202133</v>
      </c>
      <c r="CY971" s="9" t="str">
        <f t="shared" si="577"/>
        <v>5202132</v>
      </c>
      <c r="CZ971" s="9" t="str">
        <f t="shared" si="578"/>
        <v>5301133</v>
      </c>
      <c r="DA971" s="9" t="str">
        <f t="shared" si="579"/>
        <v>5601133</v>
      </c>
      <c r="DB971" s="9" t="str">
        <f t="shared" si="580"/>
        <v>5500133</v>
      </c>
      <c r="DC971" s="9" t="str">
        <f t="shared" si="581"/>
        <v>5502133</v>
      </c>
      <c r="DD971" s="9">
        <v>13</v>
      </c>
      <c r="DE971" s="9">
        <v>13</v>
      </c>
      <c r="DF971" s="9">
        <v>13</v>
      </c>
      <c r="DG971" s="9">
        <v>13</v>
      </c>
      <c r="DH971" s="9">
        <v>13</v>
      </c>
      <c r="DI971" s="9">
        <v>13</v>
      </c>
      <c r="DJ971" s="9">
        <v>5</v>
      </c>
      <c r="DK971" s="9">
        <v>5</v>
      </c>
      <c r="DL971" s="9">
        <v>5</v>
      </c>
      <c r="DM971" s="9">
        <v>5</v>
      </c>
      <c r="DN971" s="9">
        <v>5</v>
      </c>
      <c r="DO971" s="9">
        <v>5</v>
      </c>
      <c r="DP971" s="25" t="s">
        <v>208</v>
      </c>
      <c r="DQ971" s="25" t="s">
        <v>200</v>
      </c>
      <c r="DR971" s="25" t="s">
        <v>206</v>
      </c>
      <c r="DS971" s="25" t="s">
        <v>216</v>
      </c>
      <c r="DT971" s="26" t="s">
        <v>207</v>
      </c>
      <c r="DU971" s="26" t="s">
        <v>215</v>
      </c>
      <c r="DV971" s="25">
        <f t="shared" si="582"/>
        <v>1</v>
      </c>
      <c r="DW971" s="25">
        <f t="shared" si="583"/>
        <v>1</v>
      </c>
      <c r="DX971" s="25">
        <f t="shared" si="584"/>
        <v>1</v>
      </c>
      <c r="DY971" s="25">
        <f t="shared" si="585"/>
        <v>2</v>
      </c>
      <c r="DZ971" s="25">
        <f t="shared" si="586"/>
        <v>2</v>
      </c>
      <c r="EA971" s="25">
        <f t="shared" si="587"/>
        <v>2</v>
      </c>
    </row>
    <row r="972" spans="29:131" ht="13.5" customHeight="1">
      <c r="AC972" s="9" t="str">
        <f t="shared" si="564"/>
        <v/>
      </c>
      <c r="AD972" s="9" t="str">
        <f t="shared" si="565"/>
        <v/>
      </c>
      <c r="AE972" s="9" t="str">
        <f t="shared" si="566"/>
        <v/>
      </c>
      <c r="AF972" s="9" t="str">
        <f t="shared" si="567"/>
        <v/>
      </c>
      <c r="AG972" s="9" t="str">
        <f t="shared" si="568"/>
        <v/>
      </c>
      <c r="AH972" s="9" t="str">
        <f t="shared" si="569"/>
        <v/>
      </c>
      <c r="BR972" s="5">
        <v>5504094</v>
      </c>
      <c r="BS972" s="18">
        <f>[1]monsters!$N972</f>
        <v>0</v>
      </c>
      <c r="BT972" s="18">
        <f>[1]monsters!$O972</f>
        <v>0</v>
      </c>
      <c r="BU972" s="18">
        <f>[1]monsters!$P972</f>
        <v>0</v>
      </c>
      <c r="BV972" s="18">
        <f>[1]monsters!$Q972</f>
        <v>0</v>
      </c>
      <c r="BW972" s="18">
        <f>[1]monsters!$R972</f>
        <v>0</v>
      </c>
      <c r="BX972" s="18">
        <f>[1]monsters!$S972</f>
        <v>0</v>
      </c>
      <c r="BY972" s="18">
        <f>[1]monsters!$K972</f>
        <v>0</v>
      </c>
      <c r="BZ972" s="5">
        <f>[1]monsters!$D972</f>
        <v>0</v>
      </c>
      <c r="CA972" s="5" t="e">
        <f t="shared" si="588"/>
        <v>#N/A</v>
      </c>
      <c r="CB972" s="5" t="e">
        <f t="shared" si="589"/>
        <v>#N/A</v>
      </c>
      <c r="CC972" s="5" t="e">
        <f t="shared" si="590"/>
        <v>#N/A</v>
      </c>
      <c r="CN972" s="5"/>
      <c r="CO972" s="5"/>
      <c r="CP972" s="5"/>
      <c r="CR972" s="3" t="b">
        <f t="shared" si="570"/>
        <v>1</v>
      </c>
      <c r="CS972" s="3" t="b">
        <f t="shared" si="571"/>
        <v>1</v>
      </c>
      <c r="CT972" s="3" t="b">
        <f t="shared" si="572"/>
        <v>1</v>
      </c>
      <c r="CU972" s="3" t="b">
        <f t="shared" si="573"/>
        <v>1</v>
      </c>
      <c r="CV972" s="3" t="b">
        <f t="shared" si="574"/>
        <v>1</v>
      </c>
      <c r="CW972" s="3" t="b">
        <f t="shared" si="575"/>
        <v>1</v>
      </c>
      <c r="CX972" s="9" t="str">
        <f t="shared" si="576"/>
        <v>5201133</v>
      </c>
      <c r="CY972" s="9" t="str">
        <f t="shared" si="577"/>
        <v>5201133</v>
      </c>
      <c r="CZ972" s="9" t="str">
        <f t="shared" si="578"/>
        <v>5201133</v>
      </c>
      <c r="DA972" s="9" t="str">
        <f t="shared" si="579"/>
        <v>5402133</v>
      </c>
      <c r="DB972" s="9" t="str">
        <f t="shared" si="580"/>
        <v>5402133</v>
      </c>
      <c r="DC972" s="9" t="str">
        <f t="shared" si="581"/>
        <v>5402133</v>
      </c>
      <c r="DD972" s="9">
        <v>13</v>
      </c>
      <c r="DE972" s="9">
        <v>13</v>
      </c>
      <c r="DF972" s="9">
        <v>13</v>
      </c>
      <c r="DG972" s="9">
        <v>13</v>
      </c>
      <c r="DH972" s="9">
        <v>13</v>
      </c>
      <c r="DI972" s="9">
        <v>13</v>
      </c>
      <c r="DJ972" s="9">
        <v>5</v>
      </c>
      <c r="DK972" s="9">
        <v>5</v>
      </c>
      <c r="DL972" s="9">
        <v>5</v>
      </c>
      <c r="DM972" s="9">
        <v>5</v>
      </c>
      <c r="DN972" s="9">
        <v>5</v>
      </c>
      <c r="DO972" s="9">
        <v>5</v>
      </c>
      <c r="DP972" s="25" t="s">
        <v>205</v>
      </c>
      <c r="DQ972" s="25" t="s">
        <v>205</v>
      </c>
      <c r="DR972" s="25" t="s">
        <v>205</v>
      </c>
      <c r="DS972" s="26" t="s">
        <v>118</v>
      </c>
      <c r="DT972" s="26" t="s">
        <v>118</v>
      </c>
      <c r="DU972" s="26" t="s">
        <v>118</v>
      </c>
      <c r="DV972" s="25">
        <f t="shared" si="582"/>
        <v>1</v>
      </c>
      <c r="DW972" s="25">
        <f t="shared" si="583"/>
        <v>1</v>
      </c>
      <c r="DX972" s="25">
        <f t="shared" si="584"/>
        <v>1</v>
      </c>
      <c r="DY972" s="25">
        <f t="shared" si="585"/>
        <v>2</v>
      </c>
      <c r="DZ972" s="25">
        <f t="shared" si="586"/>
        <v>2</v>
      </c>
      <c r="EA972" s="25">
        <f t="shared" si="587"/>
        <v>2</v>
      </c>
    </row>
    <row r="973" spans="29:131" ht="13.5" customHeight="1">
      <c r="AC973" s="9" t="str">
        <f t="shared" si="564"/>
        <v/>
      </c>
      <c r="AD973" s="9" t="str">
        <f t="shared" si="565"/>
        <v/>
      </c>
      <c r="AE973" s="9" t="str">
        <f t="shared" si="566"/>
        <v/>
      </c>
      <c r="AF973" s="9" t="str">
        <f t="shared" si="567"/>
        <v/>
      </c>
      <c r="AG973" s="9" t="str">
        <f t="shared" si="568"/>
        <v/>
      </c>
      <c r="AH973" s="9" t="str">
        <f t="shared" si="569"/>
        <v/>
      </c>
      <c r="BR973" s="5">
        <v>5101094</v>
      </c>
      <c r="BS973" s="18">
        <f>[1]monsters!$N973</f>
        <v>0</v>
      </c>
      <c r="BT973" s="18">
        <f>[1]monsters!$O973</f>
        <v>0</v>
      </c>
      <c r="BU973" s="18">
        <f>[1]monsters!$P973</f>
        <v>0</v>
      </c>
      <c r="BV973" s="18">
        <f>[1]monsters!$Q973</f>
        <v>0</v>
      </c>
      <c r="BW973" s="18">
        <f>[1]monsters!$R973</f>
        <v>0</v>
      </c>
      <c r="BX973" s="18">
        <f>[1]monsters!$S973</f>
        <v>0</v>
      </c>
      <c r="BY973" s="18">
        <f>[1]monsters!$K973</f>
        <v>0</v>
      </c>
      <c r="BZ973" s="5">
        <f>[1]monsters!$D973</f>
        <v>0</v>
      </c>
      <c r="CA973" s="5" t="e">
        <f t="shared" si="588"/>
        <v>#N/A</v>
      </c>
      <c r="CB973" s="5" t="e">
        <f t="shared" si="589"/>
        <v>#N/A</v>
      </c>
      <c r="CC973" s="5" t="e">
        <f t="shared" si="590"/>
        <v>#N/A</v>
      </c>
      <c r="CN973" s="5"/>
      <c r="CO973" s="5"/>
      <c r="CP973" s="5"/>
      <c r="CR973" s="3" t="b">
        <f t="shared" si="570"/>
        <v>1</v>
      </c>
      <c r="CS973" s="3" t="b">
        <f t="shared" si="571"/>
        <v>1</v>
      </c>
      <c r="CT973" s="3" t="b">
        <f t="shared" si="572"/>
        <v>1</v>
      </c>
      <c r="CU973" s="3" t="b">
        <f t="shared" si="573"/>
        <v>1</v>
      </c>
      <c r="CV973" s="3" t="b">
        <f t="shared" si="574"/>
        <v>1</v>
      </c>
      <c r="CW973" s="3" t="b">
        <f t="shared" si="575"/>
        <v>1</v>
      </c>
      <c r="CX973" s="9" t="str">
        <f t="shared" si="576"/>
        <v>5300135</v>
      </c>
      <c r="CY973" s="9" t="str">
        <f t="shared" si="577"/>
        <v>5202135</v>
      </c>
      <c r="CZ973" s="9" t="str">
        <f t="shared" si="578"/>
        <v>5202135</v>
      </c>
      <c r="DA973" s="9" t="str">
        <f t="shared" si="579"/>
        <v>5502132</v>
      </c>
      <c r="DB973" s="9" t="str">
        <f t="shared" si="580"/>
        <v>5500132</v>
      </c>
      <c r="DC973" s="9" t="str">
        <f t="shared" si="581"/>
        <v>5502133</v>
      </c>
      <c r="DD973" s="9">
        <v>13</v>
      </c>
      <c r="DE973" s="9">
        <v>13</v>
      </c>
      <c r="DF973" s="9">
        <v>13</v>
      </c>
      <c r="DG973" s="9">
        <v>13</v>
      </c>
      <c r="DH973" s="9">
        <v>13</v>
      </c>
      <c r="DI973" s="9">
        <v>13</v>
      </c>
      <c r="DJ973" s="9">
        <v>5</v>
      </c>
      <c r="DK973" s="9">
        <v>5</v>
      </c>
      <c r="DL973" s="9">
        <v>5</v>
      </c>
      <c r="DM973" s="9">
        <v>5</v>
      </c>
      <c r="DN973" s="9">
        <v>5</v>
      </c>
      <c r="DO973" s="9">
        <v>5</v>
      </c>
      <c r="DP973" s="25" t="s">
        <v>212</v>
      </c>
      <c r="DQ973" s="25" t="s">
        <v>213</v>
      </c>
      <c r="DR973" s="25" t="s">
        <v>213</v>
      </c>
      <c r="DS973" s="26" t="s">
        <v>204</v>
      </c>
      <c r="DT973" s="26" t="s">
        <v>109</v>
      </c>
      <c r="DU973" s="26" t="s">
        <v>215</v>
      </c>
      <c r="DV973" s="25">
        <f t="shared" si="582"/>
        <v>1</v>
      </c>
      <c r="DW973" s="25">
        <f t="shared" si="583"/>
        <v>1</v>
      </c>
      <c r="DX973" s="25">
        <f t="shared" si="584"/>
        <v>1</v>
      </c>
      <c r="DY973" s="25">
        <f t="shared" si="585"/>
        <v>2</v>
      </c>
      <c r="DZ973" s="25">
        <f t="shared" si="586"/>
        <v>2</v>
      </c>
      <c r="EA973" s="25">
        <f t="shared" si="587"/>
        <v>2</v>
      </c>
    </row>
    <row r="974" spans="29:131" ht="13.5" customHeight="1">
      <c r="AC974" s="9" t="str">
        <f t="shared" si="564"/>
        <v/>
      </c>
      <c r="AD974" s="9" t="str">
        <f t="shared" si="565"/>
        <v/>
      </c>
      <c r="AE974" s="9" t="str">
        <f t="shared" si="566"/>
        <v/>
      </c>
      <c r="AF974" s="9" t="str">
        <f t="shared" si="567"/>
        <v/>
      </c>
      <c r="AG974" s="9" t="str">
        <f t="shared" si="568"/>
        <v/>
      </c>
      <c r="AH974" s="9" t="str">
        <f t="shared" si="569"/>
        <v/>
      </c>
      <c r="BR974" s="5">
        <v>5102094</v>
      </c>
      <c r="BS974" s="18">
        <f>[1]monsters!$N974</f>
        <v>0</v>
      </c>
      <c r="BT974" s="18">
        <f>[1]monsters!$O974</f>
        <v>0</v>
      </c>
      <c r="BU974" s="18">
        <f>[1]monsters!$P974</f>
        <v>0</v>
      </c>
      <c r="BV974" s="18">
        <f>[1]monsters!$Q974</f>
        <v>0</v>
      </c>
      <c r="BW974" s="18">
        <f>[1]monsters!$R974</f>
        <v>0</v>
      </c>
      <c r="BX974" s="18">
        <f>[1]monsters!$S974</f>
        <v>0</v>
      </c>
      <c r="BY974" s="18">
        <f>[1]monsters!$K974</f>
        <v>0</v>
      </c>
      <c r="BZ974" s="5">
        <f>[1]monsters!$D974</f>
        <v>0</v>
      </c>
      <c r="CA974" s="5" t="e">
        <f t="shared" si="588"/>
        <v>#N/A</v>
      </c>
      <c r="CB974" s="5" t="e">
        <f t="shared" si="589"/>
        <v>#N/A</v>
      </c>
      <c r="CC974" s="5" t="e">
        <f t="shared" si="590"/>
        <v>#N/A</v>
      </c>
      <c r="CN974" s="5"/>
      <c r="CO974" s="5"/>
      <c r="CP974" s="5"/>
      <c r="CR974" s="3" t="b">
        <f t="shared" si="570"/>
        <v>1</v>
      </c>
      <c r="CS974" s="3" t="b">
        <f t="shared" si="571"/>
        <v>1</v>
      </c>
      <c r="CT974" s="3" t="b">
        <f t="shared" si="572"/>
        <v>1</v>
      </c>
      <c r="CU974" s="3" t="b">
        <f t="shared" si="573"/>
        <v>1</v>
      </c>
      <c r="CV974" s="3" t="b">
        <f t="shared" si="574"/>
        <v>1</v>
      </c>
      <c r="CW974" s="3" t="b">
        <f t="shared" si="575"/>
        <v>1</v>
      </c>
      <c r="CX974" s="9" t="str">
        <f t="shared" si="576"/>
        <v>5200132</v>
      </c>
      <c r="CY974" s="9" t="str">
        <f t="shared" si="577"/>
        <v>5200133</v>
      </c>
      <c r="CZ974" s="9" t="str">
        <f t="shared" si="578"/>
        <v>5200132</v>
      </c>
      <c r="DA974" s="9" t="str">
        <f t="shared" si="579"/>
        <v>5401131</v>
      </c>
      <c r="DB974" s="9" t="str">
        <f t="shared" si="580"/>
        <v>5501135</v>
      </c>
      <c r="DC974" s="9" t="str">
        <f t="shared" si="581"/>
        <v>5400135</v>
      </c>
      <c r="DD974" s="9">
        <v>13</v>
      </c>
      <c r="DE974" s="9">
        <v>13</v>
      </c>
      <c r="DF974" s="9">
        <v>13</v>
      </c>
      <c r="DG974" s="9">
        <v>13</v>
      </c>
      <c r="DH974" s="9">
        <v>13</v>
      </c>
      <c r="DI974" s="9">
        <v>13</v>
      </c>
      <c r="DJ974" s="9">
        <v>5</v>
      </c>
      <c r="DK974" s="9">
        <v>5</v>
      </c>
      <c r="DL974" s="9">
        <v>5</v>
      </c>
      <c r="DM974" s="9">
        <v>5</v>
      </c>
      <c r="DN974" s="9">
        <v>5</v>
      </c>
      <c r="DO974" s="9">
        <v>5</v>
      </c>
      <c r="DP974" s="25" t="s">
        <v>199</v>
      </c>
      <c r="DQ974" s="25" t="s">
        <v>113</v>
      </c>
      <c r="DR974" s="25" t="s">
        <v>199</v>
      </c>
      <c r="DS974" s="26" t="s">
        <v>117</v>
      </c>
      <c r="DT974" s="26" t="s">
        <v>209</v>
      </c>
      <c r="DU974" s="26" t="s">
        <v>210</v>
      </c>
      <c r="DV974" s="25">
        <f t="shared" si="582"/>
        <v>1</v>
      </c>
      <c r="DW974" s="25">
        <f t="shared" si="583"/>
        <v>1</v>
      </c>
      <c r="DX974" s="25">
        <f t="shared" si="584"/>
        <v>1</v>
      </c>
      <c r="DY974" s="25">
        <f t="shared" si="585"/>
        <v>2</v>
      </c>
      <c r="DZ974" s="25">
        <f t="shared" si="586"/>
        <v>2</v>
      </c>
      <c r="EA974" s="25">
        <f t="shared" si="587"/>
        <v>2</v>
      </c>
    </row>
    <row r="975" spans="29:131" ht="13.5" customHeight="1">
      <c r="AC975" s="9" t="str">
        <f t="shared" si="564"/>
        <v/>
      </c>
      <c r="AD975" s="9" t="str">
        <f t="shared" si="565"/>
        <v/>
      </c>
      <c r="AE975" s="9" t="str">
        <f t="shared" si="566"/>
        <v/>
      </c>
      <c r="AF975" s="9" t="str">
        <f t="shared" si="567"/>
        <v/>
      </c>
      <c r="AG975" s="9" t="str">
        <f t="shared" si="568"/>
        <v/>
      </c>
      <c r="AH975" s="9" t="str">
        <f t="shared" si="569"/>
        <v/>
      </c>
      <c r="BR975" s="5">
        <v>5206095</v>
      </c>
      <c r="BS975" s="18">
        <f>[1]monsters!$N975</f>
        <v>0</v>
      </c>
      <c r="BT975" s="18">
        <f>[1]monsters!$O975</f>
        <v>0</v>
      </c>
      <c r="BU975" s="18">
        <f>[1]monsters!$P975</f>
        <v>0</v>
      </c>
      <c r="BV975" s="18">
        <f>[1]monsters!$Q975</f>
        <v>0</v>
      </c>
      <c r="BW975" s="18">
        <f>[1]monsters!$R975</f>
        <v>0</v>
      </c>
      <c r="BX975" s="18">
        <f>[1]monsters!$S975</f>
        <v>0</v>
      </c>
      <c r="BY975" s="18">
        <f>[1]monsters!$K975</f>
        <v>0</v>
      </c>
      <c r="BZ975" s="5">
        <f>[1]monsters!$D975</f>
        <v>0</v>
      </c>
      <c r="CA975" s="5" t="e">
        <f t="shared" si="588"/>
        <v>#N/A</v>
      </c>
      <c r="CB975" s="5" t="e">
        <f t="shared" si="589"/>
        <v>#N/A</v>
      </c>
      <c r="CC975" s="5" t="e">
        <f t="shared" si="590"/>
        <v>#N/A</v>
      </c>
      <c r="CN975" s="5"/>
      <c r="CO975" s="5"/>
      <c r="CP975" s="5"/>
      <c r="CR975" s="3" t="b">
        <f t="shared" si="570"/>
        <v>1</v>
      </c>
      <c r="CS975" s="3" t="b">
        <f t="shared" si="571"/>
        <v>1</v>
      </c>
      <c r="CT975" s="3" t="b">
        <f t="shared" si="572"/>
        <v>1</v>
      </c>
      <c r="CU975" s="3" t="b">
        <f t="shared" si="573"/>
        <v>1</v>
      </c>
      <c r="CV975" s="3" t="b">
        <f t="shared" si="574"/>
        <v>1</v>
      </c>
      <c r="CW975" s="3" t="b">
        <f t="shared" si="575"/>
        <v>1</v>
      </c>
      <c r="CX975" s="9" t="str">
        <f t="shared" si="576"/>
        <v>5202131</v>
      </c>
      <c r="CY975" s="9" t="str">
        <f t="shared" si="577"/>
        <v>5202132</v>
      </c>
      <c r="CZ975" s="9" t="str">
        <f t="shared" si="578"/>
        <v>5301132</v>
      </c>
      <c r="DA975" s="9" t="str">
        <f t="shared" si="579"/>
        <v>5502131</v>
      </c>
      <c r="DB975" s="9" t="str">
        <f t="shared" si="580"/>
        <v>5500131</v>
      </c>
      <c r="DC975" s="9" t="str">
        <f t="shared" si="581"/>
        <v>5502131</v>
      </c>
      <c r="DD975" s="9">
        <v>13</v>
      </c>
      <c r="DE975" s="9">
        <v>13</v>
      </c>
      <c r="DF975" s="9">
        <v>13</v>
      </c>
      <c r="DG975" s="9">
        <v>13</v>
      </c>
      <c r="DH975" s="9">
        <v>13</v>
      </c>
      <c r="DI975" s="9">
        <v>13</v>
      </c>
      <c r="DJ975" s="9">
        <v>5</v>
      </c>
      <c r="DK975" s="9">
        <v>5</v>
      </c>
      <c r="DL975" s="9">
        <v>5</v>
      </c>
      <c r="DM975" s="9">
        <v>5</v>
      </c>
      <c r="DN975" s="9">
        <v>5</v>
      </c>
      <c r="DO975" s="9">
        <v>5</v>
      </c>
      <c r="DP975" s="25" t="s">
        <v>111</v>
      </c>
      <c r="DQ975" s="25" t="s">
        <v>200</v>
      </c>
      <c r="DR975" s="25" t="s">
        <v>201</v>
      </c>
      <c r="DS975" s="26" t="s">
        <v>119</v>
      </c>
      <c r="DT975" s="26" t="s">
        <v>197</v>
      </c>
      <c r="DU975" s="26" t="s">
        <v>119</v>
      </c>
      <c r="DV975" s="25">
        <f t="shared" si="582"/>
        <v>1</v>
      </c>
      <c r="DW975" s="25">
        <f t="shared" si="583"/>
        <v>1</v>
      </c>
      <c r="DX975" s="25">
        <f t="shared" si="584"/>
        <v>1</v>
      </c>
      <c r="DY975" s="25">
        <f t="shared" si="585"/>
        <v>2</v>
      </c>
      <c r="DZ975" s="25">
        <f t="shared" si="586"/>
        <v>2</v>
      </c>
      <c r="EA975" s="25">
        <f t="shared" si="587"/>
        <v>2</v>
      </c>
    </row>
    <row r="976" spans="29:131" ht="13.5" customHeight="1">
      <c r="AC976" s="9" t="str">
        <f t="shared" si="564"/>
        <v/>
      </c>
      <c r="AD976" s="9" t="str">
        <f t="shared" si="565"/>
        <v/>
      </c>
      <c r="AE976" s="9" t="str">
        <f t="shared" si="566"/>
        <v/>
      </c>
      <c r="AF976" s="9" t="str">
        <f t="shared" si="567"/>
        <v/>
      </c>
      <c r="AG976" s="9" t="str">
        <f t="shared" si="568"/>
        <v/>
      </c>
      <c r="AH976" s="9" t="str">
        <f t="shared" si="569"/>
        <v/>
      </c>
      <c r="BR976" s="5">
        <v>5406095</v>
      </c>
      <c r="BS976" s="18">
        <f>[1]monsters!$N976</f>
        <v>0</v>
      </c>
      <c r="BT976" s="18">
        <f>[1]monsters!$O976</f>
        <v>0</v>
      </c>
      <c r="BU976" s="18">
        <f>[1]monsters!$P976</f>
        <v>0</v>
      </c>
      <c r="BV976" s="18">
        <f>[1]monsters!$Q976</f>
        <v>0</v>
      </c>
      <c r="BW976" s="18">
        <f>[1]monsters!$R976</f>
        <v>0</v>
      </c>
      <c r="BX976" s="18">
        <f>[1]monsters!$S976</f>
        <v>0</v>
      </c>
      <c r="BY976" s="18">
        <f>[1]monsters!$K976</f>
        <v>0</v>
      </c>
      <c r="BZ976" s="5">
        <f>[1]monsters!$D976</f>
        <v>0</v>
      </c>
      <c r="CA976" s="5" t="e">
        <f t="shared" si="588"/>
        <v>#N/A</v>
      </c>
      <c r="CB976" s="5" t="e">
        <f t="shared" si="589"/>
        <v>#N/A</v>
      </c>
      <c r="CC976" s="5" t="e">
        <f t="shared" si="590"/>
        <v>#N/A</v>
      </c>
      <c r="CN976" s="5"/>
      <c r="CO976" s="5"/>
      <c r="CP976" s="5"/>
      <c r="CR976" s="3" t="b">
        <f t="shared" si="570"/>
        <v>1</v>
      </c>
      <c r="CS976" s="3" t="b">
        <f t="shared" si="571"/>
        <v>1</v>
      </c>
      <c r="CT976" s="3" t="b">
        <f t="shared" si="572"/>
        <v>1</v>
      </c>
      <c r="CU976" s="3" t="b">
        <f t="shared" si="573"/>
        <v>1</v>
      </c>
      <c r="CV976" s="3" t="b">
        <f t="shared" si="574"/>
        <v>1</v>
      </c>
      <c r="CW976" s="3" t="b">
        <f t="shared" si="575"/>
        <v>1</v>
      </c>
      <c r="CX976" s="9" t="str">
        <f t="shared" si="576"/>
        <v>5302135</v>
      </c>
      <c r="CY976" s="9" t="str">
        <f t="shared" si="577"/>
        <v>5202135</v>
      </c>
      <c r="CZ976" s="9" t="str">
        <f t="shared" si="578"/>
        <v>5202135</v>
      </c>
      <c r="DA976" s="9" t="str">
        <f t="shared" si="579"/>
        <v>5501135</v>
      </c>
      <c r="DB976" s="9" t="str">
        <f t="shared" si="580"/>
        <v>5401133</v>
      </c>
      <c r="DC976" s="9" t="str">
        <f t="shared" si="581"/>
        <v>5501134</v>
      </c>
      <c r="DD976" s="9">
        <v>13</v>
      </c>
      <c r="DE976" s="9">
        <v>13</v>
      </c>
      <c r="DF976" s="9">
        <v>13</v>
      </c>
      <c r="DG976" s="9">
        <v>13</v>
      </c>
      <c r="DH976" s="9">
        <v>13</v>
      </c>
      <c r="DI976" s="9">
        <v>13</v>
      </c>
      <c r="DJ976" s="9">
        <v>5</v>
      </c>
      <c r="DK976" s="9">
        <v>5</v>
      </c>
      <c r="DL976" s="9">
        <v>5</v>
      </c>
      <c r="DM976" s="9">
        <v>5</v>
      </c>
      <c r="DN976" s="9">
        <v>5</v>
      </c>
      <c r="DO976" s="9">
        <v>5</v>
      </c>
      <c r="DP976" s="27" t="s">
        <v>221</v>
      </c>
      <c r="DQ976" s="27" t="s">
        <v>213</v>
      </c>
      <c r="DR976" s="27" t="s">
        <v>213</v>
      </c>
      <c r="DS976" s="25" t="s">
        <v>209</v>
      </c>
      <c r="DT976" s="25" t="s">
        <v>211</v>
      </c>
      <c r="DU976" s="25" t="s">
        <v>214</v>
      </c>
      <c r="DV976" s="25">
        <f t="shared" si="582"/>
        <v>1</v>
      </c>
      <c r="DW976" s="25">
        <f t="shared" si="583"/>
        <v>1</v>
      </c>
      <c r="DX976" s="25">
        <f t="shared" si="584"/>
        <v>1</v>
      </c>
      <c r="DY976" s="25">
        <f t="shared" si="585"/>
        <v>2</v>
      </c>
      <c r="DZ976" s="25">
        <f t="shared" si="586"/>
        <v>2</v>
      </c>
      <c r="EA976" s="25">
        <f t="shared" si="587"/>
        <v>2</v>
      </c>
    </row>
    <row r="977" spans="29:131" ht="13.5" customHeight="1">
      <c r="AC977" s="9" t="str">
        <f t="shared" si="564"/>
        <v/>
      </c>
      <c r="AD977" s="9" t="str">
        <f t="shared" si="565"/>
        <v/>
      </c>
      <c r="AE977" s="9" t="str">
        <f t="shared" si="566"/>
        <v/>
      </c>
      <c r="AF977" s="9" t="str">
        <f t="shared" si="567"/>
        <v/>
      </c>
      <c r="AG977" s="9" t="str">
        <f t="shared" si="568"/>
        <v/>
      </c>
      <c r="AH977" s="9" t="str">
        <f t="shared" si="569"/>
        <v/>
      </c>
      <c r="BR977" s="5">
        <v>5205095</v>
      </c>
      <c r="BS977" s="18">
        <f>[1]monsters!$N977</f>
        <v>0</v>
      </c>
      <c r="BT977" s="18">
        <f>[1]monsters!$O977</f>
        <v>0</v>
      </c>
      <c r="BU977" s="18">
        <f>[1]monsters!$P977</f>
        <v>0</v>
      </c>
      <c r="BV977" s="18">
        <f>[1]monsters!$Q977</f>
        <v>0</v>
      </c>
      <c r="BW977" s="18">
        <f>[1]monsters!$R977</f>
        <v>0</v>
      </c>
      <c r="BX977" s="18">
        <f>[1]monsters!$S977</f>
        <v>0</v>
      </c>
      <c r="BY977" s="18">
        <f>[1]monsters!$K977</f>
        <v>0</v>
      </c>
      <c r="BZ977" s="5">
        <f>[1]monsters!$D977</f>
        <v>0</v>
      </c>
      <c r="CA977" s="5" t="e">
        <f t="shared" si="588"/>
        <v>#N/A</v>
      </c>
      <c r="CB977" s="5" t="e">
        <f t="shared" si="589"/>
        <v>#N/A</v>
      </c>
      <c r="CC977" s="5" t="e">
        <f t="shared" si="590"/>
        <v>#N/A</v>
      </c>
      <c r="CN977" s="5"/>
      <c r="CO977" s="5"/>
      <c r="CP977" s="5"/>
      <c r="CR977" s="3" t="b">
        <f t="shared" si="570"/>
        <v>1</v>
      </c>
      <c r="CS977" s="3" t="b">
        <f t="shared" si="571"/>
        <v>1</v>
      </c>
      <c r="CT977" s="3" t="b">
        <f t="shared" si="572"/>
        <v>1</v>
      </c>
      <c r="CU977" s="3" t="b">
        <f t="shared" si="573"/>
        <v>1</v>
      </c>
      <c r="CV977" s="3" t="b">
        <f t="shared" si="574"/>
        <v>1</v>
      </c>
      <c r="CW977" s="3" t="b">
        <f t="shared" si="575"/>
        <v>1</v>
      </c>
      <c r="CX977" s="9" t="str">
        <f t="shared" si="576"/>
        <v>5201132</v>
      </c>
      <c r="CY977" s="9" t="str">
        <f t="shared" si="577"/>
        <v>5201132</v>
      </c>
      <c r="CZ977" s="9" t="str">
        <f t="shared" si="578"/>
        <v>5200132</v>
      </c>
      <c r="DA977" s="9" t="str">
        <f t="shared" si="579"/>
        <v>5402132</v>
      </c>
      <c r="DB977" s="9" t="str">
        <f t="shared" si="580"/>
        <v>5601132</v>
      </c>
      <c r="DC977" s="9" t="str">
        <f t="shared" si="581"/>
        <v>5402132</v>
      </c>
      <c r="DD977" s="9">
        <v>13</v>
      </c>
      <c r="DE977" s="9">
        <v>13</v>
      </c>
      <c r="DF977" s="9">
        <v>13</v>
      </c>
      <c r="DG977" s="9">
        <v>13</v>
      </c>
      <c r="DH977" s="9">
        <v>13</v>
      </c>
      <c r="DI977" s="9">
        <v>13</v>
      </c>
      <c r="DJ977" s="9">
        <v>5</v>
      </c>
      <c r="DK977" s="9">
        <v>5</v>
      </c>
      <c r="DL977" s="9">
        <v>5</v>
      </c>
      <c r="DM977" s="9">
        <v>5</v>
      </c>
      <c r="DN977" s="9">
        <v>5</v>
      </c>
      <c r="DO977" s="9">
        <v>5</v>
      </c>
      <c r="DP977" s="25" t="s">
        <v>114</v>
      </c>
      <c r="DQ977" s="25" t="s">
        <v>114</v>
      </c>
      <c r="DR977" s="26" t="s">
        <v>199</v>
      </c>
      <c r="DS977" s="26" t="s">
        <v>203</v>
      </c>
      <c r="DT977" s="25" t="s">
        <v>124</v>
      </c>
      <c r="DU977" s="25" t="s">
        <v>203</v>
      </c>
      <c r="DV977" s="25">
        <f t="shared" si="582"/>
        <v>1</v>
      </c>
      <c r="DW977" s="25">
        <f t="shared" si="583"/>
        <v>1</v>
      </c>
      <c r="DX977" s="25">
        <f t="shared" si="584"/>
        <v>1</v>
      </c>
      <c r="DY977" s="25">
        <f t="shared" si="585"/>
        <v>2</v>
      </c>
      <c r="DZ977" s="25">
        <f t="shared" si="586"/>
        <v>2</v>
      </c>
      <c r="EA977" s="25">
        <f t="shared" si="587"/>
        <v>2</v>
      </c>
    </row>
    <row r="978" spans="29:131" ht="13.5" customHeight="1">
      <c r="AC978" s="9" t="str">
        <f t="shared" si="564"/>
        <v/>
      </c>
      <c r="AD978" s="9" t="str">
        <f t="shared" si="565"/>
        <v/>
      </c>
      <c r="AE978" s="9" t="str">
        <f t="shared" si="566"/>
        <v/>
      </c>
      <c r="AF978" s="9" t="str">
        <f t="shared" si="567"/>
        <v/>
      </c>
      <c r="AG978" s="9" t="str">
        <f t="shared" si="568"/>
        <v/>
      </c>
      <c r="AH978" s="9" t="str">
        <f t="shared" si="569"/>
        <v/>
      </c>
      <c r="BR978" s="5">
        <v>5405095</v>
      </c>
      <c r="BS978" s="18">
        <f>[1]monsters!$N978</f>
        <v>0</v>
      </c>
      <c r="BT978" s="18">
        <f>[1]monsters!$O978</f>
        <v>0</v>
      </c>
      <c r="BU978" s="18">
        <f>[1]monsters!$P978</f>
        <v>0</v>
      </c>
      <c r="BV978" s="18">
        <f>[1]monsters!$Q978</f>
        <v>0</v>
      </c>
      <c r="BW978" s="18">
        <f>[1]monsters!$R978</f>
        <v>0</v>
      </c>
      <c r="BX978" s="18">
        <f>[1]monsters!$S978</f>
        <v>0</v>
      </c>
      <c r="BY978" s="18">
        <f>[1]monsters!$K978</f>
        <v>0</v>
      </c>
      <c r="BZ978" s="5">
        <f>[1]monsters!$D978</f>
        <v>0</v>
      </c>
      <c r="CA978" s="5" t="e">
        <f t="shared" si="588"/>
        <v>#N/A</v>
      </c>
      <c r="CB978" s="5" t="e">
        <f t="shared" si="589"/>
        <v>#N/A</v>
      </c>
      <c r="CC978" s="5" t="e">
        <f t="shared" si="590"/>
        <v>#N/A</v>
      </c>
      <c r="CN978" s="5"/>
      <c r="CO978" s="5"/>
      <c r="CP978" s="5"/>
      <c r="CR978" s="3" t="b">
        <f t="shared" si="570"/>
        <v>1</v>
      </c>
      <c r="CS978" s="3" t="b">
        <f t="shared" si="571"/>
        <v>1</v>
      </c>
      <c r="CT978" s="3" t="b">
        <f t="shared" si="572"/>
        <v>1</v>
      </c>
      <c r="CU978" s="3" t="b">
        <f t="shared" si="573"/>
        <v>1</v>
      </c>
      <c r="CV978" s="3" t="b">
        <f t="shared" si="574"/>
        <v>1</v>
      </c>
      <c r="CW978" s="3" t="b">
        <f t="shared" si="575"/>
        <v>1</v>
      </c>
      <c r="CX978" s="9" t="str">
        <f t="shared" si="576"/>
        <v>5200132</v>
      </c>
      <c r="CY978" s="9" t="str">
        <f t="shared" si="577"/>
        <v>5200133</v>
      </c>
      <c r="CZ978" s="9" t="str">
        <f t="shared" si="578"/>
        <v>5200132</v>
      </c>
      <c r="DA978" s="9" t="str">
        <f t="shared" si="579"/>
        <v>5502132</v>
      </c>
      <c r="DB978" s="9" t="str">
        <f t="shared" si="580"/>
        <v>5500132</v>
      </c>
      <c r="DC978" s="9" t="str">
        <f t="shared" si="581"/>
        <v>5502133</v>
      </c>
      <c r="DD978" s="9">
        <v>13</v>
      </c>
      <c r="DE978" s="9">
        <v>13</v>
      </c>
      <c r="DF978" s="9">
        <v>13</v>
      </c>
      <c r="DG978" s="9">
        <v>13</v>
      </c>
      <c r="DH978" s="9">
        <v>13</v>
      </c>
      <c r="DI978" s="9">
        <v>13</v>
      </c>
      <c r="DJ978" s="9">
        <v>5</v>
      </c>
      <c r="DK978" s="9">
        <v>5</v>
      </c>
      <c r="DL978" s="9">
        <v>5</v>
      </c>
      <c r="DM978" s="9">
        <v>5</v>
      </c>
      <c r="DN978" s="9">
        <v>5</v>
      </c>
      <c r="DO978" s="9">
        <v>5</v>
      </c>
      <c r="DP978" s="25" t="s">
        <v>199</v>
      </c>
      <c r="DQ978" s="25" t="s">
        <v>113</v>
      </c>
      <c r="DR978" s="25" t="s">
        <v>199</v>
      </c>
      <c r="DS978" s="28" t="s">
        <v>204</v>
      </c>
      <c r="DT978" s="28" t="s">
        <v>109</v>
      </c>
      <c r="DU978" s="28" t="s">
        <v>215</v>
      </c>
      <c r="DV978" s="25">
        <f t="shared" si="582"/>
        <v>1</v>
      </c>
      <c r="DW978" s="25">
        <f t="shared" si="583"/>
        <v>1</v>
      </c>
      <c r="DX978" s="25">
        <f t="shared" si="584"/>
        <v>1</v>
      </c>
      <c r="DY978" s="25">
        <f t="shared" si="585"/>
        <v>2</v>
      </c>
      <c r="DZ978" s="25">
        <f t="shared" si="586"/>
        <v>2</v>
      </c>
      <c r="EA978" s="25">
        <f t="shared" si="587"/>
        <v>2</v>
      </c>
    </row>
    <row r="979" spans="29:131" ht="13.5" customHeight="1">
      <c r="AC979" s="9" t="str">
        <f t="shared" si="564"/>
        <v/>
      </c>
      <c r="AD979" s="9" t="str">
        <f t="shared" si="565"/>
        <v/>
      </c>
      <c r="AE979" s="9" t="str">
        <f t="shared" si="566"/>
        <v/>
      </c>
      <c r="AF979" s="9" t="str">
        <f t="shared" si="567"/>
        <v/>
      </c>
      <c r="AG979" s="9" t="str">
        <f t="shared" si="568"/>
        <v/>
      </c>
      <c r="AH979" s="9" t="str">
        <f t="shared" si="569"/>
        <v/>
      </c>
      <c r="BR979" s="5">
        <v>5203095</v>
      </c>
      <c r="BS979" s="18">
        <f>[1]monsters!$N979</f>
        <v>0</v>
      </c>
      <c r="BT979" s="18">
        <f>[1]monsters!$O979</f>
        <v>0</v>
      </c>
      <c r="BU979" s="18">
        <f>[1]monsters!$P979</f>
        <v>0</v>
      </c>
      <c r="BV979" s="18">
        <f>[1]monsters!$Q979</f>
        <v>0</v>
      </c>
      <c r="BW979" s="18">
        <f>[1]monsters!$R979</f>
        <v>0</v>
      </c>
      <c r="BX979" s="18">
        <f>[1]monsters!$S979</f>
        <v>0</v>
      </c>
      <c r="BY979" s="18">
        <f>[1]monsters!$K979</f>
        <v>0</v>
      </c>
      <c r="BZ979" s="5">
        <f>[1]monsters!$D979</f>
        <v>0</v>
      </c>
      <c r="CA979" s="5" t="e">
        <f t="shared" si="588"/>
        <v>#N/A</v>
      </c>
      <c r="CB979" s="5" t="e">
        <f t="shared" si="589"/>
        <v>#N/A</v>
      </c>
      <c r="CC979" s="5" t="e">
        <f t="shared" si="590"/>
        <v>#N/A</v>
      </c>
      <c r="CN979" s="5"/>
      <c r="CO979" s="5"/>
      <c r="CP979" s="5"/>
      <c r="CR979" s="3" t="b">
        <f t="shared" si="570"/>
        <v>1</v>
      </c>
      <c r="CS979" s="3" t="b">
        <f t="shared" si="571"/>
        <v>1</v>
      </c>
      <c r="CT979" s="3" t="b">
        <f t="shared" si="572"/>
        <v>1</v>
      </c>
      <c r="CU979" s="3" t="b">
        <f t="shared" si="573"/>
        <v>1</v>
      </c>
      <c r="CV979" s="3" t="b">
        <f t="shared" si="574"/>
        <v>1</v>
      </c>
      <c r="CW979" s="3" t="b">
        <f t="shared" si="575"/>
        <v>1</v>
      </c>
      <c r="CX979" s="9" t="str">
        <f t="shared" si="576"/>
        <v>5202133</v>
      </c>
      <c r="CY979" s="9" t="str">
        <f t="shared" si="577"/>
        <v>5202132</v>
      </c>
      <c r="CZ979" s="9" t="str">
        <f t="shared" si="578"/>
        <v>5202133</v>
      </c>
      <c r="DA979" s="9" t="str">
        <f t="shared" si="579"/>
        <v>5401133</v>
      </c>
      <c r="DB979" s="9" t="str">
        <f t="shared" si="580"/>
        <v>5400135</v>
      </c>
      <c r="DC979" s="9" t="str">
        <f t="shared" si="581"/>
        <v>5501135</v>
      </c>
      <c r="DD979" s="9">
        <v>13</v>
      </c>
      <c r="DE979" s="9">
        <v>13</v>
      </c>
      <c r="DF979" s="9">
        <v>13</v>
      </c>
      <c r="DG979" s="9">
        <v>13</v>
      </c>
      <c r="DH979" s="9">
        <v>13</v>
      </c>
      <c r="DI979" s="9">
        <v>13</v>
      </c>
      <c r="DJ979" s="9">
        <v>5</v>
      </c>
      <c r="DK979" s="9">
        <v>5</v>
      </c>
      <c r="DL979" s="9">
        <v>5</v>
      </c>
      <c r="DM979" s="9">
        <v>5</v>
      </c>
      <c r="DN979" s="9">
        <v>5</v>
      </c>
      <c r="DO979" s="9">
        <v>5</v>
      </c>
      <c r="DP979" s="25" t="s">
        <v>208</v>
      </c>
      <c r="DQ979" s="25" t="s">
        <v>200</v>
      </c>
      <c r="DR979" s="26" t="s">
        <v>208</v>
      </c>
      <c r="DS979" s="26" t="s">
        <v>211</v>
      </c>
      <c r="DT979" s="25" t="s">
        <v>210</v>
      </c>
      <c r="DU979" s="25" t="s">
        <v>209</v>
      </c>
      <c r="DV979" s="25">
        <f t="shared" si="582"/>
        <v>1</v>
      </c>
      <c r="DW979" s="25">
        <f t="shared" si="583"/>
        <v>1</v>
      </c>
      <c r="DX979" s="25">
        <f t="shared" si="584"/>
        <v>1</v>
      </c>
      <c r="DY979" s="25">
        <f t="shared" si="585"/>
        <v>2</v>
      </c>
      <c r="DZ979" s="25">
        <f t="shared" si="586"/>
        <v>2</v>
      </c>
      <c r="EA979" s="25">
        <f t="shared" si="587"/>
        <v>2</v>
      </c>
    </row>
    <row r="980" spans="29:131" ht="13.5" customHeight="1">
      <c r="AC980" s="9" t="str">
        <f t="shared" si="564"/>
        <v/>
      </c>
      <c r="AD980" s="9" t="str">
        <f t="shared" si="565"/>
        <v/>
      </c>
      <c r="AE980" s="9" t="str">
        <f t="shared" si="566"/>
        <v/>
      </c>
      <c r="AF980" s="9" t="str">
        <f t="shared" si="567"/>
        <v/>
      </c>
      <c r="AG980" s="9" t="str">
        <f t="shared" si="568"/>
        <v/>
      </c>
      <c r="AH980" s="9" t="str">
        <f t="shared" si="569"/>
        <v/>
      </c>
      <c r="BR980" s="5">
        <v>5403095</v>
      </c>
      <c r="BS980" s="18">
        <f>[1]monsters!$N980</f>
        <v>0</v>
      </c>
      <c r="BT980" s="18">
        <f>[1]monsters!$O980</f>
        <v>0</v>
      </c>
      <c r="BU980" s="18">
        <f>[1]monsters!$P980</f>
        <v>0</v>
      </c>
      <c r="BV980" s="18">
        <f>[1]monsters!$Q980</f>
        <v>0</v>
      </c>
      <c r="BW980" s="18">
        <f>[1]monsters!$R980</f>
        <v>0</v>
      </c>
      <c r="BX980" s="18">
        <f>[1]monsters!$S980</f>
        <v>0</v>
      </c>
      <c r="BY980" s="18">
        <f>[1]monsters!$K980</f>
        <v>0</v>
      </c>
      <c r="BZ980" s="5">
        <f>[1]monsters!$D980</f>
        <v>0</v>
      </c>
      <c r="CA980" s="5" t="e">
        <f t="shared" si="588"/>
        <v>#N/A</v>
      </c>
      <c r="CB980" s="5" t="e">
        <f t="shared" si="589"/>
        <v>#N/A</v>
      </c>
      <c r="CC980" s="5" t="e">
        <f t="shared" si="590"/>
        <v>#N/A</v>
      </c>
      <c r="CN980" s="5"/>
      <c r="CO980" s="5"/>
      <c r="CP980" s="5"/>
      <c r="CR980" s="3" t="b">
        <f t="shared" si="570"/>
        <v>1</v>
      </c>
      <c r="CS980" s="3" t="b">
        <f t="shared" si="571"/>
        <v>1</v>
      </c>
      <c r="CT980" s="3" t="b">
        <f t="shared" si="572"/>
        <v>1</v>
      </c>
      <c r="CU980" s="3" t="b">
        <f t="shared" si="573"/>
        <v>1</v>
      </c>
      <c r="CV980" s="3" t="b">
        <f t="shared" si="574"/>
        <v>1</v>
      </c>
      <c r="CW980" s="3" t="b">
        <f t="shared" si="575"/>
        <v>1</v>
      </c>
      <c r="CX980" s="9" t="str">
        <f t="shared" si="576"/>
        <v>5201131</v>
      </c>
      <c r="CY980" s="9" t="str">
        <f t="shared" si="577"/>
        <v>5201132</v>
      </c>
      <c r="CZ980" s="9" t="str">
        <f t="shared" si="578"/>
        <v>5201134</v>
      </c>
      <c r="DA980" s="9" t="str">
        <f t="shared" si="579"/>
        <v>5501134</v>
      </c>
      <c r="DB980" s="9" t="str">
        <f t="shared" si="580"/>
        <v>5500133</v>
      </c>
      <c r="DC980" s="9" t="str">
        <f t="shared" si="581"/>
        <v>5602134</v>
      </c>
      <c r="DD980" s="9">
        <v>13</v>
      </c>
      <c r="DE980" s="9">
        <v>13</v>
      </c>
      <c r="DF980" s="9">
        <v>13</v>
      </c>
      <c r="DG980" s="9">
        <v>13</v>
      </c>
      <c r="DH980" s="9">
        <v>13</v>
      </c>
      <c r="DI980" s="9">
        <v>13</v>
      </c>
      <c r="DJ980" s="9">
        <v>5</v>
      </c>
      <c r="DK980" s="9">
        <v>5</v>
      </c>
      <c r="DL980" s="9">
        <v>5</v>
      </c>
      <c r="DM980" s="9">
        <v>5</v>
      </c>
      <c r="DN980" s="9">
        <v>5</v>
      </c>
      <c r="DO980" s="9">
        <v>5</v>
      </c>
      <c r="DP980" s="25" t="s">
        <v>195</v>
      </c>
      <c r="DQ980" s="25" t="s">
        <v>114</v>
      </c>
      <c r="DR980" s="26" t="s">
        <v>217</v>
      </c>
      <c r="DS980" s="26" t="s">
        <v>214</v>
      </c>
      <c r="DT980" s="26" t="s">
        <v>207</v>
      </c>
      <c r="DU980" s="26" t="s">
        <v>220</v>
      </c>
      <c r="DV980" s="25">
        <f t="shared" si="582"/>
        <v>1</v>
      </c>
      <c r="DW980" s="25">
        <f t="shared" si="583"/>
        <v>1</v>
      </c>
      <c r="DX980" s="25">
        <f t="shared" si="584"/>
        <v>1</v>
      </c>
      <c r="DY980" s="25">
        <f t="shared" si="585"/>
        <v>2</v>
      </c>
      <c r="DZ980" s="25">
        <f t="shared" si="586"/>
        <v>2</v>
      </c>
      <c r="EA980" s="25">
        <f t="shared" si="587"/>
        <v>2</v>
      </c>
    </row>
    <row r="981" spans="29:131" ht="13.5" customHeight="1">
      <c r="AC981" s="9" t="str">
        <f t="shared" si="564"/>
        <v/>
      </c>
      <c r="AD981" s="9" t="str">
        <f t="shared" si="565"/>
        <v/>
      </c>
      <c r="AE981" s="9" t="str">
        <f t="shared" si="566"/>
        <v/>
      </c>
      <c r="AF981" s="9" t="str">
        <f t="shared" si="567"/>
        <v/>
      </c>
      <c r="AG981" s="9" t="str">
        <f t="shared" si="568"/>
        <v/>
      </c>
      <c r="AH981" s="9" t="str">
        <f t="shared" si="569"/>
        <v/>
      </c>
      <c r="BR981" s="5">
        <v>5204095</v>
      </c>
      <c r="BS981" s="18">
        <f>[1]monsters!$N981</f>
        <v>0</v>
      </c>
      <c r="BT981" s="18">
        <f>[1]monsters!$O981</f>
        <v>0</v>
      </c>
      <c r="BU981" s="18">
        <f>[1]monsters!$P981</f>
        <v>0</v>
      </c>
      <c r="BV981" s="18">
        <f>[1]monsters!$Q981</f>
        <v>0</v>
      </c>
      <c r="BW981" s="18">
        <f>[1]monsters!$R981</f>
        <v>0</v>
      </c>
      <c r="BX981" s="18">
        <f>[1]monsters!$S981</f>
        <v>0</v>
      </c>
      <c r="BY981" s="18">
        <f>[1]monsters!$K981</f>
        <v>0</v>
      </c>
      <c r="BZ981" s="5">
        <f>[1]monsters!$D981</f>
        <v>0</v>
      </c>
      <c r="CA981" s="5" t="e">
        <f t="shared" si="588"/>
        <v>#N/A</v>
      </c>
      <c r="CB981" s="5" t="e">
        <f t="shared" si="589"/>
        <v>#N/A</v>
      </c>
      <c r="CC981" s="5" t="e">
        <f t="shared" si="590"/>
        <v>#N/A</v>
      </c>
      <c r="CN981" s="5"/>
      <c r="CO981" s="5"/>
      <c r="CP981" s="5"/>
      <c r="CR981" s="3" t="b">
        <f t="shared" si="570"/>
        <v>1</v>
      </c>
      <c r="CS981" s="3" t="b">
        <f t="shared" si="571"/>
        <v>1</v>
      </c>
      <c r="CT981" s="3" t="b">
        <f t="shared" si="572"/>
        <v>1</v>
      </c>
      <c r="CU981" s="3" t="b">
        <f t="shared" si="573"/>
        <v>1</v>
      </c>
      <c r="CV981" s="3" t="b">
        <f t="shared" si="574"/>
        <v>1</v>
      </c>
      <c r="CW981" s="3" t="b">
        <f t="shared" si="575"/>
        <v>1</v>
      </c>
      <c r="CX981" s="9" t="str">
        <f t="shared" si="576"/>
        <v>5200132</v>
      </c>
      <c r="CY981" s="9" t="str">
        <f t="shared" si="577"/>
        <v>5301132</v>
      </c>
      <c r="CZ981" s="9" t="str">
        <f t="shared" si="578"/>
        <v>5202133</v>
      </c>
      <c r="DA981" s="9" t="str">
        <f t="shared" si="579"/>
        <v>5402131</v>
      </c>
      <c r="DB981" s="9" t="str">
        <f t="shared" si="580"/>
        <v>5400135</v>
      </c>
      <c r="DC981" s="9" t="str">
        <f t="shared" si="581"/>
        <v>5500131</v>
      </c>
      <c r="DD981" s="9">
        <v>13</v>
      </c>
      <c r="DE981" s="9">
        <v>13</v>
      </c>
      <c r="DF981" s="9">
        <v>13</v>
      </c>
      <c r="DG981" s="9">
        <v>13</v>
      </c>
      <c r="DH981" s="9">
        <v>13</v>
      </c>
      <c r="DI981" s="9">
        <v>13</v>
      </c>
      <c r="DJ981" s="9">
        <v>5</v>
      </c>
      <c r="DK981" s="9">
        <v>5</v>
      </c>
      <c r="DL981" s="9">
        <v>5</v>
      </c>
      <c r="DM981" s="9">
        <v>5</v>
      </c>
      <c r="DN981" s="9">
        <v>5</v>
      </c>
      <c r="DO981" s="9">
        <v>5</v>
      </c>
      <c r="DP981" s="25" t="s">
        <v>199</v>
      </c>
      <c r="DQ981" s="26" t="s">
        <v>201</v>
      </c>
      <c r="DR981" s="25" t="s">
        <v>208</v>
      </c>
      <c r="DS981" s="26" t="s">
        <v>196</v>
      </c>
      <c r="DT981" s="26" t="s">
        <v>210</v>
      </c>
      <c r="DU981" s="28" t="s">
        <v>197</v>
      </c>
      <c r="DV981" s="25">
        <f t="shared" si="582"/>
        <v>1</v>
      </c>
      <c r="DW981" s="25">
        <f t="shared" si="583"/>
        <v>1</v>
      </c>
      <c r="DX981" s="25">
        <f t="shared" si="584"/>
        <v>1</v>
      </c>
      <c r="DY981" s="25">
        <f t="shared" si="585"/>
        <v>2</v>
      </c>
      <c r="DZ981" s="25">
        <f t="shared" si="586"/>
        <v>2</v>
      </c>
      <c r="EA981" s="25">
        <f t="shared" si="587"/>
        <v>2</v>
      </c>
    </row>
    <row r="982" spans="29:131" ht="13.5" customHeight="1">
      <c r="AC982" s="9" t="str">
        <f t="shared" si="564"/>
        <v/>
      </c>
      <c r="AD982" s="9" t="str">
        <f t="shared" si="565"/>
        <v/>
      </c>
      <c r="AE982" s="9" t="str">
        <f t="shared" si="566"/>
        <v/>
      </c>
      <c r="AF982" s="9" t="str">
        <f t="shared" si="567"/>
        <v/>
      </c>
      <c r="AG982" s="9" t="str">
        <f t="shared" si="568"/>
        <v/>
      </c>
      <c r="AH982" s="9" t="str">
        <f t="shared" si="569"/>
        <v/>
      </c>
      <c r="BR982" s="5">
        <v>5404095</v>
      </c>
      <c r="BS982" s="18">
        <f>[1]monsters!$N982</f>
        <v>0</v>
      </c>
      <c r="BT982" s="18">
        <f>[1]monsters!$O982</f>
        <v>0</v>
      </c>
      <c r="BU982" s="18">
        <f>[1]monsters!$P982</f>
        <v>0</v>
      </c>
      <c r="BV982" s="18">
        <f>[1]monsters!$Q982</f>
        <v>0</v>
      </c>
      <c r="BW982" s="18">
        <f>[1]monsters!$R982</f>
        <v>0</v>
      </c>
      <c r="BX982" s="18">
        <f>[1]monsters!$S982</f>
        <v>0</v>
      </c>
      <c r="BY982" s="18">
        <f>[1]monsters!$K982</f>
        <v>0</v>
      </c>
      <c r="BZ982" s="5">
        <f>[1]monsters!$D982</f>
        <v>0</v>
      </c>
      <c r="CA982" s="5" t="e">
        <f t="shared" si="588"/>
        <v>#N/A</v>
      </c>
      <c r="CB982" s="5" t="e">
        <f t="shared" si="589"/>
        <v>#N/A</v>
      </c>
      <c r="CC982" s="5" t="e">
        <f t="shared" si="590"/>
        <v>#N/A</v>
      </c>
      <c r="CN982" s="5"/>
      <c r="CO982" s="5"/>
      <c r="CP982" s="5"/>
      <c r="CR982" s="3" t="b">
        <f t="shared" si="570"/>
        <v>1</v>
      </c>
      <c r="CS982" s="3" t="b">
        <f t="shared" si="571"/>
        <v>1</v>
      </c>
      <c r="CT982" s="3" t="b">
        <f t="shared" si="572"/>
        <v>1</v>
      </c>
      <c r="CU982" s="3" t="b">
        <f t="shared" si="573"/>
        <v>1</v>
      </c>
      <c r="CV982" s="3" t="b">
        <f t="shared" si="574"/>
        <v>1</v>
      </c>
      <c r="CW982" s="3" t="b">
        <f t="shared" si="575"/>
        <v>1</v>
      </c>
      <c r="CX982" s="9" t="str">
        <f t="shared" si="576"/>
        <v>5201133</v>
      </c>
      <c r="CY982" s="9" t="str">
        <f t="shared" si="577"/>
        <v>5201133</v>
      </c>
      <c r="CZ982" s="9" t="str">
        <f t="shared" si="578"/>
        <v>5201133</v>
      </c>
      <c r="DA982" s="9" t="str">
        <f t="shared" si="579"/>
        <v>5402133</v>
      </c>
      <c r="DB982" s="9" t="str">
        <f t="shared" si="580"/>
        <v>5402133</v>
      </c>
      <c r="DC982" s="9" t="str">
        <f t="shared" si="581"/>
        <v>5402133</v>
      </c>
      <c r="DD982" s="9">
        <v>13</v>
      </c>
      <c r="DE982" s="9">
        <v>13</v>
      </c>
      <c r="DF982" s="9">
        <v>13</v>
      </c>
      <c r="DG982" s="9">
        <v>13</v>
      </c>
      <c r="DH982" s="9">
        <v>13</v>
      </c>
      <c r="DI982" s="9">
        <v>13</v>
      </c>
      <c r="DJ982" s="9">
        <v>5</v>
      </c>
      <c r="DK982" s="9">
        <v>5</v>
      </c>
      <c r="DL982" s="9">
        <v>5</v>
      </c>
      <c r="DM982" s="9">
        <v>5</v>
      </c>
      <c r="DN982" s="9">
        <v>5</v>
      </c>
      <c r="DO982" s="9">
        <v>5</v>
      </c>
      <c r="DP982" s="25" t="s">
        <v>205</v>
      </c>
      <c r="DQ982" s="25" t="s">
        <v>205</v>
      </c>
      <c r="DR982" s="25" t="s">
        <v>205</v>
      </c>
      <c r="DS982" s="26" t="s">
        <v>118</v>
      </c>
      <c r="DT982" s="26" t="s">
        <v>118</v>
      </c>
      <c r="DU982" s="26" t="s">
        <v>118</v>
      </c>
      <c r="DV982" s="25">
        <f t="shared" si="582"/>
        <v>1</v>
      </c>
      <c r="DW982" s="25">
        <f t="shared" si="583"/>
        <v>1</v>
      </c>
      <c r="DX982" s="25">
        <f t="shared" si="584"/>
        <v>1</v>
      </c>
      <c r="DY982" s="25">
        <f t="shared" si="585"/>
        <v>2</v>
      </c>
      <c r="DZ982" s="25">
        <f t="shared" si="586"/>
        <v>2</v>
      </c>
      <c r="EA982" s="25">
        <f t="shared" si="587"/>
        <v>2</v>
      </c>
    </row>
    <row r="983" spans="29:131" ht="13.5" customHeight="1">
      <c r="AC983" s="9" t="str">
        <f t="shared" si="564"/>
        <v/>
      </c>
      <c r="AD983" s="9" t="str">
        <f t="shared" si="565"/>
        <v/>
      </c>
      <c r="AE983" s="9" t="str">
        <f t="shared" si="566"/>
        <v/>
      </c>
      <c r="AF983" s="9" t="str">
        <f t="shared" si="567"/>
        <v/>
      </c>
      <c r="AG983" s="9" t="str">
        <f t="shared" si="568"/>
        <v/>
      </c>
      <c r="AH983" s="9" t="str">
        <f t="shared" si="569"/>
        <v/>
      </c>
      <c r="BR983" s="5">
        <v>5303095</v>
      </c>
      <c r="BS983" s="18">
        <f>[1]monsters!$N983</f>
        <v>0</v>
      </c>
      <c r="BT983" s="18">
        <f>[1]monsters!$O983</f>
        <v>0</v>
      </c>
      <c r="BU983" s="18">
        <f>[1]monsters!$P983</f>
        <v>0</v>
      </c>
      <c r="BV983" s="18">
        <f>[1]monsters!$Q983</f>
        <v>0</v>
      </c>
      <c r="BW983" s="18">
        <f>[1]monsters!$R983</f>
        <v>0</v>
      </c>
      <c r="BX983" s="18">
        <f>[1]monsters!$S983</f>
        <v>0</v>
      </c>
      <c r="BY983" s="18">
        <f>[1]monsters!$K983</f>
        <v>0</v>
      </c>
      <c r="BZ983" s="5">
        <f>[1]monsters!$D983</f>
        <v>0</v>
      </c>
      <c r="CA983" s="5" t="e">
        <f t="shared" si="588"/>
        <v>#N/A</v>
      </c>
      <c r="CB983" s="5" t="e">
        <f t="shared" si="589"/>
        <v>#N/A</v>
      </c>
      <c r="CC983" s="5" t="e">
        <f t="shared" si="590"/>
        <v>#N/A</v>
      </c>
      <c r="CN983" s="5"/>
      <c r="CO983" s="5"/>
      <c r="CP983" s="5"/>
      <c r="CR983" s="3" t="b">
        <f t="shared" si="570"/>
        <v>1</v>
      </c>
      <c r="CS983" s="3" t="b">
        <f t="shared" si="571"/>
        <v>1</v>
      </c>
      <c r="CT983" s="3" t="b">
        <f t="shared" si="572"/>
        <v>1</v>
      </c>
      <c r="CU983" s="3" t="b">
        <f t="shared" si="573"/>
        <v>1</v>
      </c>
      <c r="CV983" s="3" t="b">
        <f t="shared" si="574"/>
        <v>1</v>
      </c>
      <c r="CW983" s="3" t="b">
        <f t="shared" si="575"/>
        <v>1</v>
      </c>
      <c r="CX983" s="9" t="str">
        <f t="shared" si="576"/>
        <v>5201131</v>
      </c>
      <c r="CY983" s="9" t="str">
        <f t="shared" si="577"/>
        <v>5201132</v>
      </c>
      <c r="CZ983" s="9" t="str">
        <f t="shared" si="578"/>
        <v>5200131</v>
      </c>
      <c r="DA983" s="9" t="str">
        <f t="shared" si="579"/>
        <v>5502131</v>
      </c>
      <c r="DB983" s="9" t="str">
        <f t="shared" si="580"/>
        <v>5601131</v>
      </c>
      <c r="DC983" s="9" t="str">
        <f t="shared" si="581"/>
        <v>5502131</v>
      </c>
      <c r="DD983" s="9">
        <v>13</v>
      </c>
      <c r="DE983" s="9">
        <v>13</v>
      </c>
      <c r="DF983" s="9">
        <v>13</v>
      </c>
      <c r="DG983" s="9">
        <v>13</v>
      </c>
      <c r="DH983" s="9">
        <v>13</v>
      </c>
      <c r="DI983" s="9">
        <v>13</v>
      </c>
      <c r="DJ983" s="9">
        <v>5</v>
      </c>
      <c r="DK983" s="9">
        <v>5</v>
      </c>
      <c r="DL983" s="9">
        <v>5</v>
      </c>
      <c r="DM983" s="9">
        <v>5</v>
      </c>
      <c r="DN983" s="9">
        <v>5</v>
      </c>
      <c r="DO983" s="9">
        <v>5</v>
      </c>
      <c r="DP983" s="25" t="s">
        <v>195</v>
      </c>
      <c r="DQ983" s="25" t="s">
        <v>114</v>
      </c>
      <c r="DR983" s="25" t="s">
        <v>194</v>
      </c>
      <c r="DS983" s="25" t="s">
        <v>119</v>
      </c>
      <c r="DT983" s="25" t="s">
        <v>198</v>
      </c>
      <c r="DU983" s="25" t="s">
        <v>119</v>
      </c>
      <c r="DV983" s="25">
        <f t="shared" si="582"/>
        <v>1</v>
      </c>
      <c r="DW983" s="25">
        <f t="shared" si="583"/>
        <v>1</v>
      </c>
      <c r="DX983" s="25">
        <f t="shared" si="584"/>
        <v>1</v>
      </c>
      <c r="DY983" s="25">
        <f t="shared" si="585"/>
        <v>2</v>
      </c>
      <c r="DZ983" s="25">
        <f t="shared" si="586"/>
        <v>2</v>
      </c>
      <c r="EA983" s="25">
        <f t="shared" si="587"/>
        <v>2</v>
      </c>
    </row>
    <row r="984" spans="29:131" ht="13.5" customHeight="1">
      <c r="AC984" s="9" t="str">
        <f t="shared" si="564"/>
        <v/>
      </c>
      <c r="AD984" s="9" t="str">
        <f t="shared" si="565"/>
        <v/>
      </c>
      <c r="AE984" s="9" t="str">
        <f t="shared" si="566"/>
        <v/>
      </c>
      <c r="AF984" s="9" t="str">
        <f t="shared" si="567"/>
        <v/>
      </c>
      <c r="AG984" s="9" t="str">
        <f t="shared" si="568"/>
        <v/>
      </c>
      <c r="AH984" s="9" t="str">
        <f t="shared" si="569"/>
        <v/>
      </c>
      <c r="CR984" s="3" t="b">
        <f t="shared" si="570"/>
        <v>1</v>
      </c>
      <c r="CS984" s="3" t="b">
        <f t="shared" si="571"/>
        <v>1</v>
      </c>
      <c r="CT984" s="3" t="b">
        <f t="shared" si="572"/>
        <v>1</v>
      </c>
      <c r="CU984" s="3" t="b">
        <f t="shared" si="573"/>
        <v>1</v>
      </c>
      <c r="CV984" s="3" t="b">
        <f t="shared" si="574"/>
        <v>1</v>
      </c>
      <c r="CW984" s="3" t="b">
        <f t="shared" si="575"/>
        <v>1</v>
      </c>
      <c r="CX984" s="9" t="str">
        <f t="shared" si="576"/>
        <v>5200132</v>
      </c>
      <c r="CY984" s="9" t="str">
        <f t="shared" si="577"/>
        <v>5200133</v>
      </c>
      <c r="CZ984" s="9" t="str">
        <f t="shared" si="578"/>
        <v>5200132</v>
      </c>
      <c r="DA984" s="9" t="str">
        <f t="shared" si="579"/>
        <v>5502132</v>
      </c>
      <c r="DB984" s="9" t="str">
        <f t="shared" si="580"/>
        <v>5500132</v>
      </c>
      <c r="DC984" s="9" t="str">
        <f t="shared" si="581"/>
        <v>5502133</v>
      </c>
      <c r="DD984" s="9">
        <v>13</v>
      </c>
      <c r="DE984" s="9">
        <v>13</v>
      </c>
      <c r="DF984" s="9">
        <v>13</v>
      </c>
      <c r="DG984" s="9">
        <v>13</v>
      </c>
      <c r="DH984" s="9">
        <v>13</v>
      </c>
      <c r="DI984" s="9">
        <v>13</v>
      </c>
      <c r="DJ984" s="9">
        <v>5</v>
      </c>
      <c r="DK984" s="9">
        <v>5</v>
      </c>
      <c r="DL984" s="9">
        <v>5</v>
      </c>
      <c r="DM984" s="9">
        <v>5</v>
      </c>
      <c r="DN984" s="9">
        <v>5</v>
      </c>
      <c r="DO984" s="9">
        <v>5</v>
      </c>
      <c r="DP984" s="25" t="s">
        <v>199</v>
      </c>
      <c r="DQ984" s="25" t="s">
        <v>113</v>
      </c>
      <c r="DR984" s="25" t="s">
        <v>199</v>
      </c>
      <c r="DS984" s="25" t="s">
        <v>204</v>
      </c>
      <c r="DT984" s="25" t="s">
        <v>109</v>
      </c>
      <c r="DU984" s="25" t="s">
        <v>215</v>
      </c>
      <c r="DV984" s="25">
        <f t="shared" si="582"/>
        <v>1</v>
      </c>
      <c r="DW984" s="25">
        <f t="shared" si="583"/>
        <v>1</v>
      </c>
      <c r="DX984" s="25">
        <f t="shared" si="584"/>
        <v>1</v>
      </c>
      <c r="DY984" s="25">
        <f t="shared" si="585"/>
        <v>2</v>
      </c>
      <c r="DZ984" s="25">
        <f t="shared" si="586"/>
        <v>2</v>
      </c>
      <c r="EA984" s="25">
        <f t="shared" si="587"/>
        <v>2</v>
      </c>
    </row>
    <row r="985" spans="29:131" ht="13.5" customHeight="1">
      <c r="AC985" s="9" t="str">
        <f t="shared" si="564"/>
        <v/>
      </c>
      <c r="AD985" s="9" t="str">
        <f t="shared" si="565"/>
        <v/>
      </c>
      <c r="AE985" s="9" t="str">
        <f t="shared" si="566"/>
        <v/>
      </c>
      <c r="AF985" s="9" t="str">
        <f t="shared" si="567"/>
        <v/>
      </c>
      <c r="AG985" s="9" t="str">
        <f t="shared" si="568"/>
        <v/>
      </c>
      <c r="AH985" s="9" t="str">
        <f t="shared" si="569"/>
        <v/>
      </c>
      <c r="CR985" s="3" t="b">
        <f t="shared" si="570"/>
        <v>1</v>
      </c>
      <c r="CS985" s="3" t="b">
        <f t="shared" si="571"/>
        <v>1</v>
      </c>
      <c r="CT985" s="3" t="b">
        <f t="shared" si="572"/>
        <v>1</v>
      </c>
      <c r="CU985" s="3" t="b">
        <f t="shared" si="573"/>
        <v>1</v>
      </c>
      <c r="CV985" s="3" t="b">
        <f t="shared" si="574"/>
        <v>1</v>
      </c>
      <c r="CW985" s="3" t="b">
        <f t="shared" si="575"/>
        <v>1</v>
      </c>
      <c r="CX985" s="9" t="str">
        <f t="shared" si="576"/>
        <v>5202133</v>
      </c>
      <c r="CY985" s="9" t="str">
        <f t="shared" si="577"/>
        <v>5202132</v>
      </c>
      <c r="CZ985" s="9" t="str">
        <f t="shared" si="578"/>
        <v>5202133</v>
      </c>
      <c r="DA985" s="9" t="str">
        <f t="shared" si="579"/>
        <v>5401133</v>
      </c>
      <c r="DB985" s="9" t="str">
        <f t="shared" si="580"/>
        <v>5402132</v>
      </c>
      <c r="DC985" s="9" t="str">
        <f t="shared" si="581"/>
        <v>5401133</v>
      </c>
      <c r="DD985" s="9">
        <v>13</v>
      </c>
      <c r="DE985" s="9">
        <v>13</v>
      </c>
      <c r="DF985" s="9">
        <v>13</v>
      </c>
      <c r="DG985" s="9">
        <v>13</v>
      </c>
      <c r="DH985" s="9">
        <v>13</v>
      </c>
      <c r="DI985" s="9">
        <v>13</v>
      </c>
      <c r="DJ985" s="9">
        <v>5</v>
      </c>
      <c r="DK985" s="9">
        <v>5</v>
      </c>
      <c r="DL985" s="9">
        <v>5</v>
      </c>
      <c r="DM985" s="9">
        <v>5</v>
      </c>
      <c r="DN985" s="9">
        <v>5</v>
      </c>
      <c r="DO985" s="9">
        <v>5</v>
      </c>
      <c r="DP985" s="25" t="s">
        <v>208</v>
      </c>
      <c r="DQ985" s="25" t="s">
        <v>200</v>
      </c>
      <c r="DR985" s="25" t="s">
        <v>208</v>
      </c>
      <c r="DS985" s="25" t="s">
        <v>211</v>
      </c>
      <c r="DT985" s="25" t="s">
        <v>203</v>
      </c>
      <c r="DU985" s="25" t="s">
        <v>211</v>
      </c>
      <c r="DV985" s="25">
        <f t="shared" si="582"/>
        <v>1</v>
      </c>
      <c r="DW985" s="25">
        <f t="shared" si="583"/>
        <v>1</v>
      </c>
      <c r="DX985" s="25">
        <f t="shared" si="584"/>
        <v>1</v>
      </c>
      <c r="DY985" s="25">
        <f t="shared" si="585"/>
        <v>2</v>
      </c>
      <c r="DZ985" s="25">
        <f t="shared" si="586"/>
        <v>2</v>
      </c>
      <c r="EA985" s="25">
        <f t="shared" si="587"/>
        <v>2</v>
      </c>
    </row>
    <row r="986" spans="29:131" ht="13.5" customHeight="1">
      <c r="AC986" s="9" t="str">
        <f t="shared" si="564"/>
        <v/>
      </c>
      <c r="AD986" s="9" t="str">
        <f t="shared" si="565"/>
        <v/>
      </c>
      <c r="AE986" s="9" t="str">
        <f t="shared" si="566"/>
        <v/>
      </c>
      <c r="AF986" s="9" t="str">
        <f t="shared" si="567"/>
        <v/>
      </c>
      <c r="AG986" s="9" t="str">
        <f t="shared" si="568"/>
        <v/>
      </c>
      <c r="AH986" s="9" t="str">
        <f t="shared" si="569"/>
        <v/>
      </c>
      <c r="CR986" s="3" t="b">
        <f t="shared" si="570"/>
        <v>1</v>
      </c>
      <c r="CS986" s="3" t="b">
        <f t="shared" si="571"/>
        <v>1</v>
      </c>
      <c r="CT986" s="3" t="b">
        <f t="shared" si="572"/>
        <v>1</v>
      </c>
      <c r="CU986" s="3" t="b">
        <f t="shared" si="573"/>
        <v>1</v>
      </c>
      <c r="CV986" s="3" t="b">
        <f t="shared" si="574"/>
        <v>1</v>
      </c>
      <c r="CW986" s="3" t="b">
        <f t="shared" si="575"/>
        <v>1</v>
      </c>
      <c r="CX986" s="9" t="str">
        <f t="shared" si="576"/>
        <v>5202133</v>
      </c>
      <c r="CY986" s="9" t="str">
        <f t="shared" si="577"/>
        <v>5202132</v>
      </c>
      <c r="CZ986" s="9" t="str">
        <f t="shared" si="578"/>
        <v>5202133</v>
      </c>
      <c r="DA986" s="9" t="str">
        <f t="shared" si="579"/>
        <v>5500132</v>
      </c>
      <c r="DB986" s="9" t="str">
        <f t="shared" si="580"/>
        <v>5500131</v>
      </c>
      <c r="DC986" s="9" t="str">
        <f t="shared" si="581"/>
        <v>5500132</v>
      </c>
      <c r="DD986" s="9">
        <v>13</v>
      </c>
      <c r="DE986" s="9">
        <v>13</v>
      </c>
      <c r="DF986" s="9">
        <v>13</v>
      </c>
      <c r="DG986" s="9">
        <v>13</v>
      </c>
      <c r="DH986" s="9">
        <v>13</v>
      </c>
      <c r="DI986" s="9">
        <v>13</v>
      </c>
      <c r="DJ986" s="9">
        <v>5</v>
      </c>
      <c r="DK986" s="9">
        <v>5</v>
      </c>
      <c r="DL986" s="9">
        <v>5</v>
      </c>
      <c r="DM986" s="9">
        <v>5</v>
      </c>
      <c r="DN986" s="9">
        <v>5</v>
      </c>
      <c r="DO986" s="9">
        <v>5</v>
      </c>
      <c r="DP986" s="25" t="s">
        <v>208</v>
      </c>
      <c r="DQ986" s="25" t="s">
        <v>200</v>
      </c>
      <c r="DR986" s="25" t="s">
        <v>208</v>
      </c>
      <c r="DS986" s="25" t="s">
        <v>109</v>
      </c>
      <c r="DT986" s="25" t="s">
        <v>197</v>
      </c>
      <c r="DU986" s="25" t="s">
        <v>109</v>
      </c>
      <c r="DV986" s="25">
        <f t="shared" si="582"/>
        <v>1</v>
      </c>
      <c r="DW986" s="25">
        <f t="shared" si="583"/>
        <v>1</v>
      </c>
      <c r="DX986" s="25">
        <f t="shared" si="584"/>
        <v>1</v>
      </c>
      <c r="DY986" s="25">
        <f t="shared" si="585"/>
        <v>2</v>
      </c>
      <c r="DZ986" s="25">
        <f t="shared" si="586"/>
        <v>2</v>
      </c>
      <c r="EA986" s="25">
        <f t="shared" si="587"/>
        <v>2</v>
      </c>
    </row>
    <row r="987" spans="29:131" ht="13.5" customHeight="1">
      <c r="AC987" s="9" t="str">
        <f t="shared" si="564"/>
        <v/>
      </c>
      <c r="AD987" s="9" t="str">
        <f t="shared" si="565"/>
        <v/>
      </c>
      <c r="AE987" s="9" t="str">
        <f t="shared" si="566"/>
        <v/>
      </c>
      <c r="AF987" s="9" t="str">
        <f t="shared" si="567"/>
        <v/>
      </c>
      <c r="AG987" s="9" t="str">
        <f t="shared" si="568"/>
        <v/>
      </c>
      <c r="AH987" s="9" t="str">
        <f t="shared" si="569"/>
        <v/>
      </c>
      <c r="CR987" s="3" t="b">
        <f t="shared" si="570"/>
        <v>1</v>
      </c>
      <c r="CS987" s="3" t="b">
        <f t="shared" si="571"/>
        <v>1</v>
      </c>
      <c r="CT987" s="3" t="b">
        <f t="shared" si="572"/>
        <v>1</v>
      </c>
      <c r="CU987" s="3" t="b">
        <f t="shared" si="573"/>
        <v>1</v>
      </c>
      <c r="CV987" s="3" t="b">
        <f t="shared" si="574"/>
        <v>1</v>
      </c>
      <c r="CW987" s="3" t="b">
        <f t="shared" si="575"/>
        <v>1</v>
      </c>
      <c r="CX987" s="9" t="str">
        <f t="shared" si="576"/>
        <v>5202131</v>
      </c>
      <c r="CY987" s="9" t="str">
        <f t="shared" si="577"/>
        <v>5202131</v>
      </c>
      <c r="CZ987" s="9" t="str">
        <f t="shared" si="578"/>
        <v>5200131</v>
      </c>
      <c r="DA987" s="9" t="str">
        <f t="shared" si="579"/>
        <v>5400135</v>
      </c>
      <c r="DB987" s="9" t="str">
        <f t="shared" si="580"/>
        <v>5602134</v>
      </c>
      <c r="DC987" s="9" t="str">
        <f t="shared" si="581"/>
        <v>5501134</v>
      </c>
      <c r="DD987" s="9">
        <v>13</v>
      </c>
      <c r="DE987" s="9">
        <v>13</v>
      </c>
      <c r="DF987" s="9">
        <v>13</v>
      </c>
      <c r="DG987" s="9">
        <v>13</v>
      </c>
      <c r="DH987" s="9">
        <v>13</v>
      </c>
      <c r="DI987" s="9">
        <v>13</v>
      </c>
      <c r="DJ987" s="9">
        <v>5</v>
      </c>
      <c r="DK987" s="9">
        <v>5</v>
      </c>
      <c r="DL987" s="9">
        <v>5</v>
      </c>
      <c r="DM987" s="9">
        <v>5</v>
      </c>
      <c r="DN987" s="9">
        <v>5</v>
      </c>
      <c r="DO987" s="9">
        <v>5</v>
      </c>
      <c r="DP987" s="25" t="s">
        <v>111</v>
      </c>
      <c r="DQ987" s="25" t="s">
        <v>111</v>
      </c>
      <c r="DR987" s="25" t="s">
        <v>194</v>
      </c>
      <c r="DS987" s="25" t="s">
        <v>210</v>
      </c>
      <c r="DT987" s="25" t="s">
        <v>220</v>
      </c>
      <c r="DU987" s="25" t="s">
        <v>214</v>
      </c>
      <c r="DV987" s="25">
        <f t="shared" si="582"/>
        <v>1</v>
      </c>
      <c r="DW987" s="25">
        <f t="shared" si="583"/>
        <v>1</v>
      </c>
      <c r="DX987" s="25">
        <f t="shared" si="584"/>
        <v>1</v>
      </c>
      <c r="DY987" s="25">
        <f t="shared" si="585"/>
        <v>2</v>
      </c>
      <c r="DZ987" s="25">
        <f t="shared" si="586"/>
        <v>2</v>
      </c>
      <c r="EA987" s="25">
        <f t="shared" si="587"/>
        <v>2</v>
      </c>
    </row>
    <row r="988" spans="29:131" ht="13.5" customHeight="1">
      <c r="AC988" s="9" t="str">
        <f t="shared" ref="AC988:AC1002" si="591">IF(AI988&gt;0,FLOOR((POWER((AI988/IF(AND(W988&gt;=2,W988&lt;4),1.1,IF(AND(W988&gt;=4,W988&lt;6),1.2,IF(W988&gt;=6,1.4,1)))/$Z$1),0.5)/INDEX($BD$4:$BQ$4,MATCH(W988,$BD$3:$BQ$3,0))-1)*10,1),"")</f>
        <v/>
      </c>
      <c r="AD988" s="9" t="str">
        <f t="shared" ref="AD988:AD1002" si="592">IF(AJ988&gt;0,FLOOR((POWER((AJ988/IF(AND(X988&gt;=2,X988&lt;4),1.1,IF(AND(X988&gt;=4,X988&lt;6),1.15,IF(X988&gt;=6,1.2,1)))/$Z$1),0.5)/INDEX($BD$4:$BQ$4,MATCH(X988,$BD$3:$BQ$3,0))-1)*10,1),"")</f>
        <v/>
      </c>
      <c r="AE988" s="9" t="str">
        <f t="shared" ref="AE988:AE1002" si="593">IF(AK988&gt;0,FLOOR((POWER((AK988/IF(AND(Y988&gt;=2,Y988&lt;4),1.1,IF(AND(Y988&gt;=4,Y988&lt;6),1.15,IF(Y988&gt;=6,1.2,1)))/$Z$1),0.5)/INDEX($BD$4:$BQ$4,MATCH(Y988,$BD$3:$BQ$3,0))-1)*10,1),"")</f>
        <v/>
      </c>
      <c r="AF988" s="9" t="str">
        <f t="shared" ref="AF988:AF1002" si="594">IF(AL988&gt;0,FLOOR((POWER((AL988/IF(AND(Z988&gt;=2,Z988&lt;4),1.1,IF(AND(Z988&gt;=4,Z988&lt;6),1.15,IF(Z988&gt;=6,1.2,1)))/$Z$1),0.5)/INDEX($BD$4:$BQ$4,MATCH(Z988,$BD$3:$BQ$3,0))-1)*10,1),"")</f>
        <v/>
      </c>
      <c r="AG988" s="9" t="str">
        <f t="shared" ref="AG988:AG1002" si="595">IF(AM988&gt;0,FLOOR((POWER((AM988/IF(AND(AA988&gt;=2,AA988&lt;4),1.1,IF(AND(AA988&gt;=4,AA988&lt;6),1.15,IF(AA988&gt;=6,1.2,1)))/$Z$1),0.5)/INDEX($BD$4:$BQ$4,MATCH(AA988,$BD$3:$BQ$3,0))-1)*10,1),"")</f>
        <v/>
      </c>
      <c r="AH988" s="9" t="str">
        <f t="shared" ref="AH988:AH1002" si="596">IF(AN988&gt;0,FLOOR((POWER((AN988/IF(AND(AB988&gt;=2,AB988&lt;4),1.1,IF(AND(AB988&gt;=4,AB988&lt;6),1.15,IF(AB988&gt;=6,1.2,1)))/$Z$1),0.5)/INDEX($BD$4:$BQ$4,MATCH(AB988,$BD$3:$BQ$3,0))-1)*10,1),"")</f>
        <v/>
      </c>
      <c r="CR988" s="3" t="b">
        <f t="shared" ref="CR988:CR1002" si="597">IF(ISERROR(MATCH(INT(CX988),$EC$4:$EC$426,0))=FALSE,TRUE)</f>
        <v>1</v>
      </c>
      <c r="CS988" s="3" t="b">
        <f t="shared" ref="CS988:CS1002" si="598">IF(ISERROR(MATCH(INT(CY988),$EC$4:$EC$426,0))=FALSE,TRUE)</f>
        <v>1</v>
      </c>
      <c r="CT988" s="3" t="b">
        <f t="shared" ref="CT988:CT1002" si="599">IF(ISERROR(MATCH(INT(CZ988),$EC$4:$EC$426,0))=FALSE,TRUE)</f>
        <v>1</v>
      </c>
      <c r="CU988" s="3" t="b">
        <f t="shared" ref="CU988:CU1002" si="600">IF(ISERROR(MATCH(INT(DA988),$EC$4:$EC$426,0))=FALSE,TRUE)</f>
        <v>1</v>
      </c>
      <c r="CV988" s="3" t="b">
        <f t="shared" ref="CV988:CV1002" si="601">IF(ISERROR(MATCH(INT(DB988),$EC$4:$EC$426,0))=FALSE,TRUE)</f>
        <v>1</v>
      </c>
      <c r="CW988" s="3" t="b">
        <f t="shared" ref="CW988:CW1002" si="602">IF(ISERROR(MATCH(INT(DC988),$EC$4:$EC$426,0))=FALSE,TRUE)</f>
        <v>1</v>
      </c>
      <c r="CX988" s="9" t="str">
        <f t="shared" ref="CX988:CX1002" si="603">REPLACE(REPLACE(INDEX($EC$4:$EC$426,MATCH(DP988,$ED$4:$ED$426,0)),IF(DD988&gt;9,5,6),IF(DD988&gt;9,2,1),DD988),1,1,DJ988)</f>
        <v>5202132</v>
      </c>
      <c r="CY988" s="9" t="str">
        <f t="shared" ref="CY988:CY1002" si="604">REPLACE(REPLACE(INDEX($EC$4:$EC$426,MATCH(DQ988,$ED$4:$ED$426,0)),IF(DE988&gt;9,5,6),IF(DE988&gt;9,2,1),DE988),1,1,DK988)</f>
        <v>5201132</v>
      </c>
      <c r="CZ988" s="9" t="str">
        <f t="shared" ref="CZ988:CZ1002" si="605">REPLACE(REPLACE(INDEX($EC$4:$EC$426,MATCH(DR988,$ED$4:$ED$426,0)),IF(DF988&gt;9,5,6),IF(DF988&gt;9,2,1),DF988),1,1,DL988)</f>
        <v>5301131</v>
      </c>
      <c r="DA988" s="9" t="str">
        <f t="shared" ref="DA988:DA1002" si="606">REPLACE(REPLACE(INDEX($EC$4:$EC$426,MATCH(DS988,$ED$4:$ED$426,0)),IF(DG988&gt;9,5,6),IF(DG988&gt;9,2,1),DG988),1,1,DM988)</f>
        <v>5501134</v>
      </c>
      <c r="DB988" s="9" t="str">
        <f t="shared" ref="DB988:DB1002" si="607">REPLACE(REPLACE(INDEX($EC$4:$EC$426,MATCH(DT988,$ED$4:$ED$426,0)),IF(DH988&gt;9,5,6),IF(DH988&gt;9,2,1),DH988),1,1,DN988)</f>
        <v>5500133</v>
      </c>
      <c r="DC988" s="9" t="str">
        <f t="shared" ref="DC988:DC1002" si="608">REPLACE(REPLACE(INDEX($EC$4:$EC$426,MATCH(DU988,$ED$4:$ED$426,0)),IF(DI988&gt;9,5,6),IF(DI988&gt;9,2,1),DI988),1,1,DO988)</f>
        <v>5501134</v>
      </c>
      <c r="DD988" s="9">
        <v>13</v>
      </c>
      <c r="DE988" s="9">
        <v>13</v>
      </c>
      <c r="DF988" s="9">
        <v>13</v>
      </c>
      <c r="DG988" s="9">
        <v>13</v>
      </c>
      <c r="DH988" s="9">
        <v>13</v>
      </c>
      <c r="DI988" s="9">
        <v>13</v>
      </c>
      <c r="DJ988" s="9">
        <v>5</v>
      </c>
      <c r="DK988" s="9">
        <v>5</v>
      </c>
      <c r="DL988" s="9">
        <v>5</v>
      </c>
      <c r="DM988" s="9">
        <v>5</v>
      </c>
      <c r="DN988" s="9">
        <v>5</v>
      </c>
      <c r="DO988" s="9">
        <v>5</v>
      </c>
      <c r="DP988" s="25" t="s">
        <v>200</v>
      </c>
      <c r="DQ988" s="25" t="s">
        <v>114</v>
      </c>
      <c r="DR988" s="25" t="s">
        <v>107</v>
      </c>
      <c r="DS988" s="25" t="s">
        <v>214</v>
      </c>
      <c r="DT988" s="25" t="s">
        <v>207</v>
      </c>
      <c r="DU988" s="25" t="s">
        <v>214</v>
      </c>
      <c r="DV988" s="25">
        <f t="shared" ref="DV988:DV1002" si="609">INDEX($EE$4:$EE$426,MATCH(DP988,$ED$4:$ED$426,0))</f>
        <v>1</v>
      </c>
      <c r="DW988" s="25">
        <f t="shared" ref="DW988:DW1002" si="610">INDEX($EE$4:$EE$426,MATCH(DQ988,$ED$4:$ED$426,0))</f>
        <v>1</v>
      </c>
      <c r="DX988" s="25">
        <f t="shared" ref="DX988:DX1002" si="611">INDEX($EE$4:$EE$426,MATCH(DR988,$ED$4:$ED$426,0))</f>
        <v>1</v>
      </c>
      <c r="DY988" s="25">
        <f t="shared" ref="DY988:DY1002" si="612">INDEX($EE$4:$EE$426,MATCH(DS988,$ED$4:$ED$426,0))</f>
        <v>2</v>
      </c>
      <c r="DZ988" s="25">
        <f t="shared" ref="DZ988:DZ1002" si="613">INDEX($EE$4:$EE$426,MATCH(DT988,$ED$4:$ED$426,0))</f>
        <v>2</v>
      </c>
      <c r="EA988" s="25">
        <f t="shared" ref="EA988:EA1002" si="614">INDEX($EE$4:$EE$426,MATCH(DU988,$ED$4:$ED$426,0))</f>
        <v>2</v>
      </c>
    </row>
    <row r="989" spans="29:131" ht="13.5" customHeight="1">
      <c r="AC989" s="9" t="str">
        <f t="shared" si="591"/>
        <v/>
      </c>
      <c r="AD989" s="9" t="str">
        <f t="shared" si="592"/>
        <v/>
      </c>
      <c r="AE989" s="9" t="str">
        <f t="shared" si="593"/>
        <v/>
      </c>
      <c r="AF989" s="9" t="str">
        <f t="shared" si="594"/>
        <v/>
      </c>
      <c r="AG989" s="9" t="str">
        <f t="shared" si="595"/>
        <v/>
      </c>
      <c r="AH989" s="9" t="str">
        <f t="shared" si="596"/>
        <v/>
      </c>
      <c r="CR989" s="3" t="b">
        <f t="shared" si="597"/>
        <v>1</v>
      </c>
      <c r="CS989" s="3" t="b">
        <f t="shared" si="598"/>
        <v>1</v>
      </c>
      <c r="CT989" s="3" t="b">
        <f t="shared" si="599"/>
        <v>1</v>
      </c>
      <c r="CU989" s="3" t="b">
        <f t="shared" si="600"/>
        <v>1</v>
      </c>
      <c r="CV989" s="3" t="b">
        <f t="shared" si="601"/>
        <v>1</v>
      </c>
      <c r="CW989" s="3" t="b">
        <f t="shared" si="602"/>
        <v>1</v>
      </c>
      <c r="CX989" s="9" t="str">
        <f t="shared" si="603"/>
        <v>5201134</v>
      </c>
      <c r="CY989" s="9" t="str">
        <f t="shared" si="604"/>
        <v>5201134</v>
      </c>
      <c r="CZ989" s="9" t="str">
        <f t="shared" si="605"/>
        <v>5302134</v>
      </c>
      <c r="DA989" s="9" t="str">
        <f t="shared" si="606"/>
        <v>5602134</v>
      </c>
      <c r="DB989" s="9" t="str">
        <f t="shared" si="607"/>
        <v>5602134</v>
      </c>
      <c r="DC989" s="9" t="str">
        <f t="shared" si="608"/>
        <v>5501134</v>
      </c>
      <c r="DD989" s="9">
        <v>13</v>
      </c>
      <c r="DE989" s="9">
        <v>13</v>
      </c>
      <c r="DF989" s="9">
        <v>13</v>
      </c>
      <c r="DG989" s="9">
        <v>13</v>
      </c>
      <c r="DH989" s="9">
        <v>13</v>
      </c>
      <c r="DI989" s="9">
        <v>13</v>
      </c>
      <c r="DJ989" s="9">
        <v>5</v>
      </c>
      <c r="DK989" s="9">
        <v>5</v>
      </c>
      <c r="DL989" s="9">
        <v>5</v>
      </c>
      <c r="DM989" s="9">
        <v>5</v>
      </c>
      <c r="DN989" s="9">
        <v>5</v>
      </c>
      <c r="DO989" s="9">
        <v>5</v>
      </c>
      <c r="DP989" s="27" t="s">
        <v>217</v>
      </c>
      <c r="DQ989" s="27" t="s">
        <v>217</v>
      </c>
      <c r="DR989" s="27" t="s">
        <v>218</v>
      </c>
      <c r="DS989" s="27" t="s">
        <v>220</v>
      </c>
      <c r="DT989" s="27" t="s">
        <v>220</v>
      </c>
      <c r="DU989" s="27" t="s">
        <v>214</v>
      </c>
      <c r="DV989" s="25">
        <f t="shared" si="609"/>
        <v>1</v>
      </c>
      <c r="DW989" s="25">
        <f t="shared" si="610"/>
        <v>1</v>
      </c>
      <c r="DX989" s="25">
        <f t="shared" si="611"/>
        <v>1</v>
      </c>
      <c r="DY989" s="25">
        <f t="shared" si="612"/>
        <v>2</v>
      </c>
      <c r="DZ989" s="25">
        <f t="shared" si="613"/>
        <v>2</v>
      </c>
      <c r="EA989" s="25">
        <f t="shared" si="614"/>
        <v>2</v>
      </c>
    </row>
    <row r="990" spans="29:131" ht="13.5" customHeight="1">
      <c r="AC990" s="9" t="str">
        <f t="shared" si="591"/>
        <v/>
      </c>
      <c r="AD990" s="9" t="str">
        <f t="shared" si="592"/>
        <v/>
      </c>
      <c r="AE990" s="9" t="str">
        <f t="shared" si="593"/>
        <v/>
      </c>
      <c r="AF990" s="9" t="str">
        <f t="shared" si="594"/>
        <v/>
      </c>
      <c r="AG990" s="9" t="str">
        <f t="shared" si="595"/>
        <v/>
      </c>
      <c r="AH990" s="9" t="str">
        <f t="shared" si="596"/>
        <v/>
      </c>
      <c r="CR990" s="3" t="b">
        <f t="shared" si="597"/>
        <v>1</v>
      </c>
      <c r="CS990" s="3" t="b">
        <f t="shared" si="598"/>
        <v>1</v>
      </c>
      <c r="CT990" s="3" t="b">
        <f t="shared" si="599"/>
        <v>1</v>
      </c>
      <c r="CU990" s="3" t="b">
        <f t="shared" si="600"/>
        <v>1</v>
      </c>
      <c r="CV990" s="3" t="b">
        <f t="shared" si="601"/>
        <v>1</v>
      </c>
      <c r="CW990" s="3" t="b">
        <f t="shared" si="602"/>
        <v>1</v>
      </c>
      <c r="CX990" s="9" t="str">
        <f t="shared" si="603"/>
        <v>5300135</v>
      </c>
      <c r="CY990" s="9" t="str">
        <f t="shared" si="604"/>
        <v>5202135</v>
      </c>
      <c r="CZ990" s="9" t="str">
        <f t="shared" si="605"/>
        <v>5202135</v>
      </c>
      <c r="DA990" s="9" t="str">
        <f t="shared" si="606"/>
        <v>5401133</v>
      </c>
      <c r="DB990" s="9" t="str">
        <f t="shared" si="607"/>
        <v>5402132</v>
      </c>
      <c r="DC990" s="9" t="str">
        <f t="shared" si="608"/>
        <v>5401133</v>
      </c>
      <c r="DD990" s="9">
        <v>13</v>
      </c>
      <c r="DE990" s="9">
        <v>13</v>
      </c>
      <c r="DF990" s="9">
        <v>13</v>
      </c>
      <c r="DG990" s="9">
        <v>13</v>
      </c>
      <c r="DH990" s="9">
        <v>13</v>
      </c>
      <c r="DI990" s="9">
        <v>13</v>
      </c>
      <c r="DJ990" s="9">
        <v>5</v>
      </c>
      <c r="DK990" s="9">
        <v>5</v>
      </c>
      <c r="DL990" s="9">
        <v>5</v>
      </c>
      <c r="DM990" s="9">
        <v>5</v>
      </c>
      <c r="DN990" s="9">
        <v>5</v>
      </c>
      <c r="DO990" s="9">
        <v>5</v>
      </c>
      <c r="DP990" s="25" t="s">
        <v>212</v>
      </c>
      <c r="DQ990" s="25" t="s">
        <v>213</v>
      </c>
      <c r="DR990" s="25" t="s">
        <v>213</v>
      </c>
      <c r="DS990" s="25" t="s">
        <v>211</v>
      </c>
      <c r="DT990" s="25" t="s">
        <v>203</v>
      </c>
      <c r="DU990" s="25" t="s">
        <v>211</v>
      </c>
      <c r="DV990" s="25">
        <f t="shared" si="609"/>
        <v>1</v>
      </c>
      <c r="DW990" s="25">
        <f t="shared" si="610"/>
        <v>1</v>
      </c>
      <c r="DX990" s="25">
        <f t="shared" si="611"/>
        <v>1</v>
      </c>
      <c r="DY990" s="25">
        <f t="shared" si="612"/>
        <v>2</v>
      </c>
      <c r="DZ990" s="25">
        <f t="shared" si="613"/>
        <v>2</v>
      </c>
      <c r="EA990" s="25">
        <f t="shared" si="614"/>
        <v>2</v>
      </c>
    </row>
    <row r="991" spans="29:131" ht="13.5" customHeight="1">
      <c r="AC991" s="9" t="str">
        <f t="shared" si="591"/>
        <v/>
      </c>
      <c r="AD991" s="9" t="str">
        <f t="shared" si="592"/>
        <v/>
      </c>
      <c r="AE991" s="9" t="str">
        <f t="shared" si="593"/>
        <v/>
      </c>
      <c r="AF991" s="9" t="str">
        <f t="shared" si="594"/>
        <v/>
      </c>
      <c r="AG991" s="9" t="str">
        <f t="shared" si="595"/>
        <v/>
      </c>
      <c r="AH991" s="9" t="str">
        <f t="shared" si="596"/>
        <v/>
      </c>
      <c r="CR991" s="3" t="b">
        <f t="shared" si="597"/>
        <v>1</v>
      </c>
      <c r="CS991" s="3" t="b">
        <f t="shared" si="598"/>
        <v>1</v>
      </c>
      <c r="CT991" s="3" t="b">
        <f t="shared" si="599"/>
        <v>1</v>
      </c>
      <c r="CU991" s="3" t="b">
        <f t="shared" si="600"/>
        <v>1</v>
      </c>
      <c r="CV991" s="3" t="b">
        <f t="shared" si="601"/>
        <v>1</v>
      </c>
      <c r="CW991" s="3" t="b">
        <f t="shared" si="602"/>
        <v>1</v>
      </c>
      <c r="CX991" s="9" t="str">
        <f t="shared" si="603"/>
        <v>5202133</v>
      </c>
      <c r="CY991" s="9" t="str">
        <f t="shared" si="604"/>
        <v>5202132</v>
      </c>
      <c r="CZ991" s="9" t="str">
        <f t="shared" si="605"/>
        <v>5202133</v>
      </c>
      <c r="DA991" s="9" t="str">
        <f t="shared" si="606"/>
        <v>5501135</v>
      </c>
      <c r="DB991" s="9" t="str">
        <f t="shared" si="607"/>
        <v>5401133</v>
      </c>
      <c r="DC991" s="9" t="str">
        <f t="shared" si="608"/>
        <v>5501134</v>
      </c>
      <c r="DD991" s="9">
        <v>13</v>
      </c>
      <c r="DE991" s="9">
        <v>13</v>
      </c>
      <c r="DF991" s="9">
        <v>13</v>
      </c>
      <c r="DG991" s="9">
        <v>13</v>
      </c>
      <c r="DH991" s="9">
        <v>13</v>
      </c>
      <c r="DI991" s="9">
        <v>13</v>
      </c>
      <c r="DJ991" s="9">
        <v>5</v>
      </c>
      <c r="DK991" s="9">
        <v>5</v>
      </c>
      <c r="DL991" s="9">
        <v>5</v>
      </c>
      <c r="DM991" s="9">
        <v>5</v>
      </c>
      <c r="DN991" s="9">
        <v>5</v>
      </c>
      <c r="DO991" s="9">
        <v>5</v>
      </c>
      <c r="DP991" s="25" t="s">
        <v>208</v>
      </c>
      <c r="DQ991" s="25" t="s">
        <v>200</v>
      </c>
      <c r="DR991" s="25" t="s">
        <v>208</v>
      </c>
      <c r="DS991" s="25" t="s">
        <v>209</v>
      </c>
      <c r="DT991" s="25" t="s">
        <v>211</v>
      </c>
      <c r="DU991" s="25" t="s">
        <v>214</v>
      </c>
      <c r="DV991" s="25">
        <f t="shared" si="609"/>
        <v>1</v>
      </c>
      <c r="DW991" s="25">
        <f t="shared" si="610"/>
        <v>1</v>
      </c>
      <c r="DX991" s="25">
        <f t="shared" si="611"/>
        <v>1</v>
      </c>
      <c r="DY991" s="25">
        <f t="shared" si="612"/>
        <v>2</v>
      </c>
      <c r="DZ991" s="25">
        <f t="shared" si="613"/>
        <v>2</v>
      </c>
      <c r="EA991" s="25">
        <f t="shared" si="614"/>
        <v>2</v>
      </c>
    </row>
    <row r="992" spans="29:131" ht="13.5" customHeight="1">
      <c r="AC992" s="9" t="str">
        <f t="shared" si="591"/>
        <v/>
      </c>
      <c r="AD992" s="9" t="str">
        <f t="shared" si="592"/>
        <v/>
      </c>
      <c r="AE992" s="9" t="str">
        <f t="shared" si="593"/>
        <v/>
      </c>
      <c r="AF992" s="9" t="str">
        <f t="shared" si="594"/>
        <v/>
      </c>
      <c r="AG992" s="9" t="str">
        <f t="shared" si="595"/>
        <v/>
      </c>
      <c r="AH992" s="9" t="str">
        <f t="shared" si="596"/>
        <v/>
      </c>
      <c r="CR992" s="3" t="b">
        <f t="shared" si="597"/>
        <v>1</v>
      </c>
      <c r="CS992" s="3" t="b">
        <f t="shared" si="598"/>
        <v>1</v>
      </c>
      <c r="CT992" s="3" t="b">
        <f t="shared" si="599"/>
        <v>1</v>
      </c>
      <c r="CU992" s="3" t="b">
        <f t="shared" si="600"/>
        <v>1</v>
      </c>
      <c r="CV992" s="3" t="b">
        <f t="shared" si="601"/>
        <v>1</v>
      </c>
      <c r="CW992" s="3" t="b">
        <f t="shared" si="602"/>
        <v>1</v>
      </c>
      <c r="CX992" s="9" t="str">
        <f t="shared" si="603"/>
        <v>5201131</v>
      </c>
      <c r="CY992" s="9" t="str">
        <f t="shared" si="604"/>
        <v>5201131</v>
      </c>
      <c r="CZ992" s="9" t="str">
        <f t="shared" si="605"/>
        <v>5200131</v>
      </c>
      <c r="DA992" s="9" t="str">
        <f t="shared" si="606"/>
        <v>5601131</v>
      </c>
      <c r="DB992" s="9" t="str">
        <f t="shared" si="607"/>
        <v>5501134</v>
      </c>
      <c r="DC992" s="9" t="str">
        <f t="shared" si="608"/>
        <v>5501134</v>
      </c>
      <c r="DD992" s="9">
        <v>13</v>
      </c>
      <c r="DE992" s="9">
        <v>13</v>
      </c>
      <c r="DF992" s="9">
        <v>13</v>
      </c>
      <c r="DG992" s="9">
        <v>13</v>
      </c>
      <c r="DH992" s="9">
        <v>13</v>
      </c>
      <c r="DI992" s="9">
        <v>13</v>
      </c>
      <c r="DJ992" s="9">
        <v>5</v>
      </c>
      <c r="DK992" s="9">
        <v>5</v>
      </c>
      <c r="DL992" s="9">
        <v>5</v>
      </c>
      <c r="DM992" s="9">
        <v>5</v>
      </c>
      <c r="DN992" s="9">
        <v>5</v>
      </c>
      <c r="DO992" s="9">
        <v>5</v>
      </c>
      <c r="DP992" s="25" t="s">
        <v>195</v>
      </c>
      <c r="DQ992" s="25" t="s">
        <v>195</v>
      </c>
      <c r="DR992" s="25" t="s">
        <v>194</v>
      </c>
      <c r="DS992" s="25" t="s">
        <v>198</v>
      </c>
      <c r="DT992" s="25" t="s">
        <v>214</v>
      </c>
      <c r="DU992" s="25" t="s">
        <v>214</v>
      </c>
      <c r="DV992" s="25">
        <f t="shared" si="609"/>
        <v>1</v>
      </c>
      <c r="DW992" s="25">
        <f t="shared" si="610"/>
        <v>1</v>
      </c>
      <c r="DX992" s="25">
        <f t="shared" si="611"/>
        <v>1</v>
      </c>
      <c r="DY992" s="25">
        <f t="shared" si="612"/>
        <v>2</v>
      </c>
      <c r="DZ992" s="25">
        <f t="shared" si="613"/>
        <v>2</v>
      </c>
      <c r="EA992" s="25">
        <f t="shared" si="614"/>
        <v>2</v>
      </c>
    </row>
    <row r="993" spans="29:131" ht="13.5" customHeight="1">
      <c r="AC993" s="9" t="str">
        <f t="shared" si="591"/>
        <v/>
      </c>
      <c r="AD993" s="9" t="str">
        <f t="shared" si="592"/>
        <v/>
      </c>
      <c r="AE993" s="9" t="str">
        <f t="shared" si="593"/>
        <v/>
      </c>
      <c r="AF993" s="9" t="str">
        <f t="shared" si="594"/>
        <v/>
      </c>
      <c r="AG993" s="9" t="str">
        <f t="shared" si="595"/>
        <v/>
      </c>
      <c r="AH993" s="9" t="str">
        <f t="shared" si="596"/>
        <v/>
      </c>
      <c r="CR993" s="3" t="b">
        <f t="shared" si="597"/>
        <v>1</v>
      </c>
      <c r="CS993" s="3" t="b">
        <f t="shared" si="598"/>
        <v>1</v>
      </c>
      <c r="CT993" s="3" t="b">
        <f t="shared" si="599"/>
        <v>1</v>
      </c>
      <c r="CU993" s="3" t="b">
        <f t="shared" si="600"/>
        <v>1</v>
      </c>
      <c r="CV993" s="3" t="b">
        <f t="shared" si="601"/>
        <v>1</v>
      </c>
      <c r="CW993" s="3" t="b">
        <f t="shared" si="602"/>
        <v>1</v>
      </c>
      <c r="CX993" s="9" t="str">
        <f t="shared" si="603"/>
        <v>5302135</v>
      </c>
      <c r="CY993" s="9" t="str">
        <f t="shared" si="604"/>
        <v>5202135</v>
      </c>
      <c r="CZ993" s="9" t="str">
        <f t="shared" si="605"/>
        <v>5202135</v>
      </c>
      <c r="DA993" s="9" t="str">
        <f t="shared" si="606"/>
        <v>5400135</v>
      </c>
      <c r="DB993" s="9" t="str">
        <f t="shared" si="607"/>
        <v>5400135</v>
      </c>
      <c r="DC993" s="9" t="str">
        <f t="shared" si="608"/>
        <v>5400135</v>
      </c>
      <c r="DD993" s="9">
        <v>13</v>
      </c>
      <c r="DE993" s="9">
        <v>13</v>
      </c>
      <c r="DF993" s="9">
        <v>13</v>
      </c>
      <c r="DG993" s="9">
        <v>13</v>
      </c>
      <c r="DH993" s="9">
        <v>13</v>
      </c>
      <c r="DI993" s="9">
        <v>13</v>
      </c>
      <c r="DJ993" s="9">
        <v>5</v>
      </c>
      <c r="DK993" s="9">
        <v>5</v>
      </c>
      <c r="DL993" s="9">
        <v>5</v>
      </c>
      <c r="DM993" s="9">
        <v>5</v>
      </c>
      <c r="DN993" s="9">
        <v>5</v>
      </c>
      <c r="DO993" s="9">
        <v>5</v>
      </c>
      <c r="DP993" s="25" t="s">
        <v>221</v>
      </c>
      <c r="DQ993" s="25" t="s">
        <v>213</v>
      </c>
      <c r="DR993" s="25" t="s">
        <v>213</v>
      </c>
      <c r="DS993" s="25" t="s">
        <v>210</v>
      </c>
      <c r="DT993" s="25" t="s">
        <v>210</v>
      </c>
      <c r="DU993" s="25" t="s">
        <v>210</v>
      </c>
      <c r="DV993" s="25">
        <f t="shared" si="609"/>
        <v>1</v>
      </c>
      <c r="DW993" s="25">
        <f t="shared" si="610"/>
        <v>1</v>
      </c>
      <c r="DX993" s="25">
        <f t="shared" si="611"/>
        <v>1</v>
      </c>
      <c r="DY993" s="25">
        <f t="shared" si="612"/>
        <v>2</v>
      </c>
      <c r="DZ993" s="25">
        <f t="shared" si="613"/>
        <v>2</v>
      </c>
      <c r="EA993" s="25">
        <f t="shared" si="614"/>
        <v>2</v>
      </c>
    </row>
    <row r="994" spans="29:131" ht="13.5" customHeight="1">
      <c r="AC994" s="9" t="str">
        <f t="shared" si="591"/>
        <v/>
      </c>
      <c r="AD994" s="9" t="str">
        <f t="shared" si="592"/>
        <v/>
      </c>
      <c r="AE994" s="9" t="str">
        <f t="shared" si="593"/>
        <v/>
      </c>
      <c r="AF994" s="9" t="str">
        <f t="shared" si="594"/>
        <v/>
      </c>
      <c r="AG994" s="9" t="str">
        <f t="shared" si="595"/>
        <v/>
      </c>
      <c r="AH994" s="9" t="str">
        <f t="shared" si="596"/>
        <v/>
      </c>
      <c r="CR994" s="3" t="b">
        <f t="shared" si="597"/>
        <v>1</v>
      </c>
      <c r="CS994" s="3" t="b">
        <f t="shared" si="598"/>
        <v>1</v>
      </c>
      <c r="CT994" s="3" t="b">
        <f t="shared" si="599"/>
        <v>1</v>
      </c>
      <c r="CU994" s="3" t="b">
        <f t="shared" si="600"/>
        <v>1</v>
      </c>
      <c r="CV994" s="3" t="b">
        <f t="shared" si="601"/>
        <v>1</v>
      </c>
      <c r="CW994" s="3" t="b">
        <f t="shared" si="602"/>
        <v>1</v>
      </c>
      <c r="CX994" s="9" t="str">
        <f t="shared" si="603"/>
        <v>5301131</v>
      </c>
      <c r="CY994" s="9" t="str">
        <f t="shared" si="604"/>
        <v>5301132</v>
      </c>
      <c r="CZ994" s="9" t="str">
        <f t="shared" si="605"/>
        <v>5301132</v>
      </c>
      <c r="DA994" s="9" t="str">
        <f t="shared" si="606"/>
        <v>5500132</v>
      </c>
      <c r="DB994" s="9" t="str">
        <f t="shared" si="607"/>
        <v>5400135</v>
      </c>
      <c r="DC994" s="9" t="str">
        <f t="shared" si="608"/>
        <v>5502133</v>
      </c>
      <c r="DD994" s="9">
        <v>13</v>
      </c>
      <c r="DE994" s="9">
        <v>13</v>
      </c>
      <c r="DF994" s="9">
        <v>13</v>
      </c>
      <c r="DG994" s="9">
        <v>13</v>
      </c>
      <c r="DH994" s="9">
        <v>13</v>
      </c>
      <c r="DI994" s="9">
        <v>13</v>
      </c>
      <c r="DJ994" s="9">
        <v>5</v>
      </c>
      <c r="DK994" s="9">
        <v>5</v>
      </c>
      <c r="DL994" s="9">
        <v>5</v>
      </c>
      <c r="DM994" s="9">
        <v>5</v>
      </c>
      <c r="DN994" s="9">
        <v>5</v>
      </c>
      <c r="DO994" s="9">
        <v>5</v>
      </c>
      <c r="DP994" s="25" t="s">
        <v>107</v>
      </c>
      <c r="DQ994" s="25" t="s">
        <v>201</v>
      </c>
      <c r="DR994" s="25" t="s">
        <v>201</v>
      </c>
      <c r="DS994" s="25" t="s">
        <v>109</v>
      </c>
      <c r="DT994" s="25" t="s">
        <v>210</v>
      </c>
      <c r="DU994" s="25" t="s">
        <v>215</v>
      </c>
      <c r="DV994" s="25">
        <f t="shared" si="609"/>
        <v>1</v>
      </c>
      <c r="DW994" s="25">
        <f t="shared" si="610"/>
        <v>1</v>
      </c>
      <c r="DX994" s="25">
        <f t="shared" si="611"/>
        <v>1</v>
      </c>
      <c r="DY994" s="25">
        <f t="shared" si="612"/>
        <v>2</v>
      </c>
      <c r="DZ994" s="25">
        <f t="shared" si="613"/>
        <v>2</v>
      </c>
      <c r="EA994" s="25">
        <f t="shared" si="614"/>
        <v>2</v>
      </c>
    </row>
    <row r="995" spans="29:131" ht="13.5" customHeight="1">
      <c r="AC995" s="9" t="str">
        <f t="shared" si="591"/>
        <v/>
      </c>
      <c r="AD995" s="9" t="str">
        <f t="shared" si="592"/>
        <v/>
      </c>
      <c r="AE995" s="9" t="str">
        <f t="shared" si="593"/>
        <v/>
      </c>
      <c r="AF995" s="9" t="str">
        <f t="shared" si="594"/>
        <v/>
      </c>
      <c r="AG995" s="9" t="str">
        <f t="shared" si="595"/>
        <v/>
      </c>
      <c r="AH995" s="9" t="str">
        <f t="shared" si="596"/>
        <v/>
      </c>
      <c r="CR995" s="3" t="b">
        <f t="shared" si="597"/>
        <v>1</v>
      </c>
      <c r="CS995" s="3" t="b">
        <f t="shared" si="598"/>
        <v>1</v>
      </c>
      <c r="CT995" s="3" t="b">
        <f t="shared" si="599"/>
        <v>1</v>
      </c>
      <c r="CU995" s="3" t="b">
        <f t="shared" si="600"/>
        <v>1</v>
      </c>
      <c r="CV995" s="3" t="b">
        <f t="shared" si="601"/>
        <v>1</v>
      </c>
      <c r="CW995" s="3" t="b">
        <f t="shared" si="602"/>
        <v>1</v>
      </c>
      <c r="CX995" s="9" t="str">
        <f t="shared" si="603"/>
        <v>5201133</v>
      </c>
      <c r="CY995" s="9" t="str">
        <f t="shared" si="604"/>
        <v>5200133</v>
      </c>
      <c r="CZ995" s="9" t="str">
        <f t="shared" si="605"/>
        <v>5301132</v>
      </c>
      <c r="DA995" s="9" t="str">
        <f t="shared" si="606"/>
        <v>5501134</v>
      </c>
      <c r="DB995" s="9" t="str">
        <f t="shared" si="607"/>
        <v>5500133</v>
      </c>
      <c r="DC995" s="9" t="str">
        <f t="shared" si="608"/>
        <v>5501134</v>
      </c>
      <c r="DD995" s="9">
        <v>13</v>
      </c>
      <c r="DE995" s="9">
        <v>13</v>
      </c>
      <c r="DF995" s="9">
        <v>13</v>
      </c>
      <c r="DG995" s="9">
        <v>13</v>
      </c>
      <c r="DH995" s="9">
        <v>13</v>
      </c>
      <c r="DI995" s="9">
        <v>13</v>
      </c>
      <c r="DJ995" s="9">
        <v>5</v>
      </c>
      <c r="DK995" s="9">
        <v>5</v>
      </c>
      <c r="DL995" s="9">
        <v>5</v>
      </c>
      <c r="DM995" s="9">
        <v>5</v>
      </c>
      <c r="DN995" s="9">
        <v>5</v>
      </c>
      <c r="DO995" s="9">
        <v>5</v>
      </c>
      <c r="DP995" s="25" t="s">
        <v>205</v>
      </c>
      <c r="DQ995" s="25" t="s">
        <v>113</v>
      </c>
      <c r="DR995" s="25" t="s">
        <v>201</v>
      </c>
      <c r="DS995" s="25" t="s">
        <v>214</v>
      </c>
      <c r="DT995" s="25" t="s">
        <v>207</v>
      </c>
      <c r="DU995" s="25" t="s">
        <v>214</v>
      </c>
      <c r="DV995" s="25">
        <f t="shared" si="609"/>
        <v>1</v>
      </c>
      <c r="DW995" s="25">
        <f t="shared" si="610"/>
        <v>1</v>
      </c>
      <c r="DX995" s="25">
        <f t="shared" si="611"/>
        <v>1</v>
      </c>
      <c r="DY995" s="25">
        <f t="shared" si="612"/>
        <v>2</v>
      </c>
      <c r="DZ995" s="25">
        <f t="shared" si="613"/>
        <v>2</v>
      </c>
      <c r="EA995" s="25">
        <f t="shared" si="614"/>
        <v>2</v>
      </c>
    </row>
    <row r="996" spans="29:131" ht="13.5" customHeight="1">
      <c r="AC996" s="9" t="str">
        <f t="shared" si="591"/>
        <v/>
      </c>
      <c r="AD996" s="9" t="str">
        <f t="shared" si="592"/>
        <v/>
      </c>
      <c r="AE996" s="9" t="str">
        <f t="shared" si="593"/>
        <v/>
      </c>
      <c r="AF996" s="9" t="str">
        <f t="shared" si="594"/>
        <v/>
      </c>
      <c r="AG996" s="9" t="str">
        <f t="shared" si="595"/>
        <v/>
      </c>
      <c r="AH996" s="9" t="str">
        <f t="shared" si="596"/>
        <v/>
      </c>
      <c r="CR996" s="3" t="b">
        <f t="shared" si="597"/>
        <v>1</v>
      </c>
      <c r="CS996" s="3" t="b">
        <f t="shared" si="598"/>
        <v>1</v>
      </c>
      <c r="CT996" s="3" t="b">
        <f t="shared" si="599"/>
        <v>1</v>
      </c>
      <c r="CU996" s="3" t="b">
        <f t="shared" si="600"/>
        <v>1</v>
      </c>
      <c r="CV996" s="3" t="b">
        <f t="shared" si="601"/>
        <v>1</v>
      </c>
      <c r="CW996" s="3" t="b">
        <f t="shared" si="602"/>
        <v>1</v>
      </c>
      <c r="CX996" s="9" t="str">
        <f t="shared" si="603"/>
        <v>5200133</v>
      </c>
      <c r="CY996" s="9" t="str">
        <f t="shared" si="604"/>
        <v>5200133</v>
      </c>
      <c r="CZ996" s="9" t="str">
        <f t="shared" si="605"/>
        <v>5201132</v>
      </c>
      <c r="DA996" s="9" t="str">
        <f t="shared" si="606"/>
        <v>5401133</v>
      </c>
      <c r="DB996" s="9" t="str">
        <f t="shared" si="607"/>
        <v>5402132</v>
      </c>
      <c r="DC996" s="9" t="str">
        <f t="shared" si="608"/>
        <v>5401133</v>
      </c>
      <c r="DD996" s="9">
        <v>13</v>
      </c>
      <c r="DE996" s="9">
        <v>13</v>
      </c>
      <c r="DF996" s="9">
        <v>13</v>
      </c>
      <c r="DG996" s="9">
        <v>13</v>
      </c>
      <c r="DH996" s="9">
        <v>13</v>
      </c>
      <c r="DI996" s="9">
        <v>13</v>
      </c>
      <c r="DJ996" s="9">
        <v>5</v>
      </c>
      <c r="DK996" s="9">
        <v>5</v>
      </c>
      <c r="DL996" s="9">
        <v>5</v>
      </c>
      <c r="DM996" s="9">
        <v>5</v>
      </c>
      <c r="DN996" s="9">
        <v>5</v>
      </c>
      <c r="DO996" s="9">
        <v>5</v>
      </c>
      <c r="DP996" s="25" t="s">
        <v>113</v>
      </c>
      <c r="DQ996" s="25" t="s">
        <v>113</v>
      </c>
      <c r="DR996" s="25" t="s">
        <v>114</v>
      </c>
      <c r="DS996" s="25" t="s">
        <v>211</v>
      </c>
      <c r="DT996" s="25" t="s">
        <v>203</v>
      </c>
      <c r="DU996" s="25" t="s">
        <v>211</v>
      </c>
      <c r="DV996" s="25">
        <f t="shared" si="609"/>
        <v>1</v>
      </c>
      <c r="DW996" s="25">
        <f t="shared" si="610"/>
        <v>1</v>
      </c>
      <c r="DX996" s="25">
        <f t="shared" si="611"/>
        <v>1</v>
      </c>
      <c r="DY996" s="25">
        <f t="shared" si="612"/>
        <v>2</v>
      </c>
      <c r="DZ996" s="25">
        <f t="shared" si="613"/>
        <v>2</v>
      </c>
      <c r="EA996" s="25">
        <f t="shared" si="614"/>
        <v>2</v>
      </c>
    </row>
    <row r="997" spans="29:131" ht="13.5" customHeight="1">
      <c r="AC997" s="9" t="str">
        <f t="shared" si="591"/>
        <v/>
      </c>
      <c r="AD997" s="9" t="str">
        <f t="shared" si="592"/>
        <v/>
      </c>
      <c r="AE997" s="9" t="str">
        <f t="shared" si="593"/>
        <v/>
      </c>
      <c r="AF997" s="9" t="str">
        <f t="shared" si="594"/>
        <v/>
      </c>
      <c r="AG997" s="9" t="str">
        <f t="shared" si="595"/>
        <v/>
      </c>
      <c r="AH997" s="9" t="str">
        <f t="shared" si="596"/>
        <v/>
      </c>
      <c r="CR997" s="3" t="b">
        <f t="shared" si="597"/>
        <v>1</v>
      </c>
      <c r="CS997" s="3" t="b">
        <f t="shared" si="598"/>
        <v>1</v>
      </c>
      <c r="CT997" s="3" t="b">
        <f t="shared" si="599"/>
        <v>1</v>
      </c>
      <c r="CU997" s="3" t="b">
        <f t="shared" si="600"/>
        <v>1</v>
      </c>
      <c r="CV997" s="3" t="b">
        <f t="shared" si="601"/>
        <v>1</v>
      </c>
      <c r="CW997" s="3" t="b">
        <f t="shared" si="602"/>
        <v>1</v>
      </c>
      <c r="CX997" s="9" t="str">
        <f t="shared" si="603"/>
        <v>5201131</v>
      </c>
      <c r="CY997" s="9" t="str">
        <f t="shared" si="604"/>
        <v>5201131</v>
      </c>
      <c r="CZ997" s="9" t="str">
        <f t="shared" si="605"/>
        <v>5201131</v>
      </c>
      <c r="DA997" s="9" t="str">
        <f t="shared" si="606"/>
        <v>5502131</v>
      </c>
      <c r="DB997" s="9" t="str">
        <f t="shared" si="607"/>
        <v>5502131</v>
      </c>
      <c r="DC997" s="9" t="str">
        <f t="shared" si="608"/>
        <v>5502131</v>
      </c>
      <c r="DD997" s="9">
        <v>13</v>
      </c>
      <c r="DE997" s="9">
        <v>13</v>
      </c>
      <c r="DF997" s="9">
        <v>13</v>
      </c>
      <c r="DG997" s="9">
        <v>13</v>
      </c>
      <c r="DH997" s="9">
        <v>13</v>
      </c>
      <c r="DI997" s="9">
        <v>13</v>
      </c>
      <c r="DJ997" s="9">
        <v>5</v>
      </c>
      <c r="DK997" s="9">
        <v>5</v>
      </c>
      <c r="DL997" s="9">
        <v>5</v>
      </c>
      <c r="DM997" s="9">
        <v>5</v>
      </c>
      <c r="DN997" s="9">
        <v>5</v>
      </c>
      <c r="DO997" s="9">
        <v>5</v>
      </c>
      <c r="DP997" s="25" t="s">
        <v>195</v>
      </c>
      <c r="DQ997" s="25" t="s">
        <v>195</v>
      </c>
      <c r="DR997" s="25" t="s">
        <v>195</v>
      </c>
      <c r="DS997" s="25" t="s">
        <v>119</v>
      </c>
      <c r="DT997" s="25" t="s">
        <v>119</v>
      </c>
      <c r="DU997" s="25" t="s">
        <v>119</v>
      </c>
      <c r="DV997" s="25">
        <f t="shared" si="609"/>
        <v>1</v>
      </c>
      <c r="DW997" s="25">
        <f t="shared" si="610"/>
        <v>1</v>
      </c>
      <c r="DX997" s="25">
        <f t="shared" si="611"/>
        <v>1</v>
      </c>
      <c r="DY997" s="25">
        <f t="shared" si="612"/>
        <v>2</v>
      </c>
      <c r="DZ997" s="25">
        <f t="shared" si="613"/>
        <v>2</v>
      </c>
      <c r="EA997" s="25">
        <f t="shared" si="614"/>
        <v>2</v>
      </c>
    </row>
    <row r="998" spans="29:131" ht="13.5" customHeight="1">
      <c r="AC998" s="9" t="str">
        <f t="shared" si="591"/>
        <v/>
      </c>
      <c r="AD998" s="9" t="str">
        <f t="shared" si="592"/>
        <v/>
      </c>
      <c r="AE998" s="9" t="str">
        <f t="shared" si="593"/>
        <v/>
      </c>
      <c r="AF998" s="9" t="str">
        <f t="shared" si="594"/>
        <v/>
      </c>
      <c r="AG998" s="9" t="str">
        <f t="shared" si="595"/>
        <v/>
      </c>
      <c r="AH998" s="9" t="str">
        <f t="shared" si="596"/>
        <v/>
      </c>
      <c r="CR998" s="3" t="b">
        <f t="shared" si="597"/>
        <v>1</v>
      </c>
      <c r="CS998" s="3" t="b">
        <f t="shared" si="598"/>
        <v>1</v>
      </c>
      <c r="CT998" s="3" t="b">
        <f t="shared" si="599"/>
        <v>1</v>
      </c>
      <c r="CU998" s="3" t="b">
        <f t="shared" si="600"/>
        <v>1</v>
      </c>
      <c r="CV998" s="3" t="b">
        <f t="shared" si="601"/>
        <v>1</v>
      </c>
      <c r="CW998" s="3" t="b">
        <f t="shared" si="602"/>
        <v>1</v>
      </c>
      <c r="CX998" s="9" t="str">
        <f t="shared" si="603"/>
        <v>5202133</v>
      </c>
      <c r="CY998" s="9" t="str">
        <f t="shared" si="604"/>
        <v>5201133</v>
      </c>
      <c r="CZ998" s="9" t="str">
        <f t="shared" si="605"/>
        <v>5302134</v>
      </c>
      <c r="DA998" s="9" t="str">
        <f t="shared" si="606"/>
        <v>5501134</v>
      </c>
      <c r="DB998" s="9" t="str">
        <f t="shared" si="607"/>
        <v>5501135</v>
      </c>
      <c r="DC998" s="9" t="str">
        <f t="shared" si="608"/>
        <v>5500132</v>
      </c>
      <c r="DD998" s="9">
        <v>13</v>
      </c>
      <c r="DE998" s="9">
        <v>13</v>
      </c>
      <c r="DF998" s="9">
        <v>13</v>
      </c>
      <c r="DG998" s="9">
        <v>13</v>
      </c>
      <c r="DH998" s="9">
        <v>13</v>
      </c>
      <c r="DI998" s="9">
        <v>13</v>
      </c>
      <c r="DJ998" s="9">
        <v>5</v>
      </c>
      <c r="DK998" s="9">
        <v>5</v>
      </c>
      <c r="DL998" s="9">
        <v>5</v>
      </c>
      <c r="DM998" s="9">
        <v>5</v>
      </c>
      <c r="DN998" s="9">
        <v>5</v>
      </c>
      <c r="DO998" s="9">
        <v>5</v>
      </c>
      <c r="DP998" s="25" t="s">
        <v>208</v>
      </c>
      <c r="DQ998" s="25" t="s">
        <v>205</v>
      </c>
      <c r="DR998" s="25" t="s">
        <v>218</v>
      </c>
      <c r="DS998" s="25" t="s">
        <v>214</v>
      </c>
      <c r="DT998" s="25" t="s">
        <v>209</v>
      </c>
      <c r="DU998" s="25" t="s">
        <v>109</v>
      </c>
      <c r="DV998" s="25">
        <f t="shared" si="609"/>
        <v>1</v>
      </c>
      <c r="DW998" s="25">
        <f t="shared" si="610"/>
        <v>1</v>
      </c>
      <c r="DX998" s="25">
        <f t="shared" si="611"/>
        <v>1</v>
      </c>
      <c r="DY998" s="25">
        <f t="shared" si="612"/>
        <v>2</v>
      </c>
      <c r="DZ998" s="25">
        <f t="shared" si="613"/>
        <v>2</v>
      </c>
      <c r="EA998" s="25">
        <f t="shared" si="614"/>
        <v>2</v>
      </c>
    </row>
    <row r="999" spans="29:131" ht="13.5" customHeight="1">
      <c r="AC999" s="9" t="str">
        <f t="shared" si="591"/>
        <v/>
      </c>
      <c r="AD999" s="9" t="str">
        <f t="shared" si="592"/>
        <v/>
      </c>
      <c r="AE999" s="9" t="str">
        <f t="shared" si="593"/>
        <v/>
      </c>
      <c r="AF999" s="9" t="str">
        <f t="shared" si="594"/>
        <v/>
      </c>
      <c r="AG999" s="9" t="str">
        <f t="shared" si="595"/>
        <v/>
      </c>
      <c r="AH999" s="9" t="str">
        <f t="shared" si="596"/>
        <v/>
      </c>
      <c r="CR999" s="3" t="b">
        <f t="shared" si="597"/>
        <v>1</v>
      </c>
      <c r="CS999" s="3" t="b">
        <f t="shared" si="598"/>
        <v>1</v>
      </c>
      <c r="CT999" s="3" t="b">
        <f t="shared" si="599"/>
        <v>1</v>
      </c>
      <c r="CU999" s="3" t="b">
        <f t="shared" si="600"/>
        <v>1</v>
      </c>
      <c r="CV999" s="3" t="b">
        <f t="shared" si="601"/>
        <v>1</v>
      </c>
      <c r="CW999" s="3" t="b">
        <f t="shared" si="602"/>
        <v>1</v>
      </c>
      <c r="CX999" s="9" t="str">
        <f t="shared" si="603"/>
        <v>5201133</v>
      </c>
      <c r="CY999" s="9" t="str">
        <f t="shared" si="604"/>
        <v>5202135</v>
      </c>
      <c r="CZ999" s="9" t="str">
        <f t="shared" si="605"/>
        <v>5200131</v>
      </c>
      <c r="DA999" s="9" t="str">
        <f t="shared" si="606"/>
        <v>5501134</v>
      </c>
      <c r="DB999" s="9" t="str">
        <f t="shared" si="607"/>
        <v>5402132</v>
      </c>
      <c r="DC999" s="9" t="str">
        <f t="shared" si="608"/>
        <v>5400135</v>
      </c>
      <c r="DD999" s="9">
        <v>13</v>
      </c>
      <c r="DE999" s="9">
        <v>13</v>
      </c>
      <c r="DF999" s="9">
        <v>13</v>
      </c>
      <c r="DG999" s="9">
        <v>13</v>
      </c>
      <c r="DH999" s="9">
        <v>13</v>
      </c>
      <c r="DI999" s="9">
        <v>13</v>
      </c>
      <c r="DJ999" s="9">
        <v>5</v>
      </c>
      <c r="DK999" s="9">
        <v>5</v>
      </c>
      <c r="DL999" s="9">
        <v>5</v>
      </c>
      <c r="DM999" s="9">
        <v>5</v>
      </c>
      <c r="DN999" s="9">
        <v>5</v>
      </c>
      <c r="DO999" s="9">
        <v>5</v>
      </c>
      <c r="DP999" s="25" t="s">
        <v>205</v>
      </c>
      <c r="DQ999" s="25" t="s">
        <v>213</v>
      </c>
      <c r="DR999" s="25" t="s">
        <v>194</v>
      </c>
      <c r="DS999" s="25" t="s">
        <v>214</v>
      </c>
      <c r="DT999" s="25" t="s">
        <v>203</v>
      </c>
      <c r="DU999" s="25" t="s">
        <v>210</v>
      </c>
      <c r="DV999" s="25">
        <f t="shared" si="609"/>
        <v>1</v>
      </c>
      <c r="DW999" s="25">
        <f t="shared" si="610"/>
        <v>1</v>
      </c>
      <c r="DX999" s="25">
        <f t="shared" si="611"/>
        <v>1</v>
      </c>
      <c r="DY999" s="25">
        <f t="shared" si="612"/>
        <v>2</v>
      </c>
      <c r="DZ999" s="25">
        <f t="shared" si="613"/>
        <v>2</v>
      </c>
      <c r="EA999" s="25">
        <f t="shared" si="614"/>
        <v>2</v>
      </c>
    </row>
    <row r="1000" spans="29:131" ht="13.5" customHeight="1">
      <c r="AC1000" s="9" t="str">
        <f t="shared" si="591"/>
        <v/>
      </c>
      <c r="AD1000" s="9" t="str">
        <f t="shared" si="592"/>
        <v/>
      </c>
      <c r="AE1000" s="9" t="str">
        <f t="shared" si="593"/>
        <v/>
      </c>
      <c r="AF1000" s="9" t="str">
        <f t="shared" si="594"/>
        <v/>
      </c>
      <c r="AG1000" s="9" t="str">
        <f t="shared" si="595"/>
        <v/>
      </c>
      <c r="AH1000" s="9" t="str">
        <f t="shared" si="596"/>
        <v/>
      </c>
      <c r="CR1000" s="3" t="b">
        <f t="shared" si="597"/>
        <v>1</v>
      </c>
      <c r="CS1000" s="3" t="b">
        <f t="shared" si="598"/>
        <v>1</v>
      </c>
      <c r="CT1000" s="3" t="b">
        <f t="shared" si="599"/>
        <v>1</v>
      </c>
      <c r="CU1000" s="3" t="b">
        <f t="shared" si="600"/>
        <v>1</v>
      </c>
      <c r="CV1000" s="3" t="b">
        <f t="shared" si="601"/>
        <v>1</v>
      </c>
      <c r="CW1000" s="3" t="b">
        <f t="shared" si="602"/>
        <v>1</v>
      </c>
      <c r="CX1000" s="9" t="str">
        <f t="shared" si="603"/>
        <v>5300135</v>
      </c>
      <c r="CY1000" s="9" t="str">
        <f t="shared" si="604"/>
        <v>5202135</v>
      </c>
      <c r="CZ1000" s="9" t="str">
        <f t="shared" si="605"/>
        <v>5202133</v>
      </c>
      <c r="DA1000" s="9" t="str">
        <f t="shared" si="606"/>
        <v>5401133</v>
      </c>
      <c r="DB1000" s="9" t="str">
        <f t="shared" si="607"/>
        <v>5400135</v>
      </c>
      <c r="DC1000" s="9" t="str">
        <f t="shared" si="608"/>
        <v>5400135</v>
      </c>
      <c r="DD1000" s="9">
        <v>13</v>
      </c>
      <c r="DE1000" s="9">
        <v>13</v>
      </c>
      <c r="DF1000" s="9">
        <v>13</v>
      </c>
      <c r="DG1000" s="9">
        <v>13</v>
      </c>
      <c r="DH1000" s="9">
        <v>13</v>
      </c>
      <c r="DI1000" s="9">
        <v>13</v>
      </c>
      <c r="DJ1000" s="9">
        <v>5</v>
      </c>
      <c r="DK1000" s="9">
        <v>5</v>
      </c>
      <c r="DL1000" s="9">
        <v>5</v>
      </c>
      <c r="DM1000" s="9">
        <v>5</v>
      </c>
      <c r="DN1000" s="9">
        <v>5</v>
      </c>
      <c r="DO1000" s="9">
        <v>5</v>
      </c>
      <c r="DP1000" s="25" t="s">
        <v>212</v>
      </c>
      <c r="DQ1000" s="25" t="s">
        <v>213</v>
      </c>
      <c r="DR1000" s="25" t="s">
        <v>208</v>
      </c>
      <c r="DS1000" s="25" t="s">
        <v>211</v>
      </c>
      <c r="DT1000" s="25" t="s">
        <v>210</v>
      </c>
      <c r="DU1000" s="25" t="s">
        <v>210</v>
      </c>
      <c r="DV1000" s="25">
        <f t="shared" si="609"/>
        <v>1</v>
      </c>
      <c r="DW1000" s="25">
        <f t="shared" si="610"/>
        <v>1</v>
      </c>
      <c r="DX1000" s="25">
        <f t="shared" si="611"/>
        <v>1</v>
      </c>
      <c r="DY1000" s="25">
        <f t="shared" si="612"/>
        <v>2</v>
      </c>
      <c r="DZ1000" s="25">
        <f t="shared" si="613"/>
        <v>2</v>
      </c>
      <c r="EA1000" s="25">
        <f t="shared" si="614"/>
        <v>2</v>
      </c>
    </row>
    <row r="1001" spans="29:131" ht="13.5" customHeight="1">
      <c r="AC1001" s="9" t="str">
        <f t="shared" si="591"/>
        <v/>
      </c>
      <c r="AD1001" s="9" t="str">
        <f t="shared" si="592"/>
        <v/>
      </c>
      <c r="AE1001" s="9" t="str">
        <f t="shared" si="593"/>
        <v/>
      </c>
      <c r="AF1001" s="9" t="str">
        <f t="shared" si="594"/>
        <v/>
      </c>
      <c r="AG1001" s="9" t="str">
        <f t="shared" si="595"/>
        <v/>
      </c>
      <c r="AH1001" s="9" t="str">
        <f t="shared" si="596"/>
        <v/>
      </c>
      <c r="CR1001" s="3" t="b">
        <f t="shared" si="597"/>
        <v>1</v>
      </c>
      <c r="CS1001" s="3" t="b">
        <f t="shared" si="598"/>
        <v>1</v>
      </c>
      <c r="CT1001" s="3" t="b">
        <f t="shared" si="599"/>
        <v>1</v>
      </c>
      <c r="CU1001" s="3" t="b">
        <f t="shared" si="600"/>
        <v>1</v>
      </c>
      <c r="CV1001" s="3" t="b">
        <f t="shared" si="601"/>
        <v>1</v>
      </c>
      <c r="CW1001" s="3" t="b">
        <f t="shared" si="602"/>
        <v>1</v>
      </c>
      <c r="CX1001" s="9" t="str">
        <f t="shared" si="603"/>
        <v>5202132</v>
      </c>
      <c r="CY1001" s="9" t="str">
        <f t="shared" si="604"/>
        <v>5202132</v>
      </c>
      <c r="CZ1001" s="9" t="str">
        <f t="shared" si="605"/>
        <v>5301132</v>
      </c>
      <c r="DA1001" s="9" t="str">
        <f t="shared" si="606"/>
        <v>5502132</v>
      </c>
      <c r="DB1001" s="9" t="str">
        <f t="shared" si="607"/>
        <v>5500131</v>
      </c>
      <c r="DC1001" s="9" t="str">
        <f t="shared" si="608"/>
        <v>5502131</v>
      </c>
      <c r="DD1001" s="9">
        <v>13</v>
      </c>
      <c r="DE1001" s="9">
        <v>13</v>
      </c>
      <c r="DF1001" s="9">
        <v>13</v>
      </c>
      <c r="DG1001" s="9">
        <v>13</v>
      </c>
      <c r="DH1001" s="9">
        <v>13</v>
      </c>
      <c r="DI1001" s="9">
        <v>13</v>
      </c>
      <c r="DJ1001" s="9">
        <v>5</v>
      </c>
      <c r="DK1001" s="9">
        <v>5</v>
      </c>
      <c r="DL1001" s="9">
        <v>5</v>
      </c>
      <c r="DM1001" s="9">
        <v>5</v>
      </c>
      <c r="DN1001" s="9">
        <v>5</v>
      </c>
      <c r="DO1001" s="9">
        <v>5</v>
      </c>
      <c r="DP1001" s="25" t="s">
        <v>200</v>
      </c>
      <c r="DQ1001" s="25" t="s">
        <v>200</v>
      </c>
      <c r="DR1001" s="25" t="s">
        <v>201</v>
      </c>
      <c r="DS1001" s="25" t="s">
        <v>204</v>
      </c>
      <c r="DT1001" s="25" t="s">
        <v>197</v>
      </c>
      <c r="DU1001" s="25" t="s">
        <v>119</v>
      </c>
      <c r="DV1001" s="25">
        <f t="shared" si="609"/>
        <v>1</v>
      </c>
      <c r="DW1001" s="25">
        <f t="shared" si="610"/>
        <v>1</v>
      </c>
      <c r="DX1001" s="25">
        <f t="shared" si="611"/>
        <v>1</v>
      </c>
      <c r="DY1001" s="25">
        <f t="shared" si="612"/>
        <v>2</v>
      </c>
      <c r="DZ1001" s="25">
        <f t="shared" si="613"/>
        <v>2</v>
      </c>
      <c r="EA1001" s="25">
        <f t="shared" si="614"/>
        <v>2</v>
      </c>
    </row>
    <row r="1002" spans="29:131" ht="13.5" customHeight="1">
      <c r="AC1002" s="9" t="str">
        <f t="shared" si="591"/>
        <v/>
      </c>
      <c r="AD1002" s="9" t="str">
        <f t="shared" si="592"/>
        <v/>
      </c>
      <c r="AE1002" s="9" t="str">
        <f t="shared" si="593"/>
        <v/>
      </c>
      <c r="AF1002" s="9" t="str">
        <f t="shared" si="594"/>
        <v/>
      </c>
      <c r="AG1002" s="9" t="str">
        <f t="shared" si="595"/>
        <v/>
      </c>
      <c r="AH1002" s="9" t="str">
        <f t="shared" si="596"/>
        <v/>
      </c>
      <c r="CR1002" s="3" t="b">
        <f t="shared" si="597"/>
        <v>1</v>
      </c>
      <c r="CS1002" s="3" t="b">
        <f t="shared" si="598"/>
        <v>1</v>
      </c>
      <c r="CT1002" s="3" t="b">
        <f t="shared" si="599"/>
        <v>1</v>
      </c>
      <c r="CU1002" s="3" t="b">
        <f t="shared" si="600"/>
        <v>1</v>
      </c>
      <c r="CV1002" s="3" t="b">
        <f t="shared" si="601"/>
        <v>1</v>
      </c>
      <c r="CW1002" s="3" t="b">
        <f t="shared" si="602"/>
        <v>1</v>
      </c>
      <c r="CX1002" s="9" t="str">
        <f t="shared" si="603"/>
        <v>5202133</v>
      </c>
      <c r="CY1002" s="9" t="str">
        <f t="shared" si="604"/>
        <v>5201133</v>
      </c>
      <c r="CZ1002" s="9" t="str">
        <f t="shared" si="605"/>
        <v>5302134</v>
      </c>
      <c r="DA1002" s="9" t="str">
        <f t="shared" si="606"/>
        <v>5400135</v>
      </c>
      <c r="DB1002" s="9" t="str">
        <f t="shared" si="607"/>
        <v>5601131</v>
      </c>
      <c r="DC1002" s="9" t="str">
        <f t="shared" si="608"/>
        <v>5501134</v>
      </c>
      <c r="DD1002" s="9">
        <v>13</v>
      </c>
      <c r="DE1002" s="9">
        <v>13</v>
      </c>
      <c r="DF1002" s="9">
        <v>13</v>
      </c>
      <c r="DG1002" s="9">
        <v>13</v>
      </c>
      <c r="DH1002" s="9">
        <v>13</v>
      </c>
      <c r="DI1002" s="9">
        <v>13</v>
      </c>
      <c r="DJ1002" s="9">
        <v>5</v>
      </c>
      <c r="DK1002" s="9">
        <v>5</v>
      </c>
      <c r="DL1002" s="9">
        <v>5</v>
      </c>
      <c r="DM1002" s="9">
        <v>5</v>
      </c>
      <c r="DN1002" s="9">
        <v>5</v>
      </c>
      <c r="DO1002" s="9">
        <v>5</v>
      </c>
      <c r="DP1002" s="25" t="s">
        <v>208</v>
      </c>
      <c r="DQ1002" s="25" t="s">
        <v>205</v>
      </c>
      <c r="DR1002" s="25" t="s">
        <v>218</v>
      </c>
      <c r="DS1002" s="25" t="s">
        <v>210</v>
      </c>
      <c r="DT1002" s="25" t="s">
        <v>198</v>
      </c>
      <c r="DU1002" s="25" t="s">
        <v>214</v>
      </c>
      <c r="DV1002" s="25">
        <f t="shared" si="609"/>
        <v>1</v>
      </c>
      <c r="DW1002" s="25">
        <f t="shared" si="610"/>
        <v>1</v>
      </c>
      <c r="DX1002" s="25">
        <f t="shared" si="611"/>
        <v>1</v>
      </c>
      <c r="DY1002" s="25">
        <f t="shared" si="612"/>
        <v>2</v>
      </c>
      <c r="DZ1002" s="25">
        <f t="shared" si="613"/>
        <v>2</v>
      </c>
      <c r="EA1002" s="25">
        <f t="shared" si="614"/>
        <v>2</v>
      </c>
    </row>
  </sheetData>
  <autoFilter ref="A3:IA1002" xr:uid="{00000000-0009-0000-0000-000000000000}"/>
  <phoneticPr fontId="9" type="noConversion"/>
  <conditionalFormatting sqref="EC101">
    <cfRule type="duplicateValues" dxfId="9" priority="10"/>
  </conditionalFormatting>
  <conditionalFormatting sqref="BR4:BR983">
    <cfRule type="duplicateValues" dxfId="8" priority="13"/>
  </conditionalFormatting>
  <conditionalFormatting sqref="EC4:EC88">
    <cfRule type="duplicateValues" dxfId="7" priority="1"/>
  </conditionalFormatting>
  <conditionalFormatting sqref="EC94:EC126">
    <cfRule type="duplicateValues" dxfId="6" priority="28"/>
  </conditionalFormatting>
  <conditionalFormatting sqref="EG1:EG36 EG70:EG175 EG369:EG1048576 EG202:EG335">
    <cfRule type="containsText" dxfId="5" priority="2" operator="containsText" text="沉默">
      <formula>NOT(ISERROR(SEARCH("沉默",EG1)))</formula>
    </cfRule>
    <cfRule type="containsText" dxfId="4" priority="3" operator="containsText" text="石化">
      <formula>NOT(ISERROR(SEARCH("石化",EG1)))</formula>
    </cfRule>
    <cfRule type="containsText" dxfId="3" priority="4" operator="containsText" text="沉默">
      <formula>NOT(ISERROR(SEARCH("沉默",EG1)))</formula>
    </cfRule>
    <cfRule type="containsText" dxfId="2" priority="5" operator="containsText" text="嘲讽">
      <formula>NOT(ISERROR(SEARCH("嘲讽",EG1)))</formula>
    </cfRule>
    <cfRule type="containsText" dxfId="1" priority="6" operator="containsText" text="冰冻">
      <formula>NOT(ISERROR(SEARCH("冰冻",EG1)))</formula>
    </cfRule>
    <cfRule type="containsText" dxfId="0" priority="7" operator="containsText" text="眩晕">
      <formula>NOT(ISERROR(SEARCH("眩晕",EG1)))</formula>
    </cfRule>
  </conditionalFormatting>
  <pageMargins left="0.7" right="0.7" top="0.75" bottom="0.75" header="0.3" footer="0.3"/>
  <pageSetup orientation="portrait"/>
  <headerFooter>
    <oddFooter>&amp;C&amp;"Helvetica Neue,Regular"&amp;12&amp;K000000&amp;P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J1131"/>
  <sheetViews>
    <sheetView topLeftCell="A801" workbookViewId="0">
      <selection activeCell="K817" sqref="K817"/>
    </sheetView>
  </sheetViews>
  <sheetFormatPr defaultColWidth="9" defaultRowHeight="13.5"/>
  <cols>
    <col min="1" max="17" width="9" style="5"/>
    <col min="18" max="18" width="12.75" style="5" customWidth="1"/>
    <col min="19" max="16384" width="9" style="5"/>
  </cols>
  <sheetData>
    <row r="1" spans="1:19" ht="14.25">
      <c r="A1" s="6" t="s">
        <v>222</v>
      </c>
      <c r="B1" s="5">
        <v>0</v>
      </c>
      <c r="C1" s="6" t="s">
        <v>223</v>
      </c>
      <c r="D1" s="6" t="s">
        <v>224</v>
      </c>
      <c r="E1" s="6" t="s">
        <v>225</v>
      </c>
      <c r="F1" s="6" t="s">
        <v>226</v>
      </c>
      <c r="G1" s="6" t="s">
        <v>227</v>
      </c>
      <c r="H1" s="5">
        <v>1</v>
      </c>
      <c r="I1" s="6" t="s">
        <v>228</v>
      </c>
    </row>
    <row r="2" spans="1:19" ht="14.25">
      <c r="B2" s="5">
        <v>1</v>
      </c>
      <c r="C2" s="6" t="s">
        <v>229</v>
      </c>
      <c r="H2" s="5">
        <v>2</v>
      </c>
      <c r="I2" s="6" t="s">
        <v>230</v>
      </c>
      <c r="J2" s="6" t="s">
        <v>231</v>
      </c>
      <c r="M2" s="5" t="s">
        <v>232</v>
      </c>
    </row>
    <row r="3" spans="1:19" ht="14.25">
      <c r="B3" s="5">
        <v>2</v>
      </c>
      <c r="C3" s="6" t="s">
        <v>233</v>
      </c>
      <c r="H3" s="5">
        <v>3</v>
      </c>
      <c r="I3" s="6" t="s">
        <v>234</v>
      </c>
      <c r="J3" s="6" t="s">
        <v>59</v>
      </c>
      <c r="M3" s="5">
        <v>15</v>
      </c>
      <c r="N3" s="5">
        <f>8*60*60/15</f>
        <v>1920</v>
      </c>
      <c r="O3" s="5">
        <f>N3*0.1</f>
        <v>192</v>
      </c>
      <c r="R3" s="5">
        <f>1+1+1+1+1+1+2+4+1+1+9+5</f>
        <v>28</v>
      </c>
      <c r="S3" s="5">
        <f>R3*4</f>
        <v>112</v>
      </c>
    </row>
    <row r="4" spans="1:19" ht="14.25">
      <c r="B4" s="5">
        <v>3</v>
      </c>
      <c r="C4" s="6" t="s">
        <v>235</v>
      </c>
    </row>
    <row r="5" spans="1:19" ht="14.25">
      <c r="B5" s="5">
        <v>4</v>
      </c>
      <c r="C5" s="6" t="s">
        <v>236</v>
      </c>
    </row>
    <row r="6" spans="1:19" ht="14.25">
      <c r="B6" s="5">
        <v>5</v>
      </c>
      <c r="C6" s="6" t="s">
        <v>234</v>
      </c>
      <c r="D6" s="6" t="s">
        <v>237</v>
      </c>
      <c r="E6" s="6" t="s">
        <v>238</v>
      </c>
    </row>
    <row r="7" spans="1:19" ht="14.25">
      <c r="B7" s="5">
        <v>6</v>
      </c>
      <c r="C7" s="6" t="s">
        <v>239</v>
      </c>
      <c r="D7" s="6" t="s">
        <v>227</v>
      </c>
      <c r="E7" s="6" t="s">
        <v>240</v>
      </c>
      <c r="F7" s="6" t="s">
        <v>238</v>
      </c>
    </row>
    <row r="8" spans="1:19" ht="14.25">
      <c r="B8" s="5">
        <v>7</v>
      </c>
      <c r="C8" s="6" t="s">
        <v>241</v>
      </c>
      <c r="D8" s="6" t="s">
        <v>237</v>
      </c>
    </row>
    <row r="9" spans="1:19" ht="14.25">
      <c r="B9" s="5">
        <v>8</v>
      </c>
      <c r="C9" s="6" t="s">
        <v>242</v>
      </c>
      <c r="D9" s="6" t="s">
        <v>59</v>
      </c>
    </row>
    <row r="10" spans="1:19" ht="14.25">
      <c r="B10" s="5">
        <v>9</v>
      </c>
      <c r="C10" s="6" t="s">
        <v>243</v>
      </c>
      <c r="D10" s="6"/>
    </row>
    <row r="11" spans="1:19" ht="14.25">
      <c r="B11" s="5">
        <v>10</v>
      </c>
      <c r="C11" s="6" t="s">
        <v>244</v>
      </c>
      <c r="D11" s="6" t="s">
        <v>245</v>
      </c>
    </row>
    <row r="12" spans="1:19" ht="14.25">
      <c r="B12" s="5">
        <v>11</v>
      </c>
      <c r="C12" s="6" t="s">
        <v>246</v>
      </c>
      <c r="D12" s="6" t="s">
        <v>231</v>
      </c>
    </row>
    <row r="13" spans="1:19" ht="14.25">
      <c r="B13" s="5">
        <v>12</v>
      </c>
      <c r="C13" s="6" t="s">
        <v>247</v>
      </c>
      <c r="D13" s="6"/>
    </row>
    <row r="14" spans="1:19" ht="14.25">
      <c r="B14" s="5">
        <v>13</v>
      </c>
      <c r="C14" s="6" t="s">
        <v>248</v>
      </c>
      <c r="D14" s="6"/>
    </row>
    <row r="15" spans="1:19" ht="14.25">
      <c r="B15" s="5">
        <v>14</v>
      </c>
      <c r="C15" s="6" t="s">
        <v>249</v>
      </c>
      <c r="D15" s="6"/>
    </row>
    <row r="16" spans="1:19" ht="14.25">
      <c r="C16" s="6"/>
      <c r="D16" s="6"/>
    </row>
    <row r="17" spans="1:18">
      <c r="B17" s="5" t="s">
        <v>250</v>
      </c>
      <c r="C17" s="5" t="s">
        <v>224</v>
      </c>
      <c r="D17" s="5" t="s">
        <v>225</v>
      </c>
      <c r="E17" s="5" t="s">
        <v>226</v>
      </c>
      <c r="F17" s="5" t="s">
        <v>251</v>
      </c>
      <c r="G17" s="5" t="s">
        <v>250</v>
      </c>
      <c r="H17" s="5" t="s">
        <v>224</v>
      </c>
      <c r="I17" s="5" t="s">
        <v>225</v>
      </c>
      <c r="J17" s="5" t="s">
        <v>226</v>
      </c>
      <c r="K17" s="5" t="s">
        <v>251</v>
      </c>
      <c r="L17" s="5" t="s">
        <v>250</v>
      </c>
      <c r="M17" s="5" t="s">
        <v>224</v>
      </c>
      <c r="N17" s="5" t="s">
        <v>225</v>
      </c>
      <c r="O17" s="5" t="s">
        <v>226</v>
      </c>
      <c r="P17" s="5" t="s">
        <v>251</v>
      </c>
    </row>
    <row r="18" spans="1:18" ht="14.25">
      <c r="A18" s="7">
        <v>1</v>
      </c>
      <c r="B18" s="5">
        <v>1</v>
      </c>
      <c r="C18" s="7">
        <v>0</v>
      </c>
      <c r="D18" s="5">
        <v>0</v>
      </c>
      <c r="E18" s="5">
        <v>0</v>
      </c>
      <c r="F18" s="5">
        <f>ROUNDUP(A18/10,0)*1000*5</f>
        <v>5000</v>
      </c>
      <c r="G18" s="8">
        <v>12</v>
      </c>
      <c r="H18" s="8">
        <v>0</v>
      </c>
      <c r="I18" s="8">
        <v>0</v>
      </c>
      <c r="J18" s="8">
        <v>0</v>
      </c>
      <c r="K18" s="5">
        <f>ROUNDUP(A18/10,0)*5</f>
        <v>5</v>
      </c>
    </row>
    <row r="19" spans="1:18" ht="14.25">
      <c r="A19" s="7">
        <v>2</v>
      </c>
      <c r="B19" s="5">
        <v>1</v>
      </c>
      <c r="C19" s="7">
        <v>0</v>
      </c>
      <c r="D19" s="5">
        <v>0</v>
      </c>
      <c r="E19" s="5">
        <v>0</v>
      </c>
      <c r="F19" s="5">
        <f t="shared" ref="F19:F47" si="0">ROUNDUP(A19/10,0)*1000*5</f>
        <v>5000</v>
      </c>
      <c r="G19" s="8">
        <v>12</v>
      </c>
      <c r="H19" s="8">
        <v>0</v>
      </c>
      <c r="I19" s="8">
        <v>0</v>
      </c>
      <c r="J19" s="8">
        <v>0</v>
      </c>
      <c r="K19" s="5">
        <f t="shared" ref="K19:K47" si="1">ROUNDUP(A19/10,0)*5</f>
        <v>5</v>
      </c>
    </row>
    <row r="20" spans="1:18" ht="14.25">
      <c r="A20" s="7">
        <v>3</v>
      </c>
      <c r="B20" s="5">
        <v>1</v>
      </c>
      <c r="C20" s="7">
        <v>0</v>
      </c>
      <c r="D20" s="5">
        <v>0</v>
      </c>
      <c r="E20" s="5">
        <v>0</v>
      </c>
      <c r="F20" s="5">
        <f t="shared" si="0"/>
        <v>5000</v>
      </c>
      <c r="G20" s="8">
        <v>12</v>
      </c>
      <c r="H20" s="8">
        <v>0</v>
      </c>
      <c r="I20" s="8">
        <v>0</v>
      </c>
      <c r="J20" s="8">
        <v>0</v>
      </c>
      <c r="K20" s="5">
        <f t="shared" si="1"/>
        <v>5</v>
      </c>
    </row>
    <row r="21" spans="1:18" ht="14.25">
      <c r="A21" s="7">
        <v>4</v>
      </c>
      <c r="B21" s="5">
        <v>1</v>
      </c>
      <c r="C21" s="7">
        <v>0</v>
      </c>
      <c r="D21" s="5">
        <v>0</v>
      </c>
      <c r="E21" s="5">
        <v>0</v>
      </c>
      <c r="F21" s="5">
        <f t="shared" si="0"/>
        <v>5000</v>
      </c>
      <c r="G21" s="8">
        <v>12</v>
      </c>
      <c r="H21" s="8">
        <v>0</v>
      </c>
      <c r="I21" s="8">
        <v>0</v>
      </c>
      <c r="J21" s="8">
        <v>0</v>
      </c>
      <c r="K21" s="5">
        <f t="shared" si="1"/>
        <v>5</v>
      </c>
    </row>
    <row r="22" spans="1:18" ht="14.25">
      <c r="A22" s="7">
        <v>5</v>
      </c>
      <c r="B22" s="5">
        <v>1</v>
      </c>
      <c r="C22" s="7">
        <v>0</v>
      </c>
      <c r="D22" s="5">
        <v>0</v>
      </c>
      <c r="E22" s="5">
        <v>0</v>
      </c>
      <c r="F22" s="5">
        <f t="shared" si="0"/>
        <v>5000</v>
      </c>
      <c r="G22" s="8">
        <v>12</v>
      </c>
      <c r="H22" s="8">
        <v>0</v>
      </c>
      <c r="I22" s="8">
        <v>0</v>
      </c>
      <c r="J22" s="8">
        <v>0</v>
      </c>
      <c r="K22" s="5">
        <f t="shared" si="1"/>
        <v>5</v>
      </c>
    </row>
    <row r="23" spans="1:18" ht="14.25">
      <c r="A23" s="7">
        <v>6</v>
      </c>
      <c r="B23" s="5">
        <v>1</v>
      </c>
      <c r="C23" s="7">
        <v>0</v>
      </c>
      <c r="D23" s="5">
        <v>0</v>
      </c>
      <c r="E23" s="5">
        <v>0</v>
      </c>
      <c r="F23" s="5">
        <f t="shared" si="0"/>
        <v>5000</v>
      </c>
      <c r="G23" s="8">
        <v>12</v>
      </c>
      <c r="H23" s="8">
        <v>0</v>
      </c>
      <c r="I23" s="8">
        <v>0</v>
      </c>
      <c r="J23" s="8">
        <v>0</v>
      </c>
      <c r="K23" s="5">
        <f t="shared" si="1"/>
        <v>5</v>
      </c>
    </row>
    <row r="24" spans="1:18" ht="14.25">
      <c r="A24" s="7">
        <v>7</v>
      </c>
      <c r="B24" s="5">
        <v>1</v>
      </c>
      <c r="C24" s="7">
        <v>0</v>
      </c>
      <c r="D24" s="5">
        <v>0</v>
      </c>
      <c r="E24" s="5">
        <v>0</v>
      </c>
      <c r="F24" s="5">
        <f t="shared" si="0"/>
        <v>5000</v>
      </c>
      <c r="G24" s="8">
        <v>12</v>
      </c>
      <c r="H24" s="8">
        <v>0</v>
      </c>
      <c r="I24" s="8">
        <v>0</v>
      </c>
      <c r="J24" s="8">
        <v>0</v>
      </c>
      <c r="K24" s="5">
        <f t="shared" si="1"/>
        <v>5</v>
      </c>
      <c r="Q24" s="8"/>
      <c r="R24" s="8"/>
    </row>
    <row r="25" spans="1:18" ht="14.25">
      <c r="A25" s="7">
        <v>8</v>
      </c>
      <c r="B25" s="5">
        <v>1</v>
      </c>
      <c r="C25" s="7">
        <v>0</v>
      </c>
      <c r="D25" s="5">
        <v>0</v>
      </c>
      <c r="E25" s="5">
        <v>0</v>
      </c>
      <c r="F25" s="5">
        <f t="shared" si="0"/>
        <v>5000</v>
      </c>
      <c r="G25" s="8">
        <v>12</v>
      </c>
      <c r="H25" s="8">
        <v>0</v>
      </c>
      <c r="I25" s="8">
        <v>0</v>
      </c>
      <c r="J25" s="8">
        <v>0</v>
      </c>
      <c r="K25" s="5">
        <f t="shared" si="1"/>
        <v>5</v>
      </c>
    </row>
    <row r="26" spans="1:18" ht="14.25">
      <c r="A26" s="7">
        <v>9</v>
      </c>
      <c r="B26" s="5">
        <v>1</v>
      </c>
      <c r="C26" s="7">
        <v>0</v>
      </c>
      <c r="D26" s="5">
        <v>0</v>
      </c>
      <c r="E26" s="5">
        <v>0</v>
      </c>
      <c r="F26" s="5">
        <f t="shared" si="0"/>
        <v>5000</v>
      </c>
      <c r="G26" s="8">
        <v>12</v>
      </c>
      <c r="H26" s="8">
        <v>0</v>
      </c>
      <c r="I26" s="8">
        <v>0</v>
      </c>
      <c r="J26" s="8">
        <v>0</v>
      </c>
      <c r="K26" s="5">
        <f t="shared" si="1"/>
        <v>5</v>
      </c>
    </row>
    <row r="27" spans="1:18" ht="14.25">
      <c r="A27" s="7">
        <v>10</v>
      </c>
      <c r="B27" s="5">
        <v>1</v>
      </c>
      <c r="C27" s="7">
        <v>0</v>
      </c>
      <c r="D27" s="5">
        <v>0</v>
      </c>
      <c r="E27" s="5">
        <v>0</v>
      </c>
      <c r="F27" s="5">
        <f t="shared" si="0"/>
        <v>5000</v>
      </c>
      <c r="G27" s="8">
        <v>12</v>
      </c>
      <c r="H27" s="8">
        <v>0</v>
      </c>
      <c r="I27" s="8">
        <v>0</v>
      </c>
      <c r="J27" s="8">
        <v>0</v>
      </c>
      <c r="K27" s="5">
        <f t="shared" si="1"/>
        <v>5</v>
      </c>
    </row>
    <row r="28" spans="1:18" ht="14.25">
      <c r="A28" s="7">
        <v>11</v>
      </c>
      <c r="B28" s="5">
        <v>1</v>
      </c>
      <c r="C28" s="7">
        <v>0</v>
      </c>
      <c r="D28" s="5">
        <v>0</v>
      </c>
      <c r="E28" s="5">
        <v>0</v>
      </c>
      <c r="F28" s="5">
        <f t="shared" si="0"/>
        <v>10000</v>
      </c>
      <c r="G28" s="8">
        <v>12</v>
      </c>
      <c r="H28" s="8">
        <v>0</v>
      </c>
      <c r="I28" s="8">
        <v>0</v>
      </c>
      <c r="J28" s="8">
        <v>0</v>
      </c>
      <c r="K28" s="5">
        <f t="shared" si="1"/>
        <v>10</v>
      </c>
    </row>
    <row r="29" spans="1:18" ht="14.25">
      <c r="A29" s="7">
        <v>12</v>
      </c>
      <c r="B29" s="5">
        <v>1</v>
      </c>
      <c r="C29" s="7">
        <v>0</v>
      </c>
      <c r="D29" s="5">
        <v>0</v>
      </c>
      <c r="E29" s="5">
        <v>0</v>
      </c>
      <c r="F29" s="5">
        <f t="shared" si="0"/>
        <v>10000</v>
      </c>
      <c r="G29" s="8">
        <v>12</v>
      </c>
      <c r="H29" s="8">
        <v>0</v>
      </c>
      <c r="I29" s="8">
        <v>0</v>
      </c>
      <c r="J29" s="8">
        <v>0</v>
      </c>
      <c r="K29" s="5">
        <f t="shared" si="1"/>
        <v>10</v>
      </c>
      <c r="M29" s="7"/>
    </row>
    <row r="30" spans="1:18" ht="14.25">
      <c r="A30" s="7">
        <v>13</v>
      </c>
      <c r="B30" s="5">
        <v>1</v>
      </c>
      <c r="C30" s="7">
        <v>0</v>
      </c>
      <c r="D30" s="5">
        <v>0</v>
      </c>
      <c r="E30" s="5">
        <v>0</v>
      </c>
      <c r="F30" s="5">
        <f t="shared" si="0"/>
        <v>10000</v>
      </c>
      <c r="G30" s="8">
        <v>12</v>
      </c>
      <c r="H30" s="8">
        <v>0</v>
      </c>
      <c r="I30" s="8">
        <v>0</v>
      </c>
      <c r="J30" s="8">
        <v>0</v>
      </c>
      <c r="K30" s="5">
        <f t="shared" si="1"/>
        <v>10</v>
      </c>
    </row>
    <row r="31" spans="1:18" ht="14.25">
      <c r="A31" s="7">
        <v>14</v>
      </c>
      <c r="B31" s="5">
        <v>1</v>
      </c>
      <c r="C31" s="7">
        <v>0</v>
      </c>
      <c r="D31" s="5">
        <v>0</v>
      </c>
      <c r="E31" s="5">
        <v>0</v>
      </c>
      <c r="F31" s="5">
        <f t="shared" si="0"/>
        <v>10000</v>
      </c>
      <c r="G31" s="8">
        <v>12</v>
      </c>
      <c r="H31" s="8">
        <v>0</v>
      </c>
      <c r="I31" s="8">
        <v>0</v>
      </c>
      <c r="J31" s="8">
        <v>0</v>
      </c>
      <c r="K31" s="5">
        <f t="shared" si="1"/>
        <v>10</v>
      </c>
    </row>
    <row r="32" spans="1:18" ht="14.25">
      <c r="A32" s="7">
        <v>15</v>
      </c>
      <c r="B32" s="5">
        <v>1</v>
      </c>
      <c r="C32" s="7">
        <v>0</v>
      </c>
      <c r="D32" s="5">
        <v>0</v>
      </c>
      <c r="E32" s="5">
        <v>0</v>
      </c>
      <c r="F32" s="5">
        <f t="shared" si="0"/>
        <v>10000</v>
      </c>
      <c r="G32" s="8">
        <v>12</v>
      </c>
      <c r="H32" s="8">
        <v>0</v>
      </c>
      <c r="I32" s="8">
        <v>0</v>
      </c>
      <c r="J32" s="8">
        <v>0</v>
      </c>
      <c r="K32" s="5">
        <f t="shared" si="1"/>
        <v>10</v>
      </c>
      <c r="M32" s="7"/>
    </row>
    <row r="33" spans="1:18" ht="14.25">
      <c r="A33" s="7">
        <v>16</v>
      </c>
      <c r="B33" s="5">
        <v>1</v>
      </c>
      <c r="C33" s="7">
        <v>0</v>
      </c>
      <c r="D33" s="5">
        <v>0</v>
      </c>
      <c r="E33" s="5">
        <v>0</v>
      </c>
      <c r="F33" s="5">
        <f t="shared" si="0"/>
        <v>10000</v>
      </c>
      <c r="G33" s="8">
        <v>12</v>
      </c>
      <c r="H33" s="8">
        <v>0</v>
      </c>
      <c r="I33" s="8">
        <v>0</v>
      </c>
      <c r="J33" s="8">
        <v>0</v>
      </c>
      <c r="K33" s="5">
        <f t="shared" si="1"/>
        <v>10</v>
      </c>
      <c r="Q33" s="8"/>
      <c r="R33" s="8"/>
    </row>
    <row r="34" spans="1:18" ht="14.25">
      <c r="A34" s="7">
        <v>17</v>
      </c>
      <c r="B34" s="5">
        <v>1</v>
      </c>
      <c r="C34" s="7">
        <v>0</v>
      </c>
      <c r="D34" s="5">
        <v>0</v>
      </c>
      <c r="E34" s="5">
        <v>0</v>
      </c>
      <c r="F34" s="5">
        <f t="shared" si="0"/>
        <v>10000</v>
      </c>
      <c r="G34" s="8">
        <v>12</v>
      </c>
      <c r="H34" s="8">
        <v>0</v>
      </c>
      <c r="I34" s="8">
        <v>0</v>
      </c>
      <c r="J34" s="8">
        <v>0</v>
      </c>
      <c r="K34" s="5">
        <f t="shared" si="1"/>
        <v>10</v>
      </c>
      <c r="Q34" s="8"/>
      <c r="R34" s="8"/>
    </row>
    <row r="35" spans="1:18" ht="14.25">
      <c r="A35" s="7">
        <v>18</v>
      </c>
      <c r="B35" s="5">
        <v>1</v>
      </c>
      <c r="C35" s="7">
        <v>0</v>
      </c>
      <c r="D35" s="5">
        <v>0</v>
      </c>
      <c r="E35" s="5">
        <v>0</v>
      </c>
      <c r="F35" s="5">
        <f t="shared" si="0"/>
        <v>10000</v>
      </c>
      <c r="G35" s="8">
        <v>12</v>
      </c>
      <c r="H35" s="8">
        <v>0</v>
      </c>
      <c r="I35" s="8">
        <v>0</v>
      </c>
      <c r="J35" s="8">
        <v>0</v>
      </c>
      <c r="K35" s="5">
        <f t="shared" si="1"/>
        <v>10</v>
      </c>
      <c r="M35" s="7"/>
    </row>
    <row r="36" spans="1:18" ht="14.25">
      <c r="A36" s="7">
        <v>19</v>
      </c>
      <c r="B36" s="5">
        <v>1</v>
      </c>
      <c r="C36" s="7">
        <v>0</v>
      </c>
      <c r="D36" s="5">
        <v>0</v>
      </c>
      <c r="E36" s="5">
        <v>0</v>
      </c>
      <c r="F36" s="5">
        <f t="shared" si="0"/>
        <v>10000</v>
      </c>
      <c r="G36" s="8">
        <v>12</v>
      </c>
      <c r="H36" s="8">
        <v>0</v>
      </c>
      <c r="I36" s="8">
        <v>0</v>
      </c>
      <c r="J36" s="8">
        <v>0</v>
      </c>
      <c r="K36" s="5">
        <f t="shared" si="1"/>
        <v>10</v>
      </c>
      <c r="Q36" s="8"/>
      <c r="R36" s="8"/>
    </row>
    <row r="37" spans="1:18" ht="14.25">
      <c r="A37" s="7">
        <v>20</v>
      </c>
      <c r="B37" s="5">
        <v>1</v>
      </c>
      <c r="C37" s="7">
        <v>0</v>
      </c>
      <c r="D37" s="5">
        <v>0</v>
      </c>
      <c r="E37" s="5">
        <v>0</v>
      </c>
      <c r="F37" s="5">
        <f t="shared" si="0"/>
        <v>10000</v>
      </c>
      <c r="G37" s="8">
        <v>12</v>
      </c>
      <c r="H37" s="8">
        <v>0</v>
      </c>
      <c r="I37" s="8">
        <v>0</v>
      </c>
      <c r="J37" s="8">
        <v>0</v>
      </c>
      <c r="K37" s="5">
        <f t="shared" si="1"/>
        <v>10</v>
      </c>
      <c r="Q37" s="8"/>
      <c r="R37" s="8"/>
    </row>
    <row r="38" spans="1:18" ht="14.25">
      <c r="A38" s="7">
        <v>21</v>
      </c>
      <c r="B38" s="5">
        <v>1</v>
      </c>
      <c r="C38" s="7">
        <v>0</v>
      </c>
      <c r="D38" s="5">
        <v>0</v>
      </c>
      <c r="E38" s="5">
        <v>0</v>
      </c>
      <c r="F38" s="5">
        <f t="shared" si="0"/>
        <v>15000</v>
      </c>
      <c r="G38" s="8">
        <v>12</v>
      </c>
      <c r="H38" s="8">
        <v>0</v>
      </c>
      <c r="I38" s="8">
        <v>0</v>
      </c>
      <c r="J38" s="8">
        <v>0</v>
      </c>
      <c r="K38" s="5">
        <f t="shared" si="1"/>
        <v>15</v>
      </c>
      <c r="M38" s="7"/>
    </row>
    <row r="39" spans="1:18" ht="14.25">
      <c r="A39" s="7">
        <v>22</v>
      </c>
      <c r="B39" s="5">
        <v>1</v>
      </c>
      <c r="C39" s="7">
        <v>0</v>
      </c>
      <c r="D39" s="5">
        <v>0</v>
      </c>
      <c r="E39" s="5">
        <v>0</v>
      </c>
      <c r="F39" s="5">
        <f t="shared" si="0"/>
        <v>15000</v>
      </c>
      <c r="G39" s="8">
        <v>12</v>
      </c>
      <c r="H39" s="8">
        <v>0</v>
      </c>
      <c r="I39" s="8">
        <v>0</v>
      </c>
      <c r="J39" s="8">
        <v>0</v>
      </c>
      <c r="K39" s="5">
        <f t="shared" si="1"/>
        <v>15</v>
      </c>
      <c r="Q39" s="8"/>
      <c r="R39" s="8"/>
    </row>
    <row r="40" spans="1:18" ht="14.25">
      <c r="A40" s="7">
        <v>23</v>
      </c>
      <c r="B40" s="5">
        <v>1</v>
      </c>
      <c r="C40" s="7">
        <v>0</v>
      </c>
      <c r="D40" s="5">
        <v>0</v>
      </c>
      <c r="E40" s="5">
        <v>0</v>
      </c>
      <c r="F40" s="5">
        <f t="shared" si="0"/>
        <v>15000</v>
      </c>
      <c r="G40" s="8">
        <v>12</v>
      </c>
      <c r="H40" s="8">
        <v>0</v>
      </c>
      <c r="I40" s="8">
        <v>0</v>
      </c>
      <c r="J40" s="8">
        <v>0</v>
      </c>
      <c r="K40" s="5">
        <f t="shared" si="1"/>
        <v>15</v>
      </c>
      <c r="Q40" s="8"/>
      <c r="R40" s="8"/>
    </row>
    <row r="41" spans="1:18" ht="14.25">
      <c r="A41" s="7">
        <v>24</v>
      </c>
      <c r="B41" s="5">
        <v>1</v>
      </c>
      <c r="C41" s="7">
        <v>0</v>
      </c>
      <c r="D41" s="5">
        <v>0</v>
      </c>
      <c r="E41" s="5">
        <v>0</v>
      </c>
      <c r="F41" s="5">
        <f t="shared" si="0"/>
        <v>15000</v>
      </c>
      <c r="G41" s="8">
        <v>12</v>
      </c>
      <c r="H41" s="8">
        <v>0</v>
      </c>
      <c r="I41" s="8">
        <v>0</v>
      </c>
      <c r="J41" s="8">
        <v>0</v>
      </c>
      <c r="K41" s="5">
        <f t="shared" si="1"/>
        <v>15</v>
      </c>
      <c r="M41" s="7"/>
    </row>
    <row r="42" spans="1:18" ht="14.25">
      <c r="A42" s="7">
        <v>25</v>
      </c>
      <c r="B42" s="5">
        <v>1</v>
      </c>
      <c r="C42" s="7">
        <v>0</v>
      </c>
      <c r="D42" s="5">
        <v>0</v>
      </c>
      <c r="E42" s="5">
        <v>0</v>
      </c>
      <c r="F42" s="5">
        <f t="shared" si="0"/>
        <v>15000</v>
      </c>
      <c r="G42" s="8">
        <v>12</v>
      </c>
      <c r="H42" s="8">
        <v>0</v>
      </c>
      <c r="I42" s="8">
        <v>0</v>
      </c>
      <c r="J42" s="8">
        <v>0</v>
      </c>
      <c r="K42" s="5">
        <f t="shared" si="1"/>
        <v>15</v>
      </c>
      <c r="Q42" s="8"/>
      <c r="R42" s="8"/>
    </row>
    <row r="43" spans="1:18" ht="14.25">
      <c r="A43" s="7">
        <v>26</v>
      </c>
      <c r="B43" s="5">
        <v>1</v>
      </c>
      <c r="C43" s="7">
        <v>0</v>
      </c>
      <c r="D43" s="5">
        <v>0</v>
      </c>
      <c r="E43" s="5">
        <v>0</v>
      </c>
      <c r="F43" s="5">
        <f t="shared" si="0"/>
        <v>15000</v>
      </c>
      <c r="G43" s="8">
        <v>12</v>
      </c>
      <c r="H43" s="8">
        <v>0</v>
      </c>
      <c r="I43" s="8">
        <v>0</v>
      </c>
      <c r="J43" s="8">
        <v>0</v>
      </c>
      <c r="K43" s="5">
        <f t="shared" si="1"/>
        <v>15</v>
      </c>
      <c r="Q43" s="8"/>
      <c r="R43" s="8"/>
    </row>
    <row r="44" spans="1:18" ht="14.25">
      <c r="A44" s="7">
        <v>27</v>
      </c>
      <c r="B44" s="5">
        <v>1</v>
      </c>
      <c r="C44" s="7">
        <v>0</v>
      </c>
      <c r="D44" s="5">
        <v>0</v>
      </c>
      <c r="E44" s="5">
        <v>0</v>
      </c>
      <c r="F44" s="5">
        <f t="shared" si="0"/>
        <v>15000</v>
      </c>
      <c r="G44" s="8">
        <v>12</v>
      </c>
      <c r="H44" s="8">
        <v>0</v>
      </c>
      <c r="I44" s="8">
        <v>0</v>
      </c>
      <c r="J44" s="8">
        <v>0</v>
      </c>
      <c r="K44" s="5">
        <f t="shared" si="1"/>
        <v>15</v>
      </c>
      <c r="M44" s="7"/>
    </row>
    <row r="45" spans="1:18" ht="14.25">
      <c r="A45" s="7">
        <v>28</v>
      </c>
      <c r="B45" s="5">
        <v>1</v>
      </c>
      <c r="C45" s="7">
        <v>0</v>
      </c>
      <c r="D45" s="5">
        <v>0</v>
      </c>
      <c r="E45" s="5">
        <v>0</v>
      </c>
      <c r="F45" s="5">
        <f t="shared" si="0"/>
        <v>15000</v>
      </c>
      <c r="G45" s="8">
        <v>12</v>
      </c>
      <c r="H45" s="8">
        <v>0</v>
      </c>
      <c r="I45" s="8">
        <v>0</v>
      </c>
      <c r="J45" s="8">
        <v>0</v>
      </c>
      <c r="K45" s="5">
        <f t="shared" si="1"/>
        <v>15</v>
      </c>
      <c r="Q45" s="8"/>
      <c r="R45" s="8"/>
    </row>
    <row r="46" spans="1:18" ht="14.25">
      <c r="A46" s="7">
        <v>29</v>
      </c>
      <c r="B46" s="5">
        <v>1</v>
      </c>
      <c r="C46" s="7">
        <v>0</v>
      </c>
      <c r="D46" s="5">
        <v>0</v>
      </c>
      <c r="E46" s="5">
        <v>0</v>
      </c>
      <c r="F46" s="5">
        <f t="shared" si="0"/>
        <v>15000</v>
      </c>
      <c r="G46" s="8">
        <v>12</v>
      </c>
      <c r="H46" s="8">
        <v>0</v>
      </c>
      <c r="I46" s="8">
        <v>0</v>
      </c>
      <c r="J46" s="8">
        <v>0</v>
      </c>
      <c r="K46" s="5">
        <f t="shared" si="1"/>
        <v>15</v>
      </c>
      <c r="Q46" s="8"/>
      <c r="R46" s="8"/>
    </row>
    <row r="47" spans="1:18" ht="14.25">
      <c r="A47" s="7">
        <v>30</v>
      </c>
      <c r="B47" s="5">
        <v>1</v>
      </c>
      <c r="C47" s="7">
        <v>0</v>
      </c>
      <c r="D47" s="5">
        <v>0</v>
      </c>
      <c r="E47" s="5">
        <v>0</v>
      </c>
      <c r="F47" s="5">
        <f t="shared" si="0"/>
        <v>15000</v>
      </c>
      <c r="G47" s="8">
        <v>12</v>
      </c>
      <c r="H47" s="8">
        <v>0</v>
      </c>
      <c r="I47" s="8">
        <v>0</v>
      </c>
      <c r="J47" s="8">
        <v>0</v>
      </c>
      <c r="K47" s="5">
        <f t="shared" si="1"/>
        <v>15</v>
      </c>
    </row>
    <row r="48" spans="1:18" ht="14.25">
      <c r="A48" s="7">
        <v>31</v>
      </c>
      <c r="B48" s="5">
        <v>1</v>
      </c>
      <c r="C48" s="7">
        <v>0</v>
      </c>
      <c r="D48" s="5">
        <v>0</v>
      </c>
      <c r="E48" s="5">
        <v>0</v>
      </c>
      <c r="F48" s="5">
        <f>ROUNDUP(A48/15,0)*1000*5</f>
        <v>15000</v>
      </c>
      <c r="G48" s="8">
        <v>12</v>
      </c>
      <c r="H48" s="8">
        <v>0</v>
      </c>
      <c r="I48" s="8">
        <v>0</v>
      </c>
      <c r="J48" s="8">
        <v>0</v>
      </c>
      <c r="K48" s="5">
        <f>ROUNDUP(A48/15,0)*5</f>
        <v>15</v>
      </c>
      <c r="R48" s="7"/>
    </row>
    <row r="49" spans="1:18" ht="14.25">
      <c r="A49" s="7">
        <v>32</v>
      </c>
      <c r="B49" s="5">
        <v>1</v>
      </c>
      <c r="C49" s="7">
        <v>0</v>
      </c>
      <c r="D49" s="5">
        <v>0</v>
      </c>
      <c r="E49" s="5">
        <v>0</v>
      </c>
      <c r="F49" s="5">
        <f t="shared" ref="F49:F112" si="2">ROUNDUP(A49/15,0)*1000*5</f>
        <v>15000</v>
      </c>
      <c r="G49" s="8">
        <v>12</v>
      </c>
      <c r="H49" s="8">
        <v>0</v>
      </c>
      <c r="I49" s="8">
        <v>0</v>
      </c>
      <c r="J49" s="8">
        <v>0</v>
      </c>
      <c r="K49" s="5">
        <f t="shared" ref="K49:K112" si="3">ROUNDUP(A49/15,0)*5</f>
        <v>15</v>
      </c>
      <c r="R49" s="7"/>
    </row>
    <row r="50" spans="1:18" ht="14.25">
      <c r="A50" s="7">
        <v>33</v>
      </c>
      <c r="B50" s="5">
        <v>1</v>
      </c>
      <c r="C50" s="7">
        <v>0</v>
      </c>
      <c r="D50" s="5">
        <v>0</v>
      </c>
      <c r="E50" s="5">
        <v>0</v>
      </c>
      <c r="F50" s="5">
        <f t="shared" si="2"/>
        <v>15000</v>
      </c>
      <c r="G50" s="8">
        <v>12</v>
      </c>
      <c r="H50" s="8">
        <v>0</v>
      </c>
      <c r="I50" s="8">
        <v>0</v>
      </c>
      <c r="J50" s="8">
        <v>0</v>
      </c>
      <c r="K50" s="5">
        <f t="shared" si="3"/>
        <v>15</v>
      </c>
      <c r="R50" s="7"/>
    </row>
    <row r="51" spans="1:18" ht="14.25">
      <c r="A51" s="7">
        <v>34</v>
      </c>
      <c r="B51" s="5">
        <v>1</v>
      </c>
      <c r="C51" s="7">
        <v>0</v>
      </c>
      <c r="D51" s="5">
        <v>0</v>
      </c>
      <c r="E51" s="5">
        <v>0</v>
      </c>
      <c r="F51" s="5">
        <f t="shared" si="2"/>
        <v>15000</v>
      </c>
      <c r="G51" s="8">
        <v>12</v>
      </c>
      <c r="H51" s="8">
        <v>0</v>
      </c>
      <c r="I51" s="8">
        <v>0</v>
      </c>
      <c r="J51" s="8">
        <v>0</v>
      </c>
      <c r="K51" s="5">
        <f t="shared" si="3"/>
        <v>15</v>
      </c>
      <c r="R51" s="7"/>
    </row>
    <row r="52" spans="1:18" ht="14.25">
      <c r="A52" s="7">
        <v>35</v>
      </c>
      <c r="B52" s="5">
        <v>1</v>
      </c>
      <c r="C52" s="7">
        <v>0</v>
      </c>
      <c r="D52" s="5">
        <v>0</v>
      </c>
      <c r="E52" s="5">
        <v>0</v>
      </c>
      <c r="F52" s="5">
        <f t="shared" si="2"/>
        <v>15000</v>
      </c>
      <c r="G52" s="8">
        <v>12</v>
      </c>
      <c r="H52" s="8">
        <v>0</v>
      </c>
      <c r="I52" s="8">
        <v>0</v>
      </c>
      <c r="J52" s="8">
        <v>0</v>
      </c>
      <c r="K52" s="5">
        <f t="shared" si="3"/>
        <v>15</v>
      </c>
      <c r="R52" s="7"/>
    </row>
    <row r="53" spans="1:18" ht="14.25">
      <c r="A53" s="7">
        <v>36</v>
      </c>
      <c r="B53" s="5">
        <v>1</v>
      </c>
      <c r="C53" s="7">
        <v>0</v>
      </c>
      <c r="D53" s="5">
        <v>0</v>
      </c>
      <c r="E53" s="5">
        <v>0</v>
      </c>
      <c r="F53" s="5">
        <f t="shared" si="2"/>
        <v>15000</v>
      </c>
      <c r="G53" s="8">
        <v>12</v>
      </c>
      <c r="H53" s="8">
        <v>0</v>
      </c>
      <c r="I53" s="8">
        <v>0</v>
      </c>
      <c r="J53" s="8">
        <v>0</v>
      </c>
      <c r="K53" s="5">
        <f t="shared" si="3"/>
        <v>15</v>
      </c>
      <c r="R53" s="7"/>
    </row>
    <row r="54" spans="1:18" ht="14.25">
      <c r="A54" s="7">
        <v>37</v>
      </c>
      <c r="B54" s="5">
        <v>1</v>
      </c>
      <c r="C54" s="7">
        <v>0</v>
      </c>
      <c r="D54" s="5">
        <v>0</v>
      </c>
      <c r="E54" s="5">
        <v>0</v>
      </c>
      <c r="F54" s="5">
        <f t="shared" si="2"/>
        <v>15000</v>
      </c>
      <c r="G54" s="8">
        <v>12</v>
      </c>
      <c r="H54" s="8">
        <v>0</v>
      </c>
      <c r="I54" s="8">
        <v>0</v>
      </c>
      <c r="J54" s="8">
        <v>0</v>
      </c>
      <c r="K54" s="5">
        <f t="shared" si="3"/>
        <v>15</v>
      </c>
      <c r="R54" s="7"/>
    </row>
    <row r="55" spans="1:18" ht="14.25">
      <c r="A55" s="7">
        <v>38</v>
      </c>
      <c r="B55" s="5">
        <v>1</v>
      </c>
      <c r="C55" s="7">
        <v>0</v>
      </c>
      <c r="D55" s="5">
        <v>0</v>
      </c>
      <c r="E55" s="5">
        <v>0</v>
      </c>
      <c r="F55" s="5">
        <f t="shared" si="2"/>
        <v>15000</v>
      </c>
      <c r="G55" s="8">
        <v>12</v>
      </c>
      <c r="H55" s="8">
        <v>0</v>
      </c>
      <c r="I55" s="8">
        <v>0</v>
      </c>
      <c r="J55" s="8">
        <v>0</v>
      </c>
      <c r="K55" s="5">
        <f t="shared" si="3"/>
        <v>15</v>
      </c>
      <c r="R55" s="7"/>
    </row>
    <row r="56" spans="1:18" ht="14.25">
      <c r="A56" s="7">
        <v>39</v>
      </c>
      <c r="B56" s="5">
        <v>1</v>
      </c>
      <c r="C56" s="7">
        <v>0</v>
      </c>
      <c r="D56" s="5">
        <v>0</v>
      </c>
      <c r="E56" s="5">
        <v>0</v>
      </c>
      <c r="F56" s="5">
        <f t="shared" si="2"/>
        <v>15000</v>
      </c>
      <c r="G56" s="8">
        <v>12</v>
      </c>
      <c r="H56" s="8">
        <v>0</v>
      </c>
      <c r="I56" s="8">
        <v>0</v>
      </c>
      <c r="J56" s="8">
        <v>0</v>
      </c>
      <c r="K56" s="5">
        <f t="shared" si="3"/>
        <v>15</v>
      </c>
      <c r="R56" s="7"/>
    </row>
    <row r="57" spans="1:18" ht="14.25">
      <c r="A57" s="7">
        <v>40</v>
      </c>
      <c r="B57" s="5">
        <v>1</v>
      </c>
      <c r="C57" s="7">
        <v>0</v>
      </c>
      <c r="D57" s="5">
        <v>0</v>
      </c>
      <c r="E57" s="5">
        <v>0</v>
      </c>
      <c r="F57" s="5">
        <f t="shared" si="2"/>
        <v>15000</v>
      </c>
      <c r="G57" s="8">
        <v>12</v>
      </c>
      <c r="H57" s="8">
        <v>0</v>
      </c>
      <c r="I57" s="8">
        <v>0</v>
      </c>
      <c r="J57" s="8">
        <v>0</v>
      </c>
      <c r="K57" s="5">
        <f t="shared" si="3"/>
        <v>15</v>
      </c>
      <c r="R57" s="7"/>
    </row>
    <row r="58" spans="1:18" ht="14.25">
      <c r="A58" s="7">
        <v>41</v>
      </c>
      <c r="B58" s="5">
        <v>1</v>
      </c>
      <c r="C58" s="7">
        <v>0</v>
      </c>
      <c r="D58" s="5">
        <v>0</v>
      </c>
      <c r="E58" s="5">
        <v>0</v>
      </c>
      <c r="F58" s="5">
        <f t="shared" si="2"/>
        <v>15000</v>
      </c>
      <c r="G58" s="8">
        <v>12</v>
      </c>
      <c r="H58" s="8">
        <v>0</v>
      </c>
      <c r="I58" s="8">
        <v>0</v>
      </c>
      <c r="J58" s="8">
        <v>0</v>
      </c>
      <c r="K58" s="5">
        <f t="shared" si="3"/>
        <v>15</v>
      </c>
      <c r="R58" s="7"/>
    </row>
    <row r="59" spans="1:18" ht="14.25">
      <c r="A59" s="7">
        <v>42</v>
      </c>
      <c r="B59" s="5">
        <v>1</v>
      </c>
      <c r="C59" s="7">
        <v>0</v>
      </c>
      <c r="D59" s="5">
        <v>0</v>
      </c>
      <c r="E59" s="5">
        <v>0</v>
      </c>
      <c r="F59" s="5">
        <f t="shared" si="2"/>
        <v>15000</v>
      </c>
      <c r="G59" s="8">
        <v>12</v>
      </c>
      <c r="H59" s="8">
        <v>0</v>
      </c>
      <c r="I59" s="8">
        <v>0</v>
      </c>
      <c r="J59" s="8">
        <v>0</v>
      </c>
      <c r="K59" s="5">
        <f t="shared" si="3"/>
        <v>15</v>
      </c>
      <c r="R59" s="7"/>
    </row>
    <row r="60" spans="1:18" ht="14.25">
      <c r="A60" s="7">
        <v>43</v>
      </c>
      <c r="B60" s="5">
        <v>1</v>
      </c>
      <c r="C60" s="7">
        <v>0</v>
      </c>
      <c r="D60" s="5">
        <v>0</v>
      </c>
      <c r="E60" s="5">
        <v>0</v>
      </c>
      <c r="F60" s="5">
        <f t="shared" si="2"/>
        <v>15000</v>
      </c>
      <c r="G60" s="8">
        <v>12</v>
      </c>
      <c r="H60" s="8">
        <v>0</v>
      </c>
      <c r="I60" s="8">
        <v>0</v>
      </c>
      <c r="J60" s="8">
        <v>0</v>
      </c>
      <c r="K60" s="5">
        <f t="shared" si="3"/>
        <v>15</v>
      </c>
      <c r="R60" s="7"/>
    </row>
    <row r="61" spans="1:18" ht="14.25">
      <c r="A61" s="7">
        <v>44</v>
      </c>
      <c r="B61" s="5">
        <v>1</v>
      </c>
      <c r="C61" s="7">
        <v>0</v>
      </c>
      <c r="D61" s="5">
        <v>0</v>
      </c>
      <c r="E61" s="5">
        <v>0</v>
      </c>
      <c r="F61" s="5">
        <f t="shared" si="2"/>
        <v>15000</v>
      </c>
      <c r="G61" s="8">
        <v>12</v>
      </c>
      <c r="H61" s="8">
        <v>0</v>
      </c>
      <c r="I61" s="8">
        <v>0</v>
      </c>
      <c r="J61" s="8">
        <v>0</v>
      </c>
      <c r="K61" s="5">
        <f t="shared" si="3"/>
        <v>15</v>
      </c>
      <c r="R61" s="7"/>
    </row>
    <row r="62" spans="1:18" ht="14.25">
      <c r="A62" s="7">
        <v>45</v>
      </c>
      <c r="B62" s="5">
        <v>1</v>
      </c>
      <c r="C62" s="7">
        <v>0</v>
      </c>
      <c r="D62" s="5">
        <v>0</v>
      </c>
      <c r="E62" s="5">
        <v>0</v>
      </c>
      <c r="F62" s="5">
        <f t="shared" si="2"/>
        <v>15000</v>
      </c>
      <c r="G62" s="8">
        <v>12</v>
      </c>
      <c r="H62" s="8">
        <v>0</v>
      </c>
      <c r="I62" s="8">
        <v>0</v>
      </c>
      <c r="J62" s="8">
        <v>0</v>
      </c>
      <c r="K62" s="5">
        <f t="shared" si="3"/>
        <v>15</v>
      </c>
      <c r="R62" s="7"/>
    </row>
    <row r="63" spans="1:18" ht="14.25">
      <c r="A63" s="7">
        <v>46</v>
      </c>
      <c r="B63" s="5">
        <v>1</v>
      </c>
      <c r="C63" s="7">
        <v>0</v>
      </c>
      <c r="D63" s="5">
        <v>0</v>
      </c>
      <c r="E63" s="5">
        <v>0</v>
      </c>
      <c r="F63" s="5">
        <f t="shared" si="2"/>
        <v>20000</v>
      </c>
      <c r="G63" s="8">
        <v>12</v>
      </c>
      <c r="H63" s="8">
        <v>0</v>
      </c>
      <c r="I63" s="8">
        <v>0</v>
      </c>
      <c r="J63" s="8">
        <v>0</v>
      </c>
      <c r="K63" s="5">
        <f t="shared" si="3"/>
        <v>20</v>
      </c>
      <c r="R63" s="7"/>
    </row>
    <row r="64" spans="1:18" ht="14.25">
      <c r="A64" s="7">
        <v>47</v>
      </c>
      <c r="B64" s="5">
        <v>1</v>
      </c>
      <c r="C64" s="7">
        <v>0</v>
      </c>
      <c r="D64" s="5">
        <v>0</v>
      </c>
      <c r="E64" s="5">
        <v>0</v>
      </c>
      <c r="F64" s="5">
        <f t="shared" si="2"/>
        <v>20000</v>
      </c>
      <c r="G64" s="8">
        <v>12</v>
      </c>
      <c r="H64" s="8">
        <v>0</v>
      </c>
      <c r="I64" s="8">
        <v>0</v>
      </c>
      <c r="J64" s="8">
        <v>0</v>
      </c>
      <c r="K64" s="5">
        <f t="shared" si="3"/>
        <v>20</v>
      </c>
      <c r="R64" s="7"/>
    </row>
    <row r="65" spans="1:36" ht="14.25">
      <c r="A65" s="7">
        <v>48</v>
      </c>
      <c r="B65" s="5">
        <v>1</v>
      </c>
      <c r="C65" s="7">
        <v>0</v>
      </c>
      <c r="D65" s="5">
        <v>0</v>
      </c>
      <c r="E65" s="5">
        <v>0</v>
      </c>
      <c r="F65" s="5">
        <f t="shared" si="2"/>
        <v>20000</v>
      </c>
      <c r="G65" s="8">
        <v>12</v>
      </c>
      <c r="H65" s="8">
        <v>0</v>
      </c>
      <c r="I65" s="8">
        <v>0</v>
      </c>
      <c r="J65" s="8">
        <v>0</v>
      </c>
      <c r="K65" s="5">
        <f t="shared" si="3"/>
        <v>20</v>
      </c>
      <c r="R65" s="7"/>
    </row>
    <row r="66" spans="1:36" ht="14.25">
      <c r="A66" s="7">
        <v>49</v>
      </c>
      <c r="B66" s="5">
        <v>1</v>
      </c>
      <c r="C66" s="7">
        <v>0</v>
      </c>
      <c r="D66" s="5">
        <v>0</v>
      </c>
      <c r="E66" s="5">
        <v>0</v>
      </c>
      <c r="F66" s="5">
        <f t="shared" si="2"/>
        <v>20000</v>
      </c>
      <c r="G66" s="8">
        <v>12</v>
      </c>
      <c r="H66" s="8">
        <v>0</v>
      </c>
      <c r="I66" s="8">
        <v>0</v>
      </c>
      <c r="J66" s="8">
        <v>0</v>
      </c>
      <c r="K66" s="5">
        <f t="shared" si="3"/>
        <v>20</v>
      </c>
      <c r="R66" s="7"/>
    </row>
    <row r="67" spans="1:36" ht="14.25">
      <c r="A67" s="7">
        <v>50</v>
      </c>
      <c r="B67" s="5">
        <v>1</v>
      </c>
      <c r="C67" s="7">
        <v>0</v>
      </c>
      <c r="D67" s="5">
        <v>0</v>
      </c>
      <c r="E67" s="5">
        <v>0</v>
      </c>
      <c r="F67" s="5">
        <f t="shared" si="2"/>
        <v>20000</v>
      </c>
      <c r="G67" s="8">
        <v>12</v>
      </c>
      <c r="H67" s="8">
        <v>0</v>
      </c>
      <c r="I67" s="8">
        <v>0</v>
      </c>
      <c r="J67" s="8">
        <v>0</v>
      </c>
      <c r="K67" s="5">
        <f t="shared" si="3"/>
        <v>20</v>
      </c>
      <c r="R67" s="7"/>
    </row>
    <row r="68" spans="1:36" ht="14.25">
      <c r="A68" s="7">
        <v>51</v>
      </c>
      <c r="B68" s="5">
        <v>1</v>
      </c>
      <c r="C68" s="7">
        <v>0</v>
      </c>
      <c r="D68" s="5">
        <v>0</v>
      </c>
      <c r="E68" s="5">
        <v>0</v>
      </c>
      <c r="F68" s="5">
        <f t="shared" si="2"/>
        <v>20000</v>
      </c>
      <c r="G68" s="8">
        <v>12</v>
      </c>
      <c r="H68" s="8">
        <v>0</v>
      </c>
      <c r="I68" s="8">
        <v>0</v>
      </c>
      <c r="J68" s="8">
        <v>0</v>
      </c>
      <c r="K68" s="5">
        <f t="shared" si="3"/>
        <v>20</v>
      </c>
      <c r="R68" s="7"/>
    </row>
    <row r="69" spans="1:36" ht="14.25">
      <c r="A69" s="7">
        <v>52</v>
      </c>
      <c r="B69" s="5">
        <v>1</v>
      </c>
      <c r="C69" s="7">
        <v>0</v>
      </c>
      <c r="D69" s="5">
        <v>0</v>
      </c>
      <c r="E69" s="5">
        <v>0</v>
      </c>
      <c r="F69" s="5">
        <f t="shared" si="2"/>
        <v>20000</v>
      </c>
      <c r="G69" s="8">
        <v>12</v>
      </c>
      <c r="H69" s="8">
        <v>0</v>
      </c>
      <c r="I69" s="8">
        <v>0</v>
      </c>
      <c r="J69" s="8">
        <v>0</v>
      </c>
      <c r="K69" s="5">
        <f t="shared" si="3"/>
        <v>20</v>
      </c>
      <c r="R69" s="7"/>
      <c r="V69" s="8"/>
    </row>
    <row r="70" spans="1:36" ht="14.25">
      <c r="A70" s="7">
        <v>53</v>
      </c>
      <c r="B70" s="5">
        <v>1</v>
      </c>
      <c r="C70" s="7">
        <v>0</v>
      </c>
      <c r="D70" s="5">
        <v>0</v>
      </c>
      <c r="E70" s="5">
        <v>0</v>
      </c>
      <c r="F70" s="5">
        <f t="shared" si="2"/>
        <v>20000</v>
      </c>
      <c r="G70" s="8">
        <v>12</v>
      </c>
      <c r="H70" s="8">
        <v>0</v>
      </c>
      <c r="I70" s="8">
        <v>0</v>
      </c>
      <c r="J70" s="8">
        <v>0</v>
      </c>
      <c r="K70" s="5">
        <f t="shared" si="3"/>
        <v>20</v>
      </c>
      <c r="R70" s="7"/>
      <c r="V70" s="8"/>
    </row>
    <row r="71" spans="1:36" ht="14.25">
      <c r="A71" s="7">
        <v>54</v>
      </c>
      <c r="B71" s="5">
        <v>1</v>
      </c>
      <c r="C71" s="7">
        <v>0</v>
      </c>
      <c r="D71" s="5">
        <v>0</v>
      </c>
      <c r="E71" s="5">
        <v>0</v>
      </c>
      <c r="F71" s="5">
        <f t="shared" si="2"/>
        <v>20000</v>
      </c>
      <c r="G71" s="8">
        <v>12</v>
      </c>
      <c r="H71" s="8">
        <v>0</v>
      </c>
      <c r="I71" s="8">
        <v>0</v>
      </c>
      <c r="J71" s="8">
        <v>0</v>
      </c>
      <c r="K71" s="5">
        <f t="shared" si="3"/>
        <v>20</v>
      </c>
      <c r="R71" s="7"/>
      <c r="V71" s="8"/>
    </row>
    <row r="72" spans="1:36" ht="14.25">
      <c r="A72" s="7">
        <v>55</v>
      </c>
      <c r="B72" s="5">
        <v>1</v>
      </c>
      <c r="C72" s="7">
        <v>0</v>
      </c>
      <c r="D72" s="5">
        <v>0</v>
      </c>
      <c r="E72" s="5">
        <v>0</v>
      </c>
      <c r="F72" s="5">
        <f t="shared" si="2"/>
        <v>20000</v>
      </c>
      <c r="G72" s="8">
        <v>12</v>
      </c>
      <c r="H72" s="8">
        <v>0</v>
      </c>
      <c r="I72" s="8">
        <v>0</v>
      </c>
      <c r="J72" s="8">
        <v>0</v>
      </c>
      <c r="K72" s="5">
        <f t="shared" si="3"/>
        <v>20</v>
      </c>
      <c r="R72" s="7"/>
      <c r="V72" s="8"/>
    </row>
    <row r="73" spans="1:36" ht="14.25">
      <c r="A73" s="7">
        <v>56</v>
      </c>
      <c r="B73" s="5">
        <v>1</v>
      </c>
      <c r="C73" s="7">
        <v>0</v>
      </c>
      <c r="D73" s="5">
        <v>0</v>
      </c>
      <c r="E73" s="5">
        <v>0</v>
      </c>
      <c r="F73" s="5">
        <f t="shared" si="2"/>
        <v>20000</v>
      </c>
      <c r="G73" s="8">
        <v>12</v>
      </c>
      <c r="H73" s="8">
        <v>0</v>
      </c>
      <c r="I73" s="8">
        <v>0</v>
      </c>
      <c r="J73" s="8">
        <v>0</v>
      </c>
      <c r="K73" s="5">
        <f t="shared" si="3"/>
        <v>20</v>
      </c>
      <c r="R73" s="7"/>
      <c r="V73" s="8"/>
    </row>
    <row r="74" spans="1:36" ht="14.25">
      <c r="A74" s="7">
        <v>57</v>
      </c>
      <c r="B74" s="5">
        <v>1</v>
      </c>
      <c r="C74" s="7">
        <v>0</v>
      </c>
      <c r="D74" s="5">
        <v>0</v>
      </c>
      <c r="E74" s="5">
        <v>0</v>
      </c>
      <c r="F74" s="5">
        <f t="shared" si="2"/>
        <v>20000</v>
      </c>
      <c r="G74" s="8">
        <v>12</v>
      </c>
      <c r="H74" s="8">
        <v>0</v>
      </c>
      <c r="I74" s="8">
        <v>0</v>
      </c>
      <c r="J74" s="8">
        <v>0</v>
      </c>
      <c r="K74" s="5">
        <f t="shared" si="3"/>
        <v>20</v>
      </c>
      <c r="R74" s="7"/>
      <c r="V74" s="8"/>
    </row>
    <row r="75" spans="1:36" ht="14.25">
      <c r="A75" s="7">
        <v>58</v>
      </c>
      <c r="B75" s="5">
        <v>1</v>
      </c>
      <c r="C75" s="7">
        <v>0</v>
      </c>
      <c r="D75" s="5">
        <v>0</v>
      </c>
      <c r="E75" s="5">
        <v>0</v>
      </c>
      <c r="F75" s="5">
        <f t="shared" si="2"/>
        <v>20000</v>
      </c>
      <c r="G75" s="8">
        <v>12</v>
      </c>
      <c r="H75" s="8">
        <v>0</v>
      </c>
      <c r="I75" s="8">
        <v>0</v>
      </c>
      <c r="J75" s="8">
        <v>0</v>
      </c>
      <c r="K75" s="5">
        <f t="shared" si="3"/>
        <v>20</v>
      </c>
      <c r="R75" s="7"/>
      <c r="V75" s="8"/>
    </row>
    <row r="76" spans="1:36" ht="14.25">
      <c r="A76" s="7">
        <v>59</v>
      </c>
      <c r="B76" s="5">
        <v>1</v>
      </c>
      <c r="C76" s="7">
        <v>0</v>
      </c>
      <c r="D76" s="5">
        <v>0</v>
      </c>
      <c r="E76" s="5">
        <v>0</v>
      </c>
      <c r="F76" s="5">
        <f t="shared" si="2"/>
        <v>20000</v>
      </c>
      <c r="G76" s="8">
        <v>12</v>
      </c>
      <c r="H76" s="8">
        <v>0</v>
      </c>
      <c r="I76" s="8">
        <v>0</v>
      </c>
      <c r="J76" s="8">
        <v>0</v>
      </c>
      <c r="K76" s="5">
        <f t="shared" si="3"/>
        <v>20</v>
      </c>
      <c r="R76" s="7"/>
      <c r="V76" s="8"/>
    </row>
    <row r="77" spans="1:36" ht="14.25">
      <c r="A77" s="7">
        <v>60</v>
      </c>
      <c r="B77" s="5">
        <v>1</v>
      </c>
      <c r="C77" s="7">
        <v>0</v>
      </c>
      <c r="D77" s="5">
        <v>0</v>
      </c>
      <c r="E77" s="5">
        <v>0</v>
      </c>
      <c r="F77" s="5">
        <f t="shared" si="2"/>
        <v>20000</v>
      </c>
      <c r="G77" s="8">
        <v>12</v>
      </c>
      <c r="H77" s="8">
        <v>0</v>
      </c>
      <c r="I77" s="8">
        <v>0</v>
      </c>
      <c r="J77" s="8">
        <v>0</v>
      </c>
      <c r="K77" s="5">
        <f t="shared" si="3"/>
        <v>20</v>
      </c>
      <c r="R77" s="7"/>
      <c r="V77" s="8"/>
    </row>
    <row r="78" spans="1:36" ht="14.25">
      <c r="A78" s="7">
        <v>61</v>
      </c>
      <c r="B78" s="5">
        <v>1</v>
      </c>
      <c r="C78" s="7">
        <v>0</v>
      </c>
      <c r="D78" s="5">
        <v>0</v>
      </c>
      <c r="E78" s="5">
        <v>0</v>
      </c>
      <c r="F78" s="5">
        <f t="shared" si="2"/>
        <v>25000</v>
      </c>
      <c r="G78" s="8">
        <v>12</v>
      </c>
      <c r="H78" s="8">
        <v>0</v>
      </c>
      <c r="I78" s="8">
        <v>0</v>
      </c>
      <c r="J78" s="8">
        <v>0</v>
      </c>
      <c r="K78" s="5">
        <f t="shared" si="3"/>
        <v>25</v>
      </c>
      <c r="R78" s="7"/>
      <c r="V78" s="8"/>
    </row>
    <row r="79" spans="1:36" ht="14.25">
      <c r="A79" s="7">
        <v>62</v>
      </c>
      <c r="B79" s="5">
        <v>1</v>
      </c>
      <c r="C79" s="7">
        <v>0</v>
      </c>
      <c r="D79" s="5">
        <v>0</v>
      </c>
      <c r="E79" s="5">
        <v>0</v>
      </c>
      <c r="F79" s="5">
        <f t="shared" si="2"/>
        <v>25000</v>
      </c>
      <c r="G79" s="8">
        <v>12</v>
      </c>
      <c r="H79" s="8">
        <v>0</v>
      </c>
      <c r="I79" s="8">
        <v>0</v>
      </c>
      <c r="J79" s="8">
        <v>0</v>
      </c>
      <c r="K79" s="5">
        <f t="shared" si="3"/>
        <v>25</v>
      </c>
      <c r="R79" s="7"/>
      <c r="V79" s="8"/>
      <c r="AI79" s="8"/>
      <c r="AJ79" s="8"/>
    </row>
    <row r="80" spans="1:36" ht="14.25">
      <c r="A80" s="7">
        <v>63</v>
      </c>
      <c r="B80" s="5">
        <v>1</v>
      </c>
      <c r="C80" s="7">
        <v>0</v>
      </c>
      <c r="D80" s="5">
        <v>0</v>
      </c>
      <c r="E80" s="5">
        <v>0</v>
      </c>
      <c r="F80" s="5">
        <f t="shared" si="2"/>
        <v>25000</v>
      </c>
      <c r="G80" s="8">
        <v>12</v>
      </c>
      <c r="H80" s="8">
        <v>0</v>
      </c>
      <c r="I80" s="8">
        <v>0</v>
      </c>
      <c r="J80" s="8">
        <v>0</v>
      </c>
      <c r="K80" s="5">
        <f t="shared" si="3"/>
        <v>25</v>
      </c>
      <c r="R80" s="7"/>
      <c r="V80" s="8"/>
    </row>
    <row r="81" spans="1:22" ht="14.25">
      <c r="A81" s="7">
        <v>64</v>
      </c>
      <c r="B81" s="5">
        <v>1</v>
      </c>
      <c r="C81" s="7">
        <v>0</v>
      </c>
      <c r="D81" s="5">
        <v>0</v>
      </c>
      <c r="E81" s="5">
        <v>0</v>
      </c>
      <c r="F81" s="5">
        <f t="shared" si="2"/>
        <v>25000</v>
      </c>
      <c r="G81" s="8">
        <v>12</v>
      </c>
      <c r="H81" s="8">
        <v>0</v>
      </c>
      <c r="I81" s="8">
        <v>0</v>
      </c>
      <c r="J81" s="8">
        <v>0</v>
      </c>
      <c r="K81" s="5">
        <f t="shared" si="3"/>
        <v>25</v>
      </c>
      <c r="R81" s="7"/>
      <c r="V81" s="8"/>
    </row>
    <row r="82" spans="1:22" ht="14.25">
      <c r="A82" s="7">
        <v>65</v>
      </c>
      <c r="B82" s="5">
        <v>1</v>
      </c>
      <c r="C82" s="7">
        <v>0</v>
      </c>
      <c r="D82" s="5">
        <v>0</v>
      </c>
      <c r="E82" s="5">
        <v>0</v>
      </c>
      <c r="F82" s="5">
        <f t="shared" si="2"/>
        <v>25000</v>
      </c>
      <c r="G82" s="8">
        <v>12</v>
      </c>
      <c r="H82" s="8">
        <v>0</v>
      </c>
      <c r="I82" s="8">
        <v>0</v>
      </c>
      <c r="J82" s="8">
        <v>0</v>
      </c>
      <c r="K82" s="5">
        <f t="shared" si="3"/>
        <v>25</v>
      </c>
      <c r="R82" s="7"/>
      <c r="V82" s="8"/>
    </row>
    <row r="83" spans="1:22" ht="14.25">
      <c r="A83" s="7">
        <v>66</v>
      </c>
      <c r="B83" s="5">
        <v>1</v>
      </c>
      <c r="C83" s="7">
        <v>0</v>
      </c>
      <c r="D83" s="5">
        <v>0</v>
      </c>
      <c r="E83" s="5">
        <v>0</v>
      </c>
      <c r="F83" s="5">
        <f t="shared" si="2"/>
        <v>25000</v>
      </c>
      <c r="G83" s="8">
        <v>12</v>
      </c>
      <c r="H83" s="8">
        <v>0</v>
      </c>
      <c r="I83" s="8">
        <v>0</v>
      </c>
      <c r="J83" s="8">
        <v>0</v>
      </c>
      <c r="K83" s="5">
        <f t="shared" si="3"/>
        <v>25</v>
      </c>
      <c r="R83" s="7"/>
      <c r="V83" s="8"/>
    </row>
    <row r="84" spans="1:22" ht="14.25">
      <c r="A84" s="7">
        <v>67</v>
      </c>
      <c r="B84" s="5">
        <v>1</v>
      </c>
      <c r="C84" s="7">
        <v>0</v>
      </c>
      <c r="D84" s="5">
        <v>0</v>
      </c>
      <c r="E84" s="5">
        <v>0</v>
      </c>
      <c r="F84" s="5">
        <f t="shared" si="2"/>
        <v>25000</v>
      </c>
      <c r="G84" s="8">
        <v>12</v>
      </c>
      <c r="H84" s="8">
        <v>0</v>
      </c>
      <c r="I84" s="8">
        <v>0</v>
      </c>
      <c r="J84" s="8">
        <v>0</v>
      </c>
      <c r="K84" s="5">
        <f t="shared" si="3"/>
        <v>25</v>
      </c>
      <c r="R84" s="7"/>
      <c r="V84" s="8"/>
    </row>
    <row r="85" spans="1:22" ht="14.25">
      <c r="A85" s="7">
        <v>68</v>
      </c>
      <c r="B85" s="5">
        <v>1</v>
      </c>
      <c r="C85" s="7">
        <v>0</v>
      </c>
      <c r="D85" s="5">
        <v>0</v>
      </c>
      <c r="E85" s="5">
        <v>0</v>
      </c>
      <c r="F85" s="5">
        <f t="shared" si="2"/>
        <v>25000</v>
      </c>
      <c r="G85" s="8">
        <v>12</v>
      </c>
      <c r="H85" s="8">
        <v>0</v>
      </c>
      <c r="I85" s="8">
        <v>0</v>
      </c>
      <c r="J85" s="8">
        <v>0</v>
      </c>
      <c r="K85" s="5">
        <f t="shared" si="3"/>
        <v>25</v>
      </c>
      <c r="R85" s="7"/>
      <c r="V85" s="8"/>
    </row>
    <row r="86" spans="1:22" ht="14.25">
      <c r="A86" s="7">
        <v>69</v>
      </c>
      <c r="B86" s="5">
        <v>1</v>
      </c>
      <c r="C86" s="7">
        <v>0</v>
      </c>
      <c r="D86" s="5">
        <v>0</v>
      </c>
      <c r="E86" s="5">
        <v>0</v>
      </c>
      <c r="F86" s="5">
        <f t="shared" si="2"/>
        <v>25000</v>
      </c>
      <c r="G86" s="8">
        <v>12</v>
      </c>
      <c r="H86" s="8">
        <v>0</v>
      </c>
      <c r="I86" s="8">
        <v>0</v>
      </c>
      <c r="J86" s="8">
        <v>0</v>
      </c>
      <c r="K86" s="5">
        <f t="shared" si="3"/>
        <v>25</v>
      </c>
      <c r="R86" s="7"/>
      <c r="V86" s="8"/>
    </row>
    <row r="87" spans="1:22" ht="14.25">
      <c r="A87" s="7">
        <v>70</v>
      </c>
      <c r="B87" s="5">
        <v>1</v>
      </c>
      <c r="C87" s="7">
        <v>0</v>
      </c>
      <c r="D87" s="5">
        <v>0</v>
      </c>
      <c r="E87" s="5">
        <v>0</v>
      </c>
      <c r="F87" s="5">
        <f t="shared" si="2"/>
        <v>25000</v>
      </c>
      <c r="G87" s="8">
        <v>12</v>
      </c>
      <c r="H87" s="8">
        <v>0</v>
      </c>
      <c r="I87" s="8">
        <v>0</v>
      </c>
      <c r="J87" s="8">
        <v>0</v>
      </c>
      <c r="K87" s="5">
        <f t="shared" si="3"/>
        <v>25</v>
      </c>
      <c r="R87" s="7"/>
      <c r="V87" s="8"/>
    </row>
    <row r="88" spans="1:22" ht="14.25">
      <c r="A88" s="7">
        <v>71</v>
      </c>
      <c r="B88" s="5">
        <v>1</v>
      </c>
      <c r="C88" s="7">
        <v>0</v>
      </c>
      <c r="D88" s="5">
        <v>0</v>
      </c>
      <c r="E88" s="5">
        <v>0</v>
      </c>
      <c r="F88" s="5">
        <f t="shared" si="2"/>
        <v>25000</v>
      </c>
      <c r="G88" s="8">
        <v>12</v>
      </c>
      <c r="H88" s="8">
        <v>0</v>
      </c>
      <c r="I88" s="8">
        <v>0</v>
      </c>
      <c r="J88" s="8">
        <v>0</v>
      </c>
      <c r="K88" s="5">
        <f t="shared" si="3"/>
        <v>25</v>
      </c>
    </row>
    <row r="89" spans="1:22" ht="14.25">
      <c r="A89" s="7">
        <v>72</v>
      </c>
      <c r="B89" s="5">
        <v>1</v>
      </c>
      <c r="C89" s="7">
        <v>0</v>
      </c>
      <c r="D89" s="5">
        <v>0</v>
      </c>
      <c r="E89" s="5">
        <v>0</v>
      </c>
      <c r="F89" s="5">
        <f t="shared" si="2"/>
        <v>25000</v>
      </c>
      <c r="G89" s="8">
        <v>12</v>
      </c>
      <c r="H89" s="8">
        <v>0</v>
      </c>
      <c r="I89" s="8">
        <v>0</v>
      </c>
      <c r="J89" s="8">
        <v>0</v>
      </c>
      <c r="K89" s="5">
        <f t="shared" si="3"/>
        <v>25</v>
      </c>
    </row>
    <row r="90" spans="1:22" ht="14.25">
      <c r="A90" s="7">
        <v>73</v>
      </c>
      <c r="B90" s="5">
        <v>1</v>
      </c>
      <c r="C90" s="7">
        <v>0</v>
      </c>
      <c r="D90" s="5">
        <v>0</v>
      </c>
      <c r="E90" s="5">
        <v>0</v>
      </c>
      <c r="F90" s="5">
        <f t="shared" si="2"/>
        <v>25000</v>
      </c>
      <c r="G90" s="8">
        <v>12</v>
      </c>
      <c r="H90" s="8">
        <v>0</v>
      </c>
      <c r="I90" s="8">
        <v>0</v>
      </c>
      <c r="J90" s="8">
        <v>0</v>
      </c>
      <c r="K90" s="5">
        <f t="shared" si="3"/>
        <v>25</v>
      </c>
    </row>
    <row r="91" spans="1:22" ht="14.25">
      <c r="A91" s="7">
        <v>74</v>
      </c>
      <c r="B91" s="5">
        <v>1</v>
      </c>
      <c r="C91" s="7">
        <v>0</v>
      </c>
      <c r="D91" s="5">
        <v>0</v>
      </c>
      <c r="E91" s="5">
        <v>0</v>
      </c>
      <c r="F91" s="5">
        <f t="shared" si="2"/>
        <v>25000</v>
      </c>
      <c r="G91" s="8">
        <v>12</v>
      </c>
      <c r="H91" s="8">
        <v>0</v>
      </c>
      <c r="I91" s="8">
        <v>0</v>
      </c>
      <c r="J91" s="8">
        <v>0</v>
      </c>
      <c r="K91" s="5">
        <f t="shared" si="3"/>
        <v>25</v>
      </c>
    </row>
    <row r="92" spans="1:22" ht="14.25">
      <c r="A92" s="7">
        <v>75</v>
      </c>
      <c r="B92" s="5">
        <v>1</v>
      </c>
      <c r="C92" s="7">
        <v>0</v>
      </c>
      <c r="D92" s="5">
        <v>0</v>
      </c>
      <c r="E92" s="5">
        <v>0</v>
      </c>
      <c r="F92" s="5">
        <f t="shared" si="2"/>
        <v>25000</v>
      </c>
      <c r="G92" s="8">
        <v>12</v>
      </c>
      <c r="H92" s="8">
        <v>0</v>
      </c>
      <c r="I92" s="8">
        <v>0</v>
      </c>
      <c r="J92" s="8">
        <v>0</v>
      </c>
      <c r="K92" s="5">
        <f t="shared" si="3"/>
        <v>25</v>
      </c>
    </row>
    <row r="93" spans="1:22" ht="14.25">
      <c r="A93" s="7">
        <v>76</v>
      </c>
      <c r="B93" s="5">
        <v>1</v>
      </c>
      <c r="C93" s="7">
        <v>0</v>
      </c>
      <c r="D93" s="5">
        <v>0</v>
      </c>
      <c r="E93" s="5">
        <v>0</v>
      </c>
      <c r="F93" s="5">
        <f t="shared" si="2"/>
        <v>30000</v>
      </c>
      <c r="G93" s="8">
        <v>12</v>
      </c>
      <c r="H93" s="8">
        <v>0</v>
      </c>
      <c r="I93" s="8">
        <v>0</v>
      </c>
      <c r="J93" s="8">
        <v>0</v>
      </c>
      <c r="K93" s="5">
        <f t="shared" si="3"/>
        <v>30</v>
      </c>
    </row>
    <row r="94" spans="1:22" ht="14.25">
      <c r="A94" s="7">
        <v>77</v>
      </c>
      <c r="B94" s="5">
        <v>1</v>
      </c>
      <c r="C94" s="7">
        <v>0</v>
      </c>
      <c r="D94" s="5">
        <v>0</v>
      </c>
      <c r="E94" s="5">
        <v>0</v>
      </c>
      <c r="F94" s="5">
        <f t="shared" si="2"/>
        <v>30000</v>
      </c>
      <c r="G94" s="8">
        <v>12</v>
      </c>
      <c r="H94" s="8">
        <v>0</v>
      </c>
      <c r="I94" s="8">
        <v>0</v>
      </c>
      <c r="J94" s="8">
        <v>0</v>
      </c>
      <c r="K94" s="5">
        <f t="shared" si="3"/>
        <v>30</v>
      </c>
    </row>
    <row r="95" spans="1:22" ht="14.25">
      <c r="A95" s="7">
        <v>78</v>
      </c>
      <c r="B95" s="5">
        <v>1</v>
      </c>
      <c r="C95" s="7">
        <v>0</v>
      </c>
      <c r="D95" s="5">
        <v>0</v>
      </c>
      <c r="E95" s="5">
        <v>0</v>
      </c>
      <c r="F95" s="5">
        <f t="shared" si="2"/>
        <v>30000</v>
      </c>
      <c r="G95" s="8">
        <v>12</v>
      </c>
      <c r="H95" s="8">
        <v>0</v>
      </c>
      <c r="I95" s="8">
        <v>0</v>
      </c>
      <c r="J95" s="8">
        <v>0</v>
      </c>
      <c r="K95" s="5">
        <f t="shared" si="3"/>
        <v>30</v>
      </c>
    </row>
    <row r="96" spans="1:22" ht="14.25">
      <c r="A96" s="7">
        <v>79</v>
      </c>
      <c r="B96" s="5">
        <v>1</v>
      </c>
      <c r="C96" s="7">
        <v>0</v>
      </c>
      <c r="D96" s="5">
        <v>0</v>
      </c>
      <c r="E96" s="5">
        <v>0</v>
      </c>
      <c r="F96" s="5">
        <f t="shared" si="2"/>
        <v>30000</v>
      </c>
      <c r="G96" s="8">
        <v>12</v>
      </c>
      <c r="H96" s="8">
        <v>0</v>
      </c>
      <c r="I96" s="8">
        <v>0</v>
      </c>
      <c r="J96" s="8">
        <v>0</v>
      </c>
      <c r="K96" s="5">
        <f t="shared" si="3"/>
        <v>30</v>
      </c>
    </row>
    <row r="97" spans="1:11" ht="14.25">
      <c r="A97" s="7">
        <v>80</v>
      </c>
      <c r="B97" s="5">
        <v>1</v>
      </c>
      <c r="C97" s="7">
        <v>0</v>
      </c>
      <c r="D97" s="5">
        <v>0</v>
      </c>
      <c r="E97" s="5">
        <v>0</v>
      </c>
      <c r="F97" s="5">
        <f t="shared" si="2"/>
        <v>30000</v>
      </c>
      <c r="G97" s="8">
        <v>12</v>
      </c>
      <c r="H97" s="8">
        <v>0</v>
      </c>
      <c r="I97" s="8">
        <v>0</v>
      </c>
      <c r="J97" s="8">
        <v>0</v>
      </c>
      <c r="K97" s="5">
        <f t="shared" si="3"/>
        <v>30</v>
      </c>
    </row>
    <row r="98" spans="1:11" ht="14.25">
      <c r="A98" s="7">
        <v>81</v>
      </c>
      <c r="B98" s="5">
        <v>1</v>
      </c>
      <c r="C98" s="7">
        <v>0</v>
      </c>
      <c r="D98" s="5">
        <v>0</v>
      </c>
      <c r="E98" s="5">
        <v>0</v>
      </c>
      <c r="F98" s="5">
        <f t="shared" si="2"/>
        <v>30000</v>
      </c>
      <c r="G98" s="8">
        <v>12</v>
      </c>
      <c r="H98" s="8">
        <v>0</v>
      </c>
      <c r="I98" s="8">
        <v>0</v>
      </c>
      <c r="J98" s="8">
        <v>0</v>
      </c>
      <c r="K98" s="5">
        <f t="shared" si="3"/>
        <v>30</v>
      </c>
    </row>
    <row r="99" spans="1:11" ht="14.25">
      <c r="A99" s="7">
        <v>82</v>
      </c>
      <c r="B99" s="5">
        <v>1</v>
      </c>
      <c r="C99" s="7">
        <v>0</v>
      </c>
      <c r="D99" s="5">
        <v>0</v>
      </c>
      <c r="E99" s="5">
        <v>0</v>
      </c>
      <c r="F99" s="5">
        <f t="shared" si="2"/>
        <v>30000</v>
      </c>
      <c r="G99" s="8">
        <v>12</v>
      </c>
      <c r="H99" s="8">
        <v>0</v>
      </c>
      <c r="I99" s="8">
        <v>0</v>
      </c>
      <c r="J99" s="8">
        <v>0</v>
      </c>
      <c r="K99" s="5">
        <f t="shared" si="3"/>
        <v>30</v>
      </c>
    </row>
    <row r="100" spans="1:11" ht="14.25">
      <c r="A100" s="7">
        <v>83</v>
      </c>
      <c r="B100" s="5">
        <v>1</v>
      </c>
      <c r="C100" s="7">
        <v>0</v>
      </c>
      <c r="D100" s="5">
        <v>0</v>
      </c>
      <c r="E100" s="5">
        <v>0</v>
      </c>
      <c r="F100" s="5">
        <f t="shared" si="2"/>
        <v>30000</v>
      </c>
      <c r="G100" s="8">
        <v>12</v>
      </c>
      <c r="H100" s="8">
        <v>0</v>
      </c>
      <c r="I100" s="8">
        <v>0</v>
      </c>
      <c r="J100" s="8">
        <v>0</v>
      </c>
      <c r="K100" s="5">
        <f t="shared" si="3"/>
        <v>30</v>
      </c>
    </row>
    <row r="101" spans="1:11" ht="14.25">
      <c r="A101" s="7">
        <v>84</v>
      </c>
      <c r="B101" s="5">
        <v>1</v>
      </c>
      <c r="C101" s="7">
        <v>0</v>
      </c>
      <c r="D101" s="5">
        <v>0</v>
      </c>
      <c r="E101" s="5">
        <v>0</v>
      </c>
      <c r="F101" s="5">
        <f t="shared" si="2"/>
        <v>30000</v>
      </c>
      <c r="G101" s="8">
        <v>12</v>
      </c>
      <c r="H101" s="8">
        <v>0</v>
      </c>
      <c r="I101" s="8">
        <v>0</v>
      </c>
      <c r="J101" s="8">
        <v>0</v>
      </c>
      <c r="K101" s="5">
        <f t="shared" si="3"/>
        <v>30</v>
      </c>
    </row>
    <row r="102" spans="1:11" ht="14.25">
      <c r="A102" s="7">
        <v>85</v>
      </c>
      <c r="B102" s="5">
        <v>1</v>
      </c>
      <c r="C102" s="7">
        <v>0</v>
      </c>
      <c r="D102" s="5">
        <v>0</v>
      </c>
      <c r="E102" s="5">
        <v>0</v>
      </c>
      <c r="F102" s="5">
        <f t="shared" si="2"/>
        <v>30000</v>
      </c>
      <c r="G102" s="8">
        <v>12</v>
      </c>
      <c r="H102" s="8">
        <v>0</v>
      </c>
      <c r="I102" s="8">
        <v>0</v>
      </c>
      <c r="J102" s="8">
        <v>0</v>
      </c>
      <c r="K102" s="5">
        <f t="shared" si="3"/>
        <v>30</v>
      </c>
    </row>
    <row r="103" spans="1:11" ht="14.25">
      <c r="A103" s="7">
        <v>86</v>
      </c>
      <c r="B103" s="5">
        <v>1</v>
      </c>
      <c r="C103" s="7">
        <v>0</v>
      </c>
      <c r="D103" s="5">
        <v>0</v>
      </c>
      <c r="E103" s="5">
        <v>0</v>
      </c>
      <c r="F103" s="5">
        <f t="shared" si="2"/>
        <v>30000</v>
      </c>
      <c r="G103" s="8">
        <v>12</v>
      </c>
      <c r="H103" s="8">
        <v>0</v>
      </c>
      <c r="I103" s="8">
        <v>0</v>
      </c>
      <c r="J103" s="8">
        <v>0</v>
      </c>
      <c r="K103" s="5">
        <f t="shared" si="3"/>
        <v>30</v>
      </c>
    </row>
    <row r="104" spans="1:11" ht="14.25">
      <c r="A104" s="7">
        <v>87</v>
      </c>
      <c r="B104" s="5">
        <v>1</v>
      </c>
      <c r="C104" s="7">
        <v>0</v>
      </c>
      <c r="D104" s="5">
        <v>0</v>
      </c>
      <c r="E104" s="5">
        <v>0</v>
      </c>
      <c r="F104" s="5">
        <f t="shared" si="2"/>
        <v>30000</v>
      </c>
      <c r="G104" s="8">
        <v>12</v>
      </c>
      <c r="H104" s="8">
        <v>0</v>
      </c>
      <c r="I104" s="8">
        <v>0</v>
      </c>
      <c r="J104" s="8">
        <v>0</v>
      </c>
      <c r="K104" s="5">
        <f t="shared" si="3"/>
        <v>30</v>
      </c>
    </row>
    <row r="105" spans="1:11" ht="14.25">
      <c r="A105" s="7">
        <v>88</v>
      </c>
      <c r="B105" s="5">
        <v>1</v>
      </c>
      <c r="C105" s="7">
        <v>0</v>
      </c>
      <c r="D105" s="5">
        <v>0</v>
      </c>
      <c r="E105" s="5">
        <v>0</v>
      </c>
      <c r="F105" s="5">
        <f t="shared" si="2"/>
        <v>30000</v>
      </c>
      <c r="G105" s="8">
        <v>12</v>
      </c>
      <c r="H105" s="8">
        <v>0</v>
      </c>
      <c r="I105" s="8">
        <v>0</v>
      </c>
      <c r="J105" s="8">
        <v>0</v>
      </c>
      <c r="K105" s="5">
        <f t="shared" si="3"/>
        <v>30</v>
      </c>
    </row>
    <row r="106" spans="1:11" ht="14.25">
      <c r="A106" s="7">
        <v>89</v>
      </c>
      <c r="B106" s="5">
        <v>1</v>
      </c>
      <c r="C106" s="7">
        <v>0</v>
      </c>
      <c r="D106" s="5">
        <v>0</v>
      </c>
      <c r="E106" s="5">
        <v>0</v>
      </c>
      <c r="F106" s="5">
        <f t="shared" si="2"/>
        <v>30000</v>
      </c>
      <c r="G106" s="8">
        <v>12</v>
      </c>
      <c r="H106" s="8">
        <v>0</v>
      </c>
      <c r="I106" s="8">
        <v>0</v>
      </c>
      <c r="J106" s="8">
        <v>0</v>
      </c>
      <c r="K106" s="5">
        <f t="shared" si="3"/>
        <v>30</v>
      </c>
    </row>
    <row r="107" spans="1:11" ht="14.25">
      <c r="A107" s="7">
        <v>90</v>
      </c>
      <c r="B107" s="5">
        <v>1</v>
      </c>
      <c r="C107" s="7">
        <v>0</v>
      </c>
      <c r="D107" s="5">
        <v>0</v>
      </c>
      <c r="E107" s="5">
        <v>0</v>
      </c>
      <c r="F107" s="5">
        <f t="shared" si="2"/>
        <v>30000</v>
      </c>
      <c r="G107" s="8">
        <v>12</v>
      </c>
      <c r="H107" s="8">
        <v>0</v>
      </c>
      <c r="I107" s="8">
        <v>0</v>
      </c>
      <c r="J107" s="8">
        <v>0</v>
      </c>
      <c r="K107" s="5">
        <f t="shared" si="3"/>
        <v>30</v>
      </c>
    </row>
    <row r="108" spans="1:11" ht="14.25">
      <c r="A108" s="7">
        <v>91</v>
      </c>
      <c r="B108" s="5">
        <v>1</v>
      </c>
      <c r="C108" s="7">
        <v>0</v>
      </c>
      <c r="D108" s="5">
        <v>0</v>
      </c>
      <c r="E108" s="5">
        <v>0</v>
      </c>
      <c r="F108" s="5">
        <f t="shared" si="2"/>
        <v>35000</v>
      </c>
      <c r="G108" s="8">
        <v>12</v>
      </c>
      <c r="H108" s="8">
        <v>0</v>
      </c>
      <c r="I108" s="8">
        <v>0</v>
      </c>
      <c r="J108" s="8">
        <v>0</v>
      </c>
      <c r="K108" s="5">
        <f t="shared" si="3"/>
        <v>35</v>
      </c>
    </row>
    <row r="109" spans="1:11" ht="14.25">
      <c r="A109" s="7">
        <v>92</v>
      </c>
      <c r="B109" s="5">
        <v>1</v>
      </c>
      <c r="C109" s="7">
        <v>0</v>
      </c>
      <c r="D109" s="5">
        <v>0</v>
      </c>
      <c r="E109" s="5">
        <v>0</v>
      </c>
      <c r="F109" s="5">
        <f t="shared" si="2"/>
        <v>35000</v>
      </c>
      <c r="G109" s="8">
        <v>12</v>
      </c>
      <c r="H109" s="8">
        <v>0</v>
      </c>
      <c r="I109" s="8">
        <v>0</v>
      </c>
      <c r="J109" s="8">
        <v>0</v>
      </c>
      <c r="K109" s="5">
        <f t="shared" si="3"/>
        <v>35</v>
      </c>
    </row>
    <row r="110" spans="1:11" ht="14.25">
      <c r="A110" s="7">
        <v>93</v>
      </c>
      <c r="B110" s="5">
        <v>1</v>
      </c>
      <c r="C110" s="7">
        <v>0</v>
      </c>
      <c r="D110" s="5">
        <v>0</v>
      </c>
      <c r="E110" s="5">
        <v>0</v>
      </c>
      <c r="F110" s="5">
        <f t="shared" si="2"/>
        <v>35000</v>
      </c>
      <c r="G110" s="8">
        <v>12</v>
      </c>
      <c r="H110" s="8">
        <v>0</v>
      </c>
      <c r="I110" s="8">
        <v>0</v>
      </c>
      <c r="J110" s="8">
        <v>0</v>
      </c>
      <c r="K110" s="5">
        <f t="shared" si="3"/>
        <v>35</v>
      </c>
    </row>
    <row r="111" spans="1:11" ht="14.25">
      <c r="A111" s="7">
        <v>94</v>
      </c>
      <c r="B111" s="5">
        <v>1</v>
      </c>
      <c r="C111" s="7">
        <v>0</v>
      </c>
      <c r="D111" s="5">
        <v>0</v>
      </c>
      <c r="E111" s="5">
        <v>0</v>
      </c>
      <c r="F111" s="5">
        <f t="shared" si="2"/>
        <v>35000</v>
      </c>
      <c r="G111" s="8">
        <v>12</v>
      </c>
      <c r="H111" s="8">
        <v>0</v>
      </c>
      <c r="I111" s="8">
        <v>0</v>
      </c>
      <c r="J111" s="8">
        <v>0</v>
      </c>
      <c r="K111" s="5">
        <f t="shared" si="3"/>
        <v>35</v>
      </c>
    </row>
    <row r="112" spans="1:11" ht="14.25">
      <c r="A112" s="7">
        <v>95</v>
      </c>
      <c r="B112" s="5">
        <v>1</v>
      </c>
      <c r="C112" s="7">
        <v>0</v>
      </c>
      <c r="D112" s="5">
        <v>0</v>
      </c>
      <c r="E112" s="5">
        <v>0</v>
      </c>
      <c r="F112" s="5">
        <f t="shared" si="2"/>
        <v>35000</v>
      </c>
      <c r="G112" s="8">
        <v>12</v>
      </c>
      <c r="H112" s="8">
        <v>0</v>
      </c>
      <c r="I112" s="8">
        <v>0</v>
      </c>
      <c r="J112" s="8">
        <v>0</v>
      </c>
      <c r="K112" s="5">
        <f t="shared" si="3"/>
        <v>35</v>
      </c>
    </row>
    <row r="113" spans="1:11" ht="14.25">
      <c r="A113" s="7">
        <v>96</v>
      </c>
      <c r="B113" s="5">
        <v>1</v>
      </c>
      <c r="C113" s="7">
        <v>0</v>
      </c>
      <c r="D113" s="5">
        <v>0</v>
      </c>
      <c r="E113" s="5">
        <v>0</v>
      </c>
      <c r="F113" s="5">
        <f t="shared" ref="F113:F176" si="4">ROUNDUP(A113/15,0)*1000*5</f>
        <v>35000</v>
      </c>
      <c r="G113" s="8">
        <v>12</v>
      </c>
      <c r="H113" s="8">
        <v>0</v>
      </c>
      <c r="I113" s="8">
        <v>0</v>
      </c>
      <c r="J113" s="8">
        <v>0</v>
      </c>
      <c r="K113" s="5">
        <f t="shared" ref="K113:K176" si="5">ROUNDUP(A113/15,0)*5</f>
        <v>35</v>
      </c>
    </row>
    <row r="114" spans="1:11" ht="14.25">
      <c r="A114" s="7">
        <v>97</v>
      </c>
      <c r="B114" s="5">
        <v>1</v>
      </c>
      <c r="C114" s="7">
        <v>0</v>
      </c>
      <c r="D114" s="5">
        <v>0</v>
      </c>
      <c r="E114" s="5">
        <v>0</v>
      </c>
      <c r="F114" s="5">
        <f t="shared" si="4"/>
        <v>35000</v>
      </c>
      <c r="G114" s="8">
        <v>12</v>
      </c>
      <c r="H114" s="8">
        <v>0</v>
      </c>
      <c r="I114" s="8">
        <v>0</v>
      </c>
      <c r="J114" s="8">
        <v>0</v>
      </c>
      <c r="K114" s="5">
        <f t="shared" si="5"/>
        <v>35</v>
      </c>
    </row>
    <row r="115" spans="1:11" ht="14.25">
      <c r="A115" s="7">
        <v>98</v>
      </c>
      <c r="B115" s="5">
        <v>1</v>
      </c>
      <c r="C115" s="7">
        <v>0</v>
      </c>
      <c r="D115" s="5">
        <v>0</v>
      </c>
      <c r="E115" s="5">
        <v>0</v>
      </c>
      <c r="F115" s="5">
        <f t="shared" si="4"/>
        <v>35000</v>
      </c>
      <c r="G115" s="8">
        <v>12</v>
      </c>
      <c r="H115" s="8">
        <v>0</v>
      </c>
      <c r="I115" s="8">
        <v>0</v>
      </c>
      <c r="J115" s="8">
        <v>0</v>
      </c>
      <c r="K115" s="5">
        <f t="shared" si="5"/>
        <v>35</v>
      </c>
    </row>
    <row r="116" spans="1:11" ht="14.25">
      <c r="A116" s="7">
        <v>99</v>
      </c>
      <c r="B116" s="5">
        <v>1</v>
      </c>
      <c r="C116" s="7">
        <v>0</v>
      </c>
      <c r="D116" s="5">
        <v>0</v>
      </c>
      <c r="E116" s="5">
        <v>0</v>
      </c>
      <c r="F116" s="5">
        <f t="shared" si="4"/>
        <v>35000</v>
      </c>
      <c r="G116" s="8">
        <v>12</v>
      </c>
      <c r="H116" s="8">
        <v>0</v>
      </c>
      <c r="I116" s="8">
        <v>0</v>
      </c>
      <c r="J116" s="8">
        <v>0</v>
      </c>
      <c r="K116" s="5">
        <f t="shared" si="5"/>
        <v>35</v>
      </c>
    </row>
    <row r="117" spans="1:11" ht="14.25">
      <c r="A117" s="7">
        <v>100</v>
      </c>
      <c r="B117" s="5">
        <v>1</v>
      </c>
      <c r="C117" s="7">
        <v>0</v>
      </c>
      <c r="D117" s="5">
        <v>0</v>
      </c>
      <c r="E117" s="5">
        <v>0</v>
      </c>
      <c r="F117" s="5">
        <f t="shared" si="4"/>
        <v>35000</v>
      </c>
      <c r="G117" s="8">
        <v>12</v>
      </c>
      <c r="H117" s="8">
        <v>0</v>
      </c>
      <c r="I117" s="8">
        <v>0</v>
      </c>
      <c r="J117" s="8">
        <v>0</v>
      </c>
      <c r="K117" s="5">
        <f t="shared" si="5"/>
        <v>35</v>
      </c>
    </row>
    <row r="118" spans="1:11" ht="14.25">
      <c r="A118" s="7">
        <v>101</v>
      </c>
      <c r="B118" s="5">
        <v>1</v>
      </c>
      <c r="C118" s="7">
        <v>0</v>
      </c>
      <c r="D118" s="5">
        <v>0</v>
      </c>
      <c r="E118" s="5">
        <v>0</v>
      </c>
      <c r="F118" s="5">
        <f t="shared" si="4"/>
        <v>35000</v>
      </c>
      <c r="G118" s="8">
        <v>12</v>
      </c>
      <c r="H118" s="8">
        <v>0</v>
      </c>
      <c r="I118" s="8">
        <v>0</v>
      </c>
      <c r="J118" s="8">
        <v>0</v>
      </c>
      <c r="K118" s="5">
        <f t="shared" si="5"/>
        <v>35</v>
      </c>
    </row>
    <row r="119" spans="1:11" ht="14.25">
      <c r="A119" s="7">
        <v>102</v>
      </c>
      <c r="B119" s="5">
        <v>1</v>
      </c>
      <c r="C119" s="7">
        <v>0</v>
      </c>
      <c r="D119" s="5">
        <v>0</v>
      </c>
      <c r="E119" s="5">
        <v>0</v>
      </c>
      <c r="F119" s="5">
        <f t="shared" si="4"/>
        <v>35000</v>
      </c>
      <c r="G119" s="8">
        <v>12</v>
      </c>
      <c r="H119" s="8">
        <v>0</v>
      </c>
      <c r="I119" s="8">
        <v>0</v>
      </c>
      <c r="J119" s="8">
        <v>0</v>
      </c>
      <c r="K119" s="5">
        <f t="shared" si="5"/>
        <v>35</v>
      </c>
    </row>
    <row r="120" spans="1:11" ht="14.25">
      <c r="A120" s="7">
        <v>103</v>
      </c>
      <c r="B120" s="5">
        <v>1</v>
      </c>
      <c r="C120" s="7">
        <v>0</v>
      </c>
      <c r="D120" s="5">
        <v>0</v>
      </c>
      <c r="E120" s="5">
        <v>0</v>
      </c>
      <c r="F120" s="5">
        <f t="shared" si="4"/>
        <v>35000</v>
      </c>
      <c r="G120" s="8">
        <v>12</v>
      </c>
      <c r="H120" s="8">
        <v>0</v>
      </c>
      <c r="I120" s="8">
        <v>0</v>
      </c>
      <c r="J120" s="8">
        <v>0</v>
      </c>
      <c r="K120" s="5">
        <f t="shared" si="5"/>
        <v>35</v>
      </c>
    </row>
    <row r="121" spans="1:11" ht="14.25">
      <c r="A121" s="7">
        <v>104</v>
      </c>
      <c r="B121" s="5">
        <v>1</v>
      </c>
      <c r="C121" s="7">
        <v>0</v>
      </c>
      <c r="D121" s="5">
        <v>0</v>
      </c>
      <c r="E121" s="5">
        <v>0</v>
      </c>
      <c r="F121" s="5">
        <f t="shared" si="4"/>
        <v>35000</v>
      </c>
      <c r="G121" s="8">
        <v>12</v>
      </c>
      <c r="H121" s="8">
        <v>0</v>
      </c>
      <c r="I121" s="8">
        <v>0</v>
      </c>
      <c r="J121" s="8">
        <v>0</v>
      </c>
      <c r="K121" s="5">
        <f t="shared" si="5"/>
        <v>35</v>
      </c>
    </row>
    <row r="122" spans="1:11" ht="14.25">
      <c r="A122" s="7">
        <v>105</v>
      </c>
      <c r="B122" s="5">
        <v>1</v>
      </c>
      <c r="C122" s="7">
        <v>0</v>
      </c>
      <c r="D122" s="5">
        <v>0</v>
      </c>
      <c r="E122" s="5">
        <v>0</v>
      </c>
      <c r="F122" s="5">
        <f t="shared" si="4"/>
        <v>35000</v>
      </c>
      <c r="G122" s="8">
        <v>12</v>
      </c>
      <c r="H122" s="8">
        <v>0</v>
      </c>
      <c r="I122" s="8">
        <v>0</v>
      </c>
      <c r="J122" s="8">
        <v>0</v>
      </c>
      <c r="K122" s="5">
        <f t="shared" si="5"/>
        <v>35</v>
      </c>
    </row>
    <row r="123" spans="1:11" ht="14.25">
      <c r="A123" s="7">
        <v>106</v>
      </c>
      <c r="B123" s="5">
        <v>1</v>
      </c>
      <c r="C123" s="7">
        <v>0</v>
      </c>
      <c r="D123" s="5">
        <v>0</v>
      </c>
      <c r="E123" s="5">
        <v>0</v>
      </c>
      <c r="F123" s="5">
        <f t="shared" si="4"/>
        <v>40000</v>
      </c>
      <c r="G123" s="8">
        <v>12</v>
      </c>
      <c r="H123" s="8">
        <v>0</v>
      </c>
      <c r="I123" s="8">
        <v>0</v>
      </c>
      <c r="J123" s="8">
        <v>0</v>
      </c>
      <c r="K123" s="5">
        <f t="shared" si="5"/>
        <v>40</v>
      </c>
    </row>
    <row r="124" spans="1:11" ht="14.25">
      <c r="A124" s="7">
        <v>107</v>
      </c>
      <c r="B124" s="5">
        <v>1</v>
      </c>
      <c r="C124" s="7">
        <v>0</v>
      </c>
      <c r="D124" s="5">
        <v>0</v>
      </c>
      <c r="E124" s="5">
        <v>0</v>
      </c>
      <c r="F124" s="5">
        <f t="shared" si="4"/>
        <v>40000</v>
      </c>
      <c r="G124" s="8">
        <v>12</v>
      </c>
      <c r="H124" s="8">
        <v>0</v>
      </c>
      <c r="I124" s="8">
        <v>0</v>
      </c>
      <c r="J124" s="8">
        <v>0</v>
      </c>
      <c r="K124" s="5">
        <f t="shared" si="5"/>
        <v>40</v>
      </c>
    </row>
    <row r="125" spans="1:11" ht="14.25">
      <c r="A125" s="7">
        <v>108</v>
      </c>
      <c r="B125" s="5">
        <v>1</v>
      </c>
      <c r="C125" s="7">
        <v>0</v>
      </c>
      <c r="D125" s="5">
        <v>0</v>
      </c>
      <c r="E125" s="5">
        <v>0</v>
      </c>
      <c r="F125" s="5">
        <f t="shared" si="4"/>
        <v>40000</v>
      </c>
      <c r="G125" s="8">
        <v>12</v>
      </c>
      <c r="H125" s="8">
        <v>0</v>
      </c>
      <c r="I125" s="8">
        <v>0</v>
      </c>
      <c r="J125" s="8">
        <v>0</v>
      </c>
      <c r="K125" s="5">
        <f t="shared" si="5"/>
        <v>40</v>
      </c>
    </row>
    <row r="126" spans="1:11" ht="14.25">
      <c r="A126" s="7">
        <v>109</v>
      </c>
      <c r="B126" s="5">
        <v>1</v>
      </c>
      <c r="C126" s="7">
        <v>0</v>
      </c>
      <c r="D126" s="5">
        <v>0</v>
      </c>
      <c r="E126" s="5">
        <v>0</v>
      </c>
      <c r="F126" s="5">
        <f t="shared" si="4"/>
        <v>40000</v>
      </c>
      <c r="G126" s="8">
        <v>12</v>
      </c>
      <c r="H126" s="8">
        <v>0</v>
      </c>
      <c r="I126" s="8">
        <v>0</v>
      </c>
      <c r="J126" s="8">
        <v>0</v>
      </c>
      <c r="K126" s="5">
        <f t="shared" si="5"/>
        <v>40</v>
      </c>
    </row>
    <row r="127" spans="1:11" ht="14.25">
      <c r="A127" s="7">
        <v>110</v>
      </c>
      <c r="B127" s="5">
        <v>1</v>
      </c>
      <c r="C127" s="7">
        <v>0</v>
      </c>
      <c r="D127" s="5">
        <v>0</v>
      </c>
      <c r="E127" s="5">
        <v>0</v>
      </c>
      <c r="F127" s="5">
        <f t="shared" si="4"/>
        <v>40000</v>
      </c>
      <c r="G127" s="8">
        <v>12</v>
      </c>
      <c r="H127" s="8">
        <v>0</v>
      </c>
      <c r="I127" s="8">
        <v>0</v>
      </c>
      <c r="J127" s="8">
        <v>0</v>
      </c>
      <c r="K127" s="5">
        <f t="shared" si="5"/>
        <v>40</v>
      </c>
    </row>
    <row r="128" spans="1:11" ht="14.25">
      <c r="A128" s="7">
        <v>111</v>
      </c>
      <c r="B128" s="5">
        <v>1</v>
      </c>
      <c r="C128" s="7">
        <v>0</v>
      </c>
      <c r="D128" s="5">
        <v>0</v>
      </c>
      <c r="E128" s="5">
        <v>0</v>
      </c>
      <c r="F128" s="5">
        <f t="shared" si="4"/>
        <v>40000</v>
      </c>
      <c r="G128" s="8">
        <v>12</v>
      </c>
      <c r="H128" s="8">
        <v>0</v>
      </c>
      <c r="I128" s="8">
        <v>0</v>
      </c>
      <c r="J128" s="8">
        <v>0</v>
      </c>
      <c r="K128" s="5">
        <f t="shared" si="5"/>
        <v>40</v>
      </c>
    </row>
    <row r="129" spans="1:11" ht="14.25">
      <c r="A129" s="7">
        <v>112</v>
      </c>
      <c r="B129" s="5">
        <v>1</v>
      </c>
      <c r="C129" s="7">
        <v>0</v>
      </c>
      <c r="D129" s="5">
        <v>0</v>
      </c>
      <c r="E129" s="5">
        <v>0</v>
      </c>
      <c r="F129" s="5">
        <f t="shared" si="4"/>
        <v>40000</v>
      </c>
      <c r="G129" s="8">
        <v>12</v>
      </c>
      <c r="H129" s="8">
        <v>0</v>
      </c>
      <c r="I129" s="8">
        <v>0</v>
      </c>
      <c r="J129" s="8">
        <v>0</v>
      </c>
      <c r="K129" s="5">
        <f t="shared" si="5"/>
        <v>40</v>
      </c>
    </row>
    <row r="130" spans="1:11" ht="14.25">
      <c r="A130" s="7">
        <v>113</v>
      </c>
      <c r="B130" s="5">
        <v>1</v>
      </c>
      <c r="C130" s="7">
        <v>0</v>
      </c>
      <c r="D130" s="5">
        <v>0</v>
      </c>
      <c r="E130" s="5">
        <v>0</v>
      </c>
      <c r="F130" s="5">
        <f t="shared" si="4"/>
        <v>40000</v>
      </c>
      <c r="G130" s="8">
        <v>12</v>
      </c>
      <c r="H130" s="8">
        <v>0</v>
      </c>
      <c r="I130" s="8">
        <v>0</v>
      </c>
      <c r="J130" s="8">
        <v>0</v>
      </c>
      <c r="K130" s="5">
        <f t="shared" si="5"/>
        <v>40</v>
      </c>
    </row>
    <row r="131" spans="1:11" ht="14.25">
      <c r="A131" s="7">
        <v>114</v>
      </c>
      <c r="B131" s="5">
        <v>1</v>
      </c>
      <c r="C131" s="7">
        <v>0</v>
      </c>
      <c r="D131" s="5">
        <v>0</v>
      </c>
      <c r="E131" s="5">
        <v>0</v>
      </c>
      <c r="F131" s="5">
        <f t="shared" si="4"/>
        <v>40000</v>
      </c>
      <c r="G131" s="8">
        <v>12</v>
      </c>
      <c r="H131" s="8">
        <v>0</v>
      </c>
      <c r="I131" s="8">
        <v>0</v>
      </c>
      <c r="J131" s="8">
        <v>0</v>
      </c>
      <c r="K131" s="5">
        <f t="shared" si="5"/>
        <v>40</v>
      </c>
    </row>
    <row r="132" spans="1:11" ht="14.25">
      <c r="A132" s="7">
        <v>115</v>
      </c>
      <c r="B132" s="5">
        <v>1</v>
      </c>
      <c r="C132" s="7">
        <v>0</v>
      </c>
      <c r="D132" s="5">
        <v>0</v>
      </c>
      <c r="E132" s="5">
        <v>0</v>
      </c>
      <c r="F132" s="5">
        <f t="shared" si="4"/>
        <v>40000</v>
      </c>
      <c r="G132" s="8">
        <v>12</v>
      </c>
      <c r="H132" s="8">
        <v>0</v>
      </c>
      <c r="I132" s="8">
        <v>0</v>
      </c>
      <c r="J132" s="8">
        <v>0</v>
      </c>
      <c r="K132" s="5">
        <f t="shared" si="5"/>
        <v>40</v>
      </c>
    </row>
    <row r="133" spans="1:11" ht="14.25">
      <c r="A133" s="7">
        <v>116</v>
      </c>
      <c r="B133" s="5">
        <v>1</v>
      </c>
      <c r="C133" s="7">
        <v>0</v>
      </c>
      <c r="D133" s="5">
        <v>0</v>
      </c>
      <c r="E133" s="5">
        <v>0</v>
      </c>
      <c r="F133" s="5">
        <f t="shared" si="4"/>
        <v>40000</v>
      </c>
      <c r="G133" s="8">
        <v>12</v>
      </c>
      <c r="H133" s="8">
        <v>0</v>
      </c>
      <c r="I133" s="8">
        <v>0</v>
      </c>
      <c r="J133" s="8">
        <v>0</v>
      </c>
      <c r="K133" s="5">
        <f t="shared" si="5"/>
        <v>40</v>
      </c>
    </row>
    <row r="134" spans="1:11" ht="14.25">
      <c r="A134" s="7">
        <v>117</v>
      </c>
      <c r="B134" s="5">
        <v>1</v>
      </c>
      <c r="C134" s="7">
        <v>0</v>
      </c>
      <c r="D134" s="5">
        <v>0</v>
      </c>
      <c r="E134" s="5">
        <v>0</v>
      </c>
      <c r="F134" s="5">
        <f t="shared" si="4"/>
        <v>40000</v>
      </c>
      <c r="G134" s="8">
        <v>12</v>
      </c>
      <c r="H134" s="8">
        <v>0</v>
      </c>
      <c r="I134" s="8">
        <v>0</v>
      </c>
      <c r="J134" s="8">
        <v>0</v>
      </c>
      <c r="K134" s="5">
        <f t="shared" si="5"/>
        <v>40</v>
      </c>
    </row>
    <row r="135" spans="1:11" ht="14.25">
      <c r="A135" s="7">
        <v>118</v>
      </c>
      <c r="B135" s="5">
        <v>1</v>
      </c>
      <c r="C135" s="7">
        <v>0</v>
      </c>
      <c r="D135" s="5">
        <v>0</v>
      </c>
      <c r="E135" s="5">
        <v>0</v>
      </c>
      <c r="F135" s="5">
        <f t="shared" si="4"/>
        <v>40000</v>
      </c>
      <c r="G135" s="8">
        <v>12</v>
      </c>
      <c r="H135" s="8">
        <v>0</v>
      </c>
      <c r="I135" s="8">
        <v>0</v>
      </c>
      <c r="J135" s="8">
        <v>0</v>
      </c>
      <c r="K135" s="5">
        <f t="shared" si="5"/>
        <v>40</v>
      </c>
    </row>
    <row r="136" spans="1:11" ht="14.25">
      <c r="A136" s="7">
        <v>119</v>
      </c>
      <c r="B136" s="5">
        <v>1</v>
      </c>
      <c r="C136" s="7">
        <v>0</v>
      </c>
      <c r="D136" s="5">
        <v>0</v>
      </c>
      <c r="E136" s="5">
        <v>0</v>
      </c>
      <c r="F136" s="5">
        <f t="shared" si="4"/>
        <v>40000</v>
      </c>
      <c r="G136" s="8">
        <v>12</v>
      </c>
      <c r="H136" s="8">
        <v>0</v>
      </c>
      <c r="I136" s="8">
        <v>0</v>
      </c>
      <c r="J136" s="8">
        <v>0</v>
      </c>
      <c r="K136" s="5">
        <f t="shared" si="5"/>
        <v>40</v>
      </c>
    </row>
    <row r="137" spans="1:11" ht="14.25">
      <c r="A137" s="7">
        <v>120</v>
      </c>
      <c r="B137" s="5">
        <v>1</v>
      </c>
      <c r="C137" s="7">
        <v>0</v>
      </c>
      <c r="D137" s="5">
        <v>0</v>
      </c>
      <c r="E137" s="5">
        <v>0</v>
      </c>
      <c r="F137" s="5">
        <f t="shared" si="4"/>
        <v>40000</v>
      </c>
      <c r="G137" s="8">
        <v>12</v>
      </c>
      <c r="H137" s="8">
        <v>0</v>
      </c>
      <c r="I137" s="8">
        <v>0</v>
      </c>
      <c r="J137" s="8">
        <v>0</v>
      </c>
      <c r="K137" s="5">
        <f t="shared" si="5"/>
        <v>40</v>
      </c>
    </row>
    <row r="138" spans="1:11" ht="14.25">
      <c r="A138" s="7">
        <v>121</v>
      </c>
      <c r="B138" s="5">
        <v>1</v>
      </c>
      <c r="C138" s="7">
        <v>0</v>
      </c>
      <c r="D138" s="5">
        <v>0</v>
      </c>
      <c r="E138" s="5">
        <v>0</v>
      </c>
      <c r="F138" s="5">
        <f t="shared" si="4"/>
        <v>45000</v>
      </c>
      <c r="G138" s="8">
        <v>12</v>
      </c>
      <c r="H138" s="8">
        <v>0</v>
      </c>
      <c r="I138" s="8">
        <v>0</v>
      </c>
      <c r="J138" s="8">
        <v>0</v>
      </c>
      <c r="K138" s="5">
        <f t="shared" si="5"/>
        <v>45</v>
      </c>
    </row>
    <row r="139" spans="1:11" ht="14.25">
      <c r="A139" s="7">
        <v>122</v>
      </c>
      <c r="B139" s="5">
        <v>1</v>
      </c>
      <c r="C139" s="7">
        <v>0</v>
      </c>
      <c r="D139" s="5">
        <v>0</v>
      </c>
      <c r="E139" s="5">
        <v>0</v>
      </c>
      <c r="F139" s="5">
        <f t="shared" si="4"/>
        <v>45000</v>
      </c>
      <c r="G139" s="8">
        <v>12</v>
      </c>
      <c r="H139" s="8">
        <v>0</v>
      </c>
      <c r="I139" s="8">
        <v>0</v>
      </c>
      <c r="J139" s="8">
        <v>0</v>
      </c>
      <c r="K139" s="5">
        <f t="shared" si="5"/>
        <v>45</v>
      </c>
    </row>
    <row r="140" spans="1:11" ht="14.25">
      <c r="A140" s="7">
        <v>123</v>
      </c>
      <c r="B140" s="5">
        <v>1</v>
      </c>
      <c r="C140" s="7">
        <v>0</v>
      </c>
      <c r="D140" s="5">
        <v>0</v>
      </c>
      <c r="E140" s="5">
        <v>0</v>
      </c>
      <c r="F140" s="5">
        <f t="shared" si="4"/>
        <v>45000</v>
      </c>
      <c r="G140" s="8">
        <v>12</v>
      </c>
      <c r="H140" s="8">
        <v>0</v>
      </c>
      <c r="I140" s="8">
        <v>0</v>
      </c>
      <c r="J140" s="8">
        <v>0</v>
      </c>
      <c r="K140" s="5">
        <f t="shared" si="5"/>
        <v>45</v>
      </c>
    </row>
    <row r="141" spans="1:11" ht="14.25">
      <c r="A141" s="7">
        <v>124</v>
      </c>
      <c r="B141" s="5">
        <v>1</v>
      </c>
      <c r="C141" s="7">
        <v>0</v>
      </c>
      <c r="D141" s="5">
        <v>0</v>
      </c>
      <c r="E141" s="5">
        <v>0</v>
      </c>
      <c r="F141" s="5">
        <f t="shared" si="4"/>
        <v>45000</v>
      </c>
      <c r="G141" s="8">
        <v>12</v>
      </c>
      <c r="H141" s="8">
        <v>0</v>
      </c>
      <c r="I141" s="8">
        <v>0</v>
      </c>
      <c r="J141" s="8">
        <v>0</v>
      </c>
      <c r="K141" s="5">
        <f t="shared" si="5"/>
        <v>45</v>
      </c>
    </row>
    <row r="142" spans="1:11" ht="14.25">
      <c r="A142" s="7">
        <v>125</v>
      </c>
      <c r="B142" s="5">
        <v>1</v>
      </c>
      <c r="C142" s="7">
        <v>0</v>
      </c>
      <c r="D142" s="5">
        <v>0</v>
      </c>
      <c r="E142" s="5">
        <v>0</v>
      </c>
      <c r="F142" s="5">
        <f t="shared" si="4"/>
        <v>45000</v>
      </c>
      <c r="G142" s="8">
        <v>12</v>
      </c>
      <c r="H142" s="8">
        <v>0</v>
      </c>
      <c r="I142" s="8">
        <v>0</v>
      </c>
      <c r="J142" s="8">
        <v>0</v>
      </c>
      <c r="K142" s="5">
        <f t="shared" si="5"/>
        <v>45</v>
      </c>
    </row>
    <row r="143" spans="1:11" ht="14.25">
      <c r="A143" s="7">
        <v>126</v>
      </c>
      <c r="B143" s="5">
        <v>1</v>
      </c>
      <c r="C143" s="7">
        <v>0</v>
      </c>
      <c r="D143" s="5">
        <v>0</v>
      </c>
      <c r="E143" s="5">
        <v>0</v>
      </c>
      <c r="F143" s="5">
        <f t="shared" si="4"/>
        <v>45000</v>
      </c>
      <c r="G143" s="8">
        <v>12</v>
      </c>
      <c r="H143" s="8">
        <v>0</v>
      </c>
      <c r="I143" s="8">
        <v>0</v>
      </c>
      <c r="J143" s="8">
        <v>0</v>
      </c>
      <c r="K143" s="5">
        <f t="shared" si="5"/>
        <v>45</v>
      </c>
    </row>
    <row r="144" spans="1:11" ht="14.25">
      <c r="A144" s="7">
        <v>127</v>
      </c>
      <c r="B144" s="5">
        <v>1</v>
      </c>
      <c r="C144" s="7">
        <v>0</v>
      </c>
      <c r="D144" s="5">
        <v>0</v>
      </c>
      <c r="E144" s="5">
        <v>0</v>
      </c>
      <c r="F144" s="5">
        <f t="shared" si="4"/>
        <v>45000</v>
      </c>
      <c r="G144" s="8">
        <v>12</v>
      </c>
      <c r="H144" s="8">
        <v>0</v>
      </c>
      <c r="I144" s="8">
        <v>0</v>
      </c>
      <c r="J144" s="8">
        <v>0</v>
      </c>
      <c r="K144" s="5">
        <f t="shared" si="5"/>
        <v>45</v>
      </c>
    </row>
    <row r="145" spans="1:11" ht="14.25">
      <c r="A145" s="7">
        <v>128</v>
      </c>
      <c r="B145" s="5">
        <v>1</v>
      </c>
      <c r="C145" s="7">
        <v>0</v>
      </c>
      <c r="D145" s="5">
        <v>0</v>
      </c>
      <c r="E145" s="5">
        <v>0</v>
      </c>
      <c r="F145" s="5">
        <f t="shared" si="4"/>
        <v>45000</v>
      </c>
      <c r="G145" s="8">
        <v>12</v>
      </c>
      <c r="H145" s="8">
        <v>0</v>
      </c>
      <c r="I145" s="8">
        <v>0</v>
      </c>
      <c r="J145" s="8">
        <v>0</v>
      </c>
      <c r="K145" s="5">
        <f t="shared" si="5"/>
        <v>45</v>
      </c>
    </row>
    <row r="146" spans="1:11" ht="14.25">
      <c r="A146" s="7">
        <v>129</v>
      </c>
      <c r="B146" s="5">
        <v>1</v>
      </c>
      <c r="C146" s="7">
        <v>0</v>
      </c>
      <c r="D146" s="5">
        <v>0</v>
      </c>
      <c r="E146" s="5">
        <v>0</v>
      </c>
      <c r="F146" s="5">
        <f t="shared" si="4"/>
        <v>45000</v>
      </c>
      <c r="G146" s="8">
        <v>12</v>
      </c>
      <c r="H146" s="8">
        <v>0</v>
      </c>
      <c r="I146" s="8">
        <v>0</v>
      </c>
      <c r="J146" s="8">
        <v>0</v>
      </c>
      <c r="K146" s="5">
        <f t="shared" si="5"/>
        <v>45</v>
      </c>
    </row>
    <row r="147" spans="1:11" ht="14.25">
      <c r="A147" s="7">
        <v>130</v>
      </c>
      <c r="B147" s="5">
        <v>1</v>
      </c>
      <c r="C147" s="7">
        <v>0</v>
      </c>
      <c r="D147" s="5">
        <v>0</v>
      </c>
      <c r="E147" s="5">
        <v>0</v>
      </c>
      <c r="F147" s="5">
        <f t="shared" si="4"/>
        <v>45000</v>
      </c>
      <c r="G147" s="8">
        <v>12</v>
      </c>
      <c r="H147" s="8">
        <v>0</v>
      </c>
      <c r="I147" s="8">
        <v>0</v>
      </c>
      <c r="J147" s="8">
        <v>0</v>
      </c>
      <c r="K147" s="5">
        <f t="shared" si="5"/>
        <v>45</v>
      </c>
    </row>
    <row r="148" spans="1:11" ht="14.25">
      <c r="A148" s="7">
        <v>131</v>
      </c>
      <c r="B148" s="5">
        <v>1</v>
      </c>
      <c r="C148" s="7">
        <v>0</v>
      </c>
      <c r="D148" s="5">
        <v>0</v>
      </c>
      <c r="E148" s="5">
        <v>0</v>
      </c>
      <c r="F148" s="5">
        <f t="shared" si="4"/>
        <v>45000</v>
      </c>
      <c r="G148" s="8">
        <v>12</v>
      </c>
      <c r="H148" s="8">
        <v>0</v>
      </c>
      <c r="I148" s="8">
        <v>0</v>
      </c>
      <c r="J148" s="8">
        <v>0</v>
      </c>
      <c r="K148" s="5">
        <f t="shared" si="5"/>
        <v>45</v>
      </c>
    </row>
    <row r="149" spans="1:11" ht="14.25">
      <c r="A149" s="7">
        <v>132</v>
      </c>
      <c r="B149" s="5">
        <v>1</v>
      </c>
      <c r="C149" s="7">
        <v>0</v>
      </c>
      <c r="D149" s="5">
        <v>0</v>
      </c>
      <c r="E149" s="5">
        <v>0</v>
      </c>
      <c r="F149" s="5">
        <f t="shared" si="4"/>
        <v>45000</v>
      </c>
      <c r="G149" s="8">
        <v>12</v>
      </c>
      <c r="H149" s="8">
        <v>0</v>
      </c>
      <c r="I149" s="8">
        <v>0</v>
      </c>
      <c r="J149" s="8">
        <v>0</v>
      </c>
      <c r="K149" s="5">
        <f t="shared" si="5"/>
        <v>45</v>
      </c>
    </row>
    <row r="150" spans="1:11" ht="14.25">
      <c r="A150" s="7">
        <v>133</v>
      </c>
      <c r="B150" s="5">
        <v>1</v>
      </c>
      <c r="C150" s="7">
        <v>0</v>
      </c>
      <c r="D150" s="5">
        <v>0</v>
      </c>
      <c r="E150" s="5">
        <v>0</v>
      </c>
      <c r="F150" s="5">
        <f t="shared" si="4"/>
        <v>45000</v>
      </c>
      <c r="G150" s="8">
        <v>12</v>
      </c>
      <c r="H150" s="8">
        <v>0</v>
      </c>
      <c r="I150" s="8">
        <v>0</v>
      </c>
      <c r="J150" s="8">
        <v>0</v>
      </c>
      <c r="K150" s="5">
        <f t="shared" si="5"/>
        <v>45</v>
      </c>
    </row>
    <row r="151" spans="1:11" ht="14.25">
      <c r="A151" s="7">
        <v>134</v>
      </c>
      <c r="B151" s="5">
        <v>1</v>
      </c>
      <c r="C151" s="7">
        <v>0</v>
      </c>
      <c r="D151" s="5">
        <v>0</v>
      </c>
      <c r="E151" s="5">
        <v>0</v>
      </c>
      <c r="F151" s="5">
        <f t="shared" si="4"/>
        <v>45000</v>
      </c>
      <c r="G151" s="8">
        <v>12</v>
      </c>
      <c r="H151" s="8">
        <v>0</v>
      </c>
      <c r="I151" s="8">
        <v>0</v>
      </c>
      <c r="J151" s="8">
        <v>0</v>
      </c>
      <c r="K151" s="5">
        <f t="shared" si="5"/>
        <v>45</v>
      </c>
    </row>
    <row r="152" spans="1:11" ht="14.25">
      <c r="A152" s="7">
        <v>135</v>
      </c>
      <c r="B152" s="5">
        <v>1</v>
      </c>
      <c r="C152" s="7">
        <v>0</v>
      </c>
      <c r="D152" s="5">
        <v>0</v>
      </c>
      <c r="E152" s="5">
        <v>0</v>
      </c>
      <c r="F152" s="5">
        <f t="shared" si="4"/>
        <v>45000</v>
      </c>
      <c r="G152" s="8">
        <v>12</v>
      </c>
      <c r="H152" s="8">
        <v>0</v>
      </c>
      <c r="I152" s="8">
        <v>0</v>
      </c>
      <c r="J152" s="8">
        <v>0</v>
      </c>
      <c r="K152" s="5">
        <f t="shared" si="5"/>
        <v>45</v>
      </c>
    </row>
    <row r="153" spans="1:11" ht="14.25">
      <c r="A153" s="7">
        <v>136</v>
      </c>
      <c r="B153" s="5">
        <v>1</v>
      </c>
      <c r="C153" s="7">
        <v>0</v>
      </c>
      <c r="D153" s="5">
        <v>0</v>
      </c>
      <c r="E153" s="5">
        <v>0</v>
      </c>
      <c r="F153" s="5">
        <f t="shared" si="4"/>
        <v>50000</v>
      </c>
      <c r="G153" s="8">
        <v>12</v>
      </c>
      <c r="H153" s="8">
        <v>0</v>
      </c>
      <c r="I153" s="8">
        <v>0</v>
      </c>
      <c r="J153" s="8">
        <v>0</v>
      </c>
      <c r="K153" s="5">
        <f t="shared" si="5"/>
        <v>50</v>
      </c>
    </row>
    <row r="154" spans="1:11" ht="14.25">
      <c r="A154" s="7">
        <v>137</v>
      </c>
      <c r="B154" s="5">
        <v>1</v>
      </c>
      <c r="C154" s="7">
        <v>0</v>
      </c>
      <c r="D154" s="5">
        <v>0</v>
      </c>
      <c r="E154" s="5">
        <v>0</v>
      </c>
      <c r="F154" s="5">
        <f t="shared" si="4"/>
        <v>50000</v>
      </c>
      <c r="G154" s="8">
        <v>12</v>
      </c>
      <c r="H154" s="8">
        <v>0</v>
      </c>
      <c r="I154" s="8">
        <v>0</v>
      </c>
      <c r="J154" s="8">
        <v>0</v>
      </c>
      <c r="K154" s="5">
        <f t="shared" si="5"/>
        <v>50</v>
      </c>
    </row>
    <row r="155" spans="1:11" ht="14.25">
      <c r="A155" s="7">
        <v>138</v>
      </c>
      <c r="B155" s="5">
        <v>1</v>
      </c>
      <c r="C155" s="7">
        <v>0</v>
      </c>
      <c r="D155" s="5">
        <v>0</v>
      </c>
      <c r="E155" s="5">
        <v>0</v>
      </c>
      <c r="F155" s="5">
        <f t="shared" si="4"/>
        <v>50000</v>
      </c>
      <c r="G155" s="8">
        <v>12</v>
      </c>
      <c r="H155" s="8">
        <v>0</v>
      </c>
      <c r="I155" s="8">
        <v>0</v>
      </c>
      <c r="J155" s="8">
        <v>0</v>
      </c>
      <c r="K155" s="5">
        <f t="shared" si="5"/>
        <v>50</v>
      </c>
    </row>
    <row r="156" spans="1:11" ht="14.25">
      <c r="A156" s="7">
        <v>139</v>
      </c>
      <c r="B156" s="5">
        <v>1</v>
      </c>
      <c r="C156" s="7">
        <v>0</v>
      </c>
      <c r="D156" s="5">
        <v>0</v>
      </c>
      <c r="E156" s="5">
        <v>0</v>
      </c>
      <c r="F156" s="5">
        <f t="shared" si="4"/>
        <v>50000</v>
      </c>
      <c r="G156" s="8">
        <v>12</v>
      </c>
      <c r="H156" s="8">
        <v>0</v>
      </c>
      <c r="I156" s="8">
        <v>0</v>
      </c>
      <c r="J156" s="8">
        <v>0</v>
      </c>
      <c r="K156" s="5">
        <f t="shared" si="5"/>
        <v>50</v>
      </c>
    </row>
    <row r="157" spans="1:11" ht="14.25">
      <c r="A157" s="7">
        <v>140</v>
      </c>
      <c r="B157" s="5">
        <v>1</v>
      </c>
      <c r="C157" s="7">
        <v>0</v>
      </c>
      <c r="D157" s="5">
        <v>0</v>
      </c>
      <c r="E157" s="5">
        <v>0</v>
      </c>
      <c r="F157" s="5">
        <f t="shared" si="4"/>
        <v>50000</v>
      </c>
      <c r="G157" s="8">
        <v>12</v>
      </c>
      <c r="H157" s="8">
        <v>0</v>
      </c>
      <c r="I157" s="8">
        <v>0</v>
      </c>
      <c r="J157" s="8">
        <v>0</v>
      </c>
      <c r="K157" s="5">
        <f t="shared" si="5"/>
        <v>50</v>
      </c>
    </row>
    <row r="158" spans="1:11" ht="14.25">
      <c r="A158" s="7">
        <v>141</v>
      </c>
      <c r="B158" s="5">
        <v>1</v>
      </c>
      <c r="C158" s="7">
        <v>0</v>
      </c>
      <c r="D158" s="5">
        <v>0</v>
      </c>
      <c r="E158" s="5">
        <v>0</v>
      </c>
      <c r="F158" s="5">
        <f t="shared" si="4"/>
        <v>50000</v>
      </c>
      <c r="G158" s="8">
        <v>12</v>
      </c>
      <c r="H158" s="8">
        <v>0</v>
      </c>
      <c r="I158" s="8">
        <v>0</v>
      </c>
      <c r="J158" s="8">
        <v>0</v>
      </c>
      <c r="K158" s="5">
        <f t="shared" si="5"/>
        <v>50</v>
      </c>
    </row>
    <row r="159" spans="1:11" ht="14.25">
      <c r="A159" s="7">
        <v>142</v>
      </c>
      <c r="B159" s="5">
        <v>1</v>
      </c>
      <c r="C159" s="7">
        <v>0</v>
      </c>
      <c r="D159" s="5">
        <v>0</v>
      </c>
      <c r="E159" s="5">
        <v>0</v>
      </c>
      <c r="F159" s="5">
        <f t="shared" si="4"/>
        <v>50000</v>
      </c>
      <c r="G159" s="8">
        <v>12</v>
      </c>
      <c r="H159" s="8">
        <v>0</v>
      </c>
      <c r="I159" s="8">
        <v>0</v>
      </c>
      <c r="J159" s="8">
        <v>0</v>
      </c>
      <c r="K159" s="5">
        <f t="shared" si="5"/>
        <v>50</v>
      </c>
    </row>
    <row r="160" spans="1:11" ht="14.25">
      <c r="A160" s="7">
        <v>143</v>
      </c>
      <c r="B160" s="5">
        <v>1</v>
      </c>
      <c r="C160" s="7">
        <v>0</v>
      </c>
      <c r="D160" s="5">
        <v>0</v>
      </c>
      <c r="E160" s="5">
        <v>0</v>
      </c>
      <c r="F160" s="5">
        <f t="shared" si="4"/>
        <v>50000</v>
      </c>
      <c r="G160" s="8">
        <v>12</v>
      </c>
      <c r="H160" s="8">
        <v>0</v>
      </c>
      <c r="I160" s="8">
        <v>0</v>
      </c>
      <c r="J160" s="8">
        <v>0</v>
      </c>
      <c r="K160" s="5">
        <f t="shared" si="5"/>
        <v>50</v>
      </c>
    </row>
    <row r="161" spans="1:11" ht="14.25">
      <c r="A161" s="7">
        <v>144</v>
      </c>
      <c r="B161" s="5">
        <v>1</v>
      </c>
      <c r="C161" s="7">
        <v>0</v>
      </c>
      <c r="D161" s="5">
        <v>0</v>
      </c>
      <c r="E161" s="5">
        <v>0</v>
      </c>
      <c r="F161" s="5">
        <f t="shared" si="4"/>
        <v>50000</v>
      </c>
      <c r="G161" s="8">
        <v>12</v>
      </c>
      <c r="H161" s="8">
        <v>0</v>
      </c>
      <c r="I161" s="8">
        <v>0</v>
      </c>
      <c r="J161" s="8">
        <v>0</v>
      </c>
      <c r="K161" s="5">
        <f t="shared" si="5"/>
        <v>50</v>
      </c>
    </row>
    <row r="162" spans="1:11" ht="14.25">
      <c r="A162" s="7">
        <v>145</v>
      </c>
      <c r="B162" s="5">
        <v>1</v>
      </c>
      <c r="C162" s="7">
        <v>0</v>
      </c>
      <c r="D162" s="5">
        <v>0</v>
      </c>
      <c r="E162" s="5">
        <v>0</v>
      </c>
      <c r="F162" s="5">
        <f t="shared" si="4"/>
        <v>50000</v>
      </c>
      <c r="G162" s="8">
        <v>12</v>
      </c>
      <c r="H162" s="8">
        <v>0</v>
      </c>
      <c r="I162" s="8">
        <v>0</v>
      </c>
      <c r="J162" s="8">
        <v>0</v>
      </c>
      <c r="K162" s="5">
        <f t="shared" si="5"/>
        <v>50</v>
      </c>
    </row>
    <row r="163" spans="1:11" ht="14.25">
      <c r="A163" s="7">
        <v>146</v>
      </c>
      <c r="B163" s="5">
        <v>1</v>
      </c>
      <c r="C163" s="7">
        <v>0</v>
      </c>
      <c r="D163" s="5">
        <v>0</v>
      </c>
      <c r="E163" s="5">
        <v>0</v>
      </c>
      <c r="F163" s="5">
        <f t="shared" si="4"/>
        <v>50000</v>
      </c>
      <c r="G163" s="8">
        <v>12</v>
      </c>
      <c r="H163" s="8">
        <v>0</v>
      </c>
      <c r="I163" s="8">
        <v>0</v>
      </c>
      <c r="J163" s="8">
        <v>0</v>
      </c>
      <c r="K163" s="5">
        <f t="shared" si="5"/>
        <v>50</v>
      </c>
    </row>
    <row r="164" spans="1:11" ht="14.25">
      <c r="A164" s="7">
        <v>147</v>
      </c>
      <c r="B164" s="5">
        <v>1</v>
      </c>
      <c r="C164" s="7">
        <v>0</v>
      </c>
      <c r="D164" s="5">
        <v>0</v>
      </c>
      <c r="E164" s="5">
        <v>0</v>
      </c>
      <c r="F164" s="5">
        <f t="shared" si="4"/>
        <v>50000</v>
      </c>
      <c r="G164" s="8">
        <v>12</v>
      </c>
      <c r="H164" s="8">
        <v>0</v>
      </c>
      <c r="I164" s="8">
        <v>0</v>
      </c>
      <c r="J164" s="8">
        <v>0</v>
      </c>
      <c r="K164" s="5">
        <f t="shared" si="5"/>
        <v>50</v>
      </c>
    </row>
    <row r="165" spans="1:11" ht="14.25">
      <c r="A165" s="7">
        <v>148</v>
      </c>
      <c r="B165" s="5">
        <v>1</v>
      </c>
      <c r="C165" s="7">
        <v>0</v>
      </c>
      <c r="D165" s="5">
        <v>0</v>
      </c>
      <c r="E165" s="5">
        <v>0</v>
      </c>
      <c r="F165" s="5">
        <f t="shared" si="4"/>
        <v>50000</v>
      </c>
      <c r="G165" s="8">
        <v>12</v>
      </c>
      <c r="H165" s="8">
        <v>0</v>
      </c>
      <c r="I165" s="8">
        <v>0</v>
      </c>
      <c r="J165" s="8">
        <v>0</v>
      </c>
      <c r="K165" s="5">
        <f t="shared" si="5"/>
        <v>50</v>
      </c>
    </row>
    <row r="166" spans="1:11" ht="14.25">
      <c r="A166" s="7">
        <v>149</v>
      </c>
      <c r="B166" s="5">
        <v>1</v>
      </c>
      <c r="C166" s="7">
        <v>0</v>
      </c>
      <c r="D166" s="5">
        <v>0</v>
      </c>
      <c r="E166" s="5">
        <v>0</v>
      </c>
      <c r="F166" s="5">
        <f t="shared" si="4"/>
        <v>50000</v>
      </c>
      <c r="G166" s="8">
        <v>12</v>
      </c>
      <c r="H166" s="8">
        <v>0</v>
      </c>
      <c r="I166" s="8">
        <v>0</v>
      </c>
      <c r="J166" s="8">
        <v>0</v>
      </c>
      <c r="K166" s="5">
        <f t="shared" si="5"/>
        <v>50</v>
      </c>
    </row>
    <row r="167" spans="1:11" ht="14.25">
      <c r="A167" s="7">
        <v>150</v>
      </c>
      <c r="B167" s="5">
        <v>1</v>
      </c>
      <c r="C167" s="7">
        <v>0</v>
      </c>
      <c r="D167" s="5">
        <v>0</v>
      </c>
      <c r="E167" s="5">
        <v>0</v>
      </c>
      <c r="F167" s="5">
        <f t="shared" si="4"/>
        <v>50000</v>
      </c>
      <c r="G167" s="8">
        <v>12</v>
      </c>
      <c r="H167" s="8">
        <v>0</v>
      </c>
      <c r="I167" s="8">
        <v>0</v>
      </c>
      <c r="J167" s="8">
        <v>0</v>
      </c>
      <c r="K167" s="5">
        <f t="shared" si="5"/>
        <v>50</v>
      </c>
    </row>
    <row r="168" spans="1:11" ht="14.25">
      <c r="A168" s="7">
        <v>151</v>
      </c>
      <c r="B168" s="5">
        <v>1</v>
      </c>
      <c r="C168" s="7">
        <v>0</v>
      </c>
      <c r="D168" s="5">
        <v>0</v>
      </c>
      <c r="E168" s="5">
        <v>0</v>
      </c>
      <c r="F168" s="5">
        <f t="shared" si="4"/>
        <v>55000</v>
      </c>
      <c r="G168" s="8">
        <v>12</v>
      </c>
      <c r="H168" s="8">
        <v>0</v>
      </c>
      <c r="I168" s="8">
        <v>0</v>
      </c>
      <c r="J168" s="8">
        <v>0</v>
      </c>
      <c r="K168" s="5">
        <f t="shared" si="5"/>
        <v>55</v>
      </c>
    </row>
    <row r="169" spans="1:11" ht="14.25">
      <c r="A169" s="7">
        <v>152</v>
      </c>
      <c r="B169" s="5">
        <v>1</v>
      </c>
      <c r="C169" s="7">
        <v>0</v>
      </c>
      <c r="D169" s="5">
        <v>0</v>
      </c>
      <c r="E169" s="5">
        <v>0</v>
      </c>
      <c r="F169" s="5">
        <f t="shared" si="4"/>
        <v>55000</v>
      </c>
      <c r="G169" s="8">
        <v>12</v>
      </c>
      <c r="H169" s="8">
        <v>0</v>
      </c>
      <c r="I169" s="8">
        <v>0</v>
      </c>
      <c r="J169" s="8">
        <v>0</v>
      </c>
      <c r="K169" s="5">
        <f t="shared" si="5"/>
        <v>55</v>
      </c>
    </row>
    <row r="170" spans="1:11" ht="14.25">
      <c r="A170" s="7">
        <v>153</v>
      </c>
      <c r="B170" s="5">
        <v>1</v>
      </c>
      <c r="C170" s="7">
        <v>0</v>
      </c>
      <c r="D170" s="5">
        <v>0</v>
      </c>
      <c r="E170" s="5">
        <v>0</v>
      </c>
      <c r="F170" s="5">
        <f t="shared" si="4"/>
        <v>55000</v>
      </c>
      <c r="G170" s="8">
        <v>12</v>
      </c>
      <c r="H170" s="8">
        <v>0</v>
      </c>
      <c r="I170" s="8">
        <v>0</v>
      </c>
      <c r="J170" s="8">
        <v>0</v>
      </c>
      <c r="K170" s="5">
        <f t="shared" si="5"/>
        <v>55</v>
      </c>
    </row>
    <row r="171" spans="1:11" ht="14.25">
      <c r="A171" s="7">
        <v>154</v>
      </c>
      <c r="B171" s="5">
        <v>1</v>
      </c>
      <c r="C171" s="7">
        <v>0</v>
      </c>
      <c r="D171" s="5">
        <v>0</v>
      </c>
      <c r="E171" s="5">
        <v>0</v>
      </c>
      <c r="F171" s="5">
        <f t="shared" si="4"/>
        <v>55000</v>
      </c>
      <c r="G171" s="8">
        <v>12</v>
      </c>
      <c r="H171" s="8">
        <v>0</v>
      </c>
      <c r="I171" s="8">
        <v>0</v>
      </c>
      <c r="J171" s="8">
        <v>0</v>
      </c>
      <c r="K171" s="5">
        <f t="shared" si="5"/>
        <v>55</v>
      </c>
    </row>
    <row r="172" spans="1:11" ht="14.25">
      <c r="A172" s="7">
        <v>155</v>
      </c>
      <c r="B172" s="5">
        <v>1</v>
      </c>
      <c r="C172" s="7">
        <v>0</v>
      </c>
      <c r="D172" s="5">
        <v>0</v>
      </c>
      <c r="E172" s="5">
        <v>0</v>
      </c>
      <c r="F172" s="5">
        <f t="shared" si="4"/>
        <v>55000</v>
      </c>
      <c r="G172" s="8">
        <v>12</v>
      </c>
      <c r="H172" s="8">
        <v>0</v>
      </c>
      <c r="I172" s="8">
        <v>0</v>
      </c>
      <c r="J172" s="8">
        <v>0</v>
      </c>
      <c r="K172" s="5">
        <f t="shared" si="5"/>
        <v>55</v>
      </c>
    </row>
    <row r="173" spans="1:11" ht="14.25">
      <c r="A173" s="7">
        <v>156</v>
      </c>
      <c r="B173" s="5">
        <v>1</v>
      </c>
      <c r="C173" s="7">
        <v>0</v>
      </c>
      <c r="D173" s="5">
        <v>0</v>
      </c>
      <c r="E173" s="5">
        <v>0</v>
      </c>
      <c r="F173" s="5">
        <f t="shared" si="4"/>
        <v>55000</v>
      </c>
      <c r="G173" s="8">
        <v>12</v>
      </c>
      <c r="H173" s="8">
        <v>0</v>
      </c>
      <c r="I173" s="8">
        <v>0</v>
      </c>
      <c r="J173" s="8">
        <v>0</v>
      </c>
      <c r="K173" s="5">
        <f t="shared" si="5"/>
        <v>55</v>
      </c>
    </row>
    <row r="174" spans="1:11" ht="14.25">
      <c r="A174" s="7">
        <v>157</v>
      </c>
      <c r="B174" s="5">
        <v>1</v>
      </c>
      <c r="C174" s="7">
        <v>0</v>
      </c>
      <c r="D174" s="5">
        <v>0</v>
      </c>
      <c r="E174" s="5">
        <v>0</v>
      </c>
      <c r="F174" s="5">
        <f t="shared" si="4"/>
        <v>55000</v>
      </c>
      <c r="G174" s="8">
        <v>12</v>
      </c>
      <c r="H174" s="8">
        <v>0</v>
      </c>
      <c r="I174" s="8">
        <v>0</v>
      </c>
      <c r="J174" s="8">
        <v>0</v>
      </c>
      <c r="K174" s="5">
        <f t="shared" si="5"/>
        <v>55</v>
      </c>
    </row>
    <row r="175" spans="1:11" ht="14.25">
      <c r="A175" s="7">
        <v>158</v>
      </c>
      <c r="B175" s="5">
        <v>1</v>
      </c>
      <c r="C175" s="7">
        <v>0</v>
      </c>
      <c r="D175" s="5">
        <v>0</v>
      </c>
      <c r="E175" s="5">
        <v>0</v>
      </c>
      <c r="F175" s="5">
        <f t="shared" si="4"/>
        <v>55000</v>
      </c>
      <c r="G175" s="8">
        <v>12</v>
      </c>
      <c r="H175" s="8">
        <v>0</v>
      </c>
      <c r="I175" s="8">
        <v>0</v>
      </c>
      <c r="J175" s="8">
        <v>0</v>
      </c>
      <c r="K175" s="5">
        <f t="shared" si="5"/>
        <v>55</v>
      </c>
    </row>
    <row r="176" spans="1:11" ht="14.25">
      <c r="A176" s="7">
        <v>159</v>
      </c>
      <c r="B176" s="5">
        <v>1</v>
      </c>
      <c r="C176" s="7">
        <v>0</v>
      </c>
      <c r="D176" s="5">
        <v>0</v>
      </c>
      <c r="E176" s="5">
        <v>0</v>
      </c>
      <c r="F176" s="5">
        <f t="shared" si="4"/>
        <v>55000</v>
      </c>
      <c r="G176" s="8">
        <v>12</v>
      </c>
      <c r="H176" s="8">
        <v>0</v>
      </c>
      <c r="I176" s="8">
        <v>0</v>
      </c>
      <c r="J176" s="8">
        <v>0</v>
      </c>
      <c r="K176" s="5">
        <f t="shared" si="5"/>
        <v>55</v>
      </c>
    </row>
    <row r="177" spans="1:11" ht="14.25">
      <c r="A177" s="7">
        <v>160</v>
      </c>
      <c r="B177" s="5">
        <v>1</v>
      </c>
      <c r="C177" s="7">
        <v>0</v>
      </c>
      <c r="D177" s="5">
        <v>0</v>
      </c>
      <c r="E177" s="5">
        <v>0</v>
      </c>
      <c r="F177" s="5">
        <f t="shared" ref="F177:F240" si="6">ROUNDUP(A177/15,0)*1000*5</f>
        <v>55000</v>
      </c>
      <c r="G177" s="8">
        <v>12</v>
      </c>
      <c r="H177" s="8">
        <v>0</v>
      </c>
      <c r="I177" s="8">
        <v>0</v>
      </c>
      <c r="J177" s="8">
        <v>0</v>
      </c>
      <c r="K177" s="5">
        <f t="shared" ref="K177:K240" si="7">ROUNDUP(A177/15,0)*5</f>
        <v>55</v>
      </c>
    </row>
    <row r="178" spans="1:11" ht="14.25">
      <c r="A178" s="7">
        <v>161</v>
      </c>
      <c r="B178" s="5">
        <v>1</v>
      </c>
      <c r="C178" s="7">
        <v>0</v>
      </c>
      <c r="D178" s="5">
        <v>0</v>
      </c>
      <c r="E178" s="5">
        <v>0</v>
      </c>
      <c r="F178" s="5">
        <f t="shared" si="6"/>
        <v>55000</v>
      </c>
      <c r="G178" s="8">
        <v>12</v>
      </c>
      <c r="H178" s="8">
        <v>0</v>
      </c>
      <c r="I178" s="8">
        <v>0</v>
      </c>
      <c r="J178" s="8">
        <v>0</v>
      </c>
      <c r="K178" s="5">
        <f t="shared" si="7"/>
        <v>55</v>
      </c>
    </row>
    <row r="179" spans="1:11" ht="14.25">
      <c r="A179" s="7">
        <v>162</v>
      </c>
      <c r="B179" s="5">
        <v>1</v>
      </c>
      <c r="C179" s="7">
        <v>0</v>
      </c>
      <c r="D179" s="5">
        <v>0</v>
      </c>
      <c r="E179" s="5">
        <v>0</v>
      </c>
      <c r="F179" s="5">
        <f t="shared" si="6"/>
        <v>55000</v>
      </c>
      <c r="G179" s="8">
        <v>12</v>
      </c>
      <c r="H179" s="8">
        <v>0</v>
      </c>
      <c r="I179" s="8">
        <v>0</v>
      </c>
      <c r="J179" s="8">
        <v>0</v>
      </c>
      <c r="K179" s="5">
        <f t="shared" si="7"/>
        <v>55</v>
      </c>
    </row>
    <row r="180" spans="1:11" ht="14.25">
      <c r="A180" s="7">
        <v>163</v>
      </c>
      <c r="B180" s="5">
        <v>1</v>
      </c>
      <c r="C180" s="7">
        <v>0</v>
      </c>
      <c r="D180" s="5">
        <v>0</v>
      </c>
      <c r="E180" s="5">
        <v>0</v>
      </c>
      <c r="F180" s="5">
        <f t="shared" si="6"/>
        <v>55000</v>
      </c>
      <c r="G180" s="8">
        <v>12</v>
      </c>
      <c r="H180" s="8">
        <v>0</v>
      </c>
      <c r="I180" s="8">
        <v>0</v>
      </c>
      <c r="J180" s="8">
        <v>0</v>
      </c>
      <c r="K180" s="5">
        <f t="shared" si="7"/>
        <v>55</v>
      </c>
    </row>
    <row r="181" spans="1:11" ht="14.25">
      <c r="A181" s="7">
        <v>164</v>
      </c>
      <c r="B181" s="5">
        <v>1</v>
      </c>
      <c r="C181" s="7">
        <v>0</v>
      </c>
      <c r="D181" s="5">
        <v>0</v>
      </c>
      <c r="E181" s="5">
        <v>0</v>
      </c>
      <c r="F181" s="5">
        <f t="shared" si="6"/>
        <v>55000</v>
      </c>
      <c r="G181" s="8">
        <v>12</v>
      </c>
      <c r="H181" s="8">
        <v>0</v>
      </c>
      <c r="I181" s="8">
        <v>0</v>
      </c>
      <c r="J181" s="8">
        <v>0</v>
      </c>
      <c r="K181" s="5">
        <f t="shared" si="7"/>
        <v>55</v>
      </c>
    </row>
    <row r="182" spans="1:11" ht="14.25">
      <c r="A182" s="7">
        <v>165</v>
      </c>
      <c r="B182" s="5">
        <v>1</v>
      </c>
      <c r="C182" s="7">
        <v>0</v>
      </c>
      <c r="D182" s="5">
        <v>0</v>
      </c>
      <c r="E182" s="5">
        <v>0</v>
      </c>
      <c r="F182" s="5">
        <f t="shared" si="6"/>
        <v>55000</v>
      </c>
      <c r="G182" s="8">
        <v>12</v>
      </c>
      <c r="H182" s="8">
        <v>0</v>
      </c>
      <c r="I182" s="8">
        <v>0</v>
      </c>
      <c r="J182" s="8">
        <v>0</v>
      </c>
      <c r="K182" s="5">
        <f t="shared" si="7"/>
        <v>55</v>
      </c>
    </row>
    <row r="183" spans="1:11" ht="14.25">
      <c r="A183" s="7">
        <v>166</v>
      </c>
      <c r="B183" s="5">
        <v>1</v>
      </c>
      <c r="C183" s="7">
        <v>0</v>
      </c>
      <c r="D183" s="5">
        <v>0</v>
      </c>
      <c r="E183" s="5">
        <v>0</v>
      </c>
      <c r="F183" s="5">
        <f t="shared" si="6"/>
        <v>60000</v>
      </c>
      <c r="G183" s="8">
        <v>12</v>
      </c>
      <c r="H183" s="8">
        <v>0</v>
      </c>
      <c r="I183" s="8">
        <v>0</v>
      </c>
      <c r="J183" s="8">
        <v>0</v>
      </c>
      <c r="K183" s="5">
        <f t="shared" si="7"/>
        <v>60</v>
      </c>
    </row>
    <row r="184" spans="1:11" ht="14.25">
      <c r="A184" s="7">
        <v>167</v>
      </c>
      <c r="B184" s="5">
        <v>1</v>
      </c>
      <c r="C184" s="7">
        <v>0</v>
      </c>
      <c r="D184" s="5">
        <v>0</v>
      </c>
      <c r="E184" s="5">
        <v>0</v>
      </c>
      <c r="F184" s="5">
        <f t="shared" si="6"/>
        <v>60000</v>
      </c>
      <c r="G184" s="8">
        <v>12</v>
      </c>
      <c r="H184" s="8">
        <v>0</v>
      </c>
      <c r="I184" s="8">
        <v>0</v>
      </c>
      <c r="J184" s="8">
        <v>0</v>
      </c>
      <c r="K184" s="5">
        <f t="shared" si="7"/>
        <v>60</v>
      </c>
    </row>
    <row r="185" spans="1:11" ht="14.25">
      <c r="A185" s="7">
        <v>168</v>
      </c>
      <c r="B185" s="5">
        <v>1</v>
      </c>
      <c r="C185" s="7">
        <v>0</v>
      </c>
      <c r="D185" s="5">
        <v>0</v>
      </c>
      <c r="E185" s="5">
        <v>0</v>
      </c>
      <c r="F185" s="5">
        <f t="shared" si="6"/>
        <v>60000</v>
      </c>
      <c r="G185" s="8">
        <v>12</v>
      </c>
      <c r="H185" s="8">
        <v>0</v>
      </c>
      <c r="I185" s="8">
        <v>0</v>
      </c>
      <c r="J185" s="8">
        <v>0</v>
      </c>
      <c r="K185" s="5">
        <f t="shared" si="7"/>
        <v>60</v>
      </c>
    </row>
    <row r="186" spans="1:11" ht="14.25">
      <c r="A186" s="7">
        <v>169</v>
      </c>
      <c r="B186" s="5">
        <v>1</v>
      </c>
      <c r="C186" s="7">
        <v>0</v>
      </c>
      <c r="D186" s="5">
        <v>0</v>
      </c>
      <c r="E186" s="5">
        <v>0</v>
      </c>
      <c r="F186" s="5">
        <f t="shared" si="6"/>
        <v>60000</v>
      </c>
      <c r="G186" s="8">
        <v>12</v>
      </c>
      <c r="H186" s="8">
        <v>0</v>
      </c>
      <c r="I186" s="8">
        <v>0</v>
      </c>
      <c r="J186" s="8">
        <v>0</v>
      </c>
      <c r="K186" s="5">
        <f t="shared" si="7"/>
        <v>60</v>
      </c>
    </row>
    <row r="187" spans="1:11" ht="14.25">
      <c r="A187" s="7">
        <v>170</v>
      </c>
      <c r="B187" s="5">
        <v>1</v>
      </c>
      <c r="C187" s="7">
        <v>0</v>
      </c>
      <c r="D187" s="5">
        <v>0</v>
      </c>
      <c r="E187" s="5">
        <v>0</v>
      </c>
      <c r="F187" s="5">
        <f t="shared" si="6"/>
        <v>60000</v>
      </c>
      <c r="G187" s="8">
        <v>12</v>
      </c>
      <c r="H187" s="8">
        <v>0</v>
      </c>
      <c r="I187" s="8">
        <v>0</v>
      </c>
      <c r="J187" s="8">
        <v>0</v>
      </c>
      <c r="K187" s="5">
        <f t="shared" si="7"/>
        <v>60</v>
      </c>
    </row>
    <row r="188" spans="1:11" ht="14.25">
      <c r="A188" s="7">
        <v>171</v>
      </c>
      <c r="B188" s="5">
        <v>1</v>
      </c>
      <c r="C188" s="7">
        <v>0</v>
      </c>
      <c r="D188" s="5">
        <v>0</v>
      </c>
      <c r="E188" s="5">
        <v>0</v>
      </c>
      <c r="F188" s="5">
        <f t="shared" si="6"/>
        <v>60000</v>
      </c>
      <c r="G188" s="8">
        <v>12</v>
      </c>
      <c r="H188" s="8">
        <v>0</v>
      </c>
      <c r="I188" s="8">
        <v>0</v>
      </c>
      <c r="J188" s="8">
        <v>0</v>
      </c>
      <c r="K188" s="5">
        <f t="shared" si="7"/>
        <v>60</v>
      </c>
    </row>
    <row r="189" spans="1:11" ht="14.25">
      <c r="A189" s="7">
        <v>172</v>
      </c>
      <c r="B189" s="5">
        <v>1</v>
      </c>
      <c r="C189" s="7">
        <v>0</v>
      </c>
      <c r="D189" s="5">
        <v>0</v>
      </c>
      <c r="E189" s="5">
        <v>0</v>
      </c>
      <c r="F189" s="5">
        <f t="shared" si="6"/>
        <v>60000</v>
      </c>
      <c r="G189" s="8">
        <v>12</v>
      </c>
      <c r="H189" s="8">
        <v>0</v>
      </c>
      <c r="I189" s="8">
        <v>0</v>
      </c>
      <c r="J189" s="8">
        <v>0</v>
      </c>
      <c r="K189" s="5">
        <f t="shared" si="7"/>
        <v>60</v>
      </c>
    </row>
    <row r="190" spans="1:11" ht="14.25">
      <c r="A190" s="7">
        <v>173</v>
      </c>
      <c r="B190" s="5">
        <v>1</v>
      </c>
      <c r="C190" s="7">
        <v>0</v>
      </c>
      <c r="D190" s="5">
        <v>0</v>
      </c>
      <c r="E190" s="5">
        <v>0</v>
      </c>
      <c r="F190" s="5">
        <f t="shared" si="6"/>
        <v>60000</v>
      </c>
      <c r="G190" s="8">
        <v>12</v>
      </c>
      <c r="H190" s="8">
        <v>0</v>
      </c>
      <c r="I190" s="8">
        <v>0</v>
      </c>
      <c r="J190" s="8">
        <v>0</v>
      </c>
      <c r="K190" s="5">
        <f t="shared" si="7"/>
        <v>60</v>
      </c>
    </row>
    <row r="191" spans="1:11" ht="14.25">
      <c r="A191" s="7">
        <v>174</v>
      </c>
      <c r="B191" s="5">
        <v>1</v>
      </c>
      <c r="C191" s="7">
        <v>0</v>
      </c>
      <c r="D191" s="5">
        <v>0</v>
      </c>
      <c r="E191" s="5">
        <v>0</v>
      </c>
      <c r="F191" s="5">
        <f t="shared" si="6"/>
        <v>60000</v>
      </c>
      <c r="G191" s="8">
        <v>12</v>
      </c>
      <c r="H191" s="8">
        <v>0</v>
      </c>
      <c r="I191" s="8">
        <v>0</v>
      </c>
      <c r="J191" s="8">
        <v>0</v>
      </c>
      <c r="K191" s="5">
        <f t="shared" si="7"/>
        <v>60</v>
      </c>
    </row>
    <row r="192" spans="1:11" ht="14.25">
      <c r="A192" s="7">
        <v>175</v>
      </c>
      <c r="B192" s="5">
        <v>1</v>
      </c>
      <c r="C192" s="7">
        <v>0</v>
      </c>
      <c r="D192" s="5">
        <v>0</v>
      </c>
      <c r="E192" s="5">
        <v>0</v>
      </c>
      <c r="F192" s="5">
        <f t="shared" si="6"/>
        <v>60000</v>
      </c>
      <c r="G192" s="8">
        <v>12</v>
      </c>
      <c r="H192" s="8">
        <v>0</v>
      </c>
      <c r="I192" s="8">
        <v>0</v>
      </c>
      <c r="J192" s="8">
        <v>0</v>
      </c>
      <c r="K192" s="5">
        <f t="shared" si="7"/>
        <v>60</v>
      </c>
    </row>
    <row r="193" spans="1:11" ht="14.25">
      <c r="A193" s="7">
        <v>176</v>
      </c>
      <c r="B193" s="5">
        <v>1</v>
      </c>
      <c r="C193" s="7">
        <v>0</v>
      </c>
      <c r="D193" s="5">
        <v>0</v>
      </c>
      <c r="E193" s="5">
        <v>0</v>
      </c>
      <c r="F193" s="5">
        <f t="shared" si="6"/>
        <v>60000</v>
      </c>
      <c r="G193" s="8">
        <v>12</v>
      </c>
      <c r="H193" s="8">
        <v>0</v>
      </c>
      <c r="I193" s="8">
        <v>0</v>
      </c>
      <c r="J193" s="8">
        <v>0</v>
      </c>
      <c r="K193" s="5">
        <f t="shared" si="7"/>
        <v>60</v>
      </c>
    </row>
    <row r="194" spans="1:11" ht="14.25">
      <c r="A194" s="7">
        <v>177</v>
      </c>
      <c r="B194" s="5">
        <v>1</v>
      </c>
      <c r="C194" s="7">
        <v>0</v>
      </c>
      <c r="D194" s="5">
        <v>0</v>
      </c>
      <c r="E194" s="5">
        <v>0</v>
      </c>
      <c r="F194" s="5">
        <f t="shared" si="6"/>
        <v>60000</v>
      </c>
      <c r="G194" s="8">
        <v>12</v>
      </c>
      <c r="H194" s="8">
        <v>0</v>
      </c>
      <c r="I194" s="8">
        <v>0</v>
      </c>
      <c r="J194" s="8">
        <v>0</v>
      </c>
      <c r="K194" s="5">
        <f t="shared" si="7"/>
        <v>60</v>
      </c>
    </row>
    <row r="195" spans="1:11" ht="14.25">
      <c r="A195" s="7">
        <v>178</v>
      </c>
      <c r="B195" s="5">
        <v>1</v>
      </c>
      <c r="C195" s="7">
        <v>0</v>
      </c>
      <c r="D195" s="5">
        <v>0</v>
      </c>
      <c r="E195" s="5">
        <v>0</v>
      </c>
      <c r="F195" s="5">
        <f t="shared" si="6"/>
        <v>60000</v>
      </c>
      <c r="G195" s="8">
        <v>12</v>
      </c>
      <c r="H195" s="8">
        <v>0</v>
      </c>
      <c r="I195" s="8">
        <v>0</v>
      </c>
      <c r="J195" s="8">
        <v>0</v>
      </c>
      <c r="K195" s="5">
        <f t="shared" si="7"/>
        <v>60</v>
      </c>
    </row>
    <row r="196" spans="1:11" ht="14.25">
      <c r="A196" s="7">
        <v>179</v>
      </c>
      <c r="B196" s="5">
        <v>1</v>
      </c>
      <c r="C196" s="7">
        <v>0</v>
      </c>
      <c r="D196" s="5">
        <v>0</v>
      </c>
      <c r="E196" s="5">
        <v>0</v>
      </c>
      <c r="F196" s="5">
        <f t="shared" si="6"/>
        <v>60000</v>
      </c>
      <c r="G196" s="8">
        <v>12</v>
      </c>
      <c r="H196" s="8">
        <v>0</v>
      </c>
      <c r="I196" s="8">
        <v>0</v>
      </c>
      <c r="J196" s="8">
        <v>0</v>
      </c>
      <c r="K196" s="5">
        <f t="shared" si="7"/>
        <v>60</v>
      </c>
    </row>
    <row r="197" spans="1:11" ht="14.25">
      <c r="A197" s="7">
        <v>180</v>
      </c>
      <c r="B197" s="5">
        <v>1</v>
      </c>
      <c r="C197" s="7">
        <v>0</v>
      </c>
      <c r="D197" s="5">
        <v>0</v>
      </c>
      <c r="E197" s="5">
        <v>0</v>
      </c>
      <c r="F197" s="5">
        <f t="shared" si="6"/>
        <v>60000</v>
      </c>
      <c r="G197" s="8">
        <v>12</v>
      </c>
      <c r="H197" s="8">
        <v>0</v>
      </c>
      <c r="I197" s="8">
        <v>0</v>
      </c>
      <c r="J197" s="8">
        <v>0</v>
      </c>
      <c r="K197" s="5">
        <f t="shared" si="7"/>
        <v>60</v>
      </c>
    </row>
    <row r="198" spans="1:11" ht="14.25">
      <c r="A198" s="7">
        <v>181</v>
      </c>
      <c r="B198" s="5">
        <v>1</v>
      </c>
      <c r="C198" s="7">
        <v>0</v>
      </c>
      <c r="D198" s="5">
        <v>0</v>
      </c>
      <c r="E198" s="5">
        <v>0</v>
      </c>
      <c r="F198" s="5">
        <f t="shared" si="6"/>
        <v>65000</v>
      </c>
      <c r="G198" s="8">
        <v>12</v>
      </c>
      <c r="H198" s="8">
        <v>0</v>
      </c>
      <c r="I198" s="8">
        <v>0</v>
      </c>
      <c r="J198" s="8">
        <v>0</v>
      </c>
      <c r="K198" s="5">
        <f t="shared" si="7"/>
        <v>65</v>
      </c>
    </row>
    <row r="199" spans="1:11" ht="14.25">
      <c r="A199" s="7">
        <v>182</v>
      </c>
      <c r="B199" s="5">
        <v>1</v>
      </c>
      <c r="C199" s="7">
        <v>0</v>
      </c>
      <c r="D199" s="5">
        <v>0</v>
      </c>
      <c r="E199" s="5">
        <v>0</v>
      </c>
      <c r="F199" s="5">
        <f t="shared" si="6"/>
        <v>65000</v>
      </c>
      <c r="G199" s="8">
        <v>12</v>
      </c>
      <c r="H199" s="8">
        <v>0</v>
      </c>
      <c r="I199" s="8">
        <v>0</v>
      </c>
      <c r="J199" s="8">
        <v>0</v>
      </c>
      <c r="K199" s="5">
        <f t="shared" si="7"/>
        <v>65</v>
      </c>
    </row>
    <row r="200" spans="1:11" ht="14.25">
      <c r="A200" s="7">
        <v>183</v>
      </c>
      <c r="B200" s="5">
        <v>1</v>
      </c>
      <c r="C200" s="7">
        <v>0</v>
      </c>
      <c r="D200" s="5">
        <v>0</v>
      </c>
      <c r="E200" s="5">
        <v>0</v>
      </c>
      <c r="F200" s="5">
        <f t="shared" si="6"/>
        <v>65000</v>
      </c>
      <c r="G200" s="8">
        <v>12</v>
      </c>
      <c r="H200" s="8">
        <v>0</v>
      </c>
      <c r="I200" s="8">
        <v>0</v>
      </c>
      <c r="J200" s="8">
        <v>0</v>
      </c>
      <c r="K200" s="5">
        <f t="shared" si="7"/>
        <v>65</v>
      </c>
    </row>
    <row r="201" spans="1:11" ht="14.25">
      <c r="A201" s="7">
        <v>184</v>
      </c>
      <c r="B201" s="5">
        <v>1</v>
      </c>
      <c r="C201" s="7">
        <v>0</v>
      </c>
      <c r="D201" s="5">
        <v>0</v>
      </c>
      <c r="E201" s="5">
        <v>0</v>
      </c>
      <c r="F201" s="5">
        <f t="shared" si="6"/>
        <v>65000</v>
      </c>
      <c r="G201" s="8">
        <v>12</v>
      </c>
      <c r="H201" s="8">
        <v>0</v>
      </c>
      <c r="I201" s="8">
        <v>0</v>
      </c>
      <c r="J201" s="8">
        <v>0</v>
      </c>
      <c r="K201" s="5">
        <f t="shared" si="7"/>
        <v>65</v>
      </c>
    </row>
    <row r="202" spans="1:11" ht="14.25">
      <c r="A202" s="7">
        <v>185</v>
      </c>
      <c r="B202" s="5">
        <v>1</v>
      </c>
      <c r="C202" s="7">
        <v>0</v>
      </c>
      <c r="D202" s="5">
        <v>0</v>
      </c>
      <c r="E202" s="5">
        <v>0</v>
      </c>
      <c r="F202" s="5">
        <f t="shared" si="6"/>
        <v>65000</v>
      </c>
      <c r="G202" s="8">
        <v>12</v>
      </c>
      <c r="H202" s="8">
        <v>0</v>
      </c>
      <c r="I202" s="8">
        <v>0</v>
      </c>
      <c r="J202" s="8">
        <v>0</v>
      </c>
      <c r="K202" s="5">
        <f t="shared" si="7"/>
        <v>65</v>
      </c>
    </row>
    <row r="203" spans="1:11" ht="14.25">
      <c r="A203" s="7">
        <v>186</v>
      </c>
      <c r="B203" s="5">
        <v>1</v>
      </c>
      <c r="C203" s="7">
        <v>0</v>
      </c>
      <c r="D203" s="5">
        <v>0</v>
      </c>
      <c r="E203" s="5">
        <v>0</v>
      </c>
      <c r="F203" s="5">
        <f t="shared" si="6"/>
        <v>65000</v>
      </c>
      <c r="G203" s="8">
        <v>12</v>
      </c>
      <c r="H203" s="8">
        <v>0</v>
      </c>
      <c r="I203" s="8">
        <v>0</v>
      </c>
      <c r="J203" s="8">
        <v>0</v>
      </c>
      <c r="K203" s="5">
        <f t="shared" si="7"/>
        <v>65</v>
      </c>
    </row>
    <row r="204" spans="1:11" ht="14.25">
      <c r="A204" s="7">
        <v>187</v>
      </c>
      <c r="B204" s="5">
        <v>1</v>
      </c>
      <c r="C204" s="7">
        <v>0</v>
      </c>
      <c r="D204" s="5">
        <v>0</v>
      </c>
      <c r="E204" s="5">
        <v>0</v>
      </c>
      <c r="F204" s="5">
        <f t="shared" si="6"/>
        <v>65000</v>
      </c>
      <c r="G204" s="8">
        <v>12</v>
      </c>
      <c r="H204" s="8">
        <v>0</v>
      </c>
      <c r="I204" s="8">
        <v>0</v>
      </c>
      <c r="J204" s="8">
        <v>0</v>
      </c>
      <c r="K204" s="5">
        <f t="shared" si="7"/>
        <v>65</v>
      </c>
    </row>
    <row r="205" spans="1:11" ht="14.25">
      <c r="A205" s="7">
        <v>188</v>
      </c>
      <c r="B205" s="5">
        <v>1</v>
      </c>
      <c r="C205" s="7">
        <v>0</v>
      </c>
      <c r="D205" s="5">
        <v>0</v>
      </c>
      <c r="E205" s="5">
        <v>0</v>
      </c>
      <c r="F205" s="5">
        <f t="shared" si="6"/>
        <v>65000</v>
      </c>
      <c r="G205" s="8">
        <v>12</v>
      </c>
      <c r="H205" s="8">
        <v>0</v>
      </c>
      <c r="I205" s="8">
        <v>0</v>
      </c>
      <c r="J205" s="8">
        <v>0</v>
      </c>
      <c r="K205" s="5">
        <f t="shared" si="7"/>
        <v>65</v>
      </c>
    </row>
    <row r="206" spans="1:11" ht="14.25">
      <c r="A206" s="7">
        <v>189</v>
      </c>
      <c r="B206" s="5">
        <v>1</v>
      </c>
      <c r="C206" s="7">
        <v>0</v>
      </c>
      <c r="D206" s="5">
        <v>0</v>
      </c>
      <c r="E206" s="5">
        <v>0</v>
      </c>
      <c r="F206" s="5">
        <f t="shared" si="6"/>
        <v>65000</v>
      </c>
      <c r="G206" s="8">
        <v>12</v>
      </c>
      <c r="H206" s="8">
        <v>0</v>
      </c>
      <c r="I206" s="8">
        <v>0</v>
      </c>
      <c r="J206" s="8">
        <v>0</v>
      </c>
      <c r="K206" s="5">
        <f t="shared" si="7"/>
        <v>65</v>
      </c>
    </row>
    <row r="207" spans="1:11" ht="14.25">
      <c r="A207" s="7">
        <v>190</v>
      </c>
      <c r="B207" s="5">
        <v>1</v>
      </c>
      <c r="C207" s="7">
        <v>0</v>
      </c>
      <c r="D207" s="5">
        <v>0</v>
      </c>
      <c r="E207" s="5">
        <v>0</v>
      </c>
      <c r="F207" s="5">
        <f t="shared" si="6"/>
        <v>65000</v>
      </c>
      <c r="G207" s="8">
        <v>12</v>
      </c>
      <c r="H207" s="8">
        <v>0</v>
      </c>
      <c r="I207" s="8">
        <v>0</v>
      </c>
      <c r="J207" s="8">
        <v>0</v>
      </c>
      <c r="K207" s="5">
        <f t="shared" si="7"/>
        <v>65</v>
      </c>
    </row>
    <row r="208" spans="1:11" ht="14.25">
      <c r="A208" s="7">
        <v>191</v>
      </c>
      <c r="B208" s="5">
        <v>1</v>
      </c>
      <c r="C208" s="7">
        <v>0</v>
      </c>
      <c r="D208" s="5">
        <v>0</v>
      </c>
      <c r="E208" s="5">
        <v>0</v>
      </c>
      <c r="F208" s="5">
        <f t="shared" si="6"/>
        <v>65000</v>
      </c>
      <c r="G208" s="8">
        <v>12</v>
      </c>
      <c r="H208" s="8">
        <v>0</v>
      </c>
      <c r="I208" s="8">
        <v>0</v>
      </c>
      <c r="J208" s="8">
        <v>0</v>
      </c>
      <c r="K208" s="5">
        <f t="shared" si="7"/>
        <v>65</v>
      </c>
    </row>
    <row r="209" spans="1:11" ht="14.25">
      <c r="A209" s="7">
        <v>192</v>
      </c>
      <c r="B209" s="5">
        <v>1</v>
      </c>
      <c r="C209" s="7">
        <v>0</v>
      </c>
      <c r="D209" s="5">
        <v>0</v>
      </c>
      <c r="E209" s="5">
        <v>0</v>
      </c>
      <c r="F209" s="5">
        <f t="shared" si="6"/>
        <v>65000</v>
      </c>
      <c r="G209" s="8">
        <v>12</v>
      </c>
      <c r="H209" s="8">
        <v>0</v>
      </c>
      <c r="I209" s="8">
        <v>0</v>
      </c>
      <c r="J209" s="8">
        <v>0</v>
      </c>
      <c r="K209" s="5">
        <f t="shared" si="7"/>
        <v>65</v>
      </c>
    </row>
    <row r="210" spans="1:11" ht="14.25">
      <c r="A210" s="7">
        <v>193</v>
      </c>
      <c r="B210" s="5">
        <v>1</v>
      </c>
      <c r="C210" s="7">
        <v>0</v>
      </c>
      <c r="D210" s="5">
        <v>0</v>
      </c>
      <c r="E210" s="5">
        <v>0</v>
      </c>
      <c r="F210" s="5">
        <f t="shared" si="6"/>
        <v>65000</v>
      </c>
      <c r="G210" s="8">
        <v>12</v>
      </c>
      <c r="H210" s="8">
        <v>0</v>
      </c>
      <c r="I210" s="8">
        <v>0</v>
      </c>
      <c r="J210" s="8">
        <v>0</v>
      </c>
      <c r="K210" s="5">
        <f t="shared" si="7"/>
        <v>65</v>
      </c>
    </row>
    <row r="211" spans="1:11" ht="14.25">
      <c r="A211" s="7">
        <v>194</v>
      </c>
      <c r="B211" s="5">
        <v>1</v>
      </c>
      <c r="C211" s="7">
        <v>0</v>
      </c>
      <c r="D211" s="5">
        <v>0</v>
      </c>
      <c r="E211" s="5">
        <v>0</v>
      </c>
      <c r="F211" s="5">
        <f t="shared" si="6"/>
        <v>65000</v>
      </c>
      <c r="G211" s="8">
        <v>12</v>
      </c>
      <c r="H211" s="8">
        <v>0</v>
      </c>
      <c r="I211" s="8">
        <v>0</v>
      </c>
      <c r="J211" s="8">
        <v>0</v>
      </c>
      <c r="K211" s="5">
        <f t="shared" si="7"/>
        <v>65</v>
      </c>
    </row>
    <row r="212" spans="1:11" ht="14.25">
      <c r="A212" s="7">
        <v>195</v>
      </c>
      <c r="B212" s="5">
        <v>1</v>
      </c>
      <c r="C212" s="7">
        <v>0</v>
      </c>
      <c r="D212" s="5">
        <v>0</v>
      </c>
      <c r="E212" s="5">
        <v>0</v>
      </c>
      <c r="F212" s="5">
        <f t="shared" si="6"/>
        <v>65000</v>
      </c>
      <c r="G212" s="8">
        <v>12</v>
      </c>
      <c r="H212" s="8">
        <v>0</v>
      </c>
      <c r="I212" s="8">
        <v>0</v>
      </c>
      <c r="J212" s="8">
        <v>0</v>
      </c>
      <c r="K212" s="5">
        <f t="shared" si="7"/>
        <v>65</v>
      </c>
    </row>
    <row r="213" spans="1:11" ht="14.25">
      <c r="A213" s="7">
        <v>196</v>
      </c>
      <c r="B213" s="5">
        <v>1</v>
      </c>
      <c r="C213" s="7">
        <v>0</v>
      </c>
      <c r="D213" s="5">
        <v>0</v>
      </c>
      <c r="E213" s="5">
        <v>0</v>
      </c>
      <c r="F213" s="5">
        <f t="shared" si="6"/>
        <v>70000</v>
      </c>
      <c r="G213" s="8">
        <v>12</v>
      </c>
      <c r="H213" s="8">
        <v>0</v>
      </c>
      <c r="I213" s="8">
        <v>0</v>
      </c>
      <c r="J213" s="8">
        <v>0</v>
      </c>
      <c r="K213" s="5">
        <f t="shared" si="7"/>
        <v>70</v>
      </c>
    </row>
    <row r="214" spans="1:11" ht="14.25">
      <c r="A214" s="7">
        <v>197</v>
      </c>
      <c r="B214" s="5">
        <v>1</v>
      </c>
      <c r="C214" s="7">
        <v>0</v>
      </c>
      <c r="D214" s="5">
        <v>0</v>
      </c>
      <c r="E214" s="5">
        <v>0</v>
      </c>
      <c r="F214" s="5">
        <f t="shared" si="6"/>
        <v>70000</v>
      </c>
      <c r="G214" s="8">
        <v>12</v>
      </c>
      <c r="H214" s="8">
        <v>0</v>
      </c>
      <c r="I214" s="8">
        <v>0</v>
      </c>
      <c r="J214" s="8">
        <v>0</v>
      </c>
      <c r="K214" s="5">
        <f t="shared" si="7"/>
        <v>70</v>
      </c>
    </row>
    <row r="215" spans="1:11" ht="14.25">
      <c r="A215" s="7">
        <v>198</v>
      </c>
      <c r="B215" s="5">
        <v>1</v>
      </c>
      <c r="C215" s="7">
        <v>0</v>
      </c>
      <c r="D215" s="5">
        <v>0</v>
      </c>
      <c r="E215" s="5">
        <v>0</v>
      </c>
      <c r="F215" s="5">
        <f t="shared" si="6"/>
        <v>70000</v>
      </c>
      <c r="G215" s="8">
        <v>12</v>
      </c>
      <c r="H215" s="8">
        <v>0</v>
      </c>
      <c r="I215" s="8">
        <v>0</v>
      </c>
      <c r="J215" s="8">
        <v>0</v>
      </c>
      <c r="K215" s="5">
        <f t="shared" si="7"/>
        <v>70</v>
      </c>
    </row>
    <row r="216" spans="1:11" ht="14.25">
      <c r="A216" s="7">
        <v>199</v>
      </c>
      <c r="B216" s="5">
        <v>1</v>
      </c>
      <c r="C216" s="7">
        <v>0</v>
      </c>
      <c r="D216" s="5">
        <v>0</v>
      </c>
      <c r="E216" s="5">
        <v>0</v>
      </c>
      <c r="F216" s="5">
        <f t="shared" si="6"/>
        <v>70000</v>
      </c>
      <c r="G216" s="8">
        <v>12</v>
      </c>
      <c r="H216" s="8">
        <v>0</v>
      </c>
      <c r="I216" s="8">
        <v>0</v>
      </c>
      <c r="J216" s="8">
        <v>0</v>
      </c>
      <c r="K216" s="5">
        <f t="shared" si="7"/>
        <v>70</v>
      </c>
    </row>
    <row r="217" spans="1:11" ht="14.25">
      <c r="A217" s="7">
        <v>200</v>
      </c>
      <c r="B217" s="5">
        <v>1</v>
      </c>
      <c r="C217" s="7">
        <v>0</v>
      </c>
      <c r="D217" s="5">
        <v>0</v>
      </c>
      <c r="E217" s="5">
        <v>0</v>
      </c>
      <c r="F217" s="5">
        <f t="shared" si="6"/>
        <v>70000</v>
      </c>
      <c r="G217" s="8">
        <v>12</v>
      </c>
      <c r="H217" s="8">
        <v>0</v>
      </c>
      <c r="I217" s="8">
        <v>0</v>
      </c>
      <c r="J217" s="8">
        <v>0</v>
      </c>
      <c r="K217" s="5">
        <f t="shared" si="7"/>
        <v>70</v>
      </c>
    </row>
    <row r="218" spans="1:11" ht="14.25">
      <c r="A218" s="7">
        <v>201</v>
      </c>
      <c r="B218" s="5">
        <v>1</v>
      </c>
      <c r="C218" s="7">
        <v>0</v>
      </c>
      <c r="D218" s="5">
        <v>0</v>
      </c>
      <c r="E218" s="5">
        <v>0</v>
      </c>
      <c r="F218" s="5">
        <f t="shared" si="6"/>
        <v>70000</v>
      </c>
      <c r="G218" s="8">
        <v>12</v>
      </c>
      <c r="H218" s="8">
        <v>0</v>
      </c>
      <c r="I218" s="8">
        <v>0</v>
      </c>
      <c r="J218" s="8">
        <v>0</v>
      </c>
      <c r="K218" s="5">
        <f t="shared" si="7"/>
        <v>70</v>
      </c>
    </row>
    <row r="219" spans="1:11" ht="14.25">
      <c r="A219" s="7">
        <v>202</v>
      </c>
      <c r="B219" s="5">
        <v>1</v>
      </c>
      <c r="C219" s="7">
        <v>0</v>
      </c>
      <c r="D219" s="5">
        <v>0</v>
      </c>
      <c r="E219" s="5">
        <v>0</v>
      </c>
      <c r="F219" s="5">
        <f t="shared" si="6"/>
        <v>70000</v>
      </c>
      <c r="G219" s="8">
        <v>12</v>
      </c>
      <c r="H219" s="8">
        <v>0</v>
      </c>
      <c r="I219" s="8">
        <v>0</v>
      </c>
      <c r="J219" s="8">
        <v>0</v>
      </c>
      <c r="K219" s="5">
        <f t="shared" si="7"/>
        <v>70</v>
      </c>
    </row>
    <row r="220" spans="1:11" ht="14.25">
      <c r="A220" s="7">
        <v>203</v>
      </c>
      <c r="B220" s="5">
        <v>1</v>
      </c>
      <c r="C220" s="7">
        <v>0</v>
      </c>
      <c r="D220" s="5">
        <v>0</v>
      </c>
      <c r="E220" s="5">
        <v>0</v>
      </c>
      <c r="F220" s="5">
        <f t="shared" si="6"/>
        <v>70000</v>
      </c>
      <c r="G220" s="8">
        <v>12</v>
      </c>
      <c r="H220" s="8">
        <v>0</v>
      </c>
      <c r="I220" s="8">
        <v>0</v>
      </c>
      <c r="J220" s="8">
        <v>0</v>
      </c>
      <c r="K220" s="5">
        <f t="shared" si="7"/>
        <v>70</v>
      </c>
    </row>
    <row r="221" spans="1:11" ht="14.25">
      <c r="A221" s="7">
        <v>204</v>
      </c>
      <c r="B221" s="5">
        <v>1</v>
      </c>
      <c r="C221" s="7">
        <v>0</v>
      </c>
      <c r="D221" s="5">
        <v>0</v>
      </c>
      <c r="E221" s="5">
        <v>0</v>
      </c>
      <c r="F221" s="5">
        <f t="shared" si="6"/>
        <v>70000</v>
      </c>
      <c r="G221" s="8">
        <v>12</v>
      </c>
      <c r="H221" s="8">
        <v>0</v>
      </c>
      <c r="I221" s="8">
        <v>0</v>
      </c>
      <c r="J221" s="8">
        <v>0</v>
      </c>
      <c r="K221" s="5">
        <f t="shared" si="7"/>
        <v>70</v>
      </c>
    </row>
    <row r="222" spans="1:11" ht="14.25">
      <c r="A222" s="7">
        <v>205</v>
      </c>
      <c r="B222" s="5">
        <v>1</v>
      </c>
      <c r="C222" s="7">
        <v>0</v>
      </c>
      <c r="D222" s="5">
        <v>0</v>
      </c>
      <c r="E222" s="5">
        <v>0</v>
      </c>
      <c r="F222" s="5">
        <f t="shared" si="6"/>
        <v>70000</v>
      </c>
      <c r="G222" s="8">
        <v>12</v>
      </c>
      <c r="H222" s="8">
        <v>0</v>
      </c>
      <c r="I222" s="8">
        <v>0</v>
      </c>
      <c r="J222" s="8">
        <v>0</v>
      </c>
      <c r="K222" s="5">
        <f t="shared" si="7"/>
        <v>70</v>
      </c>
    </row>
    <row r="223" spans="1:11" ht="14.25">
      <c r="A223" s="7">
        <v>206</v>
      </c>
      <c r="B223" s="5">
        <v>1</v>
      </c>
      <c r="C223" s="7">
        <v>0</v>
      </c>
      <c r="D223" s="5">
        <v>0</v>
      </c>
      <c r="E223" s="5">
        <v>0</v>
      </c>
      <c r="F223" s="5">
        <f t="shared" si="6"/>
        <v>70000</v>
      </c>
      <c r="G223" s="8">
        <v>12</v>
      </c>
      <c r="H223" s="8">
        <v>0</v>
      </c>
      <c r="I223" s="8">
        <v>0</v>
      </c>
      <c r="J223" s="8">
        <v>0</v>
      </c>
      <c r="K223" s="5">
        <f t="shared" si="7"/>
        <v>70</v>
      </c>
    </row>
    <row r="224" spans="1:11" ht="14.25">
      <c r="A224" s="7">
        <v>207</v>
      </c>
      <c r="B224" s="5">
        <v>1</v>
      </c>
      <c r="C224" s="7">
        <v>0</v>
      </c>
      <c r="D224" s="5">
        <v>0</v>
      </c>
      <c r="E224" s="5">
        <v>0</v>
      </c>
      <c r="F224" s="5">
        <f t="shared" si="6"/>
        <v>70000</v>
      </c>
      <c r="G224" s="8">
        <v>12</v>
      </c>
      <c r="H224" s="8">
        <v>0</v>
      </c>
      <c r="I224" s="8">
        <v>0</v>
      </c>
      <c r="J224" s="8">
        <v>0</v>
      </c>
      <c r="K224" s="5">
        <f t="shared" si="7"/>
        <v>70</v>
      </c>
    </row>
    <row r="225" spans="1:11" ht="14.25">
      <c r="A225" s="7">
        <v>208</v>
      </c>
      <c r="B225" s="5">
        <v>1</v>
      </c>
      <c r="C225" s="7">
        <v>0</v>
      </c>
      <c r="D225" s="5">
        <v>0</v>
      </c>
      <c r="E225" s="5">
        <v>0</v>
      </c>
      <c r="F225" s="5">
        <f t="shared" si="6"/>
        <v>70000</v>
      </c>
      <c r="G225" s="8">
        <v>12</v>
      </c>
      <c r="H225" s="8">
        <v>0</v>
      </c>
      <c r="I225" s="8">
        <v>0</v>
      </c>
      <c r="J225" s="8">
        <v>0</v>
      </c>
      <c r="K225" s="5">
        <f t="shared" si="7"/>
        <v>70</v>
      </c>
    </row>
    <row r="226" spans="1:11" ht="14.25">
      <c r="A226" s="7">
        <v>209</v>
      </c>
      <c r="B226" s="5">
        <v>1</v>
      </c>
      <c r="C226" s="7">
        <v>0</v>
      </c>
      <c r="D226" s="5">
        <v>0</v>
      </c>
      <c r="E226" s="5">
        <v>0</v>
      </c>
      <c r="F226" s="5">
        <f t="shared" si="6"/>
        <v>70000</v>
      </c>
      <c r="G226" s="8">
        <v>12</v>
      </c>
      <c r="H226" s="8">
        <v>0</v>
      </c>
      <c r="I226" s="8">
        <v>0</v>
      </c>
      <c r="J226" s="8">
        <v>0</v>
      </c>
      <c r="K226" s="5">
        <f t="shared" si="7"/>
        <v>70</v>
      </c>
    </row>
    <row r="227" spans="1:11" ht="14.25">
      <c r="A227" s="7">
        <v>210</v>
      </c>
      <c r="B227" s="5">
        <v>1</v>
      </c>
      <c r="C227" s="7">
        <v>0</v>
      </c>
      <c r="D227" s="5">
        <v>0</v>
      </c>
      <c r="E227" s="5">
        <v>0</v>
      </c>
      <c r="F227" s="5">
        <f t="shared" si="6"/>
        <v>70000</v>
      </c>
      <c r="G227" s="8">
        <v>12</v>
      </c>
      <c r="H227" s="8">
        <v>0</v>
      </c>
      <c r="I227" s="8">
        <v>0</v>
      </c>
      <c r="J227" s="8">
        <v>0</v>
      </c>
      <c r="K227" s="5">
        <f t="shared" si="7"/>
        <v>70</v>
      </c>
    </row>
    <row r="228" spans="1:11" ht="14.25">
      <c r="A228" s="7">
        <v>211</v>
      </c>
      <c r="B228" s="5">
        <v>1</v>
      </c>
      <c r="C228" s="7">
        <v>0</v>
      </c>
      <c r="D228" s="5">
        <v>0</v>
      </c>
      <c r="E228" s="5">
        <v>0</v>
      </c>
      <c r="F228" s="5">
        <f t="shared" si="6"/>
        <v>75000</v>
      </c>
      <c r="G228" s="8">
        <v>12</v>
      </c>
      <c r="H228" s="8">
        <v>0</v>
      </c>
      <c r="I228" s="8">
        <v>0</v>
      </c>
      <c r="J228" s="8">
        <v>0</v>
      </c>
      <c r="K228" s="5">
        <f t="shared" si="7"/>
        <v>75</v>
      </c>
    </row>
    <row r="229" spans="1:11" ht="14.25">
      <c r="A229" s="7">
        <v>212</v>
      </c>
      <c r="B229" s="5">
        <v>1</v>
      </c>
      <c r="C229" s="7">
        <v>0</v>
      </c>
      <c r="D229" s="5">
        <v>0</v>
      </c>
      <c r="E229" s="5">
        <v>0</v>
      </c>
      <c r="F229" s="5">
        <f t="shared" si="6"/>
        <v>75000</v>
      </c>
      <c r="G229" s="8">
        <v>12</v>
      </c>
      <c r="H229" s="8">
        <v>0</v>
      </c>
      <c r="I229" s="8">
        <v>0</v>
      </c>
      <c r="J229" s="8">
        <v>0</v>
      </c>
      <c r="K229" s="5">
        <f t="shared" si="7"/>
        <v>75</v>
      </c>
    </row>
    <row r="230" spans="1:11" ht="14.25">
      <c r="A230" s="7">
        <v>213</v>
      </c>
      <c r="B230" s="5">
        <v>1</v>
      </c>
      <c r="C230" s="7">
        <v>0</v>
      </c>
      <c r="D230" s="5">
        <v>0</v>
      </c>
      <c r="E230" s="5">
        <v>0</v>
      </c>
      <c r="F230" s="5">
        <f t="shared" si="6"/>
        <v>75000</v>
      </c>
      <c r="G230" s="8">
        <v>12</v>
      </c>
      <c r="H230" s="8">
        <v>0</v>
      </c>
      <c r="I230" s="8">
        <v>0</v>
      </c>
      <c r="J230" s="8">
        <v>0</v>
      </c>
      <c r="K230" s="5">
        <f t="shared" si="7"/>
        <v>75</v>
      </c>
    </row>
    <row r="231" spans="1:11" ht="14.25">
      <c r="A231" s="7">
        <v>214</v>
      </c>
      <c r="B231" s="5">
        <v>1</v>
      </c>
      <c r="C231" s="7">
        <v>0</v>
      </c>
      <c r="D231" s="5">
        <v>0</v>
      </c>
      <c r="E231" s="5">
        <v>0</v>
      </c>
      <c r="F231" s="5">
        <f t="shared" si="6"/>
        <v>75000</v>
      </c>
      <c r="G231" s="8">
        <v>12</v>
      </c>
      <c r="H231" s="8">
        <v>0</v>
      </c>
      <c r="I231" s="8">
        <v>0</v>
      </c>
      <c r="J231" s="8">
        <v>0</v>
      </c>
      <c r="K231" s="5">
        <f t="shared" si="7"/>
        <v>75</v>
      </c>
    </row>
    <row r="232" spans="1:11" ht="14.25">
      <c r="A232" s="7">
        <v>215</v>
      </c>
      <c r="B232" s="5">
        <v>1</v>
      </c>
      <c r="C232" s="7">
        <v>0</v>
      </c>
      <c r="D232" s="5">
        <v>0</v>
      </c>
      <c r="E232" s="5">
        <v>0</v>
      </c>
      <c r="F232" s="5">
        <f t="shared" si="6"/>
        <v>75000</v>
      </c>
      <c r="G232" s="8">
        <v>12</v>
      </c>
      <c r="H232" s="8">
        <v>0</v>
      </c>
      <c r="I232" s="8">
        <v>0</v>
      </c>
      <c r="J232" s="8">
        <v>0</v>
      </c>
      <c r="K232" s="5">
        <f t="shared" si="7"/>
        <v>75</v>
      </c>
    </row>
    <row r="233" spans="1:11" ht="14.25">
      <c r="A233" s="7">
        <v>216</v>
      </c>
      <c r="B233" s="5">
        <v>1</v>
      </c>
      <c r="C233" s="7">
        <v>0</v>
      </c>
      <c r="D233" s="5">
        <v>0</v>
      </c>
      <c r="E233" s="5">
        <v>0</v>
      </c>
      <c r="F233" s="5">
        <f t="shared" si="6"/>
        <v>75000</v>
      </c>
      <c r="G233" s="8">
        <v>12</v>
      </c>
      <c r="H233" s="8">
        <v>0</v>
      </c>
      <c r="I233" s="8">
        <v>0</v>
      </c>
      <c r="J233" s="8">
        <v>0</v>
      </c>
      <c r="K233" s="5">
        <f t="shared" si="7"/>
        <v>75</v>
      </c>
    </row>
    <row r="234" spans="1:11" ht="14.25">
      <c r="A234" s="7">
        <v>217</v>
      </c>
      <c r="B234" s="5">
        <v>1</v>
      </c>
      <c r="C234" s="7">
        <v>0</v>
      </c>
      <c r="D234" s="5">
        <v>0</v>
      </c>
      <c r="E234" s="5">
        <v>0</v>
      </c>
      <c r="F234" s="5">
        <f t="shared" si="6"/>
        <v>75000</v>
      </c>
      <c r="G234" s="8">
        <v>12</v>
      </c>
      <c r="H234" s="8">
        <v>0</v>
      </c>
      <c r="I234" s="8">
        <v>0</v>
      </c>
      <c r="J234" s="8">
        <v>0</v>
      </c>
      <c r="K234" s="5">
        <f t="shared" si="7"/>
        <v>75</v>
      </c>
    </row>
    <row r="235" spans="1:11" ht="14.25">
      <c r="A235" s="7">
        <v>218</v>
      </c>
      <c r="B235" s="5">
        <v>1</v>
      </c>
      <c r="C235" s="7">
        <v>0</v>
      </c>
      <c r="D235" s="5">
        <v>0</v>
      </c>
      <c r="E235" s="5">
        <v>0</v>
      </c>
      <c r="F235" s="5">
        <f t="shared" si="6"/>
        <v>75000</v>
      </c>
      <c r="G235" s="8">
        <v>12</v>
      </c>
      <c r="H235" s="8">
        <v>0</v>
      </c>
      <c r="I235" s="8">
        <v>0</v>
      </c>
      <c r="J235" s="8">
        <v>0</v>
      </c>
      <c r="K235" s="5">
        <f t="shared" si="7"/>
        <v>75</v>
      </c>
    </row>
    <row r="236" spans="1:11" ht="14.25">
      <c r="A236" s="7">
        <v>219</v>
      </c>
      <c r="B236" s="5">
        <v>1</v>
      </c>
      <c r="C236" s="7">
        <v>0</v>
      </c>
      <c r="D236" s="5">
        <v>0</v>
      </c>
      <c r="E236" s="5">
        <v>0</v>
      </c>
      <c r="F236" s="5">
        <f t="shared" si="6"/>
        <v>75000</v>
      </c>
      <c r="G236" s="8">
        <v>12</v>
      </c>
      <c r="H236" s="8">
        <v>0</v>
      </c>
      <c r="I236" s="8">
        <v>0</v>
      </c>
      <c r="J236" s="8">
        <v>0</v>
      </c>
      <c r="K236" s="5">
        <f t="shared" si="7"/>
        <v>75</v>
      </c>
    </row>
    <row r="237" spans="1:11" ht="14.25">
      <c r="A237" s="7">
        <v>220</v>
      </c>
      <c r="B237" s="5">
        <v>1</v>
      </c>
      <c r="C237" s="7">
        <v>0</v>
      </c>
      <c r="D237" s="5">
        <v>0</v>
      </c>
      <c r="E237" s="5">
        <v>0</v>
      </c>
      <c r="F237" s="5">
        <f t="shared" si="6"/>
        <v>75000</v>
      </c>
      <c r="G237" s="8">
        <v>12</v>
      </c>
      <c r="H237" s="8">
        <v>0</v>
      </c>
      <c r="I237" s="8">
        <v>0</v>
      </c>
      <c r="J237" s="8">
        <v>0</v>
      </c>
      <c r="K237" s="5">
        <f t="shared" si="7"/>
        <v>75</v>
      </c>
    </row>
    <row r="238" spans="1:11" ht="14.25">
      <c r="A238" s="7">
        <v>221</v>
      </c>
      <c r="B238" s="5">
        <v>1</v>
      </c>
      <c r="C238" s="7">
        <v>0</v>
      </c>
      <c r="D238" s="5">
        <v>0</v>
      </c>
      <c r="E238" s="5">
        <v>0</v>
      </c>
      <c r="F238" s="5">
        <f t="shared" si="6"/>
        <v>75000</v>
      </c>
      <c r="G238" s="8">
        <v>12</v>
      </c>
      <c r="H238" s="8">
        <v>0</v>
      </c>
      <c r="I238" s="8">
        <v>0</v>
      </c>
      <c r="J238" s="8">
        <v>0</v>
      </c>
      <c r="K238" s="5">
        <f t="shared" si="7"/>
        <v>75</v>
      </c>
    </row>
    <row r="239" spans="1:11" ht="14.25">
      <c r="A239" s="7">
        <v>222</v>
      </c>
      <c r="B239" s="5">
        <v>1</v>
      </c>
      <c r="C239" s="7">
        <v>0</v>
      </c>
      <c r="D239" s="5">
        <v>0</v>
      </c>
      <c r="E239" s="5">
        <v>0</v>
      </c>
      <c r="F239" s="5">
        <f t="shared" si="6"/>
        <v>75000</v>
      </c>
      <c r="G239" s="8">
        <v>12</v>
      </c>
      <c r="H239" s="8">
        <v>0</v>
      </c>
      <c r="I239" s="8">
        <v>0</v>
      </c>
      <c r="J239" s="8">
        <v>0</v>
      </c>
      <c r="K239" s="5">
        <f t="shared" si="7"/>
        <v>75</v>
      </c>
    </row>
    <row r="240" spans="1:11" ht="14.25">
      <c r="A240" s="7">
        <v>223</v>
      </c>
      <c r="B240" s="5">
        <v>1</v>
      </c>
      <c r="C240" s="7">
        <v>0</v>
      </c>
      <c r="D240" s="5">
        <v>0</v>
      </c>
      <c r="E240" s="5">
        <v>0</v>
      </c>
      <c r="F240" s="5">
        <f t="shared" si="6"/>
        <v>75000</v>
      </c>
      <c r="G240" s="8">
        <v>12</v>
      </c>
      <c r="H240" s="8">
        <v>0</v>
      </c>
      <c r="I240" s="8">
        <v>0</v>
      </c>
      <c r="J240" s="8">
        <v>0</v>
      </c>
      <c r="K240" s="5">
        <f t="shared" si="7"/>
        <v>75</v>
      </c>
    </row>
    <row r="241" spans="1:11" ht="14.25">
      <c r="A241" s="7">
        <v>224</v>
      </c>
      <c r="B241" s="5">
        <v>1</v>
      </c>
      <c r="C241" s="7">
        <v>0</v>
      </c>
      <c r="D241" s="5">
        <v>0</v>
      </c>
      <c r="E241" s="5">
        <v>0</v>
      </c>
      <c r="F241" s="5">
        <f t="shared" ref="F241:F304" si="8">ROUNDUP(A241/15,0)*1000*5</f>
        <v>75000</v>
      </c>
      <c r="G241" s="8">
        <v>12</v>
      </c>
      <c r="H241" s="8">
        <v>0</v>
      </c>
      <c r="I241" s="8">
        <v>0</v>
      </c>
      <c r="J241" s="8">
        <v>0</v>
      </c>
      <c r="K241" s="5">
        <f t="shared" ref="K241:K304" si="9">ROUNDUP(A241/15,0)*5</f>
        <v>75</v>
      </c>
    </row>
    <row r="242" spans="1:11" ht="14.25">
      <c r="A242" s="7">
        <v>225</v>
      </c>
      <c r="B242" s="5">
        <v>1</v>
      </c>
      <c r="C242" s="7">
        <v>0</v>
      </c>
      <c r="D242" s="5">
        <v>0</v>
      </c>
      <c r="E242" s="5">
        <v>0</v>
      </c>
      <c r="F242" s="5">
        <f t="shared" si="8"/>
        <v>75000</v>
      </c>
      <c r="G242" s="8">
        <v>12</v>
      </c>
      <c r="H242" s="8">
        <v>0</v>
      </c>
      <c r="I242" s="8">
        <v>0</v>
      </c>
      <c r="J242" s="8">
        <v>0</v>
      </c>
      <c r="K242" s="5">
        <f t="shared" si="9"/>
        <v>75</v>
      </c>
    </row>
    <row r="243" spans="1:11" ht="14.25">
      <c r="A243" s="7">
        <v>226</v>
      </c>
      <c r="B243" s="5">
        <v>1</v>
      </c>
      <c r="C243" s="7">
        <v>0</v>
      </c>
      <c r="D243" s="5">
        <v>0</v>
      </c>
      <c r="E243" s="5">
        <v>0</v>
      </c>
      <c r="F243" s="5">
        <f t="shared" si="8"/>
        <v>80000</v>
      </c>
      <c r="G243" s="8">
        <v>12</v>
      </c>
      <c r="H243" s="8">
        <v>0</v>
      </c>
      <c r="I243" s="8">
        <v>0</v>
      </c>
      <c r="J243" s="8">
        <v>0</v>
      </c>
      <c r="K243" s="5">
        <f t="shared" si="9"/>
        <v>80</v>
      </c>
    </row>
    <row r="244" spans="1:11" ht="14.25">
      <c r="A244" s="7">
        <v>227</v>
      </c>
      <c r="B244" s="5">
        <v>1</v>
      </c>
      <c r="C244" s="7">
        <v>0</v>
      </c>
      <c r="D244" s="5">
        <v>0</v>
      </c>
      <c r="E244" s="5">
        <v>0</v>
      </c>
      <c r="F244" s="5">
        <f t="shared" si="8"/>
        <v>80000</v>
      </c>
      <c r="G244" s="8">
        <v>12</v>
      </c>
      <c r="H244" s="8">
        <v>0</v>
      </c>
      <c r="I244" s="8">
        <v>0</v>
      </c>
      <c r="J244" s="8">
        <v>0</v>
      </c>
      <c r="K244" s="5">
        <f t="shared" si="9"/>
        <v>80</v>
      </c>
    </row>
    <row r="245" spans="1:11" ht="14.25">
      <c r="A245" s="7">
        <v>228</v>
      </c>
      <c r="B245" s="5">
        <v>1</v>
      </c>
      <c r="C245" s="7">
        <v>0</v>
      </c>
      <c r="D245" s="5">
        <v>0</v>
      </c>
      <c r="E245" s="5">
        <v>0</v>
      </c>
      <c r="F245" s="5">
        <f t="shared" si="8"/>
        <v>80000</v>
      </c>
      <c r="G245" s="8">
        <v>12</v>
      </c>
      <c r="H245" s="8">
        <v>0</v>
      </c>
      <c r="I245" s="8">
        <v>0</v>
      </c>
      <c r="J245" s="8">
        <v>0</v>
      </c>
      <c r="K245" s="5">
        <f t="shared" si="9"/>
        <v>80</v>
      </c>
    </row>
    <row r="246" spans="1:11" ht="14.25">
      <c r="A246" s="7">
        <v>229</v>
      </c>
      <c r="B246" s="5">
        <v>1</v>
      </c>
      <c r="C246" s="7">
        <v>0</v>
      </c>
      <c r="D246" s="5">
        <v>0</v>
      </c>
      <c r="E246" s="5">
        <v>0</v>
      </c>
      <c r="F246" s="5">
        <f t="shared" si="8"/>
        <v>80000</v>
      </c>
      <c r="G246" s="8">
        <v>12</v>
      </c>
      <c r="H246" s="8">
        <v>0</v>
      </c>
      <c r="I246" s="8">
        <v>0</v>
      </c>
      <c r="J246" s="8">
        <v>0</v>
      </c>
      <c r="K246" s="5">
        <f t="shared" si="9"/>
        <v>80</v>
      </c>
    </row>
    <row r="247" spans="1:11" ht="14.25">
      <c r="A247" s="7">
        <v>230</v>
      </c>
      <c r="B247" s="5">
        <v>1</v>
      </c>
      <c r="C247" s="7">
        <v>0</v>
      </c>
      <c r="D247" s="5">
        <v>0</v>
      </c>
      <c r="E247" s="5">
        <v>0</v>
      </c>
      <c r="F247" s="5">
        <f t="shared" si="8"/>
        <v>80000</v>
      </c>
      <c r="G247" s="8">
        <v>12</v>
      </c>
      <c r="H247" s="8">
        <v>0</v>
      </c>
      <c r="I247" s="8">
        <v>0</v>
      </c>
      <c r="J247" s="8">
        <v>0</v>
      </c>
      <c r="K247" s="5">
        <f t="shared" si="9"/>
        <v>80</v>
      </c>
    </row>
    <row r="248" spans="1:11" ht="14.25">
      <c r="A248" s="7">
        <v>231</v>
      </c>
      <c r="B248" s="5">
        <v>1</v>
      </c>
      <c r="C248" s="7">
        <v>0</v>
      </c>
      <c r="D248" s="5">
        <v>0</v>
      </c>
      <c r="E248" s="5">
        <v>0</v>
      </c>
      <c r="F248" s="5">
        <f t="shared" si="8"/>
        <v>80000</v>
      </c>
      <c r="G248" s="8">
        <v>12</v>
      </c>
      <c r="H248" s="8">
        <v>0</v>
      </c>
      <c r="I248" s="8">
        <v>0</v>
      </c>
      <c r="J248" s="8">
        <v>0</v>
      </c>
      <c r="K248" s="5">
        <f t="shared" si="9"/>
        <v>80</v>
      </c>
    </row>
    <row r="249" spans="1:11" ht="14.25">
      <c r="A249" s="7">
        <v>232</v>
      </c>
      <c r="B249" s="5">
        <v>1</v>
      </c>
      <c r="C249" s="7">
        <v>0</v>
      </c>
      <c r="D249" s="5">
        <v>0</v>
      </c>
      <c r="E249" s="5">
        <v>0</v>
      </c>
      <c r="F249" s="5">
        <f t="shared" si="8"/>
        <v>80000</v>
      </c>
      <c r="G249" s="8">
        <v>12</v>
      </c>
      <c r="H249" s="8">
        <v>0</v>
      </c>
      <c r="I249" s="8">
        <v>0</v>
      </c>
      <c r="J249" s="8">
        <v>0</v>
      </c>
      <c r="K249" s="5">
        <f t="shared" si="9"/>
        <v>80</v>
      </c>
    </row>
    <row r="250" spans="1:11" ht="14.25">
      <c r="A250" s="7">
        <v>233</v>
      </c>
      <c r="B250" s="5">
        <v>1</v>
      </c>
      <c r="C250" s="7">
        <v>0</v>
      </c>
      <c r="D250" s="5">
        <v>0</v>
      </c>
      <c r="E250" s="5">
        <v>0</v>
      </c>
      <c r="F250" s="5">
        <f t="shared" si="8"/>
        <v>80000</v>
      </c>
      <c r="G250" s="8">
        <v>12</v>
      </c>
      <c r="H250" s="8">
        <v>0</v>
      </c>
      <c r="I250" s="8">
        <v>0</v>
      </c>
      <c r="J250" s="8">
        <v>0</v>
      </c>
      <c r="K250" s="5">
        <f t="shared" si="9"/>
        <v>80</v>
      </c>
    </row>
    <row r="251" spans="1:11" ht="14.25">
      <c r="A251" s="7">
        <v>234</v>
      </c>
      <c r="B251" s="5">
        <v>1</v>
      </c>
      <c r="C251" s="7">
        <v>0</v>
      </c>
      <c r="D251" s="5">
        <v>0</v>
      </c>
      <c r="E251" s="5">
        <v>0</v>
      </c>
      <c r="F251" s="5">
        <f t="shared" si="8"/>
        <v>80000</v>
      </c>
      <c r="G251" s="8">
        <v>12</v>
      </c>
      <c r="H251" s="8">
        <v>0</v>
      </c>
      <c r="I251" s="8">
        <v>0</v>
      </c>
      <c r="J251" s="8">
        <v>0</v>
      </c>
      <c r="K251" s="5">
        <f t="shared" si="9"/>
        <v>80</v>
      </c>
    </row>
    <row r="252" spans="1:11" ht="14.25">
      <c r="A252" s="7">
        <v>235</v>
      </c>
      <c r="B252" s="5">
        <v>1</v>
      </c>
      <c r="C252" s="7">
        <v>0</v>
      </c>
      <c r="D252" s="5">
        <v>0</v>
      </c>
      <c r="E252" s="5">
        <v>0</v>
      </c>
      <c r="F252" s="5">
        <f t="shared" si="8"/>
        <v>80000</v>
      </c>
      <c r="G252" s="8">
        <v>12</v>
      </c>
      <c r="H252" s="8">
        <v>0</v>
      </c>
      <c r="I252" s="8">
        <v>0</v>
      </c>
      <c r="J252" s="8">
        <v>0</v>
      </c>
      <c r="K252" s="5">
        <f t="shared" si="9"/>
        <v>80</v>
      </c>
    </row>
    <row r="253" spans="1:11" ht="14.25">
      <c r="A253" s="7">
        <v>236</v>
      </c>
      <c r="B253" s="5">
        <v>1</v>
      </c>
      <c r="C253" s="7">
        <v>0</v>
      </c>
      <c r="D253" s="5">
        <v>0</v>
      </c>
      <c r="E253" s="5">
        <v>0</v>
      </c>
      <c r="F253" s="5">
        <f t="shared" si="8"/>
        <v>80000</v>
      </c>
      <c r="G253" s="8">
        <v>12</v>
      </c>
      <c r="H253" s="8">
        <v>0</v>
      </c>
      <c r="I253" s="8">
        <v>0</v>
      </c>
      <c r="J253" s="8">
        <v>0</v>
      </c>
      <c r="K253" s="5">
        <f t="shared" si="9"/>
        <v>80</v>
      </c>
    </row>
    <row r="254" spans="1:11" ht="14.25">
      <c r="A254" s="7">
        <v>237</v>
      </c>
      <c r="B254" s="5">
        <v>1</v>
      </c>
      <c r="C254" s="7">
        <v>0</v>
      </c>
      <c r="D254" s="5">
        <v>0</v>
      </c>
      <c r="E254" s="5">
        <v>0</v>
      </c>
      <c r="F254" s="5">
        <f t="shared" si="8"/>
        <v>80000</v>
      </c>
      <c r="G254" s="8">
        <v>12</v>
      </c>
      <c r="H254" s="8">
        <v>0</v>
      </c>
      <c r="I254" s="8">
        <v>0</v>
      </c>
      <c r="J254" s="8">
        <v>0</v>
      </c>
      <c r="K254" s="5">
        <f t="shared" si="9"/>
        <v>80</v>
      </c>
    </row>
    <row r="255" spans="1:11" ht="14.25">
      <c r="A255" s="7">
        <v>238</v>
      </c>
      <c r="B255" s="5">
        <v>1</v>
      </c>
      <c r="C255" s="7">
        <v>0</v>
      </c>
      <c r="D255" s="5">
        <v>0</v>
      </c>
      <c r="E255" s="5">
        <v>0</v>
      </c>
      <c r="F255" s="5">
        <f t="shared" si="8"/>
        <v>80000</v>
      </c>
      <c r="G255" s="8">
        <v>12</v>
      </c>
      <c r="H255" s="8">
        <v>0</v>
      </c>
      <c r="I255" s="8">
        <v>0</v>
      </c>
      <c r="J255" s="8">
        <v>0</v>
      </c>
      <c r="K255" s="5">
        <f t="shared" si="9"/>
        <v>80</v>
      </c>
    </row>
    <row r="256" spans="1:11" ht="14.25">
      <c r="A256" s="7">
        <v>239</v>
      </c>
      <c r="B256" s="5">
        <v>1</v>
      </c>
      <c r="C256" s="7">
        <v>0</v>
      </c>
      <c r="D256" s="5">
        <v>0</v>
      </c>
      <c r="E256" s="5">
        <v>0</v>
      </c>
      <c r="F256" s="5">
        <f t="shared" si="8"/>
        <v>80000</v>
      </c>
      <c r="G256" s="8">
        <v>12</v>
      </c>
      <c r="H256" s="8">
        <v>0</v>
      </c>
      <c r="I256" s="8">
        <v>0</v>
      </c>
      <c r="J256" s="8">
        <v>0</v>
      </c>
      <c r="K256" s="5">
        <f t="shared" si="9"/>
        <v>80</v>
      </c>
    </row>
    <row r="257" spans="1:11" ht="14.25">
      <c r="A257" s="7">
        <v>240</v>
      </c>
      <c r="B257" s="5">
        <v>1</v>
      </c>
      <c r="C257" s="7">
        <v>0</v>
      </c>
      <c r="D257" s="5">
        <v>0</v>
      </c>
      <c r="E257" s="5">
        <v>0</v>
      </c>
      <c r="F257" s="5">
        <f t="shared" si="8"/>
        <v>80000</v>
      </c>
      <c r="G257" s="8">
        <v>12</v>
      </c>
      <c r="H257" s="8">
        <v>0</v>
      </c>
      <c r="I257" s="8">
        <v>0</v>
      </c>
      <c r="J257" s="8">
        <v>0</v>
      </c>
      <c r="K257" s="5">
        <f t="shared" si="9"/>
        <v>80</v>
      </c>
    </row>
    <row r="258" spans="1:11" ht="14.25">
      <c r="A258" s="7">
        <v>241</v>
      </c>
      <c r="B258" s="5">
        <v>1</v>
      </c>
      <c r="C258" s="7">
        <v>0</v>
      </c>
      <c r="D258" s="5">
        <v>0</v>
      </c>
      <c r="E258" s="5">
        <v>0</v>
      </c>
      <c r="F258" s="5">
        <f t="shared" si="8"/>
        <v>85000</v>
      </c>
      <c r="G258" s="8">
        <v>12</v>
      </c>
      <c r="H258" s="8">
        <v>0</v>
      </c>
      <c r="I258" s="8">
        <v>0</v>
      </c>
      <c r="J258" s="8">
        <v>0</v>
      </c>
      <c r="K258" s="5">
        <f t="shared" si="9"/>
        <v>85</v>
      </c>
    </row>
    <row r="259" spans="1:11" ht="14.25">
      <c r="A259" s="7">
        <v>242</v>
      </c>
      <c r="B259" s="5">
        <v>1</v>
      </c>
      <c r="C259" s="7">
        <v>0</v>
      </c>
      <c r="D259" s="5">
        <v>0</v>
      </c>
      <c r="E259" s="5">
        <v>0</v>
      </c>
      <c r="F259" s="5">
        <f t="shared" si="8"/>
        <v>85000</v>
      </c>
      <c r="G259" s="8">
        <v>12</v>
      </c>
      <c r="H259" s="8">
        <v>0</v>
      </c>
      <c r="I259" s="8">
        <v>0</v>
      </c>
      <c r="J259" s="8">
        <v>0</v>
      </c>
      <c r="K259" s="5">
        <f t="shared" si="9"/>
        <v>85</v>
      </c>
    </row>
    <row r="260" spans="1:11" ht="14.25">
      <c r="A260" s="7">
        <v>243</v>
      </c>
      <c r="B260" s="5">
        <v>1</v>
      </c>
      <c r="C260" s="7">
        <v>0</v>
      </c>
      <c r="D260" s="5">
        <v>0</v>
      </c>
      <c r="E260" s="5">
        <v>0</v>
      </c>
      <c r="F260" s="5">
        <f t="shared" si="8"/>
        <v>85000</v>
      </c>
      <c r="G260" s="8">
        <v>12</v>
      </c>
      <c r="H260" s="8">
        <v>0</v>
      </c>
      <c r="I260" s="8">
        <v>0</v>
      </c>
      <c r="J260" s="8">
        <v>0</v>
      </c>
      <c r="K260" s="5">
        <f t="shared" si="9"/>
        <v>85</v>
      </c>
    </row>
    <row r="261" spans="1:11" ht="14.25">
      <c r="A261" s="7">
        <v>244</v>
      </c>
      <c r="B261" s="5">
        <v>1</v>
      </c>
      <c r="C261" s="7">
        <v>0</v>
      </c>
      <c r="D261" s="5">
        <v>0</v>
      </c>
      <c r="E261" s="5">
        <v>0</v>
      </c>
      <c r="F261" s="5">
        <f t="shared" si="8"/>
        <v>85000</v>
      </c>
      <c r="G261" s="8">
        <v>12</v>
      </c>
      <c r="H261" s="8">
        <v>0</v>
      </c>
      <c r="I261" s="8">
        <v>0</v>
      </c>
      <c r="J261" s="8">
        <v>0</v>
      </c>
      <c r="K261" s="5">
        <f t="shared" si="9"/>
        <v>85</v>
      </c>
    </row>
    <row r="262" spans="1:11" ht="14.25">
      <c r="A262" s="7">
        <v>245</v>
      </c>
      <c r="B262" s="5">
        <v>1</v>
      </c>
      <c r="C262" s="7">
        <v>0</v>
      </c>
      <c r="D262" s="5">
        <v>0</v>
      </c>
      <c r="E262" s="5">
        <v>0</v>
      </c>
      <c r="F262" s="5">
        <f t="shared" si="8"/>
        <v>85000</v>
      </c>
      <c r="G262" s="8">
        <v>12</v>
      </c>
      <c r="H262" s="8">
        <v>0</v>
      </c>
      <c r="I262" s="8">
        <v>0</v>
      </c>
      <c r="J262" s="8">
        <v>0</v>
      </c>
      <c r="K262" s="5">
        <f t="shared" si="9"/>
        <v>85</v>
      </c>
    </row>
    <row r="263" spans="1:11" ht="14.25">
      <c r="A263" s="7">
        <v>246</v>
      </c>
      <c r="B263" s="5">
        <v>1</v>
      </c>
      <c r="C263" s="7">
        <v>0</v>
      </c>
      <c r="D263" s="5">
        <v>0</v>
      </c>
      <c r="E263" s="5">
        <v>0</v>
      </c>
      <c r="F263" s="5">
        <f t="shared" si="8"/>
        <v>85000</v>
      </c>
      <c r="G263" s="8">
        <v>12</v>
      </c>
      <c r="H263" s="8">
        <v>0</v>
      </c>
      <c r="I263" s="8">
        <v>0</v>
      </c>
      <c r="J263" s="8">
        <v>0</v>
      </c>
      <c r="K263" s="5">
        <f t="shared" si="9"/>
        <v>85</v>
      </c>
    </row>
    <row r="264" spans="1:11" ht="14.25">
      <c r="A264" s="7">
        <v>247</v>
      </c>
      <c r="B264" s="5">
        <v>1</v>
      </c>
      <c r="C264" s="7">
        <v>0</v>
      </c>
      <c r="D264" s="5">
        <v>0</v>
      </c>
      <c r="E264" s="5">
        <v>0</v>
      </c>
      <c r="F264" s="5">
        <f t="shared" si="8"/>
        <v>85000</v>
      </c>
      <c r="G264" s="8">
        <v>12</v>
      </c>
      <c r="H264" s="8">
        <v>0</v>
      </c>
      <c r="I264" s="8">
        <v>0</v>
      </c>
      <c r="J264" s="8">
        <v>0</v>
      </c>
      <c r="K264" s="5">
        <f t="shared" si="9"/>
        <v>85</v>
      </c>
    </row>
    <row r="265" spans="1:11" ht="14.25">
      <c r="A265" s="7">
        <v>248</v>
      </c>
      <c r="B265" s="5">
        <v>1</v>
      </c>
      <c r="C265" s="7">
        <v>0</v>
      </c>
      <c r="D265" s="5">
        <v>0</v>
      </c>
      <c r="E265" s="5">
        <v>0</v>
      </c>
      <c r="F265" s="5">
        <f t="shared" si="8"/>
        <v>85000</v>
      </c>
      <c r="G265" s="8">
        <v>12</v>
      </c>
      <c r="H265" s="8">
        <v>0</v>
      </c>
      <c r="I265" s="8">
        <v>0</v>
      </c>
      <c r="J265" s="8">
        <v>0</v>
      </c>
      <c r="K265" s="5">
        <f t="shared" si="9"/>
        <v>85</v>
      </c>
    </row>
    <row r="266" spans="1:11" ht="14.25">
      <c r="A266" s="7">
        <v>249</v>
      </c>
      <c r="B266" s="5">
        <v>1</v>
      </c>
      <c r="C266" s="7">
        <v>0</v>
      </c>
      <c r="D266" s="5">
        <v>0</v>
      </c>
      <c r="E266" s="5">
        <v>0</v>
      </c>
      <c r="F266" s="5">
        <f t="shared" si="8"/>
        <v>85000</v>
      </c>
      <c r="G266" s="8">
        <v>12</v>
      </c>
      <c r="H266" s="8">
        <v>0</v>
      </c>
      <c r="I266" s="8">
        <v>0</v>
      </c>
      <c r="J266" s="8">
        <v>0</v>
      </c>
      <c r="K266" s="5">
        <f t="shared" si="9"/>
        <v>85</v>
      </c>
    </row>
    <row r="267" spans="1:11" ht="14.25">
      <c r="A267" s="7">
        <v>250</v>
      </c>
      <c r="B267" s="5">
        <v>1</v>
      </c>
      <c r="C267" s="7">
        <v>0</v>
      </c>
      <c r="D267" s="5">
        <v>0</v>
      </c>
      <c r="E267" s="5">
        <v>0</v>
      </c>
      <c r="F267" s="5">
        <f t="shared" si="8"/>
        <v>85000</v>
      </c>
      <c r="G267" s="8">
        <v>12</v>
      </c>
      <c r="H267" s="8">
        <v>0</v>
      </c>
      <c r="I267" s="8">
        <v>0</v>
      </c>
      <c r="J267" s="8">
        <v>0</v>
      </c>
      <c r="K267" s="5">
        <f t="shared" si="9"/>
        <v>85</v>
      </c>
    </row>
    <row r="268" spans="1:11" ht="14.25">
      <c r="A268" s="7">
        <v>251</v>
      </c>
      <c r="B268" s="5">
        <v>1</v>
      </c>
      <c r="C268" s="7">
        <v>0</v>
      </c>
      <c r="D268" s="5">
        <v>0</v>
      </c>
      <c r="E268" s="5">
        <v>0</v>
      </c>
      <c r="F268" s="5">
        <f t="shared" si="8"/>
        <v>85000</v>
      </c>
      <c r="G268" s="8">
        <v>12</v>
      </c>
      <c r="H268" s="8">
        <v>0</v>
      </c>
      <c r="I268" s="8">
        <v>0</v>
      </c>
      <c r="J268" s="8">
        <v>0</v>
      </c>
      <c r="K268" s="5">
        <f t="shared" si="9"/>
        <v>85</v>
      </c>
    </row>
    <row r="269" spans="1:11" ht="14.25">
      <c r="A269" s="7">
        <v>252</v>
      </c>
      <c r="B269" s="5">
        <v>1</v>
      </c>
      <c r="C269" s="7">
        <v>0</v>
      </c>
      <c r="D269" s="5">
        <v>0</v>
      </c>
      <c r="E269" s="5">
        <v>0</v>
      </c>
      <c r="F269" s="5">
        <f t="shared" si="8"/>
        <v>85000</v>
      </c>
      <c r="G269" s="8">
        <v>12</v>
      </c>
      <c r="H269" s="8">
        <v>0</v>
      </c>
      <c r="I269" s="8">
        <v>0</v>
      </c>
      <c r="J269" s="8">
        <v>0</v>
      </c>
      <c r="K269" s="5">
        <f t="shared" si="9"/>
        <v>85</v>
      </c>
    </row>
    <row r="270" spans="1:11" ht="14.25">
      <c r="A270" s="7">
        <v>253</v>
      </c>
      <c r="B270" s="5">
        <v>1</v>
      </c>
      <c r="C270" s="7">
        <v>0</v>
      </c>
      <c r="D270" s="5">
        <v>0</v>
      </c>
      <c r="E270" s="5">
        <v>0</v>
      </c>
      <c r="F270" s="5">
        <f t="shared" si="8"/>
        <v>85000</v>
      </c>
      <c r="G270" s="8">
        <v>12</v>
      </c>
      <c r="H270" s="8">
        <v>0</v>
      </c>
      <c r="I270" s="8">
        <v>0</v>
      </c>
      <c r="J270" s="8">
        <v>0</v>
      </c>
      <c r="K270" s="5">
        <f t="shared" si="9"/>
        <v>85</v>
      </c>
    </row>
    <row r="271" spans="1:11" ht="14.25">
      <c r="A271" s="7">
        <v>254</v>
      </c>
      <c r="B271" s="5">
        <v>1</v>
      </c>
      <c r="C271" s="7">
        <v>0</v>
      </c>
      <c r="D271" s="5">
        <v>0</v>
      </c>
      <c r="E271" s="5">
        <v>0</v>
      </c>
      <c r="F271" s="5">
        <f t="shared" si="8"/>
        <v>85000</v>
      </c>
      <c r="G271" s="8">
        <v>12</v>
      </c>
      <c r="H271" s="8">
        <v>0</v>
      </c>
      <c r="I271" s="8">
        <v>0</v>
      </c>
      <c r="J271" s="8">
        <v>0</v>
      </c>
      <c r="K271" s="5">
        <f t="shared" si="9"/>
        <v>85</v>
      </c>
    </row>
    <row r="272" spans="1:11" ht="14.25">
      <c r="A272" s="7">
        <v>255</v>
      </c>
      <c r="B272" s="5">
        <v>1</v>
      </c>
      <c r="C272" s="7">
        <v>0</v>
      </c>
      <c r="D272" s="5">
        <v>0</v>
      </c>
      <c r="E272" s="5">
        <v>0</v>
      </c>
      <c r="F272" s="5">
        <f t="shared" si="8"/>
        <v>85000</v>
      </c>
      <c r="G272" s="8">
        <v>12</v>
      </c>
      <c r="H272" s="8">
        <v>0</v>
      </c>
      <c r="I272" s="8">
        <v>0</v>
      </c>
      <c r="J272" s="8">
        <v>0</v>
      </c>
      <c r="K272" s="5">
        <f t="shared" si="9"/>
        <v>85</v>
      </c>
    </row>
    <row r="273" spans="1:11" ht="14.25">
      <c r="A273" s="7">
        <v>256</v>
      </c>
      <c r="B273" s="5">
        <v>1</v>
      </c>
      <c r="C273" s="7">
        <v>0</v>
      </c>
      <c r="D273" s="5">
        <v>0</v>
      </c>
      <c r="E273" s="5">
        <v>0</v>
      </c>
      <c r="F273" s="5">
        <f t="shared" si="8"/>
        <v>90000</v>
      </c>
      <c r="G273" s="8">
        <v>12</v>
      </c>
      <c r="H273" s="8">
        <v>0</v>
      </c>
      <c r="I273" s="8">
        <v>0</v>
      </c>
      <c r="J273" s="8">
        <v>0</v>
      </c>
      <c r="K273" s="5">
        <f t="shared" si="9"/>
        <v>90</v>
      </c>
    </row>
    <row r="274" spans="1:11" ht="14.25">
      <c r="A274" s="7">
        <v>257</v>
      </c>
      <c r="B274" s="5">
        <v>1</v>
      </c>
      <c r="C274" s="7">
        <v>0</v>
      </c>
      <c r="D274" s="5">
        <v>0</v>
      </c>
      <c r="E274" s="5">
        <v>0</v>
      </c>
      <c r="F274" s="5">
        <f t="shared" si="8"/>
        <v>90000</v>
      </c>
      <c r="G274" s="8">
        <v>12</v>
      </c>
      <c r="H274" s="8">
        <v>0</v>
      </c>
      <c r="I274" s="8">
        <v>0</v>
      </c>
      <c r="J274" s="8">
        <v>0</v>
      </c>
      <c r="K274" s="5">
        <f t="shared" si="9"/>
        <v>90</v>
      </c>
    </row>
    <row r="275" spans="1:11" ht="14.25">
      <c r="A275" s="7">
        <v>258</v>
      </c>
      <c r="B275" s="5">
        <v>1</v>
      </c>
      <c r="C275" s="7">
        <v>0</v>
      </c>
      <c r="D275" s="5">
        <v>0</v>
      </c>
      <c r="E275" s="5">
        <v>0</v>
      </c>
      <c r="F275" s="5">
        <f t="shared" si="8"/>
        <v>90000</v>
      </c>
      <c r="G275" s="8">
        <v>12</v>
      </c>
      <c r="H275" s="8">
        <v>0</v>
      </c>
      <c r="I275" s="8">
        <v>0</v>
      </c>
      <c r="J275" s="8">
        <v>0</v>
      </c>
      <c r="K275" s="5">
        <f t="shared" si="9"/>
        <v>90</v>
      </c>
    </row>
    <row r="276" spans="1:11" ht="14.25">
      <c r="A276" s="7">
        <v>259</v>
      </c>
      <c r="B276" s="5">
        <v>1</v>
      </c>
      <c r="C276" s="7">
        <v>0</v>
      </c>
      <c r="D276" s="5">
        <v>0</v>
      </c>
      <c r="E276" s="5">
        <v>0</v>
      </c>
      <c r="F276" s="5">
        <f t="shared" si="8"/>
        <v>90000</v>
      </c>
      <c r="G276" s="8">
        <v>12</v>
      </c>
      <c r="H276" s="8">
        <v>0</v>
      </c>
      <c r="I276" s="8">
        <v>0</v>
      </c>
      <c r="J276" s="8">
        <v>0</v>
      </c>
      <c r="K276" s="5">
        <f t="shared" si="9"/>
        <v>90</v>
      </c>
    </row>
    <row r="277" spans="1:11" ht="14.25">
      <c r="A277" s="7">
        <v>260</v>
      </c>
      <c r="B277" s="5">
        <v>1</v>
      </c>
      <c r="C277" s="7">
        <v>0</v>
      </c>
      <c r="D277" s="5">
        <v>0</v>
      </c>
      <c r="E277" s="5">
        <v>0</v>
      </c>
      <c r="F277" s="5">
        <f t="shared" si="8"/>
        <v>90000</v>
      </c>
      <c r="G277" s="8">
        <v>12</v>
      </c>
      <c r="H277" s="8">
        <v>0</v>
      </c>
      <c r="I277" s="8">
        <v>0</v>
      </c>
      <c r="J277" s="8">
        <v>0</v>
      </c>
      <c r="K277" s="5">
        <f t="shared" si="9"/>
        <v>90</v>
      </c>
    </row>
    <row r="278" spans="1:11" ht="14.25">
      <c r="A278" s="7">
        <v>261</v>
      </c>
      <c r="B278" s="5">
        <v>1</v>
      </c>
      <c r="C278" s="7">
        <v>0</v>
      </c>
      <c r="D278" s="5">
        <v>0</v>
      </c>
      <c r="E278" s="5">
        <v>0</v>
      </c>
      <c r="F278" s="5">
        <f t="shared" si="8"/>
        <v>90000</v>
      </c>
      <c r="G278" s="8">
        <v>12</v>
      </c>
      <c r="H278" s="8">
        <v>0</v>
      </c>
      <c r="I278" s="8">
        <v>0</v>
      </c>
      <c r="J278" s="8">
        <v>0</v>
      </c>
      <c r="K278" s="5">
        <f t="shared" si="9"/>
        <v>90</v>
      </c>
    </row>
    <row r="279" spans="1:11" ht="14.25">
      <c r="A279" s="7">
        <v>262</v>
      </c>
      <c r="B279" s="5">
        <v>1</v>
      </c>
      <c r="C279" s="7">
        <v>0</v>
      </c>
      <c r="D279" s="5">
        <v>0</v>
      </c>
      <c r="E279" s="5">
        <v>0</v>
      </c>
      <c r="F279" s="5">
        <f t="shared" si="8"/>
        <v>90000</v>
      </c>
      <c r="G279" s="8">
        <v>12</v>
      </c>
      <c r="H279" s="8">
        <v>0</v>
      </c>
      <c r="I279" s="8">
        <v>0</v>
      </c>
      <c r="J279" s="8">
        <v>0</v>
      </c>
      <c r="K279" s="5">
        <f t="shared" si="9"/>
        <v>90</v>
      </c>
    </row>
    <row r="280" spans="1:11" ht="14.25">
      <c r="A280" s="7">
        <v>263</v>
      </c>
      <c r="B280" s="5">
        <v>1</v>
      </c>
      <c r="C280" s="7">
        <v>0</v>
      </c>
      <c r="D280" s="5">
        <v>0</v>
      </c>
      <c r="E280" s="5">
        <v>0</v>
      </c>
      <c r="F280" s="5">
        <f t="shared" si="8"/>
        <v>90000</v>
      </c>
      <c r="G280" s="8">
        <v>12</v>
      </c>
      <c r="H280" s="8">
        <v>0</v>
      </c>
      <c r="I280" s="8">
        <v>0</v>
      </c>
      <c r="J280" s="8">
        <v>0</v>
      </c>
      <c r="K280" s="5">
        <f t="shared" si="9"/>
        <v>90</v>
      </c>
    </row>
    <row r="281" spans="1:11" ht="14.25">
      <c r="A281" s="7">
        <v>264</v>
      </c>
      <c r="B281" s="5">
        <v>1</v>
      </c>
      <c r="C281" s="7">
        <v>0</v>
      </c>
      <c r="D281" s="5">
        <v>0</v>
      </c>
      <c r="E281" s="5">
        <v>0</v>
      </c>
      <c r="F281" s="5">
        <f t="shared" si="8"/>
        <v>90000</v>
      </c>
      <c r="G281" s="8">
        <v>12</v>
      </c>
      <c r="H281" s="8">
        <v>0</v>
      </c>
      <c r="I281" s="8">
        <v>0</v>
      </c>
      <c r="J281" s="8">
        <v>0</v>
      </c>
      <c r="K281" s="5">
        <f t="shared" si="9"/>
        <v>90</v>
      </c>
    </row>
    <row r="282" spans="1:11" ht="14.25">
      <c r="A282" s="7">
        <v>265</v>
      </c>
      <c r="B282" s="5">
        <v>1</v>
      </c>
      <c r="C282" s="7">
        <v>0</v>
      </c>
      <c r="D282" s="5">
        <v>0</v>
      </c>
      <c r="E282" s="5">
        <v>0</v>
      </c>
      <c r="F282" s="5">
        <f t="shared" si="8"/>
        <v>90000</v>
      </c>
      <c r="G282" s="8">
        <v>12</v>
      </c>
      <c r="H282" s="8">
        <v>0</v>
      </c>
      <c r="I282" s="8">
        <v>0</v>
      </c>
      <c r="J282" s="8">
        <v>0</v>
      </c>
      <c r="K282" s="5">
        <f t="shared" si="9"/>
        <v>90</v>
      </c>
    </row>
    <row r="283" spans="1:11" ht="14.25">
      <c r="A283" s="7">
        <v>266</v>
      </c>
      <c r="B283" s="5">
        <v>1</v>
      </c>
      <c r="C283" s="7">
        <v>0</v>
      </c>
      <c r="D283" s="5">
        <v>0</v>
      </c>
      <c r="E283" s="5">
        <v>0</v>
      </c>
      <c r="F283" s="5">
        <f t="shared" si="8"/>
        <v>90000</v>
      </c>
      <c r="G283" s="8">
        <v>12</v>
      </c>
      <c r="H283" s="8">
        <v>0</v>
      </c>
      <c r="I283" s="8">
        <v>0</v>
      </c>
      <c r="J283" s="8">
        <v>0</v>
      </c>
      <c r="K283" s="5">
        <f t="shared" si="9"/>
        <v>90</v>
      </c>
    </row>
    <row r="284" spans="1:11" ht="14.25">
      <c r="A284" s="7">
        <v>267</v>
      </c>
      <c r="B284" s="5">
        <v>1</v>
      </c>
      <c r="C284" s="7">
        <v>0</v>
      </c>
      <c r="D284" s="5">
        <v>0</v>
      </c>
      <c r="E284" s="5">
        <v>0</v>
      </c>
      <c r="F284" s="5">
        <f t="shared" si="8"/>
        <v>90000</v>
      </c>
      <c r="G284" s="8">
        <v>12</v>
      </c>
      <c r="H284" s="8">
        <v>0</v>
      </c>
      <c r="I284" s="8">
        <v>0</v>
      </c>
      <c r="J284" s="8">
        <v>0</v>
      </c>
      <c r="K284" s="5">
        <f t="shared" si="9"/>
        <v>90</v>
      </c>
    </row>
    <row r="285" spans="1:11" ht="14.25">
      <c r="A285" s="7">
        <v>268</v>
      </c>
      <c r="B285" s="5">
        <v>1</v>
      </c>
      <c r="C285" s="7">
        <v>0</v>
      </c>
      <c r="D285" s="5">
        <v>0</v>
      </c>
      <c r="E285" s="5">
        <v>0</v>
      </c>
      <c r="F285" s="5">
        <f t="shared" si="8"/>
        <v>90000</v>
      </c>
      <c r="G285" s="8">
        <v>12</v>
      </c>
      <c r="H285" s="8">
        <v>0</v>
      </c>
      <c r="I285" s="8">
        <v>0</v>
      </c>
      <c r="J285" s="8">
        <v>0</v>
      </c>
      <c r="K285" s="5">
        <f t="shared" si="9"/>
        <v>90</v>
      </c>
    </row>
    <row r="286" spans="1:11" ht="14.25">
      <c r="A286" s="7">
        <v>269</v>
      </c>
      <c r="B286" s="5">
        <v>1</v>
      </c>
      <c r="C286" s="7">
        <v>0</v>
      </c>
      <c r="D286" s="5">
        <v>0</v>
      </c>
      <c r="E286" s="5">
        <v>0</v>
      </c>
      <c r="F286" s="5">
        <f t="shared" si="8"/>
        <v>90000</v>
      </c>
      <c r="G286" s="8">
        <v>12</v>
      </c>
      <c r="H286" s="8">
        <v>0</v>
      </c>
      <c r="I286" s="8">
        <v>0</v>
      </c>
      <c r="J286" s="8">
        <v>0</v>
      </c>
      <c r="K286" s="5">
        <f t="shared" si="9"/>
        <v>90</v>
      </c>
    </row>
    <row r="287" spans="1:11" ht="14.25">
      <c r="A287" s="7">
        <v>270</v>
      </c>
      <c r="B287" s="5">
        <v>1</v>
      </c>
      <c r="C287" s="7">
        <v>0</v>
      </c>
      <c r="D287" s="5">
        <v>0</v>
      </c>
      <c r="E287" s="5">
        <v>0</v>
      </c>
      <c r="F287" s="5">
        <f t="shared" si="8"/>
        <v>90000</v>
      </c>
      <c r="G287" s="8">
        <v>12</v>
      </c>
      <c r="H287" s="8">
        <v>0</v>
      </c>
      <c r="I287" s="8">
        <v>0</v>
      </c>
      <c r="J287" s="8">
        <v>0</v>
      </c>
      <c r="K287" s="5">
        <f t="shared" si="9"/>
        <v>90</v>
      </c>
    </row>
    <row r="288" spans="1:11" ht="14.25">
      <c r="A288" s="7">
        <v>271</v>
      </c>
      <c r="B288" s="5">
        <v>1</v>
      </c>
      <c r="C288" s="7">
        <v>0</v>
      </c>
      <c r="D288" s="5">
        <v>0</v>
      </c>
      <c r="E288" s="5">
        <v>0</v>
      </c>
      <c r="F288" s="5">
        <f t="shared" si="8"/>
        <v>95000</v>
      </c>
      <c r="G288" s="8">
        <v>12</v>
      </c>
      <c r="H288" s="8">
        <v>0</v>
      </c>
      <c r="I288" s="8">
        <v>0</v>
      </c>
      <c r="J288" s="8">
        <v>0</v>
      </c>
      <c r="K288" s="5">
        <f t="shared" si="9"/>
        <v>95</v>
      </c>
    </row>
    <row r="289" spans="1:11" ht="14.25">
      <c r="A289" s="7">
        <v>272</v>
      </c>
      <c r="B289" s="5">
        <v>1</v>
      </c>
      <c r="C289" s="7">
        <v>0</v>
      </c>
      <c r="D289" s="5">
        <v>0</v>
      </c>
      <c r="E289" s="5">
        <v>0</v>
      </c>
      <c r="F289" s="5">
        <f t="shared" si="8"/>
        <v>95000</v>
      </c>
      <c r="G289" s="8">
        <v>12</v>
      </c>
      <c r="H289" s="8">
        <v>0</v>
      </c>
      <c r="I289" s="8">
        <v>0</v>
      </c>
      <c r="J289" s="8">
        <v>0</v>
      </c>
      <c r="K289" s="5">
        <f t="shared" si="9"/>
        <v>95</v>
      </c>
    </row>
    <row r="290" spans="1:11" ht="14.25">
      <c r="A290" s="7">
        <v>273</v>
      </c>
      <c r="B290" s="5">
        <v>1</v>
      </c>
      <c r="C290" s="7">
        <v>0</v>
      </c>
      <c r="D290" s="5">
        <v>0</v>
      </c>
      <c r="E290" s="5">
        <v>0</v>
      </c>
      <c r="F290" s="5">
        <f t="shared" si="8"/>
        <v>95000</v>
      </c>
      <c r="G290" s="8">
        <v>12</v>
      </c>
      <c r="H290" s="8">
        <v>0</v>
      </c>
      <c r="I290" s="8">
        <v>0</v>
      </c>
      <c r="J290" s="8">
        <v>0</v>
      </c>
      <c r="K290" s="5">
        <f t="shared" si="9"/>
        <v>95</v>
      </c>
    </row>
    <row r="291" spans="1:11" ht="14.25">
      <c r="A291" s="7">
        <v>274</v>
      </c>
      <c r="B291" s="5">
        <v>1</v>
      </c>
      <c r="C291" s="7">
        <v>0</v>
      </c>
      <c r="D291" s="5">
        <v>0</v>
      </c>
      <c r="E291" s="5">
        <v>0</v>
      </c>
      <c r="F291" s="5">
        <f t="shared" si="8"/>
        <v>95000</v>
      </c>
      <c r="G291" s="8">
        <v>12</v>
      </c>
      <c r="H291" s="8">
        <v>0</v>
      </c>
      <c r="I291" s="8">
        <v>0</v>
      </c>
      <c r="J291" s="8">
        <v>0</v>
      </c>
      <c r="K291" s="5">
        <f t="shared" si="9"/>
        <v>95</v>
      </c>
    </row>
    <row r="292" spans="1:11" ht="14.25">
      <c r="A292" s="7">
        <v>275</v>
      </c>
      <c r="B292" s="5">
        <v>1</v>
      </c>
      <c r="C292" s="7">
        <v>0</v>
      </c>
      <c r="D292" s="5">
        <v>0</v>
      </c>
      <c r="E292" s="5">
        <v>0</v>
      </c>
      <c r="F292" s="5">
        <f t="shared" si="8"/>
        <v>95000</v>
      </c>
      <c r="G292" s="8">
        <v>12</v>
      </c>
      <c r="H292" s="8">
        <v>0</v>
      </c>
      <c r="I292" s="8">
        <v>0</v>
      </c>
      <c r="J292" s="8">
        <v>0</v>
      </c>
      <c r="K292" s="5">
        <f t="shared" si="9"/>
        <v>95</v>
      </c>
    </row>
    <row r="293" spans="1:11" ht="14.25">
      <c r="A293" s="7">
        <v>276</v>
      </c>
      <c r="B293" s="5">
        <v>1</v>
      </c>
      <c r="C293" s="7">
        <v>0</v>
      </c>
      <c r="D293" s="5">
        <v>0</v>
      </c>
      <c r="E293" s="5">
        <v>0</v>
      </c>
      <c r="F293" s="5">
        <f t="shared" si="8"/>
        <v>95000</v>
      </c>
      <c r="G293" s="8">
        <v>12</v>
      </c>
      <c r="H293" s="8">
        <v>0</v>
      </c>
      <c r="I293" s="8">
        <v>0</v>
      </c>
      <c r="J293" s="8">
        <v>0</v>
      </c>
      <c r="K293" s="5">
        <f t="shared" si="9"/>
        <v>95</v>
      </c>
    </row>
    <row r="294" spans="1:11" ht="14.25">
      <c r="A294" s="7">
        <v>277</v>
      </c>
      <c r="B294" s="5">
        <v>1</v>
      </c>
      <c r="C294" s="7">
        <v>0</v>
      </c>
      <c r="D294" s="5">
        <v>0</v>
      </c>
      <c r="E294" s="5">
        <v>0</v>
      </c>
      <c r="F294" s="5">
        <f t="shared" si="8"/>
        <v>95000</v>
      </c>
      <c r="G294" s="8">
        <v>12</v>
      </c>
      <c r="H294" s="8">
        <v>0</v>
      </c>
      <c r="I294" s="8">
        <v>0</v>
      </c>
      <c r="J294" s="8">
        <v>0</v>
      </c>
      <c r="K294" s="5">
        <f t="shared" si="9"/>
        <v>95</v>
      </c>
    </row>
    <row r="295" spans="1:11" ht="14.25">
      <c r="A295" s="7">
        <v>278</v>
      </c>
      <c r="B295" s="5">
        <v>1</v>
      </c>
      <c r="C295" s="7">
        <v>0</v>
      </c>
      <c r="D295" s="5">
        <v>0</v>
      </c>
      <c r="E295" s="5">
        <v>0</v>
      </c>
      <c r="F295" s="5">
        <f t="shared" si="8"/>
        <v>95000</v>
      </c>
      <c r="G295" s="8">
        <v>12</v>
      </c>
      <c r="H295" s="8">
        <v>0</v>
      </c>
      <c r="I295" s="8">
        <v>0</v>
      </c>
      <c r="J295" s="8">
        <v>0</v>
      </c>
      <c r="K295" s="5">
        <f t="shared" si="9"/>
        <v>95</v>
      </c>
    </row>
    <row r="296" spans="1:11" ht="14.25">
      <c r="A296" s="7">
        <v>279</v>
      </c>
      <c r="B296" s="5">
        <v>1</v>
      </c>
      <c r="C296" s="7">
        <v>0</v>
      </c>
      <c r="D296" s="5">
        <v>0</v>
      </c>
      <c r="E296" s="5">
        <v>0</v>
      </c>
      <c r="F296" s="5">
        <f t="shared" si="8"/>
        <v>95000</v>
      </c>
      <c r="G296" s="8">
        <v>12</v>
      </c>
      <c r="H296" s="8">
        <v>0</v>
      </c>
      <c r="I296" s="8">
        <v>0</v>
      </c>
      <c r="J296" s="8">
        <v>0</v>
      </c>
      <c r="K296" s="5">
        <f t="shared" si="9"/>
        <v>95</v>
      </c>
    </row>
    <row r="297" spans="1:11" ht="14.25">
      <c r="A297" s="7">
        <v>280</v>
      </c>
      <c r="B297" s="5">
        <v>1</v>
      </c>
      <c r="C297" s="7">
        <v>0</v>
      </c>
      <c r="D297" s="5">
        <v>0</v>
      </c>
      <c r="E297" s="5">
        <v>0</v>
      </c>
      <c r="F297" s="5">
        <f t="shared" si="8"/>
        <v>95000</v>
      </c>
      <c r="G297" s="8">
        <v>12</v>
      </c>
      <c r="H297" s="8">
        <v>0</v>
      </c>
      <c r="I297" s="8">
        <v>0</v>
      </c>
      <c r="J297" s="8">
        <v>0</v>
      </c>
      <c r="K297" s="5">
        <f t="shared" si="9"/>
        <v>95</v>
      </c>
    </row>
    <row r="298" spans="1:11" ht="14.25">
      <c r="A298" s="7">
        <v>281</v>
      </c>
      <c r="B298" s="5">
        <v>1</v>
      </c>
      <c r="C298" s="7">
        <v>0</v>
      </c>
      <c r="D298" s="5">
        <v>0</v>
      </c>
      <c r="E298" s="5">
        <v>0</v>
      </c>
      <c r="F298" s="5">
        <f t="shared" si="8"/>
        <v>95000</v>
      </c>
      <c r="G298" s="8">
        <v>12</v>
      </c>
      <c r="H298" s="8">
        <v>0</v>
      </c>
      <c r="I298" s="8">
        <v>0</v>
      </c>
      <c r="J298" s="8">
        <v>0</v>
      </c>
      <c r="K298" s="5">
        <f t="shared" si="9"/>
        <v>95</v>
      </c>
    </row>
    <row r="299" spans="1:11" ht="14.25">
      <c r="A299" s="7">
        <v>282</v>
      </c>
      <c r="B299" s="5">
        <v>1</v>
      </c>
      <c r="C299" s="7">
        <v>0</v>
      </c>
      <c r="D299" s="5">
        <v>0</v>
      </c>
      <c r="E299" s="5">
        <v>0</v>
      </c>
      <c r="F299" s="5">
        <f t="shared" si="8"/>
        <v>95000</v>
      </c>
      <c r="G299" s="8">
        <v>12</v>
      </c>
      <c r="H299" s="8">
        <v>0</v>
      </c>
      <c r="I299" s="8">
        <v>0</v>
      </c>
      <c r="J299" s="8">
        <v>0</v>
      </c>
      <c r="K299" s="5">
        <f t="shared" si="9"/>
        <v>95</v>
      </c>
    </row>
    <row r="300" spans="1:11" ht="14.25">
      <c r="A300" s="7">
        <v>283</v>
      </c>
      <c r="B300" s="5">
        <v>1</v>
      </c>
      <c r="C300" s="7">
        <v>0</v>
      </c>
      <c r="D300" s="5">
        <v>0</v>
      </c>
      <c r="E300" s="5">
        <v>0</v>
      </c>
      <c r="F300" s="5">
        <f t="shared" si="8"/>
        <v>95000</v>
      </c>
      <c r="G300" s="8">
        <v>12</v>
      </c>
      <c r="H300" s="8">
        <v>0</v>
      </c>
      <c r="I300" s="8">
        <v>0</v>
      </c>
      <c r="J300" s="8">
        <v>0</v>
      </c>
      <c r="K300" s="5">
        <f t="shared" si="9"/>
        <v>95</v>
      </c>
    </row>
    <row r="301" spans="1:11" ht="14.25">
      <c r="A301" s="7">
        <v>284</v>
      </c>
      <c r="B301" s="5">
        <v>1</v>
      </c>
      <c r="C301" s="7">
        <v>0</v>
      </c>
      <c r="D301" s="5">
        <v>0</v>
      </c>
      <c r="E301" s="5">
        <v>0</v>
      </c>
      <c r="F301" s="5">
        <f t="shared" si="8"/>
        <v>95000</v>
      </c>
      <c r="G301" s="8">
        <v>12</v>
      </c>
      <c r="H301" s="8">
        <v>0</v>
      </c>
      <c r="I301" s="8">
        <v>0</v>
      </c>
      <c r="J301" s="8">
        <v>0</v>
      </c>
      <c r="K301" s="5">
        <f t="shared" si="9"/>
        <v>95</v>
      </c>
    </row>
    <row r="302" spans="1:11" ht="14.25">
      <c r="A302" s="7">
        <v>285</v>
      </c>
      <c r="B302" s="5">
        <v>1</v>
      </c>
      <c r="C302" s="7">
        <v>0</v>
      </c>
      <c r="D302" s="5">
        <v>0</v>
      </c>
      <c r="E302" s="5">
        <v>0</v>
      </c>
      <c r="F302" s="5">
        <f t="shared" si="8"/>
        <v>95000</v>
      </c>
      <c r="G302" s="8">
        <v>12</v>
      </c>
      <c r="H302" s="8">
        <v>0</v>
      </c>
      <c r="I302" s="8">
        <v>0</v>
      </c>
      <c r="J302" s="8">
        <v>0</v>
      </c>
      <c r="K302" s="5">
        <f t="shared" si="9"/>
        <v>95</v>
      </c>
    </row>
    <row r="303" spans="1:11" ht="14.25">
      <c r="A303" s="7">
        <v>286</v>
      </c>
      <c r="B303" s="5">
        <v>1</v>
      </c>
      <c r="C303" s="7">
        <v>0</v>
      </c>
      <c r="D303" s="5">
        <v>0</v>
      </c>
      <c r="E303" s="5">
        <v>0</v>
      </c>
      <c r="F303" s="5">
        <f t="shared" si="8"/>
        <v>100000</v>
      </c>
      <c r="G303" s="8">
        <v>12</v>
      </c>
      <c r="H303" s="8">
        <v>0</v>
      </c>
      <c r="I303" s="8">
        <v>0</v>
      </c>
      <c r="J303" s="8">
        <v>0</v>
      </c>
      <c r="K303" s="5">
        <f t="shared" si="9"/>
        <v>100</v>
      </c>
    </row>
    <row r="304" spans="1:11" ht="14.25">
      <c r="A304" s="7">
        <v>287</v>
      </c>
      <c r="B304" s="5">
        <v>1</v>
      </c>
      <c r="C304" s="7">
        <v>0</v>
      </c>
      <c r="D304" s="5">
        <v>0</v>
      </c>
      <c r="E304" s="5">
        <v>0</v>
      </c>
      <c r="F304" s="5">
        <f t="shared" si="8"/>
        <v>100000</v>
      </c>
      <c r="G304" s="8">
        <v>12</v>
      </c>
      <c r="H304" s="8">
        <v>0</v>
      </c>
      <c r="I304" s="8">
        <v>0</v>
      </c>
      <c r="J304" s="8">
        <v>0</v>
      </c>
      <c r="K304" s="5">
        <f t="shared" si="9"/>
        <v>100</v>
      </c>
    </row>
    <row r="305" spans="1:11" ht="14.25">
      <c r="A305" s="7">
        <v>288</v>
      </c>
      <c r="B305" s="5">
        <v>1</v>
      </c>
      <c r="C305" s="7">
        <v>0</v>
      </c>
      <c r="D305" s="5">
        <v>0</v>
      </c>
      <c r="E305" s="5">
        <v>0</v>
      </c>
      <c r="F305" s="5">
        <f t="shared" ref="F305:F368" si="10">ROUNDUP(A305/15,0)*1000*5</f>
        <v>100000</v>
      </c>
      <c r="G305" s="8">
        <v>12</v>
      </c>
      <c r="H305" s="8">
        <v>0</v>
      </c>
      <c r="I305" s="8">
        <v>0</v>
      </c>
      <c r="J305" s="8">
        <v>0</v>
      </c>
      <c r="K305" s="5">
        <f t="shared" ref="K305:K368" si="11">ROUNDUP(A305/15,0)*5</f>
        <v>100</v>
      </c>
    </row>
    <row r="306" spans="1:11" ht="14.25">
      <c r="A306" s="7">
        <v>289</v>
      </c>
      <c r="B306" s="5">
        <v>1</v>
      </c>
      <c r="C306" s="7">
        <v>0</v>
      </c>
      <c r="D306" s="5">
        <v>0</v>
      </c>
      <c r="E306" s="5">
        <v>0</v>
      </c>
      <c r="F306" s="5">
        <f t="shared" si="10"/>
        <v>100000</v>
      </c>
      <c r="G306" s="8">
        <v>12</v>
      </c>
      <c r="H306" s="8">
        <v>0</v>
      </c>
      <c r="I306" s="8">
        <v>0</v>
      </c>
      <c r="J306" s="8">
        <v>0</v>
      </c>
      <c r="K306" s="5">
        <f t="shared" si="11"/>
        <v>100</v>
      </c>
    </row>
    <row r="307" spans="1:11" ht="14.25">
      <c r="A307" s="7">
        <v>290</v>
      </c>
      <c r="B307" s="5">
        <v>1</v>
      </c>
      <c r="C307" s="7">
        <v>0</v>
      </c>
      <c r="D307" s="5">
        <v>0</v>
      </c>
      <c r="E307" s="5">
        <v>0</v>
      </c>
      <c r="F307" s="5">
        <f t="shared" si="10"/>
        <v>100000</v>
      </c>
      <c r="G307" s="8">
        <v>12</v>
      </c>
      <c r="H307" s="8">
        <v>0</v>
      </c>
      <c r="I307" s="8">
        <v>0</v>
      </c>
      <c r="J307" s="8">
        <v>0</v>
      </c>
      <c r="K307" s="5">
        <f t="shared" si="11"/>
        <v>100</v>
      </c>
    </row>
    <row r="308" spans="1:11" ht="14.25">
      <c r="A308" s="7">
        <v>291</v>
      </c>
      <c r="B308" s="5">
        <v>1</v>
      </c>
      <c r="C308" s="7">
        <v>0</v>
      </c>
      <c r="D308" s="5">
        <v>0</v>
      </c>
      <c r="E308" s="5">
        <v>0</v>
      </c>
      <c r="F308" s="5">
        <f t="shared" si="10"/>
        <v>100000</v>
      </c>
      <c r="G308" s="8">
        <v>12</v>
      </c>
      <c r="H308" s="8">
        <v>0</v>
      </c>
      <c r="I308" s="8">
        <v>0</v>
      </c>
      <c r="J308" s="8">
        <v>0</v>
      </c>
      <c r="K308" s="5">
        <f t="shared" si="11"/>
        <v>100</v>
      </c>
    </row>
    <row r="309" spans="1:11" ht="14.25">
      <c r="A309" s="7">
        <v>292</v>
      </c>
      <c r="B309" s="5">
        <v>1</v>
      </c>
      <c r="C309" s="7">
        <v>0</v>
      </c>
      <c r="D309" s="5">
        <v>0</v>
      </c>
      <c r="E309" s="5">
        <v>0</v>
      </c>
      <c r="F309" s="5">
        <f t="shared" si="10"/>
        <v>100000</v>
      </c>
      <c r="G309" s="8">
        <v>12</v>
      </c>
      <c r="H309" s="8">
        <v>0</v>
      </c>
      <c r="I309" s="8">
        <v>0</v>
      </c>
      <c r="J309" s="8">
        <v>0</v>
      </c>
      <c r="K309" s="5">
        <f t="shared" si="11"/>
        <v>100</v>
      </c>
    </row>
    <row r="310" spans="1:11" ht="14.25">
      <c r="A310" s="7">
        <v>293</v>
      </c>
      <c r="B310" s="5">
        <v>1</v>
      </c>
      <c r="C310" s="7">
        <v>0</v>
      </c>
      <c r="D310" s="5">
        <v>0</v>
      </c>
      <c r="E310" s="5">
        <v>0</v>
      </c>
      <c r="F310" s="5">
        <f t="shared" si="10"/>
        <v>100000</v>
      </c>
      <c r="G310" s="8">
        <v>12</v>
      </c>
      <c r="H310" s="8">
        <v>0</v>
      </c>
      <c r="I310" s="8">
        <v>0</v>
      </c>
      <c r="J310" s="8">
        <v>0</v>
      </c>
      <c r="K310" s="5">
        <f t="shared" si="11"/>
        <v>100</v>
      </c>
    </row>
    <row r="311" spans="1:11" ht="14.25">
      <c r="A311" s="7">
        <v>294</v>
      </c>
      <c r="B311" s="5">
        <v>1</v>
      </c>
      <c r="C311" s="7">
        <v>0</v>
      </c>
      <c r="D311" s="5">
        <v>0</v>
      </c>
      <c r="E311" s="5">
        <v>0</v>
      </c>
      <c r="F311" s="5">
        <f t="shared" si="10"/>
        <v>100000</v>
      </c>
      <c r="G311" s="8">
        <v>12</v>
      </c>
      <c r="H311" s="8">
        <v>0</v>
      </c>
      <c r="I311" s="8">
        <v>0</v>
      </c>
      <c r="J311" s="8">
        <v>0</v>
      </c>
      <c r="K311" s="5">
        <f t="shared" si="11"/>
        <v>100</v>
      </c>
    </row>
    <row r="312" spans="1:11" ht="14.25">
      <c r="A312" s="7">
        <v>295</v>
      </c>
      <c r="B312" s="5">
        <v>1</v>
      </c>
      <c r="C312" s="7">
        <v>0</v>
      </c>
      <c r="D312" s="5">
        <v>0</v>
      </c>
      <c r="E312" s="5">
        <v>0</v>
      </c>
      <c r="F312" s="5">
        <f t="shared" si="10"/>
        <v>100000</v>
      </c>
      <c r="G312" s="8">
        <v>12</v>
      </c>
      <c r="H312" s="8">
        <v>0</v>
      </c>
      <c r="I312" s="8">
        <v>0</v>
      </c>
      <c r="J312" s="8">
        <v>0</v>
      </c>
      <c r="K312" s="5">
        <f t="shared" si="11"/>
        <v>100</v>
      </c>
    </row>
    <row r="313" spans="1:11" ht="14.25">
      <c r="A313" s="7">
        <v>296</v>
      </c>
      <c r="B313" s="5">
        <v>1</v>
      </c>
      <c r="C313" s="7">
        <v>0</v>
      </c>
      <c r="D313" s="5">
        <v>0</v>
      </c>
      <c r="E313" s="5">
        <v>0</v>
      </c>
      <c r="F313" s="5">
        <f t="shared" si="10"/>
        <v>100000</v>
      </c>
      <c r="G313" s="8">
        <v>12</v>
      </c>
      <c r="H313" s="8">
        <v>0</v>
      </c>
      <c r="I313" s="8">
        <v>0</v>
      </c>
      <c r="J313" s="8">
        <v>0</v>
      </c>
      <c r="K313" s="5">
        <f t="shared" si="11"/>
        <v>100</v>
      </c>
    </row>
    <row r="314" spans="1:11" ht="14.25">
      <c r="A314" s="7">
        <v>297</v>
      </c>
      <c r="B314" s="5">
        <v>1</v>
      </c>
      <c r="C314" s="7">
        <v>0</v>
      </c>
      <c r="D314" s="5">
        <v>0</v>
      </c>
      <c r="E314" s="5">
        <v>0</v>
      </c>
      <c r="F314" s="5">
        <f t="shared" si="10"/>
        <v>100000</v>
      </c>
      <c r="G314" s="8">
        <v>12</v>
      </c>
      <c r="H314" s="8">
        <v>0</v>
      </c>
      <c r="I314" s="8">
        <v>0</v>
      </c>
      <c r="J314" s="8">
        <v>0</v>
      </c>
      <c r="K314" s="5">
        <f t="shared" si="11"/>
        <v>100</v>
      </c>
    </row>
    <row r="315" spans="1:11" ht="14.25">
      <c r="A315" s="7">
        <v>298</v>
      </c>
      <c r="B315" s="5">
        <v>1</v>
      </c>
      <c r="C315" s="7">
        <v>0</v>
      </c>
      <c r="D315" s="5">
        <v>0</v>
      </c>
      <c r="E315" s="5">
        <v>0</v>
      </c>
      <c r="F315" s="5">
        <f t="shared" si="10"/>
        <v>100000</v>
      </c>
      <c r="G315" s="8">
        <v>12</v>
      </c>
      <c r="H315" s="8">
        <v>0</v>
      </c>
      <c r="I315" s="8">
        <v>0</v>
      </c>
      <c r="J315" s="8">
        <v>0</v>
      </c>
      <c r="K315" s="5">
        <f t="shared" si="11"/>
        <v>100</v>
      </c>
    </row>
    <row r="316" spans="1:11" ht="14.25">
      <c r="A316" s="7">
        <v>299</v>
      </c>
      <c r="B316" s="5">
        <v>1</v>
      </c>
      <c r="C316" s="7">
        <v>0</v>
      </c>
      <c r="D316" s="5">
        <v>0</v>
      </c>
      <c r="E316" s="5">
        <v>0</v>
      </c>
      <c r="F316" s="5">
        <f t="shared" si="10"/>
        <v>100000</v>
      </c>
      <c r="G316" s="8">
        <v>12</v>
      </c>
      <c r="H316" s="8">
        <v>0</v>
      </c>
      <c r="I316" s="8">
        <v>0</v>
      </c>
      <c r="J316" s="8">
        <v>0</v>
      </c>
      <c r="K316" s="5">
        <f t="shared" si="11"/>
        <v>100</v>
      </c>
    </row>
    <row r="317" spans="1:11" ht="14.25">
      <c r="A317" s="7">
        <v>300</v>
      </c>
      <c r="B317" s="5">
        <v>1</v>
      </c>
      <c r="C317" s="7">
        <v>0</v>
      </c>
      <c r="D317" s="5">
        <v>0</v>
      </c>
      <c r="E317" s="5">
        <v>0</v>
      </c>
      <c r="F317" s="5">
        <f t="shared" si="10"/>
        <v>100000</v>
      </c>
      <c r="G317" s="8">
        <v>12</v>
      </c>
      <c r="H317" s="8">
        <v>0</v>
      </c>
      <c r="I317" s="8">
        <v>0</v>
      </c>
      <c r="J317" s="8">
        <v>0</v>
      </c>
      <c r="K317" s="5">
        <f t="shared" si="11"/>
        <v>100</v>
      </c>
    </row>
    <row r="318" spans="1:11" ht="14.25">
      <c r="A318" s="7">
        <v>301</v>
      </c>
      <c r="B318" s="5">
        <v>1</v>
      </c>
      <c r="C318" s="7">
        <v>0</v>
      </c>
      <c r="D318" s="5">
        <v>0</v>
      </c>
      <c r="E318" s="5">
        <v>0</v>
      </c>
      <c r="F318" s="5">
        <f t="shared" si="10"/>
        <v>105000</v>
      </c>
      <c r="G318" s="8">
        <v>12</v>
      </c>
      <c r="H318" s="8">
        <v>0</v>
      </c>
      <c r="I318" s="8">
        <v>0</v>
      </c>
      <c r="J318" s="8">
        <v>0</v>
      </c>
      <c r="K318" s="5">
        <f t="shared" si="11"/>
        <v>105</v>
      </c>
    </row>
    <row r="319" spans="1:11" ht="14.25">
      <c r="A319" s="7">
        <v>302</v>
      </c>
      <c r="B319" s="5">
        <v>1</v>
      </c>
      <c r="C319" s="7">
        <v>0</v>
      </c>
      <c r="D319" s="5">
        <v>0</v>
      </c>
      <c r="E319" s="5">
        <v>0</v>
      </c>
      <c r="F319" s="5">
        <f t="shared" si="10"/>
        <v>105000</v>
      </c>
      <c r="G319" s="8">
        <v>12</v>
      </c>
      <c r="H319" s="8">
        <v>0</v>
      </c>
      <c r="I319" s="8">
        <v>0</v>
      </c>
      <c r="J319" s="8">
        <v>0</v>
      </c>
      <c r="K319" s="5">
        <f t="shared" si="11"/>
        <v>105</v>
      </c>
    </row>
    <row r="320" spans="1:11" ht="14.25">
      <c r="A320" s="7">
        <v>303</v>
      </c>
      <c r="B320" s="5">
        <v>1</v>
      </c>
      <c r="C320" s="7">
        <v>0</v>
      </c>
      <c r="D320" s="5">
        <v>0</v>
      </c>
      <c r="E320" s="5">
        <v>0</v>
      </c>
      <c r="F320" s="5">
        <f t="shared" si="10"/>
        <v>105000</v>
      </c>
      <c r="G320" s="8">
        <v>12</v>
      </c>
      <c r="H320" s="8">
        <v>0</v>
      </c>
      <c r="I320" s="8">
        <v>0</v>
      </c>
      <c r="J320" s="8">
        <v>0</v>
      </c>
      <c r="K320" s="5">
        <f t="shared" si="11"/>
        <v>105</v>
      </c>
    </row>
    <row r="321" spans="1:11" ht="14.25">
      <c r="A321" s="7">
        <v>304</v>
      </c>
      <c r="B321" s="5">
        <v>1</v>
      </c>
      <c r="C321" s="7">
        <v>0</v>
      </c>
      <c r="D321" s="5">
        <v>0</v>
      </c>
      <c r="E321" s="5">
        <v>0</v>
      </c>
      <c r="F321" s="5">
        <f t="shared" si="10"/>
        <v>105000</v>
      </c>
      <c r="G321" s="8">
        <v>12</v>
      </c>
      <c r="H321" s="8">
        <v>0</v>
      </c>
      <c r="I321" s="8">
        <v>0</v>
      </c>
      <c r="J321" s="8">
        <v>0</v>
      </c>
      <c r="K321" s="5">
        <f t="shared" si="11"/>
        <v>105</v>
      </c>
    </row>
    <row r="322" spans="1:11" ht="14.25">
      <c r="A322" s="7">
        <v>305</v>
      </c>
      <c r="B322" s="5">
        <v>1</v>
      </c>
      <c r="C322" s="7">
        <v>0</v>
      </c>
      <c r="D322" s="5">
        <v>0</v>
      </c>
      <c r="E322" s="5">
        <v>0</v>
      </c>
      <c r="F322" s="5">
        <f t="shared" si="10"/>
        <v>105000</v>
      </c>
      <c r="G322" s="8">
        <v>12</v>
      </c>
      <c r="H322" s="8">
        <v>0</v>
      </c>
      <c r="I322" s="8">
        <v>0</v>
      </c>
      <c r="J322" s="8">
        <v>0</v>
      </c>
      <c r="K322" s="5">
        <f t="shared" si="11"/>
        <v>105</v>
      </c>
    </row>
    <row r="323" spans="1:11" ht="14.25">
      <c r="A323" s="7">
        <v>306</v>
      </c>
      <c r="B323" s="5">
        <v>1</v>
      </c>
      <c r="C323" s="7">
        <v>0</v>
      </c>
      <c r="D323" s="5">
        <v>0</v>
      </c>
      <c r="E323" s="5">
        <v>0</v>
      </c>
      <c r="F323" s="5">
        <f t="shared" si="10"/>
        <v>105000</v>
      </c>
      <c r="G323" s="8">
        <v>12</v>
      </c>
      <c r="H323" s="8">
        <v>0</v>
      </c>
      <c r="I323" s="8">
        <v>0</v>
      </c>
      <c r="J323" s="8">
        <v>0</v>
      </c>
      <c r="K323" s="5">
        <f t="shared" si="11"/>
        <v>105</v>
      </c>
    </row>
    <row r="324" spans="1:11" ht="14.25">
      <c r="A324" s="7">
        <v>307</v>
      </c>
      <c r="B324" s="5">
        <v>1</v>
      </c>
      <c r="C324" s="7">
        <v>0</v>
      </c>
      <c r="D324" s="5">
        <v>0</v>
      </c>
      <c r="E324" s="5">
        <v>0</v>
      </c>
      <c r="F324" s="5">
        <f t="shared" si="10"/>
        <v>105000</v>
      </c>
      <c r="G324" s="8">
        <v>12</v>
      </c>
      <c r="H324" s="8">
        <v>0</v>
      </c>
      <c r="I324" s="8">
        <v>0</v>
      </c>
      <c r="J324" s="8">
        <v>0</v>
      </c>
      <c r="K324" s="5">
        <f t="shared" si="11"/>
        <v>105</v>
      </c>
    </row>
    <row r="325" spans="1:11" ht="14.25">
      <c r="A325" s="7">
        <v>308</v>
      </c>
      <c r="B325" s="5">
        <v>1</v>
      </c>
      <c r="C325" s="7">
        <v>0</v>
      </c>
      <c r="D325" s="5">
        <v>0</v>
      </c>
      <c r="E325" s="5">
        <v>0</v>
      </c>
      <c r="F325" s="5">
        <f t="shared" si="10"/>
        <v>105000</v>
      </c>
      <c r="G325" s="8">
        <v>12</v>
      </c>
      <c r="H325" s="8">
        <v>0</v>
      </c>
      <c r="I325" s="8">
        <v>0</v>
      </c>
      <c r="J325" s="8">
        <v>0</v>
      </c>
      <c r="K325" s="5">
        <f t="shared" si="11"/>
        <v>105</v>
      </c>
    </row>
    <row r="326" spans="1:11" ht="14.25">
      <c r="A326" s="7">
        <v>309</v>
      </c>
      <c r="B326" s="5">
        <v>1</v>
      </c>
      <c r="C326" s="7">
        <v>0</v>
      </c>
      <c r="D326" s="5">
        <v>0</v>
      </c>
      <c r="E326" s="5">
        <v>0</v>
      </c>
      <c r="F326" s="5">
        <f t="shared" si="10"/>
        <v>105000</v>
      </c>
      <c r="G326" s="8">
        <v>12</v>
      </c>
      <c r="H326" s="8">
        <v>0</v>
      </c>
      <c r="I326" s="8">
        <v>0</v>
      </c>
      <c r="J326" s="8">
        <v>0</v>
      </c>
      <c r="K326" s="5">
        <f t="shared" si="11"/>
        <v>105</v>
      </c>
    </row>
    <row r="327" spans="1:11" ht="14.25">
      <c r="A327" s="7">
        <v>310</v>
      </c>
      <c r="B327" s="5">
        <v>1</v>
      </c>
      <c r="C327" s="7">
        <v>0</v>
      </c>
      <c r="D327" s="5">
        <v>0</v>
      </c>
      <c r="E327" s="5">
        <v>0</v>
      </c>
      <c r="F327" s="5">
        <f t="shared" si="10"/>
        <v>105000</v>
      </c>
      <c r="G327" s="8">
        <v>12</v>
      </c>
      <c r="H327" s="8">
        <v>0</v>
      </c>
      <c r="I327" s="8">
        <v>0</v>
      </c>
      <c r="J327" s="8">
        <v>0</v>
      </c>
      <c r="K327" s="5">
        <f t="shared" si="11"/>
        <v>105</v>
      </c>
    </row>
    <row r="328" spans="1:11" ht="14.25">
      <c r="A328" s="7">
        <v>311</v>
      </c>
      <c r="B328" s="5">
        <v>1</v>
      </c>
      <c r="C328" s="7">
        <v>0</v>
      </c>
      <c r="D328" s="5">
        <v>0</v>
      </c>
      <c r="E328" s="5">
        <v>0</v>
      </c>
      <c r="F328" s="5">
        <f t="shared" si="10"/>
        <v>105000</v>
      </c>
      <c r="G328" s="8">
        <v>12</v>
      </c>
      <c r="H328" s="8">
        <v>0</v>
      </c>
      <c r="I328" s="8">
        <v>0</v>
      </c>
      <c r="J328" s="8">
        <v>0</v>
      </c>
      <c r="K328" s="5">
        <f t="shared" si="11"/>
        <v>105</v>
      </c>
    </row>
    <row r="329" spans="1:11" ht="14.25">
      <c r="A329" s="7">
        <v>312</v>
      </c>
      <c r="B329" s="5">
        <v>1</v>
      </c>
      <c r="C329" s="7">
        <v>0</v>
      </c>
      <c r="D329" s="5">
        <v>0</v>
      </c>
      <c r="E329" s="5">
        <v>0</v>
      </c>
      <c r="F329" s="5">
        <f t="shared" si="10"/>
        <v>105000</v>
      </c>
      <c r="G329" s="8">
        <v>12</v>
      </c>
      <c r="H329" s="8">
        <v>0</v>
      </c>
      <c r="I329" s="8">
        <v>0</v>
      </c>
      <c r="J329" s="8">
        <v>0</v>
      </c>
      <c r="K329" s="5">
        <f t="shared" si="11"/>
        <v>105</v>
      </c>
    </row>
    <row r="330" spans="1:11" ht="14.25">
      <c r="A330" s="7">
        <v>313</v>
      </c>
      <c r="B330" s="5">
        <v>1</v>
      </c>
      <c r="C330" s="7">
        <v>0</v>
      </c>
      <c r="D330" s="5">
        <v>0</v>
      </c>
      <c r="E330" s="5">
        <v>0</v>
      </c>
      <c r="F330" s="5">
        <f t="shared" si="10"/>
        <v>105000</v>
      </c>
      <c r="G330" s="8">
        <v>12</v>
      </c>
      <c r="H330" s="8">
        <v>0</v>
      </c>
      <c r="I330" s="8">
        <v>0</v>
      </c>
      <c r="J330" s="8">
        <v>0</v>
      </c>
      <c r="K330" s="5">
        <f t="shared" si="11"/>
        <v>105</v>
      </c>
    </row>
    <row r="331" spans="1:11" ht="14.25">
      <c r="A331" s="7">
        <v>314</v>
      </c>
      <c r="B331" s="5">
        <v>1</v>
      </c>
      <c r="C331" s="7">
        <v>0</v>
      </c>
      <c r="D331" s="5">
        <v>0</v>
      </c>
      <c r="E331" s="5">
        <v>0</v>
      </c>
      <c r="F331" s="5">
        <f t="shared" si="10"/>
        <v>105000</v>
      </c>
      <c r="G331" s="8">
        <v>12</v>
      </c>
      <c r="H331" s="8">
        <v>0</v>
      </c>
      <c r="I331" s="8">
        <v>0</v>
      </c>
      <c r="J331" s="8">
        <v>0</v>
      </c>
      <c r="K331" s="5">
        <f t="shared" si="11"/>
        <v>105</v>
      </c>
    </row>
    <row r="332" spans="1:11" ht="14.25">
      <c r="A332" s="7">
        <v>315</v>
      </c>
      <c r="B332" s="5">
        <v>1</v>
      </c>
      <c r="C332" s="7">
        <v>0</v>
      </c>
      <c r="D332" s="5">
        <v>0</v>
      </c>
      <c r="E332" s="5">
        <v>0</v>
      </c>
      <c r="F332" s="5">
        <f t="shared" si="10"/>
        <v>105000</v>
      </c>
      <c r="G332" s="8">
        <v>12</v>
      </c>
      <c r="H332" s="8">
        <v>0</v>
      </c>
      <c r="I332" s="8">
        <v>0</v>
      </c>
      <c r="J332" s="8">
        <v>0</v>
      </c>
      <c r="K332" s="5">
        <f t="shared" si="11"/>
        <v>105</v>
      </c>
    </row>
    <row r="333" spans="1:11" ht="14.25">
      <c r="A333" s="7">
        <v>316</v>
      </c>
      <c r="B333" s="5">
        <v>1</v>
      </c>
      <c r="C333" s="7">
        <v>0</v>
      </c>
      <c r="D333" s="5">
        <v>0</v>
      </c>
      <c r="E333" s="5">
        <v>0</v>
      </c>
      <c r="F333" s="5">
        <f t="shared" si="10"/>
        <v>110000</v>
      </c>
      <c r="G333" s="8">
        <v>12</v>
      </c>
      <c r="H333" s="8">
        <v>0</v>
      </c>
      <c r="I333" s="8">
        <v>0</v>
      </c>
      <c r="J333" s="8">
        <v>0</v>
      </c>
      <c r="K333" s="5">
        <f t="shared" si="11"/>
        <v>110</v>
      </c>
    </row>
    <row r="334" spans="1:11" ht="14.25">
      <c r="A334" s="7">
        <v>317</v>
      </c>
      <c r="B334" s="5">
        <v>1</v>
      </c>
      <c r="C334" s="7">
        <v>0</v>
      </c>
      <c r="D334" s="5">
        <v>0</v>
      </c>
      <c r="E334" s="5">
        <v>0</v>
      </c>
      <c r="F334" s="5">
        <f t="shared" si="10"/>
        <v>110000</v>
      </c>
      <c r="G334" s="8">
        <v>12</v>
      </c>
      <c r="H334" s="8">
        <v>0</v>
      </c>
      <c r="I334" s="8">
        <v>0</v>
      </c>
      <c r="J334" s="8">
        <v>0</v>
      </c>
      <c r="K334" s="5">
        <f t="shared" si="11"/>
        <v>110</v>
      </c>
    </row>
    <row r="335" spans="1:11" ht="14.25">
      <c r="A335" s="7">
        <v>318</v>
      </c>
      <c r="B335" s="5">
        <v>1</v>
      </c>
      <c r="C335" s="7">
        <v>0</v>
      </c>
      <c r="D335" s="5">
        <v>0</v>
      </c>
      <c r="E335" s="5">
        <v>0</v>
      </c>
      <c r="F335" s="5">
        <f t="shared" si="10"/>
        <v>110000</v>
      </c>
      <c r="G335" s="8">
        <v>12</v>
      </c>
      <c r="H335" s="8">
        <v>0</v>
      </c>
      <c r="I335" s="8">
        <v>0</v>
      </c>
      <c r="J335" s="8">
        <v>0</v>
      </c>
      <c r="K335" s="5">
        <f t="shared" si="11"/>
        <v>110</v>
      </c>
    </row>
    <row r="336" spans="1:11" ht="14.25">
      <c r="A336" s="7">
        <v>319</v>
      </c>
      <c r="B336" s="5">
        <v>1</v>
      </c>
      <c r="C336" s="7">
        <v>0</v>
      </c>
      <c r="D336" s="5">
        <v>0</v>
      </c>
      <c r="E336" s="5">
        <v>0</v>
      </c>
      <c r="F336" s="5">
        <f t="shared" si="10"/>
        <v>110000</v>
      </c>
      <c r="G336" s="8">
        <v>12</v>
      </c>
      <c r="H336" s="8">
        <v>0</v>
      </c>
      <c r="I336" s="8">
        <v>0</v>
      </c>
      <c r="J336" s="8">
        <v>0</v>
      </c>
      <c r="K336" s="5">
        <f t="shared" si="11"/>
        <v>110</v>
      </c>
    </row>
    <row r="337" spans="1:11" ht="14.25">
      <c r="A337" s="7">
        <v>320</v>
      </c>
      <c r="B337" s="5">
        <v>1</v>
      </c>
      <c r="C337" s="7">
        <v>0</v>
      </c>
      <c r="D337" s="5">
        <v>0</v>
      </c>
      <c r="E337" s="5">
        <v>0</v>
      </c>
      <c r="F337" s="5">
        <f t="shared" si="10"/>
        <v>110000</v>
      </c>
      <c r="G337" s="8">
        <v>12</v>
      </c>
      <c r="H337" s="8">
        <v>0</v>
      </c>
      <c r="I337" s="8">
        <v>0</v>
      </c>
      <c r="J337" s="8">
        <v>0</v>
      </c>
      <c r="K337" s="5">
        <f t="shared" si="11"/>
        <v>110</v>
      </c>
    </row>
    <row r="338" spans="1:11" ht="14.25">
      <c r="A338" s="7">
        <v>321</v>
      </c>
      <c r="B338" s="5">
        <v>1</v>
      </c>
      <c r="C338" s="7">
        <v>0</v>
      </c>
      <c r="D338" s="5">
        <v>0</v>
      </c>
      <c r="E338" s="5">
        <v>0</v>
      </c>
      <c r="F338" s="5">
        <f t="shared" si="10"/>
        <v>110000</v>
      </c>
      <c r="G338" s="8">
        <v>12</v>
      </c>
      <c r="H338" s="8">
        <v>0</v>
      </c>
      <c r="I338" s="8">
        <v>0</v>
      </c>
      <c r="J338" s="8">
        <v>0</v>
      </c>
      <c r="K338" s="5">
        <f t="shared" si="11"/>
        <v>110</v>
      </c>
    </row>
    <row r="339" spans="1:11" ht="14.25">
      <c r="A339" s="7">
        <v>322</v>
      </c>
      <c r="B339" s="5">
        <v>1</v>
      </c>
      <c r="C339" s="7">
        <v>0</v>
      </c>
      <c r="D339" s="5">
        <v>0</v>
      </c>
      <c r="E339" s="5">
        <v>0</v>
      </c>
      <c r="F339" s="5">
        <f t="shared" si="10"/>
        <v>110000</v>
      </c>
      <c r="G339" s="8">
        <v>12</v>
      </c>
      <c r="H339" s="8">
        <v>0</v>
      </c>
      <c r="I339" s="8">
        <v>0</v>
      </c>
      <c r="J339" s="8">
        <v>0</v>
      </c>
      <c r="K339" s="5">
        <f t="shared" si="11"/>
        <v>110</v>
      </c>
    </row>
    <row r="340" spans="1:11" ht="14.25">
      <c r="A340" s="7">
        <v>323</v>
      </c>
      <c r="B340" s="5">
        <v>1</v>
      </c>
      <c r="C340" s="7">
        <v>0</v>
      </c>
      <c r="D340" s="5">
        <v>0</v>
      </c>
      <c r="E340" s="5">
        <v>0</v>
      </c>
      <c r="F340" s="5">
        <f t="shared" si="10"/>
        <v>110000</v>
      </c>
      <c r="G340" s="8">
        <v>12</v>
      </c>
      <c r="H340" s="8">
        <v>0</v>
      </c>
      <c r="I340" s="8">
        <v>0</v>
      </c>
      <c r="J340" s="8">
        <v>0</v>
      </c>
      <c r="K340" s="5">
        <f t="shared" si="11"/>
        <v>110</v>
      </c>
    </row>
    <row r="341" spans="1:11" ht="14.25">
      <c r="A341" s="7">
        <v>324</v>
      </c>
      <c r="B341" s="5">
        <v>1</v>
      </c>
      <c r="C341" s="7">
        <v>0</v>
      </c>
      <c r="D341" s="5">
        <v>0</v>
      </c>
      <c r="E341" s="5">
        <v>0</v>
      </c>
      <c r="F341" s="5">
        <f t="shared" si="10"/>
        <v>110000</v>
      </c>
      <c r="G341" s="8">
        <v>12</v>
      </c>
      <c r="H341" s="8">
        <v>0</v>
      </c>
      <c r="I341" s="8">
        <v>0</v>
      </c>
      <c r="J341" s="8">
        <v>0</v>
      </c>
      <c r="K341" s="5">
        <f t="shared" si="11"/>
        <v>110</v>
      </c>
    </row>
    <row r="342" spans="1:11" ht="14.25">
      <c r="A342" s="7">
        <v>325</v>
      </c>
      <c r="B342" s="5">
        <v>1</v>
      </c>
      <c r="C342" s="7">
        <v>0</v>
      </c>
      <c r="D342" s="5">
        <v>0</v>
      </c>
      <c r="E342" s="5">
        <v>0</v>
      </c>
      <c r="F342" s="5">
        <f t="shared" si="10"/>
        <v>110000</v>
      </c>
      <c r="G342" s="8">
        <v>12</v>
      </c>
      <c r="H342" s="8">
        <v>0</v>
      </c>
      <c r="I342" s="8">
        <v>0</v>
      </c>
      <c r="J342" s="8">
        <v>0</v>
      </c>
      <c r="K342" s="5">
        <f t="shared" si="11"/>
        <v>110</v>
      </c>
    </row>
    <row r="343" spans="1:11" ht="14.25">
      <c r="A343" s="7">
        <v>326</v>
      </c>
      <c r="B343" s="5">
        <v>1</v>
      </c>
      <c r="C343" s="7">
        <v>0</v>
      </c>
      <c r="D343" s="5">
        <v>0</v>
      </c>
      <c r="E343" s="5">
        <v>0</v>
      </c>
      <c r="F343" s="5">
        <f t="shared" si="10"/>
        <v>110000</v>
      </c>
      <c r="G343" s="8">
        <v>12</v>
      </c>
      <c r="H343" s="8">
        <v>0</v>
      </c>
      <c r="I343" s="8">
        <v>0</v>
      </c>
      <c r="J343" s="8">
        <v>0</v>
      </c>
      <c r="K343" s="5">
        <f t="shared" si="11"/>
        <v>110</v>
      </c>
    </row>
    <row r="344" spans="1:11" ht="14.25">
      <c r="A344" s="7">
        <v>327</v>
      </c>
      <c r="B344" s="5">
        <v>1</v>
      </c>
      <c r="C344" s="7">
        <v>0</v>
      </c>
      <c r="D344" s="5">
        <v>0</v>
      </c>
      <c r="E344" s="5">
        <v>0</v>
      </c>
      <c r="F344" s="5">
        <f t="shared" si="10"/>
        <v>110000</v>
      </c>
      <c r="G344" s="8">
        <v>12</v>
      </c>
      <c r="H344" s="8">
        <v>0</v>
      </c>
      <c r="I344" s="8">
        <v>0</v>
      </c>
      <c r="J344" s="8">
        <v>0</v>
      </c>
      <c r="K344" s="5">
        <f t="shared" si="11"/>
        <v>110</v>
      </c>
    </row>
    <row r="345" spans="1:11" ht="14.25">
      <c r="A345" s="7">
        <v>328</v>
      </c>
      <c r="B345" s="5">
        <v>1</v>
      </c>
      <c r="C345" s="7">
        <v>0</v>
      </c>
      <c r="D345" s="5">
        <v>0</v>
      </c>
      <c r="E345" s="5">
        <v>0</v>
      </c>
      <c r="F345" s="5">
        <f t="shared" si="10"/>
        <v>110000</v>
      </c>
      <c r="G345" s="8">
        <v>12</v>
      </c>
      <c r="H345" s="8">
        <v>0</v>
      </c>
      <c r="I345" s="8">
        <v>0</v>
      </c>
      <c r="J345" s="8">
        <v>0</v>
      </c>
      <c r="K345" s="5">
        <f t="shared" si="11"/>
        <v>110</v>
      </c>
    </row>
    <row r="346" spans="1:11" ht="14.25">
      <c r="A346" s="7">
        <v>329</v>
      </c>
      <c r="B346" s="5">
        <v>1</v>
      </c>
      <c r="C346" s="7">
        <v>0</v>
      </c>
      <c r="D346" s="5">
        <v>0</v>
      </c>
      <c r="E346" s="5">
        <v>0</v>
      </c>
      <c r="F346" s="5">
        <f t="shared" si="10"/>
        <v>110000</v>
      </c>
      <c r="G346" s="8">
        <v>12</v>
      </c>
      <c r="H346" s="8">
        <v>0</v>
      </c>
      <c r="I346" s="8">
        <v>0</v>
      </c>
      <c r="J346" s="8">
        <v>0</v>
      </c>
      <c r="K346" s="5">
        <f t="shared" si="11"/>
        <v>110</v>
      </c>
    </row>
    <row r="347" spans="1:11" ht="14.25">
      <c r="A347" s="7">
        <v>330</v>
      </c>
      <c r="B347" s="5">
        <v>1</v>
      </c>
      <c r="C347" s="7">
        <v>0</v>
      </c>
      <c r="D347" s="5">
        <v>0</v>
      </c>
      <c r="E347" s="5">
        <v>0</v>
      </c>
      <c r="F347" s="5">
        <f t="shared" si="10"/>
        <v>110000</v>
      </c>
      <c r="G347" s="8">
        <v>12</v>
      </c>
      <c r="H347" s="8">
        <v>0</v>
      </c>
      <c r="I347" s="8">
        <v>0</v>
      </c>
      <c r="J347" s="8">
        <v>0</v>
      </c>
      <c r="K347" s="5">
        <f t="shared" si="11"/>
        <v>110</v>
      </c>
    </row>
    <row r="348" spans="1:11" ht="14.25">
      <c r="A348" s="7">
        <v>331</v>
      </c>
      <c r="B348" s="5">
        <v>1</v>
      </c>
      <c r="C348" s="7">
        <v>0</v>
      </c>
      <c r="D348" s="5">
        <v>0</v>
      </c>
      <c r="E348" s="5">
        <v>0</v>
      </c>
      <c r="F348" s="5">
        <f t="shared" si="10"/>
        <v>115000</v>
      </c>
      <c r="G348" s="8">
        <v>12</v>
      </c>
      <c r="H348" s="8">
        <v>0</v>
      </c>
      <c r="I348" s="8">
        <v>0</v>
      </c>
      <c r="J348" s="8">
        <v>0</v>
      </c>
      <c r="K348" s="5">
        <f t="shared" si="11"/>
        <v>115</v>
      </c>
    </row>
    <row r="349" spans="1:11" ht="14.25">
      <c r="A349" s="7">
        <v>332</v>
      </c>
      <c r="B349" s="5">
        <v>1</v>
      </c>
      <c r="C349" s="7">
        <v>0</v>
      </c>
      <c r="D349" s="5">
        <v>0</v>
      </c>
      <c r="E349" s="5">
        <v>0</v>
      </c>
      <c r="F349" s="5">
        <f t="shared" si="10"/>
        <v>115000</v>
      </c>
      <c r="G349" s="8">
        <v>12</v>
      </c>
      <c r="H349" s="8">
        <v>0</v>
      </c>
      <c r="I349" s="8">
        <v>0</v>
      </c>
      <c r="J349" s="8">
        <v>0</v>
      </c>
      <c r="K349" s="5">
        <f t="shared" si="11"/>
        <v>115</v>
      </c>
    </row>
    <row r="350" spans="1:11" ht="14.25">
      <c r="A350" s="7">
        <v>333</v>
      </c>
      <c r="B350" s="5">
        <v>1</v>
      </c>
      <c r="C350" s="7">
        <v>0</v>
      </c>
      <c r="D350" s="5">
        <v>0</v>
      </c>
      <c r="E350" s="5">
        <v>0</v>
      </c>
      <c r="F350" s="5">
        <f t="shared" si="10"/>
        <v>115000</v>
      </c>
      <c r="G350" s="8">
        <v>12</v>
      </c>
      <c r="H350" s="8">
        <v>0</v>
      </c>
      <c r="I350" s="8">
        <v>0</v>
      </c>
      <c r="J350" s="8">
        <v>0</v>
      </c>
      <c r="K350" s="5">
        <f t="shared" si="11"/>
        <v>115</v>
      </c>
    </row>
    <row r="351" spans="1:11" ht="14.25">
      <c r="A351" s="7">
        <v>334</v>
      </c>
      <c r="B351" s="5">
        <v>1</v>
      </c>
      <c r="C351" s="7">
        <v>0</v>
      </c>
      <c r="D351" s="5">
        <v>0</v>
      </c>
      <c r="E351" s="5">
        <v>0</v>
      </c>
      <c r="F351" s="5">
        <f t="shared" si="10"/>
        <v>115000</v>
      </c>
      <c r="G351" s="8">
        <v>12</v>
      </c>
      <c r="H351" s="8">
        <v>0</v>
      </c>
      <c r="I351" s="8">
        <v>0</v>
      </c>
      <c r="J351" s="8">
        <v>0</v>
      </c>
      <c r="K351" s="5">
        <f t="shared" si="11"/>
        <v>115</v>
      </c>
    </row>
    <row r="352" spans="1:11" ht="14.25">
      <c r="A352" s="7">
        <v>335</v>
      </c>
      <c r="B352" s="5">
        <v>1</v>
      </c>
      <c r="C352" s="7">
        <v>0</v>
      </c>
      <c r="D352" s="5">
        <v>0</v>
      </c>
      <c r="E352" s="5">
        <v>0</v>
      </c>
      <c r="F352" s="5">
        <f t="shared" si="10"/>
        <v>115000</v>
      </c>
      <c r="G352" s="8">
        <v>12</v>
      </c>
      <c r="H352" s="8">
        <v>0</v>
      </c>
      <c r="I352" s="8">
        <v>0</v>
      </c>
      <c r="J352" s="8">
        <v>0</v>
      </c>
      <c r="K352" s="5">
        <f t="shared" si="11"/>
        <v>115</v>
      </c>
    </row>
    <row r="353" spans="1:11" ht="14.25">
      <c r="A353" s="7">
        <v>336</v>
      </c>
      <c r="B353" s="5">
        <v>1</v>
      </c>
      <c r="C353" s="7">
        <v>0</v>
      </c>
      <c r="D353" s="5">
        <v>0</v>
      </c>
      <c r="E353" s="5">
        <v>0</v>
      </c>
      <c r="F353" s="5">
        <f t="shared" si="10"/>
        <v>115000</v>
      </c>
      <c r="G353" s="8">
        <v>12</v>
      </c>
      <c r="H353" s="8">
        <v>0</v>
      </c>
      <c r="I353" s="8">
        <v>0</v>
      </c>
      <c r="J353" s="8">
        <v>0</v>
      </c>
      <c r="K353" s="5">
        <f t="shared" si="11"/>
        <v>115</v>
      </c>
    </row>
    <row r="354" spans="1:11" ht="14.25">
      <c r="A354" s="7">
        <v>337</v>
      </c>
      <c r="B354" s="5">
        <v>1</v>
      </c>
      <c r="C354" s="7">
        <v>0</v>
      </c>
      <c r="D354" s="5">
        <v>0</v>
      </c>
      <c r="E354" s="5">
        <v>0</v>
      </c>
      <c r="F354" s="5">
        <f t="shared" si="10"/>
        <v>115000</v>
      </c>
      <c r="G354" s="8">
        <v>12</v>
      </c>
      <c r="H354" s="8">
        <v>0</v>
      </c>
      <c r="I354" s="8">
        <v>0</v>
      </c>
      <c r="J354" s="8">
        <v>0</v>
      </c>
      <c r="K354" s="5">
        <f t="shared" si="11"/>
        <v>115</v>
      </c>
    </row>
    <row r="355" spans="1:11" ht="14.25">
      <c r="A355" s="7">
        <v>338</v>
      </c>
      <c r="B355" s="5">
        <v>1</v>
      </c>
      <c r="C355" s="7">
        <v>0</v>
      </c>
      <c r="D355" s="5">
        <v>0</v>
      </c>
      <c r="E355" s="5">
        <v>0</v>
      </c>
      <c r="F355" s="5">
        <f t="shared" si="10"/>
        <v>115000</v>
      </c>
      <c r="G355" s="8">
        <v>12</v>
      </c>
      <c r="H355" s="8">
        <v>0</v>
      </c>
      <c r="I355" s="8">
        <v>0</v>
      </c>
      <c r="J355" s="8">
        <v>0</v>
      </c>
      <c r="K355" s="5">
        <f t="shared" si="11"/>
        <v>115</v>
      </c>
    </row>
    <row r="356" spans="1:11" ht="14.25">
      <c r="A356" s="7">
        <v>339</v>
      </c>
      <c r="B356" s="5">
        <v>1</v>
      </c>
      <c r="C356" s="7">
        <v>0</v>
      </c>
      <c r="D356" s="5">
        <v>0</v>
      </c>
      <c r="E356" s="5">
        <v>0</v>
      </c>
      <c r="F356" s="5">
        <f t="shared" si="10"/>
        <v>115000</v>
      </c>
      <c r="G356" s="8">
        <v>12</v>
      </c>
      <c r="H356" s="8">
        <v>0</v>
      </c>
      <c r="I356" s="8">
        <v>0</v>
      </c>
      <c r="J356" s="8">
        <v>0</v>
      </c>
      <c r="K356" s="5">
        <f t="shared" si="11"/>
        <v>115</v>
      </c>
    </row>
    <row r="357" spans="1:11" ht="14.25">
      <c r="A357" s="7">
        <v>340</v>
      </c>
      <c r="B357" s="5">
        <v>1</v>
      </c>
      <c r="C357" s="7">
        <v>0</v>
      </c>
      <c r="D357" s="5">
        <v>0</v>
      </c>
      <c r="E357" s="5">
        <v>0</v>
      </c>
      <c r="F357" s="5">
        <f t="shared" si="10"/>
        <v>115000</v>
      </c>
      <c r="G357" s="8">
        <v>12</v>
      </c>
      <c r="H357" s="8">
        <v>0</v>
      </c>
      <c r="I357" s="8">
        <v>0</v>
      </c>
      <c r="J357" s="8">
        <v>0</v>
      </c>
      <c r="K357" s="5">
        <f t="shared" si="11"/>
        <v>115</v>
      </c>
    </row>
    <row r="358" spans="1:11" ht="14.25">
      <c r="A358" s="7">
        <v>341</v>
      </c>
      <c r="B358" s="5">
        <v>1</v>
      </c>
      <c r="C358" s="7">
        <v>0</v>
      </c>
      <c r="D358" s="5">
        <v>0</v>
      </c>
      <c r="E358" s="5">
        <v>0</v>
      </c>
      <c r="F358" s="5">
        <f t="shared" si="10"/>
        <v>115000</v>
      </c>
      <c r="G358" s="8">
        <v>12</v>
      </c>
      <c r="H358" s="8">
        <v>0</v>
      </c>
      <c r="I358" s="8">
        <v>0</v>
      </c>
      <c r="J358" s="8">
        <v>0</v>
      </c>
      <c r="K358" s="5">
        <f t="shared" si="11"/>
        <v>115</v>
      </c>
    </row>
    <row r="359" spans="1:11" ht="14.25">
      <c r="A359" s="7">
        <v>342</v>
      </c>
      <c r="B359" s="5">
        <v>1</v>
      </c>
      <c r="C359" s="7">
        <v>0</v>
      </c>
      <c r="D359" s="5">
        <v>0</v>
      </c>
      <c r="E359" s="5">
        <v>0</v>
      </c>
      <c r="F359" s="5">
        <f t="shared" si="10"/>
        <v>115000</v>
      </c>
      <c r="G359" s="8">
        <v>12</v>
      </c>
      <c r="H359" s="8">
        <v>0</v>
      </c>
      <c r="I359" s="8">
        <v>0</v>
      </c>
      <c r="J359" s="8">
        <v>0</v>
      </c>
      <c r="K359" s="5">
        <f t="shared" si="11"/>
        <v>115</v>
      </c>
    </row>
    <row r="360" spans="1:11" ht="14.25">
      <c r="A360" s="7">
        <v>343</v>
      </c>
      <c r="B360" s="5">
        <v>1</v>
      </c>
      <c r="C360" s="7">
        <v>0</v>
      </c>
      <c r="D360" s="5">
        <v>0</v>
      </c>
      <c r="E360" s="5">
        <v>0</v>
      </c>
      <c r="F360" s="5">
        <f t="shared" si="10"/>
        <v>115000</v>
      </c>
      <c r="G360" s="8">
        <v>12</v>
      </c>
      <c r="H360" s="8">
        <v>0</v>
      </c>
      <c r="I360" s="8">
        <v>0</v>
      </c>
      <c r="J360" s="8">
        <v>0</v>
      </c>
      <c r="K360" s="5">
        <f t="shared" si="11"/>
        <v>115</v>
      </c>
    </row>
    <row r="361" spans="1:11" ht="14.25">
      <c r="A361" s="7">
        <v>344</v>
      </c>
      <c r="B361" s="5">
        <v>1</v>
      </c>
      <c r="C361" s="7">
        <v>0</v>
      </c>
      <c r="D361" s="5">
        <v>0</v>
      </c>
      <c r="E361" s="5">
        <v>0</v>
      </c>
      <c r="F361" s="5">
        <f t="shared" si="10"/>
        <v>115000</v>
      </c>
      <c r="G361" s="8">
        <v>12</v>
      </c>
      <c r="H361" s="8">
        <v>0</v>
      </c>
      <c r="I361" s="8">
        <v>0</v>
      </c>
      <c r="J361" s="8">
        <v>0</v>
      </c>
      <c r="K361" s="5">
        <f t="shared" si="11"/>
        <v>115</v>
      </c>
    </row>
    <row r="362" spans="1:11" ht="14.25">
      <c r="A362" s="7">
        <v>345</v>
      </c>
      <c r="B362" s="5">
        <v>1</v>
      </c>
      <c r="C362" s="7">
        <v>0</v>
      </c>
      <c r="D362" s="5">
        <v>0</v>
      </c>
      <c r="E362" s="5">
        <v>0</v>
      </c>
      <c r="F362" s="5">
        <f t="shared" si="10"/>
        <v>115000</v>
      </c>
      <c r="G362" s="8">
        <v>12</v>
      </c>
      <c r="H362" s="8">
        <v>0</v>
      </c>
      <c r="I362" s="8">
        <v>0</v>
      </c>
      <c r="J362" s="8">
        <v>0</v>
      </c>
      <c r="K362" s="5">
        <f t="shared" si="11"/>
        <v>115</v>
      </c>
    </row>
    <row r="363" spans="1:11" ht="14.25">
      <c r="A363" s="7">
        <v>346</v>
      </c>
      <c r="B363" s="5">
        <v>1</v>
      </c>
      <c r="C363" s="7">
        <v>0</v>
      </c>
      <c r="D363" s="5">
        <v>0</v>
      </c>
      <c r="E363" s="5">
        <v>0</v>
      </c>
      <c r="F363" s="5">
        <f t="shared" si="10"/>
        <v>120000</v>
      </c>
      <c r="G363" s="8">
        <v>12</v>
      </c>
      <c r="H363" s="8">
        <v>0</v>
      </c>
      <c r="I363" s="8">
        <v>0</v>
      </c>
      <c r="J363" s="8">
        <v>0</v>
      </c>
      <c r="K363" s="5">
        <f t="shared" si="11"/>
        <v>120</v>
      </c>
    </row>
    <row r="364" spans="1:11" ht="14.25">
      <c r="A364" s="7">
        <v>347</v>
      </c>
      <c r="B364" s="5">
        <v>1</v>
      </c>
      <c r="C364" s="7">
        <v>0</v>
      </c>
      <c r="D364" s="5">
        <v>0</v>
      </c>
      <c r="E364" s="5">
        <v>0</v>
      </c>
      <c r="F364" s="5">
        <f t="shared" si="10"/>
        <v>120000</v>
      </c>
      <c r="G364" s="8">
        <v>12</v>
      </c>
      <c r="H364" s="8">
        <v>0</v>
      </c>
      <c r="I364" s="8">
        <v>0</v>
      </c>
      <c r="J364" s="8">
        <v>0</v>
      </c>
      <c r="K364" s="5">
        <f t="shared" si="11"/>
        <v>120</v>
      </c>
    </row>
    <row r="365" spans="1:11" ht="14.25">
      <c r="A365" s="7">
        <v>348</v>
      </c>
      <c r="B365" s="5">
        <v>1</v>
      </c>
      <c r="C365" s="7">
        <v>0</v>
      </c>
      <c r="D365" s="5">
        <v>0</v>
      </c>
      <c r="E365" s="5">
        <v>0</v>
      </c>
      <c r="F365" s="5">
        <f t="shared" si="10"/>
        <v>120000</v>
      </c>
      <c r="G365" s="8">
        <v>12</v>
      </c>
      <c r="H365" s="8">
        <v>0</v>
      </c>
      <c r="I365" s="8">
        <v>0</v>
      </c>
      <c r="J365" s="8">
        <v>0</v>
      </c>
      <c r="K365" s="5">
        <f t="shared" si="11"/>
        <v>120</v>
      </c>
    </row>
    <row r="366" spans="1:11" ht="14.25">
      <c r="A366" s="7">
        <v>349</v>
      </c>
      <c r="B366" s="5">
        <v>1</v>
      </c>
      <c r="C366" s="7">
        <v>0</v>
      </c>
      <c r="D366" s="5">
        <v>0</v>
      </c>
      <c r="E366" s="5">
        <v>0</v>
      </c>
      <c r="F366" s="5">
        <f t="shared" si="10"/>
        <v>120000</v>
      </c>
      <c r="G366" s="8">
        <v>12</v>
      </c>
      <c r="H366" s="8">
        <v>0</v>
      </c>
      <c r="I366" s="8">
        <v>0</v>
      </c>
      <c r="J366" s="8">
        <v>0</v>
      </c>
      <c r="K366" s="5">
        <f t="shared" si="11"/>
        <v>120</v>
      </c>
    </row>
    <row r="367" spans="1:11" ht="14.25">
      <c r="A367" s="7">
        <v>350</v>
      </c>
      <c r="B367" s="5">
        <v>1</v>
      </c>
      <c r="C367" s="7">
        <v>0</v>
      </c>
      <c r="D367" s="5">
        <v>0</v>
      </c>
      <c r="E367" s="5">
        <v>0</v>
      </c>
      <c r="F367" s="5">
        <f t="shared" si="10"/>
        <v>120000</v>
      </c>
      <c r="G367" s="8">
        <v>12</v>
      </c>
      <c r="H367" s="8">
        <v>0</v>
      </c>
      <c r="I367" s="8">
        <v>0</v>
      </c>
      <c r="J367" s="8">
        <v>0</v>
      </c>
      <c r="K367" s="5">
        <f t="shared" si="11"/>
        <v>120</v>
      </c>
    </row>
    <row r="368" spans="1:11" ht="14.25">
      <c r="A368" s="7">
        <v>351</v>
      </c>
      <c r="B368" s="5">
        <v>1</v>
      </c>
      <c r="C368" s="7">
        <v>0</v>
      </c>
      <c r="D368" s="5">
        <v>0</v>
      </c>
      <c r="E368" s="5">
        <v>0</v>
      </c>
      <c r="F368" s="5">
        <f t="shared" si="10"/>
        <v>120000</v>
      </c>
      <c r="G368" s="8">
        <v>12</v>
      </c>
      <c r="H368" s="8">
        <v>0</v>
      </c>
      <c r="I368" s="8">
        <v>0</v>
      </c>
      <c r="J368" s="8">
        <v>0</v>
      </c>
      <c r="K368" s="5">
        <f t="shared" si="11"/>
        <v>120</v>
      </c>
    </row>
    <row r="369" spans="1:11" ht="14.25">
      <c r="A369" s="7">
        <v>352</v>
      </c>
      <c r="B369" s="5">
        <v>1</v>
      </c>
      <c r="C369" s="7">
        <v>0</v>
      </c>
      <c r="D369" s="5">
        <v>0</v>
      </c>
      <c r="E369" s="5">
        <v>0</v>
      </c>
      <c r="F369" s="5">
        <f t="shared" ref="F369:F432" si="12">ROUNDUP(A369/15,0)*1000*5</f>
        <v>120000</v>
      </c>
      <c r="G369" s="8">
        <v>12</v>
      </c>
      <c r="H369" s="8">
        <v>0</v>
      </c>
      <c r="I369" s="8">
        <v>0</v>
      </c>
      <c r="J369" s="8">
        <v>0</v>
      </c>
      <c r="K369" s="5">
        <f t="shared" ref="K369:K432" si="13">ROUNDUP(A369/15,0)*5</f>
        <v>120</v>
      </c>
    </row>
    <row r="370" spans="1:11" ht="14.25">
      <c r="A370" s="7">
        <v>353</v>
      </c>
      <c r="B370" s="5">
        <v>1</v>
      </c>
      <c r="C370" s="7">
        <v>0</v>
      </c>
      <c r="D370" s="5">
        <v>0</v>
      </c>
      <c r="E370" s="5">
        <v>0</v>
      </c>
      <c r="F370" s="5">
        <f t="shared" si="12"/>
        <v>120000</v>
      </c>
      <c r="G370" s="8">
        <v>12</v>
      </c>
      <c r="H370" s="8">
        <v>0</v>
      </c>
      <c r="I370" s="8">
        <v>0</v>
      </c>
      <c r="J370" s="8">
        <v>0</v>
      </c>
      <c r="K370" s="5">
        <f t="shared" si="13"/>
        <v>120</v>
      </c>
    </row>
    <row r="371" spans="1:11" ht="14.25">
      <c r="A371" s="7">
        <v>354</v>
      </c>
      <c r="B371" s="5">
        <v>1</v>
      </c>
      <c r="C371" s="7">
        <v>0</v>
      </c>
      <c r="D371" s="5">
        <v>0</v>
      </c>
      <c r="E371" s="5">
        <v>0</v>
      </c>
      <c r="F371" s="5">
        <f t="shared" si="12"/>
        <v>120000</v>
      </c>
      <c r="G371" s="8">
        <v>12</v>
      </c>
      <c r="H371" s="8">
        <v>0</v>
      </c>
      <c r="I371" s="8">
        <v>0</v>
      </c>
      <c r="J371" s="8">
        <v>0</v>
      </c>
      <c r="K371" s="5">
        <f t="shared" si="13"/>
        <v>120</v>
      </c>
    </row>
    <row r="372" spans="1:11" ht="14.25">
      <c r="A372" s="7">
        <v>355</v>
      </c>
      <c r="B372" s="5">
        <v>1</v>
      </c>
      <c r="C372" s="7">
        <v>0</v>
      </c>
      <c r="D372" s="5">
        <v>0</v>
      </c>
      <c r="E372" s="5">
        <v>0</v>
      </c>
      <c r="F372" s="5">
        <f t="shared" si="12"/>
        <v>120000</v>
      </c>
      <c r="G372" s="8">
        <v>12</v>
      </c>
      <c r="H372" s="8">
        <v>0</v>
      </c>
      <c r="I372" s="8">
        <v>0</v>
      </c>
      <c r="J372" s="8">
        <v>0</v>
      </c>
      <c r="K372" s="5">
        <f t="shared" si="13"/>
        <v>120</v>
      </c>
    </row>
    <row r="373" spans="1:11" ht="14.25">
      <c r="A373" s="7">
        <v>356</v>
      </c>
      <c r="B373" s="5">
        <v>1</v>
      </c>
      <c r="C373" s="7">
        <v>0</v>
      </c>
      <c r="D373" s="5">
        <v>0</v>
      </c>
      <c r="E373" s="5">
        <v>0</v>
      </c>
      <c r="F373" s="5">
        <f t="shared" si="12"/>
        <v>120000</v>
      </c>
      <c r="G373" s="8">
        <v>12</v>
      </c>
      <c r="H373" s="8">
        <v>0</v>
      </c>
      <c r="I373" s="8">
        <v>0</v>
      </c>
      <c r="J373" s="8">
        <v>0</v>
      </c>
      <c r="K373" s="5">
        <f t="shared" si="13"/>
        <v>120</v>
      </c>
    </row>
    <row r="374" spans="1:11" ht="14.25">
      <c r="A374" s="7">
        <v>357</v>
      </c>
      <c r="B374" s="5">
        <v>1</v>
      </c>
      <c r="C374" s="7">
        <v>0</v>
      </c>
      <c r="D374" s="5">
        <v>0</v>
      </c>
      <c r="E374" s="5">
        <v>0</v>
      </c>
      <c r="F374" s="5">
        <f t="shared" si="12"/>
        <v>120000</v>
      </c>
      <c r="G374" s="8">
        <v>12</v>
      </c>
      <c r="H374" s="8">
        <v>0</v>
      </c>
      <c r="I374" s="8">
        <v>0</v>
      </c>
      <c r="J374" s="8">
        <v>0</v>
      </c>
      <c r="K374" s="5">
        <f t="shared" si="13"/>
        <v>120</v>
      </c>
    </row>
    <row r="375" spans="1:11" ht="14.25">
      <c r="A375" s="7">
        <v>358</v>
      </c>
      <c r="B375" s="5">
        <v>1</v>
      </c>
      <c r="C375" s="7">
        <v>0</v>
      </c>
      <c r="D375" s="5">
        <v>0</v>
      </c>
      <c r="E375" s="5">
        <v>0</v>
      </c>
      <c r="F375" s="5">
        <f t="shared" si="12"/>
        <v>120000</v>
      </c>
      <c r="G375" s="8">
        <v>12</v>
      </c>
      <c r="H375" s="8">
        <v>0</v>
      </c>
      <c r="I375" s="8">
        <v>0</v>
      </c>
      <c r="J375" s="8">
        <v>0</v>
      </c>
      <c r="K375" s="5">
        <f t="shared" si="13"/>
        <v>120</v>
      </c>
    </row>
    <row r="376" spans="1:11" ht="14.25">
      <c r="A376" s="7">
        <v>359</v>
      </c>
      <c r="B376" s="5">
        <v>1</v>
      </c>
      <c r="C376" s="7">
        <v>0</v>
      </c>
      <c r="D376" s="5">
        <v>0</v>
      </c>
      <c r="E376" s="5">
        <v>0</v>
      </c>
      <c r="F376" s="5">
        <f t="shared" si="12"/>
        <v>120000</v>
      </c>
      <c r="G376" s="8">
        <v>12</v>
      </c>
      <c r="H376" s="8">
        <v>0</v>
      </c>
      <c r="I376" s="8">
        <v>0</v>
      </c>
      <c r="J376" s="8">
        <v>0</v>
      </c>
      <c r="K376" s="5">
        <f t="shared" si="13"/>
        <v>120</v>
      </c>
    </row>
    <row r="377" spans="1:11" ht="14.25">
      <c r="A377" s="7">
        <v>360</v>
      </c>
      <c r="B377" s="5">
        <v>1</v>
      </c>
      <c r="C377" s="7">
        <v>0</v>
      </c>
      <c r="D377" s="5">
        <v>0</v>
      </c>
      <c r="E377" s="5">
        <v>0</v>
      </c>
      <c r="F377" s="5">
        <f t="shared" si="12"/>
        <v>120000</v>
      </c>
      <c r="G377" s="8">
        <v>12</v>
      </c>
      <c r="H377" s="8">
        <v>0</v>
      </c>
      <c r="I377" s="8">
        <v>0</v>
      </c>
      <c r="J377" s="8">
        <v>0</v>
      </c>
      <c r="K377" s="5">
        <f t="shared" si="13"/>
        <v>120</v>
      </c>
    </row>
    <row r="378" spans="1:11" ht="14.25">
      <c r="A378" s="7">
        <v>361</v>
      </c>
      <c r="B378" s="5">
        <v>1</v>
      </c>
      <c r="C378" s="7">
        <v>0</v>
      </c>
      <c r="D378" s="5">
        <v>0</v>
      </c>
      <c r="E378" s="5">
        <v>0</v>
      </c>
      <c r="F378" s="5">
        <f t="shared" si="12"/>
        <v>125000</v>
      </c>
      <c r="G378" s="8">
        <v>12</v>
      </c>
      <c r="H378" s="8">
        <v>0</v>
      </c>
      <c r="I378" s="8">
        <v>0</v>
      </c>
      <c r="J378" s="8">
        <v>0</v>
      </c>
      <c r="K378" s="5">
        <f t="shared" si="13"/>
        <v>125</v>
      </c>
    </row>
    <row r="379" spans="1:11" ht="14.25">
      <c r="A379" s="7">
        <v>362</v>
      </c>
      <c r="B379" s="5">
        <v>1</v>
      </c>
      <c r="C379" s="7">
        <v>0</v>
      </c>
      <c r="D379" s="5">
        <v>0</v>
      </c>
      <c r="E379" s="5">
        <v>0</v>
      </c>
      <c r="F379" s="5">
        <f t="shared" si="12"/>
        <v>125000</v>
      </c>
      <c r="G379" s="8">
        <v>12</v>
      </c>
      <c r="H379" s="8">
        <v>0</v>
      </c>
      <c r="I379" s="8">
        <v>0</v>
      </c>
      <c r="J379" s="8">
        <v>0</v>
      </c>
      <c r="K379" s="5">
        <f t="shared" si="13"/>
        <v>125</v>
      </c>
    </row>
    <row r="380" spans="1:11" ht="14.25">
      <c r="A380" s="7">
        <v>363</v>
      </c>
      <c r="B380" s="5">
        <v>1</v>
      </c>
      <c r="C380" s="7">
        <v>0</v>
      </c>
      <c r="D380" s="5">
        <v>0</v>
      </c>
      <c r="E380" s="5">
        <v>0</v>
      </c>
      <c r="F380" s="5">
        <f t="shared" si="12"/>
        <v>125000</v>
      </c>
      <c r="G380" s="8">
        <v>12</v>
      </c>
      <c r="H380" s="8">
        <v>0</v>
      </c>
      <c r="I380" s="8">
        <v>0</v>
      </c>
      <c r="J380" s="8">
        <v>0</v>
      </c>
      <c r="K380" s="5">
        <f t="shared" si="13"/>
        <v>125</v>
      </c>
    </row>
    <row r="381" spans="1:11" ht="14.25">
      <c r="A381" s="7">
        <v>364</v>
      </c>
      <c r="B381" s="5">
        <v>1</v>
      </c>
      <c r="C381" s="7">
        <v>0</v>
      </c>
      <c r="D381" s="5">
        <v>0</v>
      </c>
      <c r="E381" s="5">
        <v>0</v>
      </c>
      <c r="F381" s="5">
        <f t="shared" si="12"/>
        <v>125000</v>
      </c>
      <c r="G381" s="8">
        <v>12</v>
      </c>
      <c r="H381" s="8">
        <v>0</v>
      </c>
      <c r="I381" s="8">
        <v>0</v>
      </c>
      <c r="J381" s="8">
        <v>0</v>
      </c>
      <c r="K381" s="5">
        <f t="shared" si="13"/>
        <v>125</v>
      </c>
    </row>
    <row r="382" spans="1:11" ht="14.25">
      <c r="A382" s="7">
        <v>365</v>
      </c>
      <c r="B382" s="5">
        <v>1</v>
      </c>
      <c r="C382" s="7">
        <v>0</v>
      </c>
      <c r="D382" s="5">
        <v>0</v>
      </c>
      <c r="E382" s="5">
        <v>0</v>
      </c>
      <c r="F382" s="5">
        <f t="shared" si="12"/>
        <v>125000</v>
      </c>
      <c r="G382" s="8">
        <v>12</v>
      </c>
      <c r="H382" s="8">
        <v>0</v>
      </c>
      <c r="I382" s="8">
        <v>0</v>
      </c>
      <c r="J382" s="8">
        <v>0</v>
      </c>
      <c r="K382" s="5">
        <f t="shared" si="13"/>
        <v>125</v>
      </c>
    </row>
    <row r="383" spans="1:11" ht="14.25">
      <c r="A383" s="7">
        <v>366</v>
      </c>
      <c r="B383" s="5">
        <v>1</v>
      </c>
      <c r="C383" s="7">
        <v>0</v>
      </c>
      <c r="D383" s="5">
        <v>0</v>
      </c>
      <c r="E383" s="5">
        <v>0</v>
      </c>
      <c r="F383" s="5">
        <f t="shared" si="12"/>
        <v>125000</v>
      </c>
      <c r="G383" s="8">
        <v>12</v>
      </c>
      <c r="H383" s="8">
        <v>0</v>
      </c>
      <c r="I383" s="8">
        <v>0</v>
      </c>
      <c r="J383" s="8">
        <v>0</v>
      </c>
      <c r="K383" s="5">
        <f t="shared" si="13"/>
        <v>125</v>
      </c>
    </row>
    <row r="384" spans="1:11" ht="14.25">
      <c r="A384" s="7">
        <v>367</v>
      </c>
      <c r="B384" s="5">
        <v>1</v>
      </c>
      <c r="C384" s="7">
        <v>0</v>
      </c>
      <c r="D384" s="5">
        <v>0</v>
      </c>
      <c r="E384" s="5">
        <v>0</v>
      </c>
      <c r="F384" s="5">
        <f t="shared" si="12"/>
        <v>125000</v>
      </c>
      <c r="G384" s="8">
        <v>12</v>
      </c>
      <c r="H384" s="8">
        <v>0</v>
      </c>
      <c r="I384" s="8">
        <v>0</v>
      </c>
      <c r="J384" s="8">
        <v>0</v>
      </c>
      <c r="K384" s="5">
        <f t="shared" si="13"/>
        <v>125</v>
      </c>
    </row>
    <row r="385" spans="1:11" ht="14.25">
      <c r="A385" s="7">
        <v>368</v>
      </c>
      <c r="B385" s="5">
        <v>1</v>
      </c>
      <c r="C385" s="7">
        <v>0</v>
      </c>
      <c r="D385" s="5">
        <v>0</v>
      </c>
      <c r="E385" s="5">
        <v>0</v>
      </c>
      <c r="F385" s="5">
        <f t="shared" si="12"/>
        <v>125000</v>
      </c>
      <c r="G385" s="8">
        <v>12</v>
      </c>
      <c r="H385" s="8">
        <v>0</v>
      </c>
      <c r="I385" s="8">
        <v>0</v>
      </c>
      <c r="J385" s="8">
        <v>0</v>
      </c>
      <c r="K385" s="5">
        <f t="shared" si="13"/>
        <v>125</v>
      </c>
    </row>
    <row r="386" spans="1:11" ht="14.25">
      <c r="A386" s="7">
        <v>369</v>
      </c>
      <c r="B386" s="5">
        <v>1</v>
      </c>
      <c r="C386" s="7">
        <v>0</v>
      </c>
      <c r="D386" s="5">
        <v>0</v>
      </c>
      <c r="E386" s="5">
        <v>0</v>
      </c>
      <c r="F386" s="5">
        <f t="shared" si="12"/>
        <v>125000</v>
      </c>
      <c r="G386" s="8">
        <v>12</v>
      </c>
      <c r="H386" s="8">
        <v>0</v>
      </c>
      <c r="I386" s="8">
        <v>0</v>
      </c>
      <c r="J386" s="8">
        <v>0</v>
      </c>
      <c r="K386" s="5">
        <f t="shared" si="13"/>
        <v>125</v>
      </c>
    </row>
    <row r="387" spans="1:11" ht="14.25">
      <c r="A387" s="7">
        <v>370</v>
      </c>
      <c r="B387" s="5">
        <v>1</v>
      </c>
      <c r="C387" s="7">
        <v>0</v>
      </c>
      <c r="D387" s="5">
        <v>0</v>
      </c>
      <c r="E387" s="5">
        <v>0</v>
      </c>
      <c r="F387" s="5">
        <f t="shared" si="12"/>
        <v>125000</v>
      </c>
      <c r="G387" s="8">
        <v>12</v>
      </c>
      <c r="H387" s="8">
        <v>0</v>
      </c>
      <c r="I387" s="8">
        <v>0</v>
      </c>
      <c r="J387" s="8">
        <v>0</v>
      </c>
      <c r="K387" s="5">
        <f t="shared" si="13"/>
        <v>125</v>
      </c>
    </row>
    <row r="388" spans="1:11" ht="14.25">
      <c r="A388" s="7">
        <v>371</v>
      </c>
      <c r="B388" s="5">
        <v>1</v>
      </c>
      <c r="C388" s="7">
        <v>0</v>
      </c>
      <c r="D388" s="5">
        <v>0</v>
      </c>
      <c r="E388" s="5">
        <v>0</v>
      </c>
      <c r="F388" s="5">
        <f t="shared" si="12"/>
        <v>125000</v>
      </c>
      <c r="G388" s="8">
        <v>12</v>
      </c>
      <c r="H388" s="8">
        <v>0</v>
      </c>
      <c r="I388" s="8">
        <v>0</v>
      </c>
      <c r="J388" s="8">
        <v>0</v>
      </c>
      <c r="K388" s="5">
        <f t="shared" si="13"/>
        <v>125</v>
      </c>
    </row>
    <row r="389" spans="1:11" ht="14.25">
      <c r="A389" s="7">
        <v>372</v>
      </c>
      <c r="B389" s="5">
        <v>1</v>
      </c>
      <c r="C389" s="7">
        <v>0</v>
      </c>
      <c r="D389" s="5">
        <v>0</v>
      </c>
      <c r="E389" s="5">
        <v>0</v>
      </c>
      <c r="F389" s="5">
        <f t="shared" si="12"/>
        <v>125000</v>
      </c>
      <c r="G389" s="8">
        <v>12</v>
      </c>
      <c r="H389" s="8">
        <v>0</v>
      </c>
      <c r="I389" s="8">
        <v>0</v>
      </c>
      <c r="J389" s="8">
        <v>0</v>
      </c>
      <c r="K389" s="5">
        <f t="shared" si="13"/>
        <v>125</v>
      </c>
    </row>
    <row r="390" spans="1:11" ht="14.25">
      <c r="A390" s="7">
        <v>373</v>
      </c>
      <c r="B390" s="5">
        <v>1</v>
      </c>
      <c r="C390" s="7">
        <v>0</v>
      </c>
      <c r="D390" s="5">
        <v>0</v>
      </c>
      <c r="E390" s="5">
        <v>0</v>
      </c>
      <c r="F390" s="5">
        <f t="shared" si="12"/>
        <v>125000</v>
      </c>
      <c r="G390" s="8">
        <v>12</v>
      </c>
      <c r="H390" s="8">
        <v>0</v>
      </c>
      <c r="I390" s="8">
        <v>0</v>
      </c>
      <c r="J390" s="8">
        <v>0</v>
      </c>
      <c r="K390" s="5">
        <f t="shared" si="13"/>
        <v>125</v>
      </c>
    </row>
    <row r="391" spans="1:11" ht="14.25">
      <c r="A391" s="7">
        <v>374</v>
      </c>
      <c r="B391" s="5">
        <v>1</v>
      </c>
      <c r="C391" s="7">
        <v>0</v>
      </c>
      <c r="D391" s="5">
        <v>0</v>
      </c>
      <c r="E391" s="5">
        <v>0</v>
      </c>
      <c r="F391" s="5">
        <f t="shared" si="12"/>
        <v>125000</v>
      </c>
      <c r="G391" s="8">
        <v>12</v>
      </c>
      <c r="H391" s="8">
        <v>0</v>
      </c>
      <c r="I391" s="8">
        <v>0</v>
      </c>
      <c r="J391" s="8">
        <v>0</v>
      </c>
      <c r="K391" s="5">
        <f t="shared" si="13"/>
        <v>125</v>
      </c>
    </row>
    <row r="392" spans="1:11" ht="14.25">
      <c r="A392" s="7">
        <v>375</v>
      </c>
      <c r="B392" s="5">
        <v>1</v>
      </c>
      <c r="C392" s="7">
        <v>0</v>
      </c>
      <c r="D392" s="5">
        <v>0</v>
      </c>
      <c r="E392" s="5">
        <v>0</v>
      </c>
      <c r="F392" s="5">
        <f t="shared" si="12"/>
        <v>125000</v>
      </c>
      <c r="G392" s="8">
        <v>12</v>
      </c>
      <c r="H392" s="8">
        <v>0</v>
      </c>
      <c r="I392" s="8">
        <v>0</v>
      </c>
      <c r="J392" s="8">
        <v>0</v>
      </c>
      <c r="K392" s="5">
        <f t="shared" si="13"/>
        <v>125</v>
      </c>
    </row>
    <row r="393" spans="1:11" ht="14.25">
      <c r="A393" s="7">
        <v>376</v>
      </c>
      <c r="B393" s="5">
        <v>1</v>
      </c>
      <c r="C393" s="7">
        <v>0</v>
      </c>
      <c r="D393" s="5">
        <v>0</v>
      </c>
      <c r="E393" s="5">
        <v>0</v>
      </c>
      <c r="F393" s="5">
        <f t="shared" si="12"/>
        <v>130000</v>
      </c>
      <c r="G393" s="8">
        <v>12</v>
      </c>
      <c r="H393" s="8">
        <v>0</v>
      </c>
      <c r="I393" s="8">
        <v>0</v>
      </c>
      <c r="J393" s="8">
        <v>0</v>
      </c>
      <c r="K393" s="5">
        <f t="shared" si="13"/>
        <v>130</v>
      </c>
    </row>
    <row r="394" spans="1:11" ht="14.25">
      <c r="A394" s="7">
        <v>377</v>
      </c>
      <c r="B394" s="5">
        <v>1</v>
      </c>
      <c r="C394" s="7">
        <v>0</v>
      </c>
      <c r="D394" s="5">
        <v>0</v>
      </c>
      <c r="E394" s="5">
        <v>0</v>
      </c>
      <c r="F394" s="5">
        <f t="shared" si="12"/>
        <v>130000</v>
      </c>
      <c r="G394" s="8">
        <v>12</v>
      </c>
      <c r="H394" s="8">
        <v>0</v>
      </c>
      <c r="I394" s="8">
        <v>0</v>
      </c>
      <c r="J394" s="8">
        <v>0</v>
      </c>
      <c r="K394" s="5">
        <f t="shared" si="13"/>
        <v>130</v>
      </c>
    </row>
    <row r="395" spans="1:11" ht="14.25">
      <c r="A395" s="7">
        <v>378</v>
      </c>
      <c r="B395" s="5">
        <v>1</v>
      </c>
      <c r="C395" s="7">
        <v>0</v>
      </c>
      <c r="D395" s="5">
        <v>0</v>
      </c>
      <c r="E395" s="5">
        <v>0</v>
      </c>
      <c r="F395" s="5">
        <f t="shared" si="12"/>
        <v>130000</v>
      </c>
      <c r="G395" s="8">
        <v>12</v>
      </c>
      <c r="H395" s="8">
        <v>0</v>
      </c>
      <c r="I395" s="8">
        <v>0</v>
      </c>
      <c r="J395" s="8">
        <v>0</v>
      </c>
      <c r="K395" s="5">
        <f t="shared" si="13"/>
        <v>130</v>
      </c>
    </row>
    <row r="396" spans="1:11" ht="14.25">
      <c r="A396" s="7">
        <v>379</v>
      </c>
      <c r="B396" s="5">
        <v>1</v>
      </c>
      <c r="C396" s="7">
        <v>0</v>
      </c>
      <c r="D396" s="5">
        <v>0</v>
      </c>
      <c r="E396" s="5">
        <v>0</v>
      </c>
      <c r="F396" s="5">
        <f t="shared" si="12"/>
        <v>130000</v>
      </c>
      <c r="G396" s="8">
        <v>12</v>
      </c>
      <c r="H396" s="8">
        <v>0</v>
      </c>
      <c r="I396" s="8">
        <v>0</v>
      </c>
      <c r="J396" s="8">
        <v>0</v>
      </c>
      <c r="K396" s="5">
        <f t="shared" si="13"/>
        <v>130</v>
      </c>
    </row>
    <row r="397" spans="1:11" ht="14.25">
      <c r="A397" s="7">
        <v>380</v>
      </c>
      <c r="B397" s="5">
        <v>1</v>
      </c>
      <c r="C397" s="7">
        <v>0</v>
      </c>
      <c r="D397" s="5">
        <v>0</v>
      </c>
      <c r="E397" s="5">
        <v>0</v>
      </c>
      <c r="F397" s="5">
        <f t="shared" si="12"/>
        <v>130000</v>
      </c>
      <c r="G397" s="8">
        <v>12</v>
      </c>
      <c r="H397" s="8">
        <v>0</v>
      </c>
      <c r="I397" s="8">
        <v>0</v>
      </c>
      <c r="J397" s="8">
        <v>0</v>
      </c>
      <c r="K397" s="5">
        <f t="shared" si="13"/>
        <v>130</v>
      </c>
    </row>
    <row r="398" spans="1:11" ht="14.25">
      <c r="A398" s="7">
        <v>381</v>
      </c>
      <c r="B398" s="5">
        <v>1</v>
      </c>
      <c r="C398" s="7">
        <v>0</v>
      </c>
      <c r="D398" s="5">
        <v>0</v>
      </c>
      <c r="E398" s="5">
        <v>0</v>
      </c>
      <c r="F398" s="5">
        <f t="shared" si="12"/>
        <v>130000</v>
      </c>
      <c r="G398" s="8">
        <v>12</v>
      </c>
      <c r="H398" s="8">
        <v>0</v>
      </c>
      <c r="I398" s="8">
        <v>0</v>
      </c>
      <c r="J398" s="8">
        <v>0</v>
      </c>
      <c r="K398" s="5">
        <f t="shared" si="13"/>
        <v>130</v>
      </c>
    </row>
    <row r="399" spans="1:11" ht="14.25">
      <c r="A399" s="7">
        <v>382</v>
      </c>
      <c r="B399" s="5">
        <v>1</v>
      </c>
      <c r="C399" s="7">
        <v>0</v>
      </c>
      <c r="D399" s="5">
        <v>0</v>
      </c>
      <c r="E399" s="5">
        <v>0</v>
      </c>
      <c r="F399" s="5">
        <f t="shared" si="12"/>
        <v>130000</v>
      </c>
      <c r="G399" s="8">
        <v>12</v>
      </c>
      <c r="H399" s="8">
        <v>0</v>
      </c>
      <c r="I399" s="8">
        <v>0</v>
      </c>
      <c r="J399" s="8">
        <v>0</v>
      </c>
      <c r="K399" s="5">
        <f t="shared" si="13"/>
        <v>130</v>
      </c>
    </row>
    <row r="400" spans="1:11" ht="14.25">
      <c r="A400" s="7">
        <v>383</v>
      </c>
      <c r="B400" s="5">
        <v>1</v>
      </c>
      <c r="C400" s="7">
        <v>0</v>
      </c>
      <c r="D400" s="5">
        <v>0</v>
      </c>
      <c r="E400" s="5">
        <v>0</v>
      </c>
      <c r="F400" s="5">
        <f t="shared" si="12"/>
        <v>130000</v>
      </c>
      <c r="G400" s="8">
        <v>12</v>
      </c>
      <c r="H400" s="8">
        <v>0</v>
      </c>
      <c r="I400" s="8">
        <v>0</v>
      </c>
      <c r="J400" s="8">
        <v>0</v>
      </c>
      <c r="K400" s="5">
        <f t="shared" si="13"/>
        <v>130</v>
      </c>
    </row>
    <row r="401" spans="1:11" ht="14.25">
      <c r="A401" s="7">
        <v>384</v>
      </c>
      <c r="B401" s="5">
        <v>1</v>
      </c>
      <c r="C401" s="7">
        <v>0</v>
      </c>
      <c r="D401" s="5">
        <v>0</v>
      </c>
      <c r="E401" s="5">
        <v>0</v>
      </c>
      <c r="F401" s="5">
        <f t="shared" si="12"/>
        <v>130000</v>
      </c>
      <c r="G401" s="8">
        <v>12</v>
      </c>
      <c r="H401" s="8">
        <v>0</v>
      </c>
      <c r="I401" s="8">
        <v>0</v>
      </c>
      <c r="J401" s="8">
        <v>0</v>
      </c>
      <c r="K401" s="5">
        <f t="shared" si="13"/>
        <v>130</v>
      </c>
    </row>
    <row r="402" spans="1:11" ht="14.25">
      <c r="A402" s="7">
        <v>385</v>
      </c>
      <c r="B402" s="5">
        <v>1</v>
      </c>
      <c r="C402" s="7">
        <v>0</v>
      </c>
      <c r="D402" s="5">
        <v>0</v>
      </c>
      <c r="E402" s="5">
        <v>0</v>
      </c>
      <c r="F402" s="5">
        <f t="shared" si="12"/>
        <v>130000</v>
      </c>
      <c r="G402" s="8">
        <v>12</v>
      </c>
      <c r="H402" s="8">
        <v>0</v>
      </c>
      <c r="I402" s="8">
        <v>0</v>
      </c>
      <c r="J402" s="8">
        <v>0</v>
      </c>
      <c r="K402" s="5">
        <f t="shared" si="13"/>
        <v>130</v>
      </c>
    </row>
    <row r="403" spans="1:11" ht="14.25">
      <c r="A403" s="7">
        <v>386</v>
      </c>
      <c r="B403" s="5">
        <v>1</v>
      </c>
      <c r="C403" s="7">
        <v>0</v>
      </c>
      <c r="D403" s="5">
        <v>0</v>
      </c>
      <c r="E403" s="5">
        <v>0</v>
      </c>
      <c r="F403" s="5">
        <f t="shared" si="12"/>
        <v>130000</v>
      </c>
      <c r="G403" s="8">
        <v>12</v>
      </c>
      <c r="H403" s="8">
        <v>0</v>
      </c>
      <c r="I403" s="8">
        <v>0</v>
      </c>
      <c r="J403" s="8">
        <v>0</v>
      </c>
      <c r="K403" s="5">
        <f t="shared" si="13"/>
        <v>130</v>
      </c>
    </row>
    <row r="404" spans="1:11" ht="14.25">
      <c r="A404" s="7">
        <v>387</v>
      </c>
      <c r="B404" s="5">
        <v>1</v>
      </c>
      <c r="C404" s="7">
        <v>0</v>
      </c>
      <c r="D404" s="5">
        <v>0</v>
      </c>
      <c r="E404" s="5">
        <v>0</v>
      </c>
      <c r="F404" s="5">
        <f t="shared" si="12"/>
        <v>130000</v>
      </c>
      <c r="G404" s="8">
        <v>12</v>
      </c>
      <c r="H404" s="8">
        <v>0</v>
      </c>
      <c r="I404" s="8">
        <v>0</v>
      </c>
      <c r="J404" s="8">
        <v>0</v>
      </c>
      <c r="K404" s="5">
        <f t="shared" si="13"/>
        <v>130</v>
      </c>
    </row>
    <row r="405" spans="1:11" ht="14.25">
      <c r="A405" s="7">
        <v>388</v>
      </c>
      <c r="B405" s="5">
        <v>1</v>
      </c>
      <c r="C405" s="7">
        <v>0</v>
      </c>
      <c r="D405" s="5">
        <v>0</v>
      </c>
      <c r="E405" s="5">
        <v>0</v>
      </c>
      <c r="F405" s="5">
        <f t="shared" si="12"/>
        <v>130000</v>
      </c>
      <c r="G405" s="8">
        <v>12</v>
      </c>
      <c r="H405" s="8">
        <v>0</v>
      </c>
      <c r="I405" s="8">
        <v>0</v>
      </c>
      <c r="J405" s="8">
        <v>0</v>
      </c>
      <c r="K405" s="5">
        <f t="shared" si="13"/>
        <v>130</v>
      </c>
    </row>
    <row r="406" spans="1:11" ht="14.25">
      <c r="A406" s="7">
        <v>389</v>
      </c>
      <c r="B406" s="5">
        <v>1</v>
      </c>
      <c r="C406" s="7">
        <v>0</v>
      </c>
      <c r="D406" s="5">
        <v>0</v>
      </c>
      <c r="E406" s="5">
        <v>0</v>
      </c>
      <c r="F406" s="5">
        <f t="shared" si="12"/>
        <v>130000</v>
      </c>
      <c r="G406" s="8">
        <v>12</v>
      </c>
      <c r="H406" s="8">
        <v>0</v>
      </c>
      <c r="I406" s="8">
        <v>0</v>
      </c>
      <c r="J406" s="8">
        <v>0</v>
      </c>
      <c r="K406" s="5">
        <f t="shared" si="13"/>
        <v>130</v>
      </c>
    </row>
    <row r="407" spans="1:11" ht="14.25">
      <c r="A407" s="7">
        <v>390</v>
      </c>
      <c r="B407" s="5">
        <v>1</v>
      </c>
      <c r="C407" s="7">
        <v>0</v>
      </c>
      <c r="D407" s="5">
        <v>0</v>
      </c>
      <c r="E407" s="5">
        <v>0</v>
      </c>
      <c r="F407" s="5">
        <f t="shared" si="12"/>
        <v>130000</v>
      </c>
      <c r="G407" s="8">
        <v>12</v>
      </c>
      <c r="H407" s="8">
        <v>0</v>
      </c>
      <c r="I407" s="8">
        <v>0</v>
      </c>
      <c r="J407" s="8">
        <v>0</v>
      </c>
      <c r="K407" s="5">
        <f t="shared" si="13"/>
        <v>130</v>
      </c>
    </row>
    <row r="408" spans="1:11" ht="14.25">
      <c r="A408" s="7">
        <v>391</v>
      </c>
      <c r="B408" s="5">
        <v>1</v>
      </c>
      <c r="C408" s="7">
        <v>0</v>
      </c>
      <c r="D408" s="5">
        <v>0</v>
      </c>
      <c r="E408" s="5">
        <v>0</v>
      </c>
      <c r="F408" s="5">
        <f t="shared" si="12"/>
        <v>135000</v>
      </c>
      <c r="G408" s="8">
        <v>12</v>
      </c>
      <c r="H408" s="8">
        <v>0</v>
      </c>
      <c r="I408" s="8">
        <v>0</v>
      </c>
      <c r="J408" s="8">
        <v>0</v>
      </c>
      <c r="K408" s="5">
        <f t="shared" si="13"/>
        <v>135</v>
      </c>
    </row>
    <row r="409" spans="1:11" ht="14.25">
      <c r="A409" s="7">
        <v>392</v>
      </c>
      <c r="B409" s="5">
        <v>1</v>
      </c>
      <c r="C409" s="7">
        <v>0</v>
      </c>
      <c r="D409" s="5">
        <v>0</v>
      </c>
      <c r="E409" s="5">
        <v>0</v>
      </c>
      <c r="F409" s="5">
        <f t="shared" si="12"/>
        <v>135000</v>
      </c>
      <c r="G409" s="8">
        <v>12</v>
      </c>
      <c r="H409" s="8">
        <v>0</v>
      </c>
      <c r="I409" s="8">
        <v>0</v>
      </c>
      <c r="J409" s="8">
        <v>0</v>
      </c>
      <c r="K409" s="5">
        <f t="shared" si="13"/>
        <v>135</v>
      </c>
    </row>
    <row r="410" spans="1:11" ht="14.25">
      <c r="A410" s="7">
        <v>393</v>
      </c>
      <c r="B410" s="5">
        <v>1</v>
      </c>
      <c r="C410" s="7">
        <v>0</v>
      </c>
      <c r="D410" s="5">
        <v>0</v>
      </c>
      <c r="E410" s="5">
        <v>0</v>
      </c>
      <c r="F410" s="5">
        <f t="shared" si="12"/>
        <v>135000</v>
      </c>
      <c r="G410" s="8">
        <v>12</v>
      </c>
      <c r="H410" s="8">
        <v>0</v>
      </c>
      <c r="I410" s="8">
        <v>0</v>
      </c>
      <c r="J410" s="8">
        <v>0</v>
      </c>
      <c r="K410" s="5">
        <f t="shared" si="13"/>
        <v>135</v>
      </c>
    </row>
    <row r="411" spans="1:11" ht="14.25">
      <c r="A411" s="7">
        <v>394</v>
      </c>
      <c r="B411" s="5">
        <v>1</v>
      </c>
      <c r="C411" s="7">
        <v>0</v>
      </c>
      <c r="D411" s="5">
        <v>0</v>
      </c>
      <c r="E411" s="5">
        <v>0</v>
      </c>
      <c r="F411" s="5">
        <f t="shared" si="12"/>
        <v>135000</v>
      </c>
      <c r="G411" s="8">
        <v>12</v>
      </c>
      <c r="H411" s="8">
        <v>0</v>
      </c>
      <c r="I411" s="8">
        <v>0</v>
      </c>
      <c r="J411" s="8">
        <v>0</v>
      </c>
      <c r="K411" s="5">
        <f t="shared" si="13"/>
        <v>135</v>
      </c>
    </row>
    <row r="412" spans="1:11" ht="14.25">
      <c r="A412" s="7">
        <v>395</v>
      </c>
      <c r="B412" s="5">
        <v>1</v>
      </c>
      <c r="C412" s="7">
        <v>0</v>
      </c>
      <c r="D412" s="5">
        <v>0</v>
      </c>
      <c r="E412" s="5">
        <v>0</v>
      </c>
      <c r="F412" s="5">
        <f t="shared" si="12"/>
        <v>135000</v>
      </c>
      <c r="G412" s="8">
        <v>12</v>
      </c>
      <c r="H412" s="8">
        <v>0</v>
      </c>
      <c r="I412" s="8">
        <v>0</v>
      </c>
      <c r="J412" s="8">
        <v>0</v>
      </c>
      <c r="K412" s="5">
        <f t="shared" si="13"/>
        <v>135</v>
      </c>
    </row>
    <row r="413" spans="1:11" ht="14.25">
      <c r="A413" s="7">
        <v>396</v>
      </c>
      <c r="B413" s="5">
        <v>1</v>
      </c>
      <c r="C413" s="7">
        <v>0</v>
      </c>
      <c r="D413" s="5">
        <v>0</v>
      </c>
      <c r="E413" s="5">
        <v>0</v>
      </c>
      <c r="F413" s="5">
        <f t="shared" si="12"/>
        <v>135000</v>
      </c>
      <c r="G413" s="8">
        <v>12</v>
      </c>
      <c r="H413" s="8">
        <v>0</v>
      </c>
      <c r="I413" s="8">
        <v>0</v>
      </c>
      <c r="J413" s="8">
        <v>0</v>
      </c>
      <c r="K413" s="5">
        <f t="shared" si="13"/>
        <v>135</v>
      </c>
    </row>
    <row r="414" spans="1:11" ht="14.25">
      <c r="A414" s="7">
        <v>397</v>
      </c>
      <c r="B414" s="5">
        <v>1</v>
      </c>
      <c r="C414" s="7">
        <v>0</v>
      </c>
      <c r="D414" s="5">
        <v>0</v>
      </c>
      <c r="E414" s="5">
        <v>0</v>
      </c>
      <c r="F414" s="5">
        <f t="shared" si="12"/>
        <v>135000</v>
      </c>
      <c r="G414" s="8">
        <v>12</v>
      </c>
      <c r="H414" s="8">
        <v>0</v>
      </c>
      <c r="I414" s="8">
        <v>0</v>
      </c>
      <c r="J414" s="8">
        <v>0</v>
      </c>
      <c r="K414" s="5">
        <f t="shared" si="13"/>
        <v>135</v>
      </c>
    </row>
    <row r="415" spans="1:11" ht="14.25">
      <c r="A415" s="7">
        <v>398</v>
      </c>
      <c r="B415" s="5">
        <v>1</v>
      </c>
      <c r="C415" s="7">
        <v>0</v>
      </c>
      <c r="D415" s="5">
        <v>0</v>
      </c>
      <c r="E415" s="5">
        <v>0</v>
      </c>
      <c r="F415" s="5">
        <f t="shared" si="12"/>
        <v>135000</v>
      </c>
      <c r="G415" s="8">
        <v>12</v>
      </c>
      <c r="H415" s="8">
        <v>0</v>
      </c>
      <c r="I415" s="8">
        <v>0</v>
      </c>
      <c r="J415" s="8">
        <v>0</v>
      </c>
      <c r="K415" s="5">
        <f t="shared" si="13"/>
        <v>135</v>
      </c>
    </row>
    <row r="416" spans="1:11" ht="14.25">
      <c r="A416" s="7">
        <v>399</v>
      </c>
      <c r="B416" s="5">
        <v>1</v>
      </c>
      <c r="C416" s="7">
        <v>0</v>
      </c>
      <c r="D416" s="5">
        <v>0</v>
      </c>
      <c r="E416" s="5">
        <v>0</v>
      </c>
      <c r="F416" s="5">
        <f t="shared" si="12"/>
        <v>135000</v>
      </c>
      <c r="G416" s="8">
        <v>12</v>
      </c>
      <c r="H416" s="8">
        <v>0</v>
      </c>
      <c r="I416" s="8">
        <v>0</v>
      </c>
      <c r="J416" s="8">
        <v>0</v>
      </c>
      <c r="K416" s="5">
        <f t="shared" si="13"/>
        <v>135</v>
      </c>
    </row>
    <row r="417" spans="1:11" ht="14.25">
      <c r="A417" s="7">
        <v>400</v>
      </c>
      <c r="B417" s="5">
        <v>1</v>
      </c>
      <c r="C417" s="7">
        <v>0</v>
      </c>
      <c r="D417" s="5">
        <v>0</v>
      </c>
      <c r="E417" s="5">
        <v>0</v>
      </c>
      <c r="F417" s="5">
        <f t="shared" si="12"/>
        <v>135000</v>
      </c>
      <c r="G417" s="8">
        <v>12</v>
      </c>
      <c r="H417" s="8">
        <v>0</v>
      </c>
      <c r="I417" s="8">
        <v>0</v>
      </c>
      <c r="J417" s="8">
        <v>0</v>
      </c>
      <c r="K417" s="5">
        <f t="shared" si="13"/>
        <v>135</v>
      </c>
    </row>
    <row r="418" spans="1:11" ht="14.25">
      <c r="A418" s="7">
        <v>401</v>
      </c>
      <c r="B418" s="5">
        <v>1</v>
      </c>
      <c r="C418" s="7">
        <v>0</v>
      </c>
      <c r="D418" s="5">
        <v>0</v>
      </c>
      <c r="E418" s="5">
        <v>0</v>
      </c>
      <c r="F418" s="5">
        <f t="shared" si="12"/>
        <v>135000</v>
      </c>
      <c r="G418" s="8">
        <v>12</v>
      </c>
      <c r="H418" s="8">
        <v>0</v>
      </c>
      <c r="I418" s="8">
        <v>0</v>
      </c>
      <c r="J418" s="8">
        <v>0</v>
      </c>
      <c r="K418" s="5">
        <f t="shared" si="13"/>
        <v>135</v>
      </c>
    </row>
    <row r="419" spans="1:11" ht="14.25">
      <c r="A419" s="7">
        <v>402</v>
      </c>
      <c r="B419" s="5">
        <v>1</v>
      </c>
      <c r="C419" s="7">
        <v>0</v>
      </c>
      <c r="D419" s="5">
        <v>0</v>
      </c>
      <c r="E419" s="5">
        <v>0</v>
      </c>
      <c r="F419" s="5">
        <f t="shared" si="12"/>
        <v>135000</v>
      </c>
      <c r="G419" s="8">
        <v>12</v>
      </c>
      <c r="H419" s="8">
        <v>0</v>
      </c>
      <c r="I419" s="8">
        <v>0</v>
      </c>
      <c r="J419" s="8">
        <v>0</v>
      </c>
      <c r="K419" s="5">
        <f t="shared" si="13"/>
        <v>135</v>
      </c>
    </row>
    <row r="420" spans="1:11" ht="14.25">
      <c r="A420" s="7">
        <v>403</v>
      </c>
      <c r="B420" s="5">
        <v>1</v>
      </c>
      <c r="C420" s="7">
        <v>0</v>
      </c>
      <c r="D420" s="5">
        <v>0</v>
      </c>
      <c r="E420" s="5">
        <v>0</v>
      </c>
      <c r="F420" s="5">
        <f t="shared" si="12"/>
        <v>135000</v>
      </c>
      <c r="G420" s="8">
        <v>12</v>
      </c>
      <c r="H420" s="8">
        <v>0</v>
      </c>
      <c r="I420" s="8">
        <v>0</v>
      </c>
      <c r="J420" s="8">
        <v>0</v>
      </c>
      <c r="K420" s="5">
        <f t="shared" si="13"/>
        <v>135</v>
      </c>
    </row>
    <row r="421" spans="1:11" ht="14.25">
      <c r="A421" s="7">
        <v>404</v>
      </c>
      <c r="B421" s="5">
        <v>1</v>
      </c>
      <c r="C421" s="7">
        <v>0</v>
      </c>
      <c r="D421" s="5">
        <v>0</v>
      </c>
      <c r="E421" s="5">
        <v>0</v>
      </c>
      <c r="F421" s="5">
        <f t="shared" si="12"/>
        <v>135000</v>
      </c>
      <c r="G421" s="8">
        <v>12</v>
      </c>
      <c r="H421" s="8">
        <v>0</v>
      </c>
      <c r="I421" s="8">
        <v>0</v>
      </c>
      <c r="J421" s="8">
        <v>0</v>
      </c>
      <c r="K421" s="5">
        <f t="shared" si="13"/>
        <v>135</v>
      </c>
    </row>
    <row r="422" spans="1:11" ht="14.25">
      <c r="A422" s="7">
        <v>405</v>
      </c>
      <c r="B422" s="5">
        <v>1</v>
      </c>
      <c r="C422" s="7">
        <v>0</v>
      </c>
      <c r="D422" s="5">
        <v>0</v>
      </c>
      <c r="E422" s="5">
        <v>0</v>
      </c>
      <c r="F422" s="5">
        <f t="shared" si="12"/>
        <v>135000</v>
      </c>
      <c r="G422" s="8">
        <v>12</v>
      </c>
      <c r="H422" s="8">
        <v>0</v>
      </c>
      <c r="I422" s="8">
        <v>0</v>
      </c>
      <c r="J422" s="8">
        <v>0</v>
      </c>
      <c r="K422" s="5">
        <f t="shared" si="13"/>
        <v>135</v>
      </c>
    </row>
    <row r="423" spans="1:11" ht="14.25">
      <c r="A423" s="7">
        <v>406</v>
      </c>
      <c r="B423" s="5">
        <v>1</v>
      </c>
      <c r="C423" s="7">
        <v>0</v>
      </c>
      <c r="D423" s="5">
        <v>0</v>
      </c>
      <c r="E423" s="5">
        <v>0</v>
      </c>
      <c r="F423" s="5">
        <f t="shared" si="12"/>
        <v>140000</v>
      </c>
      <c r="G423" s="8">
        <v>12</v>
      </c>
      <c r="H423" s="8">
        <v>0</v>
      </c>
      <c r="I423" s="8">
        <v>0</v>
      </c>
      <c r="J423" s="8">
        <v>0</v>
      </c>
      <c r="K423" s="5">
        <f t="shared" si="13"/>
        <v>140</v>
      </c>
    </row>
    <row r="424" spans="1:11" ht="14.25">
      <c r="A424" s="7">
        <v>407</v>
      </c>
      <c r="B424" s="5">
        <v>1</v>
      </c>
      <c r="C424" s="7">
        <v>0</v>
      </c>
      <c r="D424" s="5">
        <v>0</v>
      </c>
      <c r="E424" s="5">
        <v>0</v>
      </c>
      <c r="F424" s="5">
        <f t="shared" si="12"/>
        <v>140000</v>
      </c>
      <c r="G424" s="8">
        <v>12</v>
      </c>
      <c r="H424" s="8">
        <v>0</v>
      </c>
      <c r="I424" s="8">
        <v>0</v>
      </c>
      <c r="J424" s="8">
        <v>0</v>
      </c>
      <c r="K424" s="5">
        <f t="shared" si="13"/>
        <v>140</v>
      </c>
    </row>
    <row r="425" spans="1:11" ht="14.25">
      <c r="A425" s="7">
        <v>408</v>
      </c>
      <c r="B425" s="5">
        <v>1</v>
      </c>
      <c r="C425" s="7">
        <v>0</v>
      </c>
      <c r="D425" s="5">
        <v>0</v>
      </c>
      <c r="E425" s="5">
        <v>0</v>
      </c>
      <c r="F425" s="5">
        <f t="shared" si="12"/>
        <v>140000</v>
      </c>
      <c r="G425" s="8">
        <v>12</v>
      </c>
      <c r="H425" s="8">
        <v>0</v>
      </c>
      <c r="I425" s="8">
        <v>0</v>
      </c>
      <c r="J425" s="8">
        <v>0</v>
      </c>
      <c r="K425" s="5">
        <f t="shared" si="13"/>
        <v>140</v>
      </c>
    </row>
    <row r="426" spans="1:11" ht="14.25">
      <c r="A426" s="7">
        <v>409</v>
      </c>
      <c r="B426" s="5">
        <v>1</v>
      </c>
      <c r="C426" s="7">
        <v>0</v>
      </c>
      <c r="D426" s="5">
        <v>0</v>
      </c>
      <c r="E426" s="5">
        <v>0</v>
      </c>
      <c r="F426" s="5">
        <f t="shared" si="12"/>
        <v>140000</v>
      </c>
      <c r="G426" s="8">
        <v>12</v>
      </c>
      <c r="H426" s="8">
        <v>0</v>
      </c>
      <c r="I426" s="8">
        <v>0</v>
      </c>
      <c r="J426" s="8">
        <v>0</v>
      </c>
      <c r="K426" s="5">
        <f t="shared" si="13"/>
        <v>140</v>
      </c>
    </row>
    <row r="427" spans="1:11" ht="14.25">
      <c r="A427" s="7">
        <v>410</v>
      </c>
      <c r="B427" s="5">
        <v>1</v>
      </c>
      <c r="C427" s="7">
        <v>0</v>
      </c>
      <c r="D427" s="5">
        <v>0</v>
      </c>
      <c r="E427" s="5">
        <v>0</v>
      </c>
      <c r="F427" s="5">
        <f t="shared" si="12"/>
        <v>140000</v>
      </c>
      <c r="G427" s="8">
        <v>12</v>
      </c>
      <c r="H427" s="8">
        <v>0</v>
      </c>
      <c r="I427" s="8">
        <v>0</v>
      </c>
      <c r="J427" s="8">
        <v>0</v>
      </c>
      <c r="K427" s="5">
        <f t="shared" si="13"/>
        <v>140</v>
      </c>
    </row>
    <row r="428" spans="1:11" ht="14.25">
      <c r="A428" s="7">
        <v>411</v>
      </c>
      <c r="B428" s="5">
        <v>1</v>
      </c>
      <c r="C428" s="7">
        <v>0</v>
      </c>
      <c r="D428" s="5">
        <v>0</v>
      </c>
      <c r="E428" s="5">
        <v>0</v>
      </c>
      <c r="F428" s="5">
        <f t="shared" si="12"/>
        <v>140000</v>
      </c>
      <c r="G428" s="8">
        <v>12</v>
      </c>
      <c r="H428" s="8">
        <v>0</v>
      </c>
      <c r="I428" s="8">
        <v>0</v>
      </c>
      <c r="J428" s="8">
        <v>0</v>
      </c>
      <c r="K428" s="5">
        <f t="shared" si="13"/>
        <v>140</v>
      </c>
    </row>
    <row r="429" spans="1:11" ht="14.25">
      <c r="A429" s="7">
        <v>412</v>
      </c>
      <c r="B429" s="5">
        <v>1</v>
      </c>
      <c r="C429" s="7">
        <v>0</v>
      </c>
      <c r="D429" s="5">
        <v>0</v>
      </c>
      <c r="E429" s="5">
        <v>0</v>
      </c>
      <c r="F429" s="5">
        <f t="shared" si="12"/>
        <v>140000</v>
      </c>
      <c r="G429" s="8">
        <v>12</v>
      </c>
      <c r="H429" s="8">
        <v>0</v>
      </c>
      <c r="I429" s="8">
        <v>0</v>
      </c>
      <c r="J429" s="8">
        <v>0</v>
      </c>
      <c r="K429" s="5">
        <f t="shared" si="13"/>
        <v>140</v>
      </c>
    </row>
    <row r="430" spans="1:11" ht="14.25">
      <c r="A430" s="7">
        <v>413</v>
      </c>
      <c r="B430" s="5">
        <v>1</v>
      </c>
      <c r="C430" s="7">
        <v>0</v>
      </c>
      <c r="D430" s="5">
        <v>0</v>
      </c>
      <c r="E430" s="5">
        <v>0</v>
      </c>
      <c r="F430" s="5">
        <f t="shared" si="12"/>
        <v>140000</v>
      </c>
      <c r="G430" s="8">
        <v>12</v>
      </c>
      <c r="H430" s="8">
        <v>0</v>
      </c>
      <c r="I430" s="8">
        <v>0</v>
      </c>
      <c r="J430" s="8">
        <v>0</v>
      </c>
      <c r="K430" s="5">
        <f t="shared" si="13"/>
        <v>140</v>
      </c>
    </row>
    <row r="431" spans="1:11" ht="14.25">
      <c r="A431" s="7">
        <v>414</v>
      </c>
      <c r="B431" s="5">
        <v>1</v>
      </c>
      <c r="C431" s="7">
        <v>0</v>
      </c>
      <c r="D431" s="5">
        <v>0</v>
      </c>
      <c r="E431" s="5">
        <v>0</v>
      </c>
      <c r="F431" s="5">
        <f t="shared" si="12"/>
        <v>140000</v>
      </c>
      <c r="G431" s="8">
        <v>12</v>
      </c>
      <c r="H431" s="8">
        <v>0</v>
      </c>
      <c r="I431" s="8">
        <v>0</v>
      </c>
      <c r="J431" s="8">
        <v>0</v>
      </c>
      <c r="K431" s="5">
        <f t="shared" si="13"/>
        <v>140</v>
      </c>
    </row>
    <row r="432" spans="1:11" ht="14.25">
      <c r="A432" s="7">
        <v>415</v>
      </c>
      <c r="B432" s="5">
        <v>1</v>
      </c>
      <c r="C432" s="7">
        <v>0</v>
      </c>
      <c r="D432" s="5">
        <v>0</v>
      </c>
      <c r="E432" s="5">
        <v>0</v>
      </c>
      <c r="F432" s="5">
        <f t="shared" si="12"/>
        <v>140000</v>
      </c>
      <c r="G432" s="8">
        <v>12</v>
      </c>
      <c r="H432" s="8">
        <v>0</v>
      </c>
      <c r="I432" s="8">
        <v>0</v>
      </c>
      <c r="J432" s="8">
        <v>0</v>
      </c>
      <c r="K432" s="5">
        <f t="shared" si="13"/>
        <v>140</v>
      </c>
    </row>
    <row r="433" spans="1:11" ht="14.25">
      <c r="A433" s="7">
        <v>416</v>
      </c>
      <c r="B433" s="5">
        <v>1</v>
      </c>
      <c r="C433" s="7">
        <v>0</v>
      </c>
      <c r="D433" s="5">
        <v>0</v>
      </c>
      <c r="E433" s="5">
        <v>0</v>
      </c>
      <c r="F433" s="5">
        <f t="shared" ref="F433:F496" si="14">ROUNDUP(A433/15,0)*1000*5</f>
        <v>140000</v>
      </c>
      <c r="G433" s="8">
        <v>12</v>
      </c>
      <c r="H433" s="8">
        <v>0</v>
      </c>
      <c r="I433" s="8">
        <v>0</v>
      </c>
      <c r="J433" s="8">
        <v>0</v>
      </c>
      <c r="K433" s="5">
        <f t="shared" ref="K433:K496" si="15">ROUNDUP(A433/15,0)*5</f>
        <v>140</v>
      </c>
    </row>
    <row r="434" spans="1:11" ht="14.25">
      <c r="A434" s="7">
        <v>417</v>
      </c>
      <c r="B434" s="5">
        <v>1</v>
      </c>
      <c r="C434" s="7">
        <v>0</v>
      </c>
      <c r="D434" s="5">
        <v>0</v>
      </c>
      <c r="E434" s="5">
        <v>0</v>
      </c>
      <c r="F434" s="5">
        <f t="shared" si="14"/>
        <v>140000</v>
      </c>
      <c r="G434" s="8">
        <v>12</v>
      </c>
      <c r="H434" s="8">
        <v>0</v>
      </c>
      <c r="I434" s="8">
        <v>0</v>
      </c>
      <c r="J434" s="8">
        <v>0</v>
      </c>
      <c r="K434" s="5">
        <f t="shared" si="15"/>
        <v>140</v>
      </c>
    </row>
    <row r="435" spans="1:11" ht="14.25">
      <c r="A435" s="7">
        <v>418</v>
      </c>
      <c r="B435" s="5">
        <v>1</v>
      </c>
      <c r="C435" s="7">
        <v>0</v>
      </c>
      <c r="D435" s="5">
        <v>0</v>
      </c>
      <c r="E435" s="5">
        <v>0</v>
      </c>
      <c r="F435" s="5">
        <f t="shared" si="14"/>
        <v>140000</v>
      </c>
      <c r="G435" s="8">
        <v>12</v>
      </c>
      <c r="H435" s="8">
        <v>0</v>
      </c>
      <c r="I435" s="8">
        <v>0</v>
      </c>
      <c r="J435" s="8">
        <v>0</v>
      </c>
      <c r="K435" s="5">
        <f t="shared" si="15"/>
        <v>140</v>
      </c>
    </row>
    <row r="436" spans="1:11" ht="14.25">
      <c r="A436" s="7">
        <v>419</v>
      </c>
      <c r="B436" s="5">
        <v>1</v>
      </c>
      <c r="C436" s="7">
        <v>0</v>
      </c>
      <c r="D436" s="5">
        <v>0</v>
      </c>
      <c r="E436" s="5">
        <v>0</v>
      </c>
      <c r="F436" s="5">
        <f t="shared" si="14"/>
        <v>140000</v>
      </c>
      <c r="G436" s="8">
        <v>12</v>
      </c>
      <c r="H436" s="8">
        <v>0</v>
      </c>
      <c r="I436" s="8">
        <v>0</v>
      </c>
      <c r="J436" s="8">
        <v>0</v>
      </c>
      <c r="K436" s="5">
        <f t="shared" si="15"/>
        <v>140</v>
      </c>
    </row>
    <row r="437" spans="1:11" ht="14.25">
      <c r="A437" s="7">
        <v>420</v>
      </c>
      <c r="B437" s="5">
        <v>1</v>
      </c>
      <c r="C437" s="7">
        <v>0</v>
      </c>
      <c r="D437" s="5">
        <v>0</v>
      </c>
      <c r="E437" s="5">
        <v>0</v>
      </c>
      <c r="F437" s="5">
        <f t="shared" si="14"/>
        <v>140000</v>
      </c>
      <c r="G437" s="8">
        <v>12</v>
      </c>
      <c r="H437" s="8">
        <v>0</v>
      </c>
      <c r="I437" s="8">
        <v>0</v>
      </c>
      <c r="J437" s="8">
        <v>0</v>
      </c>
      <c r="K437" s="5">
        <f t="shared" si="15"/>
        <v>140</v>
      </c>
    </row>
    <row r="438" spans="1:11" ht="14.25">
      <c r="A438" s="7">
        <v>421</v>
      </c>
      <c r="B438" s="5">
        <v>1</v>
      </c>
      <c r="C438" s="7">
        <v>0</v>
      </c>
      <c r="D438" s="5">
        <v>0</v>
      </c>
      <c r="E438" s="5">
        <v>0</v>
      </c>
      <c r="F438" s="5">
        <f t="shared" si="14"/>
        <v>145000</v>
      </c>
      <c r="G438" s="8">
        <v>12</v>
      </c>
      <c r="H438" s="8">
        <v>0</v>
      </c>
      <c r="I438" s="8">
        <v>0</v>
      </c>
      <c r="J438" s="8">
        <v>0</v>
      </c>
      <c r="K438" s="5">
        <f t="shared" si="15"/>
        <v>145</v>
      </c>
    </row>
    <row r="439" spans="1:11" ht="14.25">
      <c r="A439" s="7">
        <v>422</v>
      </c>
      <c r="B439" s="5">
        <v>1</v>
      </c>
      <c r="C439" s="7">
        <v>0</v>
      </c>
      <c r="D439" s="5">
        <v>0</v>
      </c>
      <c r="E439" s="5">
        <v>0</v>
      </c>
      <c r="F439" s="5">
        <f t="shared" si="14"/>
        <v>145000</v>
      </c>
      <c r="G439" s="8">
        <v>12</v>
      </c>
      <c r="H439" s="8">
        <v>0</v>
      </c>
      <c r="I439" s="8">
        <v>0</v>
      </c>
      <c r="J439" s="8">
        <v>0</v>
      </c>
      <c r="K439" s="5">
        <f t="shared" si="15"/>
        <v>145</v>
      </c>
    </row>
    <row r="440" spans="1:11" ht="14.25">
      <c r="A440" s="7">
        <v>423</v>
      </c>
      <c r="B440" s="5">
        <v>1</v>
      </c>
      <c r="C440" s="7">
        <v>0</v>
      </c>
      <c r="D440" s="5">
        <v>0</v>
      </c>
      <c r="E440" s="5">
        <v>0</v>
      </c>
      <c r="F440" s="5">
        <f t="shared" si="14"/>
        <v>145000</v>
      </c>
      <c r="G440" s="8">
        <v>12</v>
      </c>
      <c r="H440" s="8">
        <v>0</v>
      </c>
      <c r="I440" s="8">
        <v>0</v>
      </c>
      <c r="J440" s="8">
        <v>0</v>
      </c>
      <c r="K440" s="5">
        <f t="shared" si="15"/>
        <v>145</v>
      </c>
    </row>
    <row r="441" spans="1:11" ht="14.25">
      <c r="A441" s="7">
        <v>424</v>
      </c>
      <c r="B441" s="5">
        <v>1</v>
      </c>
      <c r="C441" s="7">
        <v>0</v>
      </c>
      <c r="D441" s="5">
        <v>0</v>
      </c>
      <c r="E441" s="5">
        <v>0</v>
      </c>
      <c r="F441" s="5">
        <f t="shared" si="14"/>
        <v>145000</v>
      </c>
      <c r="G441" s="8">
        <v>12</v>
      </c>
      <c r="H441" s="8">
        <v>0</v>
      </c>
      <c r="I441" s="8">
        <v>0</v>
      </c>
      <c r="J441" s="8">
        <v>0</v>
      </c>
      <c r="K441" s="5">
        <f t="shared" si="15"/>
        <v>145</v>
      </c>
    </row>
    <row r="442" spans="1:11" ht="14.25">
      <c r="A442" s="7">
        <v>425</v>
      </c>
      <c r="B442" s="5">
        <v>1</v>
      </c>
      <c r="C442" s="7">
        <v>0</v>
      </c>
      <c r="D442" s="5">
        <v>0</v>
      </c>
      <c r="E442" s="5">
        <v>0</v>
      </c>
      <c r="F442" s="5">
        <f t="shared" si="14"/>
        <v>145000</v>
      </c>
      <c r="G442" s="8">
        <v>12</v>
      </c>
      <c r="H442" s="8">
        <v>0</v>
      </c>
      <c r="I442" s="8">
        <v>0</v>
      </c>
      <c r="J442" s="8">
        <v>0</v>
      </c>
      <c r="K442" s="5">
        <f t="shared" si="15"/>
        <v>145</v>
      </c>
    </row>
    <row r="443" spans="1:11" ht="14.25">
      <c r="A443" s="7">
        <v>426</v>
      </c>
      <c r="B443" s="5">
        <v>1</v>
      </c>
      <c r="C443" s="7">
        <v>0</v>
      </c>
      <c r="D443" s="5">
        <v>0</v>
      </c>
      <c r="E443" s="5">
        <v>0</v>
      </c>
      <c r="F443" s="5">
        <f t="shared" si="14"/>
        <v>145000</v>
      </c>
      <c r="G443" s="8">
        <v>12</v>
      </c>
      <c r="H443" s="8">
        <v>0</v>
      </c>
      <c r="I443" s="8">
        <v>0</v>
      </c>
      <c r="J443" s="8">
        <v>0</v>
      </c>
      <c r="K443" s="5">
        <f t="shared" si="15"/>
        <v>145</v>
      </c>
    </row>
    <row r="444" spans="1:11" ht="14.25">
      <c r="A444" s="7">
        <v>427</v>
      </c>
      <c r="B444" s="5">
        <v>1</v>
      </c>
      <c r="C444" s="7">
        <v>0</v>
      </c>
      <c r="D444" s="5">
        <v>0</v>
      </c>
      <c r="E444" s="5">
        <v>0</v>
      </c>
      <c r="F444" s="5">
        <f t="shared" si="14"/>
        <v>145000</v>
      </c>
      <c r="G444" s="8">
        <v>12</v>
      </c>
      <c r="H444" s="8">
        <v>0</v>
      </c>
      <c r="I444" s="8">
        <v>0</v>
      </c>
      <c r="J444" s="8">
        <v>0</v>
      </c>
      <c r="K444" s="5">
        <f t="shared" si="15"/>
        <v>145</v>
      </c>
    </row>
    <row r="445" spans="1:11" ht="14.25">
      <c r="A445" s="7">
        <v>428</v>
      </c>
      <c r="B445" s="5">
        <v>1</v>
      </c>
      <c r="C445" s="7">
        <v>0</v>
      </c>
      <c r="D445" s="5">
        <v>0</v>
      </c>
      <c r="E445" s="5">
        <v>0</v>
      </c>
      <c r="F445" s="5">
        <f t="shared" si="14"/>
        <v>145000</v>
      </c>
      <c r="G445" s="8">
        <v>12</v>
      </c>
      <c r="H445" s="8">
        <v>0</v>
      </c>
      <c r="I445" s="8">
        <v>0</v>
      </c>
      <c r="J445" s="8">
        <v>0</v>
      </c>
      <c r="K445" s="5">
        <f t="shared" si="15"/>
        <v>145</v>
      </c>
    </row>
    <row r="446" spans="1:11" ht="14.25">
      <c r="A446" s="7">
        <v>429</v>
      </c>
      <c r="B446" s="5">
        <v>1</v>
      </c>
      <c r="C446" s="7">
        <v>0</v>
      </c>
      <c r="D446" s="5">
        <v>0</v>
      </c>
      <c r="E446" s="5">
        <v>0</v>
      </c>
      <c r="F446" s="5">
        <f t="shared" si="14"/>
        <v>145000</v>
      </c>
      <c r="G446" s="8">
        <v>12</v>
      </c>
      <c r="H446" s="8">
        <v>0</v>
      </c>
      <c r="I446" s="8">
        <v>0</v>
      </c>
      <c r="J446" s="8">
        <v>0</v>
      </c>
      <c r="K446" s="5">
        <f t="shared" si="15"/>
        <v>145</v>
      </c>
    </row>
    <row r="447" spans="1:11" ht="14.25">
      <c r="A447" s="7">
        <v>430</v>
      </c>
      <c r="B447" s="5">
        <v>1</v>
      </c>
      <c r="C447" s="7">
        <v>0</v>
      </c>
      <c r="D447" s="5">
        <v>0</v>
      </c>
      <c r="E447" s="5">
        <v>0</v>
      </c>
      <c r="F447" s="5">
        <f t="shared" si="14"/>
        <v>145000</v>
      </c>
      <c r="G447" s="8">
        <v>12</v>
      </c>
      <c r="H447" s="8">
        <v>0</v>
      </c>
      <c r="I447" s="8">
        <v>0</v>
      </c>
      <c r="J447" s="8">
        <v>0</v>
      </c>
      <c r="K447" s="5">
        <f t="shared" si="15"/>
        <v>145</v>
      </c>
    </row>
    <row r="448" spans="1:11" ht="14.25">
      <c r="A448" s="7">
        <v>431</v>
      </c>
      <c r="B448" s="5">
        <v>1</v>
      </c>
      <c r="C448" s="7">
        <v>0</v>
      </c>
      <c r="D448" s="5">
        <v>0</v>
      </c>
      <c r="E448" s="5">
        <v>0</v>
      </c>
      <c r="F448" s="5">
        <f t="shared" si="14"/>
        <v>145000</v>
      </c>
      <c r="G448" s="8">
        <v>12</v>
      </c>
      <c r="H448" s="8">
        <v>0</v>
      </c>
      <c r="I448" s="8">
        <v>0</v>
      </c>
      <c r="J448" s="8">
        <v>0</v>
      </c>
      <c r="K448" s="5">
        <f t="shared" si="15"/>
        <v>145</v>
      </c>
    </row>
    <row r="449" spans="1:11" ht="14.25">
      <c r="A449" s="7">
        <v>432</v>
      </c>
      <c r="B449" s="5">
        <v>1</v>
      </c>
      <c r="C449" s="7">
        <v>0</v>
      </c>
      <c r="D449" s="5">
        <v>0</v>
      </c>
      <c r="E449" s="5">
        <v>0</v>
      </c>
      <c r="F449" s="5">
        <f t="shared" si="14"/>
        <v>145000</v>
      </c>
      <c r="G449" s="8">
        <v>12</v>
      </c>
      <c r="H449" s="8">
        <v>0</v>
      </c>
      <c r="I449" s="8">
        <v>0</v>
      </c>
      <c r="J449" s="8">
        <v>0</v>
      </c>
      <c r="K449" s="5">
        <f t="shared" si="15"/>
        <v>145</v>
      </c>
    </row>
    <row r="450" spans="1:11" ht="14.25">
      <c r="A450" s="7">
        <v>433</v>
      </c>
      <c r="B450" s="5">
        <v>1</v>
      </c>
      <c r="C450" s="7">
        <v>0</v>
      </c>
      <c r="D450" s="5">
        <v>0</v>
      </c>
      <c r="E450" s="5">
        <v>0</v>
      </c>
      <c r="F450" s="5">
        <f t="shared" si="14"/>
        <v>145000</v>
      </c>
      <c r="G450" s="8">
        <v>12</v>
      </c>
      <c r="H450" s="8">
        <v>0</v>
      </c>
      <c r="I450" s="8">
        <v>0</v>
      </c>
      <c r="J450" s="8">
        <v>0</v>
      </c>
      <c r="K450" s="5">
        <f t="shared" si="15"/>
        <v>145</v>
      </c>
    </row>
    <row r="451" spans="1:11" ht="14.25">
      <c r="A451" s="7">
        <v>434</v>
      </c>
      <c r="B451" s="5">
        <v>1</v>
      </c>
      <c r="C451" s="7">
        <v>0</v>
      </c>
      <c r="D451" s="5">
        <v>0</v>
      </c>
      <c r="E451" s="5">
        <v>0</v>
      </c>
      <c r="F451" s="5">
        <f t="shared" si="14"/>
        <v>145000</v>
      </c>
      <c r="G451" s="8">
        <v>12</v>
      </c>
      <c r="H451" s="8">
        <v>0</v>
      </c>
      <c r="I451" s="8">
        <v>0</v>
      </c>
      <c r="J451" s="8">
        <v>0</v>
      </c>
      <c r="K451" s="5">
        <f t="shared" si="15"/>
        <v>145</v>
      </c>
    </row>
    <row r="452" spans="1:11" ht="14.25">
      <c r="A452" s="7">
        <v>435</v>
      </c>
      <c r="B452" s="5">
        <v>1</v>
      </c>
      <c r="C452" s="7">
        <v>0</v>
      </c>
      <c r="D452" s="5">
        <v>0</v>
      </c>
      <c r="E452" s="5">
        <v>0</v>
      </c>
      <c r="F452" s="5">
        <f t="shared" si="14"/>
        <v>145000</v>
      </c>
      <c r="G452" s="8">
        <v>12</v>
      </c>
      <c r="H452" s="8">
        <v>0</v>
      </c>
      <c r="I452" s="8">
        <v>0</v>
      </c>
      <c r="J452" s="8">
        <v>0</v>
      </c>
      <c r="K452" s="5">
        <f t="shared" si="15"/>
        <v>145</v>
      </c>
    </row>
    <row r="453" spans="1:11" ht="14.25">
      <c r="A453" s="7">
        <v>436</v>
      </c>
      <c r="B453" s="5">
        <v>1</v>
      </c>
      <c r="C453" s="7">
        <v>0</v>
      </c>
      <c r="D453" s="5">
        <v>0</v>
      </c>
      <c r="E453" s="5">
        <v>0</v>
      </c>
      <c r="F453" s="5">
        <f t="shared" si="14"/>
        <v>150000</v>
      </c>
      <c r="G453" s="8">
        <v>12</v>
      </c>
      <c r="H453" s="8">
        <v>0</v>
      </c>
      <c r="I453" s="8">
        <v>0</v>
      </c>
      <c r="J453" s="8">
        <v>0</v>
      </c>
      <c r="K453" s="5">
        <f t="shared" si="15"/>
        <v>150</v>
      </c>
    </row>
    <row r="454" spans="1:11" ht="14.25">
      <c r="A454" s="7">
        <v>437</v>
      </c>
      <c r="B454" s="5">
        <v>1</v>
      </c>
      <c r="C454" s="7">
        <v>0</v>
      </c>
      <c r="D454" s="5">
        <v>0</v>
      </c>
      <c r="E454" s="5">
        <v>0</v>
      </c>
      <c r="F454" s="5">
        <f t="shared" si="14"/>
        <v>150000</v>
      </c>
      <c r="G454" s="8">
        <v>12</v>
      </c>
      <c r="H454" s="8">
        <v>0</v>
      </c>
      <c r="I454" s="8">
        <v>0</v>
      </c>
      <c r="J454" s="8">
        <v>0</v>
      </c>
      <c r="K454" s="5">
        <f t="shared" si="15"/>
        <v>150</v>
      </c>
    </row>
    <row r="455" spans="1:11" ht="14.25">
      <c r="A455" s="7">
        <v>438</v>
      </c>
      <c r="B455" s="5">
        <v>1</v>
      </c>
      <c r="C455" s="7">
        <v>0</v>
      </c>
      <c r="D455" s="5">
        <v>0</v>
      </c>
      <c r="E455" s="5">
        <v>0</v>
      </c>
      <c r="F455" s="5">
        <f t="shared" si="14"/>
        <v>150000</v>
      </c>
      <c r="G455" s="8">
        <v>12</v>
      </c>
      <c r="H455" s="8">
        <v>0</v>
      </c>
      <c r="I455" s="8">
        <v>0</v>
      </c>
      <c r="J455" s="8">
        <v>0</v>
      </c>
      <c r="K455" s="5">
        <f t="shared" si="15"/>
        <v>150</v>
      </c>
    </row>
    <row r="456" spans="1:11" ht="14.25">
      <c r="A456" s="7">
        <v>439</v>
      </c>
      <c r="B456" s="5">
        <v>1</v>
      </c>
      <c r="C456" s="7">
        <v>0</v>
      </c>
      <c r="D456" s="5">
        <v>0</v>
      </c>
      <c r="E456" s="5">
        <v>0</v>
      </c>
      <c r="F456" s="5">
        <f t="shared" si="14"/>
        <v>150000</v>
      </c>
      <c r="G456" s="8">
        <v>12</v>
      </c>
      <c r="H456" s="8">
        <v>0</v>
      </c>
      <c r="I456" s="8">
        <v>0</v>
      </c>
      <c r="J456" s="8">
        <v>0</v>
      </c>
      <c r="K456" s="5">
        <f t="shared" si="15"/>
        <v>150</v>
      </c>
    </row>
    <row r="457" spans="1:11" ht="14.25">
      <c r="A457" s="7">
        <v>440</v>
      </c>
      <c r="B457" s="5">
        <v>1</v>
      </c>
      <c r="C457" s="7">
        <v>0</v>
      </c>
      <c r="D457" s="5">
        <v>0</v>
      </c>
      <c r="E457" s="5">
        <v>0</v>
      </c>
      <c r="F457" s="5">
        <f t="shared" si="14"/>
        <v>150000</v>
      </c>
      <c r="G457" s="8">
        <v>12</v>
      </c>
      <c r="H457" s="8">
        <v>0</v>
      </c>
      <c r="I457" s="8">
        <v>0</v>
      </c>
      <c r="J457" s="8">
        <v>0</v>
      </c>
      <c r="K457" s="5">
        <f t="shared" si="15"/>
        <v>150</v>
      </c>
    </row>
    <row r="458" spans="1:11" ht="14.25">
      <c r="A458" s="7">
        <v>441</v>
      </c>
      <c r="B458" s="5">
        <v>1</v>
      </c>
      <c r="C458" s="7">
        <v>0</v>
      </c>
      <c r="D458" s="5">
        <v>0</v>
      </c>
      <c r="E458" s="5">
        <v>0</v>
      </c>
      <c r="F458" s="5">
        <f t="shared" si="14"/>
        <v>150000</v>
      </c>
      <c r="G458" s="8">
        <v>12</v>
      </c>
      <c r="H458" s="8">
        <v>0</v>
      </c>
      <c r="I458" s="8">
        <v>0</v>
      </c>
      <c r="J458" s="8">
        <v>0</v>
      </c>
      <c r="K458" s="5">
        <f t="shared" si="15"/>
        <v>150</v>
      </c>
    </row>
    <row r="459" spans="1:11" ht="14.25">
      <c r="A459" s="7">
        <v>442</v>
      </c>
      <c r="B459" s="5">
        <v>1</v>
      </c>
      <c r="C459" s="7">
        <v>0</v>
      </c>
      <c r="D459" s="5">
        <v>0</v>
      </c>
      <c r="E459" s="5">
        <v>0</v>
      </c>
      <c r="F459" s="5">
        <f t="shared" si="14"/>
        <v>150000</v>
      </c>
      <c r="G459" s="8">
        <v>12</v>
      </c>
      <c r="H459" s="8">
        <v>0</v>
      </c>
      <c r="I459" s="8">
        <v>0</v>
      </c>
      <c r="J459" s="8">
        <v>0</v>
      </c>
      <c r="K459" s="5">
        <f t="shared" si="15"/>
        <v>150</v>
      </c>
    </row>
    <row r="460" spans="1:11" ht="14.25">
      <c r="A460" s="7">
        <v>443</v>
      </c>
      <c r="B460" s="5">
        <v>1</v>
      </c>
      <c r="C460" s="7">
        <v>0</v>
      </c>
      <c r="D460" s="5">
        <v>0</v>
      </c>
      <c r="E460" s="5">
        <v>0</v>
      </c>
      <c r="F460" s="5">
        <f t="shared" si="14"/>
        <v>150000</v>
      </c>
      <c r="G460" s="8">
        <v>12</v>
      </c>
      <c r="H460" s="8">
        <v>0</v>
      </c>
      <c r="I460" s="8">
        <v>0</v>
      </c>
      <c r="J460" s="8">
        <v>0</v>
      </c>
      <c r="K460" s="5">
        <f t="shared" si="15"/>
        <v>150</v>
      </c>
    </row>
    <row r="461" spans="1:11" ht="14.25">
      <c r="A461" s="7">
        <v>444</v>
      </c>
      <c r="B461" s="5">
        <v>1</v>
      </c>
      <c r="C461" s="7">
        <v>0</v>
      </c>
      <c r="D461" s="5">
        <v>0</v>
      </c>
      <c r="E461" s="5">
        <v>0</v>
      </c>
      <c r="F461" s="5">
        <f t="shared" si="14"/>
        <v>150000</v>
      </c>
      <c r="G461" s="8">
        <v>12</v>
      </c>
      <c r="H461" s="8">
        <v>0</v>
      </c>
      <c r="I461" s="8">
        <v>0</v>
      </c>
      <c r="J461" s="8">
        <v>0</v>
      </c>
      <c r="K461" s="5">
        <f t="shared" si="15"/>
        <v>150</v>
      </c>
    </row>
    <row r="462" spans="1:11" ht="14.25">
      <c r="A462" s="7">
        <v>445</v>
      </c>
      <c r="B462" s="5">
        <v>1</v>
      </c>
      <c r="C462" s="7">
        <v>0</v>
      </c>
      <c r="D462" s="5">
        <v>0</v>
      </c>
      <c r="E462" s="5">
        <v>0</v>
      </c>
      <c r="F462" s="5">
        <f t="shared" si="14"/>
        <v>150000</v>
      </c>
      <c r="G462" s="8">
        <v>12</v>
      </c>
      <c r="H462" s="8">
        <v>0</v>
      </c>
      <c r="I462" s="8">
        <v>0</v>
      </c>
      <c r="J462" s="8">
        <v>0</v>
      </c>
      <c r="K462" s="5">
        <f t="shared" si="15"/>
        <v>150</v>
      </c>
    </row>
    <row r="463" spans="1:11" ht="14.25">
      <c r="A463" s="7">
        <v>446</v>
      </c>
      <c r="B463" s="5">
        <v>1</v>
      </c>
      <c r="C463" s="7">
        <v>0</v>
      </c>
      <c r="D463" s="5">
        <v>0</v>
      </c>
      <c r="E463" s="5">
        <v>0</v>
      </c>
      <c r="F463" s="5">
        <f t="shared" si="14"/>
        <v>150000</v>
      </c>
      <c r="G463" s="8">
        <v>12</v>
      </c>
      <c r="H463" s="8">
        <v>0</v>
      </c>
      <c r="I463" s="8">
        <v>0</v>
      </c>
      <c r="J463" s="8">
        <v>0</v>
      </c>
      <c r="K463" s="5">
        <f t="shared" si="15"/>
        <v>150</v>
      </c>
    </row>
    <row r="464" spans="1:11" ht="14.25">
      <c r="A464" s="7">
        <v>447</v>
      </c>
      <c r="B464" s="5">
        <v>1</v>
      </c>
      <c r="C464" s="7">
        <v>0</v>
      </c>
      <c r="D464" s="5">
        <v>0</v>
      </c>
      <c r="E464" s="5">
        <v>0</v>
      </c>
      <c r="F464" s="5">
        <f t="shared" si="14"/>
        <v>150000</v>
      </c>
      <c r="G464" s="8">
        <v>12</v>
      </c>
      <c r="H464" s="8">
        <v>0</v>
      </c>
      <c r="I464" s="8">
        <v>0</v>
      </c>
      <c r="J464" s="8">
        <v>0</v>
      </c>
      <c r="K464" s="5">
        <f t="shared" si="15"/>
        <v>150</v>
      </c>
    </row>
    <row r="465" spans="1:11" ht="14.25">
      <c r="A465" s="7">
        <v>448</v>
      </c>
      <c r="B465" s="5">
        <v>1</v>
      </c>
      <c r="C465" s="7">
        <v>0</v>
      </c>
      <c r="D465" s="5">
        <v>0</v>
      </c>
      <c r="E465" s="5">
        <v>0</v>
      </c>
      <c r="F465" s="5">
        <f t="shared" si="14"/>
        <v>150000</v>
      </c>
      <c r="G465" s="8">
        <v>12</v>
      </c>
      <c r="H465" s="8">
        <v>0</v>
      </c>
      <c r="I465" s="8">
        <v>0</v>
      </c>
      <c r="J465" s="8">
        <v>0</v>
      </c>
      <c r="K465" s="5">
        <f t="shared" si="15"/>
        <v>150</v>
      </c>
    </row>
    <row r="466" spans="1:11" ht="14.25">
      <c r="A466" s="7">
        <v>449</v>
      </c>
      <c r="B466" s="5">
        <v>1</v>
      </c>
      <c r="C466" s="7">
        <v>0</v>
      </c>
      <c r="D466" s="5">
        <v>0</v>
      </c>
      <c r="E466" s="5">
        <v>0</v>
      </c>
      <c r="F466" s="5">
        <f t="shared" si="14"/>
        <v>150000</v>
      </c>
      <c r="G466" s="8">
        <v>12</v>
      </c>
      <c r="H466" s="8">
        <v>0</v>
      </c>
      <c r="I466" s="8">
        <v>0</v>
      </c>
      <c r="J466" s="8">
        <v>0</v>
      </c>
      <c r="K466" s="5">
        <f t="shared" si="15"/>
        <v>150</v>
      </c>
    </row>
    <row r="467" spans="1:11" ht="14.25">
      <c r="A467" s="7">
        <v>450</v>
      </c>
      <c r="B467" s="5">
        <v>1</v>
      </c>
      <c r="C467" s="7">
        <v>0</v>
      </c>
      <c r="D467" s="5">
        <v>0</v>
      </c>
      <c r="E467" s="5">
        <v>0</v>
      </c>
      <c r="F467" s="5">
        <f t="shared" si="14"/>
        <v>150000</v>
      </c>
      <c r="G467" s="8">
        <v>12</v>
      </c>
      <c r="H467" s="8">
        <v>0</v>
      </c>
      <c r="I467" s="8">
        <v>0</v>
      </c>
      <c r="J467" s="8">
        <v>0</v>
      </c>
      <c r="K467" s="5">
        <f t="shared" si="15"/>
        <v>150</v>
      </c>
    </row>
    <row r="468" spans="1:11" ht="14.25">
      <c r="A468" s="7">
        <v>451</v>
      </c>
      <c r="B468" s="5">
        <v>1</v>
      </c>
      <c r="C468" s="7">
        <v>0</v>
      </c>
      <c r="D468" s="5">
        <v>0</v>
      </c>
      <c r="E468" s="5">
        <v>0</v>
      </c>
      <c r="F468" s="5">
        <f t="shared" si="14"/>
        <v>155000</v>
      </c>
      <c r="G468" s="8">
        <v>12</v>
      </c>
      <c r="H468" s="8">
        <v>0</v>
      </c>
      <c r="I468" s="8">
        <v>0</v>
      </c>
      <c r="J468" s="8">
        <v>0</v>
      </c>
      <c r="K468" s="5">
        <f t="shared" si="15"/>
        <v>155</v>
      </c>
    </row>
    <row r="469" spans="1:11" ht="14.25">
      <c r="A469" s="7">
        <v>452</v>
      </c>
      <c r="B469" s="5">
        <v>1</v>
      </c>
      <c r="C469" s="7">
        <v>0</v>
      </c>
      <c r="D469" s="5">
        <v>0</v>
      </c>
      <c r="E469" s="5">
        <v>0</v>
      </c>
      <c r="F469" s="5">
        <f t="shared" si="14"/>
        <v>155000</v>
      </c>
      <c r="G469" s="8">
        <v>12</v>
      </c>
      <c r="H469" s="8">
        <v>0</v>
      </c>
      <c r="I469" s="8">
        <v>0</v>
      </c>
      <c r="J469" s="8">
        <v>0</v>
      </c>
      <c r="K469" s="5">
        <f t="shared" si="15"/>
        <v>155</v>
      </c>
    </row>
    <row r="470" spans="1:11" ht="14.25">
      <c r="A470" s="7">
        <v>453</v>
      </c>
      <c r="B470" s="5">
        <v>1</v>
      </c>
      <c r="C470" s="7">
        <v>0</v>
      </c>
      <c r="D470" s="5">
        <v>0</v>
      </c>
      <c r="E470" s="5">
        <v>0</v>
      </c>
      <c r="F470" s="5">
        <f t="shared" si="14"/>
        <v>155000</v>
      </c>
      <c r="G470" s="8">
        <v>12</v>
      </c>
      <c r="H470" s="8">
        <v>0</v>
      </c>
      <c r="I470" s="8">
        <v>0</v>
      </c>
      <c r="J470" s="8">
        <v>0</v>
      </c>
      <c r="K470" s="5">
        <f t="shared" si="15"/>
        <v>155</v>
      </c>
    </row>
    <row r="471" spans="1:11" ht="14.25">
      <c r="A471" s="7">
        <v>454</v>
      </c>
      <c r="B471" s="5">
        <v>1</v>
      </c>
      <c r="C471" s="7">
        <v>0</v>
      </c>
      <c r="D471" s="5">
        <v>0</v>
      </c>
      <c r="E471" s="5">
        <v>0</v>
      </c>
      <c r="F471" s="5">
        <f t="shared" si="14"/>
        <v>155000</v>
      </c>
      <c r="G471" s="8">
        <v>12</v>
      </c>
      <c r="H471" s="8">
        <v>0</v>
      </c>
      <c r="I471" s="8">
        <v>0</v>
      </c>
      <c r="J471" s="8">
        <v>0</v>
      </c>
      <c r="K471" s="5">
        <f t="shared" si="15"/>
        <v>155</v>
      </c>
    </row>
    <row r="472" spans="1:11" ht="14.25">
      <c r="A472" s="7">
        <v>455</v>
      </c>
      <c r="B472" s="5">
        <v>1</v>
      </c>
      <c r="C472" s="7">
        <v>0</v>
      </c>
      <c r="D472" s="5">
        <v>0</v>
      </c>
      <c r="E472" s="5">
        <v>0</v>
      </c>
      <c r="F472" s="5">
        <f t="shared" si="14"/>
        <v>155000</v>
      </c>
      <c r="G472" s="8">
        <v>12</v>
      </c>
      <c r="H472" s="8">
        <v>0</v>
      </c>
      <c r="I472" s="8">
        <v>0</v>
      </c>
      <c r="J472" s="8">
        <v>0</v>
      </c>
      <c r="K472" s="5">
        <f t="shared" si="15"/>
        <v>155</v>
      </c>
    </row>
    <row r="473" spans="1:11" ht="14.25">
      <c r="A473" s="7">
        <v>456</v>
      </c>
      <c r="B473" s="5">
        <v>1</v>
      </c>
      <c r="C473" s="7">
        <v>0</v>
      </c>
      <c r="D473" s="5">
        <v>0</v>
      </c>
      <c r="E473" s="5">
        <v>0</v>
      </c>
      <c r="F473" s="5">
        <f t="shared" si="14"/>
        <v>155000</v>
      </c>
      <c r="G473" s="8">
        <v>12</v>
      </c>
      <c r="H473" s="8">
        <v>0</v>
      </c>
      <c r="I473" s="8">
        <v>0</v>
      </c>
      <c r="J473" s="8">
        <v>0</v>
      </c>
      <c r="K473" s="5">
        <f t="shared" si="15"/>
        <v>155</v>
      </c>
    </row>
    <row r="474" spans="1:11" ht="14.25">
      <c r="A474" s="7">
        <v>457</v>
      </c>
      <c r="B474" s="5">
        <v>1</v>
      </c>
      <c r="C474" s="7">
        <v>0</v>
      </c>
      <c r="D474" s="5">
        <v>0</v>
      </c>
      <c r="E474" s="5">
        <v>0</v>
      </c>
      <c r="F474" s="5">
        <f t="shared" si="14"/>
        <v>155000</v>
      </c>
      <c r="G474" s="8">
        <v>12</v>
      </c>
      <c r="H474" s="8">
        <v>0</v>
      </c>
      <c r="I474" s="8">
        <v>0</v>
      </c>
      <c r="J474" s="8">
        <v>0</v>
      </c>
      <c r="K474" s="5">
        <f t="shared" si="15"/>
        <v>155</v>
      </c>
    </row>
    <row r="475" spans="1:11" ht="14.25">
      <c r="A475" s="7">
        <v>458</v>
      </c>
      <c r="B475" s="5">
        <v>1</v>
      </c>
      <c r="C475" s="7">
        <v>0</v>
      </c>
      <c r="D475" s="5">
        <v>0</v>
      </c>
      <c r="E475" s="5">
        <v>0</v>
      </c>
      <c r="F475" s="5">
        <f t="shared" si="14"/>
        <v>155000</v>
      </c>
      <c r="G475" s="8">
        <v>12</v>
      </c>
      <c r="H475" s="8">
        <v>0</v>
      </c>
      <c r="I475" s="8">
        <v>0</v>
      </c>
      <c r="J475" s="8">
        <v>0</v>
      </c>
      <c r="K475" s="5">
        <f t="shared" si="15"/>
        <v>155</v>
      </c>
    </row>
    <row r="476" spans="1:11" ht="14.25">
      <c r="A476" s="7">
        <v>459</v>
      </c>
      <c r="B476" s="5">
        <v>1</v>
      </c>
      <c r="C476" s="7">
        <v>0</v>
      </c>
      <c r="D476" s="5">
        <v>0</v>
      </c>
      <c r="E476" s="5">
        <v>0</v>
      </c>
      <c r="F476" s="5">
        <f t="shared" si="14"/>
        <v>155000</v>
      </c>
      <c r="G476" s="8">
        <v>12</v>
      </c>
      <c r="H476" s="8">
        <v>0</v>
      </c>
      <c r="I476" s="8">
        <v>0</v>
      </c>
      <c r="J476" s="8">
        <v>0</v>
      </c>
      <c r="K476" s="5">
        <f t="shared" si="15"/>
        <v>155</v>
      </c>
    </row>
    <row r="477" spans="1:11" ht="14.25">
      <c r="A477" s="7">
        <v>460</v>
      </c>
      <c r="B477" s="5">
        <v>1</v>
      </c>
      <c r="C477" s="7">
        <v>0</v>
      </c>
      <c r="D477" s="5">
        <v>0</v>
      </c>
      <c r="E477" s="5">
        <v>0</v>
      </c>
      <c r="F477" s="5">
        <f t="shared" si="14"/>
        <v>155000</v>
      </c>
      <c r="G477" s="8">
        <v>12</v>
      </c>
      <c r="H477" s="8">
        <v>0</v>
      </c>
      <c r="I477" s="8">
        <v>0</v>
      </c>
      <c r="J477" s="8">
        <v>0</v>
      </c>
      <c r="K477" s="5">
        <f t="shared" si="15"/>
        <v>155</v>
      </c>
    </row>
    <row r="478" spans="1:11" ht="14.25">
      <c r="A478" s="7">
        <v>461</v>
      </c>
      <c r="B478" s="5">
        <v>1</v>
      </c>
      <c r="C478" s="7">
        <v>0</v>
      </c>
      <c r="D478" s="5">
        <v>0</v>
      </c>
      <c r="E478" s="5">
        <v>0</v>
      </c>
      <c r="F478" s="5">
        <f t="shared" si="14"/>
        <v>155000</v>
      </c>
      <c r="G478" s="8">
        <v>12</v>
      </c>
      <c r="H478" s="8">
        <v>0</v>
      </c>
      <c r="I478" s="8">
        <v>0</v>
      </c>
      <c r="J478" s="8">
        <v>0</v>
      </c>
      <c r="K478" s="5">
        <f t="shared" si="15"/>
        <v>155</v>
      </c>
    </row>
    <row r="479" spans="1:11" ht="14.25">
      <c r="A479" s="7">
        <v>462</v>
      </c>
      <c r="B479" s="5">
        <v>1</v>
      </c>
      <c r="C479" s="7">
        <v>0</v>
      </c>
      <c r="D479" s="5">
        <v>0</v>
      </c>
      <c r="E479" s="5">
        <v>0</v>
      </c>
      <c r="F479" s="5">
        <f t="shared" si="14"/>
        <v>155000</v>
      </c>
      <c r="G479" s="8">
        <v>12</v>
      </c>
      <c r="H479" s="8">
        <v>0</v>
      </c>
      <c r="I479" s="8">
        <v>0</v>
      </c>
      <c r="J479" s="8">
        <v>0</v>
      </c>
      <c r="K479" s="5">
        <f t="shared" si="15"/>
        <v>155</v>
      </c>
    </row>
    <row r="480" spans="1:11" ht="14.25">
      <c r="A480" s="7">
        <v>463</v>
      </c>
      <c r="B480" s="5">
        <v>1</v>
      </c>
      <c r="C480" s="7">
        <v>0</v>
      </c>
      <c r="D480" s="5">
        <v>0</v>
      </c>
      <c r="E480" s="5">
        <v>0</v>
      </c>
      <c r="F480" s="5">
        <f t="shared" si="14"/>
        <v>155000</v>
      </c>
      <c r="G480" s="8">
        <v>12</v>
      </c>
      <c r="H480" s="8">
        <v>0</v>
      </c>
      <c r="I480" s="8">
        <v>0</v>
      </c>
      <c r="J480" s="8">
        <v>0</v>
      </c>
      <c r="K480" s="5">
        <f t="shared" si="15"/>
        <v>155</v>
      </c>
    </row>
    <row r="481" spans="1:11" ht="14.25">
      <c r="A481" s="7">
        <v>464</v>
      </c>
      <c r="B481" s="5">
        <v>1</v>
      </c>
      <c r="C481" s="7">
        <v>0</v>
      </c>
      <c r="D481" s="5">
        <v>0</v>
      </c>
      <c r="E481" s="5">
        <v>0</v>
      </c>
      <c r="F481" s="5">
        <f t="shared" si="14"/>
        <v>155000</v>
      </c>
      <c r="G481" s="8">
        <v>12</v>
      </c>
      <c r="H481" s="8">
        <v>0</v>
      </c>
      <c r="I481" s="8">
        <v>0</v>
      </c>
      <c r="J481" s="8">
        <v>0</v>
      </c>
      <c r="K481" s="5">
        <f t="shared" si="15"/>
        <v>155</v>
      </c>
    </row>
    <row r="482" spans="1:11" ht="14.25">
      <c r="A482" s="7">
        <v>465</v>
      </c>
      <c r="B482" s="5">
        <v>1</v>
      </c>
      <c r="C482" s="7">
        <v>0</v>
      </c>
      <c r="D482" s="5">
        <v>0</v>
      </c>
      <c r="E482" s="5">
        <v>0</v>
      </c>
      <c r="F482" s="5">
        <f t="shared" si="14"/>
        <v>155000</v>
      </c>
      <c r="G482" s="8">
        <v>12</v>
      </c>
      <c r="H482" s="8">
        <v>0</v>
      </c>
      <c r="I482" s="8">
        <v>0</v>
      </c>
      <c r="J482" s="8">
        <v>0</v>
      </c>
      <c r="K482" s="5">
        <f t="shared" si="15"/>
        <v>155</v>
      </c>
    </row>
    <row r="483" spans="1:11" ht="14.25">
      <c r="A483" s="7">
        <v>466</v>
      </c>
      <c r="B483" s="5">
        <v>1</v>
      </c>
      <c r="C483" s="7">
        <v>0</v>
      </c>
      <c r="D483" s="5">
        <v>0</v>
      </c>
      <c r="E483" s="5">
        <v>0</v>
      </c>
      <c r="F483" s="5">
        <f t="shared" si="14"/>
        <v>160000</v>
      </c>
      <c r="G483" s="8">
        <v>12</v>
      </c>
      <c r="H483" s="8">
        <v>0</v>
      </c>
      <c r="I483" s="8">
        <v>0</v>
      </c>
      <c r="J483" s="8">
        <v>0</v>
      </c>
      <c r="K483" s="5">
        <f t="shared" si="15"/>
        <v>160</v>
      </c>
    </row>
    <row r="484" spans="1:11" ht="14.25">
      <c r="A484" s="7">
        <v>467</v>
      </c>
      <c r="B484" s="5">
        <v>1</v>
      </c>
      <c r="C484" s="7">
        <v>0</v>
      </c>
      <c r="D484" s="5">
        <v>0</v>
      </c>
      <c r="E484" s="5">
        <v>0</v>
      </c>
      <c r="F484" s="5">
        <f t="shared" si="14"/>
        <v>160000</v>
      </c>
      <c r="G484" s="8">
        <v>12</v>
      </c>
      <c r="H484" s="8">
        <v>0</v>
      </c>
      <c r="I484" s="8">
        <v>0</v>
      </c>
      <c r="J484" s="8">
        <v>0</v>
      </c>
      <c r="K484" s="5">
        <f t="shared" si="15"/>
        <v>160</v>
      </c>
    </row>
    <row r="485" spans="1:11" ht="14.25">
      <c r="A485" s="7">
        <v>468</v>
      </c>
      <c r="B485" s="5">
        <v>1</v>
      </c>
      <c r="C485" s="7">
        <v>0</v>
      </c>
      <c r="D485" s="5">
        <v>0</v>
      </c>
      <c r="E485" s="5">
        <v>0</v>
      </c>
      <c r="F485" s="5">
        <f t="shared" si="14"/>
        <v>160000</v>
      </c>
      <c r="G485" s="8">
        <v>12</v>
      </c>
      <c r="H485" s="8">
        <v>0</v>
      </c>
      <c r="I485" s="8">
        <v>0</v>
      </c>
      <c r="J485" s="8">
        <v>0</v>
      </c>
      <c r="K485" s="5">
        <f t="shared" si="15"/>
        <v>160</v>
      </c>
    </row>
    <row r="486" spans="1:11" ht="14.25">
      <c r="A486" s="7">
        <v>469</v>
      </c>
      <c r="B486" s="5">
        <v>1</v>
      </c>
      <c r="C486" s="7">
        <v>0</v>
      </c>
      <c r="D486" s="5">
        <v>0</v>
      </c>
      <c r="E486" s="5">
        <v>0</v>
      </c>
      <c r="F486" s="5">
        <f t="shared" si="14"/>
        <v>160000</v>
      </c>
      <c r="G486" s="8">
        <v>12</v>
      </c>
      <c r="H486" s="8">
        <v>0</v>
      </c>
      <c r="I486" s="8">
        <v>0</v>
      </c>
      <c r="J486" s="8">
        <v>0</v>
      </c>
      <c r="K486" s="5">
        <f t="shared" si="15"/>
        <v>160</v>
      </c>
    </row>
    <row r="487" spans="1:11" ht="14.25">
      <c r="A487" s="7">
        <v>470</v>
      </c>
      <c r="B487" s="5">
        <v>1</v>
      </c>
      <c r="C487" s="7">
        <v>0</v>
      </c>
      <c r="D487" s="5">
        <v>0</v>
      </c>
      <c r="E487" s="5">
        <v>0</v>
      </c>
      <c r="F487" s="5">
        <f t="shared" si="14"/>
        <v>160000</v>
      </c>
      <c r="G487" s="8">
        <v>12</v>
      </c>
      <c r="H487" s="8">
        <v>0</v>
      </c>
      <c r="I487" s="8">
        <v>0</v>
      </c>
      <c r="J487" s="8">
        <v>0</v>
      </c>
      <c r="K487" s="5">
        <f t="shared" si="15"/>
        <v>160</v>
      </c>
    </row>
    <row r="488" spans="1:11" ht="14.25">
      <c r="A488" s="7">
        <v>471</v>
      </c>
      <c r="B488" s="5">
        <v>1</v>
      </c>
      <c r="C488" s="7">
        <v>0</v>
      </c>
      <c r="D488" s="5">
        <v>0</v>
      </c>
      <c r="E488" s="5">
        <v>0</v>
      </c>
      <c r="F488" s="5">
        <f t="shared" si="14"/>
        <v>160000</v>
      </c>
      <c r="G488" s="8">
        <v>12</v>
      </c>
      <c r="H488" s="8">
        <v>0</v>
      </c>
      <c r="I488" s="8">
        <v>0</v>
      </c>
      <c r="J488" s="8">
        <v>0</v>
      </c>
      <c r="K488" s="5">
        <f t="shared" si="15"/>
        <v>160</v>
      </c>
    </row>
    <row r="489" spans="1:11" ht="14.25">
      <c r="A489" s="7">
        <v>472</v>
      </c>
      <c r="B489" s="5">
        <v>1</v>
      </c>
      <c r="C489" s="7">
        <v>0</v>
      </c>
      <c r="D489" s="5">
        <v>0</v>
      </c>
      <c r="E489" s="5">
        <v>0</v>
      </c>
      <c r="F489" s="5">
        <f t="shared" si="14"/>
        <v>160000</v>
      </c>
      <c r="G489" s="8">
        <v>12</v>
      </c>
      <c r="H489" s="8">
        <v>0</v>
      </c>
      <c r="I489" s="8">
        <v>0</v>
      </c>
      <c r="J489" s="8">
        <v>0</v>
      </c>
      <c r="K489" s="5">
        <f t="shared" si="15"/>
        <v>160</v>
      </c>
    </row>
    <row r="490" spans="1:11" ht="14.25">
      <c r="A490" s="7">
        <v>473</v>
      </c>
      <c r="B490" s="5">
        <v>1</v>
      </c>
      <c r="C490" s="7">
        <v>0</v>
      </c>
      <c r="D490" s="5">
        <v>0</v>
      </c>
      <c r="E490" s="5">
        <v>0</v>
      </c>
      <c r="F490" s="5">
        <f t="shared" si="14"/>
        <v>160000</v>
      </c>
      <c r="G490" s="8">
        <v>12</v>
      </c>
      <c r="H490" s="8">
        <v>0</v>
      </c>
      <c r="I490" s="8">
        <v>0</v>
      </c>
      <c r="J490" s="8">
        <v>0</v>
      </c>
      <c r="K490" s="5">
        <f t="shared" si="15"/>
        <v>160</v>
      </c>
    </row>
    <row r="491" spans="1:11" ht="14.25">
      <c r="A491" s="7">
        <v>474</v>
      </c>
      <c r="B491" s="5">
        <v>1</v>
      </c>
      <c r="C491" s="7">
        <v>0</v>
      </c>
      <c r="D491" s="5">
        <v>0</v>
      </c>
      <c r="E491" s="5">
        <v>0</v>
      </c>
      <c r="F491" s="5">
        <f t="shared" si="14"/>
        <v>160000</v>
      </c>
      <c r="G491" s="8">
        <v>12</v>
      </c>
      <c r="H491" s="8">
        <v>0</v>
      </c>
      <c r="I491" s="8">
        <v>0</v>
      </c>
      <c r="J491" s="8">
        <v>0</v>
      </c>
      <c r="K491" s="5">
        <f t="shared" si="15"/>
        <v>160</v>
      </c>
    </row>
    <row r="492" spans="1:11" ht="14.25">
      <c r="A492" s="7">
        <v>475</v>
      </c>
      <c r="B492" s="5">
        <v>1</v>
      </c>
      <c r="C492" s="7">
        <v>0</v>
      </c>
      <c r="D492" s="5">
        <v>0</v>
      </c>
      <c r="E492" s="5">
        <v>0</v>
      </c>
      <c r="F492" s="5">
        <f t="shared" si="14"/>
        <v>160000</v>
      </c>
      <c r="G492" s="8">
        <v>12</v>
      </c>
      <c r="H492" s="8">
        <v>0</v>
      </c>
      <c r="I492" s="8">
        <v>0</v>
      </c>
      <c r="J492" s="8">
        <v>0</v>
      </c>
      <c r="K492" s="5">
        <f t="shared" si="15"/>
        <v>160</v>
      </c>
    </row>
    <row r="493" spans="1:11" ht="14.25">
      <c r="A493" s="7">
        <v>476</v>
      </c>
      <c r="B493" s="5">
        <v>1</v>
      </c>
      <c r="C493" s="7">
        <v>0</v>
      </c>
      <c r="D493" s="5">
        <v>0</v>
      </c>
      <c r="E493" s="5">
        <v>0</v>
      </c>
      <c r="F493" s="5">
        <f t="shared" si="14"/>
        <v>160000</v>
      </c>
      <c r="G493" s="8">
        <v>12</v>
      </c>
      <c r="H493" s="8">
        <v>0</v>
      </c>
      <c r="I493" s="8">
        <v>0</v>
      </c>
      <c r="J493" s="8">
        <v>0</v>
      </c>
      <c r="K493" s="5">
        <f t="shared" si="15"/>
        <v>160</v>
      </c>
    </row>
    <row r="494" spans="1:11" ht="14.25">
      <c r="A494" s="7">
        <v>477</v>
      </c>
      <c r="B494" s="5">
        <v>1</v>
      </c>
      <c r="C494" s="7">
        <v>0</v>
      </c>
      <c r="D494" s="5">
        <v>0</v>
      </c>
      <c r="E494" s="5">
        <v>0</v>
      </c>
      <c r="F494" s="5">
        <f t="shared" si="14"/>
        <v>160000</v>
      </c>
      <c r="G494" s="8">
        <v>12</v>
      </c>
      <c r="H494" s="8">
        <v>0</v>
      </c>
      <c r="I494" s="8">
        <v>0</v>
      </c>
      <c r="J494" s="8">
        <v>0</v>
      </c>
      <c r="K494" s="5">
        <f t="shared" si="15"/>
        <v>160</v>
      </c>
    </row>
    <row r="495" spans="1:11" ht="14.25">
      <c r="A495" s="7">
        <v>478</v>
      </c>
      <c r="B495" s="5">
        <v>1</v>
      </c>
      <c r="C495" s="7">
        <v>0</v>
      </c>
      <c r="D495" s="5">
        <v>0</v>
      </c>
      <c r="E495" s="5">
        <v>0</v>
      </c>
      <c r="F495" s="5">
        <f t="shared" si="14"/>
        <v>160000</v>
      </c>
      <c r="G495" s="8">
        <v>12</v>
      </c>
      <c r="H495" s="8">
        <v>0</v>
      </c>
      <c r="I495" s="8">
        <v>0</v>
      </c>
      <c r="J495" s="8">
        <v>0</v>
      </c>
      <c r="K495" s="5">
        <f t="shared" si="15"/>
        <v>160</v>
      </c>
    </row>
    <row r="496" spans="1:11" ht="14.25">
      <c r="A496" s="7">
        <v>479</v>
      </c>
      <c r="B496" s="5">
        <v>1</v>
      </c>
      <c r="C496" s="7">
        <v>0</v>
      </c>
      <c r="D496" s="5">
        <v>0</v>
      </c>
      <c r="E496" s="5">
        <v>0</v>
      </c>
      <c r="F496" s="5">
        <f t="shared" si="14"/>
        <v>160000</v>
      </c>
      <c r="G496" s="8">
        <v>12</v>
      </c>
      <c r="H496" s="8">
        <v>0</v>
      </c>
      <c r="I496" s="8">
        <v>0</v>
      </c>
      <c r="J496" s="8">
        <v>0</v>
      </c>
      <c r="K496" s="5">
        <f t="shared" si="15"/>
        <v>160</v>
      </c>
    </row>
    <row r="497" spans="1:11" ht="14.25">
      <c r="A497" s="7">
        <v>480</v>
      </c>
      <c r="B497" s="5">
        <v>1</v>
      </c>
      <c r="C497" s="7">
        <v>0</v>
      </c>
      <c r="D497" s="5">
        <v>0</v>
      </c>
      <c r="E497" s="5">
        <v>0</v>
      </c>
      <c r="F497" s="5">
        <f t="shared" ref="F497:F517" si="16">ROUNDUP(A497/15,0)*1000*5</f>
        <v>160000</v>
      </c>
      <c r="G497" s="8">
        <v>12</v>
      </c>
      <c r="H497" s="8">
        <v>0</v>
      </c>
      <c r="I497" s="8">
        <v>0</v>
      </c>
      <c r="J497" s="8">
        <v>0</v>
      </c>
      <c r="K497" s="5">
        <f t="shared" ref="K497:K517" si="17">ROUNDUP(A497/15,0)*5</f>
        <v>160</v>
      </c>
    </row>
    <row r="498" spans="1:11" ht="14.25">
      <c r="A498" s="7">
        <v>481</v>
      </c>
      <c r="B498" s="5">
        <v>1</v>
      </c>
      <c r="C498" s="7">
        <v>0</v>
      </c>
      <c r="D498" s="5">
        <v>0</v>
      </c>
      <c r="E498" s="5">
        <v>0</v>
      </c>
      <c r="F498" s="5">
        <f t="shared" si="16"/>
        <v>165000</v>
      </c>
      <c r="G498" s="8">
        <v>12</v>
      </c>
      <c r="H498" s="8">
        <v>0</v>
      </c>
      <c r="I498" s="8">
        <v>0</v>
      </c>
      <c r="J498" s="8">
        <v>0</v>
      </c>
      <c r="K498" s="5">
        <f t="shared" si="17"/>
        <v>165</v>
      </c>
    </row>
    <row r="499" spans="1:11" ht="14.25">
      <c r="A499" s="7">
        <v>482</v>
      </c>
      <c r="B499" s="5">
        <v>1</v>
      </c>
      <c r="C499" s="7">
        <v>0</v>
      </c>
      <c r="D499" s="5">
        <v>0</v>
      </c>
      <c r="E499" s="5">
        <v>0</v>
      </c>
      <c r="F499" s="5">
        <f t="shared" si="16"/>
        <v>165000</v>
      </c>
      <c r="G499" s="8">
        <v>12</v>
      </c>
      <c r="H499" s="8">
        <v>0</v>
      </c>
      <c r="I499" s="8">
        <v>0</v>
      </c>
      <c r="J499" s="8">
        <v>0</v>
      </c>
      <c r="K499" s="5">
        <f t="shared" si="17"/>
        <v>165</v>
      </c>
    </row>
    <row r="500" spans="1:11" ht="14.25">
      <c r="A500" s="7">
        <v>483</v>
      </c>
      <c r="B500" s="5">
        <v>1</v>
      </c>
      <c r="C500" s="7">
        <v>0</v>
      </c>
      <c r="D500" s="5">
        <v>0</v>
      </c>
      <c r="E500" s="5">
        <v>0</v>
      </c>
      <c r="F500" s="5">
        <f t="shared" si="16"/>
        <v>165000</v>
      </c>
      <c r="G500" s="8">
        <v>12</v>
      </c>
      <c r="H500" s="8">
        <v>0</v>
      </c>
      <c r="I500" s="8">
        <v>0</v>
      </c>
      <c r="J500" s="8">
        <v>0</v>
      </c>
      <c r="K500" s="5">
        <f t="shared" si="17"/>
        <v>165</v>
      </c>
    </row>
    <row r="501" spans="1:11" ht="14.25">
      <c r="A501" s="7">
        <v>484</v>
      </c>
      <c r="B501" s="5">
        <v>1</v>
      </c>
      <c r="C501" s="7">
        <v>0</v>
      </c>
      <c r="D501" s="5">
        <v>0</v>
      </c>
      <c r="E501" s="5">
        <v>0</v>
      </c>
      <c r="F501" s="5">
        <f t="shared" si="16"/>
        <v>165000</v>
      </c>
      <c r="G501" s="8">
        <v>12</v>
      </c>
      <c r="H501" s="8">
        <v>0</v>
      </c>
      <c r="I501" s="8">
        <v>0</v>
      </c>
      <c r="J501" s="8">
        <v>0</v>
      </c>
      <c r="K501" s="5">
        <f t="shared" si="17"/>
        <v>165</v>
      </c>
    </row>
    <row r="502" spans="1:11" ht="14.25">
      <c r="A502" s="7">
        <v>485</v>
      </c>
      <c r="B502" s="5">
        <v>1</v>
      </c>
      <c r="C502" s="7">
        <v>0</v>
      </c>
      <c r="D502" s="5">
        <v>0</v>
      </c>
      <c r="E502" s="5">
        <v>0</v>
      </c>
      <c r="F502" s="5">
        <f t="shared" si="16"/>
        <v>165000</v>
      </c>
      <c r="G502" s="8">
        <v>12</v>
      </c>
      <c r="H502" s="8">
        <v>0</v>
      </c>
      <c r="I502" s="8">
        <v>0</v>
      </c>
      <c r="J502" s="8">
        <v>0</v>
      </c>
      <c r="K502" s="5">
        <f t="shared" si="17"/>
        <v>165</v>
      </c>
    </row>
    <row r="503" spans="1:11" ht="14.25">
      <c r="A503" s="7">
        <v>486</v>
      </c>
      <c r="B503" s="5">
        <v>1</v>
      </c>
      <c r="C503" s="7">
        <v>0</v>
      </c>
      <c r="D503" s="5">
        <v>0</v>
      </c>
      <c r="E503" s="5">
        <v>0</v>
      </c>
      <c r="F503" s="5">
        <f t="shared" si="16"/>
        <v>165000</v>
      </c>
      <c r="G503" s="8">
        <v>12</v>
      </c>
      <c r="H503" s="8">
        <v>0</v>
      </c>
      <c r="I503" s="8">
        <v>0</v>
      </c>
      <c r="J503" s="8">
        <v>0</v>
      </c>
      <c r="K503" s="5">
        <f t="shared" si="17"/>
        <v>165</v>
      </c>
    </row>
    <row r="504" spans="1:11" ht="14.25">
      <c r="A504" s="7">
        <v>487</v>
      </c>
      <c r="B504" s="5">
        <v>1</v>
      </c>
      <c r="C504" s="7">
        <v>0</v>
      </c>
      <c r="D504" s="5">
        <v>0</v>
      </c>
      <c r="E504" s="5">
        <v>0</v>
      </c>
      <c r="F504" s="5">
        <f t="shared" si="16"/>
        <v>165000</v>
      </c>
      <c r="G504" s="8">
        <v>12</v>
      </c>
      <c r="H504" s="8">
        <v>0</v>
      </c>
      <c r="I504" s="8">
        <v>0</v>
      </c>
      <c r="J504" s="8">
        <v>0</v>
      </c>
      <c r="K504" s="5">
        <f t="shared" si="17"/>
        <v>165</v>
      </c>
    </row>
    <row r="505" spans="1:11" ht="14.25">
      <c r="A505" s="7">
        <v>488</v>
      </c>
      <c r="B505" s="5">
        <v>1</v>
      </c>
      <c r="C505" s="7">
        <v>0</v>
      </c>
      <c r="D505" s="5">
        <v>0</v>
      </c>
      <c r="E505" s="5">
        <v>0</v>
      </c>
      <c r="F505" s="5">
        <f t="shared" si="16"/>
        <v>165000</v>
      </c>
      <c r="G505" s="8">
        <v>12</v>
      </c>
      <c r="H505" s="8">
        <v>0</v>
      </c>
      <c r="I505" s="8">
        <v>0</v>
      </c>
      <c r="J505" s="8">
        <v>0</v>
      </c>
      <c r="K505" s="5">
        <f t="shared" si="17"/>
        <v>165</v>
      </c>
    </row>
    <row r="506" spans="1:11" ht="14.25">
      <c r="A506" s="7">
        <v>489</v>
      </c>
      <c r="B506" s="5">
        <v>1</v>
      </c>
      <c r="C506" s="7">
        <v>0</v>
      </c>
      <c r="D506" s="5">
        <v>0</v>
      </c>
      <c r="E506" s="5">
        <v>0</v>
      </c>
      <c r="F506" s="5">
        <f t="shared" si="16"/>
        <v>165000</v>
      </c>
      <c r="G506" s="8">
        <v>12</v>
      </c>
      <c r="H506" s="8">
        <v>0</v>
      </c>
      <c r="I506" s="8">
        <v>0</v>
      </c>
      <c r="J506" s="8">
        <v>0</v>
      </c>
      <c r="K506" s="5">
        <f t="shared" si="17"/>
        <v>165</v>
      </c>
    </row>
    <row r="507" spans="1:11" ht="14.25">
      <c r="A507" s="7">
        <v>490</v>
      </c>
      <c r="B507" s="5">
        <v>1</v>
      </c>
      <c r="C507" s="7">
        <v>0</v>
      </c>
      <c r="D507" s="5">
        <v>0</v>
      </c>
      <c r="E507" s="5">
        <v>0</v>
      </c>
      <c r="F507" s="5">
        <f t="shared" si="16"/>
        <v>165000</v>
      </c>
      <c r="G507" s="8">
        <v>12</v>
      </c>
      <c r="H507" s="8">
        <v>0</v>
      </c>
      <c r="I507" s="8">
        <v>0</v>
      </c>
      <c r="J507" s="8">
        <v>0</v>
      </c>
      <c r="K507" s="5">
        <f t="shared" si="17"/>
        <v>165</v>
      </c>
    </row>
    <row r="508" spans="1:11" ht="14.25">
      <c r="A508" s="7">
        <v>491</v>
      </c>
      <c r="B508" s="5">
        <v>1</v>
      </c>
      <c r="C508" s="7">
        <v>0</v>
      </c>
      <c r="D508" s="5">
        <v>0</v>
      </c>
      <c r="E508" s="5">
        <v>0</v>
      </c>
      <c r="F508" s="5">
        <f t="shared" si="16"/>
        <v>165000</v>
      </c>
      <c r="G508" s="8">
        <v>12</v>
      </c>
      <c r="H508" s="8">
        <v>0</v>
      </c>
      <c r="I508" s="8">
        <v>0</v>
      </c>
      <c r="J508" s="8">
        <v>0</v>
      </c>
      <c r="K508" s="5">
        <f t="shared" si="17"/>
        <v>165</v>
      </c>
    </row>
    <row r="509" spans="1:11" ht="14.25">
      <c r="A509" s="7">
        <v>492</v>
      </c>
      <c r="B509" s="5">
        <v>1</v>
      </c>
      <c r="C509" s="7">
        <v>0</v>
      </c>
      <c r="D509" s="5">
        <v>0</v>
      </c>
      <c r="E509" s="5">
        <v>0</v>
      </c>
      <c r="F509" s="5">
        <f t="shared" si="16"/>
        <v>165000</v>
      </c>
      <c r="G509" s="8">
        <v>12</v>
      </c>
      <c r="H509" s="8">
        <v>0</v>
      </c>
      <c r="I509" s="8">
        <v>0</v>
      </c>
      <c r="J509" s="8">
        <v>0</v>
      </c>
      <c r="K509" s="5">
        <f t="shared" si="17"/>
        <v>165</v>
      </c>
    </row>
    <row r="510" spans="1:11" ht="14.25">
      <c r="A510" s="7">
        <v>493</v>
      </c>
      <c r="B510" s="5">
        <v>1</v>
      </c>
      <c r="C510" s="7">
        <v>0</v>
      </c>
      <c r="D510" s="5">
        <v>0</v>
      </c>
      <c r="E510" s="5">
        <v>0</v>
      </c>
      <c r="F510" s="5">
        <f t="shared" si="16"/>
        <v>165000</v>
      </c>
      <c r="G510" s="8">
        <v>12</v>
      </c>
      <c r="H510" s="8">
        <v>0</v>
      </c>
      <c r="I510" s="8">
        <v>0</v>
      </c>
      <c r="J510" s="8">
        <v>0</v>
      </c>
      <c r="K510" s="5">
        <f t="shared" si="17"/>
        <v>165</v>
      </c>
    </row>
    <row r="511" spans="1:11" ht="14.25">
      <c r="A511" s="7">
        <v>494</v>
      </c>
      <c r="B511" s="5">
        <v>1</v>
      </c>
      <c r="C511" s="7">
        <v>0</v>
      </c>
      <c r="D511" s="5">
        <v>0</v>
      </c>
      <c r="E511" s="5">
        <v>0</v>
      </c>
      <c r="F511" s="5">
        <f t="shared" si="16"/>
        <v>165000</v>
      </c>
      <c r="G511" s="8">
        <v>12</v>
      </c>
      <c r="H511" s="8">
        <v>0</v>
      </c>
      <c r="I511" s="8">
        <v>0</v>
      </c>
      <c r="J511" s="8">
        <v>0</v>
      </c>
      <c r="K511" s="5">
        <f t="shared" si="17"/>
        <v>165</v>
      </c>
    </row>
    <row r="512" spans="1:11" ht="14.25">
      <c r="A512" s="7">
        <v>495</v>
      </c>
      <c r="B512" s="5">
        <v>1</v>
      </c>
      <c r="C512" s="7">
        <v>0</v>
      </c>
      <c r="D512" s="5">
        <v>0</v>
      </c>
      <c r="E512" s="5">
        <v>0</v>
      </c>
      <c r="F512" s="5">
        <f t="shared" si="16"/>
        <v>165000</v>
      </c>
      <c r="G512" s="8">
        <v>12</v>
      </c>
      <c r="H512" s="8">
        <v>0</v>
      </c>
      <c r="I512" s="8">
        <v>0</v>
      </c>
      <c r="J512" s="8">
        <v>0</v>
      </c>
      <c r="K512" s="5">
        <f t="shared" si="17"/>
        <v>165</v>
      </c>
    </row>
    <row r="513" spans="1:11" ht="14.25">
      <c r="A513" s="7">
        <v>496</v>
      </c>
      <c r="B513" s="5">
        <v>1</v>
      </c>
      <c r="C513" s="7">
        <v>0</v>
      </c>
      <c r="D513" s="5">
        <v>0</v>
      </c>
      <c r="E513" s="5">
        <v>0</v>
      </c>
      <c r="F513" s="5">
        <f t="shared" si="16"/>
        <v>170000</v>
      </c>
      <c r="G513" s="8">
        <v>12</v>
      </c>
      <c r="H513" s="8">
        <v>0</v>
      </c>
      <c r="I513" s="8">
        <v>0</v>
      </c>
      <c r="J513" s="8">
        <v>0</v>
      </c>
      <c r="K513" s="5">
        <f t="shared" si="17"/>
        <v>170</v>
      </c>
    </row>
    <row r="514" spans="1:11" ht="14.25">
      <c r="A514" s="7">
        <v>497</v>
      </c>
      <c r="B514" s="5">
        <v>1</v>
      </c>
      <c r="C514" s="7">
        <v>0</v>
      </c>
      <c r="D514" s="5">
        <v>0</v>
      </c>
      <c r="E514" s="5">
        <v>0</v>
      </c>
      <c r="F514" s="5">
        <f t="shared" si="16"/>
        <v>170000</v>
      </c>
      <c r="G514" s="8">
        <v>12</v>
      </c>
      <c r="H514" s="8">
        <v>0</v>
      </c>
      <c r="I514" s="8">
        <v>0</v>
      </c>
      <c r="J514" s="8">
        <v>0</v>
      </c>
      <c r="K514" s="5">
        <f t="shared" si="17"/>
        <v>170</v>
      </c>
    </row>
    <row r="515" spans="1:11" ht="14.25">
      <c r="A515" s="7">
        <v>498</v>
      </c>
      <c r="B515" s="5">
        <v>1</v>
      </c>
      <c r="C515" s="7">
        <v>0</v>
      </c>
      <c r="D515" s="5">
        <v>0</v>
      </c>
      <c r="E515" s="5">
        <v>0</v>
      </c>
      <c r="F515" s="5">
        <f t="shared" si="16"/>
        <v>170000</v>
      </c>
      <c r="G515" s="8">
        <v>12</v>
      </c>
      <c r="H515" s="8">
        <v>0</v>
      </c>
      <c r="I515" s="8">
        <v>0</v>
      </c>
      <c r="J515" s="8">
        <v>0</v>
      </c>
      <c r="K515" s="5">
        <f t="shared" si="17"/>
        <v>170</v>
      </c>
    </row>
    <row r="516" spans="1:11" ht="14.25">
      <c r="A516" s="7">
        <v>499</v>
      </c>
      <c r="B516" s="5">
        <v>1</v>
      </c>
      <c r="C516" s="7">
        <v>0</v>
      </c>
      <c r="D516" s="5">
        <v>0</v>
      </c>
      <c r="E516" s="5">
        <v>0</v>
      </c>
      <c r="F516" s="5">
        <f t="shared" si="16"/>
        <v>170000</v>
      </c>
      <c r="G516" s="8">
        <v>12</v>
      </c>
      <c r="H516" s="8">
        <v>0</v>
      </c>
      <c r="I516" s="8">
        <v>0</v>
      </c>
      <c r="J516" s="8">
        <v>0</v>
      </c>
      <c r="K516" s="5">
        <f t="shared" si="17"/>
        <v>170</v>
      </c>
    </row>
    <row r="517" spans="1:11" ht="14.25">
      <c r="A517" s="7">
        <v>500</v>
      </c>
      <c r="B517" s="5">
        <v>1</v>
      </c>
      <c r="C517" s="7">
        <v>0</v>
      </c>
      <c r="D517" s="5">
        <v>0</v>
      </c>
      <c r="E517" s="5">
        <v>0</v>
      </c>
      <c r="F517" s="5">
        <f t="shared" si="16"/>
        <v>170000</v>
      </c>
      <c r="G517" s="8">
        <v>12</v>
      </c>
      <c r="H517" s="8">
        <v>0</v>
      </c>
      <c r="I517" s="8">
        <v>0</v>
      </c>
      <c r="J517" s="8">
        <v>0</v>
      </c>
      <c r="K517" s="5">
        <f t="shared" si="17"/>
        <v>170</v>
      </c>
    </row>
    <row r="518" spans="1:11" ht="14.25">
      <c r="A518" s="7">
        <v>501</v>
      </c>
      <c r="B518" s="5">
        <v>1</v>
      </c>
      <c r="C518" s="7">
        <v>0</v>
      </c>
      <c r="D518" s="5">
        <v>0</v>
      </c>
      <c r="E518" s="5">
        <v>0</v>
      </c>
      <c r="F518" s="5">
        <f t="shared" ref="F518:F527" si="18">ROUNDUP(A518/15,0)*1000*5</f>
        <v>170000</v>
      </c>
      <c r="G518" s="8">
        <v>12</v>
      </c>
      <c r="H518" s="8">
        <v>0</v>
      </c>
      <c r="I518" s="8">
        <v>0</v>
      </c>
      <c r="J518" s="8">
        <v>0</v>
      </c>
      <c r="K518" s="5">
        <f t="shared" ref="K518:K527" si="19">ROUNDUP(A518/15,0)*5</f>
        <v>170</v>
      </c>
    </row>
    <row r="519" spans="1:11" ht="14.25">
      <c r="A519" s="7">
        <v>502</v>
      </c>
      <c r="B519" s="5">
        <v>1</v>
      </c>
      <c r="C519" s="7">
        <v>0</v>
      </c>
      <c r="D519" s="5">
        <v>0</v>
      </c>
      <c r="E519" s="5">
        <v>0</v>
      </c>
      <c r="F519" s="5">
        <f t="shared" si="18"/>
        <v>170000</v>
      </c>
      <c r="G519" s="8">
        <v>12</v>
      </c>
      <c r="H519" s="8">
        <v>0</v>
      </c>
      <c r="I519" s="8">
        <v>0</v>
      </c>
      <c r="J519" s="8">
        <v>0</v>
      </c>
      <c r="K519" s="5">
        <f t="shared" si="19"/>
        <v>170</v>
      </c>
    </row>
    <row r="520" spans="1:11" ht="14.25">
      <c r="A520" s="7">
        <v>503</v>
      </c>
      <c r="B520" s="5">
        <v>1</v>
      </c>
      <c r="C520" s="7">
        <v>0</v>
      </c>
      <c r="D520" s="5">
        <v>0</v>
      </c>
      <c r="E520" s="5">
        <v>0</v>
      </c>
      <c r="F520" s="5">
        <f t="shared" si="18"/>
        <v>170000</v>
      </c>
      <c r="G520" s="8">
        <v>12</v>
      </c>
      <c r="H520" s="8">
        <v>0</v>
      </c>
      <c r="I520" s="8">
        <v>0</v>
      </c>
      <c r="J520" s="8">
        <v>0</v>
      </c>
      <c r="K520" s="5">
        <f t="shared" si="19"/>
        <v>170</v>
      </c>
    </row>
    <row r="521" spans="1:11" ht="14.25">
      <c r="A521" s="7">
        <v>504</v>
      </c>
      <c r="B521" s="5">
        <v>1</v>
      </c>
      <c r="C521" s="7">
        <v>0</v>
      </c>
      <c r="D521" s="5">
        <v>0</v>
      </c>
      <c r="E521" s="5">
        <v>0</v>
      </c>
      <c r="F521" s="5">
        <f t="shared" si="18"/>
        <v>170000</v>
      </c>
      <c r="G521" s="8">
        <v>12</v>
      </c>
      <c r="H521" s="8">
        <v>0</v>
      </c>
      <c r="I521" s="8">
        <v>0</v>
      </c>
      <c r="J521" s="8">
        <v>0</v>
      </c>
      <c r="K521" s="5">
        <f t="shared" si="19"/>
        <v>170</v>
      </c>
    </row>
    <row r="522" spans="1:11" ht="14.25">
      <c r="A522" s="7">
        <v>505</v>
      </c>
      <c r="B522" s="5">
        <v>1</v>
      </c>
      <c r="C522" s="7">
        <v>0</v>
      </c>
      <c r="D522" s="5">
        <v>0</v>
      </c>
      <c r="E522" s="5">
        <v>0</v>
      </c>
      <c r="F522" s="5">
        <f t="shared" si="18"/>
        <v>170000</v>
      </c>
      <c r="G522" s="8">
        <v>12</v>
      </c>
      <c r="H522" s="8">
        <v>0</v>
      </c>
      <c r="I522" s="8">
        <v>0</v>
      </c>
      <c r="J522" s="8">
        <v>0</v>
      </c>
      <c r="K522" s="5">
        <f t="shared" si="19"/>
        <v>170</v>
      </c>
    </row>
    <row r="523" spans="1:11" ht="14.25">
      <c r="A523" s="7">
        <v>506</v>
      </c>
      <c r="B523" s="5">
        <v>1</v>
      </c>
      <c r="C523" s="7">
        <v>0</v>
      </c>
      <c r="D523" s="5">
        <v>0</v>
      </c>
      <c r="E523" s="5">
        <v>0</v>
      </c>
      <c r="F523" s="5">
        <f t="shared" si="18"/>
        <v>170000</v>
      </c>
      <c r="G523" s="8">
        <v>12</v>
      </c>
      <c r="H523" s="8">
        <v>0</v>
      </c>
      <c r="I523" s="8">
        <v>0</v>
      </c>
      <c r="J523" s="8">
        <v>0</v>
      </c>
      <c r="K523" s="5">
        <f t="shared" si="19"/>
        <v>170</v>
      </c>
    </row>
    <row r="524" spans="1:11" ht="14.25">
      <c r="A524" s="7">
        <v>507</v>
      </c>
      <c r="B524" s="5">
        <v>1</v>
      </c>
      <c r="C524" s="7">
        <v>0</v>
      </c>
      <c r="D524" s="5">
        <v>0</v>
      </c>
      <c r="E524" s="5">
        <v>0</v>
      </c>
      <c r="F524" s="5">
        <f t="shared" si="18"/>
        <v>170000</v>
      </c>
      <c r="G524" s="8">
        <v>12</v>
      </c>
      <c r="H524" s="8">
        <v>0</v>
      </c>
      <c r="I524" s="8">
        <v>0</v>
      </c>
      <c r="J524" s="8">
        <v>0</v>
      </c>
      <c r="K524" s="5">
        <f t="shared" si="19"/>
        <v>170</v>
      </c>
    </row>
    <row r="525" spans="1:11" ht="14.25">
      <c r="A525" s="7">
        <v>508</v>
      </c>
      <c r="B525" s="5">
        <v>1</v>
      </c>
      <c r="C525" s="7">
        <v>0</v>
      </c>
      <c r="D525" s="5">
        <v>0</v>
      </c>
      <c r="E525" s="5">
        <v>0</v>
      </c>
      <c r="F525" s="5">
        <f t="shared" si="18"/>
        <v>170000</v>
      </c>
      <c r="G525" s="8">
        <v>12</v>
      </c>
      <c r="H525" s="8">
        <v>0</v>
      </c>
      <c r="I525" s="8">
        <v>0</v>
      </c>
      <c r="J525" s="8">
        <v>0</v>
      </c>
      <c r="K525" s="5">
        <f t="shared" si="19"/>
        <v>170</v>
      </c>
    </row>
    <row r="526" spans="1:11" ht="14.25">
      <c r="A526" s="7">
        <v>509</v>
      </c>
      <c r="B526" s="5">
        <v>1</v>
      </c>
      <c r="C526" s="7">
        <v>0</v>
      </c>
      <c r="D526" s="5">
        <v>0</v>
      </c>
      <c r="E526" s="5">
        <v>0</v>
      </c>
      <c r="F526" s="5">
        <f t="shared" si="18"/>
        <v>170000</v>
      </c>
      <c r="G526" s="8">
        <v>12</v>
      </c>
      <c r="H526" s="8">
        <v>0</v>
      </c>
      <c r="I526" s="8">
        <v>0</v>
      </c>
      <c r="J526" s="8">
        <v>0</v>
      </c>
      <c r="K526" s="5">
        <f t="shared" si="19"/>
        <v>170</v>
      </c>
    </row>
    <row r="527" spans="1:11" ht="14.25">
      <c r="A527" s="7">
        <v>510</v>
      </c>
      <c r="B527" s="5">
        <v>1</v>
      </c>
      <c r="C527" s="7">
        <v>0</v>
      </c>
      <c r="D527" s="5">
        <v>0</v>
      </c>
      <c r="E527" s="5">
        <v>0</v>
      </c>
      <c r="F527" s="5">
        <f t="shared" si="18"/>
        <v>170000</v>
      </c>
      <c r="G527" s="8">
        <v>12</v>
      </c>
      <c r="H527" s="8">
        <v>0</v>
      </c>
      <c r="I527" s="8">
        <v>0</v>
      </c>
      <c r="J527" s="8">
        <v>0</v>
      </c>
      <c r="K527" s="5">
        <f t="shared" si="19"/>
        <v>170</v>
      </c>
    </row>
    <row r="528" spans="1:11" ht="14.25">
      <c r="A528" s="7">
        <v>511</v>
      </c>
      <c r="B528" s="5">
        <v>1</v>
      </c>
      <c r="C528" s="7">
        <v>0</v>
      </c>
      <c r="D528" s="5">
        <v>0</v>
      </c>
      <c r="E528" s="5">
        <v>0</v>
      </c>
      <c r="F528" s="5">
        <f>ROUNDUP((A528-510)/30,0)*1000*5+170000</f>
        <v>175000</v>
      </c>
      <c r="G528" s="8">
        <v>12</v>
      </c>
      <c r="H528" s="8">
        <v>0</v>
      </c>
      <c r="I528" s="8">
        <v>0</v>
      </c>
      <c r="J528" s="8">
        <v>0</v>
      </c>
      <c r="K528" s="5">
        <f>ROUNDUP((A528-510)/30,0)*5+170</f>
        <v>175</v>
      </c>
    </row>
    <row r="529" spans="1:11" ht="14.25">
      <c r="A529" s="7">
        <v>512</v>
      </c>
      <c r="B529" s="5">
        <v>1</v>
      </c>
      <c r="C529" s="7">
        <v>0</v>
      </c>
      <c r="D529" s="5">
        <v>0</v>
      </c>
      <c r="E529" s="5">
        <v>0</v>
      </c>
      <c r="F529" s="5">
        <f t="shared" ref="F529:F592" si="20">ROUNDUP((A529-510)/30,0)*1000*5+170000</f>
        <v>175000</v>
      </c>
      <c r="G529" s="8">
        <v>12</v>
      </c>
      <c r="H529" s="8">
        <v>0</v>
      </c>
      <c r="I529" s="8">
        <v>0</v>
      </c>
      <c r="J529" s="8">
        <v>0</v>
      </c>
      <c r="K529" s="5">
        <f t="shared" ref="K529:K592" si="21">ROUNDUP((A529-510)/30,0)*5+170</f>
        <v>175</v>
      </c>
    </row>
    <row r="530" spans="1:11" ht="14.25">
      <c r="A530" s="7">
        <v>513</v>
      </c>
      <c r="B530" s="5">
        <v>1</v>
      </c>
      <c r="C530" s="7">
        <v>0</v>
      </c>
      <c r="D530" s="5">
        <v>0</v>
      </c>
      <c r="E530" s="5">
        <v>0</v>
      </c>
      <c r="F530" s="5">
        <f t="shared" si="20"/>
        <v>175000</v>
      </c>
      <c r="G530" s="8">
        <v>12</v>
      </c>
      <c r="H530" s="8">
        <v>0</v>
      </c>
      <c r="I530" s="8">
        <v>0</v>
      </c>
      <c r="J530" s="8">
        <v>0</v>
      </c>
      <c r="K530" s="5">
        <f t="shared" si="21"/>
        <v>175</v>
      </c>
    </row>
    <row r="531" spans="1:11" ht="14.25">
      <c r="A531" s="7">
        <v>514</v>
      </c>
      <c r="B531" s="5">
        <v>1</v>
      </c>
      <c r="C531" s="7">
        <v>0</v>
      </c>
      <c r="D531" s="5">
        <v>0</v>
      </c>
      <c r="E531" s="5">
        <v>0</v>
      </c>
      <c r="F531" s="5">
        <f t="shared" si="20"/>
        <v>175000</v>
      </c>
      <c r="G531" s="8">
        <v>12</v>
      </c>
      <c r="H531" s="8">
        <v>0</v>
      </c>
      <c r="I531" s="8">
        <v>0</v>
      </c>
      <c r="J531" s="8">
        <v>0</v>
      </c>
      <c r="K531" s="5">
        <f t="shared" si="21"/>
        <v>175</v>
      </c>
    </row>
    <row r="532" spans="1:11" ht="14.25">
      <c r="A532" s="7">
        <v>515</v>
      </c>
      <c r="B532" s="5">
        <v>1</v>
      </c>
      <c r="C532" s="7">
        <v>0</v>
      </c>
      <c r="D532" s="5">
        <v>0</v>
      </c>
      <c r="E532" s="5">
        <v>0</v>
      </c>
      <c r="F532" s="5">
        <f t="shared" si="20"/>
        <v>175000</v>
      </c>
      <c r="G532" s="8">
        <v>12</v>
      </c>
      <c r="H532" s="8">
        <v>0</v>
      </c>
      <c r="I532" s="8">
        <v>0</v>
      </c>
      <c r="J532" s="8">
        <v>0</v>
      </c>
      <c r="K532" s="5">
        <f t="shared" si="21"/>
        <v>175</v>
      </c>
    </row>
    <row r="533" spans="1:11" ht="14.25">
      <c r="A533" s="7">
        <v>516</v>
      </c>
      <c r="B533" s="5">
        <v>1</v>
      </c>
      <c r="C533" s="7">
        <v>0</v>
      </c>
      <c r="D533" s="5">
        <v>0</v>
      </c>
      <c r="E533" s="5">
        <v>0</v>
      </c>
      <c r="F533" s="5">
        <f t="shared" si="20"/>
        <v>175000</v>
      </c>
      <c r="G533" s="8">
        <v>12</v>
      </c>
      <c r="H533" s="8">
        <v>0</v>
      </c>
      <c r="I533" s="8">
        <v>0</v>
      </c>
      <c r="J533" s="8">
        <v>0</v>
      </c>
      <c r="K533" s="5">
        <f t="shared" si="21"/>
        <v>175</v>
      </c>
    </row>
    <row r="534" spans="1:11" ht="14.25">
      <c r="A534" s="7">
        <v>517</v>
      </c>
      <c r="B534" s="5">
        <v>1</v>
      </c>
      <c r="C534" s="7">
        <v>0</v>
      </c>
      <c r="D534" s="5">
        <v>0</v>
      </c>
      <c r="E534" s="5">
        <v>0</v>
      </c>
      <c r="F534" s="5">
        <f t="shared" si="20"/>
        <v>175000</v>
      </c>
      <c r="G534" s="8">
        <v>12</v>
      </c>
      <c r="H534" s="8">
        <v>0</v>
      </c>
      <c r="I534" s="8">
        <v>0</v>
      </c>
      <c r="J534" s="8">
        <v>0</v>
      </c>
      <c r="K534" s="5">
        <f t="shared" si="21"/>
        <v>175</v>
      </c>
    </row>
    <row r="535" spans="1:11" ht="14.25">
      <c r="A535" s="7">
        <v>518</v>
      </c>
      <c r="B535" s="5">
        <v>1</v>
      </c>
      <c r="C535" s="7">
        <v>0</v>
      </c>
      <c r="D535" s="5">
        <v>0</v>
      </c>
      <c r="E535" s="5">
        <v>0</v>
      </c>
      <c r="F535" s="5">
        <f t="shared" si="20"/>
        <v>175000</v>
      </c>
      <c r="G535" s="8">
        <v>12</v>
      </c>
      <c r="H535" s="8">
        <v>0</v>
      </c>
      <c r="I535" s="8">
        <v>0</v>
      </c>
      <c r="J535" s="8">
        <v>0</v>
      </c>
      <c r="K535" s="5">
        <f t="shared" si="21"/>
        <v>175</v>
      </c>
    </row>
    <row r="536" spans="1:11" ht="14.25">
      <c r="A536" s="7">
        <v>519</v>
      </c>
      <c r="B536" s="5">
        <v>1</v>
      </c>
      <c r="C536" s="7">
        <v>0</v>
      </c>
      <c r="D536" s="5">
        <v>0</v>
      </c>
      <c r="E536" s="5">
        <v>0</v>
      </c>
      <c r="F536" s="5">
        <f t="shared" si="20"/>
        <v>175000</v>
      </c>
      <c r="G536" s="8">
        <v>12</v>
      </c>
      <c r="H536" s="8">
        <v>0</v>
      </c>
      <c r="I536" s="8">
        <v>0</v>
      </c>
      <c r="J536" s="8">
        <v>0</v>
      </c>
      <c r="K536" s="5">
        <f t="shared" si="21"/>
        <v>175</v>
      </c>
    </row>
    <row r="537" spans="1:11" ht="14.25">
      <c r="A537" s="7">
        <v>520</v>
      </c>
      <c r="B537" s="5">
        <v>1</v>
      </c>
      <c r="C537" s="7">
        <v>0</v>
      </c>
      <c r="D537" s="5">
        <v>0</v>
      </c>
      <c r="E537" s="5">
        <v>0</v>
      </c>
      <c r="F537" s="5">
        <f t="shared" si="20"/>
        <v>175000</v>
      </c>
      <c r="G537" s="8">
        <v>12</v>
      </c>
      <c r="H537" s="8">
        <v>0</v>
      </c>
      <c r="I537" s="8">
        <v>0</v>
      </c>
      <c r="J537" s="8">
        <v>0</v>
      </c>
      <c r="K537" s="5">
        <f t="shared" si="21"/>
        <v>175</v>
      </c>
    </row>
    <row r="538" spans="1:11" ht="14.25">
      <c r="A538" s="7">
        <v>521</v>
      </c>
      <c r="B538" s="5">
        <v>1</v>
      </c>
      <c r="C538" s="7">
        <v>0</v>
      </c>
      <c r="D538" s="5">
        <v>0</v>
      </c>
      <c r="E538" s="5">
        <v>0</v>
      </c>
      <c r="F538" s="5">
        <f t="shared" si="20"/>
        <v>175000</v>
      </c>
      <c r="G538" s="8">
        <v>12</v>
      </c>
      <c r="H538" s="8">
        <v>0</v>
      </c>
      <c r="I538" s="8">
        <v>0</v>
      </c>
      <c r="J538" s="8">
        <v>0</v>
      </c>
      <c r="K538" s="5">
        <f t="shared" si="21"/>
        <v>175</v>
      </c>
    </row>
    <row r="539" spans="1:11" ht="14.25">
      <c r="A539" s="7">
        <v>522</v>
      </c>
      <c r="B539" s="5">
        <v>1</v>
      </c>
      <c r="C539" s="7">
        <v>0</v>
      </c>
      <c r="D539" s="5">
        <v>0</v>
      </c>
      <c r="E539" s="5">
        <v>0</v>
      </c>
      <c r="F539" s="5">
        <f t="shared" si="20"/>
        <v>175000</v>
      </c>
      <c r="G539" s="8">
        <v>12</v>
      </c>
      <c r="H539" s="8">
        <v>0</v>
      </c>
      <c r="I539" s="8">
        <v>0</v>
      </c>
      <c r="J539" s="8">
        <v>0</v>
      </c>
      <c r="K539" s="5">
        <f t="shared" si="21"/>
        <v>175</v>
      </c>
    </row>
    <row r="540" spans="1:11" ht="14.25">
      <c r="A540" s="7">
        <v>523</v>
      </c>
      <c r="B540" s="5">
        <v>1</v>
      </c>
      <c r="C540" s="7">
        <v>0</v>
      </c>
      <c r="D540" s="5">
        <v>0</v>
      </c>
      <c r="E540" s="5">
        <v>0</v>
      </c>
      <c r="F540" s="5">
        <f t="shared" si="20"/>
        <v>175000</v>
      </c>
      <c r="G540" s="8">
        <v>12</v>
      </c>
      <c r="H540" s="8">
        <v>0</v>
      </c>
      <c r="I540" s="8">
        <v>0</v>
      </c>
      <c r="J540" s="8">
        <v>0</v>
      </c>
      <c r="K540" s="5">
        <f t="shared" si="21"/>
        <v>175</v>
      </c>
    </row>
    <row r="541" spans="1:11" ht="14.25">
      <c r="A541" s="7">
        <v>524</v>
      </c>
      <c r="B541" s="5">
        <v>1</v>
      </c>
      <c r="C541" s="7">
        <v>0</v>
      </c>
      <c r="D541" s="5">
        <v>0</v>
      </c>
      <c r="E541" s="5">
        <v>0</v>
      </c>
      <c r="F541" s="5">
        <f t="shared" si="20"/>
        <v>175000</v>
      </c>
      <c r="G541" s="8">
        <v>12</v>
      </c>
      <c r="H541" s="8">
        <v>0</v>
      </c>
      <c r="I541" s="8">
        <v>0</v>
      </c>
      <c r="J541" s="8">
        <v>0</v>
      </c>
      <c r="K541" s="5">
        <f t="shared" si="21"/>
        <v>175</v>
      </c>
    </row>
    <row r="542" spans="1:11" ht="14.25">
      <c r="A542" s="7">
        <v>525</v>
      </c>
      <c r="B542" s="5">
        <v>1</v>
      </c>
      <c r="C542" s="7">
        <v>0</v>
      </c>
      <c r="D542" s="5">
        <v>0</v>
      </c>
      <c r="E542" s="5">
        <v>0</v>
      </c>
      <c r="F542" s="5">
        <f t="shared" si="20"/>
        <v>175000</v>
      </c>
      <c r="G542" s="8">
        <v>12</v>
      </c>
      <c r="H542" s="8">
        <v>0</v>
      </c>
      <c r="I542" s="8">
        <v>0</v>
      </c>
      <c r="J542" s="8">
        <v>0</v>
      </c>
      <c r="K542" s="5">
        <f t="shared" si="21"/>
        <v>175</v>
      </c>
    </row>
    <row r="543" spans="1:11" ht="14.25">
      <c r="A543" s="7">
        <v>526</v>
      </c>
      <c r="B543" s="5">
        <v>1</v>
      </c>
      <c r="C543" s="7">
        <v>0</v>
      </c>
      <c r="D543" s="5">
        <v>0</v>
      </c>
      <c r="E543" s="5">
        <v>0</v>
      </c>
      <c r="F543" s="5">
        <f t="shared" si="20"/>
        <v>175000</v>
      </c>
      <c r="G543" s="8">
        <v>12</v>
      </c>
      <c r="H543" s="8">
        <v>0</v>
      </c>
      <c r="I543" s="8">
        <v>0</v>
      </c>
      <c r="J543" s="8">
        <v>0</v>
      </c>
      <c r="K543" s="5">
        <f t="shared" si="21"/>
        <v>175</v>
      </c>
    </row>
    <row r="544" spans="1:11" ht="14.25">
      <c r="A544" s="7">
        <v>527</v>
      </c>
      <c r="B544" s="5">
        <v>1</v>
      </c>
      <c r="C544" s="7">
        <v>0</v>
      </c>
      <c r="D544" s="5">
        <v>0</v>
      </c>
      <c r="E544" s="5">
        <v>0</v>
      </c>
      <c r="F544" s="5">
        <f t="shared" si="20"/>
        <v>175000</v>
      </c>
      <c r="G544" s="8">
        <v>12</v>
      </c>
      <c r="H544" s="8">
        <v>0</v>
      </c>
      <c r="I544" s="8">
        <v>0</v>
      </c>
      <c r="J544" s="8">
        <v>0</v>
      </c>
      <c r="K544" s="5">
        <f t="shared" si="21"/>
        <v>175</v>
      </c>
    </row>
    <row r="545" spans="1:11" ht="14.25">
      <c r="A545" s="7">
        <v>528</v>
      </c>
      <c r="B545" s="5">
        <v>1</v>
      </c>
      <c r="C545" s="7">
        <v>0</v>
      </c>
      <c r="D545" s="5">
        <v>0</v>
      </c>
      <c r="E545" s="5">
        <v>0</v>
      </c>
      <c r="F545" s="5">
        <f t="shared" si="20"/>
        <v>175000</v>
      </c>
      <c r="G545" s="8">
        <v>12</v>
      </c>
      <c r="H545" s="8">
        <v>0</v>
      </c>
      <c r="I545" s="8">
        <v>0</v>
      </c>
      <c r="J545" s="8">
        <v>0</v>
      </c>
      <c r="K545" s="5">
        <f t="shared" si="21"/>
        <v>175</v>
      </c>
    </row>
    <row r="546" spans="1:11" ht="14.25">
      <c r="A546" s="7">
        <v>529</v>
      </c>
      <c r="B546" s="5">
        <v>1</v>
      </c>
      <c r="C546" s="7">
        <v>0</v>
      </c>
      <c r="D546" s="5">
        <v>0</v>
      </c>
      <c r="E546" s="5">
        <v>0</v>
      </c>
      <c r="F546" s="5">
        <f t="shared" si="20"/>
        <v>175000</v>
      </c>
      <c r="G546" s="8">
        <v>12</v>
      </c>
      <c r="H546" s="8">
        <v>0</v>
      </c>
      <c r="I546" s="8">
        <v>0</v>
      </c>
      <c r="J546" s="8">
        <v>0</v>
      </c>
      <c r="K546" s="5">
        <f t="shared" si="21"/>
        <v>175</v>
      </c>
    </row>
    <row r="547" spans="1:11" ht="14.25">
      <c r="A547" s="7">
        <v>530</v>
      </c>
      <c r="B547" s="5">
        <v>1</v>
      </c>
      <c r="C547" s="7">
        <v>0</v>
      </c>
      <c r="D547" s="5">
        <v>0</v>
      </c>
      <c r="E547" s="5">
        <v>0</v>
      </c>
      <c r="F547" s="5">
        <f t="shared" si="20"/>
        <v>175000</v>
      </c>
      <c r="G547" s="8">
        <v>12</v>
      </c>
      <c r="H547" s="8">
        <v>0</v>
      </c>
      <c r="I547" s="8">
        <v>0</v>
      </c>
      <c r="J547" s="8">
        <v>0</v>
      </c>
      <c r="K547" s="5">
        <f t="shared" si="21"/>
        <v>175</v>
      </c>
    </row>
    <row r="548" spans="1:11" ht="14.25">
      <c r="A548" s="7">
        <v>531</v>
      </c>
      <c r="B548" s="5">
        <v>1</v>
      </c>
      <c r="C548" s="7">
        <v>0</v>
      </c>
      <c r="D548" s="5">
        <v>0</v>
      </c>
      <c r="E548" s="5">
        <v>0</v>
      </c>
      <c r="F548" s="5">
        <f t="shared" si="20"/>
        <v>175000</v>
      </c>
      <c r="G548" s="8">
        <v>12</v>
      </c>
      <c r="H548" s="8">
        <v>0</v>
      </c>
      <c r="I548" s="8">
        <v>0</v>
      </c>
      <c r="J548" s="8">
        <v>0</v>
      </c>
      <c r="K548" s="5">
        <f t="shared" si="21"/>
        <v>175</v>
      </c>
    </row>
    <row r="549" spans="1:11" ht="14.25">
      <c r="A549" s="7">
        <v>532</v>
      </c>
      <c r="B549" s="5">
        <v>1</v>
      </c>
      <c r="C549" s="7">
        <v>0</v>
      </c>
      <c r="D549" s="5">
        <v>0</v>
      </c>
      <c r="E549" s="5">
        <v>0</v>
      </c>
      <c r="F549" s="5">
        <f t="shared" si="20"/>
        <v>175000</v>
      </c>
      <c r="G549" s="8">
        <v>12</v>
      </c>
      <c r="H549" s="8">
        <v>0</v>
      </c>
      <c r="I549" s="8">
        <v>0</v>
      </c>
      <c r="J549" s="8">
        <v>0</v>
      </c>
      <c r="K549" s="5">
        <f t="shared" si="21"/>
        <v>175</v>
      </c>
    </row>
    <row r="550" spans="1:11" ht="14.25">
      <c r="A550" s="7">
        <v>533</v>
      </c>
      <c r="B550" s="5">
        <v>1</v>
      </c>
      <c r="C550" s="7">
        <v>0</v>
      </c>
      <c r="D550" s="5">
        <v>0</v>
      </c>
      <c r="E550" s="5">
        <v>0</v>
      </c>
      <c r="F550" s="5">
        <f t="shared" si="20"/>
        <v>175000</v>
      </c>
      <c r="G550" s="8">
        <v>12</v>
      </c>
      <c r="H550" s="8">
        <v>0</v>
      </c>
      <c r="I550" s="8">
        <v>0</v>
      </c>
      <c r="J550" s="8">
        <v>0</v>
      </c>
      <c r="K550" s="5">
        <f t="shared" si="21"/>
        <v>175</v>
      </c>
    </row>
    <row r="551" spans="1:11" ht="14.25">
      <c r="A551" s="7">
        <v>534</v>
      </c>
      <c r="B551" s="5">
        <v>1</v>
      </c>
      <c r="C551" s="7">
        <v>0</v>
      </c>
      <c r="D551" s="5">
        <v>0</v>
      </c>
      <c r="E551" s="5">
        <v>0</v>
      </c>
      <c r="F551" s="5">
        <f t="shared" si="20"/>
        <v>175000</v>
      </c>
      <c r="G551" s="8">
        <v>12</v>
      </c>
      <c r="H551" s="8">
        <v>0</v>
      </c>
      <c r="I551" s="8">
        <v>0</v>
      </c>
      <c r="J551" s="8">
        <v>0</v>
      </c>
      <c r="K551" s="5">
        <f t="shared" si="21"/>
        <v>175</v>
      </c>
    </row>
    <row r="552" spans="1:11" ht="14.25">
      <c r="A552" s="7">
        <v>535</v>
      </c>
      <c r="B552" s="5">
        <v>1</v>
      </c>
      <c r="C552" s="7">
        <v>0</v>
      </c>
      <c r="D552" s="5">
        <v>0</v>
      </c>
      <c r="E552" s="5">
        <v>0</v>
      </c>
      <c r="F552" s="5">
        <f t="shared" si="20"/>
        <v>175000</v>
      </c>
      <c r="G552" s="8">
        <v>12</v>
      </c>
      <c r="H552" s="8">
        <v>0</v>
      </c>
      <c r="I552" s="8">
        <v>0</v>
      </c>
      <c r="J552" s="8">
        <v>0</v>
      </c>
      <c r="K552" s="5">
        <f t="shared" si="21"/>
        <v>175</v>
      </c>
    </row>
    <row r="553" spans="1:11" ht="14.25">
      <c r="A553" s="7">
        <v>536</v>
      </c>
      <c r="B553" s="5">
        <v>1</v>
      </c>
      <c r="C553" s="7">
        <v>0</v>
      </c>
      <c r="D553" s="5">
        <v>0</v>
      </c>
      <c r="E553" s="5">
        <v>0</v>
      </c>
      <c r="F553" s="5">
        <f t="shared" si="20"/>
        <v>175000</v>
      </c>
      <c r="G553" s="8">
        <v>12</v>
      </c>
      <c r="H553" s="8">
        <v>0</v>
      </c>
      <c r="I553" s="8">
        <v>0</v>
      </c>
      <c r="J553" s="8">
        <v>0</v>
      </c>
      <c r="K553" s="5">
        <f t="shared" si="21"/>
        <v>175</v>
      </c>
    </row>
    <row r="554" spans="1:11" ht="14.25">
      <c r="A554" s="7">
        <v>537</v>
      </c>
      <c r="B554" s="5">
        <v>1</v>
      </c>
      <c r="C554" s="7">
        <v>0</v>
      </c>
      <c r="D554" s="5">
        <v>0</v>
      </c>
      <c r="E554" s="5">
        <v>0</v>
      </c>
      <c r="F554" s="5">
        <f t="shared" si="20"/>
        <v>175000</v>
      </c>
      <c r="G554" s="8">
        <v>12</v>
      </c>
      <c r="H554" s="8">
        <v>0</v>
      </c>
      <c r="I554" s="8">
        <v>0</v>
      </c>
      <c r="J554" s="8">
        <v>0</v>
      </c>
      <c r="K554" s="5">
        <f t="shared" si="21"/>
        <v>175</v>
      </c>
    </row>
    <row r="555" spans="1:11" ht="14.25">
      <c r="A555" s="7">
        <v>538</v>
      </c>
      <c r="B555" s="5">
        <v>1</v>
      </c>
      <c r="C555" s="7">
        <v>0</v>
      </c>
      <c r="D555" s="5">
        <v>0</v>
      </c>
      <c r="E555" s="5">
        <v>0</v>
      </c>
      <c r="F555" s="5">
        <f t="shared" si="20"/>
        <v>175000</v>
      </c>
      <c r="G555" s="8">
        <v>12</v>
      </c>
      <c r="H555" s="8">
        <v>0</v>
      </c>
      <c r="I555" s="8">
        <v>0</v>
      </c>
      <c r="J555" s="8">
        <v>0</v>
      </c>
      <c r="K555" s="5">
        <f t="shared" si="21"/>
        <v>175</v>
      </c>
    </row>
    <row r="556" spans="1:11" ht="14.25">
      <c r="A556" s="7">
        <v>539</v>
      </c>
      <c r="B556" s="5">
        <v>1</v>
      </c>
      <c r="C556" s="7">
        <v>0</v>
      </c>
      <c r="D556" s="5">
        <v>0</v>
      </c>
      <c r="E556" s="5">
        <v>0</v>
      </c>
      <c r="F556" s="5">
        <f t="shared" si="20"/>
        <v>175000</v>
      </c>
      <c r="G556" s="8">
        <v>12</v>
      </c>
      <c r="H556" s="8">
        <v>0</v>
      </c>
      <c r="I556" s="8">
        <v>0</v>
      </c>
      <c r="J556" s="8">
        <v>0</v>
      </c>
      <c r="K556" s="5">
        <f t="shared" si="21"/>
        <v>175</v>
      </c>
    </row>
    <row r="557" spans="1:11" ht="14.25">
      <c r="A557" s="7">
        <v>540</v>
      </c>
      <c r="B557" s="5">
        <v>1</v>
      </c>
      <c r="C557" s="7">
        <v>0</v>
      </c>
      <c r="D557" s="5">
        <v>0</v>
      </c>
      <c r="E557" s="5">
        <v>0</v>
      </c>
      <c r="F557" s="5">
        <f t="shared" si="20"/>
        <v>175000</v>
      </c>
      <c r="G557" s="8">
        <v>12</v>
      </c>
      <c r="H557" s="8">
        <v>0</v>
      </c>
      <c r="I557" s="8">
        <v>0</v>
      </c>
      <c r="J557" s="8">
        <v>0</v>
      </c>
      <c r="K557" s="5">
        <f t="shared" si="21"/>
        <v>175</v>
      </c>
    </row>
    <row r="558" spans="1:11" ht="14.25">
      <c r="A558" s="7">
        <v>541</v>
      </c>
      <c r="B558" s="5">
        <v>1</v>
      </c>
      <c r="C558" s="7">
        <v>0</v>
      </c>
      <c r="D558" s="5">
        <v>0</v>
      </c>
      <c r="E558" s="5">
        <v>0</v>
      </c>
      <c r="F558" s="5">
        <f t="shared" si="20"/>
        <v>180000</v>
      </c>
      <c r="G558" s="8">
        <v>12</v>
      </c>
      <c r="H558" s="8">
        <v>0</v>
      </c>
      <c r="I558" s="8">
        <v>0</v>
      </c>
      <c r="J558" s="8">
        <v>0</v>
      </c>
      <c r="K558" s="5">
        <f t="shared" si="21"/>
        <v>180</v>
      </c>
    </row>
    <row r="559" spans="1:11" ht="14.25">
      <c r="A559" s="7">
        <v>542</v>
      </c>
      <c r="B559" s="5">
        <v>1</v>
      </c>
      <c r="C559" s="7">
        <v>0</v>
      </c>
      <c r="D559" s="5">
        <v>0</v>
      </c>
      <c r="E559" s="5">
        <v>0</v>
      </c>
      <c r="F559" s="5">
        <f t="shared" si="20"/>
        <v>180000</v>
      </c>
      <c r="G559" s="8">
        <v>12</v>
      </c>
      <c r="H559" s="8">
        <v>0</v>
      </c>
      <c r="I559" s="8">
        <v>0</v>
      </c>
      <c r="J559" s="8">
        <v>0</v>
      </c>
      <c r="K559" s="5">
        <f t="shared" si="21"/>
        <v>180</v>
      </c>
    </row>
    <row r="560" spans="1:11" ht="14.25">
      <c r="A560" s="7">
        <v>543</v>
      </c>
      <c r="B560" s="5">
        <v>1</v>
      </c>
      <c r="C560" s="7">
        <v>0</v>
      </c>
      <c r="D560" s="5">
        <v>0</v>
      </c>
      <c r="E560" s="5">
        <v>0</v>
      </c>
      <c r="F560" s="5">
        <f t="shared" si="20"/>
        <v>180000</v>
      </c>
      <c r="G560" s="8">
        <v>12</v>
      </c>
      <c r="H560" s="8">
        <v>0</v>
      </c>
      <c r="I560" s="8">
        <v>0</v>
      </c>
      <c r="J560" s="8">
        <v>0</v>
      </c>
      <c r="K560" s="5">
        <f t="shared" si="21"/>
        <v>180</v>
      </c>
    </row>
    <row r="561" spans="1:11" ht="14.25">
      <c r="A561" s="7">
        <v>544</v>
      </c>
      <c r="B561" s="5">
        <v>1</v>
      </c>
      <c r="C561" s="7">
        <v>0</v>
      </c>
      <c r="D561" s="5">
        <v>0</v>
      </c>
      <c r="E561" s="5">
        <v>0</v>
      </c>
      <c r="F561" s="5">
        <f t="shared" si="20"/>
        <v>180000</v>
      </c>
      <c r="G561" s="8">
        <v>12</v>
      </c>
      <c r="H561" s="8">
        <v>0</v>
      </c>
      <c r="I561" s="8">
        <v>0</v>
      </c>
      <c r="J561" s="8">
        <v>0</v>
      </c>
      <c r="K561" s="5">
        <f t="shared" si="21"/>
        <v>180</v>
      </c>
    </row>
    <row r="562" spans="1:11" ht="14.25">
      <c r="A562" s="7">
        <v>545</v>
      </c>
      <c r="B562" s="5">
        <v>1</v>
      </c>
      <c r="C562" s="7">
        <v>0</v>
      </c>
      <c r="D562" s="5">
        <v>0</v>
      </c>
      <c r="E562" s="5">
        <v>0</v>
      </c>
      <c r="F562" s="5">
        <f t="shared" si="20"/>
        <v>180000</v>
      </c>
      <c r="G562" s="8">
        <v>12</v>
      </c>
      <c r="H562" s="8">
        <v>0</v>
      </c>
      <c r="I562" s="8">
        <v>0</v>
      </c>
      <c r="J562" s="8">
        <v>0</v>
      </c>
      <c r="K562" s="5">
        <f t="shared" si="21"/>
        <v>180</v>
      </c>
    </row>
    <row r="563" spans="1:11" ht="14.25">
      <c r="A563" s="7">
        <v>546</v>
      </c>
      <c r="B563" s="5">
        <v>1</v>
      </c>
      <c r="C563" s="7">
        <v>0</v>
      </c>
      <c r="D563" s="5">
        <v>0</v>
      </c>
      <c r="E563" s="5">
        <v>0</v>
      </c>
      <c r="F563" s="5">
        <f t="shared" si="20"/>
        <v>180000</v>
      </c>
      <c r="G563" s="8">
        <v>12</v>
      </c>
      <c r="H563" s="8">
        <v>0</v>
      </c>
      <c r="I563" s="8">
        <v>0</v>
      </c>
      <c r="J563" s="8">
        <v>0</v>
      </c>
      <c r="K563" s="5">
        <f t="shared" si="21"/>
        <v>180</v>
      </c>
    </row>
    <row r="564" spans="1:11" ht="14.25">
      <c r="A564" s="7">
        <v>547</v>
      </c>
      <c r="B564" s="5">
        <v>1</v>
      </c>
      <c r="C564" s="7">
        <v>0</v>
      </c>
      <c r="D564" s="5">
        <v>0</v>
      </c>
      <c r="E564" s="5">
        <v>0</v>
      </c>
      <c r="F564" s="5">
        <f t="shared" si="20"/>
        <v>180000</v>
      </c>
      <c r="G564" s="8">
        <v>12</v>
      </c>
      <c r="H564" s="8">
        <v>0</v>
      </c>
      <c r="I564" s="8">
        <v>0</v>
      </c>
      <c r="J564" s="8">
        <v>0</v>
      </c>
      <c r="K564" s="5">
        <f t="shared" si="21"/>
        <v>180</v>
      </c>
    </row>
    <row r="565" spans="1:11" ht="14.25">
      <c r="A565" s="7">
        <v>548</v>
      </c>
      <c r="B565" s="5">
        <v>1</v>
      </c>
      <c r="C565" s="7">
        <v>0</v>
      </c>
      <c r="D565" s="5">
        <v>0</v>
      </c>
      <c r="E565" s="5">
        <v>0</v>
      </c>
      <c r="F565" s="5">
        <f t="shared" si="20"/>
        <v>180000</v>
      </c>
      <c r="G565" s="8">
        <v>12</v>
      </c>
      <c r="H565" s="8">
        <v>0</v>
      </c>
      <c r="I565" s="8">
        <v>0</v>
      </c>
      <c r="J565" s="8">
        <v>0</v>
      </c>
      <c r="K565" s="5">
        <f t="shared" si="21"/>
        <v>180</v>
      </c>
    </row>
    <row r="566" spans="1:11" ht="14.25">
      <c r="A566" s="7">
        <v>549</v>
      </c>
      <c r="B566" s="5">
        <v>1</v>
      </c>
      <c r="C566" s="7">
        <v>0</v>
      </c>
      <c r="D566" s="5">
        <v>0</v>
      </c>
      <c r="E566" s="5">
        <v>0</v>
      </c>
      <c r="F566" s="5">
        <f t="shared" si="20"/>
        <v>180000</v>
      </c>
      <c r="G566" s="8">
        <v>12</v>
      </c>
      <c r="H566" s="8">
        <v>0</v>
      </c>
      <c r="I566" s="8">
        <v>0</v>
      </c>
      <c r="J566" s="8">
        <v>0</v>
      </c>
      <c r="K566" s="5">
        <f t="shared" si="21"/>
        <v>180</v>
      </c>
    </row>
    <row r="567" spans="1:11" ht="14.25">
      <c r="A567" s="7">
        <v>550</v>
      </c>
      <c r="B567" s="5">
        <v>1</v>
      </c>
      <c r="C567" s="7">
        <v>0</v>
      </c>
      <c r="D567" s="5">
        <v>0</v>
      </c>
      <c r="E567" s="5">
        <v>0</v>
      </c>
      <c r="F567" s="5">
        <f t="shared" si="20"/>
        <v>180000</v>
      </c>
      <c r="G567" s="8">
        <v>12</v>
      </c>
      <c r="H567" s="8">
        <v>0</v>
      </c>
      <c r="I567" s="8">
        <v>0</v>
      </c>
      <c r="J567" s="8">
        <v>0</v>
      </c>
      <c r="K567" s="5">
        <f t="shared" si="21"/>
        <v>180</v>
      </c>
    </row>
    <row r="568" spans="1:11" ht="14.25">
      <c r="A568" s="7">
        <v>551</v>
      </c>
      <c r="B568" s="5">
        <v>1</v>
      </c>
      <c r="C568" s="7">
        <v>0</v>
      </c>
      <c r="D568" s="5">
        <v>0</v>
      </c>
      <c r="E568" s="5">
        <v>0</v>
      </c>
      <c r="F568" s="5">
        <f t="shared" si="20"/>
        <v>180000</v>
      </c>
      <c r="G568" s="8">
        <v>12</v>
      </c>
      <c r="H568" s="8">
        <v>0</v>
      </c>
      <c r="I568" s="8">
        <v>0</v>
      </c>
      <c r="J568" s="8">
        <v>0</v>
      </c>
      <c r="K568" s="5">
        <f t="shared" si="21"/>
        <v>180</v>
      </c>
    </row>
    <row r="569" spans="1:11" ht="14.25">
      <c r="A569" s="7">
        <v>552</v>
      </c>
      <c r="B569" s="5">
        <v>1</v>
      </c>
      <c r="C569" s="7">
        <v>0</v>
      </c>
      <c r="D569" s="5">
        <v>0</v>
      </c>
      <c r="E569" s="5">
        <v>0</v>
      </c>
      <c r="F569" s="5">
        <f t="shared" si="20"/>
        <v>180000</v>
      </c>
      <c r="G569" s="8">
        <v>12</v>
      </c>
      <c r="H569" s="8">
        <v>0</v>
      </c>
      <c r="I569" s="8">
        <v>0</v>
      </c>
      <c r="J569" s="8">
        <v>0</v>
      </c>
      <c r="K569" s="5">
        <f t="shared" si="21"/>
        <v>180</v>
      </c>
    </row>
    <row r="570" spans="1:11" ht="14.25">
      <c r="A570" s="7">
        <v>553</v>
      </c>
      <c r="B570" s="5">
        <v>1</v>
      </c>
      <c r="C570" s="7">
        <v>0</v>
      </c>
      <c r="D570" s="5">
        <v>0</v>
      </c>
      <c r="E570" s="5">
        <v>0</v>
      </c>
      <c r="F570" s="5">
        <f t="shared" si="20"/>
        <v>180000</v>
      </c>
      <c r="G570" s="8">
        <v>12</v>
      </c>
      <c r="H570" s="8">
        <v>0</v>
      </c>
      <c r="I570" s="8">
        <v>0</v>
      </c>
      <c r="J570" s="8">
        <v>0</v>
      </c>
      <c r="K570" s="5">
        <f t="shared" si="21"/>
        <v>180</v>
      </c>
    </row>
    <row r="571" spans="1:11" ht="14.25">
      <c r="A571" s="7">
        <v>554</v>
      </c>
      <c r="B571" s="5">
        <v>1</v>
      </c>
      <c r="C571" s="7">
        <v>0</v>
      </c>
      <c r="D571" s="5">
        <v>0</v>
      </c>
      <c r="E571" s="5">
        <v>0</v>
      </c>
      <c r="F571" s="5">
        <f t="shared" si="20"/>
        <v>180000</v>
      </c>
      <c r="G571" s="8">
        <v>12</v>
      </c>
      <c r="H571" s="8">
        <v>0</v>
      </c>
      <c r="I571" s="8">
        <v>0</v>
      </c>
      <c r="J571" s="8">
        <v>0</v>
      </c>
      <c r="K571" s="5">
        <f t="shared" si="21"/>
        <v>180</v>
      </c>
    </row>
    <row r="572" spans="1:11" ht="14.25">
      <c r="A572" s="7">
        <v>555</v>
      </c>
      <c r="B572" s="5">
        <v>1</v>
      </c>
      <c r="C572" s="7">
        <v>0</v>
      </c>
      <c r="D572" s="5">
        <v>0</v>
      </c>
      <c r="E572" s="5">
        <v>0</v>
      </c>
      <c r="F572" s="5">
        <f t="shared" si="20"/>
        <v>180000</v>
      </c>
      <c r="G572" s="8">
        <v>12</v>
      </c>
      <c r="H572" s="8">
        <v>0</v>
      </c>
      <c r="I572" s="8">
        <v>0</v>
      </c>
      <c r="J572" s="8">
        <v>0</v>
      </c>
      <c r="K572" s="5">
        <f t="shared" si="21"/>
        <v>180</v>
      </c>
    </row>
    <row r="573" spans="1:11" ht="14.25">
      <c r="A573" s="7">
        <v>556</v>
      </c>
      <c r="B573" s="5">
        <v>1</v>
      </c>
      <c r="C573" s="7">
        <v>0</v>
      </c>
      <c r="D573" s="5">
        <v>0</v>
      </c>
      <c r="E573" s="5">
        <v>0</v>
      </c>
      <c r="F573" s="5">
        <f t="shared" si="20"/>
        <v>180000</v>
      </c>
      <c r="G573" s="8">
        <v>12</v>
      </c>
      <c r="H573" s="8">
        <v>0</v>
      </c>
      <c r="I573" s="8">
        <v>0</v>
      </c>
      <c r="J573" s="8">
        <v>0</v>
      </c>
      <c r="K573" s="5">
        <f t="shared" si="21"/>
        <v>180</v>
      </c>
    </row>
    <row r="574" spans="1:11" ht="14.25">
      <c r="A574" s="7">
        <v>557</v>
      </c>
      <c r="B574" s="5">
        <v>1</v>
      </c>
      <c r="C574" s="7">
        <v>0</v>
      </c>
      <c r="D574" s="5">
        <v>0</v>
      </c>
      <c r="E574" s="5">
        <v>0</v>
      </c>
      <c r="F574" s="5">
        <f t="shared" si="20"/>
        <v>180000</v>
      </c>
      <c r="G574" s="8">
        <v>12</v>
      </c>
      <c r="H574" s="8">
        <v>0</v>
      </c>
      <c r="I574" s="8">
        <v>0</v>
      </c>
      <c r="J574" s="8">
        <v>0</v>
      </c>
      <c r="K574" s="5">
        <f t="shared" si="21"/>
        <v>180</v>
      </c>
    </row>
    <row r="575" spans="1:11" ht="14.25">
      <c r="A575" s="7">
        <v>558</v>
      </c>
      <c r="B575" s="5">
        <v>1</v>
      </c>
      <c r="C575" s="7">
        <v>0</v>
      </c>
      <c r="D575" s="5">
        <v>0</v>
      </c>
      <c r="E575" s="5">
        <v>0</v>
      </c>
      <c r="F575" s="5">
        <f t="shared" si="20"/>
        <v>180000</v>
      </c>
      <c r="G575" s="8">
        <v>12</v>
      </c>
      <c r="H575" s="8">
        <v>0</v>
      </c>
      <c r="I575" s="8">
        <v>0</v>
      </c>
      <c r="J575" s="8">
        <v>0</v>
      </c>
      <c r="K575" s="5">
        <f t="shared" si="21"/>
        <v>180</v>
      </c>
    </row>
    <row r="576" spans="1:11" ht="14.25">
      <c r="A576" s="7">
        <v>559</v>
      </c>
      <c r="B576" s="5">
        <v>1</v>
      </c>
      <c r="C576" s="7">
        <v>0</v>
      </c>
      <c r="D576" s="5">
        <v>0</v>
      </c>
      <c r="E576" s="5">
        <v>0</v>
      </c>
      <c r="F576" s="5">
        <f t="shared" si="20"/>
        <v>180000</v>
      </c>
      <c r="G576" s="8">
        <v>12</v>
      </c>
      <c r="H576" s="8">
        <v>0</v>
      </c>
      <c r="I576" s="8">
        <v>0</v>
      </c>
      <c r="J576" s="8">
        <v>0</v>
      </c>
      <c r="K576" s="5">
        <f t="shared" si="21"/>
        <v>180</v>
      </c>
    </row>
    <row r="577" spans="1:11" ht="14.25">
      <c r="A577" s="7">
        <v>560</v>
      </c>
      <c r="B577" s="5">
        <v>1</v>
      </c>
      <c r="C577" s="7">
        <v>0</v>
      </c>
      <c r="D577" s="5">
        <v>0</v>
      </c>
      <c r="E577" s="5">
        <v>0</v>
      </c>
      <c r="F577" s="5">
        <f t="shared" si="20"/>
        <v>180000</v>
      </c>
      <c r="G577" s="8">
        <v>12</v>
      </c>
      <c r="H577" s="8">
        <v>0</v>
      </c>
      <c r="I577" s="8">
        <v>0</v>
      </c>
      <c r="J577" s="8">
        <v>0</v>
      </c>
      <c r="K577" s="5">
        <f t="shared" si="21"/>
        <v>180</v>
      </c>
    </row>
    <row r="578" spans="1:11" ht="14.25">
      <c r="A578" s="7">
        <v>561</v>
      </c>
      <c r="B578" s="5">
        <v>1</v>
      </c>
      <c r="C578" s="7">
        <v>0</v>
      </c>
      <c r="D578" s="5">
        <v>0</v>
      </c>
      <c r="E578" s="5">
        <v>0</v>
      </c>
      <c r="F578" s="5">
        <f t="shared" si="20"/>
        <v>180000</v>
      </c>
      <c r="G578" s="8">
        <v>12</v>
      </c>
      <c r="H578" s="8">
        <v>0</v>
      </c>
      <c r="I578" s="8">
        <v>0</v>
      </c>
      <c r="J578" s="8">
        <v>0</v>
      </c>
      <c r="K578" s="5">
        <f t="shared" si="21"/>
        <v>180</v>
      </c>
    </row>
    <row r="579" spans="1:11" ht="14.25">
      <c r="A579" s="7">
        <v>562</v>
      </c>
      <c r="B579" s="5">
        <v>1</v>
      </c>
      <c r="C579" s="7">
        <v>0</v>
      </c>
      <c r="D579" s="5">
        <v>0</v>
      </c>
      <c r="E579" s="5">
        <v>0</v>
      </c>
      <c r="F579" s="5">
        <f t="shared" si="20"/>
        <v>180000</v>
      </c>
      <c r="G579" s="8">
        <v>12</v>
      </c>
      <c r="H579" s="8">
        <v>0</v>
      </c>
      <c r="I579" s="8">
        <v>0</v>
      </c>
      <c r="J579" s="8">
        <v>0</v>
      </c>
      <c r="K579" s="5">
        <f t="shared" si="21"/>
        <v>180</v>
      </c>
    </row>
    <row r="580" spans="1:11" ht="14.25">
      <c r="A580" s="7">
        <v>563</v>
      </c>
      <c r="B580" s="5">
        <v>1</v>
      </c>
      <c r="C580" s="7">
        <v>0</v>
      </c>
      <c r="D580" s="5">
        <v>0</v>
      </c>
      <c r="E580" s="5">
        <v>0</v>
      </c>
      <c r="F580" s="5">
        <f t="shared" si="20"/>
        <v>180000</v>
      </c>
      <c r="G580" s="8">
        <v>12</v>
      </c>
      <c r="H580" s="8">
        <v>0</v>
      </c>
      <c r="I580" s="8">
        <v>0</v>
      </c>
      <c r="J580" s="8">
        <v>0</v>
      </c>
      <c r="K580" s="5">
        <f t="shared" si="21"/>
        <v>180</v>
      </c>
    </row>
    <row r="581" spans="1:11" ht="14.25">
      <c r="A581" s="7">
        <v>564</v>
      </c>
      <c r="B581" s="5">
        <v>1</v>
      </c>
      <c r="C581" s="7">
        <v>0</v>
      </c>
      <c r="D581" s="5">
        <v>0</v>
      </c>
      <c r="E581" s="5">
        <v>0</v>
      </c>
      <c r="F581" s="5">
        <f t="shared" si="20"/>
        <v>180000</v>
      </c>
      <c r="G581" s="8">
        <v>12</v>
      </c>
      <c r="H581" s="8">
        <v>0</v>
      </c>
      <c r="I581" s="8">
        <v>0</v>
      </c>
      <c r="J581" s="8">
        <v>0</v>
      </c>
      <c r="K581" s="5">
        <f t="shared" si="21"/>
        <v>180</v>
      </c>
    </row>
    <row r="582" spans="1:11" ht="14.25">
      <c r="A582" s="7">
        <v>565</v>
      </c>
      <c r="B582" s="5">
        <v>1</v>
      </c>
      <c r="C582" s="7">
        <v>0</v>
      </c>
      <c r="D582" s="5">
        <v>0</v>
      </c>
      <c r="E582" s="5">
        <v>0</v>
      </c>
      <c r="F582" s="5">
        <f t="shared" si="20"/>
        <v>180000</v>
      </c>
      <c r="G582" s="8">
        <v>12</v>
      </c>
      <c r="H582" s="8">
        <v>0</v>
      </c>
      <c r="I582" s="8">
        <v>0</v>
      </c>
      <c r="J582" s="8">
        <v>0</v>
      </c>
      <c r="K582" s="5">
        <f t="shared" si="21"/>
        <v>180</v>
      </c>
    </row>
    <row r="583" spans="1:11" ht="14.25">
      <c r="A583" s="7">
        <v>566</v>
      </c>
      <c r="B583" s="5">
        <v>1</v>
      </c>
      <c r="C583" s="7">
        <v>0</v>
      </c>
      <c r="D583" s="5">
        <v>0</v>
      </c>
      <c r="E583" s="5">
        <v>0</v>
      </c>
      <c r="F583" s="5">
        <f t="shared" si="20"/>
        <v>180000</v>
      </c>
      <c r="G583" s="8">
        <v>12</v>
      </c>
      <c r="H583" s="8">
        <v>0</v>
      </c>
      <c r="I583" s="8">
        <v>0</v>
      </c>
      <c r="J583" s="8">
        <v>0</v>
      </c>
      <c r="K583" s="5">
        <f t="shared" si="21"/>
        <v>180</v>
      </c>
    </row>
    <row r="584" spans="1:11" ht="14.25">
      <c r="A584" s="7">
        <v>567</v>
      </c>
      <c r="B584" s="5">
        <v>1</v>
      </c>
      <c r="C584" s="7">
        <v>0</v>
      </c>
      <c r="D584" s="5">
        <v>0</v>
      </c>
      <c r="E584" s="5">
        <v>0</v>
      </c>
      <c r="F584" s="5">
        <f t="shared" si="20"/>
        <v>180000</v>
      </c>
      <c r="G584" s="8">
        <v>12</v>
      </c>
      <c r="H584" s="8">
        <v>0</v>
      </c>
      <c r="I584" s="8">
        <v>0</v>
      </c>
      <c r="J584" s="8">
        <v>0</v>
      </c>
      <c r="K584" s="5">
        <f t="shared" si="21"/>
        <v>180</v>
      </c>
    </row>
    <row r="585" spans="1:11" ht="14.25">
      <c r="A585" s="7">
        <v>568</v>
      </c>
      <c r="B585" s="5">
        <v>1</v>
      </c>
      <c r="C585" s="7">
        <v>0</v>
      </c>
      <c r="D585" s="5">
        <v>0</v>
      </c>
      <c r="E585" s="5">
        <v>0</v>
      </c>
      <c r="F585" s="5">
        <f t="shared" si="20"/>
        <v>180000</v>
      </c>
      <c r="G585" s="8">
        <v>12</v>
      </c>
      <c r="H585" s="8">
        <v>0</v>
      </c>
      <c r="I585" s="8">
        <v>0</v>
      </c>
      <c r="J585" s="8">
        <v>0</v>
      </c>
      <c r="K585" s="5">
        <f t="shared" si="21"/>
        <v>180</v>
      </c>
    </row>
    <row r="586" spans="1:11" ht="14.25">
      <c r="A586" s="7">
        <v>569</v>
      </c>
      <c r="B586" s="5">
        <v>1</v>
      </c>
      <c r="C586" s="7">
        <v>0</v>
      </c>
      <c r="D586" s="5">
        <v>0</v>
      </c>
      <c r="E586" s="5">
        <v>0</v>
      </c>
      <c r="F586" s="5">
        <f t="shared" si="20"/>
        <v>180000</v>
      </c>
      <c r="G586" s="8">
        <v>12</v>
      </c>
      <c r="H586" s="8">
        <v>0</v>
      </c>
      <c r="I586" s="8">
        <v>0</v>
      </c>
      <c r="J586" s="8">
        <v>0</v>
      </c>
      <c r="K586" s="5">
        <f t="shared" si="21"/>
        <v>180</v>
      </c>
    </row>
    <row r="587" spans="1:11" ht="14.25">
      <c r="A587" s="7">
        <v>570</v>
      </c>
      <c r="B587" s="5">
        <v>1</v>
      </c>
      <c r="C587" s="7">
        <v>0</v>
      </c>
      <c r="D587" s="5">
        <v>0</v>
      </c>
      <c r="E587" s="5">
        <v>0</v>
      </c>
      <c r="F587" s="5">
        <f t="shared" si="20"/>
        <v>180000</v>
      </c>
      <c r="G587" s="8">
        <v>12</v>
      </c>
      <c r="H587" s="8">
        <v>0</v>
      </c>
      <c r="I587" s="8">
        <v>0</v>
      </c>
      <c r="J587" s="8">
        <v>0</v>
      </c>
      <c r="K587" s="5">
        <f t="shared" si="21"/>
        <v>180</v>
      </c>
    </row>
    <row r="588" spans="1:11" ht="14.25">
      <c r="A588" s="7">
        <v>571</v>
      </c>
      <c r="B588" s="5">
        <v>1</v>
      </c>
      <c r="C588" s="7">
        <v>0</v>
      </c>
      <c r="D588" s="5">
        <v>0</v>
      </c>
      <c r="E588" s="5">
        <v>0</v>
      </c>
      <c r="F588" s="5">
        <f t="shared" si="20"/>
        <v>185000</v>
      </c>
      <c r="G588" s="8">
        <v>12</v>
      </c>
      <c r="H588" s="8">
        <v>0</v>
      </c>
      <c r="I588" s="8">
        <v>0</v>
      </c>
      <c r="J588" s="8">
        <v>0</v>
      </c>
      <c r="K588" s="5">
        <f t="shared" si="21"/>
        <v>185</v>
      </c>
    </row>
    <row r="589" spans="1:11" ht="14.25">
      <c r="A589" s="7">
        <v>572</v>
      </c>
      <c r="B589" s="5">
        <v>1</v>
      </c>
      <c r="C589" s="7">
        <v>0</v>
      </c>
      <c r="D589" s="5">
        <v>0</v>
      </c>
      <c r="E589" s="5">
        <v>0</v>
      </c>
      <c r="F589" s="5">
        <f t="shared" si="20"/>
        <v>185000</v>
      </c>
      <c r="G589" s="8">
        <v>12</v>
      </c>
      <c r="H589" s="8">
        <v>0</v>
      </c>
      <c r="I589" s="8">
        <v>0</v>
      </c>
      <c r="J589" s="8">
        <v>0</v>
      </c>
      <c r="K589" s="5">
        <f t="shared" si="21"/>
        <v>185</v>
      </c>
    </row>
    <row r="590" spans="1:11" ht="14.25">
      <c r="A590" s="7">
        <v>573</v>
      </c>
      <c r="B590" s="5">
        <v>1</v>
      </c>
      <c r="C590" s="7">
        <v>0</v>
      </c>
      <c r="D590" s="5">
        <v>0</v>
      </c>
      <c r="E590" s="5">
        <v>0</v>
      </c>
      <c r="F590" s="5">
        <f t="shared" si="20"/>
        <v>185000</v>
      </c>
      <c r="G590" s="8">
        <v>12</v>
      </c>
      <c r="H590" s="8">
        <v>0</v>
      </c>
      <c r="I590" s="8">
        <v>0</v>
      </c>
      <c r="J590" s="8">
        <v>0</v>
      </c>
      <c r="K590" s="5">
        <f t="shared" si="21"/>
        <v>185</v>
      </c>
    </row>
    <row r="591" spans="1:11" ht="14.25">
      <c r="A591" s="7">
        <v>574</v>
      </c>
      <c r="B591" s="5">
        <v>1</v>
      </c>
      <c r="C591" s="7">
        <v>0</v>
      </c>
      <c r="D591" s="5">
        <v>0</v>
      </c>
      <c r="E591" s="5">
        <v>0</v>
      </c>
      <c r="F591" s="5">
        <f t="shared" si="20"/>
        <v>185000</v>
      </c>
      <c r="G591" s="8">
        <v>12</v>
      </c>
      <c r="H591" s="8">
        <v>0</v>
      </c>
      <c r="I591" s="8">
        <v>0</v>
      </c>
      <c r="J591" s="8">
        <v>0</v>
      </c>
      <c r="K591" s="5">
        <f t="shared" si="21"/>
        <v>185</v>
      </c>
    </row>
    <row r="592" spans="1:11" ht="14.25">
      <c r="A592" s="7">
        <v>575</v>
      </c>
      <c r="B592" s="5">
        <v>1</v>
      </c>
      <c r="C592" s="7">
        <v>0</v>
      </c>
      <c r="D592" s="5">
        <v>0</v>
      </c>
      <c r="E592" s="5">
        <v>0</v>
      </c>
      <c r="F592" s="5">
        <f t="shared" si="20"/>
        <v>185000</v>
      </c>
      <c r="G592" s="8">
        <v>12</v>
      </c>
      <c r="H592" s="8">
        <v>0</v>
      </c>
      <c r="I592" s="8">
        <v>0</v>
      </c>
      <c r="J592" s="8">
        <v>0</v>
      </c>
      <c r="K592" s="5">
        <f t="shared" si="21"/>
        <v>185</v>
      </c>
    </row>
    <row r="593" spans="1:11" ht="14.25">
      <c r="A593" s="7">
        <v>576</v>
      </c>
      <c r="B593" s="5">
        <v>1</v>
      </c>
      <c r="C593" s="7">
        <v>0</v>
      </c>
      <c r="D593" s="5">
        <v>0</v>
      </c>
      <c r="E593" s="5">
        <v>0</v>
      </c>
      <c r="F593" s="5">
        <f t="shared" ref="F593:F617" si="22">ROUNDUP((A593-510)/30,0)*1000*5+170000</f>
        <v>185000</v>
      </c>
      <c r="G593" s="8">
        <v>12</v>
      </c>
      <c r="H593" s="8">
        <v>0</v>
      </c>
      <c r="I593" s="8">
        <v>0</v>
      </c>
      <c r="J593" s="8">
        <v>0</v>
      </c>
      <c r="K593" s="5">
        <f t="shared" ref="K593:K617" si="23">ROUNDUP((A593-510)/30,0)*5+170</f>
        <v>185</v>
      </c>
    </row>
    <row r="594" spans="1:11" ht="14.25">
      <c r="A594" s="7">
        <v>577</v>
      </c>
      <c r="B594" s="5">
        <v>1</v>
      </c>
      <c r="C594" s="7">
        <v>0</v>
      </c>
      <c r="D594" s="5">
        <v>0</v>
      </c>
      <c r="E594" s="5">
        <v>0</v>
      </c>
      <c r="F594" s="5">
        <f t="shared" si="22"/>
        <v>185000</v>
      </c>
      <c r="G594" s="8">
        <v>12</v>
      </c>
      <c r="H594" s="8">
        <v>0</v>
      </c>
      <c r="I594" s="8">
        <v>0</v>
      </c>
      <c r="J594" s="8">
        <v>0</v>
      </c>
      <c r="K594" s="5">
        <f t="shared" si="23"/>
        <v>185</v>
      </c>
    </row>
    <row r="595" spans="1:11" ht="14.25">
      <c r="A595" s="7">
        <v>578</v>
      </c>
      <c r="B595" s="5">
        <v>1</v>
      </c>
      <c r="C595" s="7">
        <v>0</v>
      </c>
      <c r="D595" s="5">
        <v>0</v>
      </c>
      <c r="E595" s="5">
        <v>0</v>
      </c>
      <c r="F595" s="5">
        <f t="shared" si="22"/>
        <v>185000</v>
      </c>
      <c r="G595" s="8">
        <v>12</v>
      </c>
      <c r="H595" s="8">
        <v>0</v>
      </c>
      <c r="I595" s="8">
        <v>0</v>
      </c>
      <c r="J595" s="8">
        <v>0</v>
      </c>
      <c r="K595" s="5">
        <f t="shared" si="23"/>
        <v>185</v>
      </c>
    </row>
    <row r="596" spans="1:11" ht="14.25">
      <c r="A596" s="7">
        <v>579</v>
      </c>
      <c r="B596" s="5">
        <v>1</v>
      </c>
      <c r="C596" s="7">
        <v>0</v>
      </c>
      <c r="D596" s="5">
        <v>0</v>
      </c>
      <c r="E596" s="5">
        <v>0</v>
      </c>
      <c r="F596" s="5">
        <f t="shared" si="22"/>
        <v>185000</v>
      </c>
      <c r="G596" s="8">
        <v>12</v>
      </c>
      <c r="H596" s="8">
        <v>0</v>
      </c>
      <c r="I596" s="8">
        <v>0</v>
      </c>
      <c r="J596" s="8">
        <v>0</v>
      </c>
      <c r="K596" s="5">
        <f t="shared" si="23"/>
        <v>185</v>
      </c>
    </row>
    <row r="597" spans="1:11" ht="14.25">
      <c r="A597" s="7">
        <v>580</v>
      </c>
      <c r="B597" s="5">
        <v>1</v>
      </c>
      <c r="C597" s="7">
        <v>0</v>
      </c>
      <c r="D597" s="5">
        <v>0</v>
      </c>
      <c r="E597" s="5">
        <v>0</v>
      </c>
      <c r="F597" s="5">
        <f t="shared" si="22"/>
        <v>185000</v>
      </c>
      <c r="G597" s="8">
        <v>12</v>
      </c>
      <c r="H597" s="8">
        <v>0</v>
      </c>
      <c r="I597" s="8">
        <v>0</v>
      </c>
      <c r="J597" s="8">
        <v>0</v>
      </c>
      <c r="K597" s="5">
        <f t="shared" si="23"/>
        <v>185</v>
      </c>
    </row>
    <row r="598" spans="1:11" ht="14.25">
      <c r="A598" s="7">
        <v>581</v>
      </c>
      <c r="B598" s="5">
        <v>1</v>
      </c>
      <c r="C598" s="7">
        <v>0</v>
      </c>
      <c r="D598" s="5">
        <v>0</v>
      </c>
      <c r="E598" s="5">
        <v>0</v>
      </c>
      <c r="F598" s="5">
        <f t="shared" si="22"/>
        <v>185000</v>
      </c>
      <c r="G598" s="8">
        <v>12</v>
      </c>
      <c r="H598" s="8">
        <v>0</v>
      </c>
      <c r="I598" s="8">
        <v>0</v>
      </c>
      <c r="J598" s="8">
        <v>0</v>
      </c>
      <c r="K598" s="5">
        <f t="shared" si="23"/>
        <v>185</v>
      </c>
    </row>
    <row r="599" spans="1:11" ht="14.25">
      <c r="A599" s="7">
        <v>582</v>
      </c>
      <c r="B599" s="5">
        <v>1</v>
      </c>
      <c r="C599" s="7">
        <v>0</v>
      </c>
      <c r="D599" s="5">
        <v>0</v>
      </c>
      <c r="E599" s="5">
        <v>0</v>
      </c>
      <c r="F599" s="5">
        <f t="shared" si="22"/>
        <v>185000</v>
      </c>
      <c r="G599" s="8">
        <v>12</v>
      </c>
      <c r="H599" s="8">
        <v>0</v>
      </c>
      <c r="I599" s="8">
        <v>0</v>
      </c>
      <c r="J599" s="8">
        <v>0</v>
      </c>
      <c r="K599" s="5">
        <f t="shared" si="23"/>
        <v>185</v>
      </c>
    </row>
    <row r="600" spans="1:11" ht="14.25">
      <c r="A600" s="7">
        <v>583</v>
      </c>
      <c r="B600" s="5">
        <v>1</v>
      </c>
      <c r="C600" s="7">
        <v>0</v>
      </c>
      <c r="D600" s="5">
        <v>0</v>
      </c>
      <c r="E600" s="5">
        <v>0</v>
      </c>
      <c r="F600" s="5">
        <f t="shared" si="22"/>
        <v>185000</v>
      </c>
      <c r="G600" s="8">
        <v>12</v>
      </c>
      <c r="H600" s="8">
        <v>0</v>
      </c>
      <c r="I600" s="8">
        <v>0</v>
      </c>
      <c r="J600" s="8">
        <v>0</v>
      </c>
      <c r="K600" s="5">
        <f t="shared" si="23"/>
        <v>185</v>
      </c>
    </row>
    <row r="601" spans="1:11" ht="14.25">
      <c r="A601" s="7">
        <v>584</v>
      </c>
      <c r="B601" s="5">
        <v>1</v>
      </c>
      <c r="C601" s="7">
        <v>0</v>
      </c>
      <c r="D601" s="5">
        <v>0</v>
      </c>
      <c r="E601" s="5">
        <v>0</v>
      </c>
      <c r="F601" s="5">
        <f t="shared" si="22"/>
        <v>185000</v>
      </c>
      <c r="G601" s="8">
        <v>12</v>
      </c>
      <c r="H601" s="8">
        <v>0</v>
      </c>
      <c r="I601" s="8">
        <v>0</v>
      </c>
      <c r="J601" s="8">
        <v>0</v>
      </c>
      <c r="K601" s="5">
        <f t="shared" si="23"/>
        <v>185</v>
      </c>
    </row>
    <row r="602" spans="1:11" ht="14.25">
      <c r="A602" s="7">
        <v>585</v>
      </c>
      <c r="B602" s="5">
        <v>1</v>
      </c>
      <c r="C602" s="7">
        <v>0</v>
      </c>
      <c r="D602" s="5">
        <v>0</v>
      </c>
      <c r="E602" s="5">
        <v>0</v>
      </c>
      <c r="F602" s="5">
        <f t="shared" si="22"/>
        <v>185000</v>
      </c>
      <c r="G602" s="8">
        <v>12</v>
      </c>
      <c r="H602" s="8">
        <v>0</v>
      </c>
      <c r="I602" s="8">
        <v>0</v>
      </c>
      <c r="J602" s="8">
        <v>0</v>
      </c>
      <c r="K602" s="5">
        <f t="shared" si="23"/>
        <v>185</v>
      </c>
    </row>
    <row r="603" spans="1:11" ht="14.25">
      <c r="A603" s="7">
        <v>586</v>
      </c>
      <c r="B603" s="5">
        <v>1</v>
      </c>
      <c r="C603" s="7">
        <v>0</v>
      </c>
      <c r="D603" s="5">
        <v>0</v>
      </c>
      <c r="E603" s="5">
        <v>0</v>
      </c>
      <c r="F603" s="5">
        <f t="shared" si="22"/>
        <v>185000</v>
      </c>
      <c r="G603" s="8">
        <v>12</v>
      </c>
      <c r="H603" s="8">
        <v>0</v>
      </c>
      <c r="I603" s="8">
        <v>0</v>
      </c>
      <c r="J603" s="8">
        <v>0</v>
      </c>
      <c r="K603" s="5">
        <f t="shared" si="23"/>
        <v>185</v>
      </c>
    </row>
    <row r="604" spans="1:11" ht="14.25">
      <c r="A604" s="7">
        <v>587</v>
      </c>
      <c r="B604" s="5">
        <v>1</v>
      </c>
      <c r="C604" s="7">
        <v>0</v>
      </c>
      <c r="D604" s="5">
        <v>0</v>
      </c>
      <c r="E604" s="5">
        <v>0</v>
      </c>
      <c r="F604" s="5">
        <f t="shared" si="22"/>
        <v>185000</v>
      </c>
      <c r="G604" s="8">
        <v>12</v>
      </c>
      <c r="H604" s="8">
        <v>0</v>
      </c>
      <c r="I604" s="8">
        <v>0</v>
      </c>
      <c r="J604" s="8">
        <v>0</v>
      </c>
      <c r="K604" s="5">
        <f t="shared" si="23"/>
        <v>185</v>
      </c>
    </row>
    <row r="605" spans="1:11" ht="14.25">
      <c r="A605" s="7">
        <v>588</v>
      </c>
      <c r="B605" s="5">
        <v>1</v>
      </c>
      <c r="C605" s="7">
        <v>0</v>
      </c>
      <c r="D605" s="5">
        <v>0</v>
      </c>
      <c r="E605" s="5">
        <v>0</v>
      </c>
      <c r="F605" s="5">
        <f t="shared" si="22"/>
        <v>185000</v>
      </c>
      <c r="G605" s="8">
        <v>12</v>
      </c>
      <c r="H605" s="8">
        <v>0</v>
      </c>
      <c r="I605" s="8">
        <v>0</v>
      </c>
      <c r="J605" s="8">
        <v>0</v>
      </c>
      <c r="K605" s="5">
        <f t="shared" si="23"/>
        <v>185</v>
      </c>
    </row>
    <row r="606" spans="1:11" ht="14.25">
      <c r="A606" s="7">
        <v>589</v>
      </c>
      <c r="B606" s="5">
        <v>1</v>
      </c>
      <c r="C606" s="7">
        <v>0</v>
      </c>
      <c r="D606" s="5">
        <v>0</v>
      </c>
      <c r="E606" s="5">
        <v>0</v>
      </c>
      <c r="F606" s="5">
        <f t="shared" si="22"/>
        <v>185000</v>
      </c>
      <c r="G606" s="8">
        <v>12</v>
      </c>
      <c r="H606" s="8">
        <v>0</v>
      </c>
      <c r="I606" s="8">
        <v>0</v>
      </c>
      <c r="J606" s="8">
        <v>0</v>
      </c>
      <c r="K606" s="5">
        <f t="shared" si="23"/>
        <v>185</v>
      </c>
    </row>
    <row r="607" spans="1:11" ht="14.25">
      <c r="A607" s="7">
        <v>590</v>
      </c>
      <c r="B607" s="5">
        <v>1</v>
      </c>
      <c r="C607" s="7">
        <v>0</v>
      </c>
      <c r="D607" s="5">
        <v>0</v>
      </c>
      <c r="E607" s="5">
        <v>0</v>
      </c>
      <c r="F607" s="5">
        <f t="shared" si="22"/>
        <v>185000</v>
      </c>
      <c r="G607" s="8">
        <v>12</v>
      </c>
      <c r="H607" s="8">
        <v>0</v>
      </c>
      <c r="I607" s="8">
        <v>0</v>
      </c>
      <c r="J607" s="8">
        <v>0</v>
      </c>
      <c r="K607" s="5">
        <f t="shared" si="23"/>
        <v>185</v>
      </c>
    </row>
    <row r="608" spans="1:11" ht="14.25">
      <c r="A608" s="7">
        <v>591</v>
      </c>
      <c r="B608" s="5">
        <v>1</v>
      </c>
      <c r="C608" s="7">
        <v>0</v>
      </c>
      <c r="D608" s="5">
        <v>0</v>
      </c>
      <c r="E608" s="5">
        <v>0</v>
      </c>
      <c r="F608" s="5">
        <f t="shared" si="22"/>
        <v>185000</v>
      </c>
      <c r="G608" s="8">
        <v>12</v>
      </c>
      <c r="H608" s="8">
        <v>0</v>
      </c>
      <c r="I608" s="8">
        <v>0</v>
      </c>
      <c r="J608" s="8">
        <v>0</v>
      </c>
      <c r="K608" s="5">
        <f t="shared" si="23"/>
        <v>185</v>
      </c>
    </row>
    <row r="609" spans="1:11" ht="14.25">
      <c r="A609" s="7">
        <v>592</v>
      </c>
      <c r="B609" s="5">
        <v>1</v>
      </c>
      <c r="C609" s="7">
        <v>0</v>
      </c>
      <c r="D609" s="5">
        <v>0</v>
      </c>
      <c r="E609" s="5">
        <v>0</v>
      </c>
      <c r="F609" s="5">
        <f t="shared" si="22"/>
        <v>185000</v>
      </c>
      <c r="G609" s="8">
        <v>12</v>
      </c>
      <c r="H609" s="8">
        <v>0</v>
      </c>
      <c r="I609" s="8">
        <v>0</v>
      </c>
      <c r="J609" s="8">
        <v>0</v>
      </c>
      <c r="K609" s="5">
        <f t="shared" si="23"/>
        <v>185</v>
      </c>
    </row>
    <row r="610" spans="1:11" ht="14.25">
      <c r="A610" s="7">
        <v>593</v>
      </c>
      <c r="B610" s="5">
        <v>1</v>
      </c>
      <c r="C610" s="7">
        <v>0</v>
      </c>
      <c r="D610" s="5">
        <v>0</v>
      </c>
      <c r="E610" s="5">
        <v>0</v>
      </c>
      <c r="F610" s="5">
        <f t="shared" si="22"/>
        <v>185000</v>
      </c>
      <c r="G610" s="8">
        <v>12</v>
      </c>
      <c r="H610" s="8">
        <v>0</v>
      </c>
      <c r="I610" s="8">
        <v>0</v>
      </c>
      <c r="J610" s="8">
        <v>0</v>
      </c>
      <c r="K610" s="5">
        <f t="shared" si="23"/>
        <v>185</v>
      </c>
    </row>
    <row r="611" spans="1:11" ht="14.25">
      <c r="A611" s="7">
        <v>594</v>
      </c>
      <c r="B611" s="5">
        <v>1</v>
      </c>
      <c r="C611" s="7">
        <v>0</v>
      </c>
      <c r="D611" s="5">
        <v>0</v>
      </c>
      <c r="E611" s="5">
        <v>0</v>
      </c>
      <c r="F611" s="5">
        <f t="shared" si="22"/>
        <v>185000</v>
      </c>
      <c r="G611" s="8">
        <v>12</v>
      </c>
      <c r="H611" s="8">
        <v>0</v>
      </c>
      <c r="I611" s="8">
        <v>0</v>
      </c>
      <c r="J611" s="8">
        <v>0</v>
      </c>
      <c r="K611" s="5">
        <f t="shared" si="23"/>
        <v>185</v>
      </c>
    </row>
    <row r="612" spans="1:11" ht="14.25">
      <c r="A612" s="7">
        <v>595</v>
      </c>
      <c r="B612" s="5">
        <v>1</v>
      </c>
      <c r="C612" s="7">
        <v>0</v>
      </c>
      <c r="D612" s="5">
        <v>0</v>
      </c>
      <c r="E612" s="5">
        <v>0</v>
      </c>
      <c r="F612" s="5">
        <f t="shared" si="22"/>
        <v>185000</v>
      </c>
      <c r="G612" s="8">
        <v>12</v>
      </c>
      <c r="H612" s="8">
        <v>0</v>
      </c>
      <c r="I612" s="8">
        <v>0</v>
      </c>
      <c r="J612" s="8">
        <v>0</v>
      </c>
      <c r="K612" s="5">
        <f t="shared" si="23"/>
        <v>185</v>
      </c>
    </row>
    <row r="613" spans="1:11" ht="14.25">
      <c r="A613" s="7">
        <v>596</v>
      </c>
      <c r="B613" s="5">
        <v>1</v>
      </c>
      <c r="C613" s="7">
        <v>0</v>
      </c>
      <c r="D613" s="5">
        <v>0</v>
      </c>
      <c r="E613" s="5">
        <v>0</v>
      </c>
      <c r="F613" s="5">
        <f t="shared" si="22"/>
        <v>185000</v>
      </c>
      <c r="G613" s="8">
        <v>12</v>
      </c>
      <c r="H613" s="8">
        <v>0</v>
      </c>
      <c r="I613" s="8">
        <v>0</v>
      </c>
      <c r="J613" s="8">
        <v>0</v>
      </c>
      <c r="K613" s="5">
        <f t="shared" si="23"/>
        <v>185</v>
      </c>
    </row>
    <row r="614" spans="1:11" ht="14.25">
      <c r="A614" s="7">
        <v>597</v>
      </c>
      <c r="B614" s="5">
        <v>1</v>
      </c>
      <c r="C614" s="7">
        <v>0</v>
      </c>
      <c r="D614" s="5">
        <v>0</v>
      </c>
      <c r="E614" s="5">
        <v>0</v>
      </c>
      <c r="F614" s="5">
        <f t="shared" si="22"/>
        <v>185000</v>
      </c>
      <c r="G614" s="8">
        <v>12</v>
      </c>
      <c r="H614" s="8">
        <v>0</v>
      </c>
      <c r="I614" s="8">
        <v>0</v>
      </c>
      <c r="J614" s="8">
        <v>0</v>
      </c>
      <c r="K614" s="5">
        <f t="shared" si="23"/>
        <v>185</v>
      </c>
    </row>
    <row r="615" spans="1:11" ht="14.25">
      <c r="A615" s="7">
        <v>598</v>
      </c>
      <c r="B615" s="5">
        <v>1</v>
      </c>
      <c r="C615" s="7">
        <v>0</v>
      </c>
      <c r="D615" s="5">
        <v>0</v>
      </c>
      <c r="E615" s="5">
        <v>0</v>
      </c>
      <c r="F615" s="5">
        <f t="shared" si="22"/>
        <v>185000</v>
      </c>
      <c r="G615" s="8">
        <v>12</v>
      </c>
      <c r="H615" s="8">
        <v>0</v>
      </c>
      <c r="I615" s="8">
        <v>0</v>
      </c>
      <c r="J615" s="8">
        <v>0</v>
      </c>
      <c r="K615" s="5">
        <f t="shared" si="23"/>
        <v>185</v>
      </c>
    </row>
    <row r="616" spans="1:11" ht="14.25">
      <c r="A616" s="7">
        <v>599</v>
      </c>
      <c r="B616" s="5">
        <v>1</v>
      </c>
      <c r="C616" s="7">
        <v>0</v>
      </c>
      <c r="D616" s="5">
        <v>0</v>
      </c>
      <c r="E616" s="5">
        <v>0</v>
      </c>
      <c r="F616" s="5">
        <f t="shared" si="22"/>
        <v>185000</v>
      </c>
      <c r="G616" s="8">
        <v>12</v>
      </c>
      <c r="H616" s="8">
        <v>0</v>
      </c>
      <c r="I616" s="8">
        <v>0</v>
      </c>
      <c r="J616" s="8">
        <v>0</v>
      </c>
      <c r="K616" s="5">
        <f t="shared" si="23"/>
        <v>185</v>
      </c>
    </row>
    <row r="617" spans="1:11" ht="14.25">
      <c r="A617" s="7">
        <v>600</v>
      </c>
      <c r="B617" s="5">
        <v>1</v>
      </c>
      <c r="C617" s="7">
        <v>0</v>
      </c>
      <c r="D617" s="5">
        <v>0</v>
      </c>
      <c r="E617" s="5">
        <v>0</v>
      </c>
      <c r="F617" s="5">
        <f t="shared" si="22"/>
        <v>185000</v>
      </c>
      <c r="G617" s="8">
        <v>12</v>
      </c>
      <c r="H617" s="8">
        <v>0</v>
      </c>
      <c r="I617" s="8">
        <v>0</v>
      </c>
      <c r="J617" s="8">
        <v>0</v>
      </c>
      <c r="K617" s="5">
        <f t="shared" si="23"/>
        <v>185</v>
      </c>
    </row>
    <row r="618" spans="1:11" ht="14.25">
      <c r="A618" s="7">
        <v>601</v>
      </c>
      <c r="B618" s="5">
        <v>1</v>
      </c>
      <c r="C618" s="7">
        <v>0</v>
      </c>
      <c r="D618" s="5">
        <v>0</v>
      </c>
      <c r="E618" s="5">
        <v>0</v>
      </c>
      <c r="F618" s="5">
        <f>ROUNDUP((A618-510)/50,0)*1000*5+175000</f>
        <v>185000</v>
      </c>
      <c r="G618" s="8">
        <v>12</v>
      </c>
      <c r="H618" s="8">
        <v>0</v>
      </c>
      <c r="I618" s="8">
        <v>0</v>
      </c>
      <c r="J618" s="8">
        <v>0</v>
      </c>
      <c r="K618" s="5">
        <f>ROUNDUP((A618-510)/50,0)*5+175</f>
        <v>185</v>
      </c>
    </row>
    <row r="619" spans="1:11" ht="14.25">
      <c r="A619" s="7">
        <v>602</v>
      </c>
      <c r="B619" s="5">
        <v>1</v>
      </c>
      <c r="C619" s="7">
        <v>0</v>
      </c>
      <c r="D619" s="5">
        <v>0</v>
      </c>
      <c r="E619" s="5">
        <v>0</v>
      </c>
      <c r="F619" s="5">
        <f t="shared" ref="F619:F682" si="24">ROUNDUP((A619-510)/50,0)*1000*5+175000</f>
        <v>185000</v>
      </c>
      <c r="G619" s="8">
        <v>12</v>
      </c>
      <c r="H619" s="8">
        <v>0</v>
      </c>
      <c r="I619" s="8">
        <v>0</v>
      </c>
      <c r="J619" s="8">
        <v>0</v>
      </c>
      <c r="K619" s="5">
        <f t="shared" ref="K619:K682" si="25">ROUNDUP((A619-510)/50,0)*5+175</f>
        <v>185</v>
      </c>
    </row>
    <row r="620" spans="1:11" ht="14.25">
      <c r="A620" s="7">
        <v>603</v>
      </c>
      <c r="B620" s="5">
        <v>1</v>
      </c>
      <c r="C620" s="7">
        <v>0</v>
      </c>
      <c r="D620" s="5">
        <v>0</v>
      </c>
      <c r="E620" s="5">
        <v>0</v>
      </c>
      <c r="F620" s="5">
        <f t="shared" si="24"/>
        <v>185000</v>
      </c>
      <c r="G620" s="8">
        <v>12</v>
      </c>
      <c r="H620" s="8">
        <v>0</v>
      </c>
      <c r="I620" s="8">
        <v>0</v>
      </c>
      <c r="J620" s="8">
        <v>0</v>
      </c>
      <c r="K620" s="5">
        <f t="shared" si="25"/>
        <v>185</v>
      </c>
    </row>
    <row r="621" spans="1:11" ht="14.25">
      <c r="A621" s="7">
        <v>604</v>
      </c>
      <c r="B621" s="5">
        <v>1</v>
      </c>
      <c r="C621" s="7">
        <v>0</v>
      </c>
      <c r="D621" s="5">
        <v>0</v>
      </c>
      <c r="E621" s="5">
        <v>0</v>
      </c>
      <c r="F621" s="5">
        <f t="shared" si="24"/>
        <v>185000</v>
      </c>
      <c r="G621" s="8">
        <v>12</v>
      </c>
      <c r="H621" s="8">
        <v>0</v>
      </c>
      <c r="I621" s="8">
        <v>0</v>
      </c>
      <c r="J621" s="8">
        <v>0</v>
      </c>
      <c r="K621" s="5">
        <f t="shared" si="25"/>
        <v>185</v>
      </c>
    </row>
    <row r="622" spans="1:11" ht="14.25">
      <c r="A622" s="7">
        <v>605</v>
      </c>
      <c r="B622" s="5">
        <v>1</v>
      </c>
      <c r="C622" s="7">
        <v>0</v>
      </c>
      <c r="D622" s="5">
        <v>0</v>
      </c>
      <c r="E622" s="5">
        <v>0</v>
      </c>
      <c r="F622" s="5">
        <f t="shared" si="24"/>
        <v>185000</v>
      </c>
      <c r="G622" s="8">
        <v>12</v>
      </c>
      <c r="H622" s="8">
        <v>0</v>
      </c>
      <c r="I622" s="8">
        <v>0</v>
      </c>
      <c r="J622" s="8">
        <v>0</v>
      </c>
      <c r="K622" s="5">
        <f t="shared" si="25"/>
        <v>185</v>
      </c>
    </row>
    <row r="623" spans="1:11" ht="14.25">
      <c r="A623" s="7">
        <v>606</v>
      </c>
      <c r="B623" s="5">
        <v>1</v>
      </c>
      <c r="C623" s="7">
        <v>0</v>
      </c>
      <c r="D623" s="5">
        <v>0</v>
      </c>
      <c r="E623" s="5">
        <v>0</v>
      </c>
      <c r="F623" s="5">
        <f t="shared" si="24"/>
        <v>185000</v>
      </c>
      <c r="G623" s="8">
        <v>12</v>
      </c>
      <c r="H623" s="8">
        <v>0</v>
      </c>
      <c r="I623" s="8">
        <v>0</v>
      </c>
      <c r="J623" s="8">
        <v>0</v>
      </c>
      <c r="K623" s="5">
        <f t="shared" si="25"/>
        <v>185</v>
      </c>
    </row>
    <row r="624" spans="1:11" ht="14.25">
      <c r="A624" s="7">
        <v>607</v>
      </c>
      <c r="B624" s="5">
        <v>1</v>
      </c>
      <c r="C624" s="7">
        <v>0</v>
      </c>
      <c r="D624" s="5">
        <v>0</v>
      </c>
      <c r="E624" s="5">
        <v>0</v>
      </c>
      <c r="F624" s="5">
        <f t="shared" si="24"/>
        <v>185000</v>
      </c>
      <c r="G624" s="8">
        <v>12</v>
      </c>
      <c r="H624" s="8">
        <v>0</v>
      </c>
      <c r="I624" s="8">
        <v>0</v>
      </c>
      <c r="J624" s="8">
        <v>0</v>
      </c>
      <c r="K624" s="5">
        <f t="shared" si="25"/>
        <v>185</v>
      </c>
    </row>
    <row r="625" spans="1:11" ht="14.25">
      <c r="A625" s="7">
        <v>608</v>
      </c>
      <c r="B625" s="5">
        <v>1</v>
      </c>
      <c r="C625" s="7">
        <v>0</v>
      </c>
      <c r="D625" s="5">
        <v>0</v>
      </c>
      <c r="E625" s="5">
        <v>0</v>
      </c>
      <c r="F625" s="5">
        <f t="shared" si="24"/>
        <v>185000</v>
      </c>
      <c r="G625" s="8">
        <v>12</v>
      </c>
      <c r="H625" s="8">
        <v>0</v>
      </c>
      <c r="I625" s="8">
        <v>0</v>
      </c>
      <c r="J625" s="8">
        <v>0</v>
      </c>
      <c r="K625" s="5">
        <f t="shared" si="25"/>
        <v>185</v>
      </c>
    </row>
    <row r="626" spans="1:11" ht="14.25">
      <c r="A626" s="7">
        <v>609</v>
      </c>
      <c r="B626" s="5">
        <v>1</v>
      </c>
      <c r="C626" s="7">
        <v>0</v>
      </c>
      <c r="D626" s="5">
        <v>0</v>
      </c>
      <c r="E626" s="5">
        <v>0</v>
      </c>
      <c r="F626" s="5">
        <f t="shared" si="24"/>
        <v>185000</v>
      </c>
      <c r="G626" s="8">
        <v>12</v>
      </c>
      <c r="H626" s="8">
        <v>0</v>
      </c>
      <c r="I626" s="8">
        <v>0</v>
      </c>
      <c r="J626" s="8">
        <v>0</v>
      </c>
      <c r="K626" s="5">
        <f t="shared" si="25"/>
        <v>185</v>
      </c>
    </row>
    <row r="627" spans="1:11" ht="14.25">
      <c r="A627" s="7">
        <v>610</v>
      </c>
      <c r="B627" s="5">
        <v>1</v>
      </c>
      <c r="C627" s="7">
        <v>0</v>
      </c>
      <c r="D627" s="5">
        <v>0</v>
      </c>
      <c r="E627" s="5">
        <v>0</v>
      </c>
      <c r="F627" s="5">
        <f t="shared" si="24"/>
        <v>185000</v>
      </c>
      <c r="G627" s="8">
        <v>12</v>
      </c>
      <c r="H627" s="8">
        <v>0</v>
      </c>
      <c r="I627" s="8">
        <v>0</v>
      </c>
      <c r="J627" s="8">
        <v>0</v>
      </c>
      <c r="K627" s="5">
        <f t="shared" si="25"/>
        <v>185</v>
      </c>
    </row>
    <row r="628" spans="1:11" ht="14.25">
      <c r="A628" s="7">
        <v>611</v>
      </c>
      <c r="B628" s="5">
        <v>1</v>
      </c>
      <c r="C628" s="7">
        <v>0</v>
      </c>
      <c r="D628" s="5">
        <v>0</v>
      </c>
      <c r="E628" s="5">
        <v>0</v>
      </c>
      <c r="F628" s="5">
        <f t="shared" si="24"/>
        <v>190000</v>
      </c>
      <c r="G628" s="8">
        <v>12</v>
      </c>
      <c r="H628" s="8">
        <v>0</v>
      </c>
      <c r="I628" s="8">
        <v>0</v>
      </c>
      <c r="J628" s="8">
        <v>0</v>
      </c>
      <c r="K628" s="5">
        <f t="shared" si="25"/>
        <v>190</v>
      </c>
    </row>
    <row r="629" spans="1:11" ht="14.25">
      <c r="A629" s="7">
        <v>612</v>
      </c>
      <c r="B629" s="5">
        <v>1</v>
      </c>
      <c r="C629" s="7">
        <v>0</v>
      </c>
      <c r="D629" s="5">
        <v>0</v>
      </c>
      <c r="E629" s="5">
        <v>0</v>
      </c>
      <c r="F629" s="5">
        <f t="shared" si="24"/>
        <v>190000</v>
      </c>
      <c r="G629" s="8">
        <v>12</v>
      </c>
      <c r="H629" s="8">
        <v>0</v>
      </c>
      <c r="I629" s="8">
        <v>0</v>
      </c>
      <c r="J629" s="8">
        <v>0</v>
      </c>
      <c r="K629" s="5">
        <f t="shared" si="25"/>
        <v>190</v>
      </c>
    </row>
    <row r="630" spans="1:11" ht="14.25">
      <c r="A630" s="7">
        <v>613</v>
      </c>
      <c r="B630" s="5">
        <v>1</v>
      </c>
      <c r="C630" s="7">
        <v>0</v>
      </c>
      <c r="D630" s="5">
        <v>0</v>
      </c>
      <c r="E630" s="5">
        <v>0</v>
      </c>
      <c r="F630" s="5">
        <f t="shared" si="24"/>
        <v>190000</v>
      </c>
      <c r="G630" s="8">
        <v>12</v>
      </c>
      <c r="H630" s="8">
        <v>0</v>
      </c>
      <c r="I630" s="8">
        <v>0</v>
      </c>
      <c r="J630" s="8">
        <v>0</v>
      </c>
      <c r="K630" s="5">
        <f t="shared" si="25"/>
        <v>190</v>
      </c>
    </row>
    <row r="631" spans="1:11" ht="14.25">
      <c r="A631" s="7">
        <v>614</v>
      </c>
      <c r="B631" s="5">
        <v>1</v>
      </c>
      <c r="C631" s="7">
        <v>0</v>
      </c>
      <c r="D631" s="5">
        <v>0</v>
      </c>
      <c r="E631" s="5">
        <v>0</v>
      </c>
      <c r="F631" s="5">
        <f t="shared" si="24"/>
        <v>190000</v>
      </c>
      <c r="G631" s="8">
        <v>12</v>
      </c>
      <c r="H631" s="8">
        <v>0</v>
      </c>
      <c r="I631" s="8">
        <v>0</v>
      </c>
      <c r="J631" s="8">
        <v>0</v>
      </c>
      <c r="K631" s="5">
        <f t="shared" si="25"/>
        <v>190</v>
      </c>
    </row>
    <row r="632" spans="1:11" ht="14.25">
      <c r="A632" s="7">
        <v>615</v>
      </c>
      <c r="B632" s="5">
        <v>1</v>
      </c>
      <c r="C632" s="7">
        <v>0</v>
      </c>
      <c r="D632" s="5">
        <v>0</v>
      </c>
      <c r="E632" s="5">
        <v>0</v>
      </c>
      <c r="F632" s="5">
        <f t="shared" si="24"/>
        <v>190000</v>
      </c>
      <c r="G632" s="8">
        <v>12</v>
      </c>
      <c r="H632" s="8">
        <v>0</v>
      </c>
      <c r="I632" s="8">
        <v>0</v>
      </c>
      <c r="J632" s="8">
        <v>0</v>
      </c>
      <c r="K632" s="5">
        <f t="shared" si="25"/>
        <v>190</v>
      </c>
    </row>
    <row r="633" spans="1:11" ht="14.25">
      <c r="A633" s="7">
        <v>616</v>
      </c>
      <c r="B633" s="5">
        <v>1</v>
      </c>
      <c r="C633" s="7">
        <v>0</v>
      </c>
      <c r="D633" s="5">
        <v>0</v>
      </c>
      <c r="E633" s="5">
        <v>0</v>
      </c>
      <c r="F633" s="5">
        <f t="shared" si="24"/>
        <v>190000</v>
      </c>
      <c r="G633" s="8">
        <v>12</v>
      </c>
      <c r="H633" s="8">
        <v>0</v>
      </c>
      <c r="I633" s="8">
        <v>0</v>
      </c>
      <c r="J633" s="8">
        <v>0</v>
      </c>
      <c r="K633" s="5">
        <f t="shared" si="25"/>
        <v>190</v>
      </c>
    </row>
    <row r="634" spans="1:11" ht="14.25">
      <c r="A634" s="7">
        <v>617</v>
      </c>
      <c r="B634" s="5">
        <v>1</v>
      </c>
      <c r="C634" s="7">
        <v>0</v>
      </c>
      <c r="D634" s="5">
        <v>0</v>
      </c>
      <c r="E634" s="5">
        <v>0</v>
      </c>
      <c r="F634" s="5">
        <f t="shared" si="24"/>
        <v>190000</v>
      </c>
      <c r="G634" s="8">
        <v>12</v>
      </c>
      <c r="H634" s="8">
        <v>0</v>
      </c>
      <c r="I634" s="8">
        <v>0</v>
      </c>
      <c r="J634" s="8">
        <v>0</v>
      </c>
      <c r="K634" s="5">
        <f t="shared" si="25"/>
        <v>190</v>
      </c>
    </row>
    <row r="635" spans="1:11" ht="14.25">
      <c r="A635" s="7">
        <v>618</v>
      </c>
      <c r="B635" s="5">
        <v>1</v>
      </c>
      <c r="C635" s="7">
        <v>0</v>
      </c>
      <c r="D635" s="5">
        <v>0</v>
      </c>
      <c r="E635" s="5">
        <v>0</v>
      </c>
      <c r="F635" s="5">
        <f t="shared" si="24"/>
        <v>190000</v>
      </c>
      <c r="G635" s="8">
        <v>12</v>
      </c>
      <c r="H635" s="8">
        <v>0</v>
      </c>
      <c r="I635" s="8">
        <v>0</v>
      </c>
      <c r="J635" s="8">
        <v>0</v>
      </c>
      <c r="K635" s="5">
        <f t="shared" si="25"/>
        <v>190</v>
      </c>
    </row>
    <row r="636" spans="1:11" ht="14.25">
      <c r="A636" s="7">
        <v>619</v>
      </c>
      <c r="B636" s="5">
        <v>1</v>
      </c>
      <c r="C636" s="7">
        <v>0</v>
      </c>
      <c r="D636" s="5">
        <v>0</v>
      </c>
      <c r="E636" s="5">
        <v>0</v>
      </c>
      <c r="F636" s="5">
        <f t="shared" si="24"/>
        <v>190000</v>
      </c>
      <c r="G636" s="8">
        <v>12</v>
      </c>
      <c r="H636" s="8">
        <v>0</v>
      </c>
      <c r="I636" s="8">
        <v>0</v>
      </c>
      <c r="J636" s="8">
        <v>0</v>
      </c>
      <c r="K636" s="5">
        <f t="shared" si="25"/>
        <v>190</v>
      </c>
    </row>
    <row r="637" spans="1:11" ht="14.25">
      <c r="A637" s="7">
        <v>620</v>
      </c>
      <c r="B637" s="5">
        <v>1</v>
      </c>
      <c r="C637" s="7">
        <v>0</v>
      </c>
      <c r="D637" s="5">
        <v>0</v>
      </c>
      <c r="E637" s="5">
        <v>0</v>
      </c>
      <c r="F637" s="5">
        <f t="shared" si="24"/>
        <v>190000</v>
      </c>
      <c r="G637" s="8">
        <v>12</v>
      </c>
      <c r="H637" s="8">
        <v>0</v>
      </c>
      <c r="I637" s="8">
        <v>0</v>
      </c>
      <c r="J637" s="8">
        <v>0</v>
      </c>
      <c r="K637" s="5">
        <f t="shared" si="25"/>
        <v>190</v>
      </c>
    </row>
    <row r="638" spans="1:11" ht="14.25">
      <c r="A638" s="7">
        <v>621</v>
      </c>
      <c r="B638" s="5">
        <v>1</v>
      </c>
      <c r="C638" s="7">
        <v>0</v>
      </c>
      <c r="D638" s="5">
        <v>0</v>
      </c>
      <c r="E638" s="5">
        <v>0</v>
      </c>
      <c r="F638" s="5">
        <f t="shared" si="24"/>
        <v>190000</v>
      </c>
      <c r="G638" s="8">
        <v>12</v>
      </c>
      <c r="H638" s="8">
        <v>0</v>
      </c>
      <c r="I638" s="8">
        <v>0</v>
      </c>
      <c r="J638" s="8">
        <v>0</v>
      </c>
      <c r="K638" s="5">
        <f t="shared" si="25"/>
        <v>190</v>
      </c>
    </row>
    <row r="639" spans="1:11" ht="14.25">
      <c r="A639" s="7">
        <v>622</v>
      </c>
      <c r="B639" s="5">
        <v>1</v>
      </c>
      <c r="C639" s="7">
        <v>0</v>
      </c>
      <c r="D639" s="5">
        <v>0</v>
      </c>
      <c r="E639" s="5">
        <v>0</v>
      </c>
      <c r="F639" s="5">
        <f t="shared" si="24"/>
        <v>190000</v>
      </c>
      <c r="G639" s="8">
        <v>12</v>
      </c>
      <c r="H639" s="8">
        <v>0</v>
      </c>
      <c r="I639" s="8">
        <v>0</v>
      </c>
      <c r="J639" s="8">
        <v>0</v>
      </c>
      <c r="K639" s="5">
        <f t="shared" si="25"/>
        <v>190</v>
      </c>
    </row>
    <row r="640" spans="1:11" ht="14.25">
      <c r="A640" s="7">
        <v>623</v>
      </c>
      <c r="B640" s="5">
        <v>1</v>
      </c>
      <c r="C640" s="7">
        <v>0</v>
      </c>
      <c r="D640" s="5">
        <v>0</v>
      </c>
      <c r="E640" s="5">
        <v>0</v>
      </c>
      <c r="F640" s="5">
        <f t="shared" si="24"/>
        <v>190000</v>
      </c>
      <c r="G640" s="8">
        <v>12</v>
      </c>
      <c r="H640" s="8">
        <v>0</v>
      </c>
      <c r="I640" s="8">
        <v>0</v>
      </c>
      <c r="J640" s="8">
        <v>0</v>
      </c>
      <c r="K640" s="5">
        <f t="shared" si="25"/>
        <v>190</v>
      </c>
    </row>
    <row r="641" spans="1:11" ht="14.25">
      <c r="A641" s="7">
        <v>624</v>
      </c>
      <c r="B641" s="5">
        <v>1</v>
      </c>
      <c r="C641" s="7">
        <v>0</v>
      </c>
      <c r="D641" s="5">
        <v>0</v>
      </c>
      <c r="E641" s="5">
        <v>0</v>
      </c>
      <c r="F641" s="5">
        <f t="shared" si="24"/>
        <v>190000</v>
      </c>
      <c r="G641" s="8">
        <v>12</v>
      </c>
      <c r="H641" s="8">
        <v>0</v>
      </c>
      <c r="I641" s="8">
        <v>0</v>
      </c>
      <c r="J641" s="8">
        <v>0</v>
      </c>
      <c r="K641" s="5">
        <f t="shared" si="25"/>
        <v>190</v>
      </c>
    </row>
    <row r="642" spans="1:11" ht="14.25">
      <c r="A642" s="7">
        <v>625</v>
      </c>
      <c r="B642" s="5">
        <v>1</v>
      </c>
      <c r="C642" s="7">
        <v>0</v>
      </c>
      <c r="D642" s="5">
        <v>0</v>
      </c>
      <c r="E642" s="5">
        <v>0</v>
      </c>
      <c r="F642" s="5">
        <f t="shared" si="24"/>
        <v>190000</v>
      </c>
      <c r="G642" s="8">
        <v>12</v>
      </c>
      <c r="H642" s="8">
        <v>0</v>
      </c>
      <c r="I642" s="8">
        <v>0</v>
      </c>
      <c r="J642" s="8">
        <v>0</v>
      </c>
      <c r="K642" s="5">
        <f t="shared" si="25"/>
        <v>190</v>
      </c>
    </row>
    <row r="643" spans="1:11" ht="14.25">
      <c r="A643" s="7">
        <v>626</v>
      </c>
      <c r="B643" s="5">
        <v>1</v>
      </c>
      <c r="C643" s="7">
        <v>0</v>
      </c>
      <c r="D643" s="5">
        <v>0</v>
      </c>
      <c r="E643" s="5">
        <v>0</v>
      </c>
      <c r="F643" s="5">
        <f t="shared" si="24"/>
        <v>190000</v>
      </c>
      <c r="G643" s="8">
        <v>12</v>
      </c>
      <c r="H643" s="8">
        <v>0</v>
      </c>
      <c r="I643" s="8">
        <v>0</v>
      </c>
      <c r="J643" s="8">
        <v>0</v>
      </c>
      <c r="K643" s="5">
        <f t="shared" si="25"/>
        <v>190</v>
      </c>
    </row>
    <row r="644" spans="1:11" ht="14.25">
      <c r="A644" s="7">
        <v>627</v>
      </c>
      <c r="B644" s="5">
        <v>1</v>
      </c>
      <c r="C644" s="7">
        <v>0</v>
      </c>
      <c r="D644" s="5">
        <v>0</v>
      </c>
      <c r="E644" s="5">
        <v>0</v>
      </c>
      <c r="F644" s="5">
        <f t="shared" si="24"/>
        <v>190000</v>
      </c>
      <c r="G644" s="8">
        <v>12</v>
      </c>
      <c r="H644" s="8">
        <v>0</v>
      </c>
      <c r="I644" s="8">
        <v>0</v>
      </c>
      <c r="J644" s="8">
        <v>0</v>
      </c>
      <c r="K644" s="5">
        <f t="shared" si="25"/>
        <v>190</v>
      </c>
    </row>
    <row r="645" spans="1:11" ht="14.25">
      <c r="A645" s="7">
        <v>628</v>
      </c>
      <c r="B645" s="5">
        <v>1</v>
      </c>
      <c r="C645" s="7">
        <v>0</v>
      </c>
      <c r="D645" s="5">
        <v>0</v>
      </c>
      <c r="E645" s="5">
        <v>0</v>
      </c>
      <c r="F645" s="5">
        <f t="shared" si="24"/>
        <v>190000</v>
      </c>
      <c r="G645" s="8">
        <v>12</v>
      </c>
      <c r="H645" s="8">
        <v>0</v>
      </c>
      <c r="I645" s="8">
        <v>0</v>
      </c>
      <c r="J645" s="8">
        <v>0</v>
      </c>
      <c r="K645" s="5">
        <f t="shared" si="25"/>
        <v>190</v>
      </c>
    </row>
    <row r="646" spans="1:11" ht="14.25">
      <c r="A646" s="7">
        <v>629</v>
      </c>
      <c r="B646" s="5">
        <v>1</v>
      </c>
      <c r="C646" s="7">
        <v>0</v>
      </c>
      <c r="D646" s="5">
        <v>0</v>
      </c>
      <c r="E646" s="5">
        <v>0</v>
      </c>
      <c r="F646" s="5">
        <f t="shared" si="24"/>
        <v>190000</v>
      </c>
      <c r="G646" s="8">
        <v>12</v>
      </c>
      <c r="H646" s="8">
        <v>0</v>
      </c>
      <c r="I646" s="8">
        <v>0</v>
      </c>
      <c r="J646" s="8">
        <v>0</v>
      </c>
      <c r="K646" s="5">
        <f t="shared" si="25"/>
        <v>190</v>
      </c>
    </row>
    <row r="647" spans="1:11" ht="14.25">
      <c r="A647" s="7">
        <v>630</v>
      </c>
      <c r="B647" s="5">
        <v>1</v>
      </c>
      <c r="C647" s="7">
        <v>0</v>
      </c>
      <c r="D647" s="5">
        <v>0</v>
      </c>
      <c r="E647" s="5">
        <v>0</v>
      </c>
      <c r="F647" s="5">
        <f t="shared" si="24"/>
        <v>190000</v>
      </c>
      <c r="G647" s="8">
        <v>12</v>
      </c>
      <c r="H647" s="8">
        <v>0</v>
      </c>
      <c r="I647" s="8">
        <v>0</v>
      </c>
      <c r="J647" s="8">
        <v>0</v>
      </c>
      <c r="K647" s="5">
        <f t="shared" si="25"/>
        <v>190</v>
      </c>
    </row>
    <row r="648" spans="1:11" ht="14.25">
      <c r="A648" s="7">
        <v>631</v>
      </c>
      <c r="B648" s="5">
        <v>1</v>
      </c>
      <c r="C648" s="7">
        <v>0</v>
      </c>
      <c r="D648" s="5">
        <v>0</v>
      </c>
      <c r="E648" s="5">
        <v>0</v>
      </c>
      <c r="F648" s="5">
        <f t="shared" si="24"/>
        <v>190000</v>
      </c>
      <c r="G648" s="8">
        <v>12</v>
      </c>
      <c r="H648" s="8">
        <v>0</v>
      </c>
      <c r="I648" s="8">
        <v>0</v>
      </c>
      <c r="J648" s="8">
        <v>0</v>
      </c>
      <c r="K648" s="5">
        <f t="shared" si="25"/>
        <v>190</v>
      </c>
    </row>
    <row r="649" spans="1:11" ht="14.25">
      <c r="A649" s="7">
        <v>632</v>
      </c>
      <c r="B649" s="5">
        <v>1</v>
      </c>
      <c r="C649" s="7">
        <v>0</v>
      </c>
      <c r="D649" s="5">
        <v>0</v>
      </c>
      <c r="E649" s="5">
        <v>0</v>
      </c>
      <c r="F649" s="5">
        <f t="shared" si="24"/>
        <v>190000</v>
      </c>
      <c r="G649" s="8">
        <v>12</v>
      </c>
      <c r="H649" s="8">
        <v>0</v>
      </c>
      <c r="I649" s="8">
        <v>0</v>
      </c>
      <c r="J649" s="8">
        <v>0</v>
      </c>
      <c r="K649" s="5">
        <f t="shared" si="25"/>
        <v>190</v>
      </c>
    </row>
    <row r="650" spans="1:11" ht="14.25">
      <c r="A650" s="7">
        <v>633</v>
      </c>
      <c r="B650" s="5">
        <v>1</v>
      </c>
      <c r="C650" s="7">
        <v>0</v>
      </c>
      <c r="D650" s="5">
        <v>0</v>
      </c>
      <c r="E650" s="5">
        <v>0</v>
      </c>
      <c r="F650" s="5">
        <f t="shared" si="24"/>
        <v>190000</v>
      </c>
      <c r="G650" s="8">
        <v>12</v>
      </c>
      <c r="H650" s="8">
        <v>0</v>
      </c>
      <c r="I650" s="8">
        <v>0</v>
      </c>
      <c r="J650" s="8">
        <v>0</v>
      </c>
      <c r="K650" s="5">
        <f t="shared" si="25"/>
        <v>190</v>
      </c>
    </row>
    <row r="651" spans="1:11" ht="14.25">
      <c r="A651" s="7">
        <v>634</v>
      </c>
      <c r="B651" s="5">
        <v>1</v>
      </c>
      <c r="C651" s="7">
        <v>0</v>
      </c>
      <c r="D651" s="5">
        <v>0</v>
      </c>
      <c r="E651" s="5">
        <v>0</v>
      </c>
      <c r="F651" s="5">
        <f t="shared" si="24"/>
        <v>190000</v>
      </c>
      <c r="G651" s="8">
        <v>12</v>
      </c>
      <c r="H651" s="8">
        <v>0</v>
      </c>
      <c r="I651" s="8">
        <v>0</v>
      </c>
      <c r="J651" s="8">
        <v>0</v>
      </c>
      <c r="K651" s="5">
        <f t="shared" si="25"/>
        <v>190</v>
      </c>
    </row>
    <row r="652" spans="1:11" ht="14.25">
      <c r="A652" s="7">
        <v>635</v>
      </c>
      <c r="B652" s="5">
        <v>1</v>
      </c>
      <c r="C652" s="7">
        <v>0</v>
      </c>
      <c r="D652" s="5">
        <v>0</v>
      </c>
      <c r="E652" s="5">
        <v>0</v>
      </c>
      <c r="F652" s="5">
        <f t="shared" si="24"/>
        <v>190000</v>
      </c>
      <c r="G652" s="8">
        <v>12</v>
      </c>
      <c r="H652" s="8">
        <v>0</v>
      </c>
      <c r="I652" s="8">
        <v>0</v>
      </c>
      <c r="J652" s="8">
        <v>0</v>
      </c>
      <c r="K652" s="5">
        <f t="shared" si="25"/>
        <v>190</v>
      </c>
    </row>
    <row r="653" spans="1:11" ht="14.25">
      <c r="A653" s="7">
        <v>636</v>
      </c>
      <c r="B653" s="5">
        <v>1</v>
      </c>
      <c r="C653" s="7">
        <v>0</v>
      </c>
      <c r="D653" s="5">
        <v>0</v>
      </c>
      <c r="E653" s="5">
        <v>0</v>
      </c>
      <c r="F653" s="5">
        <f t="shared" si="24"/>
        <v>190000</v>
      </c>
      <c r="G653" s="8">
        <v>12</v>
      </c>
      <c r="H653" s="8">
        <v>0</v>
      </c>
      <c r="I653" s="8">
        <v>0</v>
      </c>
      <c r="J653" s="8">
        <v>0</v>
      </c>
      <c r="K653" s="5">
        <f t="shared" si="25"/>
        <v>190</v>
      </c>
    </row>
    <row r="654" spans="1:11" ht="14.25">
      <c r="A654" s="7">
        <v>637</v>
      </c>
      <c r="B654" s="5">
        <v>1</v>
      </c>
      <c r="C654" s="7">
        <v>0</v>
      </c>
      <c r="D654" s="5">
        <v>0</v>
      </c>
      <c r="E654" s="5">
        <v>0</v>
      </c>
      <c r="F654" s="5">
        <f t="shared" si="24"/>
        <v>190000</v>
      </c>
      <c r="G654" s="8">
        <v>12</v>
      </c>
      <c r="H654" s="8">
        <v>0</v>
      </c>
      <c r="I654" s="8">
        <v>0</v>
      </c>
      <c r="J654" s="8">
        <v>0</v>
      </c>
      <c r="K654" s="5">
        <f t="shared" si="25"/>
        <v>190</v>
      </c>
    </row>
    <row r="655" spans="1:11" ht="14.25">
      <c r="A655" s="7">
        <v>638</v>
      </c>
      <c r="B655" s="5">
        <v>1</v>
      </c>
      <c r="C655" s="7">
        <v>0</v>
      </c>
      <c r="D655" s="5">
        <v>0</v>
      </c>
      <c r="E655" s="5">
        <v>0</v>
      </c>
      <c r="F655" s="5">
        <f t="shared" si="24"/>
        <v>190000</v>
      </c>
      <c r="G655" s="8">
        <v>12</v>
      </c>
      <c r="H655" s="8">
        <v>0</v>
      </c>
      <c r="I655" s="8">
        <v>0</v>
      </c>
      <c r="J655" s="8">
        <v>0</v>
      </c>
      <c r="K655" s="5">
        <f t="shared" si="25"/>
        <v>190</v>
      </c>
    </row>
    <row r="656" spans="1:11" ht="14.25">
      <c r="A656" s="7">
        <v>639</v>
      </c>
      <c r="B656" s="5">
        <v>1</v>
      </c>
      <c r="C656" s="7">
        <v>0</v>
      </c>
      <c r="D656" s="5">
        <v>0</v>
      </c>
      <c r="E656" s="5">
        <v>0</v>
      </c>
      <c r="F656" s="5">
        <f t="shared" si="24"/>
        <v>190000</v>
      </c>
      <c r="G656" s="8">
        <v>12</v>
      </c>
      <c r="H656" s="8">
        <v>0</v>
      </c>
      <c r="I656" s="8">
        <v>0</v>
      </c>
      <c r="J656" s="8">
        <v>0</v>
      </c>
      <c r="K656" s="5">
        <f t="shared" si="25"/>
        <v>190</v>
      </c>
    </row>
    <row r="657" spans="1:11" ht="14.25">
      <c r="A657" s="7">
        <v>640</v>
      </c>
      <c r="B657" s="5">
        <v>1</v>
      </c>
      <c r="C657" s="7">
        <v>0</v>
      </c>
      <c r="D657" s="5">
        <v>0</v>
      </c>
      <c r="E657" s="5">
        <v>0</v>
      </c>
      <c r="F657" s="5">
        <f t="shared" si="24"/>
        <v>190000</v>
      </c>
      <c r="G657" s="8">
        <v>12</v>
      </c>
      <c r="H657" s="8">
        <v>0</v>
      </c>
      <c r="I657" s="8">
        <v>0</v>
      </c>
      <c r="J657" s="8">
        <v>0</v>
      </c>
      <c r="K657" s="5">
        <f t="shared" si="25"/>
        <v>190</v>
      </c>
    </row>
    <row r="658" spans="1:11" ht="14.25">
      <c r="A658" s="7">
        <v>641</v>
      </c>
      <c r="B658" s="5">
        <v>1</v>
      </c>
      <c r="C658" s="7">
        <v>0</v>
      </c>
      <c r="D658" s="5">
        <v>0</v>
      </c>
      <c r="E658" s="5">
        <v>0</v>
      </c>
      <c r="F658" s="5">
        <f t="shared" si="24"/>
        <v>190000</v>
      </c>
      <c r="G658" s="8">
        <v>12</v>
      </c>
      <c r="H658" s="8">
        <v>0</v>
      </c>
      <c r="I658" s="8">
        <v>0</v>
      </c>
      <c r="J658" s="8">
        <v>0</v>
      </c>
      <c r="K658" s="5">
        <f t="shared" si="25"/>
        <v>190</v>
      </c>
    </row>
    <row r="659" spans="1:11" ht="14.25">
      <c r="A659" s="7">
        <v>642</v>
      </c>
      <c r="B659" s="5">
        <v>1</v>
      </c>
      <c r="C659" s="7">
        <v>0</v>
      </c>
      <c r="D659" s="5">
        <v>0</v>
      </c>
      <c r="E659" s="5">
        <v>0</v>
      </c>
      <c r="F659" s="5">
        <f t="shared" si="24"/>
        <v>190000</v>
      </c>
      <c r="G659" s="8">
        <v>12</v>
      </c>
      <c r="H659" s="8">
        <v>0</v>
      </c>
      <c r="I659" s="8">
        <v>0</v>
      </c>
      <c r="J659" s="8">
        <v>0</v>
      </c>
      <c r="K659" s="5">
        <f t="shared" si="25"/>
        <v>190</v>
      </c>
    </row>
    <row r="660" spans="1:11" ht="14.25">
      <c r="A660" s="7">
        <v>643</v>
      </c>
      <c r="B660" s="5">
        <v>1</v>
      </c>
      <c r="C660" s="7">
        <v>0</v>
      </c>
      <c r="D660" s="5">
        <v>0</v>
      </c>
      <c r="E660" s="5">
        <v>0</v>
      </c>
      <c r="F660" s="5">
        <f t="shared" si="24"/>
        <v>190000</v>
      </c>
      <c r="G660" s="8">
        <v>12</v>
      </c>
      <c r="H660" s="8">
        <v>0</v>
      </c>
      <c r="I660" s="8">
        <v>0</v>
      </c>
      <c r="J660" s="8">
        <v>0</v>
      </c>
      <c r="K660" s="5">
        <f t="shared" si="25"/>
        <v>190</v>
      </c>
    </row>
    <row r="661" spans="1:11" ht="14.25">
      <c r="A661" s="7">
        <v>644</v>
      </c>
      <c r="B661" s="5">
        <v>1</v>
      </c>
      <c r="C661" s="7">
        <v>0</v>
      </c>
      <c r="D661" s="5">
        <v>0</v>
      </c>
      <c r="E661" s="5">
        <v>0</v>
      </c>
      <c r="F661" s="5">
        <f t="shared" si="24"/>
        <v>190000</v>
      </c>
      <c r="G661" s="8">
        <v>12</v>
      </c>
      <c r="H661" s="8">
        <v>0</v>
      </c>
      <c r="I661" s="8">
        <v>0</v>
      </c>
      <c r="J661" s="8">
        <v>0</v>
      </c>
      <c r="K661" s="5">
        <f t="shared" si="25"/>
        <v>190</v>
      </c>
    </row>
    <row r="662" spans="1:11" ht="14.25">
      <c r="A662" s="7">
        <v>645</v>
      </c>
      <c r="B662" s="5">
        <v>1</v>
      </c>
      <c r="C662" s="7">
        <v>0</v>
      </c>
      <c r="D662" s="5">
        <v>0</v>
      </c>
      <c r="E662" s="5">
        <v>0</v>
      </c>
      <c r="F662" s="5">
        <f t="shared" si="24"/>
        <v>190000</v>
      </c>
      <c r="G662" s="8">
        <v>12</v>
      </c>
      <c r="H662" s="8">
        <v>0</v>
      </c>
      <c r="I662" s="8">
        <v>0</v>
      </c>
      <c r="J662" s="8">
        <v>0</v>
      </c>
      <c r="K662" s="5">
        <f t="shared" si="25"/>
        <v>190</v>
      </c>
    </row>
    <row r="663" spans="1:11" ht="14.25">
      <c r="A663" s="7">
        <v>646</v>
      </c>
      <c r="B663" s="5">
        <v>1</v>
      </c>
      <c r="C663" s="7">
        <v>0</v>
      </c>
      <c r="D663" s="5">
        <v>0</v>
      </c>
      <c r="E663" s="5">
        <v>0</v>
      </c>
      <c r="F663" s="5">
        <f t="shared" si="24"/>
        <v>190000</v>
      </c>
      <c r="G663" s="8">
        <v>12</v>
      </c>
      <c r="H663" s="8">
        <v>0</v>
      </c>
      <c r="I663" s="8">
        <v>0</v>
      </c>
      <c r="J663" s="8">
        <v>0</v>
      </c>
      <c r="K663" s="5">
        <f t="shared" si="25"/>
        <v>190</v>
      </c>
    </row>
    <row r="664" spans="1:11" ht="14.25">
      <c r="A664" s="7">
        <v>647</v>
      </c>
      <c r="B664" s="5">
        <v>1</v>
      </c>
      <c r="C664" s="7">
        <v>0</v>
      </c>
      <c r="D664" s="5">
        <v>0</v>
      </c>
      <c r="E664" s="5">
        <v>0</v>
      </c>
      <c r="F664" s="5">
        <f t="shared" si="24"/>
        <v>190000</v>
      </c>
      <c r="G664" s="8">
        <v>12</v>
      </c>
      <c r="H664" s="8">
        <v>0</v>
      </c>
      <c r="I664" s="8">
        <v>0</v>
      </c>
      <c r="J664" s="8">
        <v>0</v>
      </c>
      <c r="K664" s="5">
        <f t="shared" si="25"/>
        <v>190</v>
      </c>
    </row>
    <row r="665" spans="1:11" ht="14.25">
      <c r="A665" s="7">
        <v>648</v>
      </c>
      <c r="B665" s="5">
        <v>1</v>
      </c>
      <c r="C665" s="7">
        <v>0</v>
      </c>
      <c r="D665" s="5">
        <v>0</v>
      </c>
      <c r="E665" s="5">
        <v>0</v>
      </c>
      <c r="F665" s="5">
        <f t="shared" si="24"/>
        <v>190000</v>
      </c>
      <c r="G665" s="8">
        <v>12</v>
      </c>
      <c r="H665" s="8">
        <v>0</v>
      </c>
      <c r="I665" s="8">
        <v>0</v>
      </c>
      <c r="J665" s="8">
        <v>0</v>
      </c>
      <c r="K665" s="5">
        <f t="shared" si="25"/>
        <v>190</v>
      </c>
    </row>
    <row r="666" spans="1:11" ht="14.25">
      <c r="A666" s="7">
        <v>649</v>
      </c>
      <c r="B666" s="5">
        <v>1</v>
      </c>
      <c r="C666" s="7">
        <v>0</v>
      </c>
      <c r="D666" s="5">
        <v>0</v>
      </c>
      <c r="E666" s="5">
        <v>0</v>
      </c>
      <c r="F666" s="5">
        <f t="shared" si="24"/>
        <v>190000</v>
      </c>
      <c r="G666" s="8">
        <v>12</v>
      </c>
      <c r="H666" s="8">
        <v>0</v>
      </c>
      <c r="I666" s="8">
        <v>0</v>
      </c>
      <c r="J666" s="8">
        <v>0</v>
      </c>
      <c r="K666" s="5">
        <f t="shared" si="25"/>
        <v>190</v>
      </c>
    </row>
    <row r="667" spans="1:11" ht="14.25">
      <c r="A667" s="7">
        <v>650</v>
      </c>
      <c r="B667" s="5">
        <v>1</v>
      </c>
      <c r="C667" s="7">
        <v>0</v>
      </c>
      <c r="D667" s="5">
        <v>0</v>
      </c>
      <c r="E667" s="5">
        <v>0</v>
      </c>
      <c r="F667" s="5">
        <f t="shared" si="24"/>
        <v>190000</v>
      </c>
      <c r="G667" s="8">
        <v>12</v>
      </c>
      <c r="H667" s="8">
        <v>0</v>
      </c>
      <c r="I667" s="8">
        <v>0</v>
      </c>
      <c r="J667" s="8">
        <v>0</v>
      </c>
      <c r="K667" s="5">
        <f t="shared" si="25"/>
        <v>190</v>
      </c>
    </row>
    <row r="668" spans="1:11" ht="14.25">
      <c r="A668" s="7">
        <v>651</v>
      </c>
      <c r="B668" s="5">
        <v>1</v>
      </c>
      <c r="C668" s="7">
        <v>0</v>
      </c>
      <c r="D668" s="5">
        <v>0</v>
      </c>
      <c r="E668" s="5">
        <v>0</v>
      </c>
      <c r="F668" s="5">
        <f t="shared" si="24"/>
        <v>190000</v>
      </c>
      <c r="G668" s="8">
        <v>12</v>
      </c>
      <c r="H668" s="8">
        <v>0</v>
      </c>
      <c r="I668" s="8">
        <v>0</v>
      </c>
      <c r="J668" s="8">
        <v>0</v>
      </c>
      <c r="K668" s="5">
        <f t="shared" si="25"/>
        <v>190</v>
      </c>
    </row>
    <row r="669" spans="1:11" ht="14.25">
      <c r="A669" s="7">
        <v>652</v>
      </c>
      <c r="B669" s="5">
        <v>1</v>
      </c>
      <c r="C669" s="7">
        <v>0</v>
      </c>
      <c r="D669" s="5">
        <v>0</v>
      </c>
      <c r="E669" s="5">
        <v>0</v>
      </c>
      <c r="F669" s="5">
        <f t="shared" si="24"/>
        <v>190000</v>
      </c>
      <c r="G669" s="8">
        <v>12</v>
      </c>
      <c r="H669" s="8">
        <v>0</v>
      </c>
      <c r="I669" s="8">
        <v>0</v>
      </c>
      <c r="J669" s="8">
        <v>0</v>
      </c>
      <c r="K669" s="5">
        <f t="shared" si="25"/>
        <v>190</v>
      </c>
    </row>
    <row r="670" spans="1:11" ht="14.25">
      <c r="A670" s="7">
        <v>653</v>
      </c>
      <c r="B670" s="5">
        <v>1</v>
      </c>
      <c r="C670" s="7">
        <v>0</v>
      </c>
      <c r="D670" s="5">
        <v>0</v>
      </c>
      <c r="E670" s="5">
        <v>0</v>
      </c>
      <c r="F670" s="5">
        <f t="shared" si="24"/>
        <v>190000</v>
      </c>
      <c r="G670" s="8">
        <v>12</v>
      </c>
      <c r="H670" s="8">
        <v>0</v>
      </c>
      <c r="I670" s="8">
        <v>0</v>
      </c>
      <c r="J670" s="8">
        <v>0</v>
      </c>
      <c r="K670" s="5">
        <f t="shared" si="25"/>
        <v>190</v>
      </c>
    </row>
    <row r="671" spans="1:11" ht="14.25">
      <c r="A671" s="7">
        <v>654</v>
      </c>
      <c r="B671" s="5">
        <v>1</v>
      </c>
      <c r="C671" s="7">
        <v>0</v>
      </c>
      <c r="D671" s="5">
        <v>0</v>
      </c>
      <c r="E671" s="5">
        <v>0</v>
      </c>
      <c r="F671" s="5">
        <f t="shared" si="24"/>
        <v>190000</v>
      </c>
      <c r="G671" s="8">
        <v>12</v>
      </c>
      <c r="H671" s="8">
        <v>0</v>
      </c>
      <c r="I671" s="8">
        <v>0</v>
      </c>
      <c r="J671" s="8">
        <v>0</v>
      </c>
      <c r="K671" s="5">
        <f t="shared" si="25"/>
        <v>190</v>
      </c>
    </row>
    <row r="672" spans="1:11" ht="14.25">
      <c r="A672" s="7">
        <v>655</v>
      </c>
      <c r="B672" s="5">
        <v>1</v>
      </c>
      <c r="C672" s="7">
        <v>0</v>
      </c>
      <c r="D672" s="5">
        <v>0</v>
      </c>
      <c r="E672" s="5">
        <v>0</v>
      </c>
      <c r="F672" s="5">
        <f t="shared" si="24"/>
        <v>190000</v>
      </c>
      <c r="G672" s="8">
        <v>12</v>
      </c>
      <c r="H672" s="8">
        <v>0</v>
      </c>
      <c r="I672" s="8">
        <v>0</v>
      </c>
      <c r="J672" s="8">
        <v>0</v>
      </c>
      <c r="K672" s="5">
        <f t="shared" si="25"/>
        <v>190</v>
      </c>
    </row>
    <row r="673" spans="1:11" ht="14.25">
      <c r="A673" s="7">
        <v>656</v>
      </c>
      <c r="B673" s="5">
        <v>1</v>
      </c>
      <c r="C673" s="7">
        <v>0</v>
      </c>
      <c r="D673" s="5">
        <v>0</v>
      </c>
      <c r="E673" s="5">
        <v>0</v>
      </c>
      <c r="F673" s="5">
        <f t="shared" si="24"/>
        <v>190000</v>
      </c>
      <c r="G673" s="8">
        <v>12</v>
      </c>
      <c r="H673" s="8">
        <v>0</v>
      </c>
      <c r="I673" s="8">
        <v>0</v>
      </c>
      <c r="J673" s="8">
        <v>0</v>
      </c>
      <c r="K673" s="5">
        <f t="shared" si="25"/>
        <v>190</v>
      </c>
    </row>
    <row r="674" spans="1:11" ht="14.25">
      <c r="A674" s="7">
        <v>657</v>
      </c>
      <c r="B674" s="5">
        <v>1</v>
      </c>
      <c r="C674" s="7">
        <v>0</v>
      </c>
      <c r="D674" s="5">
        <v>0</v>
      </c>
      <c r="E674" s="5">
        <v>0</v>
      </c>
      <c r="F674" s="5">
        <f t="shared" si="24"/>
        <v>190000</v>
      </c>
      <c r="G674" s="8">
        <v>12</v>
      </c>
      <c r="H674" s="8">
        <v>0</v>
      </c>
      <c r="I674" s="8">
        <v>0</v>
      </c>
      <c r="J674" s="8">
        <v>0</v>
      </c>
      <c r="K674" s="5">
        <f t="shared" si="25"/>
        <v>190</v>
      </c>
    </row>
    <row r="675" spans="1:11" ht="14.25">
      <c r="A675" s="7">
        <v>658</v>
      </c>
      <c r="B675" s="5">
        <v>1</v>
      </c>
      <c r="C675" s="7">
        <v>0</v>
      </c>
      <c r="D675" s="5">
        <v>0</v>
      </c>
      <c r="E675" s="5">
        <v>0</v>
      </c>
      <c r="F675" s="5">
        <f t="shared" si="24"/>
        <v>190000</v>
      </c>
      <c r="G675" s="8">
        <v>12</v>
      </c>
      <c r="H675" s="8">
        <v>0</v>
      </c>
      <c r="I675" s="8">
        <v>0</v>
      </c>
      <c r="J675" s="8">
        <v>0</v>
      </c>
      <c r="K675" s="5">
        <f t="shared" si="25"/>
        <v>190</v>
      </c>
    </row>
    <row r="676" spans="1:11" ht="14.25">
      <c r="A676" s="7">
        <v>659</v>
      </c>
      <c r="B676" s="5">
        <v>1</v>
      </c>
      <c r="C676" s="7">
        <v>0</v>
      </c>
      <c r="D676" s="5">
        <v>0</v>
      </c>
      <c r="E676" s="5">
        <v>0</v>
      </c>
      <c r="F676" s="5">
        <f t="shared" si="24"/>
        <v>190000</v>
      </c>
      <c r="G676" s="8">
        <v>12</v>
      </c>
      <c r="H676" s="8">
        <v>0</v>
      </c>
      <c r="I676" s="8">
        <v>0</v>
      </c>
      <c r="J676" s="8">
        <v>0</v>
      </c>
      <c r="K676" s="5">
        <f t="shared" si="25"/>
        <v>190</v>
      </c>
    </row>
    <row r="677" spans="1:11" ht="14.25">
      <c r="A677" s="7">
        <v>660</v>
      </c>
      <c r="B677" s="5">
        <v>1</v>
      </c>
      <c r="C677" s="7">
        <v>0</v>
      </c>
      <c r="D677" s="5">
        <v>0</v>
      </c>
      <c r="E677" s="5">
        <v>0</v>
      </c>
      <c r="F677" s="5">
        <f t="shared" si="24"/>
        <v>190000</v>
      </c>
      <c r="G677" s="8">
        <v>12</v>
      </c>
      <c r="H677" s="8">
        <v>0</v>
      </c>
      <c r="I677" s="8">
        <v>0</v>
      </c>
      <c r="J677" s="8">
        <v>0</v>
      </c>
      <c r="K677" s="5">
        <f t="shared" si="25"/>
        <v>190</v>
      </c>
    </row>
    <row r="678" spans="1:11" ht="14.25">
      <c r="A678" s="7">
        <v>661</v>
      </c>
      <c r="B678" s="5">
        <v>1</v>
      </c>
      <c r="C678" s="7">
        <v>0</v>
      </c>
      <c r="D678" s="5">
        <v>0</v>
      </c>
      <c r="E678" s="5">
        <v>0</v>
      </c>
      <c r="F678" s="5">
        <f t="shared" si="24"/>
        <v>195000</v>
      </c>
      <c r="G678" s="8">
        <v>12</v>
      </c>
      <c r="H678" s="8">
        <v>0</v>
      </c>
      <c r="I678" s="8">
        <v>0</v>
      </c>
      <c r="J678" s="8">
        <v>0</v>
      </c>
      <c r="K678" s="5">
        <f t="shared" si="25"/>
        <v>195</v>
      </c>
    </row>
    <row r="679" spans="1:11" ht="14.25">
      <c r="A679" s="7">
        <v>662</v>
      </c>
      <c r="B679" s="5">
        <v>1</v>
      </c>
      <c r="C679" s="7">
        <v>0</v>
      </c>
      <c r="D679" s="5">
        <v>0</v>
      </c>
      <c r="E679" s="5">
        <v>0</v>
      </c>
      <c r="F679" s="5">
        <f t="shared" si="24"/>
        <v>195000</v>
      </c>
      <c r="G679" s="8">
        <v>12</v>
      </c>
      <c r="H679" s="8">
        <v>0</v>
      </c>
      <c r="I679" s="8">
        <v>0</v>
      </c>
      <c r="J679" s="8">
        <v>0</v>
      </c>
      <c r="K679" s="5">
        <f t="shared" si="25"/>
        <v>195</v>
      </c>
    </row>
    <row r="680" spans="1:11" ht="14.25">
      <c r="A680" s="7">
        <v>663</v>
      </c>
      <c r="B680" s="5">
        <v>1</v>
      </c>
      <c r="C680" s="7">
        <v>0</v>
      </c>
      <c r="D680" s="5">
        <v>0</v>
      </c>
      <c r="E680" s="5">
        <v>0</v>
      </c>
      <c r="F680" s="5">
        <f t="shared" si="24"/>
        <v>195000</v>
      </c>
      <c r="G680" s="8">
        <v>12</v>
      </c>
      <c r="H680" s="8">
        <v>0</v>
      </c>
      <c r="I680" s="8">
        <v>0</v>
      </c>
      <c r="J680" s="8">
        <v>0</v>
      </c>
      <c r="K680" s="5">
        <f t="shared" si="25"/>
        <v>195</v>
      </c>
    </row>
    <row r="681" spans="1:11" ht="14.25">
      <c r="A681" s="7">
        <v>664</v>
      </c>
      <c r="B681" s="5">
        <v>1</v>
      </c>
      <c r="C681" s="7">
        <v>0</v>
      </c>
      <c r="D681" s="5">
        <v>0</v>
      </c>
      <c r="E681" s="5">
        <v>0</v>
      </c>
      <c r="F681" s="5">
        <f t="shared" si="24"/>
        <v>195000</v>
      </c>
      <c r="G681" s="8">
        <v>12</v>
      </c>
      <c r="H681" s="8">
        <v>0</v>
      </c>
      <c r="I681" s="8">
        <v>0</v>
      </c>
      <c r="J681" s="8">
        <v>0</v>
      </c>
      <c r="K681" s="5">
        <f t="shared" si="25"/>
        <v>195</v>
      </c>
    </row>
    <row r="682" spans="1:11" ht="14.25">
      <c r="A682" s="7">
        <v>665</v>
      </c>
      <c r="B682" s="5">
        <v>1</v>
      </c>
      <c r="C682" s="7">
        <v>0</v>
      </c>
      <c r="D682" s="5">
        <v>0</v>
      </c>
      <c r="E682" s="5">
        <v>0</v>
      </c>
      <c r="F682" s="5">
        <f t="shared" si="24"/>
        <v>195000</v>
      </c>
      <c r="G682" s="8">
        <v>12</v>
      </c>
      <c r="H682" s="8">
        <v>0</v>
      </c>
      <c r="I682" s="8">
        <v>0</v>
      </c>
      <c r="J682" s="8">
        <v>0</v>
      </c>
      <c r="K682" s="5">
        <f t="shared" si="25"/>
        <v>195</v>
      </c>
    </row>
    <row r="683" spans="1:11" ht="14.25">
      <c r="A683" s="7">
        <v>666</v>
      </c>
      <c r="B683" s="5">
        <v>1</v>
      </c>
      <c r="C683" s="7">
        <v>0</v>
      </c>
      <c r="D683" s="5">
        <v>0</v>
      </c>
      <c r="E683" s="5">
        <v>0</v>
      </c>
      <c r="F683" s="5">
        <f t="shared" ref="F683:F746" si="26">ROUNDUP((A683-510)/50,0)*1000*5+175000</f>
        <v>195000</v>
      </c>
      <c r="G683" s="8">
        <v>12</v>
      </c>
      <c r="H683" s="8">
        <v>0</v>
      </c>
      <c r="I683" s="8">
        <v>0</v>
      </c>
      <c r="J683" s="8">
        <v>0</v>
      </c>
      <c r="K683" s="5">
        <f t="shared" ref="K683:K746" si="27">ROUNDUP((A683-510)/50,0)*5+175</f>
        <v>195</v>
      </c>
    </row>
    <row r="684" spans="1:11" ht="14.25">
      <c r="A684" s="7">
        <v>667</v>
      </c>
      <c r="B684" s="5">
        <v>1</v>
      </c>
      <c r="C684" s="7">
        <v>0</v>
      </c>
      <c r="D684" s="5">
        <v>0</v>
      </c>
      <c r="E684" s="5">
        <v>0</v>
      </c>
      <c r="F684" s="5">
        <f t="shared" si="26"/>
        <v>195000</v>
      </c>
      <c r="G684" s="8">
        <v>12</v>
      </c>
      <c r="H684" s="8">
        <v>0</v>
      </c>
      <c r="I684" s="8">
        <v>0</v>
      </c>
      <c r="J684" s="8">
        <v>0</v>
      </c>
      <c r="K684" s="5">
        <f t="shared" si="27"/>
        <v>195</v>
      </c>
    </row>
    <row r="685" spans="1:11" ht="14.25">
      <c r="A685" s="7">
        <v>668</v>
      </c>
      <c r="B685" s="5">
        <v>1</v>
      </c>
      <c r="C685" s="7">
        <v>0</v>
      </c>
      <c r="D685" s="5">
        <v>0</v>
      </c>
      <c r="E685" s="5">
        <v>0</v>
      </c>
      <c r="F685" s="5">
        <f t="shared" si="26"/>
        <v>195000</v>
      </c>
      <c r="G685" s="8">
        <v>12</v>
      </c>
      <c r="H685" s="8">
        <v>0</v>
      </c>
      <c r="I685" s="8">
        <v>0</v>
      </c>
      <c r="J685" s="8">
        <v>0</v>
      </c>
      <c r="K685" s="5">
        <f t="shared" si="27"/>
        <v>195</v>
      </c>
    </row>
    <row r="686" spans="1:11" ht="14.25">
      <c r="A686" s="7">
        <v>669</v>
      </c>
      <c r="B686" s="5">
        <v>1</v>
      </c>
      <c r="C686" s="7">
        <v>0</v>
      </c>
      <c r="D686" s="5">
        <v>0</v>
      </c>
      <c r="E686" s="5">
        <v>0</v>
      </c>
      <c r="F686" s="5">
        <f t="shared" si="26"/>
        <v>195000</v>
      </c>
      <c r="G686" s="8">
        <v>12</v>
      </c>
      <c r="H686" s="8">
        <v>0</v>
      </c>
      <c r="I686" s="8">
        <v>0</v>
      </c>
      <c r="J686" s="8">
        <v>0</v>
      </c>
      <c r="K686" s="5">
        <f t="shared" si="27"/>
        <v>195</v>
      </c>
    </row>
    <row r="687" spans="1:11" ht="14.25">
      <c r="A687" s="7">
        <v>670</v>
      </c>
      <c r="B687" s="5">
        <v>1</v>
      </c>
      <c r="C687" s="7">
        <v>0</v>
      </c>
      <c r="D687" s="5">
        <v>0</v>
      </c>
      <c r="E687" s="5">
        <v>0</v>
      </c>
      <c r="F687" s="5">
        <f t="shared" si="26"/>
        <v>195000</v>
      </c>
      <c r="G687" s="8">
        <v>12</v>
      </c>
      <c r="H687" s="8">
        <v>0</v>
      </c>
      <c r="I687" s="8">
        <v>0</v>
      </c>
      <c r="J687" s="8">
        <v>0</v>
      </c>
      <c r="K687" s="5">
        <f t="shared" si="27"/>
        <v>195</v>
      </c>
    </row>
    <row r="688" spans="1:11" ht="14.25">
      <c r="A688" s="7">
        <v>671</v>
      </c>
      <c r="B688" s="5">
        <v>1</v>
      </c>
      <c r="C688" s="7">
        <v>0</v>
      </c>
      <c r="D688" s="5">
        <v>0</v>
      </c>
      <c r="E688" s="5">
        <v>0</v>
      </c>
      <c r="F688" s="5">
        <f t="shared" si="26"/>
        <v>195000</v>
      </c>
      <c r="G688" s="8">
        <v>12</v>
      </c>
      <c r="H688" s="8">
        <v>0</v>
      </c>
      <c r="I688" s="8">
        <v>0</v>
      </c>
      <c r="J688" s="8">
        <v>0</v>
      </c>
      <c r="K688" s="5">
        <f t="shared" si="27"/>
        <v>195</v>
      </c>
    </row>
    <row r="689" spans="1:11" ht="14.25">
      <c r="A689" s="7">
        <v>672</v>
      </c>
      <c r="B689" s="5">
        <v>1</v>
      </c>
      <c r="C689" s="7">
        <v>0</v>
      </c>
      <c r="D689" s="5">
        <v>0</v>
      </c>
      <c r="E689" s="5">
        <v>0</v>
      </c>
      <c r="F689" s="5">
        <f t="shared" si="26"/>
        <v>195000</v>
      </c>
      <c r="G689" s="8">
        <v>12</v>
      </c>
      <c r="H689" s="8">
        <v>0</v>
      </c>
      <c r="I689" s="8">
        <v>0</v>
      </c>
      <c r="J689" s="8">
        <v>0</v>
      </c>
      <c r="K689" s="5">
        <f t="shared" si="27"/>
        <v>195</v>
      </c>
    </row>
    <row r="690" spans="1:11" ht="14.25">
      <c r="A690" s="7">
        <v>673</v>
      </c>
      <c r="B690" s="5">
        <v>1</v>
      </c>
      <c r="C690" s="7">
        <v>0</v>
      </c>
      <c r="D690" s="5">
        <v>0</v>
      </c>
      <c r="E690" s="5">
        <v>0</v>
      </c>
      <c r="F690" s="5">
        <f t="shared" si="26"/>
        <v>195000</v>
      </c>
      <c r="G690" s="8">
        <v>12</v>
      </c>
      <c r="H690" s="8">
        <v>0</v>
      </c>
      <c r="I690" s="8">
        <v>0</v>
      </c>
      <c r="J690" s="8">
        <v>0</v>
      </c>
      <c r="K690" s="5">
        <f t="shared" si="27"/>
        <v>195</v>
      </c>
    </row>
    <row r="691" spans="1:11" ht="14.25">
      <c r="A691" s="7">
        <v>674</v>
      </c>
      <c r="B691" s="5">
        <v>1</v>
      </c>
      <c r="C691" s="7">
        <v>0</v>
      </c>
      <c r="D691" s="5">
        <v>0</v>
      </c>
      <c r="E691" s="5">
        <v>0</v>
      </c>
      <c r="F691" s="5">
        <f t="shared" si="26"/>
        <v>195000</v>
      </c>
      <c r="G691" s="8">
        <v>12</v>
      </c>
      <c r="H691" s="8">
        <v>0</v>
      </c>
      <c r="I691" s="8">
        <v>0</v>
      </c>
      <c r="J691" s="8">
        <v>0</v>
      </c>
      <c r="K691" s="5">
        <f t="shared" si="27"/>
        <v>195</v>
      </c>
    </row>
    <row r="692" spans="1:11" ht="14.25">
      <c r="A692" s="7">
        <v>675</v>
      </c>
      <c r="B692" s="5">
        <v>1</v>
      </c>
      <c r="C692" s="7">
        <v>0</v>
      </c>
      <c r="D692" s="5">
        <v>0</v>
      </c>
      <c r="E692" s="5">
        <v>0</v>
      </c>
      <c r="F692" s="5">
        <f t="shared" si="26"/>
        <v>195000</v>
      </c>
      <c r="G692" s="8">
        <v>12</v>
      </c>
      <c r="H692" s="8">
        <v>0</v>
      </c>
      <c r="I692" s="8">
        <v>0</v>
      </c>
      <c r="J692" s="8">
        <v>0</v>
      </c>
      <c r="K692" s="5">
        <f t="shared" si="27"/>
        <v>195</v>
      </c>
    </row>
    <row r="693" spans="1:11" ht="14.25">
      <c r="A693" s="7">
        <v>676</v>
      </c>
      <c r="B693" s="5">
        <v>1</v>
      </c>
      <c r="C693" s="7">
        <v>0</v>
      </c>
      <c r="D693" s="5">
        <v>0</v>
      </c>
      <c r="E693" s="5">
        <v>0</v>
      </c>
      <c r="F693" s="5">
        <f t="shared" si="26"/>
        <v>195000</v>
      </c>
      <c r="G693" s="8">
        <v>12</v>
      </c>
      <c r="H693" s="8">
        <v>0</v>
      </c>
      <c r="I693" s="8">
        <v>0</v>
      </c>
      <c r="J693" s="8">
        <v>0</v>
      </c>
      <c r="K693" s="5">
        <f t="shared" si="27"/>
        <v>195</v>
      </c>
    </row>
    <row r="694" spans="1:11" ht="14.25">
      <c r="A694" s="7">
        <v>677</v>
      </c>
      <c r="B694" s="5">
        <v>1</v>
      </c>
      <c r="C694" s="7">
        <v>0</v>
      </c>
      <c r="D694" s="5">
        <v>0</v>
      </c>
      <c r="E694" s="5">
        <v>0</v>
      </c>
      <c r="F694" s="5">
        <f t="shared" si="26"/>
        <v>195000</v>
      </c>
      <c r="G694" s="8">
        <v>12</v>
      </c>
      <c r="H694" s="8">
        <v>0</v>
      </c>
      <c r="I694" s="8">
        <v>0</v>
      </c>
      <c r="J694" s="8">
        <v>0</v>
      </c>
      <c r="K694" s="5">
        <f t="shared" si="27"/>
        <v>195</v>
      </c>
    </row>
    <row r="695" spans="1:11" ht="14.25">
      <c r="A695" s="7">
        <v>678</v>
      </c>
      <c r="B695" s="5">
        <v>1</v>
      </c>
      <c r="C695" s="7">
        <v>0</v>
      </c>
      <c r="D695" s="5">
        <v>0</v>
      </c>
      <c r="E695" s="5">
        <v>0</v>
      </c>
      <c r="F695" s="5">
        <f t="shared" si="26"/>
        <v>195000</v>
      </c>
      <c r="G695" s="8">
        <v>12</v>
      </c>
      <c r="H695" s="8">
        <v>0</v>
      </c>
      <c r="I695" s="8">
        <v>0</v>
      </c>
      <c r="J695" s="8">
        <v>0</v>
      </c>
      <c r="K695" s="5">
        <f t="shared" si="27"/>
        <v>195</v>
      </c>
    </row>
    <row r="696" spans="1:11" ht="14.25">
      <c r="A696" s="7">
        <v>679</v>
      </c>
      <c r="B696" s="5">
        <v>1</v>
      </c>
      <c r="C696" s="7">
        <v>0</v>
      </c>
      <c r="D696" s="5">
        <v>0</v>
      </c>
      <c r="E696" s="5">
        <v>0</v>
      </c>
      <c r="F696" s="5">
        <f t="shared" si="26"/>
        <v>195000</v>
      </c>
      <c r="G696" s="8">
        <v>12</v>
      </c>
      <c r="H696" s="8">
        <v>0</v>
      </c>
      <c r="I696" s="8">
        <v>0</v>
      </c>
      <c r="J696" s="8">
        <v>0</v>
      </c>
      <c r="K696" s="5">
        <f t="shared" si="27"/>
        <v>195</v>
      </c>
    </row>
    <row r="697" spans="1:11" ht="14.25">
      <c r="A697" s="7">
        <v>680</v>
      </c>
      <c r="B697" s="5">
        <v>1</v>
      </c>
      <c r="C697" s="7">
        <v>0</v>
      </c>
      <c r="D697" s="5">
        <v>0</v>
      </c>
      <c r="E697" s="5">
        <v>0</v>
      </c>
      <c r="F697" s="5">
        <f t="shared" si="26"/>
        <v>195000</v>
      </c>
      <c r="G697" s="8">
        <v>12</v>
      </c>
      <c r="H697" s="8">
        <v>0</v>
      </c>
      <c r="I697" s="8">
        <v>0</v>
      </c>
      <c r="J697" s="8">
        <v>0</v>
      </c>
      <c r="K697" s="5">
        <f t="shared" si="27"/>
        <v>195</v>
      </c>
    </row>
    <row r="698" spans="1:11" ht="14.25">
      <c r="A698" s="7">
        <v>681</v>
      </c>
      <c r="B698" s="5">
        <v>1</v>
      </c>
      <c r="C698" s="7">
        <v>0</v>
      </c>
      <c r="D698" s="5">
        <v>0</v>
      </c>
      <c r="E698" s="5">
        <v>0</v>
      </c>
      <c r="F698" s="5">
        <f t="shared" si="26"/>
        <v>195000</v>
      </c>
      <c r="G698" s="8">
        <v>12</v>
      </c>
      <c r="H698" s="8">
        <v>0</v>
      </c>
      <c r="I698" s="8">
        <v>0</v>
      </c>
      <c r="J698" s="8">
        <v>0</v>
      </c>
      <c r="K698" s="5">
        <f t="shared" si="27"/>
        <v>195</v>
      </c>
    </row>
    <row r="699" spans="1:11" ht="14.25">
      <c r="A699" s="7">
        <v>682</v>
      </c>
      <c r="B699" s="5">
        <v>1</v>
      </c>
      <c r="C699" s="7">
        <v>0</v>
      </c>
      <c r="D699" s="5">
        <v>0</v>
      </c>
      <c r="E699" s="5">
        <v>0</v>
      </c>
      <c r="F699" s="5">
        <f t="shared" si="26"/>
        <v>195000</v>
      </c>
      <c r="G699" s="8">
        <v>12</v>
      </c>
      <c r="H699" s="8">
        <v>0</v>
      </c>
      <c r="I699" s="8">
        <v>0</v>
      </c>
      <c r="J699" s="8">
        <v>0</v>
      </c>
      <c r="K699" s="5">
        <f t="shared" si="27"/>
        <v>195</v>
      </c>
    </row>
    <row r="700" spans="1:11" ht="14.25">
      <c r="A700" s="7">
        <v>683</v>
      </c>
      <c r="B700" s="5">
        <v>1</v>
      </c>
      <c r="C700" s="7">
        <v>0</v>
      </c>
      <c r="D700" s="5">
        <v>0</v>
      </c>
      <c r="E700" s="5">
        <v>0</v>
      </c>
      <c r="F700" s="5">
        <f t="shared" si="26"/>
        <v>195000</v>
      </c>
      <c r="G700" s="8">
        <v>12</v>
      </c>
      <c r="H700" s="8">
        <v>0</v>
      </c>
      <c r="I700" s="8">
        <v>0</v>
      </c>
      <c r="J700" s="8">
        <v>0</v>
      </c>
      <c r="K700" s="5">
        <f t="shared" si="27"/>
        <v>195</v>
      </c>
    </row>
    <row r="701" spans="1:11" ht="14.25">
      <c r="A701" s="7">
        <v>684</v>
      </c>
      <c r="B701" s="5">
        <v>1</v>
      </c>
      <c r="C701" s="7">
        <v>0</v>
      </c>
      <c r="D701" s="5">
        <v>0</v>
      </c>
      <c r="E701" s="5">
        <v>0</v>
      </c>
      <c r="F701" s="5">
        <f t="shared" si="26"/>
        <v>195000</v>
      </c>
      <c r="G701" s="8">
        <v>12</v>
      </c>
      <c r="H701" s="8">
        <v>0</v>
      </c>
      <c r="I701" s="8">
        <v>0</v>
      </c>
      <c r="J701" s="8">
        <v>0</v>
      </c>
      <c r="K701" s="5">
        <f t="shared" si="27"/>
        <v>195</v>
      </c>
    </row>
    <row r="702" spans="1:11" ht="14.25">
      <c r="A702" s="7">
        <v>685</v>
      </c>
      <c r="B702" s="5">
        <v>1</v>
      </c>
      <c r="C702" s="7">
        <v>0</v>
      </c>
      <c r="D702" s="5">
        <v>0</v>
      </c>
      <c r="E702" s="5">
        <v>0</v>
      </c>
      <c r="F702" s="5">
        <f t="shared" si="26"/>
        <v>195000</v>
      </c>
      <c r="G702" s="8">
        <v>12</v>
      </c>
      <c r="H702" s="8">
        <v>0</v>
      </c>
      <c r="I702" s="8">
        <v>0</v>
      </c>
      <c r="J702" s="8">
        <v>0</v>
      </c>
      <c r="K702" s="5">
        <f t="shared" si="27"/>
        <v>195</v>
      </c>
    </row>
    <row r="703" spans="1:11" ht="14.25">
      <c r="A703" s="7">
        <v>686</v>
      </c>
      <c r="B703" s="5">
        <v>1</v>
      </c>
      <c r="C703" s="7">
        <v>0</v>
      </c>
      <c r="D703" s="5">
        <v>0</v>
      </c>
      <c r="E703" s="5">
        <v>0</v>
      </c>
      <c r="F703" s="5">
        <f t="shared" si="26"/>
        <v>195000</v>
      </c>
      <c r="G703" s="8">
        <v>12</v>
      </c>
      <c r="H703" s="8">
        <v>0</v>
      </c>
      <c r="I703" s="8">
        <v>0</v>
      </c>
      <c r="J703" s="8">
        <v>0</v>
      </c>
      <c r="K703" s="5">
        <f t="shared" si="27"/>
        <v>195</v>
      </c>
    </row>
    <row r="704" spans="1:11" ht="14.25">
      <c r="A704" s="7">
        <v>687</v>
      </c>
      <c r="B704" s="5">
        <v>1</v>
      </c>
      <c r="C704" s="7">
        <v>0</v>
      </c>
      <c r="D704" s="5">
        <v>0</v>
      </c>
      <c r="E704" s="5">
        <v>0</v>
      </c>
      <c r="F704" s="5">
        <f t="shared" si="26"/>
        <v>195000</v>
      </c>
      <c r="G704" s="8">
        <v>12</v>
      </c>
      <c r="H704" s="8">
        <v>0</v>
      </c>
      <c r="I704" s="8">
        <v>0</v>
      </c>
      <c r="J704" s="8">
        <v>0</v>
      </c>
      <c r="K704" s="5">
        <f t="shared" si="27"/>
        <v>195</v>
      </c>
    </row>
    <row r="705" spans="1:11" ht="14.25">
      <c r="A705" s="7">
        <v>688</v>
      </c>
      <c r="B705" s="5">
        <v>1</v>
      </c>
      <c r="C705" s="7">
        <v>0</v>
      </c>
      <c r="D705" s="5">
        <v>0</v>
      </c>
      <c r="E705" s="5">
        <v>0</v>
      </c>
      <c r="F705" s="5">
        <f t="shared" si="26"/>
        <v>195000</v>
      </c>
      <c r="G705" s="8">
        <v>12</v>
      </c>
      <c r="H705" s="8">
        <v>0</v>
      </c>
      <c r="I705" s="8">
        <v>0</v>
      </c>
      <c r="J705" s="8">
        <v>0</v>
      </c>
      <c r="K705" s="5">
        <f t="shared" si="27"/>
        <v>195</v>
      </c>
    </row>
    <row r="706" spans="1:11" ht="14.25">
      <c r="A706" s="7">
        <v>689</v>
      </c>
      <c r="B706" s="5">
        <v>1</v>
      </c>
      <c r="C706" s="7">
        <v>0</v>
      </c>
      <c r="D706" s="5">
        <v>0</v>
      </c>
      <c r="E706" s="5">
        <v>0</v>
      </c>
      <c r="F706" s="5">
        <f t="shared" si="26"/>
        <v>195000</v>
      </c>
      <c r="G706" s="8">
        <v>12</v>
      </c>
      <c r="H706" s="8">
        <v>0</v>
      </c>
      <c r="I706" s="8">
        <v>0</v>
      </c>
      <c r="J706" s="8">
        <v>0</v>
      </c>
      <c r="K706" s="5">
        <f t="shared" si="27"/>
        <v>195</v>
      </c>
    </row>
    <row r="707" spans="1:11" ht="14.25">
      <c r="A707" s="7">
        <v>690</v>
      </c>
      <c r="B707" s="5">
        <v>1</v>
      </c>
      <c r="C707" s="7">
        <v>0</v>
      </c>
      <c r="D707" s="5">
        <v>0</v>
      </c>
      <c r="E707" s="5">
        <v>0</v>
      </c>
      <c r="F707" s="5">
        <f t="shared" si="26"/>
        <v>195000</v>
      </c>
      <c r="G707" s="8">
        <v>12</v>
      </c>
      <c r="H707" s="8">
        <v>0</v>
      </c>
      <c r="I707" s="8">
        <v>0</v>
      </c>
      <c r="J707" s="8">
        <v>0</v>
      </c>
      <c r="K707" s="5">
        <f t="shared" si="27"/>
        <v>195</v>
      </c>
    </row>
    <row r="708" spans="1:11" ht="14.25">
      <c r="A708" s="7">
        <v>691</v>
      </c>
      <c r="B708" s="5">
        <v>1</v>
      </c>
      <c r="C708" s="7">
        <v>0</v>
      </c>
      <c r="D708" s="5">
        <v>0</v>
      </c>
      <c r="E708" s="5">
        <v>0</v>
      </c>
      <c r="F708" s="5">
        <f t="shared" si="26"/>
        <v>195000</v>
      </c>
      <c r="G708" s="8">
        <v>12</v>
      </c>
      <c r="H708" s="8">
        <v>0</v>
      </c>
      <c r="I708" s="8">
        <v>0</v>
      </c>
      <c r="J708" s="8">
        <v>0</v>
      </c>
      <c r="K708" s="5">
        <f t="shared" si="27"/>
        <v>195</v>
      </c>
    </row>
    <row r="709" spans="1:11" ht="14.25">
      <c r="A709" s="7">
        <v>692</v>
      </c>
      <c r="B709" s="5">
        <v>1</v>
      </c>
      <c r="C709" s="7">
        <v>0</v>
      </c>
      <c r="D709" s="5">
        <v>0</v>
      </c>
      <c r="E709" s="5">
        <v>0</v>
      </c>
      <c r="F709" s="5">
        <f t="shared" si="26"/>
        <v>195000</v>
      </c>
      <c r="G709" s="8">
        <v>12</v>
      </c>
      <c r="H709" s="8">
        <v>0</v>
      </c>
      <c r="I709" s="8">
        <v>0</v>
      </c>
      <c r="J709" s="8">
        <v>0</v>
      </c>
      <c r="K709" s="5">
        <f t="shared" si="27"/>
        <v>195</v>
      </c>
    </row>
    <row r="710" spans="1:11" ht="14.25">
      <c r="A710" s="7">
        <v>693</v>
      </c>
      <c r="B710" s="5">
        <v>1</v>
      </c>
      <c r="C710" s="7">
        <v>0</v>
      </c>
      <c r="D710" s="5">
        <v>0</v>
      </c>
      <c r="E710" s="5">
        <v>0</v>
      </c>
      <c r="F710" s="5">
        <f t="shared" si="26"/>
        <v>195000</v>
      </c>
      <c r="G710" s="8">
        <v>12</v>
      </c>
      <c r="H710" s="8">
        <v>0</v>
      </c>
      <c r="I710" s="8">
        <v>0</v>
      </c>
      <c r="J710" s="8">
        <v>0</v>
      </c>
      <c r="K710" s="5">
        <f t="shared" si="27"/>
        <v>195</v>
      </c>
    </row>
    <row r="711" spans="1:11" ht="14.25">
      <c r="A711" s="7">
        <v>694</v>
      </c>
      <c r="B711" s="5">
        <v>1</v>
      </c>
      <c r="C711" s="7">
        <v>0</v>
      </c>
      <c r="D711" s="5">
        <v>0</v>
      </c>
      <c r="E711" s="5">
        <v>0</v>
      </c>
      <c r="F711" s="5">
        <f t="shared" si="26"/>
        <v>195000</v>
      </c>
      <c r="G711" s="8">
        <v>12</v>
      </c>
      <c r="H711" s="8">
        <v>0</v>
      </c>
      <c r="I711" s="8">
        <v>0</v>
      </c>
      <c r="J711" s="8">
        <v>0</v>
      </c>
      <c r="K711" s="5">
        <f t="shared" si="27"/>
        <v>195</v>
      </c>
    </row>
    <row r="712" spans="1:11" ht="14.25">
      <c r="A712" s="7">
        <v>695</v>
      </c>
      <c r="B712" s="5">
        <v>1</v>
      </c>
      <c r="C712" s="7">
        <v>0</v>
      </c>
      <c r="D712" s="5">
        <v>0</v>
      </c>
      <c r="E712" s="5">
        <v>0</v>
      </c>
      <c r="F712" s="5">
        <f t="shared" si="26"/>
        <v>195000</v>
      </c>
      <c r="G712" s="8">
        <v>12</v>
      </c>
      <c r="H712" s="8">
        <v>0</v>
      </c>
      <c r="I712" s="8">
        <v>0</v>
      </c>
      <c r="J712" s="8">
        <v>0</v>
      </c>
      <c r="K712" s="5">
        <f t="shared" si="27"/>
        <v>195</v>
      </c>
    </row>
    <row r="713" spans="1:11" ht="14.25">
      <c r="A713" s="7">
        <v>696</v>
      </c>
      <c r="B713" s="5">
        <v>1</v>
      </c>
      <c r="C713" s="7">
        <v>0</v>
      </c>
      <c r="D713" s="5">
        <v>0</v>
      </c>
      <c r="E713" s="5">
        <v>0</v>
      </c>
      <c r="F713" s="5">
        <f t="shared" si="26"/>
        <v>195000</v>
      </c>
      <c r="G713" s="8">
        <v>12</v>
      </c>
      <c r="H713" s="8">
        <v>0</v>
      </c>
      <c r="I713" s="8">
        <v>0</v>
      </c>
      <c r="J713" s="8">
        <v>0</v>
      </c>
      <c r="K713" s="5">
        <f t="shared" si="27"/>
        <v>195</v>
      </c>
    </row>
    <row r="714" spans="1:11" ht="14.25">
      <c r="A714" s="7">
        <v>697</v>
      </c>
      <c r="B714" s="5">
        <v>1</v>
      </c>
      <c r="C714" s="7">
        <v>0</v>
      </c>
      <c r="D714" s="5">
        <v>0</v>
      </c>
      <c r="E714" s="5">
        <v>0</v>
      </c>
      <c r="F714" s="5">
        <f t="shared" si="26"/>
        <v>195000</v>
      </c>
      <c r="G714" s="8">
        <v>12</v>
      </c>
      <c r="H714" s="8">
        <v>0</v>
      </c>
      <c r="I714" s="8">
        <v>0</v>
      </c>
      <c r="J714" s="8">
        <v>0</v>
      </c>
      <c r="K714" s="5">
        <f t="shared" si="27"/>
        <v>195</v>
      </c>
    </row>
    <row r="715" spans="1:11" ht="14.25">
      <c r="A715" s="7">
        <v>698</v>
      </c>
      <c r="B715" s="5">
        <v>1</v>
      </c>
      <c r="C715" s="7">
        <v>0</v>
      </c>
      <c r="D715" s="5">
        <v>0</v>
      </c>
      <c r="E715" s="5">
        <v>0</v>
      </c>
      <c r="F715" s="5">
        <f t="shared" si="26"/>
        <v>195000</v>
      </c>
      <c r="G715" s="8">
        <v>12</v>
      </c>
      <c r="H715" s="8">
        <v>0</v>
      </c>
      <c r="I715" s="8">
        <v>0</v>
      </c>
      <c r="J715" s="8">
        <v>0</v>
      </c>
      <c r="K715" s="5">
        <f t="shared" si="27"/>
        <v>195</v>
      </c>
    </row>
    <row r="716" spans="1:11" ht="14.25">
      <c r="A716" s="7">
        <v>699</v>
      </c>
      <c r="B716" s="5">
        <v>1</v>
      </c>
      <c r="C716" s="7">
        <v>0</v>
      </c>
      <c r="D716" s="5">
        <v>0</v>
      </c>
      <c r="E716" s="5">
        <v>0</v>
      </c>
      <c r="F716" s="5">
        <f t="shared" si="26"/>
        <v>195000</v>
      </c>
      <c r="G716" s="8">
        <v>12</v>
      </c>
      <c r="H716" s="8">
        <v>0</v>
      </c>
      <c r="I716" s="8">
        <v>0</v>
      </c>
      <c r="J716" s="8">
        <v>0</v>
      </c>
      <c r="K716" s="5">
        <f t="shared" si="27"/>
        <v>195</v>
      </c>
    </row>
    <row r="717" spans="1:11" ht="14.25">
      <c r="A717" s="7">
        <v>700</v>
      </c>
      <c r="B717" s="5">
        <v>1</v>
      </c>
      <c r="C717" s="7">
        <v>0</v>
      </c>
      <c r="D717" s="5">
        <v>0</v>
      </c>
      <c r="E717" s="5">
        <v>0</v>
      </c>
      <c r="F717" s="5">
        <f t="shared" si="26"/>
        <v>195000</v>
      </c>
      <c r="G717" s="8">
        <v>12</v>
      </c>
      <c r="H717" s="8">
        <v>0</v>
      </c>
      <c r="I717" s="8">
        <v>0</v>
      </c>
      <c r="J717" s="8">
        <v>0</v>
      </c>
      <c r="K717" s="5">
        <f t="shared" si="27"/>
        <v>195</v>
      </c>
    </row>
    <row r="718" spans="1:11" ht="14.25">
      <c r="A718" s="7">
        <v>701</v>
      </c>
      <c r="B718" s="5">
        <v>1</v>
      </c>
      <c r="C718" s="7">
        <v>0</v>
      </c>
      <c r="D718" s="5">
        <v>0</v>
      </c>
      <c r="E718" s="5">
        <v>0</v>
      </c>
      <c r="F718" s="5">
        <f t="shared" si="26"/>
        <v>195000</v>
      </c>
      <c r="G718" s="8">
        <v>12</v>
      </c>
      <c r="H718" s="8">
        <v>0</v>
      </c>
      <c r="I718" s="8">
        <v>0</v>
      </c>
      <c r="J718" s="8">
        <v>0</v>
      </c>
      <c r="K718" s="5">
        <f t="shared" si="27"/>
        <v>195</v>
      </c>
    </row>
    <row r="719" spans="1:11" ht="14.25">
      <c r="A719" s="7">
        <v>702</v>
      </c>
      <c r="B719" s="5">
        <v>1</v>
      </c>
      <c r="C719" s="7">
        <v>0</v>
      </c>
      <c r="D719" s="5">
        <v>0</v>
      </c>
      <c r="E719" s="5">
        <v>0</v>
      </c>
      <c r="F719" s="5">
        <f t="shared" si="26"/>
        <v>195000</v>
      </c>
      <c r="G719" s="8">
        <v>12</v>
      </c>
      <c r="H719" s="8">
        <v>0</v>
      </c>
      <c r="I719" s="8">
        <v>0</v>
      </c>
      <c r="J719" s="8">
        <v>0</v>
      </c>
      <c r="K719" s="5">
        <f t="shared" si="27"/>
        <v>195</v>
      </c>
    </row>
    <row r="720" spans="1:11" ht="14.25">
      <c r="A720" s="7">
        <v>703</v>
      </c>
      <c r="B720" s="5">
        <v>1</v>
      </c>
      <c r="C720" s="7">
        <v>0</v>
      </c>
      <c r="D720" s="5">
        <v>0</v>
      </c>
      <c r="E720" s="5">
        <v>0</v>
      </c>
      <c r="F720" s="5">
        <f t="shared" si="26"/>
        <v>195000</v>
      </c>
      <c r="G720" s="8">
        <v>12</v>
      </c>
      <c r="H720" s="8">
        <v>0</v>
      </c>
      <c r="I720" s="8">
        <v>0</v>
      </c>
      <c r="J720" s="8">
        <v>0</v>
      </c>
      <c r="K720" s="5">
        <f t="shared" si="27"/>
        <v>195</v>
      </c>
    </row>
    <row r="721" spans="1:11" ht="14.25">
      <c r="A721" s="7">
        <v>704</v>
      </c>
      <c r="B721" s="5">
        <v>1</v>
      </c>
      <c r="C721" s="7">
        <v>0</v>
      </c>
      <c r="D721" s="5">
        <v>0</v>
      </c>
      <c r="E721" s="5">
        <v>0</v>
      </c>
      <c r="F721" s="5">
        <f t="shared" si="26"/>
        <v>195000</v>
      </c>
      <c r="G721" s="8">
        <v>12</v>
      </c>
      <c r="H721" s="8">
        <v>0</v>
      </c>
      <c r="I721" s="8">
        <v>0</v>
      </c>
      <c r="J721" s="8">
        <v>0</v>
      </c>
      <c r="K721" s="5">
        <f t="shared" si="27"/>
        <v>195</v>
      </c>
    </row>
    <row r="722" spans="1:11" ht="14.25">
      <c r="A722" s="7">
        <v>705</v>
      </c>
      <c r="B722" s="5">
        <v>1</v>
      </c>
      <c r="C722" s="7">
        <v>0</v>
      </c>
      <c r="D722" s="5">
        <v>0</v>
      </c>
      <c r="E722" s="5">
        <v>0</v>
      </c>
      <c r="F722" s="5">
        <f t="shared" si="26"/>
        <v>195000</v>
      </c>
      <c r="G722" s="8">
        <v>12</v>
      </c>
      <c r="H722" s="8">
        <v>0</v>
      </c>
      <c r="I722" s="8">
        <v>0</v>
      </c>
      <c r="J722" s="8">
        <v>0</v>
      </c>
      <c r="K722" s="5">
        <f t="shared" si="27"/>
        <v>195</v>
      </c>
    </row>
    <row r="723" spans="1:11" ht="14.25">
      <c r="A723" s="7">
        <v>706</v>
      </c>
      <c r="B723" s="5">
        <v>1</v>
      </c>
      <c r="C723" s="7">
        <v>0</v>
      </c>
      <c r="D723" s="5">
        <v>0</v>
      </c>
      <c r="E723" s="5">
        <v>0</v>
      </c>
      <c r="F723" s="5">
        <f t="shared" si="26"/>
        <v>195000</v>
      </c>
      <c r="G723" s="8">
        <v>12</v>
      </c>
      <c r="H723" s="8">
        <v>0</v>
      </c>
      <c r="I723" s="8">
        <v>0</v>
      </c>
      <c r="J723" s="8">
        <v>0</v>
      </c>
      <c r="K723" s="5">
        <f t="shared" si="27"/>
        <v>195</v>
      </c>
    </row>
    <row r="724" spans="1:11" ht="14.25">
      <c r="A724" s="7">
        <v>707</v>
      </c>
      <c r="B724" s="5">
        <v>1</v>
      </c>
      <c r="C724" s="7">
        <v>0</v>
      </c>
      <c r="D724" s="5">
        <v>0</v>
      </c>
      <c r="E724" s="5">
        <v>0</v>
      </c>
      <c r="F724" s="5">
        <f t="shared" si="26"/>
        <v>195000</v>
      </c>
      <c r="G724" s="8">
        <v>12</v>
      </c>
      <c r="H724" s="8">
        <v>0</v>
      </c>
      <c r="I724" s="8">
        <v>0</v>
      </c>
      <c r="J724" s="8">
        <v>0</v>
      </c>
      <c r="K724" s="5">
        <f t="shared" si="27"/>
        <v>195</v>
      </c>
    </row>
    <row r="725" spans="1:11" ht="14.25">
      <c r="A725" s="7">
        <v>708</v>
      </c>
      <c r="B725" s="5">
        <v>1</v>
      </c>
      <c r="C725" s="7">
        <v>0</v>
      </c>
      <c r="D725" s="5">
        <v>0</v>
      </c>
      <c r="E725" s="5">
        <v>0</v>
      </c>
      <c r="F725" s="5">
        <f t="shared" si="26"/>
        <v>195000</v>
      </c>
      <c r="G725" s="8">
        <v>12</v>
      </c>
      <c r="H725" s="8">
        <v>0</v>
      </c>
      <c r="I725" s="8">
        <v>0</v>
      </c>
      <c r="J725" s="8">
        <v>0</v>
      </c>
      <c r="K725" s="5">
        <f t="shared" si="27"/>
        <v>195</v>
      </c>
    </row>
    <row r="726" spans="1:11" ht="14.25">
      <c r="A726" s="7">
        <v>709</v>
      </c>
      <c r="B726" s="5">
        <v>1</v>
      </c>
      <c r="C726" s="7">
        <v>0</v>
      </c>
      <c r="D726" s="5">
        <v>0</v>
      </c>
      <c r="E726" s="5">
        <v>0</v>
      </c>
      <c r="F726" s="5">
        <f t="shared" si="26"/>
        <v>195000</v>
      </c>
      <c r="G726" s="8">
        <v>12</v>
      </c>
      <c r="H726" s="8">
        <v>0</v>
      </c>
      <c r="I726" s="8">
        <v>0</v>
      </c>
      <c r="J726" s="8">
        <v>0</v>
      </c>
      <c r="K726" s="5">
        <f t="shared" si="27"/>
        <v>195</v>
      </c>
    </row>
    <row r="727" spans="1:11" ht="14.25">
      <c r="A727" s="7">
        <v>710</v>
      </c>
      <c r="B727" s="5">
        <v>1</v>
      </c>
      <c r="C727" s="7">
        <v>0</v>
      </c>
      <c r="D727" s="5">
        <v>0</v>
      </c>
      <c r="E727" s="5">
        <v>0</v>
      </c>
      <c r="F727" s="5">
        <f t="shared" si="26"/>
        <v>195000</v>
      </c>
      <c r="G727" s="8">
        <v>12</v>
      </c>
      <c r="H727" s="8">
        <v>0</v>
      </c>
      <c r="I727" s="8">
        <v>0</v>
      </c>
      <c r="J727" s="8">
        <v>0</v>
      </c>
      <c r="K727" s="5">
        <f t="shared" si="27"/>
        <v>195</v>
      </c>
    </row>
    <row r="728" spans="1:11" ht="14.25">
      <c r="A728" s="7">
        <v>711</v>
      </c>
      <c r="B728" s="5">
        <v>1</v>
      </c>
      <c r="C728" s="7">
        <v>0</v>
      </c>
      <c r="D728" s="5">
        <v>0</v>
      </c>
      <c r="E728" s="5">
        <v>0</v>
      </c>
      <c r="F728" s="5">
        <f t="shared" si="26"/>
        <v>200000</v>
      </c>
      <c r="G728" s="8">
        <v>12</v>
      </c>
      <c r="H728" s="8">
        <v>0</v>
      </c>
      <c r="I728" s="8">
        <v>0</v>
      </c>
      <c r="J728" s="8">
        <v>0</v>
      </c>
      <c r="K728" s="5">
        <f t="shared" si="27"/>
        <v>200</v>
      </c>
    </row>
    <row r="729" spans="1:11" ht="14.25">
      <c r="A729" s="7">
        <v>712</v>
      </c>
      <c r="B729" s="5">
        <v>1</v>
      </c>
      <c r="C729" s="7">
        <v>0</v>
      </c>
      <c r="D729" s="5">
        <v>0</v>
      </c>
      <c r="E729" s="5">
        <v>0</v>
      </c>
      <c r="F729" s="5">
        <f t="shared" si="26"/>
        <v>200000</v>
      </c>
      <c r="G729" s="8">
        <v>12</v>
      </c>
      <c r="H729" s="8">
        <v>0</v>
      </c>
      <c r="I729" s="8">
        <v>0</v>
      </c>
      <c r="J729" s="8">
        <v>0</v>
      </c>
      <c r="K729" s="5">
        <f t="shared" si="27"/>
        <v>200</v>
      </c>
    </row>
    <row r="730" spans="1:11" ht="14.25">
      <c r="A730" s="7">
        <v>713</v>
      </c>
      <c r="B730" s="5">
        <v>1</v>
      </c>
      <c r="C730" s="7">
        <v>0</v>
      </c>
      <c r="D730" s="5">
        <v>0</v>
      </c>
      <c r="E730" s="5">
        <v>0</v>
      </c>
      <c r="F730" s="5">
        <f t="shared" si="26"/>
        <v>200000</v>
      </c>
      <c r="G730" s="8">
        <v>12</v>
      </c>
      <c r="H730" s="8">
        <v>0</v>
      </c>
      <c r="I730" s="8">
        <v>0</v>
      </c>
      <c r="J730" s="8">
        <v>0</v>
      </c>
      <c r="K730" s="5">
        <f t="shared" si="27"/>
        <v>200</v>
      </c>
    </row>
    <row r="731" spans="1:11" ht="14.25">
      <c r="A731" s="7">
        <v>714</v>
      </c>
      <c r="B731" s="5">
        <v>1</v>
      </c>
      <c r="C731" s="7">
        <v>0</v>
      </c>
      <c r="D731" s="5">
        <v>0</v>
      </c>
      <c r="E731" s="5">
        <v>0</v>
      </c>
      <c r="F731" s="5">
        <f t="shared" si="26"/>
        <v>200000</v>
      </c>
      <c r="G731" s="8">
        <v>12</v>
      </c>
      <c r="H731" s="8">
        <v>0</v>
      </c>
      <c r="I731" s="8">
        <v>0</v>
      </c>
      <c r="J731" s="8">
        <v>0</v>
      </c>
      <c r="K731" s="5">
        <f t="shared" si="27"/>
        <v>200</v>
      </c>
    </row>
    <row r="732" spans="1:11" ht="14.25">
      <c r="A732" s="7">
        <v>715</v>
      </c>
      <c r="B732" s="5">
        <v>1</v>
      </c>
      <c r="C732" s="7">
        <v>0</v>
      </c>
      <c r="D732" s="5">
        <v>0</v>
      </c>
      <c r="E732" s="5">
        <v>0</v>
      </c>
      <c r="F732" s="5">
        <f t="shared" si="26"/>
        <v>200000</v>
      </c>
      <c r="G732" s="8">
        <v>12</v>
      </c>
      <c r="H732" s="8">
        <v>0</v>
      </c>
      <c r="I732" s="8">
        <v>0</v>
      </c>
      <c r="J732" s="8">
        <v>0</v>
      </c>
      <c r="K732" s="5">
        <f t="shared" si="27"/>
        <v>200</v>
      </c>
    </row>
    <row r="733" spans="1:11" ht="14.25">
      <c r="A733" s="7">
        <v>716</v>
      </c>
      <c r="B733" s="5">
        <v>1</v>
      </c>
      <c r="C733" s="7">
        <v>0</v>
      </c>
      <c r="D733" s="5">
        <v>0</v>
      </c>
      <c r="E733" s="5">
        <v>0</v>
      </c>
      <c r="F733" s="5">
        <f t="shared" si="26"/>
        <v>200000</v>
      </c>
      <c r="G733" s="8">
        <v>12</v>
      </c>
      <c r="H733" s="8">
        <v>0</v>
      </c>
      <c r="I733" s="8">
        <v>0</v>
      </c>
      <c r="J733" s="8">
        <v>0</v>
      </c>
      <c r="K733" s="5">
        <f t="shared" si="27"/>
        <v>200</v>
      </c>
    </row>
    <row r="734" spans="1:11" ht="14.25">
      <c r="A734" s="7">
        <v>717</v>
      </c>
      <c r="B734" s="5">
        <v>1</v>
      </c>
      <c r="C734" s="7">
        <v>0</v>
      </c>
      <c r="D734" s="5">
        <v>0</v>
      </c>
      <c r="E734" s="5">
        <v>0</v>
      </c>
      <c r="F734" s="5">
        <f t="shared" si="26"/>
        <v>200000</v>
      </c>
      <c r="G734" s="8">
        <v>12</v>
      </c>
      <c r="H734" s="8">
        <v>0</v>
      </c>
      <c r="I734" s="8">
        <v>0</v>
      </c>
      <c r="J734" s="8">
        <v>0</v>
      </c>
      <c r="K734" s="5">
        <f t="shared" si="27"/>
        <v>200</v>
      </c>
    </row>
    <row r="735" spans="1:11" ht="14.25">
      <c r="A735" s="7">
        <v>718</v>
      </c>
      <c r="B735" s="5">
        <v>1</v>
      </c>
      <c r="C735" s="7">
        <v>0</v>
      </c>
      <c r="D735" s="5">
        <v>0</v>
      </c>
      <c r="E735" s="5">
        <v>0</v>
      </c>
      <c r="F735" s="5">
        <f t="shared" si="26"/>
        <v>200000</v>
      </c>
      <c r="G735" s="8">
        <v>12</v>
      </c>
      <c r="H735" s="8">
        <v>0</v>
      </c>
      <c r="I735" s="8">
        <v>0</v>
      </c>
      <c r="J735" s="8">
        <v>0</v>
      </c>
      <c r="K735" s="5">
        <f t="shared" si="27"/>
        <v>200</v>
      </c>
    </row>
    <row r="736" spans="1:11" ht="14.25">
      <c r="A736" s="7">
        <v>719</v>
      </c>
      <c r="B736" s="5">
        <v>1</v>
      </c>
      <c r="C736" s="7">
        <v>0</v>
      </c>
      <c r="D736" s="5">
        <v>0</v>
      </c>
      <c r="E736" s="5">
        <v>0</v>
      </c>
      <c r="F736" s="5">
        <f t="shared" si="26"/>
        <v>200000</v>
      </c>
      <c r="G736" s="8">
        <v>12</v>
      </c>
      <c r="H736" s="8">
        <v>0</v>
      </c>
      <c r="I736" s="8">
        <v>0</v>
      </c>
      <c r="J736" s="8">
        <v>0</v>
      </c>
      <c r="K736" s="5">
        <f t="shared" si="27"/>
        <v>200</v>
      </c>
    </row>
    <row r="737" spans="1:11" ht="14.25">
      <c r="A737" s="7">
        <v>720</v>
      </c>
      <c r="B737" s="5">
        <v>1</v>
      </c>
      <c r="C737" s="7">
        <v>0</v>
      </c>
      <c r="D737" s="5">
        <v>0</v>
      </c>
      <c r="E737" s="5">
        <v>0</v>
      </c>
      <c r="F737" s="5">
        <f t="shared" si="26"/>
        <v>200000</v>
      </c>
      <c r="G737" s="8">
        <v>12</v>
      </c>
      <c r="H737" s="8">
        <v>0</v>
      </c>
      <c r="I737" s="8">
        <v>0</v>
      </c>
      <c r="J737" s="8">
        <v>0</v>
      </c>
      <c r="K737" s="5">
        <f t="shared" si="27"/>
        <v>200</v>
      </c>
    </row>
    <row r="738" spans="1:11" ht="14.25">
      <c r="A738" s="7">
        <v>721</v>
      </c>
      <c r="B738" s="5">
        <v>1</v>
      </c>
      <c r="C738" s="7">
        <v>0</v>
      </c>
      <c r="D738" s="5">
        <v>0</v>
      </c>
      <c r="E738" s="5">
        <v>0</v>
      </c>
      <c r="F738" s="5">
        <f t="shared" si="26"/>
        <v>200000</v>
      </c>
      <c r="G738" s="8">
        <v>12</v>
      </c>
      <c r="H738" s="8">
        <v>0</v>
      </c>
      <c r="I738" s="8">
        <v>0</v>
      </c>
      <c r="J738" s="8">
        <v>0</v>
      </c>
      <c r="K738" s="5">
        <f t="shared" si="27"/>
        <v>200</v>
      </c>
    </row>
    <row r="739" spans="1:11" ht="14.25">
      <c r="A739" s="7">
        <v>722</v>
      </c>
      <c r="B739" s="5">
        <v>1</v>
      </c>
      <c r="C739" s="7">
        <v>0</v>
      </c>
      <c r="D739" s="5">
        <v>0</v>
      </c>
      <c r="E739" s="5">
        <v>0</v>
      </c>
      <c r="F739" s="5">
        <f t="shared" si="26"/>
        <v>200000</v>
      </c>
      <c r="G739" s="8">
        <v>12</v>
      </c>
      <c r="H739" s="8">
        <v>0</v>
      </c>
      <c r="I739" s="8">
        <v>0</v>
      </c>
      <c r="J739" s="8">
        <v>0</v>
      </c>
      <c r="K739" s="5">
        <f t="shared" si="27"/>
        <v>200</v>
      </c>
    </row>
    <row r="740" spans="1:11" ht="14.25">
      <c r="A740" s="7">
        <v>723</v>
      </c>
      <c r="B740" s="5">
        <v>1</v>
      </c>
      <c r="C740" s="7">
        <v>0</v>
      </c>
      <c r="D740" s="5">
        <v>0</v>
      </c>
      <c r="E740" s="5">
        <v>0</v>
      </c>
      <c r="F740" s="5">
        <f t="shared" si="26"/>
        <v>200000</v>
      </c>
      <c r="G740" s="8">
        <v>12</v>
      </c>
      <c r="H740" s="8">
        <v>0</v>
      </c>
      <c r="I740" s="8">
        <v>0</v>
      </c>
      <c r="J740" s="8">
        <v>0</v>
      </c>
      <c r="K740" s="5">
        <f t="shared" si="27"/>
        <v>200</v>
      </c>
    </row>
    <row r="741" spans="1:11" ht="14.25">
      <c r="A741" s="7">
        <v>724</v>
      </c>
      <c r="B741" s="5">
        <v>1</v>
      </c>
      <c r="C741" s="7">
        <v>0</v>
      </c>
      <c r="D741" s="5">
        <v>0</v>
      </c>
      <c r="E741" s="5">
        <v>0</v>
      </c>
      <c r="F741" s="5">
        <f t="shared" si="26"/>
        <v>200000</v>
      </c>
      <c r="G741" s="8">
        <v>12</v>
      </c>
      <c r="H741" s="8">
        <v>0</v>
      </c>
      <c r="I741" s="8">
        <v>0</v>
      </c>
      <c r="J741" s="8">
        <v>0</v>
      </c>
      <c r="K741" s="5">
        <f t="shared" si="27"/>
        <v>200</v>
      </c>
    </row>
    <row r="742" spans="1:11" ht="14.25">
      <c r="A742" s="7">
        <v>725</v>
      </c>
      <c r="B742" s="5">
        <v>1</v>
      </c>
      <c r="C742" s="7">
        <v>0</v>
      </c>
      <c r="D742" s="5">
        <v>0</v>
      </c>
      <c r="E742" s="5">
        <v>0</v>
      </c>
      <c r="F742" s="5">
        <f t="shared" si="26"/>
        <v>200000</v>
      </c>
      <c r="G742" s="8">
        <v>12</v>
      </c>
      <c r="H742" s="8">
        <v>0</v>
      </c>
      <c r="I742" s="8">
        <v>0</v>
      </c>
      <c r="J742" s="8">
        <v>0</v>
      </c>
      <c r="K742" s="5">
        <f t="shared" si="27"/>
        <v>200</v>
      </c>
    </row>
    <row r="743" spans="1:11" ht="14.25">
      <c r="A743" s="7">
        <v>726</v>
      </c>
      <c r="B743" s="5">
        <v>1</v>
      </c>
      <c r="C743" s="7">
        <v>0</v>
      </c>
      <c r="D743" s="5">
        <v>0</v>
      </c>
      <c r="E743" s="5">
        <v>0</v>
      </c>
      <c r="F743" s="5">
        <f t="shared" si="26"/>
        <v>200000</v>
      </c>
      <c r="G743" s="8">
        <v>12</v>
      </c>
      <c r="H743" s="8">
        <v>0</v>
      </c>
      <c r="I743" s="8">
        <v>0</v>
      </c>
      <c r="J743" s="8">
        <v>0</v>
      </c>
      <c r="K743" s="5">
        <f t="shared" si="27"/>
        <v>200</v>
      </c>
    </row>
    <row r="744" spans="1:11" ht="14.25">
      <c r="A744" s="7">
        <v>727</v>
      </c>
      <c r="B744" s="5">
        <v>1</v>
      </c>
      <c r="C744" s="7">
        <v>0</v>
      </c>
      <c r="D744" s="5">
        <v>0</v>
      </c>
      <c r="E744" s="5">
        <v>0</v>
      </c>
      <c r="F744" s="5">
        <f t="shared" si="26"/>
        <v>200000</v>
      </c>
      <c r="G744" s="8">
        <v>12</v>
      </c>
      <c r="H744" s="8">
        <v>0</v>
      </c>
      <c r="I744" s="8">
        <v>0</v>
      </c>
      <c r="J744" s="8">
        <v>0</v>
      </c>
      <c r="K744" s="5">
        <f t="shared" si="27"/>
        <v>200</v>
      </c>
    </row>
    <row r="745" spans="1:11" ht="14.25">
      <c r="A745" s="7">
        <v>728</v>
      </c>
      <c r="B745" s="5">
        <v>1</v>
      </c>
      <c r="C745" s="7">
        <v>0</v>
      </c>
      <c r="D745" s="5">
        <v>0</v>
      </c>
      <c r="E745" s="5">
        <v>0</v>
      </c>
      <c r="F745" s="5">
        <f t="shared" si="26"/>
        <v>200000</v>
      </c>
      <c r="G745" s="8">
        <v>12</v>
      </c>
      <c r="H745" s="8">
        <v>0</v>
      </c>
      <c r="I745" s="8">
        <v>0</v>
      </c>
      <c r="J745" s="8">
        <v>0</v>
      </c>
      <c r="K745" s="5">
        <f t="shared" si="27"/>
        <v>200</v>
      </c>
    </row>
    <row r="746" spans="1:11" ht="14.25">
      <c r="A746" s="7">
        <v>729</v>
      </c>
      <c r="B746" s="5">
        <v>1</v>
      </c>
      <c r="C746" s="7">
        <v>0</v>
      </c>
      <c r="D746" s="5">
        <v>0</v>
      </c>
      <c r="E746" s="5">
        <v>0</v>
      </c>
      <c r="F746" s="5">
        <f t="shared" si="26"/>
        <v>200000</v>
      </c>
      <c r="G746" s="8">
        <v>12</v>
      </c>
      <c r="H746" s="8">
        <v>0</v>
      </c>
      <c r="I746" s="8">
        <v>0</v>
      </c>
      <c r="J746" s="8">
        <v>0</v>
      </c>
      <c r="K746" s="5">
        <f t="shared" si="27"/>
        <v>200</v>
      </c>
    </row>
    <row r="747" spans="1:11" ht="14.25">
      <c r="A747" s="7">
        <v>730</v>
      </c>
      <c r="B747" s="5">
        <v>1</v>
      </c>
      <c r="C747" s="7">
        <v>0</v>
      </c>
      <c r="D747" s="5">
        <v>0</v>
      </c>
      <c r="E747" s="5">
        <v>0</v>
      </c>
      <c r="F747" s="5">
        <f t="shared" ref="F747:F810" si="28">ROUNDUP((A747-510)/50,0)*1000*5+175000</f>
        <v>200000</v>
      </c>
      <c r="G747" s="8">
        <v>12</v>
      </c>
      <c r="H747" s="8">
        <v>0</v>
      </c>
      <c r="I747" s="8">
        <v>0</v>
      </c>
      <c r="J747" s="8">
        <v>0</v>
      </c>
      <c r="K747" s="5">
        <f t="shared" ref="K747:K810" si="29">ROUNDUP((A747-510)/50,0)*5+175</f>
        <v>200</v>
      </c>
    </row>
    <row r="748" spans="1:11" ht="14.25">
      <c r="A748" s="7">
        <v>731</v>
      </c>
      <c r="B748" s="5">
        <v>1</v>
      </c>
      <c r="C748" s="7">
        <v>0</v>
      </c>
      <c r="D748" s="5">
        <v>0</v>
      </c>
      <c r="E748" s="5">
        <v>0</v>
      </c>
      <c r="F748" s="5">
        <f t="shared" si="28"/>
        <v>200000</v>
      </c>
      <c r="G748" s="8">
        <v>12</v>
      </c>
      <c r="H748" s="8">
        <v>0</v>
      </c>
      <c r="I748" s="8">
        <v>0</v>
      </c>
      <c r="J748" s="8">
        <v>0</v>
      </c>
      <c r="K748" s="5">
        <f t="shared" si="29"/>
        <v>200</v>
      </c>
    </row>
    <row r="749" spans="1:11" ht="14.25">
      <c r="A749" s="7">
        <v>732</v>
      </c>
      <c r="B749" s="5">
        <v>1</v>
      </c>
      <c r="C749" s="7">
        <v>0</v>
      </c>
      <c r="D749" s="5">
        <v>0</v>
      </c>
      <c r="E749" s="5">
        <v>0</v>
      </c>
      <c r="F749" s="5">
        <f t="shared" si="28"/>
        <v>200000</v>
      </c>
      <c r="G749" s="8">
        <v>12</v>
      </c>
      <c r="H749" s="8">
        <v>0</v>
      </c>
      <c r="I749" s="8">
        <v>0</v>
      </c>
      <c r="J749" s="8">
        <v>0</v>
      </c>
      <c r="K749" s="5">
        <f t="shared" si="29"/>
        <v>200</v>
      </c>
    </row>
    <row r="750" spans="1:11" ht="14.25">
      <c r="A750" s="7">
        <v>733</v>
      </c>
      <c r="B750" s="5">
        <v>1</v>
      </c>
      <c r="C750" s="7">
        <v>0</v>
      </c>
      <c r="D750" s="5">
        <v>0</v>
      </c>
      <c r="E750" s="5">
        <v>0</v>
      </c>
      <c r="F750" s="5">
        <f t="shared" si="28"/>
        <v>200000</v>
      </c>
      <c r="G750" s="8">
        <v>12</v>
      </c>
      <c r="H750" s="8">
        <v>0</v>
      </c>
      <c r="I750" s="8">
        <v>0</v>
      </c>
      <c r="J750" s="8">
        <v>0</v>
      </c>
      <c r="K750" s="5">
        <f t="shared" si="29"/>
        <v>200</v>
      </c>
    </row>
    <row r="751" spans="1:11" ht="14.25">
      <c r="A751" s="7">
        <v>734</v>
      </c>
      <c r="B751" s="5">
        <v>1</v>
      </c>
      <c r="C751" s="7">
        <v>0</v>
      </c>
      <c r="D751" s="5">
        <v>0</v>
      </c>
      <c r="E751" s="5">
        <v>0</v>
      </c>
      <c r="F751" s="5">
        <f t="shared" si="28"/>
        <v>200000</v>
      </c>
      <c r="G751" s="8">
        <v>12</v>
      </c>
      <c r="H751" s="8">
        <v>0</v>
      </c>
      <c r="I751" s="8">
        <v>0</v>
      </c>
      <c r="J751" s="8">
        <v>0</v>
      </c>
      <c r="K751" s="5">
        <f t="shared" si="29"/>
        <v>200</v>
      </c>
    </row>
    <row r="752" spans="1:11" ht="14.25">
      <c r="A752" s="7">
        <v>735</v>
      </c>
      <c r="B752" s="5">
        <v>1</v>
      </c>
      <c r="C752" s="7">
        <v>0</v>
      </c>
      <c r="D752" s="5">
        <v>0</v>
      </c>
      <c r="E752" s="5">
        <v>0</v>
      </c>
      <c r="F752" s="5">
        <f t="shared" si="28"/>
        <v>200000</v>
      </c>
      <c r="G752" s="8">
        <v>12</v>
      </c>
      <c r="H752" s="8">
        <v>0</v>
      </c>
      <c r="I752" s="8">
        <v>0</v>
      </c>
      <c r="J752" s="8">
        <v>0</v>
      </c>
      <c r="K752" s="5">
        <f t="shared" si="29"/>
        <v>200</v>
      </c>
    </row>
    <row r="753" spans="1:11" ht="14.25">
      <c r="A753" s="7">
        <v>736</v>
      </c>
      <c r="B753" s="5">
        <v>1</v>
      </c>
      <c r="C753" s="7">
        <v>0</v>
      </c>
      <c r="D753" s="5">
        <v>0</v>
      </c>
      <c r="E753" s="5">
        <v>0</v>
      </c>
      <c r="F753" s="5">
        <f t="shared" si="28"/>
        <v>200000</v>
      </c>
      <c r="G753" s="8">
        <v>12</v>
      </c>
      <c r="H753" s="8">
        <v>0</v>
      </c>
      <c r="I753" s="8">
        <v>0</v>
      </c>
      <c r="J753" s="8">
        <v>0</v>
      </c>
      <c r="K753" s="5">
        <f t="shared" si="29"/>
        <v>200</v>
      </c>
    </row>
    <row r="754" spans="1:11" ht="14.25">
      <c r="A754" s="7">
        <v>737</v>
      </c>
      <c r="B754" s="5">
        <v>1</v>
      </c>
      <c r="C754" s="7">
        <v>0</v>
      </c>
      <c r="D754" s="5">
        <v>0</v>
      </c>
      <c r="E754" s="5">
        <v>0</v>
      </c>
      <c r="F754" s="5">
        <f t="shared" si="28"/>
        <v>200000</v>
      </c>
      <c r="G754" s="8">
        <v>12</v>
      </c>
      <c r="H754" s="8">
        <v>0</v>
      </c>
      <c r="I754" s="8">
        <v>0</v>
      </c>
      <c r="J754" s="8">
        <v>0</v>
      </c>
      <c r="K754" s="5">
        <f t="shared" si="29"/>
        <v>200</v>
      </c>
    </row>
    <row r="755" spans="1:11" ht="14.25">
      <c r="A755" s="7">
        <v>738</v>
      </c>
      <c r="B755" s="5">
        <v>1</v>
      </c>
      <c r="C755" s="7">
        <v>0</v>
      </c>
      <c r="D755" s="5">
        <v>0</v>
      </c>
      <c r="E755" s="5">
        <v>0</v>
      </c>
      <c r="F755" s="5">
        <f t="shared" si="28"/>
        <v>200000</v>
      </c>
      <c r="G755" s="8">
        <v>12</v>
      </c>
      <c r="H755" s="8">
        <v>0</v>
      </c>
      <c r="I755" s="8">
        <v>0</v>
      </c>
      <c r="J755" s="8">
        <v>0</v>
      </c>
      <c r="K755" s="5">
        <f t="shared" si="29"/>
        <v>200</v>
      </c>
    </row>
    <row r="756" spans="1:11" ht="14.25">
      <c r="A756" s="7">
        <v>739</v>
      </c>
      <c r="B756" s="5">
        <v>1</v>
      </c>
      <c r="C756" s="7">
        <v>0</v>
      </c>
      <c r="D756" s="5">
        <v>0</v>
      </c>
      <c r="E756" s="5">
        <v>0</v>
      </c>
      <c r="F756" s="5">
        <f t="shared" si="28"/>
        <v>200000</v>
      </c>
      <c r="G756" s="8">
        <v>12</v>
      </c>
      <c r="H756" s="8">
        <v>0</v>
      </c>
      <c r="I756" s="8">
        <v>0</v>
      </c>
      <c r="J756" s="8">
        <v>0</v>
      </c>
      <c r="K756" s="5">
        <f t="shared" si="29"/>
        <v>200</v>
      </c>
    </row>
    <row r="757" spans="1:11" ht="14.25">
      <c r="A757" s="7">
        <v>740</v>
      </c>
      <c r="B757" s="5">
        <v>1</v>
      </c>
      <c r="C757" s="7">
        <v>0</v>
      </c>
      <c r="D757" s="5">
        <v>0</v>
      </c>
      <c r="E757" s="5">
        <v>0</v>
      </c>
      <c r="F757" s="5">
        <f t="shared" si="28"/>
        <v>200000</v>
      </c>
      <c r="G757" s="8">
        <v>12</v>
      </c>
      <c r="H757" s="8">
        <v>0</v>
      </c>
      <c r="I757" s="8">
        <v>0</v>
      </c>
      <c r="J757" s="8">
        <v>0</v>
      </c>
      <c r="K757" s="5">
        <f t="shared" si="29"/>
        <v>200</v>
      </c>
    </row>
    <row r="758" spans="1:11" ht="14.25">
      <c r="A758" s="7">
        <v>741</v>
      </c>
      <c r="B758" s="5">
        <v>1</v>
      </c>
      <c r="C758" s="7">
        <v>0</v>
      </c>
      <c r="D758" s="5">
        <v>0</v>
      </c>
      <c r="E758" s="5">
        <v>0</v>
      </c>
      <c r="F758" s="5">
        <f t="shared" si="28"/>
        <v>200000</v>
      </c>
      <c r="G758" s="8">
        <v>12</v>
      </c>
      <c r="H758" s="8">
        <v>0</v>
      </c>
      <c r="I758" s="8">
        <v>0</v>
      </c>
      <c r="J758" s="8">
        <v>0</v>
      </c>
      <c r="K758" s="5">
        <f t="shared" si="29"/>
        <v>200</v>
      </c>
    </row>
    <row r="759" spans="1:11" ht="14.25">
      <c r="A759" s="7">
        <v>742</v>
      </c>
      <c r="B759" s="5">
        <v>1</v>
      </c>
      <c r="C759" s="7">
        <v>0</v>
      </c>
      <c r="D759" s="5">
        <v>0</v>
      </c>
      <c r="E759" s="5">
        <v>0</v>
      </c>
      <c r="F759" s="5">
        <f t="shared" si="28"/>
        <v>200000</v>
      </c>
      <c r="G759" s="8">
        <v>12</v>
      </c>
      <c r="H759" s="8">
        <v>0</v>
      </c>
      <c r="I759" s="8">
        <v>0</v>
      </c>
      <c r="J759" s="8">
        <v>0</v>
      </c>
      <c r="K759" s="5">
        <f t="shared" si="29"/>
        <v>200</v>
      </c>
    </row>
    <row r="760" spans="1:11" ht="14.25">
      <c r="A760" s="7">
        <v>743</v>
      </c>
      <c r="B760" s="5">
        <v>1</v>
      </c>
      <c r="C760" s="7">
        <v>0</v>
      </c>
      <c r="D760" s="5">
        <v>0</v>
      </c>
      <c r="E760" s="5">
        <v>0</v>
      </c>
      <c r="F760" s="5">
        <f t="shared" si="28"/>
        <v>200000</v>
      </c>
      <c r="G760" s="8">
        <v>12</v>
      </c>
      <c r="H760" s="8">
        <v>0</v>
      </c>
      <c r="I760" s="8">
        <v>0</v>
      </c>
      <c r="J760" s="8">
        <v>0</v>
      </c>
      <c r="K760" s="5">
        <f t="shared" si="29"/>
        <v>200</v>
      </c>
    </row>
    <row r="761" spans="1:11" ht="14.25">
      <c r="A761" s="7">
        <v>744</v>
      </c>
      <c r="B761" s="5">
        <v>1</v>
      </c>
      <c r="C761" s="7">
        <v>0</v>
      </c>
      <c r="D761" s="5">
        <v>0</v>
      </c>
      <c r="E761" s="5">
        <v>0</v>
      </c>
      <c r="F761" s="5">
        <f t="shared" si="28"/>
        <v>200000</v>
      </c>
      <c r="G761" s="8">
        <v>12</v>
      </c>
      <c r="H761" s="8">
        <v>0</v>
      </c>
      <c r="I761" s="8">
        <v>0</v>
      </c>
      <c r="J761" s="8">
        <v>0</v>
      </c>
      <c r="K761" s="5">
        <f t="shared" si="29"/>
        <v>200</v>
      </c>
    </row>
    <row r="762" spans="1:11" ht="14.25">
      <c r="A762" s="7">
        <v>745</v>
      </c>
      <c r="B762" s="5">
        <v>1</v>
      </c>
      <c r="C762" s="7">
        <v>0</v>
      </c>
      <c r="D762" s="5">
        <v>0</v>
      </c>
      <c r="E762" s="5">
        <v>0</v>
      </c>
      <c r="F762" s="5">
        <f t="shared" si="28"/>
        <v>200000</v>
      </c>
      <c r="G762" s="8">
        <v>12</v>
      </c>
      <c r="H762" s="8">
        <v>0</v>
      </c>
      <c r="I762" s="8">
        <v>0</v>
      </c>
      <c r="J762" s="8">
        <v>0</v>
      </c>
      <c r="K762" s="5">
        <f t="shared" si="29"/>
        <v>200</v>
      </c>
    </row>
    <row r="763" spans="1:11" ht="14.25">
      <c r="A763" s="7">
        <v>746</v>
      </c>
      <c r="B763" s="5">
        <v>1</v>
      </c>
      <c r="C763" s="7">
        <v>0</v>
      </c>
      <c r="D763" s="5">
        <v>0</v>
      </c>
      <c r="E763" s="5">
        <v>0</v>
      </c>
      <c r="F763" s="5">
        <f t="shared" si="28"/>
        <v>200000</v>
      </c>
      <c r="G763" s="8">
        <v>12</v>
      </c>
      <c r="H763" s="8">
        <v>0</v>
      </c>
      <c r="I763" s="8">
        <v>0</v>
      </c>
      <c r="J763" s="8">
        <v>0</v>
      </c>
      <c r="K763" s="5">
        <f t="shared" si="29"/>
        <v>200</v>
      </c>
    </row>
    <row r="764" spans="1:11" ht="14.25">
      <c r="A764" s="7">
        <v>747</v>
      </c>
      <c r="B764" s="5">
        <v>1</v>
      </c>
      <c r="C764" s="7">
        <v>0</v>
      </c>
      <c r="D764" s="5">
        <v>0</v>
      </c>
      <c r="E764" s="5">
        <v>0</v>
      </c>
      <c r="F764" s="5">
        <f t="shared" si="28"/>
        <v>200000</v>
      </c>
      <c r="G764" s="8">
        <v>12</v>
      </c>
      <c r="H764" s="8">
        <v>0</v>
      </c>
      <c r="I764" s="8">
        <v>0</v>
      </c>
      <c r="J764" s="8">
        <v>0</v>
      </c>
      <c r="K764" s="5">
        <f t="shared" si="29"/>
        <v>200</v>
      </c>
    </row>
    <row r="765" spans="1:11" ht="14.25">
      <c r="A765" s="7">
        <v>748</v>
      </c>
      <c r="B765" s="5">
        <v>1</v>
      </c>
      <c r="C765" s="7">
        <v>0</v>
      </c>
      <c r="D765" s="5">
        <v>0</v>
      </c>
      <c r="E765" s="5">
        <v>0</v>
      </c>
      <c r="F765" s="5">
        <f t="shared" si="28"/>
        <v>200000</v>
      </c>
      <c r="G765" s="8">
        <v>12</v>
      </c>
      <c r="H765" s="8">
        <v>0</v>
      </c>
      <c r="I765" s="8">
        <v>0</v>
      </c>
      <c r="J765" s="8">
        <v>0</v>
      </c>
      <c r="K765" s="5">
        <f t="shared" si="29"/>
        <v>200</v>
      </c>
    </row>
    <row r="766" spans="1:11" ht="14.25">
      <c r="A766" s="7">
        <v>749</v>
      </c>
      <c r="B766" s="5">
        <v>1</v>
      </c>
      <c r="C766" s="7">
        <v>0</v>
      </c>
      <c r="D766" s="5">
        <v>0</v>
      </c>
      <c r="E766" s="5">
        <v>0</v>
      </c>
      <c r="F766" s="5">
        <f t="shared" si="28"/>
        <v>200000</v>
      </c>
      <c r="G766" s="8">
        <v>12</v>
      </c>
      <c r="H766" s="8">
        <v>0</v>
      </c>
      <c r="I766" s="8">
        <v>0</v>
      </c>
      <c r="J766" s="8">
        <v>0</v>
      </c>
      <c r="K766" s="5">
        <f t="shared" si="29"/>
        <v>200</v>
      </c>
    </row>
    <row r="767" spans="1:11" ht="14.25">
      <c r="A767" s="7">
        <v>750</v>
      </c>
      <c r="B767" s="5">
        <v>1</v>
      </c>
      <c r="C767" s="7">
        <v>0</v>
      </c>
      <c r="D767" s="5">
        <v>0</v>
      </c>
      <c r="E767" s="5">
        <v>0</v>
      </c>
      <c r="F767" s="5">
        <f t="shared" si="28"/>
        <v>200000</v>
      </c>
      <c r="G767" s="8">
        <v>12</v>
      </c>
      <c r="H767" s="8">
        <v>0</v>
      </c>
      <c r="I767" s="8">
        <v>0</v>
      </c>
      <c r="J767" s="8">
        <v>0</v>
      </c>
      <c r="K767" s="5">
        <f t="shared" si="29"/>
        <v>200</v>
      </c>
    </row>
    <row r="768" spans="1:11" ht="14.25">
      <c r="A768" s="7">
        <v>751</v>
      </c>
      <c r="B768" s="5">
        <v>1</v>
      </c>
      <c r="C768" s="7">
        <v>0</v>
      </c>
      <c r="D768" s="5">
        <v>0</v>
      </c>
      <c r="E768" s="5">
        <v>0</v>
      </c>
      <c r="F768" s="5">
        <f t="shared" si="28"/>
        <v>200000</v>
      </c>
      <c r="G768" s="8">
        <v>12</v>
      </c>
      <c r="H768" s="8">
        <v>0</v>
      </c>
      <c r="I768" s="8">
        <v>0</v>
      </c>
      <c r="J768" s="8">
        <v>0</v>
      </c>
      <c r="K768" s="5">
        <f t="shared" si="29"/>
        <v>200</v>
      </c>
    </row>
    <row r="769" spans="1:11" ht="14.25">
      <c r="A769" s="7">
        <v>752</v>
      </c>
      <c r="B769" s="5">
        <v>1</v>
      </c>
      <c r="C769" s="7">
        <v>0</v>
      </c>
      <c r="D769" s="5">
        <v>0</v>
      </c>
      <c r="E769" s="5">
        <v>0</v>
      </c>
      <c r="F769" s="5">
        <f t="shared" si="28"/>
        <v>200000</v>
      </c>
      <c r="G769" s="8">
        <v>12</v>
      </c>
      <c r="H769" s="8">
        <v>0</v>
      </c>
      <c r="I769" s="8">
        <v>0</v>
      </c>
      <c r="J769" s="8">
        <v>0</v>
      </c>
      <c r="K769" s="5">
        <f t="shared" si="29"/>
        <v>200</v>
      </c>
    </row>
    <row r="770" spans="1:11" ht="14.25">
      <c r="A770" s="7">
        <v>753</v>
      </c>
      <c r="B770" s="5">
        <v>1</v>
      </c>
      <c r="C770" s="7">
        <v>0</v>
      </c>
      <c r="D770" s="5">
        <v>0</v>
      </c>
      <c r="E770" s="5">
        <v>0</v>
      </c>
      <c r="F770" s="5">
        <f t="shared" si="28"/>
        <v>200000</v>
      </c>
      <c r="G770" s="8">
        <v>12</v>
      </c>
      <c r="H770" s="8">
        <v>0</v>
      </c>
      <c r="I770" s="8">
        <v>0</v>
      </c>
      <c r="J770" s="8">
        <v>0</v>
      </c>
      <c r="K770" s="5">
        <f t="shared" si="29"/>
        <v>200</v>
      </c>
    </row>
    <row r="771" spans="1:11" ht="14.25">
      <c r="A771" s="7">
        <v>754</v>
      </c>
      <c r="B771" s="5">
        <v>1</v>
      </c>
      <c r="C771" s="7">
        <v>0</v>
      </c>
      <c r="D771" s="5">
        <v>0</v>
      </c>
      <c r="E771" s="5">
        <v>0</v>
      </c>
      <c r="F771" s="5">
        <f t="shared" si="28"/>
        <v>200000</v>
      </c>
      <c r="G771" s="8">
        <v>12</v>
      </c>
      <c r="H771" s="8">
        <v>0</v>
      </c>
      <c r="I771" s="8">
        <v>0</v>
      </c>
      <c r="J771" s="8">
        <v>0</v>
      </c>
      <c r="K771" s="5">
        <f t="shared" si="29"/>
        <v>200</v>
      </c>
    </row>
    <row r="772" spans="1:11" ht="14.25">
      <c r="A772" s="7">
        <v>755</v>
      </c>
      <c r="B772" s="5">
        <v>1</v>
      </c>
      <c r="C772" s="7">
        <v>0</v>
      </c>
      <c r="D772" s="5">
        <v>0</v>
      </c>
      <c r="E772" s="5">
        <v>0</v>
      </c>
      <c r="F772" s="5">
        <f t="shared" si="28"/>
        <v>200000</v>
      </c>
      <c r="G772" s="8">
        <v>12</v>
      </c>
      <c r="H772" s="8">
        <v>0</v>
      </c>
      <c r="I772" s="8">
        <v>0</v>
      </c>
      <c r="J772" s="8">
        <v>0</v>
      </c>
      <c r="K772" s="5">
        <f t="shared" si="29"/>
        <v>200</v>
      </c>
    </row>
    <row r="773" spans="1:11" ht="14.25">
      <c r="A773" s="7">
        <v>756</v>
      </c>
      <c r="B773" s="5">
        <v>1</v>
      </c>
      <c r="C773" s="7">
        <v>0</v>
      </c>
      <c r="D773" s="5">
        <v>0</v>
      </c>
      <c r="E773" s="5">
        <v>0</v>
      </c>
      <c r="F773" s="5">
        <f t="shared" si="28"/>
        <v>200000</v>
      </c>
      <c r="G773" s="8">
        <v>12</v>
      </c>
      <c r="H773" s="8">
        <v>0</v>
      </c>
      <c r="I773" s="8">
        <v>0</v>
      </c>
      <c r="J773" s="8">
        <v>0</v>
      </c>
      <c r="K773" s="5">
        <f t="shared" si="29"/>
        <v>200</v>
      </c>
    </row>
    <row r="774" spans="1:11" ht="14.25">
      <c r="A774" s="7">
        <v>757</v>
      </c>
      <c r="B774" s="5">
        <v>1</v>
      </c>
      <c r="C774" s="7">
        <v>0</v>
      </c>
      <c r="D774" s="5">
        <v>0</v>
      </c>
      <c r="E774" s="5">
        <v>0</v>
      </c>
      <c r="F774" s="5">
        <f t="shared" si="28"/>
        <v>200000</v>
      </c>
      <c r="G774" s="8">
        <v>12</v>
      </c>
      <c r="H774" s="8">
        <v>0</v>
      </c>
      <c r="I774" s="8">
        <v>0</v>
      </c>
      <c r="J774" s="8">
        <v>0</v>
      </c>
      <c r="K774" s="5">
        <f t="shared" si="29"/>
        <v>200</v>
      </c>
    </row>
    <row r="775" spans="1:11" ht="14.25">
      <c r="A775" s="7">
        <v>758</v>
      </c>
      <c r="B775" s="5">
        <v>1</v>
      </c>
      <c r="C775" s="7">
        <v>0</v>
      </c>
      <c r="D775" s="5">
        <v>0</v>
      </c>
      <c r="E775" s="5">
        <v>0</v>
      </c>
      <c r="F775" s="5">
        <f t="shared" si="28"/>
        <v>200000</v>
      </c>
      <c r="G775" s="8">
        <v>12</v>
      </c>
      <c r="H775" s="8">
        <v>0</v>
      </c>
      <c r="I775" s="8">
        <v>0</v>
      </c>
      <c r="J775" s="8">
        <v>0</v>
      </c>
      <c r="K775" s="5">
        <f t="shared" si="29"/>
        <v>200</v>
      </c>
    </row>
    <row r="776" spans="1:11" ht="14.25">
      <c r="A776" s="7">
        <v>759</v>
      </c>
      <c r="B776" s="5">
        <v>1</v>
      </c>
      <c r="C776" s="7">
        <v>0</v>
      </c>
      <c r="D776" s="5">
        <v>0</v>
      </c>
      <c r="E776" s="5">
        <v>0</v>
      </c>
      <c r="F776" s="5">
        <f t="shared" si="28"/>
        <v>200000</v>
      </c>
      <c r="G776" s="8">
        <v>12</v>
      </c>
      <c r="H776" s="8">
        <v>0</v>
      </c>
      <c r="I776" s="8">
        <v>0</v>
      </c>
      <c r="J776" s="8">
        <v>0</v>
      </c>
      <c r="K776" s="5">
        <f t="shared" si="29"/>
        <v>200</v>
      </c>
    </row>
    <row r="777" spans="1:11" ht="14.25">
      <c r="A777" s="7">
        <v>760</v>
      </c>
      <c r="B777" s="5">
        <v>1</v>
      </c>
      <c r="C777" s="7">
        <v>0</v>
      </c>
      <c r="D777" s="5">
        <v>0</v>
      </c>
      <c r="E777" s="5">
        <v>0</v>
      </c>
      <c r="F777" s="5">
        <f t="shared" si="28"/>
        <v>200000</v>
      </c>
      <c r="G777" s="8">
        <v>12</v>
      </c>
      <c r="H777" s="8">
        <v>0</v>
      </c>
      <c r="I777" s="8">
        <v>0</v>
      </c>
      <c r="J777" s="8">
        <v>0</v>
      </c>
      <c r="K777" s="5">
        <f t="shared" si="29"/>
        <v>200</v>
      </c>
    </row>
    <row r="778" spans="1:11" ht="14.25">
      <c r="A778" s="7">
        <v>761</v>
      </c>
      <c r="B778" s="5">
        <v>1</v>
      </c>
      <c r="C778" s="7">
        <v>0</v>
      </c>
      <c r="D778" s="5">
        <v>0</v>
      </c>
      <c r="E778" s="5">
        <v>0</v>
      </c>
      <c r="F778" s="5">
        <f t="shared" si="28"/>
        <v>205000</v>
      </c>
      <c r="G778" s="8">
        <v>12</v>
      </c>
      <c r="H778" s="8">
        <v>0</v>
      </c>
      <c r="I778" s="8">
        <v>0</v>
      </c>
      <c r="J778" s="8">
        <v>0</v>
      </c>
      <c r="K778" s="5">
        <f t="shared" si="29"/>
        <v>205</v>
      </c>
    </row>
    <row r="779" spans="1:11" ht="14.25">
      <c r="A779" s="7">
        <v>762</v>
      </c>
      <c r="B779" s="5">
        <v>1</v>
      </c>
      <c r="C779" s="7">
        <v>0</v>
      </c>
      <c r="D779" s="5">
        <v>0</v>
      </c>
      <c r="E779" s="5">
        <v>0</v>
      </c>
      <c r="F779" s="5">
        <f t="shared" si="28"/>
        <v>205000</v>
      </c>
      <c r="G779" s="8">
        <v>12</v>
      </c>
      <c r="H779" s="8">
        <v>0</v>
      </c>
      <c r="I779" s="8">
        <v>0</v>
      </c>
      <c r="J779" s="8">
        <v>0</v>
      </c>
      <c r="K779" s="5">
        <f t="shared" si="29"/>
        <v>205</v>
      </c>
    </row>
    <row r="780" spans="1:11" ht="14.25">
      <c r="A780" s="7">
        <v>763</v>
      </c>
      <c r="B780" s="5">
        <v>1</v>
      </c>
      <c r="C780" s="7">
        <v>0</v>
      </c>
      <c r="D780" s="5">
        <v>0</v>
      </c>
      <c r="E780" s="5">
        <v>0</v>
      </c>
      <c r="F780" s="5">
        <f t="shared" si="28"/>
        <v>205000</v>
      </c>
      <c r="G780" s="8">
        <v>12</v>
      </c>
      <c r="H780" s="8">
        <v>0</v>
      </c>
      <c r="I780" s="8">
        <v>0</v>
      </c>
      <c r="J780" s="8">
        <v>0</v>
      </c>
      <c r="K780" s="5">
        <f t="shared" si="29"/>
        <v>205</v>
      </c>
    </row>
    <row r="781" spans="1:11" ht="14.25">
      <c r="A781" s="7">
        <v>764</v>
      </c>
      <c r="B781" s="5">
        <v>1</v>
      </c>
      <c r="C781" s="7">
        <v>0</v>
      </c>
      <c r="D781" s="5">
        <v>0</v>
      </c>
      <c r="E781" s="5">
        <v>0</v>
      </c>
      <c r="F781" s="5">
        <f t="shared" si="28"/>
        <v>205000</v>
      </c>
      <c r="G781" s="8">
        <v>12</v>
      </c>
      <c r="H781" s="8">
        <v>0</v>
      </c>
      <c r="I781" s="8">
        <v>0</v>
      </c>
      <c r="J781" s="8">
        <v>0</v>
      </c>
      <c r="K781" s="5">
        <f t="shared" si="29"/>
        <v>205</v>
      </c>
    </row>
    <row r="782" spans="1:11" ht="14.25">
      <c r="A782" s="7">
        <v>765</v>
      </c>
      <c r="B782" s="5">
        <v>1</v>
      </c>
      <c r="C782" s="7">
        <v>0</v>
      </c>
      <c r="D782" s="5">
        <v>0</v>
      </c>
      <c r="E782" s="5">
        <v>0</v>
      </c>
      <c r="F782" s="5">
        <f t="shared" si="28"/>
        <v>205000</v>
      </c>
      <c r="G782" s="8">
        <v>12</v>
      </c>
      <c r="H782" s="8">
        <v>0</v>
      </c>
      <c r="I782" s="8">
        <v>0</v>
      </c>
      <c r="J782" s="8">
        <v>0</v>
      </c>
      <c r="K782" s="5">
        <f t="shared" si="29"/>
        <v>205</v>
      </c>
    </row>
    <row r="783" spans="1:11" ht="14.25">
      <c r="A783" s="7">
        <v>766</v>
      </c>
      <c r="B783" s="5">
        <v>1</v>
      </c>
      <c r="C783" s="7">
        <v>0</v>
      </c>
      <c r="D783" s="5">
        <v>0</v>
      </c>
      <c r="E783" s="5">
        <v>0</v>
      </c>
      <c r="F783" s="5">
        <f t="shared" si="28"/>
        <v>205000</v>
      </c>
      <c r="G783" s="8">
        <v>12</v>
      </c>
      <c r="H783" s="8">
        <v>0</v>
      </c>
      <c r="I783" s="8">
        <v>0</v>
      </c>
      <c r="J783" s="8">
        <v>0</v>
      </c>
      <c r="K783" s="5">
        <f t="shared" si="29"/>
        <v>205</v>
      </c>
    </row>
    <row r="784" spans="1:11" ht="14.25">
      <c r="A784" s="7">
        <v>767</v>
      </c>
      <c r="B784" s="5">
        <v>1</v>
      </c>
      <c r="C784" s="7">
        <v>0</v>
      </c>
      <c r="D784" s="5">
        <v>0</v>
      </c>
      <c r="E784" s="5">
        <v>0</v>
      </c>
      <c r="F784" s="5">
        <f t="shared" si="28"/>
        <v>205000</v>
      </c>
      <c r="G784" s="8">
        <v>12</v>
      </c>
      <c r="H784" s="8">
        <v>0</v>
      </c>
      <c r="I784" s="8">
        <v>0</v>
      </c>
      <c r="J784" s="8">
        <v>0</v>
      </c>
      <c r="K784" s="5">
        <f t="shared" si="29"/>
        <v>205</v>
      </c>
    </row>
    <row r="785" spans="1:11" ht="14.25">
      <c r="A785" s="7">
        <v>768</v>
      </c>
      <c r="B785" s="5">
        <v>1</v>
      </c>
      <c r="C785" s="7">
        <v>0</v>
      </c>
      <c r="D785" s="5">
        <v>0</v>
      </c>
      <c r="E785" s="5">
        <v>0</v>
      </c>
      <c r="F785" s="5">
        <f t="shared" si="28"/>
        <v>205000</v>
      </c>
      <c r="G785" s="8">
        <v>12</v>
      </c>
      <c r="H785" s="8">
        <v>0</v>
      </c>
      <c r="I785" s="8">
        <v>0</v>
      </c>
      <c r="J785" s="8">
        <v>0</v>
      </c>
      <c r="K785" s="5">
        <f t="shared" si="29"/>
        <v>205</v>
      </c>
    </row>
    <row r="786" spans="1:11" ht="14.25">
      <c r="A786" s="7">
        <v>769</v>
      </c>
      <c r="B786" s="5">
        <v>1</v>
      </c>
      <c r="C786" s="7">
        <v>0</v>
      </c>
      <c r="D786" s="5">
        <v>0</v>
      </c>
      <c r="E786" s="5">
        <v>0</v>
      </c>
      <c r="F786" s="5">
        <f t="shared" si="28"/>
        <v>205000</v>
      </c>
      <c r="G786" s="8">
        <v>12</v>
      </c>
      <c r="H786" s="8">
        <v>0</v>
      </c>
      <c r="I786" s="8">
        <v>0</v>
      </c>
      <c r="J786" s="8">
        <v>0</v>
      </c>
      <c r="K786" s="5">
        <f t="shared" si="29"/>
        <v>205</v>
      </c>
    </row>
    <row r="787" spans="1:11" ht="14.25">
      <c r="A787" s="7">
        <v>770</v>
      </c>
      <c r="B787" s="5">
        <v>1</v>
      </c>
      <c r="C787" s="7">
        <v>0</v>
      </c>
      <c r="D787" s="5">
        <v>0</v>
      </c>
      <c r="E787" s="5">
        <v>0</v>
      </c>
      <c r="F787" s="5">
        <f t="shared" si="28"/>
        <v>205000</v>
      </c>
      <c r="G787" s="8">
        <v>12</v>
      </c>
      <c r="H787" s="8">
        <v>0</v>
      </c>
      <c r="I787" s="8">
        <v>0</v>
      </c>
      <c r="J787" s="8">
        <v>0</v>
      </c>
      <c r="K787" s="5">
        <f t="shared" si="29"/>
        <v>205</v>
      </c>
    </row>
    <row r="788" spans="1:11" ht="14.25">
      <c r="A788" s="7">
        <v>771</v>
      </c>
      <c r="B788" s="5">
        <v>1</v>
      </c>
      <c r="C788" s="7">
        <v>0</v>
      </c>
      <c r="D788" s="5">
        <v>0</v>
      </c>
      <c r="E788" s="5">
        <v>0</v>
      </c>
      <c r="F788" s="5">
        <f t="shared" si="28"/>
        <v>205000</v>
      </c>
      <c r="G788" s="8">
        <v>12</v>
      </c>
      <c r="H788" s="8">
        <v>0</v>
      </c>
      <c r="I788" s="8">
        <v>0</v>
      </c>
      <c r="J788" s="8">
        <v>0</v>
      </c>
      <c r="K788" s="5">
        <f t="shared" si="29"/>
        <v>205</v>
      </c>
    </row>
    <row r="789" spans="1:11" ht="14.25">
      <c r="A789" s="7">
        <v>772</v>
      </c>
      <c r="B789" s="5">
        <v>1</v>
      </c>
      <c r="C789" s="7">
        <v>0</v>
      </c>
      <c r="D789" s="5">
        <v>0</v>
      </c>
      <c r="E789" s="5">
        <v>0</v>
      </c>
      <c r="F789" s="5">
        <f t="shared" si="28"/>
        <v>205000</v>
      </c>
      <c r="G789" s="8">
        <v>12</v>
      </c>
      <c r="H789" s="8">
        <v>0</v>
      </c>
      <c r="I789" s="8">
        <v>0</v>
      </c>
      <c r="J789" s="8">
        <v>0</v>
      </c>
      <c r="K789" s="5">
        <f t="shared" si="29"/>
        <v>205</v>
      </c>
    </row>
    <row r="790" spans="1:11" ht="14.25">
      <c r="A790" s="7">
        <v>773</v>
      </c>
      <c r="B790" s="5">
        <v>1</v>
      </c>
      <c r="C790" s="7">
        <v>0</v>
      </c>
      <c r="D790" s="5">
        <v>0</v>
      </c>
      <c r="E790" s="5">
        <v>0</v>
      </c>
      <c r="F790" s="5">
        <f t="shared" si="28"/>
        <v>205000</v>
      </c>
      <c r="G790" s="8">
        <v>12</v>
      </c>
      <c r="H790" s="8">
        <v>0</v>
      </c>
      <c r="I790" s="8">
        <v>0</v>
      </c>
      <c r="J790" s="8">
        <v>0</v>
      </c>
      <c r="K790" s="5">
        <f t="shared" si="29"/>
        <v>205</v>
      </c>
    </row>
    <row r="791" spans="1:11" ht="14.25">
      <c r="A791" s="7">
        <v>774</v>
      </c>
      <c r="B791" s="5">
        <v>1</v>
      </c>
      <c r="C791" s="7">
        <v>0</v>
      </c>
      <c r="D791" s="5">
        <v>0</v>
      </c>
      <c r="E791" s="5">
        <v>0</v>
      </c>
      <c r="F791" s="5">
        <f t="shared" si="28"/>
        <v>205000</v>
      </c>
      <c r="G791" s="8">
        <v>12</v>
      </c>
      <c r="H791" s="8">
        <v>0</v>
      </c>
      <c r="I791" s="8">
        <v>0</v>
      </c>
      <c r="J791" s="8">
        <v>0</v>
      </c>
      <c r="K791" s="5">
        <f t="shared" si="29"/>
        <v>205</v>
      </c>
    </row>
    <row r="792" spans="1:11" ht="14.25">
      <c r="A792" s="7">
        <v>775</v>
      </c>
      <c r="B792" s="5">
        <v>1</v>
      </c>
      <c r="C792" s="7">
        <v>0</v>
      </c>
      <c r="D792" s="5">
        <v>0</v>
      </c>
      <c r="E792" s="5">
        <v>0</v>
      </c>
      <c r="F792" s="5">
        <f t="shared" si="28"/>
        <v>205000</v>
      </c>
      <c r="G792" s="8">
        <v>12</v>
      </c>
      <c r="H792" s="8">
        <v>0</v>
      </c>
      <c r="I792" s="8">
        <v>0</v>
      </c>
      <c r="J792" s="8">
        <v>0</v>
      </c>
      <c r="K792" s="5">
        <f t="shared" si="29"/>
        <v>205</v>
      </c>
    </row>
    <row r="793" spans="1:11" ht="14.25">
      <c r="A793" s="7">
        <v>776</v>
      </c>
      <c r="B793" s="5">
        <v>1</v>
      </c>
      <c r="C793" s="7">
        <v>0</v>
      </c>
      <c r="D793" s="5">
        <v>0</v>
      </c>
      <c r="E793" s="5">
        <v>0</v>
      </c>
      <c r="F793" s="5">
        <f t="shared" si="28"/>
        <v>205000</v>
      </c>
      <c r="G793" s="8">
        <v>12</v>
      </c>
      <c r="H793" s="8">
        <v>0</v>
      </c>
      <c r="I793" s="8">
        <v>0</v>
      </c>
      <c r="J793" s="8">
        <v>0</v>
      </c>
      <c r="K793" s="5">
        <f t="shared" si="29"/>
        <v>205</v>
      </c>
    </row>
    <row r="794" spans="1:11" ht="14.25">
      <c r="A794" s="7">
        <v>777</v>
      </c>
      <c r="B794" s="5">
        <v>1</v>
      </c>
      <c r="C794" s="7">
        <v>0</v>
      </c>
      <c r="D794" s="5">
        <v>0</v>
      </c>
      <c r="E794" s="5">
        <v>0</v>
      </c>
      <c r="F794" s="5">
        <f t="shared" si="28"/>
        <v>205000</v>
      </c>
      <c r="G794" s="8">
        <v>12</v>
      </c>
      <c r="H794" s="8">
        <v>0</v>
      </c>
      <c r="I794" s="8">
        <v>0</v>
      </c>
      <c r="J794" s="8">
        <v>0</v>
      </c>
      <c r="K794" s="5">
        <f t="shared" si="29"/>
        <v>205</v>
      </c>
    </row>
    <row r="795" spans="1:11" ht="14.25">
      <c r="A795" s="7">
        <v>778</v>
      </c>
      <c r="B795" s="5">
        <v>1</v>
      </c>
      <c r="C795" s="7">
        <v>0</v>
      </c>
      <c r="D795" s="5">
        <v>0</v>
      </c>
      <c r="E795" s="5">
        <v>0</v>
      </c>
      <c r="F795" s="5">
        <f t="shared" si="28"/>
        <v>205000</v>
      </c>
      <c r="G795" s="8">
        <v>12</v>
      </c>
      <c r="H795" s="8">
        <v>0</v>
      </c>
      <c r="I795" s="8">
        <v>0</v>
      </c>
      <c r="J795" s="8">
        <v>0</v>
      </c>
      <c r="K795" s="5">
        <f t="shared" si="29"/>
        <v>205</v>
      </c>
    </row>
    <row r="796" spans="1:11" ht="14.25">
      <c r="A796" s="7">
        <v>779</v>
      </c>
      <c r="B796" s="5">
        <v>1</v>
      </c>
      <c r="C796" s="7">
        <v>0</v>
      </c>
      <c r="D796" s="5">
        <v>0</v>
      </c>
      <c r="E796" s="5">
        <v>0</v>
      </c>
      <c r="F796" s="5">
        <f t="shared" si="28"/>
        <v>205000</v>
      </c>
      <c r="G796" s="8">
        <v>12</v>
      </c>
      <c r="H796" s="8">
        <v>0</v>
      </c>
      <c r="I796" s="8">
        <v>0</v>
      </c>
      <c r="J796" s="8">
        <v>0</v>
      </c>
      <c r="K796" s="5">
        <f t="shared" si="29"/>
        <v>205</v>
      </c>
    </row>
    <row r="797" spans="1:11" ht="14.25">
      <c r="A797" s="7">
        <v>780</v>
      </c>
      <c r="B797" s="5">
        <v>1</v>
      </c>
      <c r="C797" s="7">
        <v>0</v>
      </c>
      <c r="D797" s="5">
        <v>0</v>
      </c>
      <c r="E797" s="5">
        <v>0</v>
      </c>
      <c r="F797" s="5">
        <f t="shared" si="28"/>
        <v>205000</v>
      </c>
      <c r="G797" s="8">
        <v>12</v>
      </c>
      <c r="H797" s="8">
        <v>0</v>
      </c>
      <c r="I797" s="8">
        <v>0</v>
      </c>
      <c r="J797" s="8">
        <v>0</v>
      </c>
      <c r="K797" s="5">
        <f t="shared" si="29"/>
        <v>205</v>
      </c>
    </row>
    <row r="798" spans="1:11" ht="14.25">
      <c r="A798" s="7">
        <v>781</v>
      </c>
      <c r="B798" s="5">
        <v>1</v>
      </c>
      <c r="C798" s="7">
        <v>0</v>
      </c>
      <c r="D798" s="5">
        <v>0</v>
      </c>
      <c r="E798" s="5">
        <v>0</v>
      </c>
      <c r="F798" s="5">
        <f t="shared" si="28"/>
        <v>205000</v>
      </c>
      <c r="G798" s="8">
        <v>12</v>
      </c>
      <c r="H798" s="8">
        <v>0</v>
      </c>
      <c r="I798" s="8">
        <v>0</v>
      </c>
      <c r="J798" s="8">
        <v>0</v>
      </c>
      <c r="K798" s="5">
        <f t="shared" si="29"/>
        <v>205</v>
      </c>
    </row>
    <row r="799" spans="1:11" ht="14.25">
      <c r="A799" s="7">
        <v>782</v>
      </c>
      <c r="B799" s="5">
        <v>1</v>
      </c>
      <c r="C799" s="7">
        <v>0</v>
      </c>
      <c r="D799" s="5">
        <v>0</v>
      </c>
      <c r="E799" s="5">
        <v>0</v>
      </c>
      <c r="F799" s="5">
        <f t="shared" si="28"/>
        <v>205000</v>
      </c>
      <c r="G799" s="8">
        <v>12</v>
      </c>
      <c r="H799" s="8">
        <v>0</v>
      </c>
      <c r="I799" s="8">
        <v>0</v>
      </c>
      <c r="J799" s="8">
        <v>0</v>
      </c>
      <c r="K799" s="5">
        <f t="shared" si="29"/>
        <v>205</v>
      </c>
    </row>
    <row r="800" spans="1:11" ht="14.25">
      <c r="A800" s="7">
        <v>783</v>
      </c>
      <c r="B800" s="5">
        <v>1</v>
      </c>
      <c r="C800" s="7">
        <v>0</v>
      </c>
      <c r="D800" s="5">
        <v>0</v>
      </c>
      <c r="E800" s="5">
        <v>0</v>
      </c>
      <c r="F800" s="5">
        <f t="shared" si="28"/>
        <v>205000</v>
      </c>
      <c r="G800" s="8">
        <v>12</v>
      </c>
      <c r="H800" s="8">
        <v>0</v>
      </c>
      <c r="I800" s="8">
        <v>0</v>
      </c>
      <c r="J800" s="8">
        <v>0</v>
      </c>
      <c r="K800" s="5">
        <f t="shared" si="29"/>
        <v>205</v>
      </c>
    </row>
    <row r="801" spans="1:11" ht="14.25">
      <c r="A801" s="7">
        <v>784</v>
      </c>
      <c r="B801" s="5">
        <v>1</v>
      </c>
      <c r="C801" s="7">
        <v>0</v>
      </c>
      <c r="D801" s="5">
        <v>0</v>
      </c>
      <c r="E801" s="5">
        <v>0</v>
      </c>
      <c r="F801" s="5">
        <f t="shared" si="28"/>
        <v>205000</v>
      </c>
      <c r="G801" s="8">
        <v>12</v>
      </c>
      <c r="H801" s="8">
        <v>0</v>
      </c>
      <c r="I801" s="8">
        <v>0</v>
      </c>
      <c r="J801" s="8">
        <v>0</v>
      </c>
      <c r="K801" s="5">
        <f t="shared" si="29"/>
        <v>205</v>
      </c>
    </row>
    <row r="802" spans="1:11" ht="14.25">
      <c r="A802" s="7">
        <v>785</v>
      </c>
      <c r="B802" s="5">
        <v>1</v>
      </c>
      <c r="C802" s="7">
        <v>0</v>
      </c>
      <c r="D802" s="5">
        <v>0</v>
      </c>
      <c r="E802" s="5">
        <v>0</v>
      </c>
      <c r="F802" s="5">
        <f t="shared" si="28"/>
        <v>205000</v>
      </c>
      <c r="G802" s="8">
        <v>12</v>
      </c>
      <c r="H802" s="8">
        <v>0</v>
      </c>
      <c r="I802" s="8">
        <v>0</v>
      </c>
      <c r="J802" s="8">
        <v>0</v>
      </c>
      <c r="K802" s="5">
        <f t="shared" si="29"/>
        <v>205</v>
      </c>
    </row>
    <row r="803" spans="1:11" ht="14.25">
      <c r="A803" s="7">
        <v>786</v>
      </c>
      <c r="B803" s="5">
        <v>1</v>
      </c>
      <c r="C803" s="7">
        <v>0</v>
      </c>
      <c r="D803" s="5">
        <v>0</v>
      </c>
      <c r="E803" s="5">
        <v>0</v>
      </c>
      <c r="F803" s="5">
        <f t="shared" si="28"/>
        <v>205000</v>
      </c>
      <c r="G803" s="8">
        <v>12</v>
      </c>
      <c r="H803" s="8">
        <v>0</v>
      </c>
      <c r="I803" s="8">
        <v>0</v>
      </c>
      <c r="J803" s="8">
        <v>0</v>
      </c>
      <c r="K803" s="5">
        <f t="shared" si="29"/>
        <v>205</v>
      </c>
    </row>
    <row r="804" spans="1:11" ht="14.25">
      <c r="A804" s="7">
        <v>787</v>
      </c>
      <c r="B804" s="5">
        <v>1</v>
      </c>
      <c r="C804" s="7">
        <v>0</v>
      </c>
      <c r="D804" s="5">
        <v>0</v>
      </c>
      <c r="E804" s="5">
        <v>0</v>
      </c>
      <c r="F804" s="5">
        <f t="shared" si="28"/>
        <v>205000</v>
      </c>
      <c r="G804" s="8">
        <v>12</v>
      </c>
      <c r="H804" s="8">
        <v>0</v>
      </c>
      <c r="I804" s="8">
        <v>0</v>
      </c>
      <c r="J804" s="8">
        <v>0</v>
      </c>
      <c r="K804" s="5">
        <f t="shared" si="29"/>
        <v>205</v>
      </c>
    </row>
    <row r="805" spans="1:11" ht="14.25">
      <c r="A805" s="7">
        <v>788</v>
      </c>
      <c r="B805" s="5">
        <v>1</v>
      </c>
      <c r="C805" s="7">
        <v>0</v>
      </c>
      <c r="D805" s="5">
        <v>0</v>
      </c>
      <c r="E805" s="5">
        <v>0</v>
      </c>
      <c r="F805" s="5">
        <f t="shared" si="28"/>
        <v>205000</v>
      </c>
      <c r="G805" s="8">
        <v>12</v>
      </c>
      <c r="H805" s="8">
        <v>0</v>
      </c>
      <c r="I805" s="8">
        <v>0</v>
      </c>
      <c r="J805" s="8">
        <v>0</v>
      </c>
      <c r="K805" s="5">
        <f t="shared" si="29"/>
        <v>205</v>
      </c>
    </row>
    <row r="806" spans="1:11" ht="14.25">
      <c r="A806" s="7">
        <v>789</v>
      </c>
      <c r="B806" s="5">
        <v>1</v>
      </c>
      <c r="C806" s="7">
        <v>0</v>
      </c>
      <c r="D806" s="5">
        <v>0</v>
      </c>
      <c r="E806" s="5">
        <v>0</v>
      </c>
      <c r="F806" s="5">
        <f t="shared" si="28"/>
        <v>205000</v>
      </c>
      <c r="G806" s="8">
        <v>12</v>
      </c>
      <c r="H806" s="8">
        <v>0</v>
      </c>
      <c r="I806" s="8">
        <v>0</v>
      </c>
      <c r="J806" s="8">
        <v>0</v>
      </c>
      <c r="K806" s="5">
        <f t="shared" si="29"/>
        <v>205</v>
      </c>
    </row>
    <row r="807" spans="1:11" ht="14.25">
      <c r="A807" s="7">
        <v>790</v>
      </c>
      <c r="B807" s="5">
        <v>1</v>
      </c>
      <c r="C807" s="7">
        <v>0</v>
      </c>
      <c r="D807" s="5">
        <v>0</v>
      </c>
      <c r="E807" s="5">
        <v>0</v>
      </c>
      <c r="F807" s="5">
        <f t="shared" si="28"/>
        <v>205000</v>
      </c>
      <c r="G807" s="8">
        <v>12</v>
      </c>
      <c r="H807" s="8">
        <v>0</v>
      </c>
      <c r="I807" s="8">
        <v>0</v>
      </c>
      <c r="J807" s="8">
        <v>0</v>
      </c>
      <c r="K807" s="5">
        <f t="shared" si="29"/>
        <v>205</v>
      </c>
    </row>
    <row r="808" spans="1:11" ht="14.25">
      <c r="A808" s="7">
        <v>791</v>
      </c>
      <c r="B808" s="5">
        <v>1</v>
      </c>
      <c r="C808" s="7">
        <v>0</v>
      </c>
      <c r="D808" s="5">
        <v>0</v>
      </c>
      <c r="E808" s="5">
        <v>0</v>
      </c>
      <c r="F808" s="5">
        <f t="shared" si="28"/>
        <v>205000</v>
      </c>
      <c r="G808" s="8">
        <v>12</v>
      </c>
      <c r="H808" s="8">
        <v>0</v>
      </c>
      <c r="I808" s="8">
        <v>0</v>
      </c>
      <c r="J808" s="8">
        <v>0</v>
      </c>
      <c r="K808" s="5">
        <f t="shared" si="29"/>
        <v>205</v>
      </c>
    </row>
    <row r="809" spans="1:11" ht="14.25">
      <c r="A809" s="7">
        <v>792</v>
      </c>
      <c r="B809" s="5">
        <v>1</v>
      </c>
      <c r="C809" s="7">
        <v>0</v>
      </c>
      <c r="D809" s="5">
        <v>0</v>
      </c>
      <c r="E809" s="5">
        <v>0</v>
      </c>
      <c r="F809" s="5">
        <f t="shared" si="28"/>
        <v>205000</v>
      </c>
      <c r="G809" s="8">
        <v>12</v>
      </c>
      <c r="H809" s="8">
        <v>0</v>
      </c>
      <c r="I809" s="8">
        <v>0</v>
      </c>
      <c r="J809" s="8">
        <v>0</v>
      </c>
      <c r="K809" s="5">
        <f t="shared" si="29"/>
        <v>205</v>
      </c>
    </row>
    <row r="810" spans="1:11" ht="14.25">
      <c r="A810" s="7">
        <v>793</v>
      </c>
      <c r="B810" s="5">
        <v>1</v>
      </c>
      <c r="C810" s="7">
        <v>0</v>
      </c>
      <c r="D810" s="5">
        <v>0</v>
      </c>
      <c r="E810" s="5">
        <v>0</v>
      </c>
      <c r="F810" s="5">
        <f t="shared" si="28"/>
        <v>205000</v>
      </c>
      <c r="G810" s="8">
        <v>12</v>
      </c>
      <c r="H810" s="8">
        <v>0</v>
      </c>
      <c r="I810" s="8">
        <v>0</v>
      </c>
      <c r="J810" s="8">
        <v>0</v>
      </c>
      <c r="K810" s="5">
        <f t="shared" si="29"/>
        <v>205</v>
      </c>
    </row>
    <row r="811" spans="1:11" ht="14.25">
      <c r="A811" s="7">
        <v>794</v>
      </c>
      <c r="B811" s="5">
        <v>1</v>
      </c>
      <c r="C811" s="7">
        <v>0</v>
      </c>
      <c r="D811" s="5">
        <v>0</v>
      </c>
      <c r="E811" s="5">
        <v>0</v>
      </c>
      <c r="F811" s="5">
        <f t="shared" ref="F811:F817" si="30">ROUNDUP((A811-510)/50,0)*1000*5+175000</f>
        <v>205000</v>
      </c>
      <c r="G811" s="8">
        <v>12</v>
      </c>
      <c r="H811" s="8">
        <v>0</v>
      </c>
      <c r="I811" s="8">
        <v>0</v>
      </c>
      <c r="J811" s="8">
        <v>0</v>
      </c>
      <c r="K811" s="5">
        <f t="shared" ref="K811:K817" si="31">ROUNDUP((A811-510)/50,0)*5+175</f>
        <v>205</v>
      </c>
    </row>
    <row r="812" spans="1:11" ht="14.25">
      <c r="A812" s="7">
        <v>795</v>
      </c>
      <c r="B812" s="5">
        <v>1</v>
      </c>
      <c r="C812" s="7">
        <v>0</v>
      </c>
      <c r="D812" s="5">
        <v>0</v>
      </c>
      <c r="E812" s="5">
        <v>0</v>
      </c>
      <c r="F812" s="5">
        <f t="shared" si="30"/>
        <v>205000</v>
      </c>
      <c r="G812" s="8">
        <v>12</v>
      </c>
      <c r="H812" s="8">
        <v>0</v>
      </c>
      <c r="I812" s="8">
        <v>0</v>
      </c>
      <c r="J812" s="8">
        <v>0</v>
      </c>
      <c r="K812" s="5">
        <f t="shared" si="31"/>
        <v>205</v>
      </c>
    </row>
    <row r="813" spans="1:11" ht="14.25">
      <c r="A813" s="7">
        <v>796</v>
      </c>
      <c r="B813" s="5">
        <v>1</v>
      </c>
      <c r="C813" s="7">
        <v>0</v>
      </c>
      <c r="D813" s="5">
        <v>0</v>
      </c>
      <c r="E813" s="5">
        <v>0</v>
      </c>
      <c r="F813" s="5">
        <f t="shared" si="30"/>
        <v>205000</v>
      </c>
      <c r="G813" s="8">
        <v>12</v>
      </c>
      <c r="H813" s="8">
        <v>0</v>
      </c>
      <c r="I813" s="8">
        <v>0</v>
      </c>
      <c r="J813" s="8">
        <v>0</v>
      </c>
      <c r="K813" s="5">
        <f t="shared" si="31"/>
        <v>205</v>
      </c>
    </row>
    <row r="814" spans="1:11" ht="14.25">
      <c r="A814" s="7">
        <v>797</v>
      </c>
      <c r="B814" s="5">
        <v>1</v>
      </c>
      <c r="C814" s="7">
        <v>0</v>
      </c>
      <c r="D814" s="5">
        <v>0</v>
      </c>
      <c r="E814" s="5">
        <v>0</v>
      </c>
      <c r="F814" s="5">
        <f t="shared" si="30"/>
        <v>205000</v>
      </c>
      <c r="G814" s="8">
        <v>12</v>
      </c>
      <c r="H814" s="8">
        <v>0</v>
      </c>
      <c r="I814" s="8">
        <v>0</v>
      </c>
      <c r="J814" s="8">
        <v>0</v>
      </c>
      <c r="K814" s="5">
        <f t="shared" si="31"/>
        <v>205</v>
      </c>
    </row>
    <row r="815" spans="1:11" ht="14.25">
      <c r="A815" s="7">
        <v>798</v>
      </c>
      <c r="B815" s="5">
        <v>1</v>
      </c>
      <c r="C815" s="7">
        <v>0</v>
      </c>
      <c r="D815" s="5">
        <v>0</v>
      </c>
      <c r="E815" s="5">
        <v>0</v>
      </c>
      <c r="F815" s="5">
        <f t="shared" si="30"/>
        <v>205000</v>
      </c>
      <c r="G815" s="8">
        <v>12</v>
      </c>
      <c r="H815" s="8">
        <v>0</v>
      </c>
      <c r="I815" s="8">
        <v>0</v>
      </c>
      <c r="J815" s="8">
        <v>0</v>
      </c>
      <c r="K815" s="5">
        <f t="shared" si="31"/>
        <v>205</v>
      </c>
    </row>
    <row r="816" spans="1:11" ht="14.25">
      <c r="A816" s="7">
        <v>799</v>
      </c>
      <c r="B816" s="5">
        <v>1</v>
      </c>
      <c r="C816" s="7">
        <v>0</v>
      </c>
      <c r="D816" s="5">
        <v>0</v>
      </c>
      <c r="E816" s="5">
        <v>0</v>
      </c>
      <c r="F816" s="5">
        <f t="shared" si="30"/>
        <v>205000</v>
      </c>
      <c r="G816" s="8">
        <v>12</v>
      </c>
      <c r="H816" s="8">
        <v>0</v>
      </c>
      <c r="I816" s="8">
        <v>0</v>
      </c>
      <c r="J816" s="8">
        <v>0</v>
      </c>
      <c r="K816" s="5">
        <f t="shared" si="31"/>
        <v>205</v>
      </c>
    </row>
    <row r="817" spans="1:11" ht="14.25">
      <c r="A817" s="7">
        <v>800</v>
      </c>
      <c r="B817" s="5">
        <v>1</v>
      </c>
      <c r="C817" s="7">
        <v>0</v>
      </c>
      <c r="D817" s="5">
        <v>0</v>
      </c>
      <c r="E817" s="5">
        <v>0</v>
      </c>
      <c r="F817" s="5">
        <f t="shared" si="30"/>
        <v>205000</v>
      </c>
      <c r="G817" s="8">
        <v>12</v>
      </c>
      <c r="H817" s="8">
        <v>0</v>
      </c>
      <c r="I817" s="8">
        <v>0</v>
      </c>
      <c r="J817" s="8">
        <v>0</v>
      </c>
      <c r="K817" s="5">
        <f t="shared" si="31"/>
        <v>205</v>
      </c>
    </row>
    <row r="818" spans="1:11" ht="14.25">
      <c r="A818" s="7"/>
      <c r="C818" s="7"/>
      <c r="G818" s="8"/>
      <c r="H818" s="8"/>
      <c r="I818" s="8"/>
      <c r="J818" s="8"/>
    </row>
    <row r="819" spans="1:11" ht="14.25">
      <c r="A819" s="7"/>
      <c r="C819" s="7"/>
      <c r="G819" s="8"/>
      <c r="H819" s="8"/>
      <c r="I819" s="8"/>
      <c r="J819" s="8"/>
    </row>
    <row r="820" spans="1:11" ht="14.25">
      <c r="A820" s="7"/>
      <c r="C820" s="7"/>
      <c r="G820" s="8"/>
      <c r="H820" s="8"/>
      <c r="I820" s="8"/>
      <c r="J820" s="8"/>
    </row>
    <row r="821" spans="1:11" ht="14.25">
      <c r="A821" s="7"/>
      <c r="C821" s="7"/>
      <c r="G821" s="8"/>
      <c r="H821" s="8"/>
      <c r="I821" s="8"/>
      <c r="J821" s="8"/>
    </row>
    <row r="822" spans="1:11" ht="14.25">
      <c r="A822" s="7"/>
      <c r="C822" s="7"/>
      <c r="G822" s="8"/>
      <c r="H822" s="8"/>
      <c r="I822" s="8"/>
      <c r="J822" s="8"/>
    </row>
    <row r="823" spans="1:11" ht="14.25">
      <c r="A823" s="7"/>
      <c r="C823" s="7"/>
      <c r="G823" s="8"/>
      <c r="H823" s="8"/>
      <c r="I823" s="8"/>
      <c r="J823" s="8"/>
    </row>
    <row r="824" spans="1:11" ht="14.25">
      <c r="A824" s="7"/>
      <c r="C824" s="7"/>
      <c r="G824" s="8"/>
      <c r="H824" s="8"/>
      <c r="I824" s="8"/>
      <c r="J824" s="8"/>
    </row>
    <row r="825" spans="1:11" ht="14.25">
      <c r="A825" s="7"/>
      <c r="C825" s="7"/>
      <c r="G825" s="8"/>
      <c r="H825" s="8"/>
      <c r="I825" s="8"/>
      <c r="J825" s="8"/>
    </row>
    <row r="826" spans="1:11" ht="14.25">
      <c r="A826" s="7"/>
      <c r="C826" s="7"/>
      <c r="G826" s="8"/>
      <c r="H826" s="8"/>
      <c r="I826" s="8"/>
      <c r="J826" s="8"/>
    </row>
    <row r="827" spans="1:11" ht="14.25">
      <c r="A827" s="7"/>
      <c r="C827" s="7"/>
      <c r="G827" s="8"/>
      <c r="H827" s="8"/>
      <c r="I827" s="8"/>
      <c r="J827" s="8"/>
    </row>
    <row r="828" spans="1:11" ht="14.25">
      <c r="A828" s="7"/>
      <c r="C828" s="7"/>
      <c r="G828" s="8"/>
      <c r="H828" s="8"/>
      <c r="I828" s="8"/>
      <c r="J828" s="8"/>
    </row>
    <row r="829" spans="1:11" ht="14.25">
      <c r="A829" s="7"/>
      <c r="C829" s="7"/>
      <c r="G829" s="8"/>
      <c r="H829" s="8"/>
      <c r="I829" s="8"/>
      <c r="J829" s="8"/>
    </row>
    <row r="830" spans="1:11" ht="14.25">
      <c r="A830" s="7"/>
      <c r="C830" s="7"/>
      <c r="G830" s="8"/>
      <c r="H830" s="8"/>
      <c r="I830" s="8"/>
      <c r="J830" s="8"/>
    </row>
    <row r="831" spans="1:11" ht="14.25">
      <c r="A831" s="7"/>
      <c r="C831" s="7"/>
      <c r="G831" s="8"/>
      <c r="H831" s="8"/>
      <c r="I831" s="8"/>
      <c r="J831" s="8"/>
    </row>
    <row r="832" spans="1:11" ht="14.25">
      <c r="A832" s="7"/>
      <c r="C832" s="7"/>
      <c r="G832" s="8"/>
      <c r="H832" s="8"/>
      <c r="I832" s="8"/>
      <c r="J832" s="8"/>
    </row>
    <row r="833" spans="1:10" ht="14.25">
      <c r="A833" s="7"/>
      <c r="C833" s="7"/>
      <c r="G833" s="8"/>
      <c r="H833" s="8"/>
      <c r="I833" s="8"/>
      <c r="J833" s="8"/>
    </row>
    <row r="834" spans="1:10" ht="14.25">
      <c r="A834" s="7"/>
      <c r="C834" s="7"/>
      <c r="G834" s="8"/>
      <c r="H834" s="8"/>
      <c r="I834" s="8"/>
      <c r="J834" s="8"/>
    </row>
    <row r="835" spans="1:10" ht="14.25">
      <c r="A835" s="7"/>
      <c r="C835" s="7"/>
      <c r="G835" s="8"/>
      <c r="H835" s="8"/>
      <c r="I835" s="8"/>
      <c r="J835" s="8"/>
    </row>
    <row r="836" spans="1:10" ht="14.25">
      <c r="A836" s="7"/>
      <c r="C836" s="7"/>
      <c r="G836" s="8"/>
      <c r="H836" s="8"/>
      <c r="I836" s="8"/>
      <c r="J836" s="8"/>
    </row>
    <row r="837" spans="1:10" ht="14.25">
      <c r="A837" s="7"/>
      <c r="C837" s="7"/>
      <c r="G837" s="8"/>
      <c r="H837" s="8"/>
      <c r="I837" s="8"/>
      <c r="J837" s="8"/>
    </row>
    <row r="838" spans="1:10" ht="14.25">
      <c r="A838" s="7"/>
      <c r="C838" s="7"/>
      <c r="G838" s="8"/>
      <c r="H838" s="8"/>
      <c r="I838" s="8"/>
      <c r="J838" s="8"/>
    </row>
    <row r="839" spans="1:10" ht="14.25">
      <c r="A839" s="7"/>
      <c r="C839" s="7"/>
      <c r="G839" s="8"/>
      <c r="H839" s="8"/>
      <c r="I839" s="8"/>
      <c r="J839" s="8"/>
    </row>
    <row r="840" spans="1:10" ht="14.25">
      <c r="A840" s="7"/>
      <c r="C840" s="7"/>
      <c r="G840" s="8"/>
      <c r="H840" s="8"/>
      <c r="I840" s="8"/>
      <c r="J840" s="8"/>
    </row>
    <row r="841" spans="1:10" ht="14.25">
      <c r="A841" s="7"/>
      <c r="C841" s="7"/>
      <c r="G841" s="8"/>
      <c r="H841" s="8"/>
      <c r="I841" s="8"/>
      <c r="J841" s="8"/>
    </row>
    <row r="842" spans="1:10" ht="14.25">
      <c r="A842" s="7"/>
      <c r="C842" s="7"/>
      <c r="G842" s="8"/>
      <c r="H842" s="8"/>
      <c r="I842" s="8"/>
      <c r="J842" s="8"/>
    </row>
    <row r="843" spans="1:10" ht="14.25">
      <c r="A843" s="7"/>
      <c r="C843" s="7"/>
      <c r="G843" s="8"/>
      <c r="H843" s="8"/>
      <c r="I843" s="8"/>
      <c r="J843" s="8"/>
    </row>
    <row r="844" spans="1:10" ht="14.25">
      <c r="A844" s="7"/>
      <c r="C844" s="7"/>
      <c r="G844" s="8"/>
      <c r="H844" s="8"/>
      <c r="I844" s="8"/>
      <c r="J844" s="8"/>
    </row>
    <row r="845" spans="1:10" ht="14.25">
      <c r="A845" s="7"/>
      <c r="C845" s="7"/>
      <c r="G845" s="8"/>
      <c r="H845" s="8"/>
      <c r="I845" s="8"/>
      <c r="J845" s="8"/>
    </row>
    <row r="846" spans="1:10" ht="14.25">
      <c r="A846" s="7"/>
      <c r="C846" s="7"/>
      <c r="G846" s="8"/>
      <c r="H846" s="8"/>
      <c r="I846" s="8"/>
      <c r="J846" s="8"/>
    </row>
    <row r="847" spans="1:10" ht="14.25">
      <c r="A847" s="7"/>
      <c r="C847" s="7"/>
      <c r="G847" s="8"/>
      <c r="H847" s="8"/>
      <c r="I847" s="8"/>
      <c r="J847" s="8"/>
    </row>
    <row r="848" spans="1:10" ht="14.25">
      <c r="A848" s="7"/>
      <c r="C848" s="7"/>
      <c r="G848" s="8"/>
      <c r="H848" s="8"/>
      <c r="I848" s="8"/>
      <c r="J848" s="8"/>
    </row>
    <row r="849" spans="1:10" ht="14.25">
      <c r="A849" s="7"/>
      <c r="C849" s="7"/>
      <c r="G849" s="8"/>
      <c r="H849" s="8"/>
      <c r="I849" s="8"/>
      <c r="J849" s="8"/>
    </row>
    <row r="850" spans="1:10" ht="14.25">
      <c r="A850" s="7"/>
      <c r="C850" s="7"/>
      <c r="G850" s="8"/>
      <c r="H850" s="8"/>
      <c r="I850" s="8"/>
      <c r="J850" s="8"/>
    </row>
    <row r="851" spans="1:10" ht="14.25">
      <c r="A851" s="7"/>
      <c r="C851" s="7"/>
      <c r="G851" s="8"/>
      <c r="H851" s="8"/>
      <c r="I851" s="8"/>
      <c r="J851" s="8"/>
    </row>
    <row r="852" spans="1:10" ht="14.25">
      <c r="A852" s="7"/>
      <c r="C852" s="7"/>
      <c r="G852" s="8"/>
      <c r="H852" s="8"/>
      <c r="I852" s="8"/>
      <c r="J852" s="8"/>
    </row>
    <row r="853" spans="1:10" ht="14.25">
      <c r="A853" s="7"/>
      <c r="C853" s="7"/>
      <c r="G853" s="8"/>
      <c r="H853" s="8"/>
      <c r="I853" s="8"/>
      <c r="J853" s="8"/>
    </row>
    <row r="854" spans="1:10" ht="14.25">
      <c r="A854" s="7"/>
      <c r="C854" s="7"/>
      <c r="G854" s="8"/>
      <c r="H854" s="8"/>
      <c r="I854" s="8"/>
      <c r="J854" s="8"/>
    </row>
    <row r="855" spans="1:10" ht="14.25">
      <c r="A855" s="7"/>
      <c r="C855" s="7"/>
      <c r="G855" s="8"/>
      <c r="H855" s="8"/>
      <c r="I855" s="8"/>
      <c r="J855" s="8"/>
    </row>
    <row r="856" spans="1:10" ht="14.25">
      <c r="A856" s="7"/>
      <c r="C856" s="7"/>
      <c r="G856" s="8"/>
      <c r="H856" s="8"/>
      <c r="I856" s="8"/>
      <c r="J856" s="8"/>
    </row>
    <row r="857" spans="1:10" ht="14.25">
      <c r="A857" s="7"/>
      <c r="C857" s="7"/>
      <c r="G857" s="8"/>
      <c r="H857" s="8"/>
      <c r="I857" s="8"/>
      <c r="J857" s="8"/>
    </row>
    <row r="858" spans="1:10" ht="14.25">
      <c r="A858" s="7"/>
      <c r="C858" s="7"/>
      <c r="G858" s="8"/>
      <c r="H858" s="8"/>
      <c r="I858" s="8"/>
      <c r="J858" s="8"/>
    </row>
    <row r="859" spans="1:10" ht="14.25">
      <c r="A859" s="7"/>
      <c r="C859" s="7"/>
      <c r="G859" s="8"/>
      <c r="H859" s="8"/>
      <c r="I859" s="8"/>
      <c r="J859" s="8"/>
    </row>
    <row r="860" spans="1:10" ht="14.25">
      <c r="A860" s="7"/>
      <c r="C860" s="7"/>
      <c r="G860" s="8"/>
      <c r="H860" s="8"/>
      <c r="I860" s="8"/>
      <c r="J860" s="8"/>
    </row>
    <row r="861" spans="1:10" ht="14.25">
      <c r="A861" s="7"/>
      <c r="C861" s="7"/>
      <c r="G861" s="8"/>
      <c r="H861" s="8"/>
      <c r="I861" s="8"/>
      <c r="J861" s="8"/>
    </row>
    <row r="862" spans="1:10" ht="14.25">
      <c r="A862" s="7"/>
      <c r="C862" s="7"/>
      <c r="G862" s="8"/>
      <c r="H862" s="8"/>
      <c r="I862" s="8"/>
      <c r="J862" s="8"/>
    </row>
    <row r="863" spans="1:10" ht="14.25">
      <c r="A863" s="7"/>
      <c r="C863" s="7"/>
      <c r="G863" s="8"/>
      <c r="H863" s="8"/>
      <c r="I863" s="8"/>
      <c r="J863" s="8"/>
    </row>
    <row r="864" spans="1:10" ht="14.25">
      <c r="A864" s="7"/>
      <c r="C864" s="7"/>
      <c r="G864" s="8"/>
      <c r="H864" s="8"/>
      <c r="I864" s="8"/>
      <c r="J864" s="8"/>
    </row>
    <row r="865" spans="1:10" ht="14.25">
      <c r="A865" s="7"/>
      <c r="C865" s="7"/>
      <c r="G865" s="8"/>
      <c r="H865" s="8"/>
      <c r="I865" s="8"/>
      <c r="J865" s="8"/>
    </row>
    <row r="866" spans="1:10" ht="14.25">
      <c r="A866" s="7"/>
      <c r="C866" s="7"/>
      <c r="G866" s="8"/>
      <c r="H866" s="8"/>
      <c r="I866" s="8"/>
      <c r="J866" s="8"/>
    </row>
    <row r="867" spans="1:10" ht="14.25">
      <c r="A867" s="7"/>
      <c r="C867" s="7"/>
      <c r="G867" s="8"/>
      <c r="H867" s="8"/>
      <c r="I867" s="8"/>
      <c r="J867" s="8"/>
    </row>
    <row r="868" spans="1:10" ht="14.25">
      <c r="A868" s="7"/>
      <c r="C868" s="7"/>
      <c r="G868" s="8"/>
      <c r="H868" s="8"/>
      <c r="I868" s="8"/>
      <c r="J868" s="8"/>
    </row>
    <row r="869" spans="1:10" ht="14.25">
      <c r="A869" s="7"/>
      <c r="C869" s="7"/>
      <c r="G869" s="8"/>
      <c r="H869" s="8"/>
      <c r="I869" s="8"/>
      <c r="J869" s="8"/>
    </row>
    <row r="870" spans="1:10" ht="14.25">
      <c r="A870" s="7"/>
      <c r="C870" s="7"/>
      <c r="G870" s="8"/>
      <c r="H870" s="8"/>
      <c r="I870" s="8"/>
      <c r="J870" s="8"/>
    </row>
    <row r="871" spans="1:10" ht="14.25">
      <c r="A871" s="7"/>
      <c r="C871" s="7"/>
      <c r="G871" s="8"/>
      <c r="H871" s="8"/>
      <c r="I871" s="8"/>
      <c r="J871" s="8"/>
    </row>
    <row r="872" spans="1:10" ht="14.25">
      <c r="A872" s="7"/>
      <c r="C872" s="7"/>
      <c r="G872" s="8"/>
      <c r="H872" s="8"/>
      <c r="I872" s="8"/>
      <c r="J872" s="8"/>
    </row>
    <row r="873" spans="1:10" ht="14.25">
      <c r="A873" s="7"/>
      <c r="C873" s="7"/>
      <c r="G873" s="8"/>
      <c r="H873" s="8"/>
      <c r="I873" s="8"/>
      <c r="J873" s="8"/>
    </row>
    <row r="874" spans="1:10" ht="14.25">
      <c r="A874" s="7"/>
      <c r="C874" s="7"/>
      <c r="G874" s="8"/>
      <c r="H874" s="8"/>
      <c r="I874" s="8"/>
      <c r="J874" s="8"/>
    </row>
    <row r="875" spans="1:10" ht="14.25">
      <c r="A875" s="7"/>
      <c r="C875" s="7"/>
      <c r="G875" s="8"/>
      <c r="H875" s="8"/>
      <c r="I875" s="8"/>
      <c r="J875" s="8"/>
    </row>
    <row r="876" spans="1:10" ht="14.25">
      <c r="A876" s="7"/>
      <c r="C876" s="7"/>
      <c r="G876" s="8"/>
      <c r="H876" s="8"/>
      <c r="I876" s="8"/>
      <c r="J876" s="8"/>
    </row>
    <row r="877" spans="1:10" ht="14.25">
      <c r="A877" s="7"/>
      <c r="C877" s="7"/>
      <c r="G877" s="8"/>
      <c r="H877" s="8"/>
      <c r="I877" s="8"/>
      <c r="J877" s="8"/>
    </row>
    <row r="878" spans="1:10" ht="14.25">
      <c r="A878" s="7"/>
      <c r="C878" s="7"/>
      <c r="G878" s="8"/>
      <c r="H878" s="8"/>
      <c r="I878" s="8"/>
      <c r="J878" s="8"/>
    </row>
    <row r="879" spans="1:10" ht="14.25">
      <c r="A879" s="7"/>
      <c r="C879" s="7"/>
      <c r="G879" s="8"/>
      <c r="H879" s="8"/>
      <c r="I879" s="8"/>
      <c r="J879" s="8"/>
    </row>
    <row r="880" spans="1:10" ht="14.25">
      <c r="A880" s="7"/>
      <c r="C880" s="7"/>
      <c r="G880" s="8"/>
      <c r="H880" s="8"/>
      <c r="I880" s="8"/>
      <c r="J880" s="8"/>
    </row>
    <row r="881" spans="1:10" ht="14.25">
      <c r="A881" s="7"/>
      <c r="C881" s="7"/>
      <c r="G881" s="8"/>
      <c r="H881" s="8"/>
      <c r="I881" s="8"/>
      <c r="J881" s="8"/>
    </row>
    <row r="882" spans="1:10" ht="14.25">
      <c r="A882" s="7"/>
      <c r="C882" s="7"/>
      <c r="G882" s="8"/>
      <c r="H882" s="8"/>
      <c r="I882" s="8"/>
      <c r="J882" s="8"/>
    </row>
    <row r="883" spans="1:10" ht="14.25">
      <c r="A883" s="7"/>
      <c r="C883" s="7"/>
      <c r="G883" s="8"/>
      <c r="H883" s="8"/>
      <c r="I883" s="8"/>
      <c r="J883" s="8"/>
    </row>
    <row r="884" spans="1:10" ht="14.25">
      <c r="A884" s="7"/>
      <c r="C884" s="7"/>
      <c r="G884" s="8"/>
      <c r="H884" s="8"/>
      <c r="I884" s="8"/>
      <c r="J884" s="8"/>
    </row>
    <row r="885" spans="1:10" ht="14.25">
      <c r="A885" s="7"/>
      <c r="C885" s="7"/>
      <c r="G885" s="8"/>
      <c r="H885" s="8"/>
      <c r="I885" s="8"/>
      <c r="J885" s="8"/>
    </row>
    <row r="886" spans="1:10" ht="14.25">
      <c r="A886" s="7"/>
      <c r="C886" s="7"/>
      <c r="G886" s="8"/>
      <c r="H886" s="8"/>
      <c r="I886" s="8"/>
      <c r="J886" s="8"/>
    </row>
    <row r="887" spans="1:10" ht="14.25">
      <c r="A887" s="7"/>
      <c r="C887" s="7"/>
      <c r="G887" s="8"/>
      <c r="H887" s="8"/>
      <c r="I887" s="8"/>
      <c r="J887" s="8"/>
    </row>
    <row r="888" spans="1:10" ht="14.25">
      <c r="A888" s="7"/>
      <c r="C888" s="7"/>
      <c r="G888" s="8"/>
      <c r="H888" s="8"/>
      <c r="I888" s="8"/>
      <c r="J888" s="8"/>
    </row>
    <row r="889" spans="1:10" ht="14.25">
      <c r="A889" s="7"/>
      <c r="C889" s="7"/>
      <c r="G889" s="8"/>
      <c r="H889" s="8"/>
      <c r="I889" s="8"/>
      <c r="J889" s="8"/>
    </row>
    <row r="890" spans="1:10" ht="14.25">
      <c r="A890" s="7"/>
      <c r="C890" s="7"/>
      <c r="G890" s="8"/>
      <c r="H890" s="8"/>
      <c r="I890" s="8"/>
      <c r="J890" s="8"/>
    </row>
    <row r="891" spans="1:10" ht="14.25">
      <c r="A891" s="7"/>
      <c r="C891" s="7"/>
      <c r="G891" s="8"/>
      <c r="H891" s="8"/>
      <c r="I891" s="8"/>
      <c r="J891" s="8"/>
    </row>
    <row r="892" spans="1:10" ht="14.25">
      <c r="A892" s="7"/>
      <c r="C892" s="7"/>
      <c r="G892" s="8"/>
      <c r="H892" s="8"/>
      <c r="I892" s="8"/>
      <c r="J892" s="8"/>
    </row>
    <row r="893" spans="1:10" ht="14.25">
      <c r="A893" s="7"/>
      <c r="C893" s="7"/>
      <c r="G893" s="8"/>
      <c r="H893" s="8"/>
      <c r="I893" s="8"/>
      <c r="J893" s="8"/>
    </row>
    <row r="894" spans="1:10" ht="14.25">
      <c r="A894" s="7"/>
      <c r="C894" s="7"/>
      <c r="G894" s="8"/>
      <c r="H894" s="8"/>
      <c r="I894" s="8"/>
      <c r="J894" s="8"/>
    </row>
    <row r="895" spans="1:10" ht="14.25">
      <c r="A895" s="7"/>
      <c r="C895" s="7"/>
      <c r="G895" s="8"/>
      <c r="H895" s="8"/>
      <c r="I895" s="8"/>
      <c r="J895" s="8"/>
    </row>
    <row r="896" spans="1:10" ht="14.25">
      <c r="A896" s="7"/>
      <c r="C896" s="7"/>
      <c r="G896" s="8"/>
      <c r="H896" s="8"/>
      <c r="I896" s="8"/>
      <c r="J896" s="8"/>
    </row>
    <row r="897" spans="1:10" ht="14.25">
      <c r="A897" s="7"/>
      <c r="C897" s="7"/>
      <c r="G897" s="8"/>
      <c r="H897" s="8"/>
      <c r="I897" s="8"/>
      <c r="J897" s="8"/>
    </row>
    <row r="898" spans="1:10" ht="14.25">
      <c r="A898" s="7"/>
      <c r="C898" s="7"/>
      <c r="G898" s="8"/>
      <c r="H898" s="8"/>
      <c r="I898" s="8"/>
      <c r="J898" s="8"/>
    </row>
    <row r="899" spans="1:10" ht="14.25">
      <c r="A899" s="7"/>
      <c r="C899" s="7"/>
      <c r="G899" s="8"/>
      <c r="H899" s="8"/>
      <c r="I899" s="8"/>
      <c r="J899" s="8"/>
    </row>
    <row r="900" spans="1:10" ht="14.25">
      <c r="A900" s="7"/>
      <c r="C900" s="7"/>
      <c r="G900" s="8"/>
      <c r="H900" s="8"/>
      <c r="I900" s="8"/>
      <c r="J900" s="8"/>
    </row>
    <row r="901" spans="1:10" ht="14.25">
      <c r="A901" s="7"/>
      <c r="C901" s="7"/>
      <c r="G901" s="8"/>
      <c r="H901" s="8"/>
      <c r="I901" s="8"/>
      <c r="J901" s="8"/>
    </row>
    <row r="902" spans="1:10" ht="14.25">
      <c r="A902" s="7"/>
      <c r="C902" s="7"/>
      <c r="G902" s="8"/>
      <c r="H902" s="8"/>
      <c r="I902" s="8"/>
      <c r="J902" s="8"/>
    </row>
    <row r="903" spans="1:10" ht="14.25">
      <c r="A903" s="7"/>
      <c r="C903" s="7"/>
      <c r="G903" s="8"/>
      <c r="H903" s="8"/>
      <c r="I903" s="8"/>
      <c r="J903" s="8"/>
    </row>
    <row r="904" spans="1:10" ht="14.25">
      <c r="A904" s="7"/>
      <c r="C904" s="7"/>
      <c r="G904" s="8"/>
      <c r="H904" s="8"/>
      <c r="I904" s="8"/>
      <c r="J904" s="8"/>
    </row>
    <row r="905" spans="1:10" ht="14.25">
      <c r="A905" s="7"/>
      <c r="C905" s="7"/>
      <c r="G905" s="8"/>
      <c r="H905" s="8"/>
      <c r="I905" s="8"/>
      <c r="J905" s="8"/>
    </row>
    <row r="906" spans="1:10" ht="14.25">
      <c r="A906" s="7"/>
      <c r="C906" s="7"/>
      <c r="G906" s="8"/>
      <c r="H906" s="8"/>
      <c r="I906" s="8"/>
      <c r="J906" s="8"/>
    </row>
    <row r="907" spans="1:10" ht="14.25">
      <c r="A907" s="7"/>
      <c r="C907" s="7"/>
      <c r="G907" s="8"/>
      <c r="H907" s="8"/>
      <c r="I907" s="8"/>
      <c r="J907" s="8"/>
    </row>
    <row r="908" spans="1:10" ht="14.25">
      <c r="A908" s="7"/>
      <c r="C908" s="7"/>
      <c r="G908" s="8"/>
      <c r="H908" s="8"/>
      <c r="I908" s="8"/>
      <c r="J908" s="8"/>
    </row>
    <row r="909" spans="1:10" ht="14.25">
      <c r="A909" s="7"/>
      <c r="C909" s="7"/>
      <c r="G909" s="8"/>
      <c r="H909" s="8"/>
      <c r="I909" s="8"/>
      <c r="J909" s="8"/>
    </row>
    <row r="910" spans="1:10" ht="14.25">
      <c r="A910" s="7"/>
      <c r="C910" s="7"/>
      <c r="G910" s="8"/>
      <c r="H910" s="8"/>
      <c r="I910" s="8"/>
      <c r="J910" s="8"/>
    </row>
    <row r="911" spans="1:10" ht="14.25">
      <c r="A911" s="7"/>
      <c r="C911" s="7"/>
      <c r="G911" s="8"/>
      <c r="H911" s="8"/>
      <c r="I911" s="8"/>
      <c r="J911" s="8"/>
    </row>
    <row r="912" spans="1:10" ht="14.25">
      <c r="A912" s="7"/>
      <c r="C912" s="7"/>
      <c r="G912" s="8"/>
      <c r="H912" s="8"/>
      <c r="I912" s="8"/>
      <c r="J912" s="8"/>
    </row>
    <row r="913" spans="1:10" ht="14.25">
      <c r="A913" s="7"/>
      <c r="C913" s="7"/>
      <c r="G913" s="8"/>
      <c r="H913" s="8"/>
      <c r="I913" s="8"/>
      <c r="J913" s="8"/>
    </row>
    <row r="914" spans="1:10" ht="14.25">
      <c r="A914" s="7"/>
      <c r="C914" s="7"/>
      <c r="G914" s="8"/>
      <c r="H914" s="8"/>
      <c r="I914" s="8"/>
      <c r="J914" s="8"/>
    </row>
    <row r="915" spans="1:10" ht="14.25">
      <c r="A915" s="7"/>
      <c r="C915" s="7"/>
      <c r="G915" s="8"/>
      <c r="H915" s="8"/>
      <c r="I915" s="8"/>
      <c r="J915" s="8"/>
    </row>
    <row r="916" spans="1:10" ht="14.25">
      <c r="A916" s="7"/>
      <c r="C916" s="7"/>
      <c r="G916" s="8"/>
      <c r="H916" s="8"/>
      <c r="I916" s="8"/>
      <c r="J916" s="8"/>
    </row>
    <row r="917" spans="1:10" ht="14.25">
      <c r="A917" s="7"/>
      <c r="C917" s="7"/>
      <c r="G917" s="8"/>
      <c r="H917" s="8"/>
      <c r="I917" s="8"/>
      <c r="J917" s="8"/>
    </row>
    <row r="918" spans="1:10" ht="14.25">
      <c r="A918" s="7"/>
      <c r="C918" s="7"/>
      <c r="G918" s="8"/>
      <c r="H918" s="8"/>
      <c r="I918" s="8"/>
      <c r="J918" s="8"/>
    </row>
    <row r="919" spans="1:10" ht="14.25">
      <c r="A919" s="7"/>
      <c r="C919" s="7"/>
      <c r="G919" s="8"/>
      <c r="H919" s="8"/>
      <c r="I919" s="8"/>
      <c r="J919" s="8"/>
    </row>
    <row r="920" spans="1:10" ht="14.25">
      <c r="A920" s="7"/>
      <c r="C920" s="7"/>
      <c r="G920" s="8"/>
      <c r="H920" s="8"/>
      <c r="I920" s="8"/>
      <c r="J920" s="8"/>
    </row>
    <row r="921" spans="1:10" ht="14.25">
      <c r="A921" s="7"/>
      <c r="C921" s="7"/>
      <c r="G921" s="8"/>
      <c r="H921" s="8"/>
      <c r="I921" s="8"/>
      <c r="J921" s="8"/>
    </row>
    <row r="922" spans="1:10" ht="14.25">
      <c r="A922" s="7"/>
      <c r="C922" s="7"/>
      <c r="G922" s="8"/>
      <c r="H922" s="8"/>
      <c r="I922" s="8"/>
      <c r="J922" s="8"/>
    </row>
    <row r="923" spans="1:10" ht="14.25">
      <c r="A923" s="7"/>
      <c r="C923" s="7"/>
      <c r="G923" s="8"/>
      <c r="H923" s="8"/>
      <c r="I923" s="8"/>
      <c r="J923" s="8"/>
    </row>
    <row r="924" spans="1:10" ht="14.25">
      <c r="A924" s="7"/>
      <c r="C924" s="7"/>
      <c r="G924" s="8"/>
      <c r="H924" s="8"/>
      <c r="I924" s="8"/>
      <c r="J924" s="8"/>
    </row>
    <row r="925" spans="1:10" ht="14.25">
      <c r="A925" s="7"/>
      <c r="C925" s="7"/>
      <c r="G925" s="8"/>
      <c r="H925" s="8"/>
      <c r="I925" s="8"/>
      <c r="J925" s="8"/>
    </row>
    <row r="926" spans="1:10" ht="14.25">
      <c r="A926" s="7"/>
      <c r="C926" s="7"/>
      <c r="G926" s="8"/>
      <c r="H926" s="8"/>
      <c r="I926" s="8"/>
      <c r="J926" s="8"/>
    </row>
    <row r="927" spans="1:10" ht="14.25">
      <c r="A927" s="7"/>
      <c r="C927" s="7"/>
      <c r="G927" s="8"/>
      <c r="H927" s="8"/>
      <c r="I927" s="8"/>
      <c r="J927" s="8"/>
    </row>
    <row r="928" spans="1:10" ht="14.25">
      <c r="A928" s="7"/>
      <c r="C928" s="7"/>
      <c r="G928" s="8"/>
      <c r="H928" s="8"/>
      <c r="I928" s="8"/>
      <c r="J928" s="8"/>
    </row>
    <row r="929" spans="1:10" ht="14.25">
      <c r="A929" s="7"/>
      <c r="C929" s="7"/>
      <c r="G929" s="8"/>
      <c r="H929" s="8"/>
      <c r="I929" s="8"/>
      <c r="J929" s="8"/>
    </row>
    <row r="930" spans="1:10" ht="14.25">
      <c r="A930" s="7"/>
      <c r="C930" s="7"/>
      <c r="G930" s="8"/>
      <c r="H930" s="8"/>
      <c r="I930" s="8"/>
      <c r="J930" s="8"/>
    </row>
    <row r="931" spans="1:10" ht="14.25">
      <c r="A931" s="7"/>
      <c r="C931" s="7"/>
      <c r="G931" s="8"/>
      <c r="H931" s="8"/>
      <c r="I931" s="8"/>
      <c r="J931" s="8"/>
    </row>
    <row r="932" spans="1:10" ht="14.25">
      <c r="A932" s="7"/>
      <c r="C932" s="7"/>
      <c r="G932" s="8"/>
      <c r="H932" s="8"/>
      <c r="I932" s="8"/>
      <c r="J932" s="8"/>
    </row>
    <row r="933" spans="1:10" ht="14.25">
      <c r="A933" s="7"/>
      <c r="C933" s="7"/>
      <c r="G933" s="8"/>
      <c r="H933" s="8"/>
      <c r="I933" s="8"/>
      <c r="J933" s="8"/>
    </row>
    <row r="934" spans="1:10" ht="14.25">
      <c r="A934" s="7"/>
      <c r="C934" s="7"/>
      <c r="G934" s="8"/>
      <c r="H934" s="8"/>
      <c r="I934" s="8"/>
      <c r="J934" s="8"/>
    </row>
    <row r="935" spans="1:10" ht="14.25">
      <c r="A935" s="7"/>
      <c r="C935" s="7"/>
      <c r="G935" s="8"/>
      <c r="H935" s="8"/>
      <c r="I935" s="8"/>
      <c r="J935" s="8"/>
    </row>
    <row r="936" spans="1:10" ht="14.25">
      <c r="A936" s="7"/>
      <c r="C936" s="7"/>
      <c r="G936" s="8"/>
      <c r="H936" s="8"/>
      <c r="I936" s="8"/>
      <c r="J936" s="8"/>
    </row>
    <row r="937" spans="1:10" ht="14.25">
      <c r="A937" s="7"/>
      <c r="C937" s="7"/>
      <c r="G937" s="8"/>
      <c r="H937" s="8"/>
      <c r="I937" s="8"/>
      <c r="J937" s="8"/>
    </row>
    <row r="938" spans="1:10" ht="14.25">
      <c r="A938" s="7"/>
      <c r="C938" s="7"/>
      <c r="G938" s="8"/>
      <c r="H938" s="8"/>
      <c r="I938" s="8"/>
      <c r="J938" s="8"/>
    </row>
    <row r="939" spans="1:10" ht="14.25">
      <c r="A939" s="7"/>
      <c r="C939" s="7"/>
      <c r="G939" s="8"/>
      <c r="H939" s="8"/>
      <c r="I939" s="8"/>
      <c r="J939" s="8"/>
    </row>
    <row r="940" spans="1:10" ht="14.25">
      <c r="A940" s="7"/>
      <c r="C940" s="7"/>
      <c r="G940" s="8"/>
      <c r="H940" s="8"/>
      <c r="I940" s="8"/>
      <c r="J940" s="8"/>
    </row>
    <row r="941" spans="1:10" ht="14.25">
      <c r="A941" s="7"/>
      <c r="C941" s="7"/>
      <c r="G941" s="8"/>
      <c r="H941" s="8"/>
      <c r="I941" s="8"/>
      <c r="J941" s="8"/>
    </row>
    <row r="942" spans="1:10" ht="14.25">
      <c r="A942" s="7"/>
      <c r="C942" s="7"/>
      <c r="G942" s="8"/>
      <c r="H942" s="8"/>
      <c r="I942" s="8"/>
      <c r="J942" s="8"/>
    </row>
    <row r="943" spans="1:10" ht="14.25">
      <c r="A943" s="7"/>
      <c r="C943" s="7"/>
      <c r="G943" s="8"/>
      <c r="H943" s="8"/>
      <c r="I943" s="8"/>
      <c r="J943" s="8"/>
    </row>
    <row r="944" spans="1:10" ht="14.25">
      <c r="A944" s="7"/>
      <c r="C944" s="7"/>
      <c r="G944" s="8"/>
      <c r="H944" s="8"/>
      <c r="I944" s="8"/>
      <c r="J944" s="8"/>
    </row>
    <row r="945" spans="1:10" ht="14.25">
      <c r="A945" s="7"/>
      <c r="C945" s="7"/>
      <c r="G945" s="8"/>
      <c r="H945" s="8"/>
      <c r="I945" s="8"/>
      <c r="J945" s="8"/>
    </row>
    <row r="946" spans="1:10" ht="14.25">
      <c r="A946" s="7"/>
      <c r="C946" s="7"/>
      <c r="G946" s="8"/>
      <c r="H946" s="8"/>
      <c r="I946" s="8"/>
      <c r="J946" s="8"/>
    </row>
    <row r="947" spans="1:10" ht="14.25">
      <c r="A947" s="7"/>
      <c r="C947" s="7"/>
      <c r="G947" s="8"/>
      <c r="H947" s="8"/>
      <c r="I947" s="8"/>
      <c r="J947" s="8"/>
    </row>
    <row r="948" spans="1:10" ht="14.25">
      <c r="A948" s="7"/>
      <c r="C948" s="7"/>
      <c r="G948" s="8"/>
      <c r="H948" s="8"/>
      <c r="I948" s="8"/>
      <c r="J948" s="8"/>
    </row>
    <row r="949" spans="1:10" ht="14.25">
      <c r="A949" s="7"/>
      <c r="C949" s="7"/>
      <c r="G949" s="8"/>
      <c r="H949" s="8"/>
      <c r="I949" s="8"/>
      <c r="J949" s="8"/>
    </row>
    <row r="950" spans="1:10" ht="14.25">
      <c r="A950" s="7"/>
      <c r="C950" s="7"/>
      <c r="G950" s="8"/>
      <c r="H950" s="8"/>
      <c r="I950" s="8"/>
      <c r="J950" s="8"/>
    </row>
    <row r="951" spans="1:10" ht="14.25">
      <c r="A951" s="7"/>
      <c r="C951" s="7"/>
      <c r="G951" s="8"/>
      <c r="H951" s="8"/>
      <c r="I951" s="8"/>
      <c r="J951" s="8"/>
    </row>
    <row r="952" spans="1:10" ht="14.25">
      <c r="A952" s="7"/>
      <c r="C952" s="7"/>
      <c r="G952" s="8"/>
      <c r="H952" s="8"/>
      <c r="I952" s="8"/>
      <c r="J952" s="8"/>
    </row>
    <row r="953" spans="1:10" ht="14.25">
      <c r="A953" s="7"/>
      <c r="C953" s="7"/>
      <c r="G953" s="8"/>
      <c r="H953" s="8"/>
      <c r="I953" s="8"/>
      <c r="J953" s="8"/>
    </row>
    <row r="954" spans="1:10" ht="14.25">
      <c r="A954" s="7"/>
      <c r="C954" s="7"/>
      <c r="G954" s="8"/>
      <c r="H954" s="8"/>
      <c r="I954" s="8"/>
      <c r="J954" s="8"/>
    </row>
    <row r="955" spans="1:10" ht="14.25">
      <c r="A955" s="7"/>
      <c r="C955" s="7"/>
      <c r="G955" s="8"/>
      <c r="H955" s="8"/>
      <c r="I955" s="8"/>
      <c r="J955" s="8"/>
    </row>
    <row r="956" spans="1:10" ht="14.25">
      <c r="A956" s="7"/>
      <c r="C956" s="7"/>
      <c r="G956" s="8"/>
      <c r="H956" s="8"/>
      <c r="I956" s="8"/>
      <c r="J956" s="8"/>
    </row>
    <row r="957" spans="1:10" ht="14.25">
      <c r="A957" s="7"/>
      <c r="C957" s="7"/>
      <c r="G957" s="8"/>
      <c r="H957" s="8"/>
      <c r="I957" s="8"/>
      <c r="J957" s="8"/>
    </row>
    <row r="958" spans="1:10" ht="14.25">
      <c r="A958" s="7"/>
      <c r="C958" s="7"/>
      <c r="G958" s="8"/>
      <c r="H958" s="8"/>
      <c r="I958" s="8"/>
      <c r="J958" s="8"/>
    </row>
    <row r="959" spans="1:10" ht="14.25">
      <c r="A959" s="7"/>
      <c r="C959" s="7"/>
      <c r="G959" s="8"/>
      <c r="H959" s="8"/>
      <c r="I959" s="8"/>
      <c r="J959" s="8"/>
    </row>
    <row r="960" spans="1:10" ht="14.25">
      <c r="A960" s="7"/>
      <c r="C960" s="7"/>
      <c r="G960" s="8"/>
      <c r="H960" s="8"/>
      <c r="I960" s="8"/>
      <c r="J960" s="8"/>
    </row>
    <row r="961" spans="1:10" ht="14.25">
      <c r="A961" s="7"/>
      <c r="C961" s="7"/>
      <c r="G961" s="8"/>
      <c r="H961" s="8"/>
      <c r="I961" s="8"/>
      <c r="J961" s="8"/>
    </row>
    <row r="962" spans="1:10" ht="14.25">
      <c r="A962" s="7"/>
      <c r="C962" s="7"/>
      <c r="G962" s="8"/>
      <c r="H962" s="8"/>
      <c r="I962" s="8"/>
      <c r="J962" s="8"/>
    </row>
    <row r="963" spans="1:10" ht="14.25">
      <c r="A963" s="7"/>
      <c r="C963" s="7"/>
      <c r="G963" s="8"/>
      <c r="H963" s="8"/>
      <c r="I963" s="8"/>
      <c r="J963" s="8"/>
    </row>
    <row r="964" spans="1:10" ht="14.25">
      <c r="A964" s="7"/>
      <c r="C964" s="7"/>
      <c r="G964" s="8"/>
      <c r="H964" s="8"/>
      <c r="I964" s="8"/>
      <c r="J964" s="8"/>
    </row>
    <row r="965" spans="1:10" ht="14.25">
      <c r="A965" s="7"/>
      <c r="C965" s="7"/>
      <c r="G965" s="8"/>
      <c r="H965" s="8"/>
      <c r="I965" s="8"/>
      <c r="J965" s="8"/>
    </row>
    <row r="966" spans="1:10" ht="14.25">
      <c r="A966" s="7"/>
      <c r="C966" s="7"/>
      <c r="G966" s="8"/>
      <c r="H966" s="8"/>
      <c r="I966" s="8"/>
      <c r="J966" s="8"/>
    </row>
    <row r="967" spans="1:10" ht="14.25">
      <c r="A967" s="7"/>
      <c r="C967" s="7"/>
      <c r="G967" s="8"/>
      <c r="H967" s="8"/>
      <c r="I967" s="8"/>
      <c r="J967" s="8"/>
    </row>
    <row r="968" spans="1:10" ht="14.25">
      <c r="A968" s="7"/>
      <c r="C968" s="7"/>
      <c r="G968" s="8"/>
      <c r="H968" s="8"/>
      <c r="I968" s="8"/>
      <c r="J968" s="8"/>
    </row>
    <row r="969" spans="1:10" ht="14.25">
      <c r="A969" s="7"/>
      <c r="C969" s="7"/>
      <c r="G969" s="8"/>
      <c r="H969" s="8"/>
      <c r="I969" s="8"/>
      <c r="J969" s="8"/>
    </row>
    <row r="970" spans="1:10" ht="14.25">
      <c r="A970" s="7"/>
      <c r="C970" s="7"/>
      <c r="G970" s="8"/>
      <c r="H970" s="8"/>
      <c r="I970" s="8"/>
      <c r="J970" s="8"/>
    </row>
    <row r="971" spans="1:10" ht="14.25">
      <c r="A971" s="7"/>
      <c r="C971" s="7"/>
      <c r="G971" s="8"/>
      <c r="H971" s="8"/>
      <c r="I971" s="8"/>
      <c r="J971" s="8"/>
    </row>
    <row r="972" spans="1:10" ht="14.25">
      <c r="A972" s="7"/>
      <c r="C972" s="7"/>
      <c r="G972" s="8"/>
      <c r="H972" s="8"/>
      <c r="I972" s="8"/>
      <c r="J972" s="8"/>
    </row>
    <row r="973" spans="1:10" ht="14.25">
      <c r="A973" s="7"/>
      <c r="C973" s="7"/>
      <c r="G973" s="8"/>
      <c r="H973" s="8"/>
      <c r="I973" s="8"/>
      <c r="J973" s="8"/>
    </row>
    <row r="974" spans="1:10" ht="14.25">
      <c r="A974" s="7"/>
      <c r="C974" s="7"/>
      <c r="G974" s="8"/>
      <c r="H974" s="8"/>
      <c r="I974" s="8"/>
      <c r="J974" s="8"/>
    </row>
    <row r="975" spans="1:10" ht="14.25">
      <c r="A975" s="7"/>
      <c r="C975" s="7"/>
      <c r="G975" s="8"/>
      <c r="H975" s="8"/>
      <c r="I975" s="8"/>
      <c r="J975" s="8"/>
    </row>
    <row r="976" spans="1:10" ht="14.25">
      <c r="A976" s="7"/>
      <c r="C976" s="7"/>
      <c r="G976" s="8"/>
      <c r="H976" s="8"/>
      <c r="I976" s="8"/>
      <c r="J976" s="8"/>
    </row>
    <row r="977" spans="1:10" ht="14.25">
      <c r="A977" s="7"/>
      <c r="C977" s="7"/>
      <c r="G977" s="8"/>
      <c r="H977" s="8"/>
      <c r="I977" s="8"/>
      <c r="J977" s="8"/>
    </row>
    <row r="978" spans="1:10" ht="14.25">
      <c r="A978" s="7"/>
      <c r="C978" s="7"/>
      <c r="G978" s="8"/>
      <c r="H978" s="8"/>
      <c r="I978" s="8"/>
      <c r="J978" s="8"/>
    </row>
    <row r="979" spans="1:10" ht="14.25">
      <c r="A979" s="7"/>
      <c r="C979" s="7"/>
      <c r="G979" s="8"/>
      <c r="H979" s="8"/>
      <c r="I979" s="8"/>
      <c r="J979" s="8"/>
    </row>
    <row r="980" spans="1:10" ht="14.25">
      <c r="A980" s="7"/>
      <c r="C980" s="7"/>
      <c r="G980" s="8"/>
      <c r="H980" s="8"/>
      <c r="I980" s="8"/>
      <c r="J980" s="8"/>
    </row>
    <row r="981" spans="1:10" ht="14.25">
      <c r="A981" s="7"/>
      <c r="C981" s="7"/>
      <c r="G981" s="8"/>
      <c r="H981" s="8"/>
      <c r="I981" s="8"/>
      <c r="J981" s="8"/>
    </row>
    <row r="982" spans="1:10" ht="14.25">
      <c r="A982" s="7"/>
      <c r="C982" s="7"/>
      <c r="G982" s="8"/>
      <c r="H982" s="8"/>
      <c r="I982" s="8"/>
      <c r="J982" s="8"/>
    </row>
    <row r="983" spans="1:10" ht="14.25">
      <c r="A983" s="7"/>
      <c r="C983" s="7"/>
      <c r="G983" s="8"/>
      <c r="H983" s="8"/>
      <c r="I983" s="8"/>
      <c r="J983" s="8"/>
    </row>
    <row r="984" spans="1:10" ht="14.25">
      <c r="A984" s="7"/>
      <c r="C984" s="7"/>
      <c r="G984" s="8"/>
      <c r="H984" s="8"/>
      <c r="I984" s="8"/>
      <c r="J984" s="8"/>
    </row>
    <row r="985" spans="1:10" ht="14.25">
      <c r="A985" s="7"/>
      <c r="C985" s="7"/>
      <c r="G985" s="8"/>
      <c r="H985" s="8"/>
      <c r="I985" s="8"/>
      <c r="J985" s="8"/>
    </row>
    <row r="986" spans="1:10" ht="14.25">
      <c r="A986" s="7"/>
      <c r="C986" s="7"/>
      <c r="G986" s="8"/>
      <c r="H986" s="8"/>
      <c r="I986" s="8"/>
      <c r="J986" s="8"/>
    </row>
    <row r="987" spans="1:10" ht="14.25">
      <c r="A987" s="7"/>
      <c r="C987" s="7"/>
      <c r="G987" s="8"/>
      <c r="H987" s="8"/>
      <c r="I987" s="8"/>
      <c r="J987" s="8"/>
    </row>
    <row r="988" spans="1:10" ht="14.25">
      <c r="A988" s="7"/>
      <c r="C988" s="7"/>
      <c r="G988" s="8"/>
      <c r="H988" s="8"/>
      <c r="I988" s="8"/>
      <c r="J988" s="8"/>
    </row>
    <row r="989" spans="1:10" ht="14.25">
      <c r="A989" s="7"/>
      <c r="C989" s="7"/>
      <c r="G989" s="8"/>
      <c r="H989" s="8"/>
      <c r="I989" s="8"/>
      <c r="J989" s="8"/>
    </row>
    <row r="990" spans="1:10" ht="14.25">
      <c r="A990" s="7"/>
      <c r="C990" s="7"/>
      <c r="G990" s="8"/>
      <c r="H990" s="8"/>
      <c r="I990" s="8"/>
      <c r="J990" s="8"/>
    </row>
    <row r="991" spans="1:10" ht="14.25">
      <c r="A991" s="7"/>
      <c r="C991" s="7"/>
      <c r="G991" s="8"/>
      <c r="H991" s="8"/>
      <c r="I991" s="8"/>
      <c r="J991" s="8"/>
    </row>
    <row r="992" spans="1:10" ht="14.25">
      <c r="A992" s="7"/>
      <c r="C992" s="7"/>
      <c r="G992" s="8"/>
      <c r="H992" s="8"/>
      <c r="I992" s="8"/>
      <c r="J992" s="8"/>
    </row>
    <row r="993" spans="1:10" ht="14.25">
      <c r="A993" s="7"/>
      <c r="C993" s="7"/>
      <c r="G993" s="8"/>
      <c r="H993" s="8"/>
      <c r="I993" s="8"/>
      <c r="J993" s="8"/>
    </row>
    <row r="994" spans="1:10" ht="14.25">
      <c r="A994" s="7"/>
      <c r="C994" s="7"/>
      <c r="G994" s="8"/>
      <c r="H994" s="8"/>
      <c r="I994" s="8"/>
      <c r="J994" s="8"/>
    </row>
    <row r="995" spans="1:10" ht="14.25">
      <c r="A995" s="7"/>
      <c r="C995" s="7"/>
      <c r="G995" s="8"/>
      <c r="H995" s="8"/>
      <c r="I995" s="8"/>
      <c r="J995" s="8"/>
    </row>
    <row r="996" spans="1:10" ht="14.25">
      <c r="A996" s="7"/>
      <c r="C996" s="7"/>
      <c r="G996" s="8"/>
      <c r="H996" s="8"/>
      <c r="I996" s="8"/>
      <c r="J996" s="8"/>
    </row>
    <row r="997" spans="1:10" ht="14.25">
      <c r="A997" s="7"/>
      <c r="C997" s="7"/>
      <c r="G997" s="8"/>
      <c r="H997" s="8"/>
      <c r="I997" s="8"/>
      <c r="J997" s="8"/>
    </row>
    <row r="998" spans="1:10" ht="14.25">
      <c r="A998" s="7"/>
      <c r="C998" s="7"/>
      <c r="G998" s="8"/>
      <c r="H998" s="8"/>
      <c r="I998" s="8"/>
      <c r="J998" s="8"/>
    </row>
    <row r="999" spans="1:10" ht="14.25">
      <c r="A999" s="7"/>
      <c r="C999" s="7"/>
      <c r="G999" s="8"/>
      <c r="H999" s="8"/>
      <c r="I999" s="8"/>
      <c r="J999" s="8"/>
    </row>
    <row r="1000" spans="1:10" ht="14.25">
      <c r="A1000" s="7"/>
      <c r="C1000" s="7"/>
      <c r="G1000" s="8"/>
      <c r="H1000" s="8"/>
      <c r="I1000" s="8"/>
      <c r="J1000" s="8"/>
    </row>
    <row r="1001" spans="1:10" ht="14.25">
      <c r="A1001" s="7"/>
      <c r="C1001" s="7"/>
      <c r="G1001" s="8"/>
      <c r="H1001" s="8"/>
      <c r="I1001" s="8"/>
      <c r="J1001" s="8"/>
    </row>
    <row r="1002" spans="1:10" ht="14.25">
      <c r="A1002" s="7"/>
      <c r="C1002" s="7"/>
      <c r="G1002" s="8"/>
      <c r="H1002" s="8"/>
      <c r="I1002" s="8"/>
      <c r="J1002" s="8"/>
    </row>
    <row r="1003" spans="1:10" ht="14.25">
      <c r="A1003" s="7"/>
      <c r="C1003" s="7"/>
      <c r="G1003" s="8"/>
      <c r="H1003" s="8"/>
      <c r="I1003" s="8"/>
      <c r="J1003" s="8"/>
    </row>
    <row r="1004" spans="1:10" ht="14.25">
      <c r="A1004" s="7"/>
      <c r="C1004" s="7"/>
      <c r="G1004" s="8"/>
      <c r="H1004" s="8"/>
      <c r="I1004" s="8"/>
      <c r="J1004" s="8"/>
    </row>
    <row r="1005" spans="1:10" ht="14.25">
      <c r="A1005" s="7"/>
      <c r="C1005" s="7"/>
      <c r="G1005" s="8"/>
      <c r="H1005" s="8"/>
      <c r="I1005" s="8"/>
      <c r="J1005" s="8"/>
    </row>
    <row r="1006" spans="1:10" ht="14.25">
      <c r="A1006" s="7"/>
      <c r="C1006" s="7"/>
      <c r="G1006" s="8"/>
      <c r="H1006" s="8"/>
      <c r="I1006" s="8"/>
      <c r="J1006" s="8"/>
    </row>
    <row r="1007" spans="1:10" ht="14.25">
      <c r="A1007" s="7"/>
      <c r="C1007" s="7"/>
      <c r="G1007" s="8"/>
      <c r="H1007" s="8"/>
      <c r="I1007" s="8"/>
      <c r="J1007" s="8"/>
    </row>
    <row r="1008" spans="1:10" ht="14.25">
      <c r="A1008" s="7"/>
      <c r="C1008" s="7"/>
      <c r="G1008" s="8"/>
      <c r="H1008" s="8"/>
      <c r="I1008" s="8"/>
      <c r="J1008" s="8"/>
    </row>
    <row r="1009" spans="1:10" ht="14.25">
      <c r="A1009" s="7"/>
      <c r="C1009" s="7"/>
      <c r="G1009" s="8"/>
      <c r="H1009" s="8"/>
      <c r="I1009" s="8"/>
      <c r="J1009" s="8"/>
    </row>
    <row r="1010" spans="1:10" ht="14.25">
      <c r="A1010" s="7"/>
      <c r="C1010" s="7"/>
      <c r="G1010" s="8"/>
      <c r="H1010" s="8"/>
      <c r="I1010" s="8"/>
      <c r="J1010" s="8"/>
    </row>
    <row r="1011" spans="1:10" ht="14.25">
      <c r="A1011" s="7"/>
      <c r="C1011" s="7"/>
      <c r="G1011" s="8"/>
      <c r="H1011" s="8"/>
      <c r="I1011" s="8"/>
      <c r="J1011" s="8"/>
    </row>
    <row r="1012" spans="1:10" ht="14.25">
      <c r="A1012" s="7"/>
      <c r="C1012" s="7"/>
      <c r="G1012" s="8"/>
      <c r="H1012" s="8"/>
      <c r="I1012" s="8"/>
      <c r="J1012" s="8"/>
    </row>
    <row r="1013" spans="1:10" ht="14.25">
      <c r="A1013" s="7"/>
      <c r="C1013" s="7"/>
      <c r="G1013" s="8"/>
      <c r="H1013" s="8"/>
      <c r="I1013" s="8"/>
      <c r="J1013" s="8"/>
    </row>
    <row r="1014" spans="1:10" ht="14.25">
      <c r="A1014" s="7"/>
      <c r="C1014" s="7"/>
      <c r="G1014" s="8"/>
      <c r="H1014" s="8"/>
      <c r="I1014" s="8"/>
      <c r="J1014" s="8"/>
    </row>
    <row r="1015" spans="1:10" ht="14.25">
      <c r="A1015" s="7"/>
      <c r="C1015" s="7"/>
      <c r="G1015" s="8"/>
      <c r="H1015" s="8"/>
      <c r="I1015" s="8"/>
      <c r="J1015" s="8"/>
    </row>
    <row r="1016" spans="1:10" ht="14.25">
      <c r="A1016" s="7"/>
      <c r="C1016" s="7"/>
      <c r="G1016" s="8"/>
      <c r="H1016" s="8"/>
      <c r="I1016" s="8"/>
      <c r="J1016" s="8"/>
    </row>
    <row r="1017" spans="1:10" ht="14.25">
      <c r="A1017" s="7"/>
      <c r="C1017" s="7"/>
      <c r="G1017" s="8"/>
      <c r="H1017" s="8"/>
      <c r="I1017" s="8"/>
      <c r="J1017" s="8"/>
    </row>
    <row r="1018" spans="1:10" ht="14.25">
      <c r="A1018" s="7"/>
      <c r="C1018" s="7"/>
      <c r="G1018" s="8"/>
      <c r="H1018" s="8"/>
      <c r="I1018" s="8"/>
      <c r="J1018" s="8"/>
    </row>
    <row r="1019" spans="1:10" ht="14.25">
      <c r="A1019" s="7"/>
      <c r="C1019" s="7"/>
      <c r="G1019" s="8"/>
      <c r="H1019" s="8"/>
      <c r="I1019" s="8"/>
      <c r="J1019" s="8"/>
    </row>
    <row r="1020" spans="1:10" ht="14.25">
      <c r="A1020" s="7"/>
      <c r="C1020" s="7"/>
      <c r="G1020" s="8"/>
      <c r="H1020" s="8"/>
      <c r="I1020" s="8"/>
      <c r="J1020" s="8"/>
    </row>
    <row r="1021" spans="1:10" ht="14.25">
      <c r="A1021" s="7"/>
      <c r="C1021" s="7"/>
      <c r="G1021" s="8"/>
      <c r="H1021" s="8"/>
      <c r="I1021" s="8"/>
      <c r="J1021" s="8"/>
    </row>
    <row r="1022" spans="1:10" ht="14.25">
      <c r="A1022" s="7"/>
      <c r="C1022" s="7"/>
      <c r="G1022" s="8"/>
      <c r="H1022" s="8"/>
      <c r="I1022" s="8"/>
      <c r="J1022" s="8"/>
    </row>
    <row r="1023" spans="1:10" ht="14.25">
      <c r="A1023" s="7"/>
      <c r="C1023" s="7"/>
      <c r="G1023" s="8"/>
      <c r="H1023" s="8"/>
      <c r="I1023" s="8"/>
      <c r="J1023" s="8"/>
    </row>
    <row r="1024" spans="1:10" ht="14.25">
      <c r="A1024" s="7"/>
      <c r="C1024" s="7"/>
      <c r="G1024" s="8"/>
      <c r="H1024" s="8"/>
      <c r="I1024" s="8"/>
      <c r="J1024" s="8"/>
    </row>
    <row r="1025" spans="1:10" ht="14.25">
      <c r="A1025" s="7"/>
      <c r="C1025" s="7"/>
      <c r="G1025" s="8"/>
      <c r="H1025" s="8"/>
      <c r="I1025" s="8"/>
      <c r="J1025" s="8"/>
    </row>
    <row r="1026" spans="1:10" ht="14.25">
      <c r="A1026" s="7"/>
      <c r="C1026" s="7"/>
      <c r="G1026" s="8"/>
      <c r="H1026" s="8"/>
      <c r="I1026" s="8"/>
      <c r="J1026" s="8"/>
    </row>
    <row r="1027" spans="1:10" ht="14.25">
      <c r="A1027" s="7"/>
      <c r="C1027" s="7"/>
      <c r="G1027" s="8"/>
      <c r="H1027" s="8"/>
      <c r="I1027" s="8"/>
      <c r="J1027" s="8"/>
    </row>
    <row r="1028" spans="1:10" ht="14.25">
      <c r="A1028" s="7"/>
      <c r="C1028" s="7"/>
      <c r="G1028" s="8"/>
      <c r="H1028" s="8"/>
      <c r="I1028" s="8"/>
      <c r="J1028" s="8"/>
    </row>
    <row r="1029" spans="1:10" ht="14.25">
      <c r="A1029" s="7"/>
      <c r="C1029" s="7"/>
      <c r="G1029" s="8"/>
      <c r="H1029" s="8"/>
      <c r="I1029" s="8"/>
      <c r="J1029" s="8"/>
    </row>
    <row r="1030" spans="1:10" ht="14.25">
      <c r="A1030" s="7"/>
      <c r="C1030" s="7"/>
      <c r="G1030" s="8"/>
      <c r="H1030" s="8"/>
      <c r="I1030" s="8"/>
      <c r="J1030" s="8"/>
    </row>
    <row r="1031" spans="1:10" ht="14.25">
      <c r="A1031" s="7"/>
      <c r="C1031" s="7"/>
      <c r="G1031" s="8"/>
      <c r="H1031" s="8"/>
      <c r="I1031" s="8"/>
      <c r="J1031" s="8"/>
    </row>
    <row r="1032" spans="1:10" ht="14.25">
      <c r="A1032" s="7"/>
      <c r="C1032" s="7"/>
      <c r="G1032" s="8"/>
      <c r="H1032" s="8"/>
      <c r="I1032" s="8"/>
      <c r="J1032" s="8"/>
    </row>
    <row r="1033" spans="1:10" ht="14.25">
      <c r="A1033" s="7"/>
      <c r="C1033" s="7"/>
      <c r="G1033" s="8"/>
      <c r="H1033" s="8"/>
      <c r="I1033" s="8"/>
      <c r="J1033" s="8"/>
    </row>
    <row r="1034" spans="1:10" ht="14.25">
      <c r="A1034" s="7"/>
      <c r="C1034" s="7"/>
      <c r="G1034" s="8"/>
      <c r="H1034" s="8"/>
      <c r="I1034" s="8"/>
      <c r="J1034" s="8"/>
    </row>
    <row r="1035" spans="1:10" ht="14.25">
      <c r="A1035" s="7"/>
      <c r="C1035" s="7"/>
      <c r="G1035" s="8"/>
      <c r="H1035" s="8"/>
      <c r="I1035" s="8"/>
      <c r="J1035" s="8"/>
    </row>
    <row r="1036" spans="1:10" ht="14.25">
      <c r="A1036" s="7"/>
      <c r="C1036" s="7"/>
      <c r="G1036" s="8"/>
      <c r="H1036" s="8"/>
      <c r="I1036" s="8"/>
      <c r="J1036" s="8"/>
    </row>
    <row r="1037" spans="1:10" ht="14.25">
      <c r="A1037" s="7"/>
      <c r="C1037" s="7"/>
      <c r="G1037" s="8"/>
      <c r="H1037" s="8"/>
      <c r="I1037" s="8"/>
      <c r="J1037" s="8"/>
    </row>
    <row r="1038" spans="1:10" ht="14.25">
      <c r="A1038" s="7"/>
      <c r="C1038" s="7"/>
      <c r="G1038" s="8"/>
      <c r="H1038" s="8"/>
      <c r="I1038" s="8"/>
      <c r="J1038" s="8"/>
    </row>
    <row r="1039" spans="1:10" ht="14.25">
      <c r="A1039" s="7"/>
      <c r="C1039" s="7"/>
      <c r="G1039" s="8"/>
      <c r="H1039" s="8"/>
      <c r="I1039" s="8"/>
      <c r="J1039" s="8"/>
    </row>
    <row r="1040" spans="1:10" ht="14.25">
      <c r="A1040" s="7"/>
      <c r="C1040" s="7"/>
      <c r="G1040" s="8"/>
      <c r="H1040" s="8"/>
      <c r="I1040" s="8"/>
      <c r="J1040" s="8"/>
    </row>
    <row r="1041" spans="1:10" ht="14.25">
      <c r="A1041" s="7"/>
      <c r="C1041" s="7"/>
      <c r="G1041" s="8"/>
      <c r="H1041" s="8"/>
      <c r="I1041" s="8"/>
      <c r="J1041" s="8"/>
    </row>
    <row r="1042" spans="1:10" ht="14.25">
      <c r="A1042" s="7"/>
      <c r="C1042" s="7"/>
      <c r="G1042" s="8"/>
      <c r="H1042" s="8"/>
      <c r="I1042" s="8"/>
      <c r="J1042" s="8"/>
    </row>
    <row r="1043" spans="1:10" ht="14.25">
      <c r="A1043" s="7"/>
      <c r="C1043" s="7"/>
      <c r="G1043" s="8"/>
      <c r="H1043" s="8"/>
      <c r="I1043" s="8"/>
      <c r="J1043" s="8"/>
    </row>
    <row r="1044" spans="1:10" ht="14.25">
      <c r="A1044" s="7"/>
      <c r="C1044" s="7"/>
      <c r="G1044" s="8"/>
      <c r="H1044" s="8"/>
      <c r="I1044" s="8"/>
      <c r="J1044" s="8"/>
    </row>
    <row r="1045" spans="1:10" ht="14.25">
      <c r="A1045" s="7"/>
      <c r="C1045" s="7"/>
      <c r="G1045" s="8"/>
      <c r="H1045" s="8"/>
      <c r="I1045" s="8"/>
      <c r="J1045" s="8"/>
    </row>
    <row r="1046" spans="1:10" ht="14.25">
      <c r="A1046" s="7"/>
      <c r="C1046" s="7"/>
      <c r="G1046" s="8"/>
      <c r="H1046" s="8"/>
      <c r="I1046" s="8"/>
      <c r="J1046" s="8"/>
    </row>
    <row r="1047" spans="1:10" ht="14.25">
      <c r="A1047" s="7"/>
      <c r="C1047" s="7"/>
      <c r="G1047" s="8"/>
      <c r="H1047" s="8"/>
      <c r="I1047" s="8"/>
      <c r="J1047" s="8"/>
    </row>
    <row r="1048" spans="1:10" ht="14.25">
      <c r="A1048" s="7"/>
      <c r="C1048" s="7"/>
      <c r="G1048" s="8"/>
      <c r="H1048" s="8"/>
      <c r="I1048" s="8"/>
      <c r="J1048" s="8"/>
    </row>
    <row r="1049" spans="1:10" ht="14.25">
      <c r="A1049" s="7"/>
      <c r="C1049" s="7"/>
      <c r="G1049" s="8"/>
      <c r="H1049" s="8"/>
      <c r="I1049" s="8"/>
      <c r="J1049" s="8"/>
    </row>
    <row r="1050" spans="1:10" ht="14.25">
      <c r="A1050" s="7"/>
      <c r="C1050" s="7"/>
      <c r="G1050" s="8"/>
      <c r="H1050" s="8"/>
      <c r="I1050" s="8"/>
      <c r="J1050" s="8"/>
    </row>
    <row r="1051" spans="1:10" ht="14.25">
      <c r="A1051" s="7"/>
      <c r="C1051" s="7"/>
      <c r="G1051" s="8"/>
      <c r="H1051" s="8"/>
      <c r="I1051" s="8"/>
      <c r="J1051" s="8"/>
    </row>
    <row r="1052" spans="1:10" ht="14.25">
      <c r="A1052" s="7"/>
      <c r="C1052" s="7"/>
      <c r="G1052" s="8"/>
      <c r="H1052" s="8"/>
      <c r="I1052" s="8"/>
      <c r="J1052" s="8"/>
    </row>
    <row r="1053" spans="1:10" ht="14.25">
      <c r="A1053" s="7"/>
      <c r="C1053" s="7"/>
      <c r="G1053" s="8"/>
      <c r="H1053" s="8"/>
      <c r="I1053" s="8"/>
      <c r="J1053" s="8"/>
    </row>
    <row r="1054" spans="1:10" ht="14.25">
      <c r="A1054" s="7"/>
      <c r="C1054" s="7"/>
      <c r="G1054" s="8"/>
      <c r="H1054" s="8"/>
      <c r="I1054" s="8"/>
      <c r="J1054" s="8"/>
    </row>
    <row r="1055" spans="1:10" ht="14.25">
      <c r="A1055" s="7"/>
      <c r="C1055" s="7"/>
      <c r="G1055" s="8"/>
      <c r="H1055" s="8"/>
      <c r="I1055" s="8"/>
      <c r="J1055" s="8"/>
    </row>
    <row r="1056" spans="1:10" ht="14.25">
      <c r="A1056" s="7"/>
      <c r="C1056" s="7"/>
      <c r="G1056" s="8"/>
      <c r="H1056" s="8"/>
      <c r="I1056" s="8"/>
      <c r="J1056" s="8"/>
    </row>
    <row r="1057" spans="1:10" ht="14.25">
      <c r="A1057" s="7"/>
      <c r="C1057" s="7"/>
      <c r="G1057" s="8"/>
      <c r="H1057" s="8"/>
      <c r="I1057" s="8"/>
      <c r="J1057" s="8"/>
    </row>
    <row r="1058" spans="1:10" ht="14.25">
      <c r="A1058" s="7"/>
      <c r="C1058" s="7"/>
      <c r="G1058" s="8"/>
      <c r="H1058" s="8"/>
      <c r="I1058" s="8"/>
      <c r="J1058" s="8"/>
    </row>
    <row r="1059" spans="1:10" ht="14.25">
      <c r="A1059" s="7"/>
      <c r="C1059" s="7"/>
      <c r="G1059" s="8"/>
      <c r="H1059" s="8"/>
      <c r="I1059" s="8"/>
      <c r="J1059" s="8"/>
    </row>
    <row r="1060" spans="1:10" ht="14.25">
      <c r="A1060" s="7"/>
      <c r="C1060" s="7"/>
      <c r="G1060" s="8"/>
      <c r="H1060" s="8"/>
      <c r="I1060" s="8"/>
      <c r="J1060" s="8"/>
    </row>
    <row r="1061" spans="1:10" ht="14.25">
      <c r="A1061" s="7"/>
      <c r="C1061" s="7"/>
      <c r="G1061" s="8"/>
      <c r="H1061" s="8"/>
      <c r="I1061" s="8"/>
      <c r="J1061" s="8"/>
    </row>
    <row r="1062" spans="1:10" ht="14.25">
      <c r="A1062" s="7"/>
      <c r="C1062" s="7"/>
      <c r="G1062" s="8"/>
      <c r="H1062" s="8"/>
      <c r="I1062" s="8"/>
      <c r="J1062" s="8"/>
    </row>
    <row r="1063" spans="1:10" ht="14.25">
      <c r="A1063" s="7"/>
      <c r="C1063" s="7"/>
      <c r="G1063" s="8"/>
      <c r="H1063" s="8"/>
      <c r="I1063" s="8"/>
      <c r="J1063" s="8"/>
    </row>
    <row r="1064" spans="1:10" ht="14.25">
      <c r="A1064" s="7"/>
      <c r="C1064" s="7"/>
      <c r="G1064" s="8"/>
      <c r="H1064" s="8"/>
      <c r="I1064" s="8"/>
      <c r="J1064" s="8"/>
    </row>
    <row r="1065" spans="1:10" ht="14.25">
      <c r="A1065" s="7"/>
      <c r="C1065" s="7"/>
      <c r="G1065" s="8"/>
      <c r="H1065" s="8"/>
      <c r="I1065" s="8"/>
      <c r="J1065" s="8"/>
    </row>
    <row r="1066" spans="1:10" ht="14.25">
      <c r="A1066" s="7"/>
      <c r="C1066" s="7"/>
      <c r="G1066" s="8"/>
      <c r="H1066" s="8"/>
      <c r="I1066" s="8"/>
      <c r="J1066" s="8"/>
    </row>
    <row r="1067" spans="1:10" ht="14.25">
      <c r="A1067" s="7"/>
      <c r="C1067" s="7"/>
      <c r="G1067" s="8"/>
      <c r="H1067" s="8"/>
      <c r="I1067" s="8"/>
      <c r="J1067" s="8"/>
    </row>
    <row r="1068" spans="1:10" ht="14.25">
      <c r="A1068" s="7"/>
      <c r="C1068" s="7"/>
      <c r="G1068" s="8"/>
      <c r="H1068" s="8"/>
      <c r="I1068" s="8"/>
      <c r="J1068" s="8"/>
    </row>
    <row r="1069" spans="1:10" ht="14.25">
      <c r="A1069" s="7"/>
      <c r="C1069" s="7"/>
      <c r="G1069" s="8"/>
      <c r="H1069" s="8"/>
      <c r="I1069" s="8"/>
      <c r="J1069" s="8"/>
    </row>
    <row r="1070" spans="1:10" ht="14.25">
      <c r="A1070" s="7"/>
      <c r="C1070" s="7"/>
      <c r="G1070" s="8"/>
      <c r="H1070" s="8"/>
      <c r="I1070" s="8"/>
      <c r="J1070" s="8"/>
    </row>
    <row r="1071" spans="1:10" ht="14.25">
      <c r="A1071" s="7"/>
      <c r="C1071" s="7"/>
      <c r="G1071" s="8"/>
      <c r="H1071" s="8"/>
      <c r="I1071" s="8"/>
      <c r="J1071" s="8"/>
    </row>
    <row r="1072" spans="1:10" ht="14.25">
      <c r="A1072" s="7"/>
      <c r="C1072" s="7"/>
      <c r="G1072" s="8"/>
      <c r="H1072" s="8"/>
      <c r="I1072" s="8"/>
      <c r="J1072" s="8"/>
    </row>
    <row r="1073" spans="1:10" ht="14.25">
      <c r="A1073" s="7"/>
      <c r="C1073" s="7"/>
      <c r="G1073" s="8"/>
      <c r="H1073" s="8"/>
      <c r="I1073" s="8"/>
      <c r="J1073" s="8"/>
    </row>
    <row r="1074" spans="1:10" ht="14.25">
      <c r="A1074" s="7"/>
      <c r="C1074" s="7"/>
      <c r="G1074" s="8"/>
      <c r="H1074" s="8"/>
      <c r="I1074" s="8"/>
      <c r="J1074" s="8"/>
    </row>
    <row r="1075" spans="1:10" ht="14.25">
      <c r="A1075" s="7"/>
      <c r="C1075" s="7"/>
      <c r="G1075" s="8"/>
      <c r="H1075" s="8"/>
      <c r="I1075" s="8"/>
      <c r="J1075" s="8"/>
    </row>
    <row r="1076" spans="1:10" ht="14.25">
      <c r="A1076" s="7"/>
      <c r="C1076" s="7"/>
      <c r="G1076" s="8"/>
      <c r="H1076" s="8"/>
      <c r="I1076" s="8"/>
      <c r="J1076" s="8"/>
    </row>
    <row r="1077" spans="1:10" ht="14.25">
      <c r="A1077" s="7"/>
      <c r="C1077" s="7"/>
      <c r="G1077" s="8"/>
      <c r="H1077" s="8"/>
      <c r="I1077" s="8"/>
      <c r="J1077" s="8"/>
    </row>
    <row r="1078" spans="1:10" ht="14.25">
      <c r="A1078" s="7"/>
      <c r="C1078" s="7"/>
      <c r="G1078" s="8"/>
      <c r="H1078" s="8"/>
      <c r="I1078" s="8"/>
      <c r="J1078" s="8"/>
    </row>
    <row r="1079" spans="1:10" ht="14.25">
      <c r="A1079" s="7"/>
      <c r="C1079" s="7"/>
      <c r="G1079" s="8"/>
      <c r="H1079" s="8"/>
      <c r="I1079" s="8"/>
      <c r="J1079" s="8"/>
    </row>
    <row r="1080" spans="1:10" ht="14.25">
      <c r="A1080" s="7"/>
      <c r="C1080" s="7"/>
      <c r="G1080" s="8"/>
      <c r="H1080" s="8"/>
      <c r="I1080" s="8"/>
      <c r="J1080" s="8"/>
    </row>
    <row r="1081" spans="1:10" ht="14.25">
      <c r="A1081" s="7"/>
      <c r="C1081" s="7"/>
      <c r="G1081" s="8"/>
      <c r="H1081" s="8"/>
      <c r="I1081" s="8"/>
      <c r="J1081" s="8"/>
    </row>
    <row r="1082" spans="1:10" ht="14.25">
      <c r="A1082" s="7"/>
      <c r="C1082" s="7"/>
      <c r="G1082" s="8"/>
      <c r="H1082" s="8"/>
      <c r="I1082" s="8"/>
      <c r="J1082" s="8"/>
    </row>
    <row r="1083" spans="1:10" ht="14.25">
      <c r="A1083" s="7"/>
      <c r="C1083" s="7"/>
      <c r="G1083" s="8"/>
      <c r="H1083" s="8"/>
      <c r="I1083" s="8"/>
      <c r="J1083" s="8"/>
    </row>
    <row r="1084" spans="1:10" ht="14.25">
      <c r="A1084" s="7"/>
      <c r="C1084" s="7"/>
      <c r="G1084" s="8"/>
      <c r="H1084" s="8"/>
      <c r="I1084" s="8"/>
      <c r="J1084" s="8"/>
    </row>
    <row r="1085" spans="1:10" ht="14.25">
      <c r="A1085" s="7"/>
      <c r="C1085" s="7"/>
      <c r="G1085" s="8"/>
      <c r="H1085" s="8"/>
      <c r="I1085" s="8"/>
      <c r="J1085" s="8"/>
    </row>
    <row r="1086" spans="1:10" ht="14.25">
      <c r="A1086" s="7"/>
      <c r="C1086" s="7"/>
      <c r="G1086" s="8"/>
      <c r="H1086" s="8"/>
      <c r="I1086" s="8"/>
      <c r="J1086" s="8"/>
    </row>
    <row r="1087" spans="1:10" ht="14.25">
      <c r="A1087" s="7"/>
      <c r="C1087" s="7"/>
      <c r="G1087" s="8"/>
      <c r="H1087" s="8"/>
      <c r="I1087" s="8"/>
      <c r="J1087" s="8"/>
    </row>
    <row r="1088" spans="1:10" ht="14.25">
      <c r="A1088" s="7"/>
      <c r="C1088" s="7"/>
      <c r="G1088" s="8"/>
      <c r="H1088" s="8"/>
      <c r="I1088" s="8"/>
      <c r="J1088" s="8"/>
    </row>
    <row r="1089" spans="1:10" ht="14.25">
      <c r="A1089" s="7"/>
      <c r="C1089" s="7"/>
      <c r="G1089" s="8"/>
      <c r="H1089" s="8"/>
      <c r="I1089" s="8"/>
      <c r="J1089" s="8"/>
    </row>
    <row r="1090" spans="1:10" ht="14.25">
      <c r="A1090" s="7"/>
      <c r="C1090" s="7"/>
      <c r="G1090" s="8"/>
      <c r="H1090" s="8"/>
      <c r="I1090" s="8"/>
      <c r="J1090" s="8"/>
    </row>
    <row r="1091" spans="1:10" ht="14.25">
      <c r="A1091" s="7"/>
      <c r="C1091" s="7"/>
      <c r="G1091" s="8"/>
      <c r="H1091" s="8"/>
      <c r="I1091" s="8"/>
      <c r="J1091" s="8"/>
    </row>
    <row r="1092" spans="1:10" ht="14.25">
      <c r="A1092" s="7"/>
      <c r="C1092" s="7"/>
      <c r="G1092" s="8"/>
      <c r="H1092" s="8"/>
      <c r="I1092" s="8"/>
      <c r="J1092" s="8"/>
    </row>
    <row r="1093" spans="1:10" ht="14.25">
      <c r="A1093" s="7"/>
      <c r="C1093" s="7"/>
      <c r="G1093" s="8"/>
      <c r="H1093" s="8"/>
      <c r="I1093" s="8"/>
      <c r="J1093" s="8"/>
    </row>
    <row r="1094" spans="1:10" ht="14.25">
      <c r="A1094" s="7"/>
      <c r="C1094" s="7"/>
      <c r="G1094" s="8"/>
      <c r="H1094" s="8"/>
      <c r="I1094" s="8"/>
      <c r="J1094" s="8"/>
    </row>
    <row r="1095" spans="1:10" ht="14.25">
      <c r="A1095" s="7"/>
      <c r="C1095" s="7"/>
      <c r="G1095" s="8"/>
      <c r="H1095" s="8"/>
      <c r="I1095" s="8"/>
      <c r="J1095" s="8"/>
    </row>
    <row r="1096" spans="1:10" ht="14.25">
      <c r="A1096" s="7"/>
      <c r="C1096" s="7"/>
      <c r="G1096" s="8"/>
      <c r="H1096" s="8"/>
      <c r="I1096" s="8"/>
      <c r="J1096" s="8"/>
    </row>
    <row r="1097" spans="1:10" ht="14.25">
      <c r="A1097" s="7"/>
      <c r="C1097" s="7"/>
      <c r="G1097" s="8"/>
      <c r="H1097" s="8"/>
      <c r="I1097" s="8"/>
      <c r="J1097" s="8"/>
    </row>
    <row r="1098" spans="1:10" ht="14.25">
      <c r="A1098" s="7"/>
      <c r="C1098" s="7"/>
      <c r="G1098" s="8"/>
      <c r="H1098" s="8"/>
      <c r="I1098" s="8"/>
      <c r="J1098" s="8"/>
    </row>
    <row r="1099" spans="1:10" ht="14.25">
      <c r="A1099" s="7"/>
      <c r="C1099" s="7"/>
      <c r="G1099" s="8"/>
      <c r="H1099" s="8"/>
      <c r="I1099" s="8"/>
      <c r="J1099" s="8"/>
    </row>
    <row r="1100" spans="1:10" ht="14.25">
      <c r="A1100" s="7"/>
      <c r="C1100" s="7"/>
      <c r="G1100" s="8"/>
      <c r="H1100" s="8"/>
      <c r="I1100" s="8"/>
      <c r="J1100" s="8"/>
    </row>
    <row r="1101" spans="1:10" ht="14.25">
      <c r="A1101" s="7"/>
      <c r="C1101" s="7"/>
      <c r="G1101" s="8"/>
      <c r="H1101" s="8"/>
      <c r="I1101" s="8"/>
      <c r="J1101" s="8"/>
    </row>
    <row r="1102" spans="1:10" ht="14.25">
      <c r="A1102" s="7"/>
      <c r="C1102" s="7"/>
      <c r="G1102" s="8"/>
      <c r="H1102" s="8"/>
      <c r="I1102" s="8"/>
      <c r="J1102" s="8"/>
    </row>
    <row r="1103" spans="1:10" ht="14.25">
      <c r="A1103" s="7"/>
      <c r="C1103" s="7"/>
      <c r="G1103" s="8"/>
      <c r="H1103" s="8"/>
      <c r="I1103" s="8"/>
      <c r="J1103" s="8"/>
    </row>
    <row r="1104" spans="1:10" ht="14.25">
      <c r="A1104" s="7"/>
      <c r="C1104" s="7"/>
      <c r="G1104" s="8"/>
      <c r="H1104" s="8"/>
      <c r="I1104" s="8"/>
      <c r="J1104" s="8"/>
    </row>
    <row r="1105" spans="1:10" ht="14.25">
      <c r="A1105" s="7"/>
      <c r="C1105" s="7"/>
      <c r="G1105" s="8"/>
      <c r="H1105" s="8"/>
      <c r="I1105" s="8"/>
      <c r="J1105" s="8"/>
    </row>
    <row r="1106" spans="1:10" ht="14.25">
      <c r="A1106" s="7"/>
      <c r="C1106" s="7"/>
      <c r="G1106" s="8"/>
      <c r="H1106" s="8"/>
      <c r="I1106" s="8"/>
      <c r="J1106" s="8"/>
    </row>
    <row r="1107" spans="1:10" ht="14.25">
      <c r="A1107" s="7"/>
      <c r="C1107" s="7"/>
      <c r="G1107" s="8"/>
      <c r="H1107" s="8"/>
      <c r="I1107" s="8"/>
      <c r="J1107" s="8"/>
    </row>
    <row r="1108" spans="1:10" ht="14.25">
      <c r="A1108" s="7"/>
      <c r="C1108" s="7"/>
      <c r="G1108" s="8"/>
      <c r="H1108" s="8"/>
      <c r="I1108" s="8"/>
      <c r="J1108" s="8"/>
    </row>
    <row r="1109" spans="1:10" ht="14.25">
      <c r="A1109" s="7"/>
      <c r="C1109" s="7"/>
      <c r="G1109" s="8"/>
      <c r="H1109" s="8"/>
      <c r="I1109" s="8"/>
      <c r="J1109" s="8"/>
    </row>
    <row r="1110" spans="1:10" ht="14.25">
      <c r="A1110" s="7"/>
      <c r="C1110" s="7"/>
      <c r="G1110" s="8"/>
      <c r="H1110" s="8"/>
      <c r="I1110" s="8"/>
      <c r="J1110" s="8"/>
    </row>
    <row r="1111" spans="1:10" ht="14.25">
      <c r="A1111" s="7"/>
      <c r="C1111" s="7"/>
      <c r="G1111" s="8"/>
      <c r="H1111" s="8"/>
      <c r="I1111" s="8"/>
      <c r="J1111" s="8"/>
    </row>
    <row r="1112" spans="1:10" ht="14.25">
      <c r="A1112" s="7"/>
      <c r="C1112" s="7"/>
      <c r="G1112" s="8"/>
      <c r="H1112" s="8"/>
      <c r="I1112" s="8"/>
      <c r="J1112" s="8"/>
    </row>
    <row r="1113" spans="1:10" ht="14.25">
      <c r="A1113" s="7"/>
      <c r="C1113" s="7"/>
      <c r="G1113" s="8"/>
      <c r="H1113" s="8"/>
      <c r="I1113" s="8"/>
      <c r="J1113" s="8"/>
    </row>
    <row r="1114" spans="1:10" ht="14.25">
      <c r="A1114" s="7"/>
      <c r="C1114" s="7"/>
      <c r="G1114" s="8"/>
      <c r="H1114" s="8"/>
      <c r="I1114" s="8"/>
      <c r="J1114" s="8"/>
    </row>
    <row r="1115" spans="1:10" ht="14.25">
      <c r="A1115" s="7"/>
      <c r="C1115" s="7"/>
      <c r="G1115" s="8"/>
      <c r="H1115" s="8"/>
      <c r="I1115" s="8"/>
      <c r="J1115" s="8"/>
    </row>
    <row r="1116" spans="1:10" ht="14.25">
      <c r="A1116" s="7"/>
      <c r="C1116" s="7"/>
      <c r="G1116" s="8"/>
      <c r="H1116" s="8"/>
      <c r="I1116" s="8"/>
      <c r="J1116" s="8"/>
    </row>
    <row r="1117" spans="1:10" ht="14.25">
      <c r="A1117" s="7"/>
      <c r="C1117" s="7"/>
      <c r="G1117" s="8"/>
      <c r="H1117" s="8"/>
      <c r="I1117" s="8"/>
      <c r="J1117" s="8"/>
    </row>
    <row r="1118" spans="1:10" ht="14.25">
      <c r="A1118" s="7"/>
      <c r="C1118" s="7"/>
      <c r="G1118" s="8"/>
      <c r="H1118" s="8"/>
      <c r="I1118" s="8"/>
      <c r="J1118" s="8"/>
    </row>
    <row r="1119" spans="1:10" ht="14.25">
      <c r="A1119" s="7"/>
      <c r="C1119" s="7"/>
      <c r="G1119" s="8"/>
      <c r="H1119" s="8"/>
      <c r="I1119" s="8"/>
      <c r="J1119" s="8"/>
    </row>
    <row r="1120" spans="1:10" ht="14.25">
      <c r="A1120" s="7"/>
      <c r="C1120" s="7"/>
      <c r="G1120" s="8"/>
      <c r="H1120" s="8"/>
      <c r="I1120" s="8"/>
      <c r="J1120" s="8"/>
    </row>
    <row r="1121" spans="1:10" ht="14.25">
      <c r="A1121" s="7"/>
      <c r="C1121" s="7"/>
      <c r="G1121" s="8"/>
      <c r="H1121" s="8"/>
      <c r="I1121" s="8"/>
      <c r="J1121" s="8"/>
    </row>
    <row r="1122" spans="1:10" ht="14.25">
      <c r="A1122" s="7"/>
      <c r="C1122" s="7"/>
      <c r="G1122" s="8"/>
      <c r="H1122" s="8"/>
      <c r="I1122" s="8"/>
      <c r="J1122" s="8"/>
    </row>
    <row r="1123" spans="1:10" ht="14.25">
      <c r="A1123" s="7"/>
      <c r="C1123" s="7"/>
      <c r="G1123" s="8"/>
      <c r="H1123" s="8"/>
      <c r="I1123" s="8"/>
      <c r="J1123" s="8"/>
    </row>
    <row r="1124" spans="1:10" ht="14.25">
      <c r="A1124" s="7"/>
      <c r="C1124" s="7"/>
      <c r="G1124" s="8"/>
      <c r="H1124" s="8"/>
      <c r="I1124" s="8"/>
      <c r="J1124" s="8"/>
    </row>
    <row r="1125" spans="1:10" ht="14.25">
      <c r="A1125" s="7"/>
      <c r="C1125" s="7"/>
      <c r="G1125" s="8"/>
      <c r="H1125" s="8"/>
      <c r="I1125" s="8"/>
      <c r="J1125" s="8"/>
    </row>
    <row r="1126" spans="1:10" ht="14.25">
      <c r="A1126" s="7"/>
      <c r="C1126" s="7"/>
      <c r="G1126" s="8"/>
      <c r="H1126" s="8"/>
      <c r="I1126" s="8"/>
      <c r="J1126" s="8"/>
    </row>
    <row r="1127" spans="1:10" ht="14.25">
      <c r="A1127" s="7"/>
      <c r="C1127" s="7"/>
      <c r="G1127" s="8"/>
      <c r="H1127" s="8"/>
      <c r="I1127" s="8"/>
      <c r="J1127" s="8"/>
    </row>
    <row r="1128" spans="1:10" ht="14.25">
      <c r="A1128" s="7"/>
      <c r="C1128" s="7"/>
      <c r="G1128" s="8"/>
      <c r="H1128" s="8"/>
      <c r="I1128" s="8"/>
      <c r="J1128" s="8"/>
    </row>
    <row r="1129" spans="1:10" ht="14.25">
      <c r="A1129" s="7"/>
      <c r="C1129" s="7"/>
      <c r="G1129" s="8"/>
      <c r="H1129" s="8"/>
      <c r="I1129" s="8"/>
      <c r="J1129" s="8"/>
    </row>
    <row r="1130" spans="1:10" ht="14.25">
      <c r="A1130" s="7"/>
      <c r="C1130" s="7"/>
      <c r="G1130" s="8"/>
      <c r="H1130" s="8"/>
      <c r="I1130" s="8"/>
      <c r="J1130" s="8"/>
    </row>
    <row r="1131" spans="1:10" ht="14.25">
      <c r="A1131" s="7"/>
      <c r="C1131" s="7"/>
      <c r="G1131" s="8"/>
      <c r="H1131" s="8"/>
      <c r="I1131" s="8"/>
      <c r="J1131" s="8"/>
    </row>
  </sheetData>
  <autoFilter ref="A17:AJ817" xr:uid="{00000000-0009-0000-0000-000001000000}"/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67"/>
  <sheetViews>
    <sheetView workbookViewId="0">
      <selection activeCell="F67" sqref="F63:F67"/>
    </sheetView>
  </sheetViews>
  <sheetFormatPr defaultColWidth="9" defaultRowHeight="13.5"/>
  <cols>
    <col min="5" max="5" width="12.75" customWidth="1"/>
  </cols>
  <sheetData>
    <row r="1" spans="1:5">
      <c r="A1" s="1" t="s">
        <v>101</v>
      </c>
      <c r="B1" s="2" t="s">
        <v>252</v>
      </c>
      <c r="C1" s="2" t="s">
        <v>252</v>
      </c>
      <c r="D1" s="2" t="s">
        <v>252</v>
      </c>
      <c r="E1" s="2" t="s">
        <v>102</v>
      </c>
    </row>
    <row r="2" spans="1:5">
      <c r="A2" s="1" t="s">
        <v>101</v>
      </c>
      <c r="B2" s="2" t="s">
        <v>252</v>
      </c>
      <c r="C2" s="2" t="s">
        <v>252</v>
      </c>
      <c r="D2" s="2" t="s">
        <v>252</v>
      </c>
      <c r="E2" s="2" t="s">
        <v>102</v>
      </c>
    </row>
    <row r="3" spans="1:5">
      <c r="A3" s="1" t="s">
        <v>101</v>
      </c>
      <c r="B3" s="2" t="s">
        <v>252</v>
      </c>
      <c r="C3" s="2" t="s">
        <v>252</v>
      </c>
      <c r="D3" s="2" t="s">
        <v>252</v>
      </c>
      <c r="E3" s="2" t="s">
        <v>102</v>
      </c>
    </row>
    <row r="4" spans="1:5">
      <c r="A4" s="1" t="s">
        <v>101</v>
      </c>
      <c r="B4" s="2" t="s">
        <v>252</v>
      </c>
      <c r="C4" s="2" t="s">
        <v>252</v>
      </c>
      <c r="D4" s="2" t="s">
        <v>252</v>
      </c>
      <c r="E4" s="2" t="s">
        <v>102</v>
      </c>
    </row>
    <row r="5" spans="1:5">
      <c r="A5" s="1" t="s">
        <v>253</v>
      </c>
      <c r="B5" s="2" t="s">
        <v>254</v>
      </c>
      <c r="C5" s="2" t="s">
        <v>255</v>
      </c>
      <c r="D5" s="2" t="s">
        <v>255</v>
      </c>
      <c r="E5" s="2" t="s">
        <v>256</v>
      </c>
    </row>
    <row r="6" spans="1:5">
      <c r="A6" s="1" t="s">
        <v>101</v>
      </c>
      <c r="B6" s="2" t="s">
        <v>252</v>
      </c>
      <c r="C6" s="2" t="s">
        <v>252</v>
      </c>
      <c r="D6" s="2" t="s">
        <v>252</v>
      </c>
      <c r="E6" s="2" t="s">
        <v>102</v>
      </c>
    </row>
    <row r="7" spans="1:5">
      <c r="A7" s="1" t="s">
        <v>101</v>
      </c>
      <c r="B7" s="2" t="s">
        <v>252</v>
      </c>
      <c r="C7" s="2" t="s">
        <v>252</v>
      </c>
      <c r="D7" s="2" t="s">
        <v>252</v>
      </c>
      <c r="E7" s="2" t="s">
        <v>102</v>
      </c>
    </row>
    <row r="8" spans="1:5">
      <c r="A8" s="1" t="s">
        <v>101</v>
      </c>
      <c r="B8" s="2" t="s">
        <v>252</v>
      </c>
      <c r="C8" s="2" t="s">
        <v>252</v>
      </c>
      <c r="D8" s="2" t="s">
        <v>252</v>
      </c>
      <c r="E8" s="2" t="s">
        <v>102</v>
      </c>
    </row>
    <row r="9" spans="1:5">
      <c r="A9" s="1" t="s">
        <v>101</v>
      </c>
      <c r="B9" s="2" t="s">
        <v>252</v>
      </c>
      <c r="C9" s="2" t="s">
        <v>252</v>
      </c>
      <c r="D9" s="2" t="s">
        <v>252</v>
      </c>
      <c r="E9" s="2" t="s">
        <v>102</v>
      </c>
    </row>
    <row r="10" spans="1:5">
      <c r="A10" s="1" t="s">
        <v>257</v>
      </c>
      <c r="B10" s="2" t="s">
        <v>258</v>
      </c>
      <c r="C10" s="2" t="s">
        <v>258</v>
      </c>
      <c r="D10" s="2" t="s">
        <v>259</v>
      </c>
      <c r="E10" s="2" t="s">
        <v>260</v>
      </c>
    </row>
    <row r="11" spans="1:5">
      <c r="A11" s="1" t="s">
        <v>101</v>
      </c>
      <c r="B11" s="2" t="s">
        <v>252</v>
      </c>
      <c r="C11" s="2" t="s">
        <v>252</v>
      </c>
      <c r="D11" s="2" t="s">
        <v>252</v>
      </c>
      <c r="E11" s="2" t="s">
        <v>130</v>
      </c>
    </row>
    <row r="12" spans="1:5">
      <c r="A12" s="1" t="s">
        <v>101</v>
      </c>
      <c r="B12" s="2" t="s">
        <v>252</v>
      </c>
      <c r="C12" s="2" t="s">
        <v>252</v>
      </c>
      <c r="D12" s="2" t="s">
        <v>252</v>
      </c>
      <c r="E12" s="2" t="s">
        <v>130</v>
      </c>
    </row>
    <row r="13" spans="1:5">
      <c r="A13" s="1" t="s">
        <v>101</v>
      </c>
      <c r="B13" s="2" t="s">
        <v>252</v>
      </c>
      <c r="C13" s="2" t="s">
        <v>252</v>
      </c>
      <c r="D13" s="2" t="s">
        <v>252</v>
      </c>
      <c r="E13" s="2" t="s">
        <v>130</v>
      </c>
    </row>
    <row r="14" spans="1:5">
      <c r="A14" s="1" t="s">
        <v>101</v>
      </c>
      <c r="B14" s="2" t="s">
        <v>252</v>
      </c>
      <c r="C14" s="2" t="s">
        <v>252</v>
      </c>
      <c r="D14" s="2" t="s">
        <v>252</v>
      </c>
      <c r="E14" s="2" t="s">
        <v>130</v>
      </c>
    </row>
    <row r="15" spans="1:5">
      <c r="A15" s="1" t="s">
        <v>253</v>
      </c>
      <c r="B15" s="2" t="s">
        <v>261</v>
      </c>
      <c r="C15" s="2" t="s">
        <v>255</v>
      </c>
      <c r="D15" s="2" t="s">
        <v>255</v>
      </c>
      <c r="E15" s="2" t="s">
        <v>262</v>
      </c>
    </row>
    <row r="16" spans="1:5">
      <c r="A16" s="1" t="s">
        <v>101</v>
      </c>
      <c r="B16" s="2" t="s">
        <v>252</v>
      </c>
      <c r="C16" s="2" t="s">
        <v>252</v>
      </c>
      <c r="D16" s="2" t="s">
        <v>252</v>
      </c>
      <c r="E16" s="2" t="s">
        <v>130</v>
      </c>
    </row>
    <row r="17" spans="1:5">
      <c r="A17" s="1" t="s">
        <v>101</v>
      </c>
      <c r="B17" s="2" t="s">
        <v>252</v>
      </c>
      <c r="C17" s="2" t="s">
        <v>252</v>
      </c>
      <c r="D17" s="2" t="s">
        <v>252</v>
      </c>
      <c r="E17" s="2" t="s">
        <v>130</v>
      </c>
    </row>
    <row r="18" spans="1:5">
      <c r="A18" s="1" t="s">
        <v>101</v>
      </c>
      <c r="B18" s="2" t="s">
        <v>252</v>
      </c>
      <c r="C18" s="2" t="s">
        <v>252</v>
      </c>
      <c r="D18" s="2" t="s">
        <v>252</v>
      </c>
      <c r="E18" s="2" t="s">
        <v>130</v>
      </c>
    </row>
    <row r="19" spans="1:5">
      <c r="A19" s="1" t="s">
        <v>101</v>
      </c>
      <c r="B19" s="2" t="s">
        <v>252</v>
      </c>
      <c r="C19" s="2" t="s">
        <v>252</v>
      </c>
      <c r="D19" s="2" t="s">
        <v>252</v>
      </c>
      <c r="E19" s="2" t="s">
        <v>130</v>
      </c>
    </row>
    <row r="20" spans="1:5">
      <c r="A20" s="1" t="s">
        <v>253</v>
      </c>
      <c r="B20" s="2" t="s">
        <v>263</v>
      </c>
      <c r="C20" s="2" t="s">
        <v>255</v>
      </c>
      <c r="D20" s="2" t="s">
        <v>255</v>
      </c>
      <c r="E20" s="2" t="s">
        <v>262</v>
      </c>
    </row>
    <row r="21" spans="1:5">
      <c r="A21" s="1" t="s">
        <v>101</v>
      </c>
      <c r="B21" s="2" t="s">
        <v>252</v>
      </c>
      <c r="C21" s="2" t="s">
        <v>252</v>
      </c>
      <c r="D21" s="2" t="s">
        <v>252</v>
      </c>
      <c r="E21" s="3" t="s">
        <v>143</v>
      </c>
    </row>
    <row r="22" spans="1:5">
      <c r="A22" s="1" t="s">
        <v>101</v>
      </c>
      <c r="B22" s="2" t="s">
        <v>252</v>
      </c>
      <c r="C22" s="2" t="s">
        <v>252</v>
      </c>
      <c r="D22" s="2" t="s">
        <v>252</v>
      </c>
      <c r="E22" s="3" t="s">
        <v>143</v>
      </c>
    </row>
    <row r="23" spans="1:5">
      <c r="A23" s="1" t="s">
        <v>101</v>
      </c>
      <c r="B23" s="2" t="s">
        <v>252</v>
      </c>
      <c r="C23" s="2" t="s">
        <v>252</v>
      </c>
      <c r="D23" s="2" t="s">
        <v>252</v>
      </c>
      <c r="E23" s="3" t="s">
        <v>143</v>
      </c>
    </row>
    <row r="24" spans="1:5">
      <c r="A24" s="1" t="s">
        <v>101</v>
      </c>
      <c r="B24" s="2" t="s">
        <v>252</v>
      </c>
      <c r="C24" s="2" t="s">
        <v>252</v>
      </c>
      <c r="D24" s="2" t="s">
        <v>252</v>
      </c>
      <c r="E24" s="3" t="s">
        <v>143</v>
      </c>
    </row>
    <row r="25" spans="1:5">
      <c r="A25" s="1" t="s">
        <v>253</v>
      </c>
      <c r="B25" s="2" t="s">
        <v>264</v>
      </c>
      <c r="C25" s="2" t="s">
        <v>255</v>
      </c>
      <c r="D25" s="2" t="s">
        <v>255</v>
      </c>
      <c r="E25" s="3" t="s">
        <v>265</v>
      </c>
    </row>
    <row r="26" spans="1:5">
      <c r="A26" s="1" t="s">
        <v>101</v>
      </c>
      <c r="B26" s="2" t="s">
        <v>252</v>
      </c>
      <c r="C26" s="2" t="s">
        <v>252</v>
      </c>
      <c r="D26" s="2" t="s">
        <v>252</v>
      </c>
      <c r="E26" s="3" t="s">
        <v>143</v>
      </c>
    </row>
    <row r="27" spans="1:5">
      <c r="A27" s="1" t="s">
        <v>101</v>
      </c>
      <c r="B27" s="2" t="s">
        <v>252</v>
      </c>
      <c r="C27" s="2" t="s">
        <v>252</v>
      </c>
      <c r="D27" s="2" t="s">
        <v>252</v>
      </c>
      <c r="E27" s="3" t="s">
        <v>143</v>
      </c>
    </row>
    <row r="28" spans="1:5">
      <c r="A28" s="1" t="s">
        <v>101</v>
      </c>
      <c r="B28" s="2" t="s">
        <v>252</v>
      </c>
      <c r="C28" s="2" t="s">
        <v>252</v>
      </c>
      <c r="D28" s="2" t="s">
        <v>252</v>
      </c>
      <c r="E28" s="3" t="s">
        <v>143</v>
      </c>
    </row>
    <row r="29" spans="1:5">
      <c r="A29" s="1" t="s">
        <v>101</v>
      </c>
      <c r="B29" s="2" t="s">
        <v>252</v>
      </c>
      <c r="C29" s="2" t="s">
        <v>252</v>
      </c>
      <c r="D29" s="2" t="s">
        <v>252</v>
      </c>
      <c r="E29" s="3" t="s">
        <v>143</v>
      </c>
    </row>
    <row r="30" spans="1:5">
      <c r="A30" s="1" t="s">
        <v>257</v>
      </c>
      <c r="B30" s="2" t="s">
        <v>266</v>
      </c>
      <c r="C30" s="2" t="s">
        <v>255</v>
      </c>
      <c r="D30" s="2" t="s">
        <v>259</v>
      </c>
      <c r="E30" s="3" t="s">
        <v>267</v>
      </c>
    </row>
    <row r="31" spans="1:5">
      <c r="A31" s="1" t="s">
        <v>101</v>
      </c>
      <c r="B31" s="2" t="s">
        <v>252</v>
      </c>
      <c r="C31" s="2" t="s">
        <v>252</v>
      </c>
      <c r="D31" s="2" t="s">
        <v>252</v>
      </c>
      <c r="E31" s="3" t="s">
        <v>166</v>
      </c>
    </row>
    <row r="32" spans="1:5">
      <c r="A32" s="1" t="s">
        <v>101</v>
      </c>
      <c r="B32" s="2" t="s">
        <v>252</v>
      </c>
      <c r="C32" s="2" t="s">
        <v>252</v>
      </c>
      <c r="D32" s="2" t="s">
        <v>252</v>
      </c>
      <c r="E32" s="3" t="s">
        <v>166</v>
      </c>
    </row>
    <row r="33" spans="1:5">
      <c r="A33" s="1" t="s">
        <v>101</v>
      </c>
      <c r="B33" s="2" t="s">
        <v>252</v>
      </c>
      <c r="C33" s="2" t="s">
        <v>252</v>
      </c>
      <c r="D33" s="2" t="s">
        <v>252</v>
      </c>
      <c r="E33" s="3" t="s">
        <v>166</v>
      </c>
    </row>
    <row r="34" spans="1:5">
      <c r="A34" s="1" t="s">
        <v>101</v>
      </c>
      <c r="B34" s="2" t="s">
        <v>252</v>
      </c>
      <c r="C34" s="2" t="s">
        <v>252</v>
      </c>
      <c r="D34" s="2" t="s">
        <v>252</v>
      </c>
      <c r="E34" s="3" t="s">
        <v>166</v>
      </c>
    </row>
    <row r="35" spans="1:5">
      <c r="A35" s="1" t="s">
        <v>268</v>
      </c>
      <c r="B35" s="2" t="s">
        <v>255</v>
      </c>
      <c r="C35" s="2" t="s">
        <v>258</v>
      </c>
      <c r="D35" s="2" t="s">
        <v>258</v>
      </c>
      <c r="E35" s="3" t="s">
        <v>269</v>
      </c>
    </row>
    <row r="36" spans="1:5">
      <c r="A36" s="1" t="s">
        <v>101</v>
      </c>
      <c r="B36" s="2" t="s">
        <v>252</v>
      </c>
      <c r="C36" s="2" t="s">
        <v>252</v>
      </c>
      <c r="D36" s="2" t="s">
        <v>252</v>
      </c>
      <c r="E36" s="3" t="s">
        <v>166</v>
      </c>
    </row>
    <row r="37" spans="1:5">
      <c r="A37" s="1" t="s">
        <v>101</v>
      </c>
      <c r="B37" s="2" t="s">
        <v>252</v>
      </c>
      <c r="C37" s="2" t="s">
        <v>252</v>
      </c>
      <c r="D37" s="2" t="s">
        <v>252</v>
      </c>
      <c r="E37" s="3" t="s">
        <v>166</v>
      </c>
    </row>
    <row r="38" spans="1:5">
      <c r="A38" s="1" t="s">
        <v>101</v>
      </c>
      <c r="B38" s="2" t="s">
        <v>252</v>
      </c>
      <c r="C38" s="2" t="s">
        <v>252</v>
      </c>
      <c r="D38" s="2" t="s">
        <v>252</v>
      </c>
      <c r="E38" s="3" t="s">
        <v>166</v>
      </c>
    </row>
    <row r="39" spans="1:5">
      <c r="A39" s="1" t="s">
        <v>101</v>
      </c>
      <c r="B39" s="2" t="s">
        <v>252</v>
      </c>
      <c r="C39" s="2" t="s">
        <v>252</v>
      </c>
      <c r="D39" s="2" t="s">
        <v>252</v>
      </c>
      <c r="E39" s="3" t="s">
        <v>166</v>
      </c>
    </row>
    <row r="40" spans="1:5">
      <c r="A40" s="1" t="s">
        <v>253</v>
      </c>
      <c r="B40" s="2" t="s">
        <v>270</v>
      </c>
      <c r="C40" s="2" t="s">
        <v>255</v>
      </c>
      <c r="D40" s="2" t="s">
        <v>255</v>
      </c>
      <c r="E40" s="3" t="s">
        <v>269</v>
      </c>
    </row>
    <row r="41" spans="1:5">
      <c r="A41" s="1" t="s">
        <v>101</v>
      </c>
      <c r="B41" s="2" t="s">
        <v>252</v>
      </c>
      <c r="C41" s="2" t="s">
        <v>252</v>
      </c>
      <c r="D41" s="2" t="s">
        <v>252</v>
      </c>
      <c r="E41" s="3" t="s">
        <v>174</v>
      </c>
    </row>
    <row r="42" spans="1:5">
      <c r="A42" s="1" t="s">
        <v>101</v>
      </c>
      <c r="B42" s="2" t="s">
        <v>252</v>
      </c>
      <c r="C42" s="2" t="s">
        <v>252</v>
      </c>
      <c r="D42" s="2" t="s">
        <v>252</v>
      </c>
      <c r="E42" s="3" t="s">
        <v>174</v>
      </c>
    </row>
    <row r="43" spans="1:5">
      <c r="A43" s="1" t="s">
        <v>101</v>
      </c>
      <c r="B43" s="2" t="s">
        <v>252</v>
      </c>
      <c r="C43" s="2" t="s">
        <v>252</v>
      </c>
      <c r="D43" s="2" t="s">
        <v>252</v>
      </c>
      <c r="E43" s="3" t="s">
        <v>174</v>
      </c>
    </row>
    <row r="44" spans="1:5">
      <c r="A44" s="1" t="s">
        <v>101</v>
      </c>
      <c r="B44" s="2" t="s">
        <v>252</v>
      </c>
      <c r="C44" s="2" t="s">
        <v>252</v>
      </c>
      <c r="D44" s="2" t="s">
        <v>252</v>
      </c>
      <c r="E44" s="3" t="s">
        <v>174</v>
      </c>
    </row>
    <row r="45" spans="1:5">
      <c r="A45" s="1" t="s">
        <v>253</v>
      </c>
      <c r="B45" s="2" t="s">
        <v>271</v>
      </c>
      <c r="C45" s="2" t="s">
        <v>255</v>
      </c>
      <c r="D45" s="2" t="s">
        <v>255</v>
      </c>
      <c r="E45" s="3" t="s">
        <v>272</v>
      </c>
    </row>
    <row r="46" spans="1:5">
      <c r="A46" s="1" t="s">
        <v>101</v>
      </c>
      <c r="B46" s="2" t="s">
        <v>252</v>
      </c>
      <c r="C46" s="2" t="s">
        <v>252</v>
      </c>
      <c r="D46" s="2" t="s">
        <v>252</v>
      </c>
      <c r="E46" s="3" t="s">
        <v>174</v>
      </c>
    </row>
    <row r="47" spans="1:5">
      <c r="A47" s="1" t="s">
        <v>101</v>
      </c>
      <c r="B47" s="2" t="s">
        <v>252</v>
      </c>
      <c r="C47" s="2" t="s">
        <v>252</v>
      </c>
      <c r="D47" s="2" t="s">
        <v>252</v>
      </c>
      <c r="E47" s="3" t="s">
        <v>174</v>
      </c>
    </row>
    <row r="48" spans="1:5">
      <c r="A48" s="1" t="s">
        <v>101</v>
      </c>
      <c r="B48" s="2" t="s">
        <v>252</v>
      </c>
      <c r="C48" s="2" t="s">
        <v>252</v>
      </c>
      <c r="D48" s="2" t="s">
        <v>252</v>
      </c>
      <c r="E48" s="3" t="s">
        <v>174</v>
      </c>
    </row>
    <row r="49" spans="1:6">
      <c r="A49" s="1" t="s">
        <v>101</v>
      </c>
      <c r="B49" s="2" t="s">
        <v>252</v>
      </c>
      <c r="C49" s="2" t="s">
        <v>252</v>
      </c>
      <c r="D49" s="2" t="s">
        <v>252</v>
      </c>
      <c r="E49" s="3" t="s">
        <v>174</v>
      </c>
    </row>
    <row r="50" spans="1:6">
      <c r="A50" s="1" t="s">
        <v>253</v>
      </c>
      <c r="B50" s="2" t="s">
        <v>273</v>
      </c>
      <c r="C50" s="2" t="s">
        <v>255</v>
      </c>
      <c r="D50" s="2" t="s">
        <v>255</v>
      </c>
      <c r="E50" s="3" t="s">
        <v>272</v>
      </c>
    </row>
    <row r="51" spans="1:6">
      <c r="A51" s="1" t="s">
        <v>101</v>
      </c>
      <c r="B51" s="2" t="s">
        <v>252</v>
      </c>
      <c r="C51" s="2" t="s">
        <v>252</v>
      </c>
      <c r="D51" s="2" t="s">
        <v>252</v>
      </c>
      <c r="E51" s="3" t="s">
        <v>181</v>
      </c>
    </row>
    <row r="52" spans="1:6">
      <c r="A52" s="1" t="s">
        <v>101</v>
      </c>
      <c r="B52" s="2" t="s">
        <v>252</v>
      </c>
      <c r="C52" s="2" t="s">
        <v>252</v>
      </c>
      <c r="D52" s="2" t="s">
        <v>252</v>
      </c>
      <c r="E52" s="3" t="s">
        <v>181</v>
      </c>
    </row>
    <row r="53" spans="1:6">
      <c r="A53" s="1" t="s">
        <v>101</v>
      </c>
      <c r="B53" s="2" t="s">
        <v>252</v>
      </c>
      <c r="C53" s="2" t="s">
        <v>252</v>
      </c>
      <c r="D53" s="2" t="s">
        <v>252</v>
      </c>
      <c r="E53" s="3" t="s">
        <v>181</v>
      </c>
    </row>
    <row r="54" spans="1:6">
      <c r="A54" s="1" t="s">
        <v>101</v>
      </c>
      <c r="B54" s="2" t="s">
        <v>252</v>
      </c>
      <c r="C54" s="2" t="s">
        <v>252</v>
      </c>
      <c r="D54" s="2" t="s">
        <v>252</v>
      </c>
      <c r="E54" s="3" t="s">
        <v>181</v>
      </c>
    </row>
    <row r="55" spans="1:6">
      <c r="A55" s="1" t="s">
        <v>253</v>
      </c>
      <c r="B55" s="2" t="s">
        <v>274</v>
      </c>
      <c r="C55" s="2" t="s">
        <v>255</v>
      </c>
      <c r="D55" s="2" t="s">
        <v>255</v>
      </c>
      <c r="E55" s="3" t="s">
        <v>275</v>
      </c>
    </row>
    <row r="56" spans="1:6">
      <c r="A56" s="1" t="s">
        <v>101</v>
      </c>
      <c r="B56" s="2" t="s">
        <v>252</v>
      </c>
      <c r="C56" s="2" t="s">
        <v>252</v>
      </c>
      <c r="D56" s="2" t="s">
        <v>252</v>
      </c>
      <c r="E56" s="3" t="s">
        <v>181</v>
      </c>
    </row>
    <row r="57" spans="1:6">
      <c r="A57" s="1" t="s">
        <v>101</v>
      </c>
      <c r="B57" s="2" t="s">
        <v>252</v>
      </c>
      <c r="C57" s="2" t="s">
        <v>252</v>
      </c>
      <c r="D57" s="2" t="s">
        <v>252</v>
      </c>
      <c r="E57" s="3" t="s">
        <v>181</v>
      </c>
    </row>
    <row r="58" spans="1:6">
      <c r="A58" s="1" t="s">
        <v>101</v>
      </c>
      <c r="B58" s="2" t="s">
        <v>252</v>
      </c>
      <c r="C58" s="2" t="s">
        <v>252</v>
      </c>
      <c r="D58" s="2" t="s">
        <v>252</v>
      </c>
      <c r="E58" s="3" t="s">
        <v>181</v>
      </c>
    </row>
    <row r="59" spans="1:6">
      <c r="A59" s="1" t="s">
        <v>101</v>
      </c>
      <c r="B59" s="2" t="s">
        <v>252</v>
      </c>
      <c r="C59" s="2" t="s">
        <v>252</v>
      </c>
      <c r="D59" s="2" t="s">
        <v>252</v>
      </c>
      <c r="E59" s="3" t="s">
        <v>181</v>
      </c>
    </row>
    <row r="60" spans="1:6">
      <c r="A60" s="1" t="s">
        <v>276</v>
      </c>
      <c r="B60" s="2" t="s">
        <v>255</v>
      </c>
      <c r="C60" s="2" t="s">
        <v>255</v>
      </c>
      <c r="D60" s="2" t="s">
        <v>255</v>
      </c>
      <c r="E60" s="3" t="s">
        <v>277</v>
      </c>
    </row>
    <row r="61" spans="1:6">
      <c r="F61">
        <f>226+60+253+2111/6</f>
        <v>890.83333333333326</v>
      </c>
    </row>
    <row r="63" spans="1:6">
      <c r="F63" s="4">
        <f>688/(119*(1-0.058))</f>
        <v>6.1374868418705066</v>
      </c>
    </row>
    <row r="64" spans="1:6">
      <c r="F64">
        <f>382/(53/(1-0.054))</f>
        <v>6.8183396226415098</v>
      </c>
    </row>
    <row r="65" spans="6:6">
      <c r="F65">
        <f>278/78/(1-0.052)</f>
        <v>3.7596018608676842</v>
      </c>
    </row>
    <row r="66" spans="6:6">
      <c r="F66">
        <f>973/147/(1-0.061)</f>
        <v>7.0490389979207864</v>
      </c>
    </row>
    <row r="67" spans="6:6">
      <c r="F67">
        <f>2493/499/(1-0.22)</f>
        <v>6.40511792816402</v>
      </c>
    </row>
  </sheetData>
  <phoneticPr fontId="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challenge_copy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2018-02-02T02:55:00Z</dcterms:created>
  <dcterms:modified xsi:type="dcterms:W3CDTF">2021-01-11T09:32:16Z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2052-11.1.0.10228</vt:lpwstr>
  </property>
</Properties>
</file>